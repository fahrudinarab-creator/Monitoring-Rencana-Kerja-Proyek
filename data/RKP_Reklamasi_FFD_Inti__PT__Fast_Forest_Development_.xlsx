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antor\RKP\Gabungan\"/>
    </mc:Choice>
  </mc:AlternateContent>
  <xr:revisionPtr revIDLastSave="0" documentId="8_{2121E957-0D97-4718-9E13-F6D0C2EF5BAB}" xr6:coauthVersionLast="47" xr6:coauthVersionMax="47" xr10:uidLastSave="{00000000-0000-0000-0000-000000000000}"/>
  <bookViews>
    <workbookView xWindow="-110" yWindow="-110" windowWidth="19420" windowHeight="10300" xr2:uid="{F32ECAEB-4FB1-4FC4-81D3-7A213E0A55C2}"/>
  </bookViews>
  <sheets>
    <sheet name="RKP" sheetId="1" r:id="rId1"/>
    <sheet name="REKAP BIAYA" sheetId="2" r:id="rId2"/>
    <sheet name="SI TB LC" sheetId="3" r:id="rId3"/>
    <sheet name="S1 TBM 1" sheetId="4" r:id="rId4"/>
    <sheet name="S1 TBM 2" sheetId="5" r:id="rId5"/>
    <sheet name="S1 TBM 3" sheetId="6" r:id="rId6"/>
  </sheets>
  <definedNames>
    <definedName name="\0">#REF!</definedName>
    <definedName name="\a">#N/A</definedName>
    <definedName name="\b">#N/A</definedName>
    <definedName name="\g">#N/A</definedName>
    <definedName name="\n">#N/A</definedName>
    <definedName name="__123Graph_A" hidden="1">#REF!</definedName>
    <definedName name="__123Graph_ACURAH" hidden="1">#REF!</definedName>
    <definedName name="__123Graph_AHARI" hidden="1">#REF!</definedName>
    <definedName name="__123Graph_B" hidden="1">#REF!</definedName>
    <definedName name="__123Graph_BCURAH" hidden="1">#REF!</definedName>
    <definedName name="__123Graph_BHARI" hidden="1">#REF!</definedName>
    <definedName name="__123Graph_C" hidden="1">#REF!</definedName>
    <definedName name="__123Graph_CCURAH" hidden="1">#REF!</definedName>
    <definedName name="__123Graph_CHARI" hidden="1">#REF!</definedName>
    <definedName name="__123Graph_D" hidden="1">#REF!</definedName>
    <definedName name="__123Graph_DCURAH" hidden="1">#REF!</definedName>
    <definedName name="__123Graph_DHARI" hidden="1">#REF!</definedName>
    <definedName name="__123Graph_E" hidden="1">#REF!</definedName>
    <definedName name="__123Graph_ECURAH" hidden="1">#REF!</definedName>
    <definedName name="__123Graph_EHARI" hidden="1">#REF!</definedName>
    <definedName name="__123Graph_F" hidden="1">#REF!</definedName>
    <definedName name="__123Graph_X" hidden="1">#REF!</definedName>
    <definedName name="__123Graph_XCURAH" hidden="1">#REF!</definedName>
    <definedName name="__123Graph_XHARI" hidden="1">#REF!</definedName>
    <definedName name="__kop2">#REF!</definedName>
    <definedName name="__s2">#REF!</definedName>
    <definedName name="__SKF1">#REF!</definedName>
    <definedName name="__SKF2">#REF!</definedName>
    <definedName name="_0">#REF!</definedName>
    <definedName name="_1__123Graph_AGAE_2" hidden="1">#REF!</definedName>
    <definedName name="_10_b_1">#REF!</definedName>
    <definedName name="_11_g_1">#REF!</definedName>
    <definedName name="_12_n_1">#REF!</definedName>
    <definedName name="_13Excel_BuiltIn_Database_1">#REF!</definedName>
    <definedName name="_14Excel_BuiltIn_Print_Area_1">#REF!</definedName>
    <definedName name="_15Excel_BuiltIn_Print_Area_31_1">#REF!</definedName>
    <definedName name="_16Excel_BuiltIn_Print_Titles_1">#REF!</definedName>
    <definedName name="_2__123Graph_BGAE_2" hidden="1">#REF!</definedName>
    <definedName name="_3__123Graph_CGAE_2" hidden="1">#REF!</definedName>
    <definedName name="_4__123Graph_DGAE_2" hidden="1">#REF!</definedName>
    <definedName name="_432">432</definedName>
    <definedName name="_5__123Graph_EGAE_2" hidden="1">#REF!</definedName>
    <definedName name="_6__123Graph_FGAE_2" hidden="1">#REF!</definedName>
    <definedName name="_7__123Graph_XGAE_2" hidden="1">#REF!</definedName>
    <definedName name="_8_0_1">#REF!</definedName>
    <definedName name="_8311">#REF!</definedName>
    <definedName name="_9_A_1">#REF!</definedName>
    <definedName name="_A">#REF!</definedName>
    <definedName name="_A_1">#REF!</definedName>
    <definedName name="_A_2">#REF!</definedName>
    <definedName name="_A_28">#REF!</definedName>
    <definedName name="_A_3">#REF!</definedName>
    <definedName name="_A_31">#REF!</definedName>
    <definedName name="_A_58">#REF!</definedName>
    <definedName name="_A_7">#REF!</definedName>
    <definedName name="_A_8">#REF!</definedName>
    <definedName name="_A_86">#REF!</definedName>
    <definedName name="_A_87">#REF!</definedName>
    <definedName name="_A_9">#REF!</definedName>
    <definedName name="_b">#REF!</definedName>
    <definedName name="_Fill" hidden="1">#REF!</definedName>
    <definedName name="_g">#REF!</definedName>
    <definedName name="_HOME___FR_PGSE">#REF!</definedName>
    <definedName name="_HOME___PG_FRSE">#REF!</definedName>
    <definedName name="_Key1" hidden="1">#REF!</definedName>
    <definedName name="_Key2" hidden="1">#REF!</definedName>
    <definedName name="_kop2">#REF!</definedName>
    <definedName name="_n">#REF!</definedName>
    <definedName name="_Order1" hidden="1">255</definedName>
    <definedName name="_Order2" hidden="1">0</definedName>
    <definedName name="_PG">#REF!</definedName>
    <definedName name="_Regression_Int">1</definedName>
    <definedName name="_s2">#REF!</definedName>
    <definedName name="_SKF1">#REF!</definedName>
    <definedName name="_SKF2">#REF!</definedName>
    <definedName name="_Sort" hidden="1">#REF!</definedName>
    <definedName name="A">#N/A</definedName>
    <definedName name="aa">#N/A</definedName>
    <definedName name="are">#REF!</definedName>
    <definedName name="ari">#REF!</definedName>
    <definedName name="ASE" hidden="1">#REF!</definedName>
    <definedName name="bab" hidden="1">#REF!</definedName>
    <definedName name="BBB" hidden="1">#REF!</definedName>
    <definedName name="bln">#N/A</definedName>
    <definedName name="bulanan" hidden="1">#REF!</definedName>
    <definedName name="capital">#N/A</definedName>
    <definedName name="CC">#REF!</definedName>
    <definedName name="CC_31">#REF!</definedName>
    <definedName name="CC_7">#REF!</definedName>
    <definedName name="CCC">#REF!</definedName>
    <definedName name="Cetak">#REF!</definedName>
    <definedName name="_xlnm.Database">#REF!</definedName>
    <definedName name="dea">#N/A</definedName>
    <definedName name="df">#REF!</definedName>
    <definedName name="edar">#N/A</definedName>
    <definedName name="ee" hidden="1">#REF!</definedName>
    <definedName name="er">#REF!</definedName>
    <definedName name="Excel_BuiltIn_Database">#REF!</definedName>
    <definedName name="Excel_BuiltIn_Print_Area">#REF!</definedName>
    <definedName name="Excel_BuiltIn_Print_Area_1">"$#REF!.$A$2:$R$24"</definedName>
    <definedName name="Excel_BuiltIn_Print_Area_18">#REF!</definedName>
    <definedName name="Excel_BuiltIn_Print_Area_19">#REF!</definedName>
    <definedName name="Excel_BuiltIn_Print_Area_20">#REF!</definedName>
    <definedName name="Excel_BuiltIn_Print_Area_21">#REF!</definedName>
    <definedName name="Excel_BuiltIn_Print_Area_22">#REF!</definedName>
    <definedName name="Excel_BuiltIn_Print_Area_23">#REF!</definedName>
    <definedName name="Excel_BuiltIn_Print_Area_24">#REF!</definedName>
    <definedName name="Excel_BuiltIn_Print_Area_25">#REF!</definedName>
    <definedName name="Excel_BuiltIn_Print_Area_26">#REF!</definedName>
    <definedName name="Excel_BuiltIn_Print_Area_27">#REF!</definedName>
    <definedName name="Excel_BuiltIn_Print_Area_28">#REF!</definedName>
    <definedName name="Excel_BuiltIn_Print_Area_29">#REF!</definedName>
    <definedName name="Excel_BuiltIn_Print_Area_30">#REF!</definedName>
    <definedName name="Excel_BuiltIn_Print_Area_31">#REF!</definedName>
    <definedName name="Excel_BuiltIn_Print_Area_32">#REF!</definedName>
    <definedName name="Excel_BuiltIn_Print_Area_33">#REF!</definedName>
    <definedName name="Excel_BuiltIn_Print_Area_34">#REF!</definedName>
    <definedName name="Excel_BuiltIn_Print_Area_35">#REF!</definedName>
    <definedName name="Excel_BuiltIn_Print_Area_36">#REF!</definedName>
    <definedName name="Excel_BuiltIn_Print_Area_38">#REF!</definedName>
    <definedName name="Excel_BuiltIn_Print_Area_84">#REF!</definedName>
    <definedName name="Excel_BuiltIn_Print_Titles">#REF!</definedName>
    <definedName name="Excel_BuiltIn_Print_Titles_7">#REF!</definedName>
    <definedName name="f">#REF!</definedName>
    <definedName name="f_2">#REF!</definedName>
    <definedName name="f_28">#REF!</definedName>
    <definedName name="f_3">#REF!</definedName>
    <definedName name="f_31">#REF!</definedName>
    <definedName name="f_58">#REF!</definedName>
    <definedName name="f_7">#REF!</definedName>
    <definedName name="f_8">#REF!</definedName>
    <definedName name="f_86">#REF!</definedName>
    <definedName name="f_87">#REF!</definedName>
    <definedName name="f_9">#REF!</definedName>
    <definedName name="ffff">#REF!</definedName>
    <definedName name="FFFFFFFFFFFFFFFFFFFFFFFFFFFFFFFFF">#REF!</definedName>
    <definedName name="FORM">#REF!</definedName>
    <definedName name="FORM_31">#REF!</definedName>
    <definedName name="gae">#REF!</definedName>
    <definedName name="gae_2">#REF!</definedName>
    <definedName name="gae_28">#REF!</definedName>
    <definedName name="gae_3">#REF!</definedName>
    <definedName name="gae_31">#REF!</definedName>
    <definedName name="gae_58">#REF!</definedName>
    <definedName name="gae_7">#REF!</definedName>
    <definedName name="gae_8">#REF!</definedName>
    <definedName name="gae_86">#REF!</definedName>
    <definedName name="gae_87">#REF!</definedName>
    <definedName name="gae_9">#REF!</definedName>
    <definedName name="gusdur">#REF!</definedName>
    <definedName name="gusdur2">#REF!</definedName>
    <definedName name="H">#REF!</definedName>
    <definedName name="Harga">#REF!</definedName>
    <definedName name="HGB" hidden="1">#REF!</definedName>
    <definedName name="hh">#REF!</definedName>
    <definedName name="HHHHHHHHH">#REF!</definedName>
    <definedName name="HHHHHHHHH_2">#REF!</definedName>
    <definedName name="HHHHHHHHH_3">#REF!</definedName>
    <definedName name="HHHHHHHHH_31">#REF!</definedName>
    <definedName name="HHHHHHHHH_7">#REF!</definedName>
    <definedName name="HHHHHHHHH_8">#REF!</definedName>
    <definedName name="HHHHHHHHH_86">#REF!</definedName>
    <definedName name="HHHHHHHHH_9">#REF!</definedName>
    <definedName name="I">#REF!</definedName>
    <definedName name="I_26">#REF!</definedName>
    <definedName name="I_27">#REF!</definedName>
    <definedName name="I_28">#REF!</definedName>
    <definedName name="I_31">#REF!</definedName>
    <definedName name="I_7">#REF!</definedName>
    <definedName name="jj">#N/A</definedName>
    <definedName name="JUDUL">#REF!</definedName>
    <definedName name="JUDUL_2">#REF!</definedName>
    <definedName name="JUDUL_28">#REF!</definedName>
    <definedName name="JUDUL_3">#REF!</definedName>
    <definedName name="JUDUL_31">#REF!</definedName>
    <definedName name="JUDUL_58">#REF!</definedName>
    <definedName name="JUDUL_7">#REF!</definedName>
    <definedName name="JUDUL_8">#REF!</definedName>
    <definedName name="JUDUL_86">#REF!</definedName>
    <definedName name="JUDUL_87">#REF!</definedName>
    <definedName name="JUDUL_9">#REF!</definedName>
    <definedName name="kajfak">#REF!</definedName>
    <definedName name="kap" hidden="1">#REF!</definedName>
    <definedName name="kapital" hidden="1">#REF!</definedName>
    <definedName name="Kd_Acc">#REF!</definedName>
    <definedName name="Kd_Afd">#REF!</definedName>
    <definedName name="knj">#REF!</definedName>
    <definedName name="knj_2">#REF!</definedName>
    <definedName name="knj_28">#REF!</definedName>
    <definedName name="knj_3">#REF!</definedName>
    <definedName name="knj_31">#REF!</definedName>
    <definedName name="knj_58">#REF!</definedName>
    <definedName name="knj_7">#REF!</definedName>
    <definedName name="knj_8">#REF!</definedName>
    <definedName name="knj_86">#REF!</definedName>
    <definedName name="knj_87">#REF!</definedName>
    <definedName name="knj_9">#REF!</definedName>
    <definedName name="kop">#REF!</definedName>
    <definedName name="kop_2">#REF!</definedName>
    <definedName name="kop_28">#REF!</definedName>
    <definedName name="kop_3">#REF!</definedName>
    <definedName name="kop_31">#REF!</definedName>
    <definedName name="kop_58">#REF!</definedName>
    <definedName name="kop_7">#REF!</definedName>
    <definedName name="kop_8">#REF!</definedName>
    <definedName name="kop_86">#REF!</definedName>
    <definedName name="kop_87">#REF!</definedName>
    <definedName name="kop_9">#REF!</definedName>
    <definedName name="kop2_2">#REF!</definedName>
    <definedName name="kop2_28">#REF!</definedName>
    <definedName name="kop2_3">#REF!</definedName>
    <definedName name="kop2_31">#REF!</definedName>
    <definedName name="kop2_58">#REF!</definedName>
    <definedName name="kop2_7">#REF!</definedName>
    <definedName name="kop2_8">#REF!</definedName>
    <definedName name="kop2_86">#REF!</definedName>
    <definedName name="kop2_87">#REF!</definedName>
    <definedName name="kop2_9">#REF!</definedName>
    <definedName name="LINE">#REF!</definedName>
    <definedName name="LINE_31">#REF!</definedName>
    <definedName name="M" hidden="1">#REF!</definedName>
    <definedName name="mmmmmmmmmm">#REF!</definedName>
    <definedName name="ok">#REF!</definedName>
    <definedName name="peot">#REF!</definedName>
    <definedName name="pr">#REF!</definedName>
    <definedName name="pr_2">#REF!</definedName>
    <definedName name="pr_28">#REF!</definedName>
    <definedName name="pr_3">#REF!</definedName>
    <definedName name="pr_31">#REF!</definedName>
    <definedName name="pr_58">#REF!</definedName>
    <definedName name="pr_7">#REF!</definedName>
    <definedName name="pr_8">#REF!</definedName>
    <definedName name="pr_86">#REF!</definedName>
    <definedName name="pr_87">#REF!</definedName>
    <definedName name="pr_9">#REF!</definedName>
    <definedName name="print">#N/A</definedName>
    <definedName name="PRINT_A">#REF!</definedName>
    <definedName name="_xlnm.Print_Area" localSheetId="0">RKP!$B$1:$AU$23</definedName>
    <definedName name="_xlnm.Print_Area" localSheetId="3">'S1 TBM 1'!$A$1:$Z$415</definedName>
    <definedName name="_xlnm.Print_Area" localSheetId="5">'S1 TBM 3'!$A$1:$Z$424</definedName>
    <definedName name="_xlnm.Print_Area" localSheetId="2">'SI TB LC'!$B$2:$X$346</definedName>
    <definedName name="_xlnm.Print_Area">#REF!</definedName>
    <definedName name="Print_Area_MI">#REF!</definedName>
    <definedName name="Print_Area_MI_26">#REF!</definedName>
    <definedName name="Print_Area_MI_27">#REF!</definedName>
    <definedName name="Print_Area_MI_28">#REF!</definedName>
    <definedName name="Print_Area_MI_31">#REF!</definedName>
    <definedName name="Print_Area_MI_7">#REF!</definedName>
    <definedName name="_xlnm.Print_Titles" localSheetId="3">'S1 TBM 1'!$2:$4</definedName>
    <definedName name="_xlnm.Print_Titles" localSheetId="4">'S1 TBM 2'!$2:$4</definedName>
    <definedName name="_xlnm.Print_Titles" localSheetId="5">'S1 TBM 3'!$2:$4</definedName>
    <definedName name="_xlnm.Print_Titles" localSheetId="2">'SI TB LC'!$2:$4</definedName>
    <definedName name="_xlnm.Print_Titles">#N/A</definedName>
    <definedName name="PRINT_TITLES_MI">#N/A</definedName>
    <definedName name="q" hidden="1">#REF!</definedName>
    <definedName name="QQ">#REF!</definedName>
    <definedName name="QQ_31">#REF!</definedName>
    <definedName name="QQ_7">#REF!</definedName>
    <definedName name="rar">#REF!</definedName>
    <definedName name="RAY">#REF!</definedName>
    <definedName name="raye">#REF!</definedName>
    <definedName name="re">#REF!</definedName>
    <definedName name="rr">#REF!</definedName>
    <definedName name="s">#REF!</definedName>
    <definedName name="sde">#N/A</definedName>
    <definedName name="SDER">#REF!</definedName>
    <definedName name="sgsgs">#REF!</definedName>
    <definedName name="SKF1_2">#REF!</definedName>
    <definedName name="SKF1_28">#REF!</definedName>
    <definedName name="SKF1_3">#REF!</definedName>
    <definedName name="SKF1_31">#REF!</definedName>
    <definedName name="SKF1_58">#REF!</definedName>
    <definedName name="SKF1_7">#REF!</definedName>
    <definedName name="SKF1_8">#REF!</definedName>
    <definedName name="SKF1_86">#REF!</definedName>
    <definedName name="SKF1_87">#REF!</definedName>
    <definedName name="SKF1_9">#REF!</definedName>
    <definedName name="SKF2_2">#REF!</definedName>
    <definedName name="SKF2_28">#REF!</definedName>
    <definedName name="SKF2_3">#REF!</definedName>
    <definedName name="SKF2_31">#REF!</definedName>
    <definedName name="SKF2_58">#REF!</definedName>
    <definedName name="SKF2_7">#REF!</definedName>
    <definedName name="SKF2_8">#REF!</definedName>
    <definedName name="SKF2_86">#REF!</definedName>
    <definedName name="SKF2_87">#REF!</definedName>
    <definedName name="SKF2_9">#REF!</definedName>
    <definedName name="sku" hidden="1">#REF!</definedName>
    <definedName name="SPACE">#REF!</definedName>
    <definedName name="SPACE_31">#REF!</definedName>
    <definedName name="SS">#REF!</definedName>
    <definedName name="SS_7">#REF!</definedName>
    <definedName name="sss">#REF!</definedName>
    <definedName name="TES" hidden="1">#REF!</definedName>
    <definedName name="TT">#REF!</definedName>
    <definedName name="twr">#N/A</definedName>
    <definedName name="upah">#N/A</definedName>
    <definedName name="v">#REF!</definedName>
    <definedName name="v_2">#REF!</definedName>
    <definedName name="v_28">#REF!</definedName>
    <definedName name="v_3">#REF!</definedName>
    <definedName name="v_31">#REF!</definedName>
    <definedName name="v_58">#REF!</definedName>
    <definedName name="v_7">#REF!</definedName>
    <definedName name="v_8">#REF!</definedName>
    <definedName name="v_86">#REF!</definedName>
    <definedName name="v_87">#REF!</definedName>
    <definedName name="v_9">#REF!</definedName>
    <definedName name="VV">#REF!</definedName>
    <definedName name="VV_28">#REF!</definedName>
    <definedName name="VV_31">#REF!</definedName>
    <definedName name="vvvvvvvvvvvvvvvvvvv">#REF!</definedName>
    <definedName name="wewewe">#REF!</definedName>
    <definedName name="ww">#REF!</definedName>
    <definedName name="ww_7">#REF!</definedName>
    <definedName name="www">#REF!</definedName>
    <definedName name="www_7">#REF!</definedName>
    <definedName name="X">#REF!</definedName>
    <definedName name="xx">#REF!</definedName>
    <definedName name="xxxxx">#REF!</definedName>
    <definedName name="XXXXXX">#REF!</definedName>
    <definedName name="XXXXXX_31">#REF!</definedName>
    <definedName name="XXXXXX_7">#REF!</definedName>
    <definedName name="XXXXXXXXXXXXXXXXXXXXXX" hidden="1">#REF!</definedName>
    <definedName name="zzzzz">#REF!</definedName>
    <definedName name="zzzzz_31">#REF!</definedName>
    <definedName name="ZZZZZZZ">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432" i="6" l="1"/>
  <c r="Q35" i="6"/>
  <c r="M44" i="6"/>
  <c r="O44" i="6"/>
  <c r="Q44" i="6"/>
  <c r="O45" i="6"/>
  <c r="Q45" i="6"/>
  <c r="O46" i="6"/>
  <c r="Q46" i="6"/>
  <c r="Q47" i="6"/>
  <c r="Q57" i="6"/>
  <c r="O60" i="6"/>
  <c r="Q60" i="6"/>
  <c r="O61" i="6"/>
  <c r="Q61" i="6"/>
  <c r="M62" i="6"/>
  <c r="O62" i="6"/>
  <c r="Q62" i="6"/>
  <c r="Q63" i="6"/>
  <c r="O67" i="6"/>
  <c r="Q67" i="6"/>
  <c r="O68" i="6"/>
  <c r="Q68" i="6"/>
  <c r="M69" i="6"/>
  <c r="O69" i="6"/>
  <c r="Q69" i="6"/>
  <c r="Q71" i="6"/>
  <c r="O73" i="6"/>
  <c r="Q73" i="6"/>
  <c r="O74" i="6"/>
  <c r="Q74" i="6"/>
  <c r="M75" i="6"/>
  <c r="O75" i="6"/>
  <c r="Q75" i="6"/>
  <c r="O76" i="6"/>
  <c r="Q76" i="6"/>
  <c r="M84" i="6"/>
  <c r="O84" i="6"/>
  <c r="Q84" i="6"/>
  <c r="M83" i="6"/>
  <c r="O83" i="6"/>
  <c r="Q83" i="6"/>
  <c r="M82" i="6"/>
  <c r="O82" i="6"/>
  <c r="Q82" i="6"/>
  <c r="M81" i="6"/>
  <c r="O81" i="6"/>
  <c r="Q81" i="6"/>
  <c r="M80" i="6"/>
  <c r="O80" i="6"/>
  <c r="Q80" i="6"/>
  <c r="M79" i="6"/>
  <c r="O79" i="6"/>
  <c r="Q79" i="6"/>
  <c r="M78" i="6"/>
  <c r="O78" i="6"/>
  <c r="Q78" i="6"/>
  <c r="O77" i="6"/>
  <c r="Q77" i="6"/>
  <c r="Q85" i="6"/>
  <c r="O108" i="6"/>
  <c r="Q108" i="6"/>
  <c r="M109" i="6"/>
  <c r="O109" i="6"/>
  <c r="Q109" i="6"/>
  <c r="M110" i="6"/>
  <c r="O110" i="6"/>
  <c r="Q110" i="6"/>
  <c r="Q111" i="6"/>
  <c r="O152" i="6"/>
  <c r="Q152" i="6"/>
  <c r="O153" i="6"/>
  <c r="Q153" i="6"/>
  <c r="O154" i="6"/>
  <c r="Q154" i="6"/>
  <c r="O155" i="6"/>
  <c r="Q155" i="6"/>
  <c r="M173" i="6"/>
  <c r="O173" i="6"/>
  <c r="Q173" i="6"/>
  <c r="M170" i="6"/>
  <c r="O170" i="6"/>
  <c r="Q170" i="6"/>
  <c r="M169" i="6"/>
  <c r="O169" i="6"/>
  <c r="Q169" i="6"/>
  <c r="M168" i="6"/>
  <c r="O168" i="6"/>
  <c r="Q168" i="6"/>
  <c r="M167" i="6"/>
  <c r="O167" i="6"/>
  <c r="Q167" i="6"/>
  <c r="M166" i="6"/>
  <c r="O166" i="6"/>
  <c r="Q166" i="6"/>
  <c r="M165" i="6"/>
  <c r="O165" i="6"/>
  <c r="Q165" i="6"/>
  <c r="O164" i="6"/>
  <c r="Q164" i="6"/>
  <c r="O163" i="6"/>
  <c r="Q163" i="6"/>
  <c r="O162" i="6"/>
  <c r="Q162" i="6"/>
  <c r="M161" i="6"/>
  <c r="O161" i="6"/>
  <c r="Q161" i="6"/>
  <c r="M160" i="6"/>
  <c r="O160" i="6"/>
  <c r="Q160" i="6"/>
  <c r="M159" i="6"/>
  <c r="O159" i="6"/>
  <c r="Q159" i="6"/>
  <c r="M158" i="6"/>
  <c r="O158" i="6"/>
  <c r="Q158" i="6"/>
  <c r="M157" i="6"/>
  <c r="O157" i="6"/>
  <c r="Q157" i="6"/>
  <c r="O156" i="6"/>
  <c r="Q156" i="6"/>
  <c r="Q174" i="6"/>
  <c r="O115" i="6"/>
  <c r="Q115" i="6"/>
  <c r="O116" i="6"/>
  <c r="Q116" i="6"/>
  <c r="O117" i="6"/>
  <c r="Q117" i="6"/>
  <c r="O118" i="6"/>
  <c r="Q118" i="6"/>
  <c r="M126" i="6"/>
  <c r="O126" i="6"/>
  <c r="Q126" i="6"/>
  <c r="M125" i="6"/>
  <c r="O125" i="6"/>
  <c r="Q125" i="6"/>
  <c r="M124" i="6"/>
  <c r="O124" i="6"/>
  <c r="Q124" i="6"/>
  <c r="M123" i="6"/>
  <c r="O123" i="6"/>
  <c r="Q123" i="6"/>
  <c r="M122" i="6"/>
  <c r="O122" i="6"/>
  <c r="Q122" i="6"/>
  <c r="M121" i="6"/>
  <c r="O121" i="6"/>
  <c r="Q121" i="6"/>
  <c r="M120" i="6"/>
  <c r="O120" i="6"/>
  <c r="Q120" i="6"/>
  <c r="O119" i="6"/>
  <c r="Q119" i="6"/>
  <c r="Q127" i="6"/>
  <c r="Q175" i="6"/>
  <c r="O177" i="6"/>
  <c r="Q177" i="6"/>
  <c r="O178" i="6"/>
  <c r="Q178" i="6"/>
  <c r="O179" i="6"/>
  <c r="Q179" i="6"/>
  <c r="O180" i="6"/>
  <c r="Q180" i="6"/>
  <c r="Q181" i="6"/>
  <c r="O182" i="6"/>
  <c r="Q182" i="6"/>
  <c r="M183" i="6"/>
  <c r="O183" i="6"/>
  <c r="Q183" i="6"/>
  <c r="M184" i="6"/>
  <c r="O184" i="6"/>
  <c r="Q184" i="6"/>
  <c r="M185" i="6"/>
  <c r="O185" i="6"/>
  <c r="Q185" i="6"/>
  <c r="M186" i="6"/>
  <c r="O186" i="6"/>
  <c r="Q186" i="6"/>
  <c r="Q187" i="6"/>
  <c r="L189" i="6"/>
  <c r="O189" i="6"/>
  <c r="Q189" i="6"/>
  <c r="P190" i="6"/>
  <c r="L190" i="6"/>
  <c r="O190" i="6"/>
  <c r="Q190" i="6"/>
  <c r="L191" i="6"/>
  <c r="O191" i="6"/>
  <c r="Q191" i="6"/>
  <c r="L192" i="6"/>
  <c r="M192" i="6"/>
  <c r="O192" i="6"/>
  <c r="Q192" i="6"/>
  <c r="Q194" i="6"/>
  <c r="O197" i="6"/>
  <c r="Q197" i="6"/>
  <c r="O198" i="6"/>
  <c r="Q198" i="6"/>
  <c r="Q199" i="6"/>
  <c r="Q200" i="6"/>
  <c r="M416" i="6"/>
  <c r="O416" i="6"/>
  <c r="Q416" i="6"/>
  <c r="O417" i="6"/>
  <c r="Q417" i="6"/>
  <c r="O418" i="6"/>
  <c r="Q418" i="6"/>
  <c r="M420" i="6"/>
  <c r="O420" i="6"/>
  <c r="Q420" i="6"/>
  <c r="O421" i="6"/>
  <c r="Q421" i="6"/>
  <c r="Q423" i="6"/>
  <c r="O339" i="6"/>
  <c r="Q339" i="6"/>
  <c r="N340" i="6"/>
  <c r="O340" i="6"/>
  <c r="Q340" i="6"/>
  <c r="M341" i="6"/>
  <c r="N341" i="6"/>
  <c r="O341" i="6"/>
  <c r="Q341" i="6"/>
  <c r="N342" i="6"/>
  <c r="M342" i="6"/>
  <c r="O342" i="6"/>
  <c r="Q342" i="6"/>
  <c r="M347" i="6"/>
  <c r="N343" i="6"/>
  <c r="N344" i="6"/>
  <c r="N345" i="6"/>
  <c r="N346" i="6"/>
  <c r="N347" i="6"/>
  <c r="O347" i="6"/>
  <c r="Q347" i="6"/>
  <c r="N360" i="6"/>
  <c r="N361" i="6"/>
  <c r="N362" i="6"/>
  <c r="N363" i="6"/>
  <c r="N364" i="6"/>
  <c r="M364" i="6"/>
  <c r="N350" i="6"/>
  <c r="N351" i="6"/>
  <c r="N352" i="6"/>
  <c r="N353" i="6"/>
  <c r="N354" i="6"/>
  <c r="M354" i="6"/>
  <c r="M346" i="6"/>
  <c r="O346" i="6"/>
  <c r="Q346" i="6"/>
  <c r="M345" i="6"/>
  <c r="O345" i="6"/>
  <c r="Q345" i="6"/>
  <c r="M344" i="6"/>
  <c r="O344" i="6"/>
  <c r="Q344" i="6"/>
  <c r="M343" i="6"/>
  <c r="O343" i="6"/>
  <c r="Q343" i="6"/>
  <c r="Q348" i="6"/>
  <c r="O349" i="6"/>
  <c r="Q349" i="6"/>
  <c r="O350" i="6"/>
  <c r="Q350" i="6"/>
  <c r="M351" i="6"/>
  <c r="O351" i="6"/>
  <c r="Q351" i="6"/>
  <c r="M352" i="6"/>
  <c r="O352" i="6"/>
  <c r="Q352" i="6"/>
  <c r="M357" i="6"/>
  <c r="O357" i="6"/>
  <c r="Q357" i="6"/>
  <c r="N355" i="6"/>
  <c r="N356" i="6"/>
  <c r="M356" i="6"/>
  <c r="O356" i="6"/>
  <c r="Q356" i="6"/>
  <c r="M355" i="6"/>
  <c r="O355" i="6"/>
  <c r="Q355" i="6"/>
  <c r="O354" i="6"/>
  <c r="Q354" i="6"/>
  <c r="M353" i="6"/>
  <c r="O353" i="6"/>
  <c r="Q353" i="6"/>
  <c r="Q358" i="6"/>
  <c r="O359" i="6"/>
  <c r="Q359" i="6"/>
  <c r="O360" i="6"/>
  <c r="Q360" i="6"/>
  <c r="M361" i="6"/>
  <c r="O361" i="6"/>
  <c r="Q361" i="6"/>
  <c r="M362" i="6"/>
  <c r="O362" i="6"/>
  <c r="Q362" i="6"/>
  <c r="M367" i="6"/>
  <c r="O367" i="6"/>
  <c r="Q367" i="6"/>
  <c r="N365" i="6"/>
  <c r="N366" i="6"/>
  <c r="M366" i="6"/>
  <c r="O366" i="6"/>
  <c r="Q366" i="6"/>
  <c r="M365" i="6"/>
  <c r="O365" i="6"/>
  <c r="Q365" i="6"/>
  <c r="O364" i="6"/>
  <c r="Q364" i="6"/>
  <c r="M363" i="6"/>
  <c r="O363" i="6"/>
  <c r="Q363" i="6"/>
  <c r="Q368" i="6"/>
  <c r="O369" i="6"/>
  <c r="Q369" i="6"/>
  <c r="N370" i="6"/>
  <c r="O370" i="6"/>
  <c r="Q370" i="6"/>
  <c r="M371" i="6"/>
  <c r="N371" i="6"/>
  <c r="O371" i="6"/>
  <c r="Q371" i="6"/>
  <c r="N372" i="6"/>
  <c r="M372" i="6"/>
  <c r="O372" i="6"/>
  <c r="Q372" i="6"/>
  <c r="M377" i="6"/>
  <c r="O377" i="6"/>
  <c r="Q377" i="6"/>
  <c r="N373" i="6"/>
  <c r="N374" i="6"/>
  <c r="N375" i="6"/>
  <c r="N376" i="6"/>
  <c r="M376" i="6"/>
  <c r="O376" i="6"/>
  <c r="Q376" i="6"/>
  <c r="M375" i="6"/>
  <c r="O375" i="6"/>
  <c r="Q375" i="6"/>
  <c r="M374" i="6"/>
  <c r="O374" i="6"/>
  <c r="Q374" i="6"/>
  <c r="M373" i="6"/>
  <c r="O373" i="6"/>
  <c r="Q373" i="6"/>
  <c r="Q378" i="6"/>
  <c r="L395" i="6"/>
  <c r="O395" i="6"/>
  <c r="Q395" i="6"/>
  <c r="L397" i="6"/>
  <c r="O397" i="6"/>
  <c r="Q397" i="6"/>
  <c r="L398" i="6"/>
  <c r="O398" i="6"/>
  <c r="Q398" i="6"/>
  <c r="Q400" i="6"/>
  <c r="O379" i="6"/>
  <c r="Q379" i="6"/>
  <c r="M380" i="6"/>
  <c r="O380" i="6"/>
  <c r="Q380" i="6"/>
  <c r="O381" i="6"/>
  <c r="Q381" i="6"/>
  <c r="O383" i="6"/>
  <c r="Q383" i="6"/>
  <c r="Q389" i="6"/>
  <c r="Q401" i="6"/>
  <c r="O293" i="6"/>
  <c r="Q293" i="6"/>
  <c r="O294" i="6"/>
  <c r="Q294" i="6"/>
  <c r="Q296" i="6"/>
  <c r="O299" i="6"/>
  <c r="Q299" i="6"/>
  <c r="O300" i="6"/>
  <c r="Q300" i="6"/>
  <c r="O301" i="6"/>
  <c r="Q301" i="6"/>
  <c r="M302" i="6"/>
  <c r="O302" i="6"/>
  <c r="Q302" i="6"/>
  <c r="M307" i="6"/>
  <c r="O307" i="6"/>
  <c r="Q307" i="6"/>
  <c r="M306" i="6"/>
  <c r="O306" i="6"/>
  <c r="Q306" i="6"/>
  <c r="M305" i="6"/>
  <c r="O305" i="6"/>
  <c r="Q305" i="6"/>
  <c r="M304" i="6"/>
  <c r="O304" i="6"/>
  <c r="Q304" i="6"/>
  <c r="O303" i="6"/>
  <c r="Q303" i="6"/>
  <c r="Q309" i="6"/>
  <c r="O312" i="6"/>
  <c r="Q312" i="6"/>
  <c r="M313" i="6"/>
  <c r="O313" i="6"/>
  <c r="Q313" i="6"/>
  <c r="M314" i="6"/>
  <c r="O314" i="6"/>
  <c r="Q314" i="6"/>
  <c r="O315" i="6"/>
  <c r="Q315" i="6"/>
  <c r="O326" i="6"/>
  <c r="Q326" i="6"/>
  <c r="M325" i="6"/>
  <c r="O325" i="6"/>
  <c r="Q325" i="6"/>
  <c r="O324" i="6"/>
  <c r="Q324" i="6"/>
  <c r="M323" i="6"/>
  <c r="O323" i="6"/>
  <c r="Q323" i="6"/>
  <c r="O322" i="6"/>
  <c r="Q322" i="6"/>
  <c r="O321" i="6"/>
  <c r="Q321" i="6"/>
  <c r="O320" i="6"/>
  <c r="Q320" i="6"/>
  <c r="O319" i="6"/>
  <c r="Q319" i="6"/>
  <c r="O318" i="6"/>
  <c r="Q318" i="6"/>
  <c r="O317" i="6"/>
  <c r="Q317" i="6"/>
  <c r="O316" i="6"/>
  <c r="Q316" i="6"/>
  <c r="Q327" i="6"/>
  <c r="Q336" i="6"/>
  <c r="L283" i="6"/>
  <c r="O283" i="6"/>
  <c r="Q283" i="6"/>
  <c r="L285" i="6"/>
  <c r="O285" i="6"/>
  <c r="Q285" i="6"/>
  <c r="Q291" i="6"/>
  <c r="O203" i="6"/>
  <c r="Q203" i="6"/>
  <c r="O204" i="6"/>
  <c r="Q204" i="6"/>
  <c r="M205" i="6"/>
  <c r="O205" i="6"/>
  <c r="Q205" i="6"/>
  <c r="O206" i="6"/>
  <c r="Q206" i="6"/>
  <c r="M231" i="6"/>
  <c r="O231" i="6"/>
  <c r="Q231" i="6"/>
  <c r="M230" i="6"/>
  <c r="O230" i="6"/>
  <c r="Q230" i="6"/>
  <c r="O229" i="6"/>
  <c r="Q229" i="6"/>
  <c r="M228" i="6"/>
  <c r="O228" i="6"/>
  <c r="Q228" i="6"/>
  <c r="O227" i="6"/>
  <c r="Q227" i="6"/>
  <c r="M226" i="6"/>
  <c r="O226" i="6"/>
  <c r="Q226" i="6"/>
  <c r="M225" i="6"/>
  <c r="O225" i="6"/>
  <c r="Q225" i="6"/>
  <c r="O224" i="6"/>
  <c r="Q224" i="6"/>
  <c r="M223" i="6"/>
  <c r="O223" i="6"/>
  <c r="Q223" i="6"/>
  <c r="Q222" i="6"/>
  <c r="O221" i="6"/>
  <c r="Q221" i="6"/>
  <c r="M220" i="6"/>
  <c r="O220" i="6"/>
  <c r="Q220" i="6"/>
  <c r="M219" i="6"/>
  <c r="O219" i="6"/>
  <c r="Q219" i="6"/>
  <c r="O218" i="6"/>
  <c r="Q218" i="6"/>
  <c r="M217" i="6"/>
  <c r="O217" i="6"/>
  <c r="Q217" i="6"/>
  <c r="O215" i="6"/>
  <c r="Q215" i="6"/>
  <c r="M214" i="6"/>
  <c r="O214" i="6"/>
  <c r="Q214" i="6"/>
  <c r="M213" i="6"/>
  <c r="O213" i="6"/>
  <c r="Q213" i="6"/>
  <c r="O212" i="6"/>
  <c r="Q212" i="6"/>
  <c r="M211" i="6"/>
  <c r="O211" i="6"/>
  <c r="Q211" i="6"/>
  <c r="O209" i="6"/>
  <c r="Q209" i="6"/>
  <c r="M208" i="6"/>
  <c r="O208" i="6"/>
  <c r="Q208" i="6"/>
  <c r="M207" i="6"/>
  <c r="O207" i="6"/>
  <c r="Q207" i="6"/>
  <c r="Q232" i="6"/>
  <c r="O234" i="6"/>
  <c r="Q234" i="6"/>
  <c r="O235" i="6"/>
  <c r="Q235" i="6"/>
  <c r="P236" i="6"/>
  <c r="O236" i="6"/>
  <c r="Q236" i="6"/>
  <c r="P237" i="6"/>
  <c r="O237" i="6"/>
  <c r="Q237" i="6"/>
  <c r="O258" i="6"/>
  <c r="Q258" i="6"/>
  <c r="O257" i="6"/>
  <c r="Q257" i="6"/>
  <c r="O256" i="6"/>
  <c r="Q256" i="6"/>
  <c r="O255" i="6"/>
  <c r="Q255" i="6"/>
  <c r="O254" i="6"/>
  <c r="Q254" i="6"/>
  <c r="O253" i="6"/>
  <c r="Q253" i="6"/>
  <c r="O252" i="6"/>
  <c r="Q252" i="6"/>
  <c r="O251" i="6"/>
  <c r="Q251" i="6"/>
  <c r="O250" i="6"/>
  <c r="Q250" i="6"/>
  <c r="O246" i="6"/>
  <c r="Q246" i="6"/>
  <c r="O245" i="6"/>
  <c r="Q245" i="6"/>
  <c r="P244" i="6"/>
  <c r="O244" i="6"/>
  <c r="Q244" i="6"/>
  <c r="O243" i="6"/>
  <c r="Q243" i="6"/>
  <c r="P242" i="6"/>
  <c r="O242" i="6"/>
  <c r="Q242" i="6"/>
  <c r="P241" i="6"/>
  <c r="O241" i="6"/>
  <c r="Q241" i="6"/>
  <c r="P240" i="6"/>
  <c r="O240" i="6"/>
  <c r="Q240" i="6"/>
  <c r="P239" i="6"/>
  <c r="O239" i="6"/>
  <c r="Q239" i="6"/>
  <c r="P238" i="6"/>
  <c r="O238" i="6"/>
  <c r="Q238" i="6"/>
  <c r="Q259" i="6"/>
  <c r="Q281" i="6"/>
  <c r="Q424" i="6"/>
  <c r="Z424" i="6"/>
  <c r="Y424" i="6"/>
  <c r="S416" i="6"/>
  <c r="S417" i="6"/>
  <c r="S418" i="6"/>
  <c r="S420" i="6"/>
  <c r="Z423" i="6"/>
  <c r="Y423" i="6"/>
  <c r="Y421" i="6"/>
  <c r="U421" i="6"/>
  <c r="Y420" i="6"/>
  <c r="U420" i="6"/>
  <c r="W420" i="6"/>
  <c r="V420" i="6"/>
  <c r="Y418" i="6"/>
  <c r="U418" i="6"/>
  <c r="W418" i="6"/>
  <c r="V418" i="6"/>
  <c r="Y417" i="6"/>
  <c r="U417" i="6"/>
  <c r="W417" i="6"/>
  <c r="V417" i="6"/>
  <c r="Y416" i="6"/>
  <c r="U416" i="6"/>
  <c r="W416" i="6"/>
  <c r="V416" i="6"/>
  <c r="T415" i="6"/>
  <c r="U415" i="6"/>
  <c r="M410" i="6"/>
  <c r="Z401" i="6"/>
  <c r="Y401" i="6"/>
  <c r="S395" i="6"/>
  <c r="S397" i="6"/>
  <c r="S398" i="6"/>
  <c r="L399" i="6"/>
  <c r="O399" i="6"/>
  <c r="S399" i="6"/>
  <c r="S367" i="6"/>
  <c r="S357" i="6"/>
  <c r="S347" i="6"/>
  <c r="S339" i="6"/>
  <c r="S340" i="6"/>
  <c r="S341" i="6"/>
  <c r="S342" i="6"/>
  <c r="S346" i="6"/>
  <c r="S345" i="6"/>
  <c r="S344" i="6"/>
  <c r="S343" i="6"/>
  <c r="S348" i="6"/>
  <c r="S349" i="6"/>
  <c r="S350" i="6"/>
  <c r="S356" i="6"/>
  <c r="S355" i="6"/>
  <c r="S354" i="6"/>
  <c r="S353" i="6"/>
  <c r="S352" i="6"/>
  <c r="S351" i="6"/>
  <c r="S358" i="6"/>
  <c r="S359" i="6"/>
  <c r="S360" i="6"/>
  <c r="S366" i="6"/>
  <c r="S365" i="6"/>
  <c r="S364" i="6"/>
  <c r="S363" i="6"/>
  <c r="S362" i="6"/>
  <c r="S361" i="6"/>
  <c r="S368" i="6"/>
  <c r="S378" i="6"/>
  <c r="S389" i="6"/>
  <c r="S400" i="6"/>
  <c r="S401" i="6"/>
  <c r="Z400" i="6"/>
  <c r="Y400" i="6"/>
  <c r="U399" i="6"/>
  <c r="Y398" i="6"/>
  <c r="U398" i="6"/>
  <c r="W398" i="6"/>
  <c r="V398" i="6"/>
  <c r="Y397" i="6"/>
  <c r="U397" i="6"/>
  <c r="W397" i="6"/>
  <c r="V397" i="6"/>
  <c r="V396" i="6"/>
  <c r="Y395" i="6"/>
  <c r="U395" i="6"/>
  <c r="W395" i="6"/>
  <c r="V395" i="6"/>
  <c r="Y391" i="6"/>
  <c r="Z389" i="6"/>
  <c r="Y389" i="6"/>
  <c r="L388" i="6"/>
  <c r="O388" i="6"/>
  <c r="Q388" i="6"/>
  <c r="Y388" i="6"/>
  <c r="S388" i="6"/>
  <c r="U388" i="6"/>
  <c r="W388" i="6"/>
  <c r="V388" i="6"/>
  <c r="O387" i="6"/>
  <c r="S387" i="6"/>
  <c r="Y387" i="6"/>
  <c r="Q387" i="6"/>
  <c r="U387" i="6"/>
  <c r="W387" i="6"/>
  <c r="V387" i="6"/>
  <c r="L386" i="6"/>
  <c r="O386" i="6"/>
  <c r="Q386" i="6"/>
  <c r="S386" i="6"/>
  <c r="U386" i="6"/>
  <c r="W386" i="6"/>
  <c r="V386" i="6"/>
  <c r="L385" i="6"/>
  <c r="M385" i="6"/>
  <c r="O385" i="6"/>
  <c r="Q385" i="6"/>
  <c r="S385" i="6"/>
  <c r="U385" i="6"/>
  <c r="W385" i="6"/>
  <c r="V385" i="6"/>
  <c r="O384" i="6"/>
  <c r="Q384" i="6"/>
  <c r="Y384" i="6"/>
  <c r="S384" i="6"/>
  <c r="U384" i="6"/>
  <c r="W384" i="6"/>
  <c r="V384" i="6"/>
  <c r="Y383" i="6"/>
  <c r="Y382" i="6"/>
  <c r="O382" i="6"/>
  <c r="Y381" i="6"/>
  <c r="Y380" i="6"/>
  <c r="Y379" i="6"/>
  <c r="Z378" i="6"/>
  <c r="Y378" i="6"/>
  <c r="Y377" i="6"/>
  <c r="Y376" i="6"/>
  <c r="Y375" i="6"/>
  <c r="Y374" i="6"/>
  <c r="Y373" i="6"/>
  <c r="Y372" i="6"/>
  <c r="Y371" i="6"/>
  <c r="Y370" i="6"/>
  <c r="Y369" i="6"/>
  <c r="Z368" i="6"/>
  <c r="Y368" i="6"/>
  <c r="Y367" i="6"/>
  <c r="U367" i="6"/>
  <c r="W367" i="6"/>
  <c r="V367" i="6"/>
  <c r="Y366" i="6"/>
  <c r="U366" i="6"/>
  <c r="W366" i="6"/>
  <c r="V366" i="6"/>
  <c r="Y365" i="6"/>
  <c r="U365" i="6"/>
  <c r="W365" i="6"/>
  <c r="V365" i="6"/>
  <c r="Y364" i="6"/>
  <c r="U364" i="6"/>
  <c r="W364" i="6"/>
  <c r="V364" i="6"/>
  <c r="Y363" i="6"/>
  <c r="U363" i="6"/>
  <c r="W363" i="6"/>
  <c r="V363" i="6"/>
  <c r="Y362" i="6"/>
  <c r="U362" i="6"/>
  <c r="W362" i="6"/>
  <c r="V362" i="6"/>
  <c r="Y361" i="6"/>
  <c r="U361" i="6"/>
  <c r="W361" i="6"/>
  <c r="V361" i="6"/>
  <c r="Y360" i="6"/>
  <c r="U360" i="6"/>
  <c r="W360" i="6"/>
  <c r="V360" i="6"/>
  <c r="Y359" i="6"/>
  <c r="U359" i="6"/>
  <c r="W359" i="6"/>
  <c r="V359" i="6"/>
  <c r="Z358" i="6"/>
  <c r="Y358" i="6"/>
  <c r="Y357" i="6"/>
  <c r="U357" i="6"/>
  <c r="W357" i="6"/>
  <c r="V357" i="6"/>
  <c r="Y356" i="6"/>
  <c r="U356" i="6"/>
  <c r="W356" i="6"/>
  <c r="V356" i="6"/>
  <c r="Y355" i="6"/>
  <c r="U355" i="6"/>
  <c r="W355" i="6"/>
  <c r="V355" i="6"/>
  <c r="Y354" i="6"/>
  <c r="U354" i="6"/>
  <c r="W354" i="6"/>
  <c r="V354" i="6"/>
  <c r="Y353" i="6"/>
  <c r="U353" i="6"/>
  <c r="W353" i="6"/>
  <c r="V353" i="6"/>
  <c r="Y352" i="6"/>
  <c r="U352" i="6"/>
  <c r="W352" i="6"/>
  <c r="V352" i="6"/>
  <c r="Y351" i="6"/>
  <c r="U351" i="6"/>
  <c r="W351" i="6"/>
  <c r="V351" i="6"/>
  <c r="Y350" i="6"/>
  <c r="U350" i="6"/>
  <c r="W350" i="6"/>
  <c r="V350" i="6"/>
  <c r="Y349" i="6"/>
  <c r="U349" i="6"/>
  <c r="W349" i="6"/>
  <c r="V349" i="6"/>
  <c r="Z348" i="6"/>
  <c r="Y348" i="6"/>
  <c r="Y347" i="6"/>
  <c r="U347" i="6"/>
  <c r="W347" i="6"/>
  <c r="V347" i="6"/>
  <c r="Y346" i="6"/>
  <c r="U346" i="6"/>
  <c r="W346" i="6"/>
  <c r="V346" i="6"/>
  <c r="Y345" i="6"/>
  <c r="U345" i="6"/>
  <c r="W345" i="6"/>
  <c r="V345" i="6"/>
  <c r="Y344" i="6"/>
  <c r="U344" i="6"/>
  <c r="W344" i="6"/>
  <c r="V344" i="6"/>
  <c r="Y343" i="6"/>
  <c r="U343" i="6"/>
  <c r="W343" i="6"/>
  <c r="V343" i="6"/>
  <c r="Y342" i="6"/>
  <c r="U342" i="6"/>
  <c r="W342" i="6"/>
  <c r="V342" i="6"/>
  <c r="Y341" i="6"/>
  <c r="U341" i="6"/>
  <c r="W341" i="6"/>
  <c r="V341" i="6"/>
  <c r="Y340" i="6"/>
  <c r="U340" i="6"/>
  <c r="W340" i="6"/>
  <c r="V340" i="6"/>
  <c r="Y339" i="6"/>
  <c r="U339" i="6"/>
  <c r="W339" i="6"/>
  <c r="V339" i="6"/>
  <c r="Z336" i="6"/>
  <c r="Y336" i="6"/>
  <c r="S299" i="6"/>
  <c r="S300" i="6"/>
  <c r="S301" i="6"/>
  <c r="S302" i="6"/>
  <c r="S309" i="6"/>
  <c r="S312" i="6"/>
  <c r="S313" i="6"/>
  <c r="S314" i="6"/>
  <c r="S327" i="6"/>
  <c r="S336" i="6"/>
  <c r="M333" i="6"/>
  <c r="M332" i="6"/>
  <c r="Z327" i="6"/>
  <c r="Y327" i="6"/>
  <c r="Y326" i="6"/>
  <c r="Y325" i="6"/>
  <c r="Y324" i="6"/>
  <c r="Y314" i="6"/>
  <c r="U314" i="6"/>
  <c r="W314" i="6"/>
  <c r="V314" i="6"/>
  <c r="Y313" i="6"/>
  <c r="U313" i="6"/>
  <c r="W313" i="6"/>
  <c r="V313" i="6"/>
  <c r="Y312" i="6"/>
  <c r="U312" i="6"/>
  <c r="W312" i="6"/>
  <c r="V312" i="6"/>
  <c r="Z309" i="6"/>
  <c r="Y309" i="6"/>
  <c r="Y307" i="6"/>
  <c r="Y306" i="6"/>
  <c r="Y305" i="6"/>
  <c r="Y304" i="6"/>
  <c r="Y303" i="6"/>
  <c r="Y302" i="6"/>
  <c r="U302" i="6"/>
  <c r="W302" i="6"/>
  <c r="V302" i="6"/>
  <c r="Y301" i="6"/>
  <c r="U301" i="6"/>
  <c r="W301" i="6"/>
  <c r="V301" i="6"/>
  <c r="Y300" i="6"/>
  <c r="U300" i="6"/>
  <c r="W300" i="6"/>
  <c r="V300" i="6"/>
  <c r="Y299" i="6"/>
  <c r="U299" i="6"/>
  <c r="W299" i="6"/>
  <c r="V299" i="6"/>
  <c r="Z296" i="6"/>
  <c r="Y296" i="6"/>
  <c r="S281" i="6"/>
  <c r="S291" i="6"/>
  <c r="S293" i="6"/>
  <c r="S294" i="6"/>
  <c r="S296" i="6"/>
  <c r="Y294" i="6"/>
  <c r="U294" i="6"/>
  <c r="W294" i="6"/>
  <c r="V294" i="6"/>
  <c r="Y293" i="6"/>
  <c r="U293" i="6"/>
  <c r="W293" i="6"/>
  <c r="V293" i="6"/>
  <c r="Z291" i="6"/>
  <c r="Y291" i="6"/>
  <c r="M287" i="6"/>
  <c r="Y285" i="6"/>
  <c r="Y284" i="6"/>
  <c r="Y283" i="6"/>
  <c r="Z281" i="6"/>
  <c r="Y281" i="6"/>
  <c r="M274" i="6"/>
  <c r="M268" i="6"/>
  <c r="M267" i="6"/>
  <c r="M265" i="6"/>
  <c r="M262" i="6"/>
  <c r="Z259" i="6"/>
  <c r="Y259" i="6"/>
  <c r="S257" i="6"/>
  <c r="S258" i="6"/>
  <c r="S259" i="6"/>
  <c r="Y258" i="6"/>
  <c r="U258" i="6"/>
  <c r="W258" i="6"/>
  <c r="V258" i="6"/>
  <c r="Y257" i="6"/>
  <c r="U257" i="6"/>
  <c r="W257" i="6"/>
  <c r="V257" i="6"/>
  <c r="Y256" i="6"/>
  <c r="Y255" i="6"/>
  <c r="Y254" i="6"/>
  <c r="Y253" i="6"/>
  <c r="Y252" i="6"/>
  <c r="Y251" i="6"/>
  <c r="Y250" i="6"/>
  <c r="Y249" i="6"/>
  <c r="Y248" i="6"/>
  <c r="Y247" i="6"/>
  <c r="Y246" i="6"/>
  <c r="Y245" i="6"/>
  <c r="Y244" i="6"/>
  <c r="Y243" i="6"/>
  <c r="Y242" i="6"/>
  <c r="Y241" i="6"/>
  <c r="Y240" i="6"/>
  <c r="Y239" i="6"/>
  <c r="S239" i="6"/>
  <c r="W239" i="6"/>
  <c r="V239" i="6"/>
  <c r="U239" i="6"/>
  <c r="Y238" i="6"/>
  <c r="Y237" i="6"/>
  <c r="Y236" i="6"/>
  <c r="Y235" i="6"/>
  <c r="Y234" i="6"/>
  <c r="Z232" i="6"/>
  <c r="Y232" i="6"/>
  <c r="S227" i="6"/>
  <c r="S232" i="6"/>
  <c r="Y231" i="6"/>
  <c r="Y230" i="6"/>
  <c r="Y229" i="6"/>
  <c r="Y228" i="6"/>
  <c r="Y227" i="6"/>
  <c r="U227" i="6"/>
  <c r="W227" i="6"/>
  <c r="V227" i="6"/>
  <c r="Y226" i="6"/>
  <c r="Y225" i="6"/>
  <c r="Y224" i="6"/>
  <c r="Y223" i="6"/>
  <c r="Y222" i="6"/>
  <c r="Y221" i="6"/>
  <c r="Y220" i="6"/>
  <c r="S220" i="6"/>
  <c r="U220" i="6"/>
  <c r="W220" i="6"/>
  <c r="V220" i="6"/>
  <c r="Y219" i="6"/>
  <c r="S219" i="6"/>
  <c r="U219" i="6"/>
  <c r="W219" i="6"/>
  <c r="V219" i="6"/>
  <c r="Y218" i="6"/>
  <c r="Y217" i="6"/>
  <c r="S217" i="6"/>
  <c r="U217" i="6"/>
  <c r="W217" i="6"/>
  <c r="V217" i="6"/>
  <c r="Y216" i="6"/>
  <c r="Y215" i="6"/>
  <c r="S215" i="6"/>
  <c r="U215" i="6"/>
  <c r="W215" i="6"/>
  <c r="V215" i="6"/>
  <c r="Y214" i="6"/>
  <c r="S214" i="6"/>
  <c r="U214" i="6"/>
  <c r="W214" i="6"/>
  <c r="V214" i="6"/>
  <c r="Y213" i="6"/>
  <c r="S213" i="6"/>
  <c r="U213" i="6"/>
  <c r="W213" i="6"/>
  <c r="V213" i="6"/>
  <c r="Y212" i="6"/>
  <c r="Y211" i="6"/>
  <c r="S211" i="6"/>
  <c r="U211" i="6"/>
  <c r="W211" i="6"/>
  <c r="V211" i="6"/>
  <c r="Y210" i="6"/>
  <c r="Y209" i="6"/>
  <c r="S209" i="6"/>
  <c r="U209" i="6"/>
  <c r="W209" i="6"/>
  <c r="V209" i="6"/>
  <c r="Y208" i="6"/>
  <c r="Y207" i="6"/>
  <c r="Y206" i="6"/>
  <c r="Y205" i="6"/>
  <c r="Y204" i="6"/>
  <c r="Y203" i="6"/>
  <c r="Z200" i="6"/>
  <c r="Y200" i="6"/>
  <c r="S189" i="6"/>
  <c r="S190" i="6"/>
  <c r="S191" i="6"/>
  <c r="S183" i="6"/>
  <c r="S184" i="6"/>
  <c r="S185" i="6"/>
  <c r="S186" i="6"/>
  <c r="S177" i="6"/>
  <c r="S178" i="6"/>
  <c r="S179" i="6"/>
  <c r="S180" i="6"/>
  <c r="S182" i="6"/>
  <c r="S170" i="6"/>
  <c r="S173" i="6"/>
  <c r="S163" i="6"/>
  <c r="S164" i="6"/>
  <c r="S165" i="6"/>
  <c r="S166" i="6"/>
  <c r="S169" i="6"/>
  <c r="S168" i="6"/>
  <c r="S167" i="6"/>
  <c r="S174" i="6"/>
  <c r="S175" i="6"/>
  <c r="S181" i="6"/>
  <c r="S187" i="6"/>
  <c r="S194" i="6"/>
  <c r="Z199" i="6"/>
  <c r="Y199" i="6"/>
  <c r="Y198" i="6"/>
  <c r="Y197" i="6"/>
  <c r="U197" i="6"/>
  <c r="M195" i="6"/>
  <c r="M196" i="6"/>
  <c r="Z194" i="6"/>
  <c r="Y194" i="6"/>
  <c r="Y192" i="6"/>
  <c r="Y191" i="6"/>
  <c r="U191" i="6"/>
  <c r="W191" i="6"/>
  <c r="V191" i="6"/>
  <c r="Y190" i="6"/>
  <c r="U190" i="6"/>
  <c r="W190" i="6"/>
  <c r="V190" i="6"/>
  <c r="Y189" i="6"/>
  <c r="U189" i="6"/>
  <c r="W189" i="6"/>
  <c r="V189" i="6"/>
  <c r="Z187" i="6"/>
  <c r="Y187" i="6"/>
  <c r="Y186" i="6"/>
  <c r="U186" i="6"/>
  <c r="W186" i="6"/>
  <c r="V186" i="6"/>
  <c r="Y185" i="6"/>
  <c r="U185" i="6"/>
  <c r="W185" i="6"/>
  <c r="V185" i="6"/>
  <c r="Y184" i="6"/>
  <c r="U184" i="6"/>
  <c r="W184" i="6"/>
  <c r="V184" i="6"/>
  <c r="Y183" i="6"/>
  <c r="U183" i="6"/>
  <c r="W183" i="6"/>
  <c r="V183" i="6"/>
  <c r="Y182" i="6"/>
  <c r="U182" i="6"/>
  <c r="W182" i="6"/>
  <c r="V182" i="6"/>
  <c r="Z181" i="6"/>
  <c r="Y181" i="6"/>
  <c r="Y180" i="6"/>
  <c r="U180" i="6"/>
  <c r="W180" i="6"/>
  <c r="V180" i="6"/>
  <c r="Y179" i="6"/>
  <c r="U179" i="6"/>
  <c r="W179" i="6"/>
  <c r="V179" i="6"/>
  <c r="Y178" i="6"/>
  <c r="U178" i="6"/>
  <c r="W178" i="6"/>
  <c r="V178" i="6"/>
  <c r="Y177" i="6"/>
  <c r="U177" i="6"/>
  <c r="W177" i="6"/>
  <c r="V177" i="6"/>
  <c r="Z175" i="6"/>
  <c r="Y175" i="6"/>
  <c r="Z174" i="6"/>
  <c r="Y174" i="6"/>
  <c r="Y173" i="6"/>
  <c r="U173" i="6"/>
  <c r="W173" i="6"/>
  <c r="V173" i="6"/>
  <c r="Y172" i="6"/>
  <c r="Y171" i="6"/>
  <c r="Y170" i="6"/>
  <c r="U170" i="6"/>
  <c r="W170" i="6"/>
  <c r="V170" i="6"/>
  <c r="Y169" i="6"/>
  <c r="U169" i="6"/>
  <c r="W169" i="6"/>
  <c r="V169" i="6"/>
  <c r="Y168" i="6"/>
  <c r="U168" i="6"/>
  <c r="W168" i="6"/>
  <c r="V168" i="6"/>
  <c r="Y167" i="6"/>
  <c r="U167" i="6"/>
  <c r="W167" i="6"/>
  <c r="V167" i="6"/>
  <c r="Y166" i="6"/>
  <c r="U166" i="6"/>
  <c r="W166" i="6"/>
  <c r="V166" i="6"/>
  <c r="Y165" i="6"/>
  <c r="U165" i="6"/>
  <c r="W165" i="6"/>
  <c r="V165" i="6"/>
  <c r="Y164" i="6"/>
  <c r="U164" i="6"/>
  <c r="W164" i="6"/>
  <c r="V164" i="6"/>
  <c r="Y163" i="6"/>
  <c r="U163" i="6"/>
  <c r="W163" i="6"/>
  <c r="V163" i="6"/>
  <c r="Y162" i="6"/>
  <c r="S162" i="6"/>
  <c r="U162" i="6"/>
  <c r="W162" i="6"/>
  <c r="V162" i="6"/>
  <c r="S161" i="6"/>
  <c r="U161" i="6"/>
  <c r="W161" i="6"/>
  <c r="V161" i="6"/>
  <c r="S160" i="6"/>
  <c r="U160" i="6"/>
  <c r="W160" i="6"/>
  <c r="V160" i="6"/>
  <c r="S159" i="6"/>
  <c r="U159" i="6"/>
  <c r="W159" i="6"/>
  <c r="V159" i="6"/>
  <c r="S158" i="6"/>
  <c r="U158" i="6"/>
  <c r="W158" i="6"/>
  <c r="V158" i="6"/>
  <c r="S157" i="6"/>
  <c r="U157" i="6"/>
  <c r="W157" i="6"/>
  <c r="V157" i="6"/>
  <c r="S156" i="6"/>
  <c r="U156" i="6"/>
  <c r="W156" i="6"/>
  <c r="V156" i="6"/>
  <c r="S155" i="6"/>
  <c r="U155" i="6"/>
  <c r="W155" i="6"/>
  <c r="V155" i="6"/>
  <c r="S154" i="6"/>
  <c r="U154" i="6"/>
  <c r="W154" i="6"/>
  <c r="V154" i="6"/>
  <c r="S153" i="6"/>
  <c r="U153" i="6"/>
  <c r="W153" i="6"/>
  <c r="V153" i="6"/>
  <c r="S152" i="6"/>
  <c r="U152" i="6"/>
  <c r="W152" i="6"/>
  <c r="V152" i="6"/>
  <c r="M151" i="6"/>
  <c r="M150" i="6"/>
  <c r="M149" i="6"/>
  <c r="M148" i="6"/>
  <c r="M147" i="6"/>
  <c r="M146" i="6"/>
  <c r="M139" i="6"/>
  <c r="M138" i="6"/>
  <c r="M137" i="6"/>
  <c r="M136" i="6"/>
  <c r="M135" i="6"/>
  <c r="M134" i="6"/>
  <c r="M130" i="6"/>
  <c r="Z127" i="6"/>
  <c r="Y127" i="6"/>
  <c r="S116" i="6"/>
  <c r="S117" i="6"/>
  <c r="S118" i="6"/>
  <c r="S119" i="6"/>
  <c r="S126" i="6"/>
  <c r="S125" i="6"/>
  <c r="S124" i="6"/>
  <c r="S123" i="6"/>
  <c r="S122" i="6"/>
  <c r="S121" i="6"/>
  <c r="S120" i="6"/>
  <c r="S127" i="6"/>
  <c r="Y126" i="6"/>
  <c r="U126" i="6"/>
  <c r="W126" i="6"/>
  <c r="V126" i="6"/>
  <c r="Y125" i="6"/>
  <c r="U125" i="6"/>
  <c r="W125" i="6"/>
  <c r="V125" i="6"/>
  <c r="Y124" i="6"/>
  <c r="U124" i="6"/>
  <c r="W124" i="6"/>
  <c r="V124" i="6"/>
  <c r="Y123" i="6"/>
  <c r="U123" i="6"/>
  <c r="W123" i="6"/>
  <c r="V123" i="6"/>
  <c r="Y122" i="6"/>
  <c r="U122" i="6"/>
  <c r="W122" i="6"/>
  <c r="V122" i="6"/>
  <c r="Y121" i="6"/>
  <c r="U121" i="6"/>
  <c r="W121" i="6"/>
  <c r="V121" i="6"/>
  <c r="Y120" i="6"/>
  <c r="U120" i="6"/>
  <c r="W120" i="6"/>
  <c r="V120" i="6"/>
  <c r="Y119" i="6"/>
  <c r="U119" i="6"/>
  <c r="W119" i="6"/>
  <c r="V119" i="6"/>
  <c r="Y118" i="6"/>
  <c r="U118" i="6"/>
  <c r="W118" i="6"/>
  <c r="V118" i="6"/>
  <c r="Y117" i="6"/>
  <c r="U117" i="6"/>
  <c r="W117" i="6"/>
  <c r="V117" i="6"/>
  <c r="Y116" i="6"/>
  <c r="U116" i="6"/>
  <c r="W116" i="6"/>
  <c r="V116" i="6"/>
  <c r="Y115" i="6"/>
  <c r="S115" i="6"/>
  <c r="U115" i="6"/>
  <c r="W115" i="6"/>
  <c r="V115" i="6"/>
  <c r="M114" i="6"/>
  <c r="Z111" i="6"/>
  <c r="Y111" i="6"/>
  <c r="S108" i="6"/>
  <c r="S109" i="6"/>
  <c r="S110" i="6"/>
  <c r="S111" i="6"/>
  <c r="Y110" i="6"/>
  <c r="U110" i="6"/>
  <c r="W110" i="6"/>
  <c r="V110" i="6"/>
  <c r="Y109" i="6"/>
  <c r="U109" i="6"/>
  <c r="W109" i="6"/>
  <c r="V109" i="6"/>
  <c r="Y108" i="6"/>
  <c r="U108" i="6"/>
  <c r="W108" i="6"/>
  <c r="V108" i="6"/>
  <c r="Z85" i="6"/>
  <c r="Y85" i="6"/>
  <c r="S73" i="6"/>
  <c r="S74" i="6"/>
  <c r="S75" i="6"/>
  <c r="S76" i="6"/>
  <c r="S84" i="6"/>
  <c r="S83" i="6"/>
  <c r="S82" i="6"/>
  <c r="S81" i="6"/>
  <c r="S80" i="6"/>
  <c r="S79" i="6"/>
  <c r="S78" i="6"/>
  <c r="S85" i="6"/>
  <c r="Y84" i="6"/>
  <c r="U84" i="6"/>
  <c r="W84" i="6"/>
  <c r="V84" i="6"/>
  <c r="Y83" i="6"/>
  <c r="U83" i="6"/>
  <c r="W83" i="6"/>
  <c r="V83" i="6"/>
  <c r="Y82" i="6"/>
  <c r="U82" i="6"/>
  <c r="W82" i="6"/>
  <c r="V82" i="6"/>
  <c r="Y81" i="6"/>
  <c r="U81" i="6"/>
  <c r="W81" i="6"/>
  <c r="V81" i="6"/>
  <c r="Y80" i="6"/>
  <c r="U80" i="6"/>
  <c r="W80" i="6"/>
  <c r="V80" i="6"/>
  <c r="Y79" i="6"/>
  <c r="U79" i="6"/>
  <c r="W79" i="6"/>
  <c r="V79" i="6"/>
  <c r="Y78" i="6"/>
  <c r="U78" i="6"/>
  <c r="W78" i="6"/>
  <c r="V78" i="6"/>
  <c r="Y77" i="6"/>
  <c r="Y76" i="6"/>
  <c r="U76" i="6"/>
  <c r="W76" i="6"/>
  <c r="V76" i="6"/>
  <c r="Y75" i="6"/>
  <c r="U75" i="6"/>
  <c r="W75" i="6"/>
  <c r="V75" i="6"/>
  <c r="Y74" i="6"/>
  <c r="U74" i="6"/>
  <c r="W74" i="6"/>
  <c r="V74" i="6"/>
  <c r="Y73" i="6"/>
  <c r="U73" i="6"/>
  <c r="W73" i="6"/>
  <c r="V73" i="6"/>
  <c r="Z71" i="6"/>
  <c r="Y71" i="6"/>
  <c r="S60" i="6"/>
  <c r="O38" i="6"/>
  <c r="S38" i="6"/>
  <c r="S44" i="6"/>
  <c r="S47" i="6"/>
  <c r="O48" i="6"/>
  <c r="S48" i="6"/>
  <c r="O49" i="6"/>
  <c r="S49" i="6"/>
  <c r="S57" i="6"/>
  <c r="S63" i="6"/>
  <c r="S67" i="6"/>
  <c r="S71" i="6"/>
  <c r="Y69" i="6"/>
  <c r="Y68" i="6"/>
  <c r="Y67" i="6"/>
  <c r="U67" i="6"/>
  <c r="W67" i="6"/>
  <c r="V67" i="6"/>
  <c r="Z63" i="6"/>
  <c r="Y63" i="6"/>
  <c r="Y62" i="6"/>
  <c r="Y61" i="6"/>
  <c r="Y60" i="6"/>
  <c r="U60" i="6"/>
  <c r="W60" i="6"/>
  <c r="V60" i="6"/>
  <c r="Z57" i="6"/>
  <c r="Y57" i="6"/>
  <c r="M53" i="6"/>
  <c r="Q49" i="6"/>
  <c r="U49" i="6"/>
  <c r="W49" i="6"/>
  <c r="V49" i="6"/>
  <c r="Q48" i="6"/>
  <c r="U48" i="6"/>
  <c r="W48" i="6"/>
  <c r="V48" i="6"/>
  <c r="Z47" i="6"/>
  <c r="Y47" i="6"/>
  <c r="Y46" i="6"/>
  <c r="Y45" i="6"/>
  <c r="Y44" i="6"/>
  <c r="U44" i="6"/>
  <c r="W44" i="6"/>
  <c r="V44" i="6"/>
  <c r="Q38" i="6"/>
  <c r="U38" i="6"/>
  <c r="W38" i="6"/>
  <c r="V38" i="6"/>
  <c r="S35" i="6"/>
  <c r="Q35" i="5"/>
  <c r="O38" i="5"/>
  <c r="Q38" i="5"/>
  <c r="O47" i="5"/>
  <c r="Q47" i="5"/>
  <c r="O48" i="5"/>
  <c r="Q48" i="5"/>
  <c r="Q56" i="5"/>
  <c r="O59" i="5"/>
  <c r="Q59" i="5"/>
  <c r="O60" i="5"/>
  <c r="Q60" i="5"/>
  <c r="M61" i="5"/>
  <c r="O61" i="5"/>
  <c r="Q61" i="5"/>
  <c r="Q69" i="5"/>
  <c r="O71" i="5"/>
  <c r="Q71" i="5"/>
  <c r="O72" i="5"/>
  <c r="Q72" i="5"/>
  <c r="M73" i="5"/>
  <c r="O73" i="5"/>
  <c r="Q73" i="5"/>
  <c r="O74" i="5"/>
  <c r="Q74" i="5"/>
  <c r="M82" i="5"/>
  <c r="O82" i="5"/>
  <c r="Q82" i="5"/>
  <c r="M81" i="5"/>
  <c r="O81" i="5"/>
  <c r="Q81" i="5"/>
  <c r="M80" i="5"/>
  <c r="O80" i="5"/>
  <c r="Q80" i="5"/>
  <c r="M79" i="5"/>
  <c r="O79" i="5"/>
  <c r="Q79" i="5"/>
  <c r="M78" i="5"/>
  <c r="O78" i="5"/>
  <c r="Q78" i="5"/>
  <c r="M77" i="5"/>
  <c r="O77" i="5"/>
  <c r="Q77" i="5"/>
  <c r="M76" i="5"/>
  <c r="O76" i="5"/>
  <c r="Q76" i="5"/>
  <c r="O75" i="5"/>
  <c r="Q75" i="5"/>
  <c r="Q83" i="5"/>
  <c r="O106" i="5"/>
  <c r="Q106" i="5"/>
  <c r="M107" i="5"/>
  <c r="O107" i="5"/>
  <c r="Q107" i="5"/>
  <c r="M108" i="5"/>
  <c r="O108" i="5"/>
  <c r="Q108" i="5"/>
  <c r="Q109" i="5"/>
  <c r="O113" i="5"/>
  <c r="Q113" i="5"/>
  <c r="O114" i="5"/>
  <c r="Q114" i="5"/>
  <c r="M115" i="5"/>
  <c r="O115" i="5"/>
  <c r="Q115" i="5"/>
  <c r="O116" i="5"/>
  <c r="Q116" i="5"/>
  <c r="M124" i="5"/>
  <c r="O124" i="5"/>
  <c r="Q124" i="5"/>
  <c r="M123" i="5"/>
  <c r="O123" i="5"/>
  <c r="Q123" i="5"/>
  <c r="M122" i="5"/>
  <c r="O122" i="5"/>
  <c r="Q122" i="5"/>
  <c r="M121" i="5"/>
  <c r="O121" i="5"/>
  <c r="Q121" i="5"/>
  <c r="M120" i="5"/>
  <c r="O120" i="5"/>
  <c r="Q120" i="5"/>
  <c r="M119" i="5"/>
  <c r="O119" i="5"/>
  <c r="Q119" i="5"/>
  <c r="M118" i="5"/>
  <c r="O118" i="5"/>
  <c r="Q118" i="5"/>
  <c r="O117" i="5"/>
  <c r="Q117" i="5"/>
  <c r="Q125" i="5"/>
  <c r="O150" i="5"/>
  <c r="Q150" i="5"/>
  <c r="O151" i="5"/>
  <c r="Q151" i="5"/>
  <c r="O152" i="5"/>
  <c r="Q152" i="5"/>
  <c r="O153" i="5"/>
  <c r="Q153" i="5"/>
  <c r="M171" i="5"/>
  <c r="O171" i="5"/>
  <c r="Q171" i="5"/>
  <c r="M168" i="5"/>
  <c r="O168" i="5"/>
  <c r="Q168" i="5"/>
  <c r="M167" i="5"/>
  <c r="O167" i="5"/>
  <c r="Q167" i="5"/>
  <c r="M166" i="5"/>
  <c r="O166" i="5"/>
  <c r="Q166" i="5"/>
  <c r="M165" i="5"/>
  <c r="O165" i="5"/>
  <c r="Q165" i="5"/>
  <c r="M164" i="5"/>
  <c r="O164" i="5"/>
  <c r="Q164" i="5"/>
  <c r="M163" i="5"/>
  <c r="O163" i="5"/>
  <c r="Q163" i="5"/>
  <c r="O162" i="5"/>
  <c r="Q162" i="5"/>
  <c r="O161" i="5"/>
  <c r="Q161" i="5"/>
  <c r="O160" i="5"/>
  <c r="Q160" i="5"/>
  <c r="M159" i="5"/>
  <c r="O159" i="5"/>
  <c r="Q159" i="5"/>
  <c r="M158" i="5"/>
  <c r="O158" i="5"/>
  <c r="Q158" i="5"/>
  <c r="M157" i="5"/>
  <c r="O157" i="5"/>
  <c r="Q157" i="5"/>
  <c r="M156" i="5"/>
  <c r="O156" i="5"/>
  <c r="Q156" i="5"/>
  <c r="M155" i="5"/>
  <c r="O155" i="5"/>
  <c r="Q155" i="5"/>
  <c r="O154" i="5"/>
  <c r="Q154" i="5"/>
  <c r="Q172" i="5"/>
  <c r="Q173" i="5"/>
  <c r="O179" i="5"/>
  <c r="Q179" i="5"/>
  <c r="M180" i="5"/>
  <c r="O180" i="5"/>
  <c r="Q180" i="5"/>
  <c r="M181" i="5"/>
  <c r="O181" i="5"/>
  <c r="Q181" i="5"/>
  <c r="M182" i="5"/>
  <c r="O182" i="5"/>
  <c r="Q182" i="5"/>
  <c r="M183" i="5"/>
  <c r="O183" i="5"/>
  <c r="Q183" i="5"/>
  <c r="Q184" i="5"/>
  <c r="L186" i="5"/>
  <c r="O186" i="5"/>
  <c r="Q186" i="5"/>
  <c r="L187" i="5"/>
  <c r="O187" i="5"/>
  <c r="Q187" i="5"/>
  <c r="L188" i="5"/>
  <c r="O188" i="5"/>
  <c r="Q188" i="5"/>
  <c r="L189" i="5"/>
  <c r="M189" i="5"/>
  <c r="O189" i="5"/>
  <c r="Q189" i="5"/>
  <c r="Q191" i="5"/>
  <c r="O194" i="5"/>
  <c r="Q194" i="5"/>
  <c r="M195" i="5"/>
  <c r="O195" i="5"/>
  <c r="Q195" i="5"/>
  <c r="Q196" i="5"/>
  <c r="Q197" i="5"/>
  <c r="M418" i="5"/>
  <c r="O418" i="5"/>
  <c r="Q418" i="5"/>
  <c r="O419" i="5"/>
  <c r="Q419" i="5"/>
  <c r="O420" i="5"/>
  <c r="Q420" i="5"/>
  <c r="M422" i="5"/>
  <c r="O422" i="5"/>
  <c r="Q422" i="5"/>
  <c r="O423" i="5"/>
  <c r="Q423" i="5"/>
  <c r="Q425" i="5"/>
  <c r="O340" i="5"/>
  <c r="Q340" i="5"/>
  <c r="N341" i="5"/>
  <c r="O341" i="5"/>
  <c r="Q341" i="5"/>
  <c r="M342" i="5"/>
  <c r="N342" i="5"/>
  <c r="O342" i="5"/>
  <c r="Q342" i="5"/>
  <c r="N343" i="5"/>
  <c r="M343" i="5"/>
  <c r="O343" i="5"/>
  <c r="Q343" i="5"/>
  <c r="M348" i="5"/>
  <c r="N344" i="5"/>
  <c r="N345" i="5"/>
  <c r="N346" i="5"/>
  <c r="N347" i="5"/>
  <c r="N348" i="5"/>
  <c r="O348" i="5"/>
  <c r="Q348" i="5"/>
  <c r="M347" i="5"/>
  <c r="O347" i="5"/>
  <c r="Q347" i="5"/>
  <c r="M346" i="5"/>
  <c r="O346" i="5"/>
  <c r="Q346" i="5"/>
  <c r="M345" i="5"/>
  <c r="O345" i="5"/>
  <c r="Q345" i="5"/>
  <c r="M344" i="5"/>
  <c r="O344" i="5"/>
  <c r="Q344" i="5"/>
  <c r="Q349" i="5"/>
  <c r="O350" i="5"/>
  <c r="Q350" i="5"/>
  <c r="N351" i="5"/>
  <c r="O351" i="5"/>
  <c r="Q351" i="5"/>
  <c r="M352" i="5"/>
  <c r="N352" i="5"/>
  <c r="O352" i="5"/>
  <c r="Q352" i="5"/>
  <c r="N353" i="5"/>
  <c r="M353" i="5"/>
  <c r="O353" i="5"/>
  <c r="Q353" i="5"/>
  <c r="M358" i="5"/>
  <c r="O358" i="5"/>
  <c r="Q358" i="5"/>
  <c r="N354" i="5"/>
  <c r="N355" i="5"/>
  <c r="N356" i="5"/>
  <c r="N357" i="5"/>
  <c r="M357" i="5"/>
  <c r="O357" i="5"/>
  <c r="Q357" i="5"/>
  <c r="M356" i="5"/>
  <c r="O356" i="5"/>
  <c r="Q356" i="5"/>
  <c r="M355" i="5"/>
  <c r="O355" i="5"/>
  <c r="Q355" i="5"/>
  <c r="M354" i="5"/>
  <c r="O354" i="5"/>
  <c r="Q354" i="5"/>
  <c r="Q359" i="5"/>
  <c r="O360" i="5"/>
  <c r="Q360" i="5"/>
  <c r="N361" i="5"/>
  <c r="O361" i="5"/>
  <c r="Q361" i="5"/>
  <c r="M362" i="5"/>
  <c r="N362" i="5"/>
  <c r="O362" i="5"/>
  <c r="Q362" i="5"/>
  <c r="N363" i="5"/>
  <c r="M363" i="5"/>
  <c r="O363" i="5"/>
  <c r="Q363" i="5"/>
  <c r="M368" i="5"/>
  <c r="O368" i="5"/>
  <c r="Q368" i="5"/>
  <c r="N364" i="5"/>
  <c r="N365" i="5"/>
  <c r="N366" i="5"/>
  <c r="N367" i="5"/>
  <c r="M367" i="5"/>
  <c r="O367" i="5"/>
  <c r="Q367" i="5"/>
  <c r="M366" i="5"/>
  <c r="O366" i="5"/>
  <c r="Q366" i="5"/>
  <c r="M365" i="5"/>
  <c r="O365" i="5"/>
  <c r="Q365" i="5"/>
  <c r="M364" i="5"/>
  <c r="O364" i="5"/>
  <c r="Q364" i="5"/>
  <c r="Q369" i="5"/>
  <c r="O370" i="5"/>
  <c r="Q370" i="5"/>
  <c r="N371" i="5"/>
  <c r="O371" i="5"/>
  <c r="Q371" i="5"/>
  <c r="M372" i="5"/>
  <c r="N372" i="5"/>
  <c r="O372" i="5"/>
  <c r="Q372" i="5"/>
  <c r="N373" i="5"/>
  <c r="M373" i="5"/>
  <c r="O373" i="5"/>
  <c r="Q373" i="5"/>
  <c r="M378" i="5"/>
  <c r="O378" i="5"/>
  <c r="Q378" i="5"/>
  <c r="N374" i="5"/>
  <c r="N375" i="5"/>
  <c r="N376" i="5"/>
  <c r="N377" i="5"/>
  <c r="M377" i="5"/>
  <c r="O377" i="5"/>
  <c r="Q377" i="5"/>
  <c r="M376" i="5"/>
  <c r="O376" i="5"/>
  <c r="Q376" i="5"/>
  <c r="M375" i="5"/>
  <c r="O375" i="5"/>
  <c r="Q375" i="5"/>
  <c r="M374" i="5"/>
  <c r="O374" i="5"/>
  <c r="Q374" i="5"/>
  <c r="Q380" i="5"/>
  <c r="L397" i="5"/>
  <c r="O397" i="5"/>
  <c r="Q397" i="5"/>
  <c r="L399" i="5"/>
  <c r="O399" i="5"/>
  <c r="Q399" i="5"/>
  <c r="L400" i="5"/>
  <c r="O400" i="5"/>
  <c r="Q400" i="5"/>
  <c r="L401" i="5"/>
  <c r="O401" i="5"/>
  <c r="Q401" i="5"/>
  <c r="Q402" i="5"/>
  <c r="O381" i="5"/>
  <c r="Q381" i="5"/>
  <c r="M382" i="5"/>
  <c r="O382" i="5"/>
  <c r="Q382" i="5"/>
  <c r="O383" i="5"/>
  <c r="Q383" i="5"/>
  <c r="O384" i="5"/>
  <c r="Q384" i="5"/>
  <c r="O385" i="5"/>
  <c r="Q385" i="5"/>
  <c r="Q391" i="5"/>
  <c r="Q403" i="5"/>
  <c r="O296" i="5"/>
  <c r="Q296" i="5"/>
  <c r="O297" i="5"/>
  <c r="Q297" i="5"/>
  <c r="Q298" i="5"/>
  <c r="O301" i="5"/>
  <c r="Q301" i="5"/>
  <c r="O302" i="5"/>
  <c r="Q302" i="5"/>
  <c r="O303" i="5"/>
  <c r="Q303" i="5"/>
  <c r="M304" i="5"/>
  <c r="O304" i="5"/>
  <c r="Q304" i="5"/>
  <c r="M309" i="5"/>
  <c r="O309" i="5"/>
  <c r="Q309" i="5"/>
  <c r="M308" i="5"/>
  <c r="O308" i="5"/>
  <c r="Q308" i="5"/>
  <c r="M307" i="5"/>
  <c r="O307" i="5"/>
  <c r="Q307" i="5"/>
  <c r="M306" i="5"/>
  <c r="O306" i="5"/>
  <c r="Q306" i="5"/>
  <c r="O305" i="5"/>
  <c r="Q305" i="5"/>
  <c r="Q311" i="5"/>
  <c r="O314" i="5"/>
  <c r="Q314" i="5"/>
  <c r="M315" i="5"/>
  <c r="O315" i="5"/>
  <c r="Q315" i="5"/>
  <c r="M316" i="5"/>
  <c r="O316" i="5"/>
  <c r="Q316" i="5"/>
  <c r="O317" i="5"/>
  <c r="Q317" i="5"/>
  <c r="M327" i="5"/>
  <c r="O327" i="5"/>
  <c r="Q327" i="5"/>
  <c r="O326" i="5"/>
  <c r="Q326" i="5"/>
  <c r="M325" i="5"/>
  <c r="O325" i="5"/>
  <c r="Q325" i="5"/>
  <c r="M324" i="5"/>
  <c r="O324" i="5"/>
  <c r="Q324" i="5"/>
  <c r="M323" i="5"/>
  <c r="O323" i="5"/>
  <c r="Q323" i="5"/>
  <c r="M322" i="5"/>
  <c r="O322" i="5"/>
  <c r="Q322" i="5"/>
  <c r="M321" i="5"/>
  <c r="O321" i="5"/>
  <c r="Q321" i="5"/>
  <c r="O320" i="5"/>
  <c r="Q320" i="5"/>
  <c r="M319" i="5"/>
  <c r="O319" i="5"/>
  <c r="Q319" i="5"/>
  <c r="O318" i="5"/>
  <c r="Q318" i="5"/>
  <c r="Q328" i="5"/>
  <c r="Q337" i="5"/>
  <c r="L286" i="5"/>
  <c r="O286" i="5"/>
  <c r="Q286" i="5"/>
  <c r="L288" i="5"/>
  <c r="O288" i="5"/>
  <c r="Q288" i="5"/>
  <c r="Q294" i="5"/>
  <c r="O200" i="5"/>
  <c r="Q200" i="5"/>
  <c r="O201" i="5"/>
  <c r="Q201" i="5"/>
  <c r="M202" i="5"/>
  <c r="O202" i="5"/>
  <c r="Q202" i="5"/>
  <c r="O203" i="5"/>
  <c r="Q203" i="5"/>
  <c r="M228" i="5"/>
  <c r="O228" i="5"/>
  <c r="Q228" i="5"/>
  <c r="M227" i="5"/>
  <c r="O227" i="5"/>
  <c r="Q227" i="5"/>
  <c r="O226" i="5"/>
  <c r="Q226" i="5"/>
  <c r="M225" i="5"/>
  <c r="O225" i="5"/>
  <c r="Q225" i="5"/>
  <c r="O224" i="5"/>
  <c r="Q224" i="5"/>
  <c r="M223" i="5"/>
  <c r="O223" i="5"/>
  <c r="Q223" i="5"/>
  <c r="M222" i="5"/>
  <c r="O222" i="5"/>
  <c r="Q222" i="5"/>
  <c r="O221" i="5"/>
  <c r="Q221" i="5"/>
  <c r="M220" i="5"/>
  <c r="O220" i="5"/>
  <c r="Q220" i="5"/>
  <c r="Q219" i="5"/>
  <c r="O218" i="5"/>
  <c r="Q218" i="5"/>
  <c r="M217" i="5"/>
  <c r="O217" i="5"/>
  <c r="Q217" i="5"/>
  <c r="M216" i="5"/>
  <c r="O216" i="5"/>
  <c r="Q216" i="5"/>
  <c r="O215" i="5"/>
  <c r="Q215" i="5"/>
  <c r="M214" i="5"/>
  <c r="O214" i="5"/>
  <c r="Q214" i="5"/>
  <c r="O212" i="5"/>
  <c r="Q212" i="5"/>
  <c r="M211" i="5"/>
  <c r="O211" i="5"/>
  <c r="Q211" i="5"/>
  <c r="M210" i="5"/>
  <c r="O210" i="5"/>
  <c r="Q210" i="5"/>
  <c r="O209" i="5"/>
  <c r="Q209" i="5"/>
  <c r="M208" i="5"/>
  <c r="O208" i="5"/>
  <c r="Q208" i="5"/>
  <c r="O206" i="5"/>
  <c r="Q206" i="5"/>
  <c r="M205" i="5"/>
  <c r="O205" i="5"/>
  <c r="Q205" i="5"/>
  <c r="M204" i="5"/>
  <c r="O204" i="5"/>
  <c r="Q204" i="5"/>
  <c r="Q235" i="5"/>
  <c r="P239" i="5"/>
  <c r="O239" i="5"/>
  <c r="Q239" i="5"/>
  <c r="P240" i="5"/>
  <c r="O240" i="5"/>
  <c r="Q240" i="5"/>
  <c r="P241" i="5"/>
  <c r="O241" i="5"/>
  <c r="Q241" i="5"/>
  <c r="P242" i="5"/>
  <c r="O242" i="5"/>
  <c r="Q242" i="5"/>
  <c r="O261" i="5"/>
  <c r="Q261" i="5"/>
  <c r="O260" i="5"/>
  <c r="Q260" i="5"/>
  <c r="O259" i="5"/>
  <c r="Q259" i="5"/>
  <c r="O258" i="5"/>
  <c r="Q258" i="5"/>
  <c r="O257" i="5"/>
  <c r="Q257" i="5"/>
  <c r="O256" i="5"/>
  <c r="Q256" i="5"/>
  <c r="O255" i="5"/>
  <c r="Q255" i="5"/>
  <c r="O254" i="5"/>
  <c r="Q254" i="5"/>
  <c r="O253" i="5"/>
  <c r="Q253" i="5"/>
  <c r="O249" i="5"/>
  <c r="Q249" i="5"/>
  <c r="O248" i="5"/>
  <c r="Q248" i="5"/>
  <c r="P247" i="5"/>
  <c r="O247" i="5"/>
  <c r="Q247" i="5"/>
  <c r="P245" i="5"/>
  <c r="O245" i="5"/>
  <c r="Q245" i="5"/>
  <c r="P244" i="5"/>
  <c r="O244" i="5"/>
  <c r="Q244" i="5"/>
  <c r="P243" i="5"/>
  <c r="O243" i="5"/>
  <c r="Q243" i="5"/>
  <c r="Q262" i="5"/>
  <c r="Q284" i="5"/>
  <c r="Q426" i="5"/>
  <c r="Z426" i="5"/>
  <c r="Y426" i="5"/>
  <c r="S418" i="5"/>
  <c r="S419" i="5"/>
  <c r="S420" i="5"/>
  <c r="S422" i="5"/>
  <c r="Z425" i="5"/>
  <c r="Y425" i="5"/>
  <c r="Y423" i="5"/>
  <c r="U423" i="5"/>
  <c r="Y422" i="5"/>
  <c r="U422" i="5"/>
  <c r="W422" i="5"/>
  <c r="V422" i="5"/>
  <c r="Y420" i="5"/>
  <c r="U420" i="5"/>
  <c r="W420" i="5"/>
  <c r="V420" i="5"/>
  <c r="Y419" i="5"/>
  <c r="U419" i="5"/>
  <c r="W419" i="5"/>
  <c r="V419" i="5"/>
  <c r="Y418" i="5"/>
  <c r="U418" i="5"/>
  <c r="W418" i="5"/>
  <c r="V418" i="5"/>
  <c r="T417" i="5"/>
  <c r="U417" i="5"/>
  <c r="M412" i="5"/>
  <c r="Z403" i="5"/>
  <c r="Y403" i="5"/>
  <c r="S397" i="5"/>
  <c r="S399" i="5"/>
  <c r="S400" i="5"/>
  <c r="S401" i="5"/>
  <c r="S358" i="5"/>
  <c r="S348" i="5"/>
  <c r="S340" i="5"/>
  <c r="S341" i="5"/>
  <c r="S342" i="5"/>
  <c r="S343" i="5"/>
  <c r="S347" i="5"/>
  <c r="S346" i="5"/>
  <c r="S345" i="5"/>
  <c r="S344" i="5"/>
  <c r="S349" i="5"/>
  <c r="S350" i="5"/>
  <c r="S351" i="5"/>
  <c r="S357" i="5"/>
  <c r="S356" i="5"/>
  <c r="S355" i="5"/>
  <c r="S354" i="5"/>
  <c r="S353" i="5"/>
  <c r="S352" i="5"/>
  <c r="S359" i="5"/>
  <c r="S360" i="5"/>
  <c r="S361" i="5"/>
  <c r="S368" i="5"/>
  <c r="S367" i="5"/>
  <c r="S366" i="5"/>
  <c r="S365" i="5"/>
  <c r="S364" i="5"/>
  <c r="S363" i="5"/>
  <c r="S362" i="5"/>
  <c r="S369" i="5"/>
  <c r="S380" i="5"/>
  <c r="S391" i="5"/>
  <c r="S402" i="5"/>
  <c r="S403" i="5"/>
  <c r="Z402" i="5"/>
  <c r="Y402" i="5"/>
  <c r="Y401" i="5"/>
  <c r="U401" i="5"/>
  <c r="Y400" i="5"/>
  <c r="U400" i="5"/>
  <c r="W400" i="5"/>
  <c r="V400" i="5"/>
  <c r="Y399" i="5"/>
  <c r="U399" i="5"/>
  <c r="W399" i="5"/>
  <c r="V399" i="5"/>
  <c r="Y398" i="5"/>
  <c r="V398" i="5"/>
  <c r="Y397" i="5"/>
  <c r="U397" i="5"/>
  <c r="W397" i="5"/>
  <c r="V397" i="5"/>
  <c r="Y396" i="5"/>
  <c r="Y395" i="5"/>
  <c r="Y394" i="5"/>
  <c r="Y393" i="5"/>
  <c r="Y392" i="5"/>
  <c r="Z391" i="5"/>
  <c r="Y391" i="5"/>
  <c r="L390" i="5"/>
  <c r="O390" i="5"/>
  <c r="Q390" i="5"/>
  <c r="Y390" i="5"/>
  <c r="S390" i="5"/>
  <c r="U390" i="5"/>
  <c r="W390" i="5"/>
  <c r="V390" i="5"/>
  <c r="O389" i="5"/>
  <c r="S389" i="5"/>
  <c r="Y389" i="5"/>
  <c r="Q389" i="5"/>
  <c r="U389" i="5"/>
  <c r="W389" i="5"/>
  <c r="V389" i="5"/>
  <c r="L388" i="5"/>
  <c r="O388" i="5"/>
  <c r="Q388" i="5"/>
  <c r="S388" i="5"/>
  <c r="U388" i="5"/>
  <c r="W388" i="5"/>
  <c r="V388" i="5"/>
  <c r="L387" i="5"/>
  <c r="M387" i="5"/>
  <c r="O387" i="5"/>
  <c r="Q387" i="5"/>
  <c r="S387" i="5"/>
  <c r="U387" i="5"/>
  <c r="W387" i="5"/>
  <c r="V387" i="5"/>
  <c r="O386" i="5"/>
  <c r="Q386" i="5"/>
  <c r="Y386" i="5"/>
  <c r="S386" i="5"/>
  <c r="U386" i="5"/>
  <c r="W386" i="5"/>
  <c r="V386" i="5"/>
  <c r="Y385" i="5"/>
  <c r="Y384" i="5"/>
  <c r="Y383" i="5"/>
  <c r="Y382" i="5"/>
  <c r="Y381" i="5"/>
  <c r="Z380" i="5"/>
  <c r="Y380" i="5"/>
  <c r="Y379" i="5"/>
  <c r="Y378" i="5"/>
  <c r="Y377" i="5"/>
  <c r="Y376" i="5"/>
  <c r="Y375" i="5"/>
  <c r="Y374" i="5"/>
  <c r="Y373" i="5"/>
  <c r="Y372" i="5"/>
  <c r="Y371" i="5"/>
  <c r="Y370" i="5"/>
  <c r="Z369" i="5"/>
  <c r="Y369" i="5"/>
  <c r="Y368" i="5"/>
  <c r="U368" i="5"/>
  <c r="W368" i="5"/>
  <c r="V368" i="5"/>
  <c r="Y367" i="5"/>
  <c r="U367" i="5"/>
  <c r="W367" i="5"/>
  <c r="V367" i="5"/>
  <c r="Y366" i="5"/>
  <c r="U366" i="5"/>
  <c r="W366" i="5"/>
  <c r="V366" i="5"/>
  <c r="Y365" i="5"/>
  <c r="U365" i="5"/>
  <c r="W365" i="5"/>
  <c r="V365" i="5"/>
  <c r="Y364" i="5"/>
  <c r="U364" i="5"/>
  <c r="W364" i="5"/>
  <c r="V364" i="5"/>
  <c r="Y363" i="5"/>
  <c r="U363" i="5"/>
  <c r="W363" i="5"/>
  <c r="V363" i="5"/>
  <c r="Y362" i="5"/>
  <c r="U362" i="5"/>
  <c r="W362" i="5"/>
  <c r="V362" i="5"/>
  <c r="Y361" i="5"/>
  <c r="U361" i="5"/>
  <c r="W361" i="5"/>
  <c r="V361" i="5"/>
  <c r="Y360" i="5"/>
  <c r="U360" i="5"/>
  <c r="W360" i="5"/>
  <c r="V360" i="5"/>
  <c r="Z359" i="5"/>
  <c r="Y359" i="5"/>
  <c r="Y358" i="5"/>
  <c r="U358" i="5"/>
  <c r="W358" i="5"/>
  <c r="V358" i="5"/>
  <c r="Y357" i="5"/>
  <c r="U357" i="5"/>
  <c r="W357" i="5"/>
  <c r="V357" i="5"/>
  <c r="Y356" i="5"/>
  <c r="U356" i="5"/>
  <c r="W356" i="5"/>
  <c r="V356" i="5"/>
  <c r="Y355" i="5"/>
  <c r="U355" i="5"/>
  <c r="W355" i="5"/>
  <c r="V355" i="5"/>
  <c r="Y354" i="5"/>
  <c r="U354" i="5"/>
  <c r="W354" i="5"/>
  <c r="V354" i="5"/>
  <c r="Y353" i="5"/>
  <c r="U353" i="5"/>
  <c r="W353" i="5"/>
  <c r="V353" i="5"/>
  <c r="Y352" i="5"/>
  <c r="U352" i="5"/>
  <c r="W352" i="5"/>
  <c r="V352" i="5"/>
  <c r="Y351" i="5"/>
  <c r="U351" i="5"/>
  <c r="W351" i="5"/>
  <c r="V351" i="5"/>
  <c r="Y350" i="5"/>
  <c r="U350" i="5"/>
  <c r="W350" i="5"/>
  <c r="V350" i="5"/>
  <c r="Z349" i="5"/>
  <c r="Y349" i="5"/>
  <c r="Y348" i="5"/>
  <c r="U348" i="5"/>
  <c r="W348" i="5"/>
  <c r="V348" i="5"/>
  <c r="Y347" i="5"/>
  <c r="U347" i="5"/>
  <c r="W347" i="5"/>
  <c r="V347" i="5"/>
  <c r="Y346" i="5"/>
  <c r="U346" i="5"/>
  <c r="W346" i="5"/>
  <c r="V346" i="5"/>
  <c r="Y345" i="5"/>
  <c r="U345" i="5"/>
  <c r="W345" i="5"/>
  <c r="V345" i="5"/>
  <c r="Y344" i="5"/>
  <c r="U344" i="5"/>
  <c r="W344" i="5"/>
  <c r="V344" i="5"/>
  <c r="Y343" i="5"/>
  <c r="U343" i="5"/>
  <c r="W343" i="5"/>
  <c r="V343" i="5"/>
  <c r="Y342" i="5"/>
  <c r="U342" i="5"/>
  <c r="W342" i="5"/>
  <c r="V342" i="5"/>
  <c r="Y341" i="5"/>
  <c r="U341" i="5"/>
  <c r="W341" i="5"/>
  <c r="V341" i="5"/>
  <c r="Y340" i="5"/>
  <c r="U340" i="5"/>
  <c r="W340" i="5"/>
  <c r="V340" i="5"/>
  <c r="Z337" i="5"/>
  <c r="Y337" i="5"/>
  <c r="S327" i="5"/>
  <c r="S328" i="5"/>
  <c r="S337" i="5"/>
  <c r="M334" i="5"/>
  <c r="M333" i="5"/>
  <c r="Z328" i="5"/>
  <c r="Y328" i="5"/>
  <c r="Y327" i="5"/>
  <c r="U327" i="5"/>
  <c r="W327" i="5"/>
  <c r="V327" i="5"/>
  <c r="Y326" i="5"/>
  <c r="Y325" i="5"/>
  <c r="Y324" i="5"/>
  <c r="Y323" i="5"/>
  <c r="Y322" i="5"/>
  <c r="Y321" i="5"/>
  <c r="Y320" i="5"/>
  <c r="Y319" i="5"/>
  <c r="Y318" i="5"/>
  <c r="Y317" i="5"/>
  <c r="Y316" i="5"/>
  <c r="Y315" i="5"/>
  <c r="S315" i="5"/>
  <c r="U315" i="5"/>
  <c r="W315" i="5"/>
  <c r="V315" i="5"/>
  <c r="Y314" i="5"/>
  <c r="S314" i="5"/>
  <c r="U314" i="5"/>
  <c r="W314" i="5"/>
  <c r="V314" i="5"/>
  <c r="Z311" i="5"/>
  <c r="Y311" i="5"/>
  <c r="S301" i="5"/>
  <c r="S302" i="5"/>
  <c r="S303" i="5"/>
  <c r="S304" i="5"/>
  <c r="S311" i="5"/>
  <c r="Y309" i="5"/>
  <c r="Y308" i="5"/>
  <c r="Y307" i="5"/>
  <c r="Y306" i="5"/>
  <c r="Y305" i="5"/>
  <c r="Y304" i="5"/>
  <c r="T304" i="5"/>
  <c r="U304" i="5"/>
  <c r="W304" i="5"/>
  <c r="V304" i="5"/>
  <c r="Y303" i="5"/>
  <c r="T303" i="5"/>
  <c r="U303" i="5"/>
  <c r="W303" i="5"/>
  <c r="V303" i="5"/>
  <c r="Y302" i="5"/>
  <c r="U302" i="5"/>
  <c r="W302" i="5"/>
  <c r="V302" i="5"/>
  <c r="Y301" i="5"/>
  <c r="U301" i="5"/>
  <c r="W301" i="5"/>
  <c r="V301" i="5"/>
  <c r="Z298" i="5"/>
  <c r="Y298" i="5"/>
  <c r="S288" i="5"/>
  <c r="S284" i="5"/>
  <c r="S286" i="5"/>
  <c r="S294" i="5"/>
  <c r="S296" i="5"/>
  <c r="S297" i="5"/>
  <c r="S298" i="5"/>
  <c r="Y297" i="5"/>
  <c r="U297" i="5"/>
  <c r="W297" i="5"/>
  <c r="V297" i="5"/>
  <c r="Y296" i="5"/>
  <c r="U296" i="5"/>
  <c r="W296" i="5"/>
  <c r="V296" i="5"/>
  <c r="Z294" i="5"/>
  <c r="Y294" i="5"/>
  <c r="M290" i="5"/>
  <c r="Y288" i="5"/>
  <c r="U288" i="5"/>
  <c r="W288" i="5"/>
  <c r="V288" i="5"/>
  <c r="Y286" i="5"/>
  <c r="U286" i="5"/>
  <c r="W286" i="5"/>
  <c r="V286" i="5"/>
  <c r="Z284" i="5"/>
  <c r="Y284" i="5"/>
  <c r="M277" i="5"/>
  <c r="M271" i="5"/>
  <c r="M270" i="5"/>
  <c r="M268" i="5"/>
  <c r="M265" i="5"/>
  <c r="Z262" i="5"/>
  <c r="Y262" i="5"/>
  <c r="S260" i="5"/>
  <c r="S261" i="5"/>
  <c r="S262" i="5"/>
  <c r="Y261" i="5"/>
  <c r="U261" i="5"/>
  <c r="W261" i="5"/>
  <c r="V261" i="5"/>
  <c r="Y260" i="5"/>
  <c r="U260" i="5"/>
  <c r="W260" i="5"/>
  <c r="V260" i="5"/>
  <c r="Y259" i="5"/>
  <c r="Y258" i="5"/>
  <c r="Y257" i="5"/>
  <c r="Y256" i="5"/>
  <c r="Y255" i="5"/>
  <c r="Y254" i="5"/>
  <c r="Y253" i="5"/>
  <c r="Y252" i="5"/>
  <c r="Y251" i="5"/>
  <c r="Y250" i="5"/>
  <c r="Y249" i="5"/>
  <c r="Y248" i="5"/>
  <c r="Y247" i="5"/>
  <c r="Y246" i="5"/>
  <c r="O246" i="5"/>
  <c r="Y245" i="5"/>
  <c r="S245" i="5"/>
  <c r="U245" i="5"/>
  <c r="W245" i="5"/>
  <c r="V245" i="5"/>
  <c r="Y244" i="5"/>
  <c r="Y243" i="5"/>
  <c r="Y242" i="5"/>
  <c r="S242" i="5"/>
  <c r="W242" i="5"/>
  <c r="V242" i="5"/>
  <c r="U242" i="5"/>
  <c r="Y241" i="5"/>
  <c r="Y240" i="5"/>
  <c r="Y239" i="5"/>
  <c r="Y238" i="5"/>
  <c r="O238" i="5"/>
  <c r="Y237" i="5"/>
  <c r="O237" i="5"/>
  <c r="Z235" i="5"/>
  <c r="Y235" i="5"/>
  <c r="S224" i="5"/>
  <c r="S225" i="5"/>
  <c r="S228" i="5"/>
  <c r="M230" i="5"/>
  <c r="O230" i="5"/>
  <c r="S230" i="5"/>
  <c r="M234" i="5"/>
  <c r="O234" i="5"/>
  <c r="S234" i="5"/>
  <c r="M233" i="5"/>
  <c r="O233" i="5"/>
  <c r="S233" i="5"/>
  <c r="M231" i="5"/>
  <c r="O231" i="5"/>
  <c r="S231" i="5"/>
  <c r="S235" i="5"/>
  <c r="Q234" i="5"/>
  <c r="U234" i="5"/>
  <c r="W234" i="5"/>
  <c r="V234" i="5"/>
  <c r="Q233" i="5"/>
  <c r="U233" i="5"/>
  <c r="W233" i="5"/>
  <c r="V233" i="5"/>
  <c r="M232" i="5"/>
  <c r="Q231" i="5"/>
  <c r="U231" i="5"/>
  <c r="W231" i="5"/>
  <c r="V231" i="5"/>
  <c r="Q230" i="5"/>
  <c r="U230" i="5"/>
  <c r="W230" i="5"/>
  <c r="V230" i="5"/>
  <c r="M229" i="5"/>
  <c r="Y228" i="5"/>
  <c r="U228" i="5"/>
  <c r="W228" i="5"/>
  <c r="V228" i="5"/>
  <c r="Y227" i="5"/>
  <c r="Y226" i="5"/>
  <c r="Y225" i="5"/>
  <c r="U225" i="5"/>
  <c r="W225" i="5"/>
  <c r="V225" i="5"/>
  <c r="Y224" i="5"/>
  <c r="U224" i="5"/>
  <c r="W224" i="5"/>
  <c r="V224" i="5"/>
  <c r="Y223" i="5"/>
  <c r="Y222" i="5"/>
  <c r="Y221" i="5"/>
  <c r="Y220" i="5"/>
  <c r="Y219" i="5"/>
  <c r="Y218" i="5"/>
  <c r="Y217" i="5"/>
  <c r="S217" i="5"/>
  <c r="U217" i="5"/>
  <c r="W217" i="5"/>
  <c r="V217" i="5"/>
  <c r="Y216" i="5"/>
  <c r="S216" i="5"/>
  <c r="U216" i="5"/>
  <c r="W216" i="5"/>
  <c r="V216" i="5"/>
  <c r="Y215" i="5"/>
  <c r="Y214" i="5"/>
  <c r="S214" i="5"/>
  <c r="U214" i="5"/>
  <c r="W214" i="5"/>
  <c r="V214" i="5"/>
  <c r="Y213" i="5"/>
  <c r="Y212" i="5"/>
  <c r="S212" i="5"/>
  <c r="U212" i="5"/>
  <c r="W212" i="5"/>
  <c r="V212" i="5"/>
  <c r="Y211" i="5"/>
  <c r="S211" i="5"/>
  <c r="U211" i="5"/>
  <c r="W211" i="5"/>
  <c r="V211" i="5"/>
  <c r="Y210" i="5"/>
  <c r="S210" i="5"/>
  <c r="U210" i="5"/>
  <c r="W210" i="5"/>
  <c r="V210" i="5"/>
  <c r="Y209" i="5"/>
  <c r="Y208" i="5"/>
  <c r="S208" i="5"/>
  <c r="U208" i="5"/>
  <c r="W208" i="5"/>
  <c r="V208" i="5"/>
  <c r="Y207" i="5"/>
  <c r="Y206" i="5"/>
  <c r="S206" i="5"/>
  <c r="U206" i="5"/>
  <c r="W206" i="5"/>
  <c r="V206" i="5"/>
  <c r="Y205" i="5"/>
  <c r="Y204" i="5"/>
  <c r="Y203" i="5"/>
  <c r="Y202" i="5"/>
  <c r="Y201" i="5"/>
  <c r="Y200" i="5"/>
  <c r="Z197" i="5"/>
  <c r="Y197" i="5"/>
  <c r="S186" i="5"/>
  <c r="S187" i="5"/>
  <c r="S188" i="5"/>
  <c r="S180" i="5"/>
  <c r="S181" i="5"/>
  <c r="S182" i="5"/>
  <c r="S183" i="5"/>
  <c r="S161" i="5"/>
  <c r="S162" i="5"/>
  <c r="S163" i="5"/>
  <c r="S164" i="5"/>
  <c r="S171" i="5"/>
  <c r="S168" i="5"/>
  <c r="S167" i="5"/>
  <c r="S166" i="5"/>
  <c r="S165" i="5"/>
  <c r="S172" i="5"/>
  <c r="S173" i="5"/>
  <c r="S179" i="5"/>
  <c r="S184" i="5"/>
  <c r="S191" i="5"/>
  <c r="Z196" i="5"/>
  <c r="Y196" i="5"/>
  <c r="Y195" i="5"/>
  <c r="Y194" i="5"/>
  <c r="U194" i="5"/>
  <c r="M192" i="5"/>
  <c r="M193" i="5"/>
  <c r="Z191" i="5"/>
  <c r="Y191" i="5"/>
  <c r="Y189" i="5"/>
  <c r="Y188" i="5"/>
  <c r="U188" i="5"/>
  <c r="W188" i="5"/>
  <c r="V188" i="5"/>
  <c r="Y187" i="5"/>
  <c r="U187" i="5"/>
  <c r="W187" i="5"/>
  <c r="V187" i="5"/>
  <c r="Y186" i="5"/>
  <c r="U186" i="5"/>
  <c r="W186" i="5"/>
  <c r="V186" i="5"/>
  <c r="Z184" i="5"/>
  <c r="Y184" i="5"/>
  <c r="Y183" i="5"/>
  <c r="U183" i="5"/>
  <c r="W183" i="5"/>
  <c r="V183" i="5"/>
  <c r="Y182" i="5"/>
  <c r="U182" i="5"/>
  <c r="W182" i="5"/>
  <c r="V182" i="5"/>
  <c r="Y181" i="5"/>
  <c r="U181" i="5"/>
  <c r="W181" i="5"/>
  <c r="V181" i="5"/>
  <c r="Y180" i="5"/>
  <c r="U180" i="5"/>
  <c r="W180" i="5"/>
  <c r="V180" i="5"/>
  <c r="Y179" i="5"/>
  <c r="U179" i="5"/>
  <c r="W179" i="5"/>
  <c r="V179" i="5"/>
  <c r="Z173" i="5"/>
  <c r="Y173" i="5"/>
  <c r="Z172" i="5"/>
  <c r="Y172" i="5"/>
  <c r="Y171" i="5"/>
  <c r="U171" i="5"/>
  <c r="W171" i="5"/>
  <c r="V171" i="5"/>
  <c r="Y168" i="5"/>
  <c r="U168" i="5"/>
  <c r="W168" i="5"/>
  <c r="V168" i="5"/>
  <c r="Y167" i="5"/>
  <c r="U167" i="5"/>
  <c r="W167" i="5"/>
  <c r="V167" i="5"/>
  <c r="Y166" i="5"/>
  <c r="U166" i="5"/>
  <c r="W166" i="5"/>
  <c r="V166" i="5"/>
  <c r="Y165" i="5"/>
  <c r="U165" i="5"/>
  <c r="W165" i="5"/>
  <c r="V165" i="5"/>
  <c r="Y164" i="5"/>
  <c r="U164" i="5"/>
  <c r="W164" i="5"/>
  <c r="V164" i="5"/>
  <c r="Y163" i="5"/>
  <c r="U163" i="5"/>
  <c r="W163" i="5"/>
  <c r="V163" i="5"/>
  <c r="Y162" i="5"/>
  <c r="U162" i="5"/>
  <c r="W162" i="5"/>
  <c r="V162" i="5"/>
  <c r="Y161" i="5"/>
  <c r="U161" i="5"/>
  <c r="W161" i="5"/>
  <c r="V161" i="5"/>
  <c r="Y160" i="5"/>
  <c r="S160" i="5"/>
  <c r="U160" i="5"/>
  <c r="W160" i="5"/>
  <c r="V160" i="5"/>
  <c r="Y159" i="5"/>
  <c r="S159" i="5"/>
  <c r="U159" i="5"/>
  <c r="W159" i="5"/>
  <c r="V159" i="5"/>
  <c r="Y158" i="5"/>
  <c r="S158" i="5"/>
  <c r="U158" i="5"/>
  <c r="W158" i="5"/>
  <c r="V158" i="5"/>
  <c r="Y157" i="5"/>
  <c r="S157" i="5"/>
  <c r="U157" i="5"/>
  <c r="W157" i="5"/>
  <c r="V157" i="5"/>
  <c r="Y156" i="5"/>
  <c r="S156" i="5"/>
  <c r="U156" i="5"/>
  <c r="W156" i="5"/>
  <c r="V156" i="5"/>
  <c r="Y155" i="5"/>
  <c r="S155" i="5"/>
  <c r="U155" i="5"/>
  <c r="W155" i="5"/>
  <c r="V155" i="5"/>
  <c r="Y154" i="5"/>
  <c r="S154" i="5"/>
  <c r="U154" i="5"/>
  <c r="W154" i="5"/>
  <c r="V154" i="5"/>
  <c r="Y153" i="5"/>
  <c r="S153" i="5"/>
  <c r="U153" i="5"/>
  <c r="W153" i="5"/>
  <c r="V153" i="5"/>
  <c r="Y152" i="5"/>
  <c r="S152" i="5"/>
  <c r="U152" i="5"/>
  <c r="W152" i="5"/>
  <c r="V152" i="5"/>
  <c r="Y151" i="5"/>
  <c r="S151" i="5"/>
  <c r="U151" i="5"/>
  <c r="W151" i="5"/>
  <c r="V151" i="5"/>
  <c r="Y150" i="5"/>
  <c r="S150" i="5"/>
  <c r="U150" i="5"/>
  <c r="W150" i="5"/>
  <c r="V150" i="5"/>
  <c r="M149" i="5"/>
  <c r="M148" i="5"/>
  <c r="M147" i="5"/>
  <c r="M146" i="5"/>
  <c r="M145" i="5"/>
  <c r="M144" i="5"/>
  <c r="M137" i="5"/>
  <c r="M136" i="5"/>
  <c r="M135" i="5"/>
  <c r="M134" i="5"/>
  <c r="M133" i="5"/>
  <c r="M132" i="5"/>
  <c r="M128" i="5"/>
  <c r="Z125" i="5"/>
  <c r="Y125" i="5"/>
  <c r="S114" i="5"/>
  <c r="S115" i="5"/>
  <c r="S116" i="5"/>
  <c r="S117" i="5"/>
  <c r="S124" i="5"/>
  <c r="S123" i="5"/>
  <c r="S122" i="5"/>
  <c r="S121" i="5"/>
  <c r="S120" i="5"/>
  <c r="S119" i="5"/>
  <c r="S118" i="5"/>
  <c r="S125" i="5"/>
  <c r="Y124" i="5"/>
  <c r="U124" i="5"/>
  <c r="W124" i="5"/>
  <c r="V124" i="5"/>
  <c r="Y123" i="5"/>
  <c r="U123" i="5"/>
  <c r="W123" i="5"/>
  <c r="V123" i="5"/>
  <c r="Y122" i="5"/>
  <c r="U122" i="5"/>
  <c r="W122" i="5"/>
  <c r="V122" i="5"/>
  <c r="Y121" i="5"/>
  <c r="U121" i="5"/>
  <c r="W121" i="5"/>
  <c r="V121" i="5"/>
  <c r="Y120" i="5"/>
  <c r="U120" i="5"/>
  <c r="W120" i="5"/>
  <c r="V120" i="5"/>
  <c r="Y119" i="5"/>
  <c r="U119" i="5"/>
  <c r="W119" i="5"/>
  <c r="V119" i="5"/>
  <c r="Y118" i="5"/>
  <c r="U118" i="5"/>
  <c r="W118" i="5"/>
  <c r="V118" i="5"/>
  <c r="Y117" i="5"/>
  <c r="U117" i="5"/>
  <c r="W117" i="5"/>
  <c r="V117" i="5"/>
  <c r="Y116" i="5"/>
  <c r="U116" i="5"/>
  <c r="W116" i="5"/>
  <c r="V116" i="5"/>
  <c r="Y115" i="5"/>
  <c r="U115" i="5"/>
  <c r="W115" i="5"/>
  <c r="V115" i="5"/>
  <c r="Y114" i="5"/>
  <c r="U114" i="5"/>
  <c r="W114" i="5"/>
  <c r="V114" i="5"/>
  <c r="Y113" i="5"/>
  <c r="S113" i="5"/>
  <c r="U113" i="5"/>
  <c r="W113" i="5"/>
  <c r="V113" i="5"/>
  <c r="M112" i="5"/>
  <c r="Z109" i="5"/>
  <c r="Y109" i="5"/>
  <c r="S106" i="5"/>
  <c r="S107" i="5"/>
  <c r="S108" i="5"/>
  <c r="S109" i="5"/>
  <c r="Y108" i="5"/>
  <c r="U108" i="5"/>
  <c r="W108" i="5"/>
  <c r="V108" i="5"/>
  <c r="Y107" i="5"/>
  <c r="U107" i="5"/>
  <c r="W107" i="5"/>
  <c r="V107" i="5"/>
  <c r="Y106" i="5"/>
  <c r="U106" i="5"/>
  <c r="W106" i="5"/>
  <c r="V106" i="5"/>
  <c r="Z83" i="5"/>
  <c r="Y83" i="5"/>
  <c r="S71" i="5"/>
  <c r="S72" i="5"/>
  <c r="S73" i="5"/>
  <c r="S74" i="5"/>
  <c r="S82" i="5"/>
  <c r="S81" i="5"/>
  <c r="S80" i="5"/>
  <c r="S79" i="5"/>
  <c r="S78" i="5"/>
  <c r="S77" i="5"/>
  <c r="S76" i="5"/>
  <c r="S83" i="5"/>
  <c r="Y82" i="5"/>
  <c r="U82" i="5"/>
  <c r="W82" i="5"/>
  <c r="V82" i="5"/>
  <c r="Y81" i="5"/>
  <c r="U81" i="5"/>
  <c r="W81" i="5"/>
  <c r="V81" i="5"/>
  <c r="Y80" i="5"/>
  <c r="U80" i="5"/>
  <c r="W80" i="5"/>
  <c r="V80" i="5"/>
  <c r="Y79" i="5"/>
  <c r="U79" i="5"/>
  <c r="W79" i="5"/>
  <c r="V79" i="5"/>
  <c r="Y78" i="5"/>
  <c r="U78" i="5"/>
  <c r="W78" i="5"/>
  <c r="V78" i="5"/>
  <c r="Y77" i="5"/>
  <c r="U77" i="5"/>
  <c r="W77" i="5"/>
  <c r="V77" i="5"/>
  <c r="Y76" i="5"/>
  <c r="U76" i="5"/>
  <c r="W76" i="5"/>
  <c r="V76" i="5"/>
  <c r="Y74" i="5"/>
  <c r="U74" i="5"/>
  <c r="W74" i="5"/>
  <c r="V74" i="5"/>
  <c r="Y73" i="5"/>
  <c r="U73" i="5"/>
  <c r="W73" i="5"/>
  <c r="V73" i="5"/>
  <c r="Y72" i="5"/>
  <c r="U72" i="5"/>
  <c r="W72" i="5"/>
  <c r="V72" i="5"/>
  <c r="Y71" i="5"/>
  <c r="U71" i="5"/>
  <c r="W71" i="5"/>
  <c r="V71" i="5"/>
  <c r="Z69" i="5"/>
  <c r="Y69" i="5"/>
  <c r="S59" i="5"/>
  <c r="S69" i="5"/>
  <c r="M67" i="5"/>
  <c r="Y61" i="5"/>
  <c r="Y60" i="5"/>
  <c r="Y59" i="5"/>
  <c r="U59" i="5"/>
  <c r="W59" i="5"/>
  <c r="V59" i="5"/>
  <c r="S56" i="5"/>
  <c r="M52" i="5"/>
  <c r="S48" i="5"/>
  <c r="U48" i="5"/>
  <c r="W48" i="5"/>
  <c r="V48" i="5"/>
  <c r="S47" i="5"/>
  <c r="U47" i="5"/>
  <c r="W47" i="5"/>
  <c r="V47" i="5"/>
  <c r="S38" i="5"/>
  <c r="U38" i="5"/>
  <c r="W38" i="5"/>
  <c r="V38" i="5"/>
  <c r="S35" i="5"/>
  <c r="S35" i="4"/>
  <c r="O48" i="4"/>
  <c r="S48" i="4"/>
  <c r="O49" i="4"/>
  <c r="S49" i="4"/>
  <c r="O50" i="4"/>
  <c r="S50" i="4"/>
  <c r="S51" i="4"/>
  <c r="O38" i="4"/>
  <c r="S38" i="4"/>
  <c r="O39" i="4"/>
  <c r="S39" i="4"/>
  <c r="O40" i="4"/>
  <c r="S40" i="4"/>
  <c r="S41" i="4"/>
  <c r="S58" i="4"/>
  <c r="O61" i="4"/>
  <c r="S61" i="4"/>
  <c r="O62" i="4"/>
  <c r="S62" i="4"/>
  <c r="M63" i="4"/>
  <c r="O63" i="4"/>
  <c r="S63" i="4"/>
  <c r="S71" i="4"/>
  <c r="O73" i="4"/>
  <c r="S73" i="4"/>
  <c r="O74" i="4"/>
  <c r="S74" i="4"/>
  <c r="M75" i="4"/>
  <c r="O75" i="4"/>
  <c r="S75" i="4"/>
  <c r="O76" i="4"/>
  <c r="S76" i="4"/>
  <c r="M83" i="4"/>
  <c r="O83" i="4"/>
  <c r="S83" i="4"/>
  <c r="M82" i="4"/>
  <c r="O82" i="4"/>
  <c r="S82" i="4"/>
  <c r="M81" i="4"/>
  <c r="O81" i="4"/>
  <c r="S81" i="4"/>
  <c r="M80" i="4"/>
  <c r="O80" i="4"/>
  <c r="S80" i="4"/>
  <c r="M79" i="4"/>
  <c r="O79" i="4"/>
  <c r="S79" i="4"/>
  <c r="M78" i="4"/>
  <c r="O78" i="4"/>
  <c r="S78" i="4"/>
  <c r="O77" i="4"/>
  <c r="S77" i="4"/>
  <c r="S84" i="4"/>
  <c r="O107" i="4"/>
  <c r="S107" i="4"/>
  <c r="M108" i="4"/>
  <c r="O108" i="4"/>
  <c r="S108" i="4"/>
  <c r="M109" i="4"/>
  <c r="O109" i="4"/>
  <c r="S109" i="4"/>
  <c r="S113" i="4"/>
  <c r="O114" i="4"/>
  <c r="S114" i="4"/>
  <c r="O115" i="4"/>
  <c r="S115" i="4"/>
  <c r="M116" i="4"/>
  <c r="O116" i="4"/>
  <c r="S116" i="4"/>
  <c r="O117" i="4"/>
  <c r="S117" i="4"/>
  <c r="M125" i="4"/>
  <c r="O125" i="4"/>
  <c r="S125" i="4"/>
  <c r="M124" i="4"/>
  <c r="O124" i="4"/>
  <c r="S124" i="4"/>
  <c r="M123" i="4"/>
  <c r="O123" i="4"/>
  <c r="S123" i="4"/>
  <c r="M122" i="4"/>
  <c r="O122" i="4"/>
  <c r="S122" i="4"/>
  <c r="M121" i="4"/>
  <c r="O121" i="4"/>
  <c r="S121" i="4"/>
  <c r="M120" i="4"/>
  <c r="O120" i="4"/>
  <c r="S120" i="4"/>
  <c r="O119" i="4"/>
  <c r="S119" i="4"/>
  <c r="O118" i="4"/>
  <c r="S118" i="4"/>
  <c r="S126" i="4"/>
  <c r="O151" i="4"/>
  <c r="S151" i="4"/>
  <c r="O152" i="4"/>
  <c r="S152" i="4"/>
  <c r="O153" i="4"/>
  <c r="S153" i="4"/>
  <c r="O154" i="4"/>
  <c r="S154" i="4"/>
  <c r="M173" i="4"/>
  <c r="O173" i="4"/>
  <c r="S173" i="4"/>
  <c r="O171" i="4"/>
  <c r="S171" i="4"/>
  <c r="M170" i="4"/>
  <c r="O170" i="4"/>
  <c r="S170" i="4"/>
  <c r="M169" i="4"/>
  <c r="O169" i="4"/>
  <c r="S169" i="4"/>
  <c r="M168" i="4"/>
  <c r="O168" i="4"/>
  <c r="S168" i="4"/>
  <c r="M167" i="4"/>
  <c r="O167" i="4"/>
  <c r="S167" i="4"/>
  <c r="M166" i="4"/>
  <c r="O166" i="4"/>
  <c r="S166" i="4"/>
  <c r="O165" i="4"/>
  <c r="S165" i="4"/>
  <c r="M164" i="4"/>
  <c r="O164" i="4"/>
  <c r="S164" i="4"/>
  <c r="O163" i="4"/>
  <c r="S163" i="4"/>
  <c r="O162" i="4"/>
  <c r="S162" i="4"/>
  <c r="O161" i="4"/>
  <c r="S161" i="4"/>
  <c r="M160" i="4"/>
  <c r="O160" i="4"/>
  <c r="S160" i="4"/>
  <c r="M159" i="4"/>
  <c r="O159" i="4"/>
  <c r="S159" i="4"/>
  <c r="M158" i="4"/>
  <c r="O158" i="4"/>
  <c r="S158" i="4"/>
  <c r="M157" i="4"/>
  <c r="O157" i="4"/>
  <c r="S157" i="4"/>
  <c r="M156" i="4"/>
  <c r="O156" i="4"/>
  <c r="S156" i="4"/>
  <c r="O155" i="4"/>
  <c r="S155" i="4"/>
  <c r="S174" i="4"/>
  <c r="S175" i="4"/>
  <c r="L187" i="4"/>
  <c r="O187" i="4"/>
  <c r="S187" i="4"/>
  <c r="L188" i="4"/>
  <c r="O188" i="4"/>
  <c r="S188" i="4"/>
  <c r="L189" i="4"/>
  <c r="O189" i="4"/>
  <c r="S189" i="4"/>
  <c r="L190" i="4"/>
  <c r="M190" i="4"/>
  <c r="O190" i="4"/>
  <c r="S190" i="4"/>
  <c r="L193" i="4"/>
  <c r="M192" i="4"/>
  <c r="M193" i="4"/>
  <c r="O193" i="4"/>
  <c r="S193" i="4"/>
  <c r="L192" i="4"/>
  <c r="O192" i="4"/>
  <c r="S192" i="4"/>
  <c r="S194" i="4"/>
  <c r="O195" i="4"/>
  <c r="S195" i="4"/>
  <c r="M196" i="4"/>
  <c r="O196" i="4"/>
  <c r="S196" i="4"/>
  <c r="S197" i="4"/>
  <c r="S198" i="4"/>
  <c r="M408" i="4"/>
  <c r="O408" i="4"/>
  <c r="S408" i="4"/>
  <c r="O409" i="4"/>
  <c r="S409" i="4"/>
  <c r="O410" i="4"/>
  <c r="S410" i="4"/>
  <c r="M412" i="4"/>
  <c r="O412" i="4"/>
  <c r="S412" i="4"/>
  <c r="O413" i="4"/>
  <c r="S413" i="4"/>
  <c r="S414" i="4"/>
  <c r="O341" i="4"/>
  <c r="S341" i="4"/>
  <c r="N342" i="4"/>
  <c r="O342" i="4"/>
  <c r="S342" i="4"/>
  <c r="M343" i="4"/>
  <c r="N343" i="4"/>
  <c r="O343" i="4"/>
  <c r="S343" i="4"/>
  <c r="N344" i="4"/>
  <c r="M344" i="4"/>
  <c r="O344" i="4"/>
  <c r="S344" i="4"/>
  <c r="M349" i="4"/>
  <c r="O349" i="4"/>
  <c r="S349" i="4"/>
  <c r="N345" i="4"/>
  <c r="N346" i="4"/>
  <c r="N347" i="4"/>
  <c r="N348" i="4"/>
  <c r="M348" i="4"/>
  <c r="O348" i="4"/>
  <c r="S348" i="4"/>
  <c r="M347" i="4"/>
  <c r="O347" i="4"/>
  <c r="S347" i="4"/>
  <c r="M346" i="4"/>
  <c r="O346" i="4"/>
  <c r="S346" i="4"/>
  <c r="M345" i="4"/>
  <c r="O345" i="4"/>
  <c r="S345" i="4"/>
  <c r="S350" i="4"/>
  <c r="O351" i="4"/>
  <c r="S351" i="4"/>
  <c r="N352" i="4"/>
  <c r="O352" i="4"/>
  <c r="S352" i="4"/>
  <c r="M353" i="4"/>
  <c r="N353" i="4"/>
  <c r="O353" i="4"/>
  <c r="S353" i="4"/>
  <c r="M354" i="4"/>
  <c r="O354" i="4"/>
  <c r="S354" i="4"/>
  <c r="M359" i="4"/>
  <c r="O359" i="4"/>
  <c r="S359" i="4"/>
  <c r="N355" i="4"/>
  <c r="N356" i="4"/>
  <c r="N357" i="4"/>
  <c r="N358" i="4"/>
  <c r="M358" i="4"/>
  <c r="O358" i="4"/>
  <c r="S358" i="4"/>
  <c r="M357" i="4"/>
  <c r="O357" i="4"/>
  <c r="S357" i="4"/>
  <c r="M356" i="4"/>
  <c r="O356" i="4"/>
  <c r="S356" i="4"/>
  <c r="M355" i="4"/>
  <c r="O355" i="4"/>
  <c r="S355" i="4"/>
  <c r="S360" i="4"/>
  <c r="O361" i="4"/>
  <c r="S361" i="4"/>
  <c r="N362" i="4"/>
  <c r="O362" i="4"/>
  <c r="S362" i="4"/>
  <c r="M363" i="4"/>
  <c r="N363" i="4"/>
  <c r="O363" i="4"/>
  <c r="S363" i="4"/>
  <c r="N364" i="4"/>
  <c r="M364" i="4"/>
  <c r="O364" i="4"/>
  <c r="S364" i="4"/>
  <c r="M369" i="4"/>
  <c r="O369" i="4"/>
  <c r="S369" i="4"/>
  <c r="N365" i="4"/>
  <c r="N366" i="4"/>
  <c r="N367" i="4"/>
  <c r="N368" i="4"/>
  <c r="M368" i="4"/>
  <c r="O368" i="4"/>
  <c r="S368" i="4"/>
  <c r="M367" i="4"/>
  <c r="O367" i="4"/>
  <c r="S367" i="4"/>
  <c r="M366" i="4"/>
  <c r="O366" i="4"/>
  <c r="S366" i="4"/>
  <c r="M365" i="4"/>
  <c r="O365" i="4"/>
  <c r="S365" i="4"/>
  <c r="S370" i="4"/>
  <c r="O371" i="4"/>
  <c r="S371" i="4"/>
  <c r="M372" i="4"/>
  <c r="O372" i="4"/>
  <c r="S372" i="4"/>
  <c r="O373" i="4"/>
  <c r="S373" i="4"/>
  <c r="O374" i="4"/>
  <c r="S374" i="4"/>
  <c r="L380" i="4"/>
  <c r="O380" i="4"/>
  <c r="S380" i="4"/>
  <c r="O379" i="4"/>
  <c r="S379" i="4"/>
  <c r="L378" i="4"/>
  <c r="O378" i="4"/>
  <c r="S378" i="4"/>
  <c r="L377" i="4"/>
  <c r="M377" i="4"/>
  <c r="O377" i="4"/>
  <c r="S377" i="4"/>
  <c r="O376" i="4"/>
  <c r="S376" i="4"/>
  <c r="O375" i="4"/>
  <c r="S375" i="4"/>
  <c r="S381" i="4"/>
  <c r="L387" i="4"/>
  <c r="O387" i="4"/>
  <c r="S387" i="4"/>
  <c r="L389" i="4"/>
  <c r="O389" i="4"/>
  <c r="S389" i="4"/>
  <c r="L390" i="4"/>
  <c r="O390" i="4"/>
  <c r="S390" i="4"/>
  <c r="L391" i="4"/>
  <c r="O391" i="4"/>
  <c r="S391" i="4"/>
  <c r="S392" i="4"/>
  <c r="S393" i="4"/>
  <c r="O297" i="4"/>
  <c r="S297" i="4"/>
  <c r="O298" i="4"/>
  <c r="S298" i="4"/>
  <c r="S300" i="4"/>
  <c r="O303" i="4"/>
  <c r="S303" i="4"/>
  <c r="O304" i="4"/>
  <c r="S304" i="4"/>
  <c r="O305" i="4"/>
  <c r="S305" i="4"/>
  <c r="M306" i="4"/>
  <c r="O306" i="4"/>
  <c r="S306" i="4"/>
  <c r="M311" i="4"/>
  <c r="O311" i="4"/>
  <c r="S311" i="4"/>
  <c r="M310" i="4"/>
  <c r="O310" i="4"/>
  <c r="S310" i="4"/>
  <c r="M309" i="4"/>
  <c r="O309" i="4"/>
  <c r="S309" i="4"/>
  <c r="M308" i="4"/>
  <c r="O308" i="4"/>
  <c r="S308" i="4"/>
  <c r="O307" i="4"/>
  <c r="S307" i="4"/>
  <c r="S312" i="4"/>
  <c r="O316" i="4"/>
  <c r="S316" i="4"/>
  <c r="M317" i="4"/>
  <c r="O317" i="4"/>
  <c r="S317" i="4"/>
  <c r="M318" i="4"/>
  <c r="O318" i="4"/>
  <c r="S318" i="4"/>
  <c r="O319" i="4"/>
  <c r="S319" i="4"/>
  <c r="M327" i="4"/>
  <c r="O327" i="4"/>
  <c r="S327" i="4"/>
  <c r="M326" i="4"/>
  <c r="O326" i="4"/>
  <c r="S326" i="4"/>
  <c r="M325" i="4"/>
  <c r="O325" i="4"/>
  <c r="S325" i="4"/>
  <c r="M324" i="4"/>
  <c r="O324" i="4"/>
  <c r="S324" i="4"/>
  <c r="M323" i="4"/>
  <c r="O323" i="4"/>
  <c r="S323" i="4"/>
  <c r="O322" i="4"/>
  <c r="S322" i="4"/>
  <c r="M321" i="4"/>
  <c r="O321" i="4"/>
  <c r="S321" i="4"/>
  <c r="O320" i="4"/>
  <c r="S320" i="4"/>
  <c r="S328" i="4"/>
  <c r="S338" i="4"/>
  <c r="L287" i="4"/>
  <c r="M287" i="4"/>
  <c r="O287" i="4"/>
  <c r="S287" i="4"/>
  <c r="L289" i="4"/>
  <c r="M289" i="4"/>
  <c r="O289" i="4"/>
  <c r="S289" i="4"/>
  <c r="S295" i="4"/>
  <c r="O238" i="4"/>
  <c r="S238" i="4"/>
  <c r="O239" i="4"/>
  <c r="S239" i="4"/>
  <c r="O240" i="4"/>
  <c r="S240" i="4"/>
  <c r="R241" i="4"/>
  <c r="O241" i="4"/>
  <c r="S241" i="4"/>
  <c r="O262" i="4"/>
  <c r="S262" i="4"/>
  <c r="O261" i="4"/>
  <c r="S261" i="4"/>
  <c r="O260" i="4"/>
  <c r="S260" i="4"/>
  <c r="O259" i="4"/>
  <c r="S259" i="4"/>
  <c r="O258" i="4"/>
  <c r="S258" i="4"/>
  <c r="O257" i="4"/>
  <c r="S257" i="4"/>
  <c r="O256" i="4"/>
  <c r="S256" i="4"/>
  <c r="O255" i="4"/>
  <c r="S255" i="4"/>
  <c r="O254" i="4"/>
  <c r="S254" i="4"/>
  <c r="O250" i="4"/>
  <c r="S250" i="4"/>
  <c r="O249" i="4"/>
  <c r="S249" i="4"/>
  <c r="O248" i="4"/>
  <c r="S248" i="4"/>
  <c r="O247" i="4"/>
  <c r="S247" i="4"/>
  <c r="O246" i="4"/>
  <c r="S246" i="4"/>
  <c r="O245" i="4"/>
  <c r="S245" i="4"/>
  <c r="R244" i="4"/>
  <c r="O244" i="4"/>
  <c r="S244" i="4"/>
  <c r="R243" i="4"/>
  <c r="O243" i="4"/>
  <c r="S243" i="4"/>
  <c r="R242" i="4"/>
  <c r="O242" i="4"/>
  <c r="S242" i="4"/>
  <c r="S263" i="4"/>
  <c r="O201" i="4"/>
  <c r="S201" i="4"/>
  <c r="O202" i="4"/>
  <c r="S202" i="4"/>
  <c r="M203" i="4"/>
  <c r="O203" i="4"/>
  <c r="S203" i="4"/>
  <c r="O204" i="4"/>
  <c r="S204" i="4"/>
  <c r="M229" i="4"/>
  <c r="O229" i="4"/>
  <c r="S229" i="4"/>
  <c r="M228" i="4"/>
  <c r="O228" i="4"/>
  <c r="S228" i="4"/>
  <c r="O227" i="4"/>
  <c r="S227" i="4"/>
  <c r="M226" i="4"/>
  <c r="O226" i="4"/>
  <c r="S226" i="4"/>
  <c r="O225" i="4"/>
  <c r="S225" i="4"/>
  <c r="M224" i="4"/>
  <c r="O224" i="4"/>
  <c r="S224" i="4"/>
  <c r="M223" i="4"/>
  <c r="O223" i="4"/>
  <c r="S223" i="4"/>
  <c r="O222" i="4"/>
  <c r="S222" i="4"/>
  <c r="M221" i="4"/>
  <c r="O221" i="4"/>
  <c r="S221" i="4"/>
  <c r="O219" i="4"/>
  <c r="S219" i="4"/>
  <c r="M218" i="4"/>
  <c r="O218" i="4"/>
  <c r="S218" i="4"/>
  <c r="M217" i="4"/>
  <c r="O217" i="4"/>
  <c r="S217" i="4"/>
  <c r="O216" i="4"/>
  <c r="S216" i="4"/>
  <c r="M215" i="4"/>
  <c r="O215" i="4"/>
  <c r="S215" i="4"/>
  <c r="O213" i="4"/>
  <c r="S213" i="4"/>
  <c r="M212" i="4"/>
  <c r="O212" i="4"/>
  <c r="S212" i="4"/>
  <c r="M211" i="4"/>
  <c r="O211" i="4"/>
  <c r="S211" i="4"/>
  <c r="O210" i="4"/>
  <c r="S210" i="4"/>
  <c r="M209" i="4"/>
  <c r="O209" i="4"/>
  <c r="S209" i="4"/>
  <c r="O207" i="4"/>
  <c r="S207" i="4"/>
  <c r="M206" i="4"/>
  <c r="O206" i="4"/>
  <c r="S206" i="4"/>
  <c r="M205" i="4"/>
  <c r="O205" i="4"/>
  <c r="S205" i="4"/>
  <c r="S236" i="4"/>
  <c r="S285" i="4"/>
  <c r="S415" i="4"/>
  <c r="Z415" i="4"/>
  <c r="Y415" i="4"/>
  <c r="Q38" i="4"/>
  <c r="U38" i="4"/>
  <c r="W38" i="4"/>
  <c r="Q48" i="4"/>
  <c r="U48" i="4"/>
  <c r="W48" i="4"/>
  <c r="Q49" i="4"/>
  <c r="U49" i="4"/>
  <c r="W49" i="4"/>
  <c r="Q61" i="4"/>
  <c r="U61" i="4"/>
  <c r="W61" i="4"/>
  <c r="Q413" i="4"/>
  <c r="U413" i="4"/>
  <c r="W413" i="4"/>
  <c r="Q412" i="4"/>
  <c r="U412" i="4"/>
  <c r="W412" i="4"/>
  <c r="Q410" i="4"/>
  <c r="U410" i="4"/>
  <c r="W410" i="4"/>
  <c r="Q409" i="4"/>
  <c r="U409" i="4"/>
  <c r="W409" i="4"/>
  <c r="Q408" i="4"/>
  <c r="U408" i="4"/>
  <c r="W408" i="4"/>
  <c r="Q390" i="4"/>
  <c r="U390" i="4"/>
  <c r="W390" i="4"/>
  <c r="Q389" i="4"/>
  <c r="U389" i="4"/>
  <c r="W389" i="4"/>
  <c r="Q387" i="4"/>
  <c r="U387" i="4"/>
  <c r="W387" i="4"/>
  <c r="Q380" i="4"/>
  <c r="U380" i="4"/>
  <c r="W380" i="4"/>
  <c r="Q379" i="4"/>
  <c r="U379" i="4"/>
  <c r="W379" i="4"/>
  <c r="Q378" i="4"/>
  <c r="U378" i="4"/>
  <c r="W378" i="4"/>
  <c r="Q377" i="4"/>
  <c r="U377" i="4"/>
  <c r="W377" i="4"/>
  <c r="Q376" i="4"/>
  <c r="U376" i="4"/>
  <c r="W376" i="4"/>
  <c r="Q375" i="4"/>
  <c r="U375" i="4"/>
  <c r="W375" i="4"/>
  <c r="Q374" i="4"/>
  <c r="U374" i="4"/>
  <c r="W374" i="4"/>
  <c r="Q373" i="4"/>
  <c r="U373" i="4"/>
  <c r="W373" i="4"/>
  <c r="Q372" i="4"/>
  <c r="U372" i="4"/>
  <c r="W372" i="4"/>
  <c r="Q371" i="4"/>
  <c r="U371" i="4"/>
  <c r="W371" i="4"/>
  <c r="Q369" i="4"/>
  <c r="U369" i="4"/>
  <c r="W369" i="4"/>
  <c r="Q368" i="4"/>
  <c r="U368" i="4"/>
  <c r="W368" i="4"/>
  <c r="Q367" i="4"/>
  <c r="U367" i="4"/>
  <c r="W367" i="4"/>
  <c r="Q366" i="4"/>
  <c r="U366" i="4"/>
  <c r="W366" i="4"/>
  <c r="Q365" i="4"/>
  <c r="U365" i="4"/>
  <c r="W365" i="4"/>
  <c r="Q364" i="4"/>
  <c r="U364" i="4"/>
  <c r="W364" i="4"/>
  <c r="Q363" i="4"/>
  <c r="U363" i="4"/>
  <c r="W363" i="4"/>
  <c r="Q362" i="4"/>
  <c r="U362" i="4"/>
  <c r="W362" i="4"/>
  <c r="Q361" i="4"/>
  <c r="U361" i="4"/>
  <c r="W361" i="4"/>
  <c r="Q359" i="4"/>
  <c r="U359" i="4"/>
  <c r="W359" i="4"/>
  <c r="Q358" i="4"/>
  <c r="U358" i="4"/>
  <c r="W358" i="4"/>
  <c r="Q357" i="4"/>
  <c r="U357" i="4"/>
  <c r="W357" i="4"/>
  <c r="Q356" i="4"/>
  <c r="U356" i="4"/>
  <c r="W356" i="4"/>
  <c r="Q355" i="4"/>
  <c r="U355" i="4"/>
  <c r="W355" i="4"/>
  <c r="Q354" i="4"/>
  <c r="U354" i="4"/>
  <c r="W354" i="4"/>
  <c r="Q353" i="4"/>
  <c r="U353" i="4"/>
  <c r="W353" i="4"/>
  <c r="Q352" i="4"/>
  <c r="U352" i="4"/>
  <c r="W352" i="4"/>
  <c r="Q351" i="4"/>
  <c r="U351" i="4"/>
  <c r="W351" i="4"/>
  <c r="Q349" i="4"/>
  <c r="U349" i="4"/>
  <c r="W349" i="4"/>
  <c r="Q348" i="4"/>
  <c r="U348" i="4"/>
  <c r="W348" i="4"/>
  <c r="Q347" i="4"/>
  <c r="U347" i="4"/>
  <c r="W347" i="4"/>
  <c r="Q346" i="4"/>
  <c r="U346" i="4"/>
  <c r="W346" i="4"/>
  <c r="Q345" i="4"/>
  <c r="U345" i="4"/>
  <c r="W345" i="4"/>
  <c r="Q344" i="4"/>
  <c r="U344" i="4"/>
  <c r="W344" i="4"/>
  <c r="Q343" i="4"/>
  <c r="U343" i="4"/>
  <c r="W343" i="4"/>
  <c r="Q342" i="4"/>
  <c r="U342" i="4"/>
  <c r="W342" i="4"/>
  <c r="Q341" i="4"/>
  <c r="U341" i="4"/>
  <c r="W341" i="4"/>
  <c r="Q322" i="4"/>
  <c r="U322" i="4"/>
  <c r="W322" i="4"/>
  <c r="Q318" i="4"/>
  <c r="U318" i="4"/>
  <c r="W318" i="4"/>
  <c r="Q317" i="4"/>
  <c r="U317" i="4"/>
  <c r="W317" i="4"/>
  <c r="Q316" i="4"/>
  <c r="U316" i="4"/>
  <c r="W316" i="4"/>
  <c r="Q305" i="4"/>
  <c r="T305" i="4"/>
  <c r="U305" i="4"/>
  <c r="W305" i="4"/>
  <c r="Q304" i="4"/>
  <c r="U304" i="4"/>
  <c r="W304" i="4"/>
  <c r="Q303" i="4"/>
  <c r="U303" i="4"/>
  <c r="W303" i="4"/>
  <c r="Q298" i="4"/>
  <c r="U298" i="4"/>
  <c r="W298" i="4"/>
  <c r="Q297" i="4"/>
  <c r="U297" i="4"/>
  <c r="W297" i="4"/>
  <c r="Q262" i="4"/>
  <c r="U262" i="4"/>
  <c r="W262" i="4"/>
  <c r="Q261" i="4"/>
  <c r="U261" i="4"/>
  <c r="W261" i="4"/>
  <c r="M235" i="4"/>
  <c r="O235" i="4"/>
  <c r="Q235" i="4"/>
  <c r="S235" i="4"/>
  <c r="U235" i="4"/>
  <c r="W235" i="4"/>
  <c r="M234" i="4"/>
  <c r="O234" i="4"/>
  <c r="Q234" i="4"/>
  <c r="S234" i="4"/>
  <c r="U234" i="4"/>
  <c r="W234" i="4"/>
  <c r="M232" i="4"/>
  <c r="O232" i="4"/>
  <c r="Q232" i="4"/>
  <c r="S232" i="4"/>
  <c r="U232" i="4"/>
  <c r="W232" i="4"/>
  <c r="M231" i="4"/>
  <c r="O231" i="4"/>
  <c r="Q231" i="4"/>
  <c r="S231" i="4"/>
  <c r="U231" i="4"/>
  <c r="W231" i="4"/>
  <c r="Q218" i="4"/>
  <c r="U218" i="4"/>
  <c r="W218" i="4"/>
  <c r="Q217" i="4"/>
  <c r="U217" i="4"/>
  <c r="W217" i="4"/>
  <c r="Q215" i="4"/>
  <c r="U215" i="4"/>
  <c r="W215" i="4"/>
  <c r="Q213" i="4"/>
  <c r="U213" i="4"/>
  <c r="W213" i="4"/>
  <c r="Q212" i="4"/>
  <c r="U212" i="4"/>
  <c r="W212" i="4"/>
  <c r="Q211" i="4"/>
  <c r="U211" i="4"/>
  <c r="W211" i="4"/>
  <c r="Q209" i="4"/>
  <c r="U209" i="4"/>
  <c r="W209" i="4"/>
  <c r="Q207" i="4"/>
  <c r="U207" i="4"/>
  <c r="W207" i="4"/>
  <c r="Q195" i="4"/>
  <c r="U195" i="4"/>
  <c r="W195" i="4"/>
  <c r="Q190" i="4"/>
  <c r="U190" i="4"/>
  <c r="W190" i="4"/>
  <c r="Q189" i="4"/>
  <c r="U189" i="4"/>
  <c r="W189" i="4"/>
  <c r="Q188" i="4"/>
  <c r="U188" i="4"/>
  <c r="W188" i="4"/>
  <c r="Q187" i="4"/>
  <c r="U187" i="4"/>
  <c r="W187" i="4"/>
  <c r="M185" i="4"/>
  <c r="O185" i="4"/>
  <c r="Q185" i="4"/>
  <c r="S185" i="4"/>
  <c r="U185" i="4"/>
  <c r="W185" i="4"/>
  <c r="M184" i="4"/>
  <c r="O184" i="4"/>
  <c r="Q184" i="4"/>
  <c r="S184" i="4"/>
  <c r="U184" i="4"/>
  <c r="W184" i="4"/>
  <c r="M183" i="4"/>
  <c r="O183" i="4"/>
  <c r="Q183" i="4"/>
  <c r="S183" i="4"/>
  <c r="U183" i="4"/>
  <c r="W183" i="4"/>
  <c r="M182" i="4"/>
  <c r="O182" i="4"/>
  <c r="Q182" i="4"/>
  <c r="S182" i="4"/>
  <c r="U182" i="4"/>
  <c r="W182" i="4"/>
  <c r="O181" i="4"/>
  <c r="Q181" i="4"/>
  <c r="S181" i="4"/>
  <c r="U181" i="4"/>
  <c r="W181" i="4"/>
  <c r="Q173" i="4"/>
  <c r="U173" i="4"/>
  <c r="W173" i="4"/>
  <c r="Q170" i="4"/>
  <c r="U170" i="4"/>
  <c r="W170" i="4"/>
  <c r="Q169" i="4"/>
  <c r="U169" i="4"/>
  <c r="W169" i="4"/>
  <c r="Q168" i="4"/>
  <c r="U168" i="4"/>
  <c r="W168" i="4"/>
  <c r="Q167" i="4"/>
  <c r="U167" i="4"/>
  <c r="W167" i="4"/>
  <c r="Q166" i="4"/>
  <c r="U166" i="4"/>
  <c r="W166" i="4"/>
  <c r="Q165" i="4"/>
  <c r="U165" i="4"/>
  <c r="W165" i="4"/>
  <c r="Q164" i="4"/>
  <c r="U164" i="4"/>
  <c r="W164" i="4"/>
  <c r="Q163" i="4"/>
  <c r="U163" i="4"/>
  <c r="W163" i="4"/>
  <c r="Q162" i="4"/>
  <c r="U162" i="4"/>
  <c r="W162" i="4"/>
  <c r="Q161" i="4"/>
  <c r="U161" i="4"/>
  <c r="W161" i="4"/>
  <c r="Q160" i="4"/>
  <c r="U160" i="4"/>
  <c r="W160" i="4"/>
  <c r="Q159" i="4"/>
  <c r="U159" i="4"/>
  <c r="W159" i="4"/>
  <c r="Q158" i="4"/>
  <c r="U158" i="4"/>
  <c r="W158" i="4"/>
  <c r="Q157" i="4"/>
  <c r="U157" i="4"/>
  <c r="W157" i="4"/>
  <c r="Q156" i="4"/>
  <c r="U156" i="4"/>
  <c r="W156" i="4"/>
  <c r="Q155" i="4"/>
  <c r="U155" i="4"/>
  <c r="W155" i="4"/>
  <c r="Q154" i="4"/>
  <c r="U154" i="4"/>
  <c r="W154" i="4"/>
  <c r="Q153" i="4"/>
  <c r="U153" i="4"/>
  <c r="W153" i="4"/>
  <c r="Q152" i="4"/>
  <c r="U152" i="4"/>
  <c r="W152" i="4"/>
  <c r="Q151" i="4"/>
  <c r="U151" i="4"/>
  <c r="W151" i="4"/>
  <c r="Q125" i="4"/>
  <c r="U125" i="4"/>
  <c r="W125" i="4"/>
  <c r="Q124" i="4"/>
  <c r="U124" i="4"/>
  <c r="W124" i="4"/>
  <c r="Q123" i="4"/>
  <c r="U123" i="4"/>
  <c r="W123" i="4"/>
  <c r="Q122" i="4"/>
  <c r="U122" i="4"/>
  <c r="W122" i="4"/>
  <c r="Q121" i="4"/>
  <c r="U121" i="4"/>
  <c r="W121" i="4"/>
  <c r="Q120" i="4"/>
  <c r="U120" i="4"/>
  <c r="W120" i="4"/>
  <c r="Q119" i="4"/>
  <c r="U119" i="4"/>
  <c r="W119" i="4"/>
  <c r="Q118" i="4"/>
  <c r="U118" i="4"/>
  <c r="W118" i="4"/>
  <c r="Q117" i="4"/>
  <c r="U117" i="4"/>
  <c r="W117" i="4"/>
  <c r="Q116" i="4"/>
  <c r="U116" i="4"/>
  <c r="W116" i="4"/>
  <c r="Q115" i="4"/>
  <c r="U115" i="4"/>
  <c r="W115" i="4"/>
  <c r="Q114" i="4"/>
  <c r="U114" i="4"/>
  <c r="W114" i="4"/>
  <c r="Q109" i="4"/>
  <c r="U109" i="4"/>
  <c r="W109" i="4"/>
  <c r="Q108" i="4"/>
  <c r="U108" i="4"/>
  <c r="W108" i="4"/>
  <c r="Q107" i="4"/>
  <c r="U107" i="4"/>
  <c r="W107" i="4"/>
  <c r="Q83" i="4"/>
  <c r="U83" i="4"/>
  <c r="W83" i="4"/>
  <c r="Q82" i="4"/>
  <c r="U82" i="4"/>
  <c r="W82" i="4"/>
  <c r="Q81" i="4"/>
  <c r="U81" i="4"/>
  <c r="W81" i="4"/>
  <c r="Q80" i="4"/>
  <c r="U80" i="4"/>
  <c r="W80" i="4"/>
  <c r="Q79" i="4"/>
  <c r="U79" i="4"/>
  <c r="W79" i="4"/>
  <c r="Q78" i="4"/>
  <c r="U78" i="4"/>
  <c r="W78" i="4"/>
  <c r="Q77" i="4"/>
  <c r="U77" i="4"/>
  <c r="W77" i="4"/>
  <c r="Q76" i="4"/>
  <c r="U76" i="4"/>
  <c r="W76" i="4"/>
  <c r="Q75" i="4"/>
  <c r="U75" i="4"/>
  <c r="W75" i="4"/>
  <c r="Q74" i="4"/>
  <c r="U74" i="4"/>
  <c r="W74" i="4"/>
  <c r="Q73" i="4"/>
  <c r="U73" i="4"/>
  <c r="W73" i="4"/>
  <c r="W415" i="4"/>
  <c r="U415" i="4"/>
  <c r="Q62" i="4"/>
  <c r="Q63" i="4"/>
  <c r="Q171" i="4"/>
  <c r="Q192" i="4"/>
  <c r="Q391" i="4"/>
  <c r="Q326" i="4"/>
  <c r="Q325" i="4"/>
  <c r="Q324" i="4"/>
  <c r="Q323" i="4"/>
  <c r="Q321" i="4"/>
  <c r="Q320" i="4"/>
  <c r="Q289" i="4"/>
  <c r="Q287" i="4"/>
  <c r="Q260" i="4"/>
  <c r="Q259" i="4"/>
  <c r="Q258" i="4"/>
  <c r="Q257" i="4"/>
  <c r="Q256" i="4"/>
  <c r="Q255" i="4"/>
  <c r="Q254" i="4"/>
  <c r="Q196" i="4"/>
  <c r="Q415" i="4"/>
  <c r="Z414" i="4"/>
  <c r="Y414" i="4"/>
  <c r="Y413" i="4"/>
  <c r="V413" i="4"/>
  <c r="Y412" i="4"/>
  <c r="V412" i="4"/>
  <c r="Y410" i="4"/>
  <c r="V410" i="4"/>
  <c r="Y409" i="4"/>
  <c r="V409" i="4"/>
  <c r="Y408" i="4"/>
  <c r="V408" i="4"/>
  <c r="T407" i="4"/>
  <c r="U407" i="4"/>
  <c r="M402" i="4"/>
  <c r="Z393" i="4"/>
  <c r="Y393" i="4"/>
  <c r="Z392" i="4"/>
  <c r="Y392" i="4"/>
  <c r="U391" i="4"/>
  <c r="Y390" i="4"/>
  <c r="V390" i="4"/>
  <c r="Y389" i="4"/>
  <c r="V389" i="4"/>
  <c r="Y388" i="4"/>
  <c r="Y387" i="4"/>
  <c r="V387" i="4"/>
  <c r="Z381" i="4"/>
  <c r="Y381" i="4"/>
  <c r="Y380" i="4"/>
  <c r="V380" i="4"/>
  <c r="Y379" i="4"/>
  <c r="V379" i="4"/>
  <c r="Y378" i="4"/>
  <c r="V378" i="4"/>
  <c r="Y377" i="4"/>
  <c r="V377" i="4"/>
  <c r="Y376" i="4"/>
  <c r="V376" i="4"/>
  <c r="Y375" i="4"/>
  <c r="V375" i="4"/>
  <c r="Y374" i="4"/>
  <c r="V374" i="4"/>
  <c r="Y373" i="4"/>
  <c r="V373" i="4"/>
  <c r="Y372" i="4"/>
  <c r="V372" i="4"/>
  <c r="Y371" i="4"/>
  <c r="V371" i="4"/>
  <c r="Z370" i="4"/>
  <c r="Y370" i="4"/>
  <c r="Y369" i="4"/>
  <c r="V369" i="4"/>
  <c r="Y368" i="4"/>
  <c r="V368" i="4"/>
  <c r="Y367" i="4"/>
  <c r="V367" i="4"/>
  <c r="Y366" i="4"/>
  <c r="V366" i="4"/>
  <c r="Y365" i="4"/>
  <c r="V365" i="4"/>
  <c r="Y364" i="4"/>
  <c r="V364" i="4"/>
  <c r="Y363" i="4"/>
  <c r="V363" i="4"/>
  <c r="Y362" i="4"/>
  <c r="V362" i="4"/>
  <c r="Y361" i="4"/>
  <c r="V361" i="4"/>
  <c r="Z360" i="4"/>
  <c r="Y360" i="4"/>
  <c r="Y359" i="4"/>
  <c r="V359" i="4"/>
  <c r="Y358" i="4"/>
  <c r="V358" i="4"/>
  <c r="Y357" i="4"/>
  <c r="V357" i="4"/>
  <c r="Y356" i="4"/>
  <c r="V356" i="4"/>
  <c r="Y355" i="4"/>
  <c r="V355" i="4"/>
  <c r="Y354" i="4"/>
  <c r="V354" i="4"/>
  <c r="Y353" i="4"/>
  <c r="V353" i="4"/>
  <c r="Y352" i="4"/>
  <c r="V352" i="4"/>
  <c r="Y351" i="4"/>
  <c r="V351" i="4"/>
  <c r="Z350" i="4"/>
  <c r="Y350" i="4"/>
  <c r="Y349" i="4"/>
  <c r="V349" i="4"/>
  <c r="Y348" i="4"/>
  <c r="V348" i="4"/>
  <c r="Y347" i="4"/>
  <c r="V347" i="4"/>
  <c r="Y346" i="4"/>
  <c r="V346" i="4"/>
  <c r="Y345" i="4"/>
  <c r="V345" i="4"/>
  <c r="Y344" i="4"/>
  <c r="V344" i="4"/>
  <c r="Y343" i="4"/>
  <c r="V343" i="4"/>
  <c r="Y342" i="4"/>
  <c r="Y341" i="4"/>
  <c r="V341" i="4"/>
  <c r="Z338" i="4"/>
  <c r="Y338" i="4"/>
  <c r="M335" i="4"/>
  <c r="M334" i="4"/>
  <c r="Z328" i="4"/>
  <c r="Y328" i="4"/>
  <c r="Y327" i="4"/>
  <c r="Y326" i="4"/>
  <c r="Y325" i="4"/>
  <c r="Y324" i="4"/>
  <c r="Y323" i="4"/>
  <c r="Y322" i="4"/>
  <c r="V322" i="4"/>
  <c r="Y321" i="4"/>
  <c r="Y320" i="4"/>
  <c r="Y319" i="4"/>
  <c r="Y318" i="4"/>
  <c r="V318" i="4"/>
  <c r="Y317" i="4"/>
  <c r="V317" i="4"/>
  <c r="Y316" i="4"/>
  <c r="V316" i="4"/>
  <c r="Z312" i="4"/>
  <c r="Y312" i="4"/>
  <c r="Y311" i="4"/>
  <c r="Y310" i="4"/>
  <c r="Y309" i="4"/>
  <c r="Y308" i="4"/>
  <c r="Y307" i="4"/>
  <c r="Y306" i="4"/>
  <c r="Y305" i="4"/>
  <c r="V305" i="4"/>
  <c r="Y304" i="4"/>
  <c r="V304" i="4"/>
  <c r="Y303" i="4"/>
  <c r="V303" i="4"/>
  <c r="Z300" i="4"/>
  <c r="Y300" i="4"/>
  <c r="Y298" i="4"/>
  <c r="V298" i="4"/>
  <c r="Y297" i="4"/>
  <c r="V297" i="4"/>
  <c r="Z295" i="4"/>
  <c r="Y295" i="4"/>
  <c r="M291" i="4"/>
  <c r="Y289" i="4"/>
  <c r="Y287" i="4"/>
  <c r="Z285" i="4"/>
  <c r="Y285" i="4"/>
  <c r="M278" i="4"/>
  <c r="M272" i="4"/>
  <c r="M271" i="4"/>
  <c r="M269" i="4"/>
  <c r="M266" i="4"/>
  <c r="Z263" i="4"/>
  <c r="Y263" i="4"/>
  <c r="Y262" i="4"/>
  <c r="V262" i="4"/>
  <c r="Y261" i="4"/>
  <c r="V261" i="4"/>
  <c r="Y260" i="4"/>
  <c r="Y259" i="4"/>
  <c r="Y258" i="4"/>
  <c r="Y257" i="4"/>
  <c r="Y256" i="4"/>
  <c r="Y255" i="4"/>
  <c r="Y254" i="4"/>
  <c r="Y250" i="4"/>
  <c r="Y249" i="4"/>
  <c r="Y248" i="4"/>
  <c r="Y247" i="4"/>
  <c r="Y246" i="4"/>
  <c r="Y245" i="4"/>
  <c r="Y244" i="4"/>
  <c r="Y243" i="4"/>
  <c r="Y242" i="4"/>
  <c r="Y241" i="4"/>
  <c r="Y240" i="4"/>
  <c r="Y239" i="4"/>
  <c r="Y238" i="4"/>
  <c r="Z236" i="4"/>
  <c r="Y236" i="4"/>
  <c r="V235" i="4"/>
  <c r="V234" i="4"/>
  <c r="M233" i="4"/>
  <c r="V232" i="4"/>
  <c r="V231" i="4"/>
  <c r="M230" i="4"/>
  <c r="Y229" i="4"/>
  <c r="Y228" i="4"/>
  <c r="Y227" i="4"/>
  <c r="Y226" i="4"/>
  <c r="Y225" i="4"/>
  <c r="Y224" i="4"/>
  <c r="Y223" i="4"/>
  <c r="Y222" i="4"/>
  <c r="Y221" i="4"/>
  <c r="Y219" i="4"/>
  <c r="Y218" i="4"/>
  <c r="V218" i="4"/>
  <c r="Y217" i="4"/>
  <c r="V217" i="4"/>
  <c r="Y216" i="4"/>
  <c r="Y215" i="4"/>
  <c r="V215" i="4"/>
  <c r="Y213" i="4"/>
  <c r="V213" i="4"/>
  <c r="Y212" i="4"/>
  <c r="V212" i="4"/>
  <c r="Y211" i="4"/>
  <c r="V211" i="4"/>
  <c r="Y210" i="4"/>
  <c r="Y209" i="4"/>
  <c r="V209" i="4"/>
  <c r="Y207" i="4"/>
  <c r="V207" i="4"/>
  <c r="Y206" i="4"/>
  <c r="Y205" i="4"/>
  <c r="Y204" i="4"/>
  <c r="Y203" i="4"/>
  <c r="Y201" i="4"/>
  <c r="Z198" i="4"/>
  <c r="Y198" i="4"/>
  <c r="Z197" i="4"/>
  <c r="Y197" i="4"/>
  <c r="Y196" i="4"/>
  <c r="Y195" i="4"/>
  <c r="V195" i="4"/>
  <c r="Z194" i="4"/>
  <c r="Y194" i="4"/>
  <c r="Y193" i="4"/>
  <c r="Y192" i="4"/>
  <c r="Y190" i="4"/>
  <c r="V190" i="4"/>
  <c r="Y189" i="4"/>
  <c r="V189" i="4"/>
  <c r="Y188" i="4"/>
  <c r="V188" i="4"/>
  <c r="Y187" i="4"/>
  <c r="V187" i="4"/>
  <c r="V185" i="4"/>
  <c r="V184" i="4"/>
  <c r="V183" i="4"/>
  <c r="V182" i="4"/>
  <c r="V181" i="4"/>
  <c r="Z175" i="4"/>
  <c r="Y175" i="4"/>
  <c r="Z174" i="4"/>
  <c r="Y174" i="4"/>
  <c r="Y173" i="4"/>
  <c r="V173" i="4"/>
  <c r="Y172" i="4"/>
  <c r="Y171" i="4"/>
  <c r="X171" i="4"/>
  <c r="Y170" i="4"/>
  <c r="V170" i="4"/>
  <c r="Y169" i="4"/>
  <c r="V169" i="4"/>
  <c r="Y168" i="4"/>
  <c r="V168" i="4"/>
  <c r="Y167" i="4"/>
  <c r="V167" i="4"/>
  <c r="Y166" i="4"/>
  <c r="V166" i="4"/>
  <c r="Y165" i="4"/>
  <c r="V165" i="4"/>
  <c r="Y164" i="4"/>
  <c r="V164" i="4"/>
  <c r="Y163" i="4"/>
  <c r="V163" i="4"/>
  <c r="Y162" i="4"/>
  <c r="V162" i="4"/>
  <c r="Y161" i="4"/>
  <c r="V161" i="4"/>
  <c r="Y160" i="4"/>
  <c r="V160" i="4"/>
  <c r="Y159" i="4"/>
  <c r="V159" i="4"/>
  <c r="Y158" i="4"/>
  <c r="V158" i="4"/>
  <c r="Y157" i="4"/>
  <c r="V157" i="4"/>
  <c r="Y156" i="4"/>
  <c r="V156" i="4"/>
  <c r="Y155" i="4"/>
  <c r="V155" i="4"/>
  <c r="Y154" i="4"/>
  <c r="V154" i="4"/>
  <c r="Y153" i="4"/>
  <c r="V153" i="4"/>
  <c r="Y152" i="4"/>
  <c r="V152" i="4"/>
  <c r="Y151" i="4"/>
  <c r="V151" i="4"/>
  <c r="M150" i="4"/>
  <c r="M149" i="4"/>
  <c r="M148" i="4"/>
  <c r="M147" i="4"/>
  <c r="M146" i="4"/>
  <c r="M145" i="4"/>
  <c r="M138" i="4"/>
  <c r="M137" i="4"/>
  <c r="M136" i="4"/>
  <c r="M135" i="4"/>
  <c r="M134" i="4"/>
  <c r="M133" i="4"/>
  <c r="M129" i="4"/>
  <c r="Z126" i="4"/>
  <c r="Y126" i="4"/>
  <c r="Y125" i="4"/>
  <c r="V125" i="4"/>
  <c r="Y124" i="4"/>
  <c r="V124" i="4"/>
  <c r="Y123" i="4"/>
  <c r="V123" i="4"/>
  <c r="Y122" i="4"/>
  <c r="V122" i="4"/>
  <c r="Y121" i="4"/>
  <c r="V121" i="4"/>
  <c r="Y120" i="4"/>
  <c r="V120" i="4"/>
  <c r="Y119" i="4"/>
  <c r="V119" i="4"/>
  <c r="Y118" i="4"/>
  <c r="V118" i="4"/>
  <c r="Y117" i="4"/>
  <c r="V117" i="4"/>
  <c r="Y116" i="4"/>
  <c r="V116" i="4"/>
  <c r="Y115" i="4"/>
  <c r="V115" i="4"/>
  <c r="Y114" i="4"/>
  <c r="V114" i="4"/>
  <c r="Z113" i="4"/>
  <c r="Y113" i="4"/>
  <c r="M112" i="4"/>
  <c r="Y109" i="4"/>
  <c r="V109" i="4"/>
  <c r="Y108" i="4"/>
  <c r="V108" i="4"/>
  <c r="Y107" i="4"/>
  <c r="V107" i="4"/>
  <c r="Z84" i="4"/>
  <c r="Y84" i="4"/>
  <c r="Y83" i="4"/>
  <c r="V83" i="4"/>
  <c r="Y82" i="4"/>
  <c r="V82" i="4"/>
  <c r="Y81" i="4"/>
  <c r="V81" i="4"/>
  <c r="Y80" i="4"/>
  <c r="V80" i="4"/>
  <c r="Y79" i="4"/>
  <c r="V79" i="4"/>
  <c r="Y78" i="4"/>
  <c r="V78" i="4"/>
  <c r="Y77" i="4"/>
  <c r="V77" i="4"/>
  <c r="Y76" i="4"/>
  <c r="V76" i="4"/>
  <c r="Y75" i="4"/>
  <c r="V75" i="4"/>
  <c r="Y74" i="4"/>
  <c r="V74" i="4"/>
  <c r="Y73" i="4"/>
  <c r="V73" i="4"/>
  <c r="Z71" i="4"/>
  <c r="Y71" i="4"/>
  <c r="M69" i="4"/>
  <c r="Y63" i="4"/>
  <c r="Y62" i="4"/>
  <c r="Y61" i="4"/>
  <c r="V61" i="4"/>
  <c r="Z58" i="4"/>
  <c r="Y58" i="4"/>
  <c r="M54" i="4"/>
  <c r="Z51" i="4"/>
  <c r="Y51" i="4"/>
  <c r="Y50" i="4"/>
  <c r="Y49" i="4"/>
  <c r="V49" i="4"/>
  <c r="Y48" i="4"/>
  <c r="V48" i="4"/>
  <c r="Z41" i="4"/>
  <c r="Y41" i="4"/>
  <c r="Y40" i="4"/>
  <c r="Y39" i="4"/>
  <c r="Y38" i="4"/>
  <c r="V38" i="4"/>
  <c r="M34" i="4"/>
  <c r="M33" i="4"/>
  <c r="M32" i="4"/>
  <c r="M31" i="4"/>
  <c r="M30" i="4"/>
  <c r="M24" i="4"/>
  <c r="M23" i="4"/>
  <c r="M22" i="4"/>
  <c r="M21" i="4"/>
  <c r="M20" i="4"/>
  <c r="M16" i="4"/>
  <c r="M12" i="4"/>
  <c r="W363" i="3"/>
  <c r="W364" i="3"/>
  <c r="W365" i="3"/>
  <c r="W366" i="3"/>
  <c r="O7" i="3"/>
  <c r="Q7" i="3"/>
  <c r="S7" i="3"/>
  <c r="U7" i="3"/>
  <c r="W7" i="3"/>
  <c r="O23" i="3"/>
  <c r="Q23" i="3"/>
  <c r="S23" i="3"/>
  <c r="U23" i="3"/>
  <c r="W23" i="3"/>
  <c r="O27" i="3"/>
  <c r="Q27" i="3"/>
  <c r="S27" i="3"/>
  <c r="U27" i="3"/>
  <c r="W27" i="3"/>
  <c r="O28" i="3"/>
  <c r="Q28" i="3"/>
  <c r="S28" i="3"/>
  <c r="U28" i="3"/>
  <c r="W28" i="3"/>
  <c r="O161" i="3"/>
  <c r="Q161" i="3"/>
  <c r="S161" i="3"/>
  <c r="U161" i="3"/>
  <c r="W161" i="3"/>
  <c r="M160" i="3"/>
  <c r="O160" i="3"/>
  <c r="Q160" i="3"/>
  <c r="S160" i="3"/>
  <c r="U160" i="3"/>
  <c r="W160" i="3"/>
  <c r="M132" i="3"/>
  <c r="O132" i="3"/>
  <c r="Q132" i="3"/>
  <c r="S132" i="3"/>
  <c r="U132" i="3"/>
  <c r="W132" i="3"/>
  <c r="M130" i="3"/>
  <c r="O130" i="3"/>
  <c r="Q130" i="3"/>
  <c r="S130" i="3"/>
  <c r="U130" i="3"/>
  <c r="W130" i="3"/>
  <c r="M128" i="3"/>
  <c r="O128" i="3"/>
  <c r="Q128" i="3"/>
  <c r="S128" i="3"/>
  <c r="U128" i="3"/>
  <c r="W128" i="3"/>
  <c r="M124" i="3"/>
  <c r="O124" i="3"/>
  <c r="Q124" i="3"/>
  <c r="S124" i="3"/>
  <c r="U124" i="3"/>
  <c r="W124" i="3"/>
  <c r="P56" i="3"/>
  <c r="O56" i="3"/>
  <c r="Q56" i="3"/>
  <c r="S56" i="3"/>
  <c r="U56" i="3"/>
  <c r="W56" i="3"/>
  <c r="M55" i="3"/>
  <c r="O55" i="3"/>
  <c r="Q55" i="3"/>
  <c r="S55" i="3"/>
  <c r="U55" i="3"/>
  <c r="W55" i="3"/>
  <c r="M54" i="3"/>
  <c r="O54" i="3"/>
  <c r="Q54" i="3"/>
  <c r="S54" i="3"/>
  <c r="U54" i="3"/>
  <c r="W54" i="3"/>
  <c r="M53" i="3"/>
  <c r="O53" i="3"/>
  <c r="Q53" i="3"/>
  <c r="S53" i="3"/>
  <c r="U53" i="3"/>
  <c r="W53" i="3"/>
  <c r="M52" i="3"/>
  <c r="O52" i="3"/>
  <c r="Q52" i="3"/>
  <c r="S52" i="3"/>
  <c r="U52" i="3"/>
  <c r="W52" i="3"/>
  <c r="M51" i="3"/>
  <c r="O51" i="3"/>
  <c r="Q51" i="3"/>
  <c r="S51" i="3"/>
  <c r="U51" i="3"/>
  <c r="W51" i="3"/>
  <c r="M50" i="3"/>
  <c r="O50" i="3"/>
  <c r="Q50" i="3"/>
  <c r="S50" i="3"/>
  <c r="U50" i="3"/>
  <c r="W50" i="3"/>
  <c r="O49" i="3"/>
  <c r="Q49" i="3"/>
  <c r="S49" i="3"/>
  <c r="U49" i="3"/>
  <c r="W49" i="3"/>
  <c r="O48" i="3"/>
  <c r="Q48" i="3"/>
  <c r="S48" i="3"/>
  <c r="U48" i="3"/>
  <c r="W48" i="3"/>
  <c r="O47" i="3"/>
  <c r="Q47" i="3"/>
  <c r="S47" i="3"/>
  <c r="U47" i="3"/>
  <c r="W47" i="3"/>
  <c r="O45" i="3"/>
  <c r="Q45" i="3"/>
  <c r="S45" i="3"/>
  <c r="U45" i="3"/>
  <c r="W45" i="3"/>
  <c r="O44" i="3"/>
  <c r="Q44" i="3"/>
  <c r="S44" i="3"/>
  <c r="U44" i="3"/>
  <c r="W44" i="3"/>
  <c r="O41" i="3"/>
  <c r="Q41" i="3"/>
  <c r="S41" i="3"/>
  <c r="U41" i="3"/>
  <c r="W41" i="3"/>
  <c r="O40" i="3"/>
  <c r="Q40" i="3"/>
  <c r="S40" i="3"/>
  <c r="U40" i="3"/>
  <c r="W40" i="3"/>
  <c r="M36" i="3"/>
  <c r="O36" i="3"/>
  <c r="Q36" i="3"/>
  <c r="S36" i="3"/>
  <c r="U36" i="3"/>
  <c r="W36" i="3"/>
  <c r="O32" i="3"/>
  <c r="Q32" i="3"/>
  <c r="S32" i="3"/>
  <c r="U32" i="3"/>
  <c r="W32" i="3"/>
  <c r="W165" i="3"/>
  <c r="W359" i="3"/>
  <c r="W362" i="3"/>
  <c r="W367" i="3"/>
  <c r="U363" i="3"/>
  <c r="U364" i="3"/>
  <c r="U365" i="3"/>
  <c r="U366" i="3"/>
  <c r="U165" i="3"/>
  <c r="U359" i="3"/>
  <c r="U362" i="3"/>
  <c r="U367" i="3"/>
  <c r="S363" i="3"/>
  <c r="S364" i="3"/>
  <c r="S365" i="3"/>
  <c r="S366" i="3"/>
  <c r="S165" i="3"/>
  <c r="S359" i="3"/>
  <c r="S362" i="3"/>
  <c r="S367" i="3"/>
  <c r="Q363" i="3"/>
  <c r="Q364" i="3"/>
  <c r="Q365" i="3"/>
  <c r="Q366" i="3"/>
  <c r="Q359" i="3"/>
  <c r="O219" i="3"/>
  <c r="Q219" i="3"/>
  <c r="N220" i="3"/>
  <c r="O220" i="3"/>
  <c r="Q220" i="3"/>
  <c r="N221" i="3"/>
  <c r="O221" i="3"/>
  <c r="Q221" i="3"/>
  <c r="M222" i="3"/>
  <c r="O222" i="3"/>
  <c r="Q222" i="3"/>
  <c r="M228" i="3"/>
  <c r="O228" i="3"/>
  <c r="M227" i="3"/>
  <c r="O227" i="3"/>
  <c r="O174" i="3"/>
  <c r="L171" i="3"/>
  <c r="L173" i="3"/>
  <c r="M173" i="3"/>
  <c r="O173" i="3"/>
  <c r="M248" i="3"/>
  <c r="O248" i="3"/>
  <c r="M293" i="3"/>
  <c r="N286" i="3"/>
  <c r="N287" i="3"/>
  <c r="N288" i="3"/>
  <c r="N289" i="3"/>
  <c r="N290" i="3"/>
  <c r="N291" i="3"/>
  <c r="N292" i="3"/>
  <c r="N293" i="3"/>
  <c r="O293" i="3"/>
  <c r="M252" i="3"/>
  <c r="O252" i="3"/>
  <c r="M250" i="3"/>
  <c r="O250" i="3"/>
  <c r="L233" i="3"/>
  <c r="L236" i="3"/>
  <c r="L237" i="3"/>
  <c r="O237" i="3"/>
  <c r="Q237" i="3"/>
  <c r="O236" i="3"/>
  <c r="Q236" i="3"/>
  <c r="L234" i="3"/>
  <c r="O234" i="3"/>
  <c r="Q234" i="3"/>
  <c r="O233" i="3"/>
  <c r="Q233" i="3"/>
  <c r="Q228" i="3"/>
  <c r="Q227" i="3"/>
  <c r="M226" i="3"/>
  <c r="O226" i="3"/>
  <c r="Q226" i="3"/>
  <c r="M225" i="3"/>
  <c r="O225" i="3"/>
  <c r="Q225" i="3"/>
  <c r="M224" i="3"/>
  <c r="O224" i="3"/>
  <c r="Q224" i="3"/>
  <c r="M223" i="3"/>
  <c r="O223" i="3"/>
  <c r="Q223" i="3"/>
  <c r="Q239" i="3"/>
  <c r="Q360" i="3"/>
  <c r="O168" i="3"/>
  <c r="Q168" i="3"/>
  <c r="P171" i="3"/>
  <c r="M171" i="3"/>
  <c r="O171" i="3"/>
  <c r="Q171" i="3"/>
  <c r="L172" i="3"/>
  <c r="O172" i="3"/>
  <c r="Q172" i="3"/>
  <c r="Q173" i="3"/>
  <c r="O194" i="3"/>
  <c r="Q194" i="3"/>
  <c r="O193" i="3"/>
  <c r="Q193" i="3"/>
  <c r="M192" i="3"/>
  <c r="O192" i="3"/>
  <c r="Q192" i="3"/>
  <c r="M191" i="3"/>
  <c r="O191" i="3"/>
  <c r="Q191" i="3"/>
  <c r="O189" i="3"/>
  <c r="Q189" i="3"/>
  <c r="M188" i="3"/>
  <c r="O188" i="3"/>
  <c r="Q188" i="3"/>
  <c r="O187" i="3"/>
  <c r="Q187" i="3"/>
  <c r="O186" i="3"/>
  <c r="Q186" i="3"/>
  <c r="M185" i="3"/>
  <c r="O185" i="3"/>
  <c r="Q185" i="3"/>
  <c r="M184" i="3"/>
  <c r="O184" i="3"/>
  <c r="Q184" i="3"/>
  <c r="O183" i="3"/>
  <c r="Q183" i="3"/>
  <c r="M182" i="3"/>
  <c r="O182" i="3"/>
  <c r="Q182" i="3"/>
  <c r="M181" i="3"/>
  <c r="O181" i="3"/>
  <c r="Q181" i="3"/>
  <c r="L175" i="3"/>
  <c r="L180" i="3"/>
  <c r="M180" i="3"/>
  <c r="O180" i="3"/>
  <c r="Q180" i="3"/>
  <c r="O179" i="3"/>
  <c r="Q179" i="3"/>
  <c r="L178" i="3"/>
  <c r="O178" i="3"/>
  <c r="Q178" i="3"/>
  <c r="L176" i="3"/>
  <c r="L177" i="3"/>
  <c r="M177" i="3"/>
  <c r="O177" i="3"/>
  <c r="Q177" i="3"/>
  <c r="M176" i="3"/>
  <c r="O176" i="3"/>
  <c r="Q176" i="3"/>
  <c r="O175" i="3"/>
  <c r="Q175" i="3"/>
  <c r="Q174" i="3"/>
  <c r="Q216" i="3"/>
  <c r="O241" i="3"/>
  <c r="Q241" i="3"/>
  <c r="O242" i="3"/>
  <c r="Q242" i="3"/>
  <c r="O243" i="3"/>
  <c r="Q243" i="3"/>
  <c r="L244" i="3"/>
  <c r="O244" i="3"/>
  <c r="Q244" i="3"/>
  <c r="O258" i="3"/>
  <c r="Q258" i="3"/>
  <c r="O257" i="3"/>
  <c r="Q257" i="3"/>
  <c r="O256" i="3"/>
  <c r="Q256" i="3"/>
  <c r="O255" i="3"/>
  <c r="Q255" i="3"/>
  <c r="O254" i="3"/>
  <c r="Q254" i="3"/>
  <c r="L253" i="3"/>
  <c r="O253" i="3"/>
  <c r="Q253" i="3"/>
  <c r="Q252" i="3"/>
  <c r="M251" i="3"/>
  <c r="O251" i="3"/>
  <c r="Q251" i="3"/>
  <c r="Q250" i="3"/>
  <c r="M249" i="3"/>
  <c r="O249" i="3"/>
  <c r="Q249" i="3"/>
  <c r="Q248" i="3"/>
  <c r="L247" i="3"/>
  <c r="N246" i="3"/>
  <c r="N247" i="3"/>
  <c r="O247" i="3"/>
  <c r="Q247" i="3"/>
  <c r="L246" i="3"/>
  <c r="O246" i="3"/>
  <c r="Q246" i="3"/>
  <c r="O245" i="3"/>
  <c r="Q245" i="3"/>
  <c r="Q259" i="3"/>
  <c r="O265" i="3"/>
  <c r="Q265" i="3"/>
  <c r="O266" i="3"/>
  <c r="Q266" i="3"/>
  <c r="O267" i="3"/>
  <c r="Q267" i="3"/>
  <c r="M268" i="3"/>
  <c r="O268" i="3"/>
  <c r="Q268" i="3"/>
  <c r="O280" i="3"/>
  <c r="Q280" i="3"/>
  <c r="O279" i="3"/>
  <c r="Q279" i="3"/>
  <c r="O278" i="3"/>
  <c r="Q278" i="3"/>
  <c r="L274" i="3"/>
  <c r="M274" i="3"/>
  <c r="O274" i="3"/>
  <c r="Q274" i="3"/>
  <c r="L273" i="3"/>
  <c r="M273" i="3"/>
  <c r="O273" i="3"/>
  <c r="Q273" i="3"/>
  <c r="L272" i="3"/>
  <c r="O272" i="3"/>
  <c r="Q272" i="3"/>
  <c r="O271" i="3"/>
  <c r="Q271" i="3"/>
  <c r="Q282" i="3"/>
  <c r="O285" i="3"/>
  <c r="Q285" i="3"/>
  <c r="O286" i="3"/>
  <c r="Q286" i="3"/>
  <c r="M287" i="3"/>
  <c r="O287" i="3"/>
  <c r="Q287" i="3"/>
  <c r="M288" i="3"/>
  <c r="O288" i="3"/>
  <c r="Q288" i="3"/>
  <c r="L323" i="3"/>
  <c r="O323" i="3"/>
  <c r="Q323" i="3"/>
  <c r="O322" i="3"/>
  <c r="Q322" i="3"/>
  <c r="L321" i="3"/>
  <c r="O321" i="3"/>
  <c r="Q321" i="3"/>
  <c r="L320" i="3"/>
  <c r="M320" i="3"/>
  <c r="O320" i="3"/>
  <c r="Q320" i="3"/>
  <c r="O319" i="3"/>
  <c r="Q319" i="3"/>
  <c r="Q293" i="3"/>
  <c r="M292" i="3"/>
  <c r="O292" i="3"/>
  <c r="Q292" i="3"/>
  <c r="M291" i="3"/>
  <c r="O291" i="3"/>
  <c r="Q291" i="3"/>
  <c r="M290" i="3"/>
  <c r="O290" i="3"/>
  <c r="Q290" i="3"/>
  <c r="M289" i="3"/>
  <c r="O289" i="3"/>
  <c r="Q289" i="3"/>
  <c r="Q335" i="3"/>
  <c r="Q336" i="3"/>
  <c r="O338" i="3"/>
  <c r="Q338" i="3"/>
  <c r="O339" i="3"/>
  <c r="Q339" i="3"/>
  <c r="O340" i="3"/>
  <c r="Q340" i="3"/>
  <c r="O341" i="3"/>
  <c r="Q341" i="3"/>
  <c r="O343" i="3"/>
  <c r="Q343" i="3"/>
  <c r="O342" i="3"/>
  <c r="Q342" i="3"/>
  <c r="Q345" i="3"/>
  <c r="Q361" i="3"/>
  <c r="Q362" i="3"/>
  <c r="Q367" i="3"/>
  <c r="S241" i="3"/>
  <c r="U241" i="3"/>
  <c r="W241" i="3"/>
  <c r="S242" i="3"/>
  <c r="U242" i="3"/>
  <c r="W242" i="3"/>
  <c r="S245" i="3"/>
  <c r="U245" i="3"/>
  <c r="W245" i="3"/>
  <c r="S248" i="3"/>
  <c r="U248" i="3"/>
  <c r="W248" i="3"/>
  <c r="S323" i="3"/>
  <c r="U323" i="3"/>
  <c r="W323" i="3"/>
  <c r="S322" i="3"/>
  <c r="U322" i="3"/>
  <c r="W322" i="3"/>
  <c r="S321" i="3"/>
  <c r="U321" i="3"/>
  <c r="W321" i="3"/>
  <c r="S320" i="3"/>
  <c r="U320" i="3"/>
  <c r="W320" i="3"/>
  <c r="S319" i="3"/>
  <c r="U319" i="3"/>
  <c r="W319" i="3"/>
  <c r="S293" i="3"/>
  <c r="U293" i="3"/>
  <c r="W293" i="3"/>
  <c r="S292" i="3"/>
  <c r="U292" i="3"/>
  <c r="W292" i="3"/>
  <c r="S291" i="3"/>
  <c r="U291" i="3"/>
  <c r="W291" i="3"/>
  <c r="S290" i="3"/>
  <c r="U290" i="3"/>
  <c r="W290" i="3"/>
  <c r="S289" i="3"/>
  <c r="U289" i="3"/>
  <c r="W289" i="3"/>
  <c r="S288" i="3"/>
  <c r="U288" i="3"/>
  <c r="W288" i="3"/>
  <c r="S287" i="3"/>
  <c r="U287" i="3"/>
  <c r="W287" i="3"/>
  <c r="S286" i="3"/>
  <c r="U286" i="3"/>
  <c r="W286" i="3"/>
  <c r="S285" i="3"/>
  <c r="U285" i="3"/>
  <c r="W285" i="3"/>
  <c r="O207" i="3"/>
  <c r="Q207" i="3"/>
  <c r="S207" i="3"/>
  <c r="U207" i="3"/>
  <c r="W207" i="3"/>
  <c r="O208" i="3"/>
  <c r="Q208" i="3"/>
  <c r="S208" i="3"/>
  <c r="U208" i="3"/>
  <c r="W208" i="3"/>
  <c r="O209" i="3"/>
  <c r="Q209" i="3"/>
  <c r="S209" i="3"/>
  <c r="U209" i="3"/>
  <c r="W209" i="3"/>
  <c r="O210" i="3"/>
  <c r="Q210" i="3"/>
  <c r="S210" i="3"/>
  <c r="U210" i="3"/>
  <c r="W210" i="3"/>
  <c r="S168" i="3"/>
  <c r="U168" i="3"/>
  <c r="W168" i="3"/>
  <c r="S174" i="3"/>
  <c r="U174" i="3"/>
  <c r="W174" i="3"/>
  <c r="S179" i="3"/>
  <c r="W179" i="3"/>
  <c r="W239" i="3"/>
  <c r="S237" i="3"/>
  <c r="U237" i="3"/>
  <c r="W237" i="3"/>
  <c r="S236" i="3"/>
  <c r="U236" i="3"/>
  <c r="W236" i="3"/>
  <c r="S233" i="3"/>
  <c r="U233" i="3"/>
  <c r="W233" i="3"/>
  <c r="S228" i="3"/>
  <c r="U228" i="3"/>
  <c r="W228" i="3"/>
  <c r="S219" i="3"/>
  <c r="U219" i="3"/>
  <c r="W219" i="3"/>
  <c r="M215" i="3"/>
  <c r="O215" i="3"/>
  <c r="Q215" i="3"/>
  <c r="S215" i="3"/>
  <c r="U215" i="3"/>
  <c r="W215" i="3"/>
  <c r="M214" i="3"/>
  <c r="O214" i="3"/>
  <c r="Q214" i="3"/>
  <c r="S214" i="3"/>
  <c r="U214" i="3"/>
  <c r="W214" i="3"/>
  <c r="M213" i="3"/>
  <c r="O213" i="3"/>
  <c r="Q213" i="3"/>
  <c r="S213" i="3"/>
  <c r="U213" i="3"/>
  <c r="W213" i="3"/>
  <c r="M212" i="3"/>
  <c r="O212" i="3"/>
  <c r="Q212" i="3"/>
  <c r="S212" i="3"/>
  <c r="U212" i="3"/>
  <c r="W212" i="3"/>
  <c r="M211" i="3"/>
  <c r="O211" i="3"/>
  <c r="Q211" i="3"/>
  <c r="S211" i="3"/>
  <c r="U211" i="3"/>
  <c r="W211" i="3"/>
  <c r="W282" i="3"/>
  <c r="S278" i="3"/>
  <c r="U278" i="3"/>
  <c r="W278" i="3"/>
  <c r="S266" i="3"/>
  <c r="U266" i="3"/>
  <c r="W266" i="3"/>
  <c r="S265" i="3"/>
  <c r="U265" i="3"/>
  <c r="W265" i="3"/>
  <c r="S194" i="3"/>
  <c r="U194" i="3"/>
  <c r="W194" i="3"/>
  <c r="O206" i="3"/>
  <c r="Q206" i="3"/>
  <c r="S206" i="3"/>
  <c r="U206" i="3"/>
  <c r="W206" i="3"/>
  <c r="W259" i="3"/>
  <c r="S258" i="3"/>
  <c r="U258" i="3"/>
  <c r="W258" i="3"/>
  <c r="S257" i="3"/>
  <c r="U257" i="3"/>
  <c r="W257" i="3"/>
  <c r="S256" i="3"/>
  <c r="U256" i="3"/>
  <c r="W256" i="3"/>
  <c r="S254" i="3"/>
  <c r="U254" i="3"/>
  <c r="W254" i="3"/>
  <c r="S253" i="3"/>
  <c r="U253" i="3"/>
  <c r="W253" i="3"/>
  <c r="S252" i="3"/>
  <c r="U252" i="3"/>
  <c r="W252" i="3"/>
  <c r="S249" i="3"/>
  <c r="U249" i="3"/>
  <c r="W249" i="3"/>
  <c r="W336" i="3"/>
  <c r="S338" i="3"/>
  <c r="U338" i="3"/>
  <c r="W338" i="3"/>
  <c r="S339" i="3"/>
  <c r="U339" i="3"/>
  <c r="W339" i="3"/>
  <c r="S341" i="3"/>
  <c r="U341" i="3"/>
  <c r="W341" i="3"/>
  <c r="W345" i="3"/>
  <c r="W361" i="3"/>
  <c r="U179" i="3"/>
  <c r="U239" i="3"/>
  <c r="U259" i="3"/>
  <c r="U336" i="3"/>
  <c r="U345" i="3"/>
  <c r="U361" i="3"/>
  <c r="S239" i="3"/>
  <c r="S259" i="3"/>
  <c r="S336" i="3"/>
  <c r="S342" i="3"/>
  <c r="S343" i="3"/>
  <c r="S345" i="3"/>
  <c r="S361" i="3"/>
  <c r="W360" i="3"/>
  <c r="U360" i="3"/>
  <c r="S360" i="3"/>
  <c r="W356" i="3"/>
  <c r="W164" i="3"/>
  <c r="W349" i="3"/>
  <c r="W350" i="3"/>
  <c r="W352" i="3"/>
  <c r="W357" i="3"/>
  <c r="U356" i="3"/>
  <c r="U164" i="3"/>
  <c r="U349" i="3"/>
  <c r="U350" i="3"/>
  <c r="U352" i="3"/>
  <c r="U357" i="3"/>
  <c r="S356" i="3"/>
  <c r="S164" i="3"/>
  <c r="S349" i="3"/>
  <c r="S350" i="3"/>
  <c r="S352" i="3"/>
  <c r="S357" i="3"/>
  <c r="Q356" i="3"/>
  <c r="O20" i="3"/>
  <c r="Q20" i="3"/>
  <c r="O22" i="3"/>
  <c r="Q22" i="3"/>
  <c r="L24" i="3"/>
  <c r="M24" i="3"/>
  <c r="O24" i="3"/>
  <c r="Q24" i="3"/>
  <c r="L25" i="3"/>
  <c r="O25" i="3"/>
  <c r="Q25" i="3"/>
  <c r="O67" i="3"/>
  <c r="Q67" i="3"/>
  <c r="O66" i="3"/>
  <c r="Q66" i="3"/>
  <c r="O65" i="3"/>
  <c r="Q65" i="3"/>
  <c r="O64" i="3"/>
  <c r="Q64" i="3"/>
  <c r="O63" i="3"/>
  <c r="Q63" i="3"/>
  <c r="O62" i="3"/>
  <c r="Q62" i="3"/>
  <c r="O61" i="3"/>
  <c r="Q61" i="3"/>
  <c r="O60" i="3"/>
  <c r="Q60" i="3"/>
  <c r="O59" i="3"/>
  <c r="Q59" i="3"/>
  <c r="O58" i="3"/>
  <c r="Q58" i="3"/>
  <c r="O57" i="3"/>
  <c r="Q57" i="3"/>
  <c r="O46" i="3"/>
  <c r="Q46" i="3"/>
  <c r="L43" i="3"/>
  <c r="O43" i="3"/>
  <c r="Q43" i="3"/>
  <c r="L42" i="3"/>
  <c r="M42" i="3"/>
  <c r="O42" i="3"/>
  <c r="Q42" i="3"/>
  <c r="L38" i="3"/>
  <c r="O38" i="3"/>
  <c r="Q38" i="3"/>
  <c r="L37" i="3"/>
  <c r="M37" i="3"/>
  <c r="O37" i="3"/>
  <c r="Q37" i="3"/>
  <c r="O33" i="3"/>
  <c r="L35" i="3"/>
  <c r="O35" i="3"/>
  <c r="Q35" i="3"/>
  <c r="L34" i="3"/>
  <c r="M34" i="3"/>
  <c r="O34" i="3"/>
  <c r="Q34" i="3"/>
  <c r="Q33" i="3"/>
  <c r="O31" i="3"/>
  <c r="Q31" i="3"/>
  <c r="L30" i="3"/>
  <c r="O30" i="3"/>
  <c r="Q30" i="3"/>
  <c r="L29" i="3"/>
  <c r="M29" i="3"/>
  <c r="O29" i="3"/>
  <c r="Q29" i="3"/>
  <c r="Q76" i="3"/>
  <c r="Q156" i="3"/>
  <c r="L139" i="3"/>
  <c r="M139" i="3"/>
  <c r="O139" i="3"/>
  <c r="Q139" i="3"/>
  <c r="L140" i="3"/>
  <c r="M140" i="3"/>
  <c r="O140" i="3"/>
  <c r="Q140" i="3"/>
  <c r="O143" i="3"/>
  <c r="Q143" i="3"/>
  <c r="O144" i="3"/>
  <c r="Q144" i="3"/>
  <c r="L146" i="3"/>
  <c r="L147" i="3"/>
  <c r="M147" i="3"/>
  <c r="O147" i="3"/>
  <c r="Q147" i="3"/>
  <c r="M146" i="3"/>
  <c r="O146" i="3"/>
  <c r="Q146" i="3"/>
  <c r="M145" i="3"/>
  <c r="O145" i="3"/>
  <c r="Q145" i="3"/>
  <c r="Q148" i="3"/>
  <c r="Q137" i="3"/>
  <c r="O129" i="3"/>
  <c r="Q129" i="3"/>
  <c r="O131" i="3"/>
  <c r="Q131" i="3"/>
  <c r="Q133" i="3"/>
  <c r="Q91" i="3"/>
  <c r="O105" i="3"/>
  <c r="Q105" i="3"/>
  <c r="O106" i="3"/>
  <c r="Q106" i="3"/>
  <c r="O107" i="3"/>
  <c r="Q107" i="3"/>
  <c r="Q117" i="3"/>
  <c r="M122" i="3"/>
  <c r="O122" i="3"/>
  <c r="Q122" i="3"/>
  <c r="O123" i="3"/>
  <c r="Q123" i="3"/>
  <c r="Q125" i="3"/>
  <c r="Q163" i="3"/>
  <c r="Q164" i="3"/>
  <c r="Q349" i="3"/>
  <c r="Q350" i="3"/>
  <c r="Q351" i="3"/>
  <c r="Q352" i="3"/>
  <c r="Q357" i="3"/>
  <c r="X351" i="3"/>
  <c r="W351" i="3"/>
  <c r="U351" i="3"/>
  <c r="S351" i="3"/>
  <c r="W347" i="3"/>
  <c r="U347" i="3"/>
  <c r="S347" i="3"/>
  <c r="Q346" i="3"/>
  <c r="AB346" i="3"/>
  <c r="AA346" i="3"/>
  <c r="W346" i="3"/>
  <c r="U346" i="3"/>
  <c r="S346" i="3"/>
  <c r="AB345" i="3"/>
  <c r="AA345" i="3"/>
  <c r="AA343" i="3"/>
  <c r="AA342" i="3"/>
  <c r="AA341" i="3"/>
  <c r="V341" i="3"/>
  <c r="AA340" i="3"/>
  <c r="AA339" i="3"/>
  <c r="V339" i="3"/>
  <c r="AA338" i="3"/>
  <c r="Z338" i="3"/>
  <c r="V338" i="3"/>
  <c r="AB336" i="3"/>
  <c r="AA336" i="3"/>
  <c r="AB335" i="3"/>
  <c r="AA335" i="3"/>
  <c r="W335" i="3"/>
  <c r="U335" i="3"/>
  <c r="S335" i="3"/>
  <c r="AA323" i="3"/>
  <c r="Y323" i="3"/>
  <c r="V323" i="3"/>
  <c r="AA322" i="3"/>
  <c r="Y322" i="3"/>
  <c r="V322" i="3"/>
  <c r="AA321" i="3"/>
  <c r="V321" i="3"/>
  <c r="AA320" i="3"/>
  <c r="V320" i="3"/>
  <c r="AA319" i="3"/>
  <c r="Y319" i="3"/>
  <c r="V319" i="3"/>
  <c r="AA293" i="3"/>
  <c r="V293" i="3"/>
  <c r="AA292" i="3"/>
  <c r="V292" i="3"/>
  <c r="AA291" i="3"/>
  <c r="V291" i="3"/>
  <c r="AA290" i="3"/>
  <c r="V290" i="3"/>
  <c r="AA289" i="3"/>
  <c r="V289" i="3"/>
  <c r="AA288" i="3"/>
  <c r="V288" i="3"/>
  <c r="AA287" i="3"/>
  <c r="V287" i="3"/>
  <c r="AA286" i="3"/>
  <c r="V286" i="3"/>
  <c r="AA285" i="3"/>
  <c r="V285" i="3"/>
  <c r="AB282" i="3"/>
  <c r="AA282" i="3"/>
  <c r="U282" i="3"/>
  <c r="S282" i="3"/>
  <c r="AA279" i="3"/>
  <c r="AA278" i="3"/>
  <c r="AC278" i="3"/>
  <c r="V278" i="3"/>
  <c r="AA274" i="3"/>
  <c r="AA273" i="3"/>
  <c r="AA272" i="3"/>
  <c r="AA268" i="3"/>
  <c r="AA267" i="3"/>
  <c r="AA266" i="3"/>
  <c r="V266" i="3"/>
  <c r="AA265" i="3"/>
  <c r="V265" i="3"/>
  <c r="AB259" i="3"/>
  <c r="AA259" i="3"/>
  <c r="AA258" i="3"/>
  <c r="V258" i="3"/>
  <c r="AA257" i="3"/>
  <c r="Y257" i="3"/>
  <c r="Z257" i="3"/>
  <c r="V257" i="3"/>
  <c r="AA256" i="3"/>
  <c r="V256" i="3"/>
  <c r="AA255" i="3"/>
  <c r="AA254" i="3"/>
  <c r="AC254" i="3"/>
  <c r="Y254" i="3"/>
  <c r="Z254" i="3"/>
  <c r="V254" i="3"/>
  <c r="AA253" i="3"/>
  <c r="V253" i="3"/>
  <c r="AA252" i="3"/>
  <c r="V252" i="3"/>
  <c r="AA251" i="3"/>
  <c r="AA250" i="3"/>
  <c r="AA249" i="3"/>
  <c r="AC249" i="3"/>
  <c r="V249" i="3"/>
  <c r="AA248" i="3"/>
  <c r="V248" i="3"/>
  <c r="AA247" i="3"/>
  <c r="AA246" i="3"/>
  <c r="Y246" i="3"/>
  <c r="AA245" i="3"/>
  <c r="AC245" i="3"/>
  <c r="Y245" i="3"/>
  <c r="Z245" i="3"/>
  <c r="V245" i="3"/>
  <c r="AA244" i="3"/>
  <c r="AA243" i="3"/>
  <c r="AC242" i="3"/>
  <c r="AA242" i="3"/>
  <c r="Y242" i="3"/>
  <c r="Z242" i="3"/>
  <c r="V242" i="3"/>
  <c r="AA241" i="3"/>
  <c r="Y241" i="3"/>
  <c r="Z241" i="3"/>
  <c r="V241" i="3"/>
  <c r="AB239" i="3"/>
  <c r="AA239" i="3"/>
  <c r="AA237" i="3"/>
  <c r="Z237" i="3"/>
  <c r="V237" i="3"/>
  <c r="AA236" i="3"/>
  <c r="Z236" i="3"/>
  <c r="V236" i="3"/>
  <c r="M235" i="3"/>
  <c r="AA234" i="3"/>
  <c r="AA233" i="3"/>
  <c r="Z233" i="3"/>
  <c r="V233" i="3"/>
  <c r="AA228" i="3"/>
  <c r="Z228" i="3"/>
  <c r="V228" i="3"/>
  <c r="AA227" i="3"/>
  <c r="AA226" i="3"/>
  <c r="AA225" i="3"/>
  <c r="AA224" i="3"/>
  <c r="AA223" i="3"/>
  <c r="AA222" i="3"/>
  <c r="AA221" i="3"/>
  <c r="AA220" i="3"/>
  <c r="AA219" i="3"/>
  <c r="V219" i="3"/>
  <c r="AB216" i="3"/>
  <c r="AA216" i="3"/>
  <c r="V215" i="3"/>
  <c r="V214" i="3"/>
  <c r="V213" i="3"/>
  <c r="V212" i="3"/>
  <c r="V211" i="3"/>
  <c r="V210" i="3"/>
  <c r="V209" i="3"/>
  <c r="V208" i="3"/>
  <c r="V207" i="3"/>
  <c r="V206" i="3"/>
  <c r="M205" i="3"/>
  <c r="M204" i="3"/>
  <c r="M203" i="3"/>
  <c r="M202" i="3"/>
  <c r="M201" i="3"/>
  <c r="M197" i="3"/>
  <c r="AA194" i="3"/>
  <c r="V194" i="3"/>
  <c r="AA193" i="3"/>
  <c r="AA192" i="3"/>
  <c r="AA191" i="3"/>
  <c r="AA189" i="3"/>
  <c r="AA188" i="3"/>
  <c r="AA187" i="3"/>
  <c r="AA186" i="3"/>
  <c r="AA185" i="3"/>
  <c r="AA184" i="3"/>
  <c r="AA183" i="3"/>
  <c r="AA182" i="3"/>
  <c r="AA181" i="3"/>
  <c r="AA180" i="3"/>
  <c r="AA179" i="3"/>
  <c r="V179" i="3"/>
  <c r="AA178" i="3"/>
  <c r="AA177" i="3"/>
  <c r="AA176" i="3"/>
  <c r="AA175" i="3"/>
  <c r="AA174" i="3"/>
  <c r="Z174" i="3"/>
  <c r="V174" i="3"/>
  <c r="AA173" i="3"/>
  <c r="AA172" i="3"/>
  <c r="AA171" i="3"/>
  <c r="AA170" i="3"/>
  <c r="AA169" i="3"/>
  <c r="AA168" i="3"/>
  <c r="Z168" i="3"/>
  <c r="V168" i="3"/>
  <c r="AB164" i="3"/>
  <c r="AA164" i="3"/>
  <c r="AB163" i="3"/>
  <c r="AA163" i="3"/>
  <c r="V161" i="3"/>
  <c r="V160" i="3"/>
  <c r="AB148" i="3"/>
  <c r="AA148" i="3"/>
  <c r="AA147" i="3"/>
  <c r="AA146" i="3"/>
  <c r="AA140" i="3"/>
  <c r="AA139" i="3"/>
  <c r="AB133" i="3"/>
  <c r="AA133" i="3"/>
  <c r="AA132" i="3"/>
  <c r="V132" i="3"/>
  <c r="AA131" i="3"/>
  <c r="AA130" i="3"/>
  <c r="V130" i="3"/>
  <c r="AA129" i="3"/>
  <c r="V128" i="3"/>
  <c r="AB125" i="3"/>
  <c r="AA125" i="3"/>
  <c r="AA124" i="3"/>
  <c r="V124" i="3"/>
  <c r="AA123" i="3"/>
  <c r="M120" i="3"/>
  <c r="AB117" i="3"/>
  <c r="AA117" i="3"/>
  <c r="AA107" i="3"/>
  <c r="AA106" i="3"/>
  <c r="AA105" i="3"/>
  <c r="M81" i="3"/>
  <c r="M80" i="3"/>
  <c r="AB76" i="3"/>
  <c r="AA76" i="3"/>
  <c r="AA56" i="3"/>
  <c r="V56" i="3"/>
  <c r="AA55" i="3"/>
  <c r="V55" i="3"/>
  <c r="AA54" i="3"/>
  <c r="V54" i="3"/>
  <c r="AA53" i="3"/>
  <c r="V53" i="3"/>
  <c r="AA52" i="3"/>
  <c r="V52" i="3"/>
  <c r="AA51" i="3"/>
  <c r="V51" i="3"/>
  <c r="AA50" i="3"/>
  <c r="V50" i="3"/>
  <c r="AA49" i="3"/>
  <c r="V49" i="3"/>
  <c r="AA48" i="3"/>
  <c r="V48" i="3"/>
  <c r="AA47" i="3"/>
  <c r="V47" i="3"/>
  <c r="AA46" i="3"/>
  <c r="AA45" i="3"/>
  <c r="V45" i="3"/>
  <c r="AA44" i="3"/>
  <c r="V44" i="3"/>
  <c r="AA43" i="3"/>
  <c r="AA42" i="3"/>
  <c r="AA41" i="3"/>
  <c r="Y41" i="3"/>
  <c r="V41" i="3"/>
  <c r="AA40" i="3"/>
  <c r="Y40" i="3"/>
  <c r="V40" i="3"/>
  <c r="AE36" i="3"/>
  <c r="V36" i="3"/>
  <c r="AE33" i="3"/>
  <c r="V32" i="3"/>
  <c r="AD28" i="3"/>
  <c r="Y28" i="3"/>
  <c r="Z28" i="3"/>
  <c r="V28" i="3"/>
  <c r="V27" i="3"/>
  <c r="AD23" i="3"/>
  <c r="AA23" i="3"/>
  <c r="Y23" i="3"/>
  <c r="V23" i="3"/>
  <c r="AA22" i="3"/>
  <c r="AA7" i="3"/>
  <c r="V7" i="3"/>
  <c r="E6" i="2"/>
  <c r="E7" i="2"/>
  <c r="E8" i="2"/>
  <c r="E9" i="2"/>
  <c r="E11" i="2"/>
  <c r="E10" i="2"/>
  <c r="F6" i="2"/>
  <c r="F12" i="2"/>
  <c r="E17" i="2"/>
  <c r="F17" i="2"/>
  <c r="E18" i="2"/>
  <c r="F18" i="2"/>
  <c r="E47" i="2"/>
  <c r="E48" i="2"/>
  <c r="F47" i="2"/>
  <c r="E42" i="2"/>
  <c r="E43" i="2"/>
  <c r="E44" i="2"/>
  <c r="E45" i="2"/>
  <c r="E46" i="2"/>
  <c r="F42" i="2"/>
  <c r="E40" i="2"/>
  <c r="E41" i="2"/>
  <c r="F40" i="2"/>
  <c r="E36" i="2"/>
  <c r="E37" i="2"/>
  <c r="E38" i="2"/>
  <c r="E39" i="2"/>
  <c r="F36" i="2"/>
  <c r="E34" i="2"/>
  <c r="E35" i="2"/>
  <c r="F34" i="2"/>
  <c r="E33" i="2"/>
  <c r="F33" i="2"/>
  <c r="E25" i="2"/>
  <c r="E26" i="2"/>
  <c r="E27" i="2"/>
  <c r="E28" i="2"/>
  <c r="E32" i="2"/>
  <c r="E31" i="2"/>
  <c r="E30" i="2"/>
  <c r="E29" i="2"/>
  <c r="F25" i="2"/>
  <c r="E19" i="2"/>
  <c r="E20" i="2"/>
  <c r="E21" i="2"/>
  <c r="E23" i="2"/>
  <c r="F19" i="2"/>
  <c r="F49" i="2"/>
  <c r="F50" i="2"/>
  <c r="H47" i="2"/>
  <c r="G47" i="2"/>
  <c r="AC6" i="2"/>
  <c r="AC7" i="2"/>
  <c r="AC8" i="2"/>
  <c r="AC9" i="2"/>
  <c r="AC11" i="2"/>
  <c r="AC10" i="2"/>
  <c r="AD6" i="2"/>
  <c r="AC12" i="2"/>
  <c r="AC13" i="2"/>
  <c r="AD12" i="2"/>
  <c r="AC14" i="2"/>
  <c r="AC15" i="2"/>
  <c r="AC16" i="2"/>
  <c r="AC17" i="2"/>
  <c r="AD14" i="2"/>
  <c r="AC18" i="2"/>
  <c r="AC19" i="2"/>
  <c r="AC20" i="2"/>
  <c r="AC21" i="2"/>
  <c r="AC26" i="2"/>
  <c r="AC25" i="2"/>
  <c r="AC24" i="2"/>
  <c r="AC23" i="2"/>
  <c r="AC22" i="2"/>
  <c r="AD18" i="2"/>
  <c r="AC39" i="2"/>
  <c r="AC40" i="2"/>
  <c r="AD39" i="2"/>
  <c r="AC32" i="2"/>
  <c r="AC33" i="2"/>
  <c r="AC34" i="2"/>
  <c r="AC35" i="2"/>
  <c r="AC38" i="2"/>
  <c r="AC37" i="2"/>
  <c r="AC36" i="2"/>
  <c r="AD32" i="2"/>
  <c r="AC29" i="2"/>
  <c r="AC30" i="2"/>
  <c r="AC31" i="2"/>
  <c r="AD29" i="2"/>
  <c r="AC27" i="2"/>
  <c r="AC28" i="2"/>
  <c r="AD27" i="2"/>
  <c r="AD41" i="2"/>
  <c r="AD42" i="2"/>
  <c r="H42" i="2"/>
  <c r="G42" i="2"/>
  <c r="M6" i="2"/>
  <c r="M7" i="2"/>
  <c r="N6" i="2"/>
  <c r="M8" i="2"/>
  <c r="M9" i="2"/>
  <c r="M10" i="2"/>
  <c r="M11" i="2"/>
  <c r="N8" i="2"/>
  <c r="M12" i="2"/>
  <c r="M13" i="2"/>
  <c r="M14" i="2"/>
  <c r="N12" i="2"/>
  <c r="M15" i="2"/>
  <c r="M16" i="2"/>
  <c r="M17" i="2"/>
  <c r="N15" i="2"/>
  <c r="M38" i="2"/>
  <c r="M39" i="2"/>
  <c r="N38" i="2"/>
  <c r="M32" i="2"/>
  <c r="M33" i="2"/>
  <c r="M34" i="2"/>
  <c r="M35" i="2"/>
  <c r="M37" i="2"/>
  <c r="M36" i="2"/>
  <c r="N32" i="2"/>
  <c r="M29" i="2"/>
  <c r="M30" i="2"/>
  <c r="M31" i="2"/>
  <c r="N29" i="2"/>
  <c r="M27" i="2"/>
  <c r="M28" i="2"/>
  <c r="N27" i="2"/>
  <c r="M18" i="2"/>
  <c r="M19" i="2"/>
  <c r="M20" i="2"/>
  <c r="M21" i="2"/>
  <c r="M26" i="2"/>
  <c r="M25" i="2"/>
  <c r="M24" i="2"/>
  <c r="M23" i="2"/>
  <c r="M22" i="2"/>
  <c r="N18" i="2"/>
  <c r="N40" i="2"/>
  <c r="N41" i="2"/>
  <c r="U6" i="2"/>
  <c r="U7" i="2"/>
  <c r="U8" i="2"/>
  <c r="U9" i="2"/>
  <c r="V6" i="2"/>
  <c r="U10" i="2"/>
  <c r="U11" i="2"/>
  <c r="U12" i="2"/>
  <c r="V10" i="2"/>
  <c r="U13" i="2"/>
  <c r="U14" i="2"/>
  <c r="U15" i="2"/>
  <c r="V13" i="2"/>
  <c r="U16" i="2"/>
  <c r="U17" i="2"/>
  <c r="U18" i="2"/>
  <c r="U19" i="2"/>
  <c r="U24" i="2"/>
  <c r="U23" i="2"/>
  <c r="U22" i="2"/>
  <c r="U21" i="2"/>
  <c r="U20" i="2"/>
  <c r="V16" i="2"/>
  <c r="U37" i="2"/>
  <c r="U38" i="2"/>
  <c r="V37" i="2"/>
  <c r="U30" i="2"/>
  <c r="U31" i="2"/>
  <c r="U32" i="2"/>
  <c r="U33" i="2"/>
  <c r="U36" i="2"/>
  <c r="U35" i="2"/>
  <c r="U34" i="2"/>
  <c r="V30" i="2"/>
  <c r="U27" i="2"/>
  <c r="U28" i="2"/>
  <c r="U29" i="2"/>
  <c r="V27" i="2"/>
  <c r="U25" i="2"/>
  <c r="U26" i="2"/>
  <c r="V25" i="2"/>
  <c r="V39" i="2"/>
  <c r="V40" i="2"/>
  <c r="H40" i="2"/>
  <c r="G40" i="2"/>
  <c r="AF39" i="2"/>
  <c r="AE39" i="2"/>
  <c r="P38" i="2"/>
  <c r="O38" i="2"/>
  <c r="D38" i="2"/>
  <c r="X37" i="2"/>
  <c r="W37" i="2"/>
  <c r="H36" i="2"/>
  <c r="G36" i="2"/>
  <c r="H34" i="2"/>
  <c r="G34" i="2"/>
  <c r="H33" i="2"/>
  <c r="G33" i="2"/>
  <c r="AF32" i="2"/>
  <c r="AE32" i="2"/>
  <c r="P32" i="2"/>
  <c r="O32" i="2"/>
  <c r="X30" i="2"/>
  <c r="W30" i="2"/>
  <c r="AF29" i="2"/>
  <c r="AE29" i="2"/>
  <c r="P29" i="2"/>
  <c r="O29" i="2"/>
  <c r="AF27" i="2"/>
  <c r="AE27" i="2"/>
  <c r="X27" i="2"/>
  <c r="W27" i="2"/>
  <c r="P27" i="2"/>
  <c r="O27" i="2"/>
  <c r="X25" i="2"/>
  <c r="W25" i="2"/>
  <c r="H25" i="2"/>
  <c r="G25" i="2"/>
  <c r="G24" i="2"/>
  <c r="G23" i="2"/>
  <c r="G22" i="2"/>
  <c r="G21" i="2"/>
  <c r="G20" i="2"/>
  <c r="H19" i="2"/>
  <c r="G19" i="2"/>
  <c r="AF18" i="2"/>
  <c r="AE18" i="2"/>
  <c r="P18" i="2"/>
  <c r="O18" i="2"/>
  <c r="H18" i="2"/>
  <c r="G18" i="2"/>
  <c r="H17" i="2"/>
  <c r="G17" i="2"/>
  <c r="X16" i="2"/>
  <c r="W16" i="2"/>
  <c r="P15" i="2"/>
  <c r="O15" i="2"/>
  <c r="AF14" i="2"/>
  <c r="AE14" i="2"/>
  <c r="X13" i="2"/>
  <c r="W13" i="2"/>
  <c r="AF12" i="2"/>
  <c r="AE12" i="2"/>
  <c r="P12" i="2"/>
  <c r="O12" i="2"/>
  <c r="H12" i="2"/>
  <c r="G12" i="2"/>
  <c r="X10" i="2"/>
  <c r="W10" i="2"/>
  <c r="P8" i="2"/>
  <c r="O8" i="2"/>
  <c r="AF6" i="2"/>
  <c r="AE6" i="2"/>
  <c r="X6" i="2"/>
  <c r="W6" i="2"/>
  <c r="P6" i="2"/>
  <c r="O6" i="2"/>
  <c r="H6" i="2"/>
  <c r="G6" i="2"/>
  <c r="H10" i="1"/>
  <c r="G10" i="1"/>
  <c r="I10" i="1"/>
  <c r="J10" i="1"/>
  <c r="K10" i="1"/>
  <c r="L10" i="1"/>
  <c r="M10" i="1"/>
  <c r="O10" i="1"/>
  <c r="Q10" i="1"/>
  <c r="AA10" i="1"/>
  <c r="AK10" i="1"/>
  <c r="AU10" i="1"/>
  <c r="G11" i="1"/>
  <c r="AM11" i="1"/>
  <c r="AO11" i="1"/>
  <c r="AQ11" i="1"/>
  <c r="AS11" i="1"/>
  <c r="AC11" i="1"/>
  <c r="AE11" i="1"/>
  <c r="AG11" i="1"/>
  <c r="AI11" i="1"/>
  <c r="E11" i="1"/>
  <c r="R11" i="1"/>
  <c r="S11" i="1"/>
  <c r="T11" i="1"/>
  <c r="U11" i="1"/>
  <c r="V11" i="1"/>
  <c r="W11" i="1"/>
  <c r="Y11" i="1"/>
  <c r="I11" i="1"/>
  <c r="K11" i="1"/>
  <c r="M11" i="1"/>
  <c r="O11" i="1"/>
  <c r="Q11" i="1"/>
  <c r="AA11" i="1"/>
  <c r="AK11" i="1"/>
  <c r="AU11" i="1"/>
  <c r="AH11" i="1"/>
  <c r="AL12" i="1"/>
  <c r="G12" i="1"/>
  <c r="AM12" i="1"/>
  <c r="AN12" i="1"/>
  <c r="AO12" i="1"/>
  <c r="AP12" i="1"/>
  <c r="AQ12" i="1"/>
  <c r="AS12" i="1"/>
  <c r="E12" i="1"/>
  <c r="AB12" i="1"/>
  <c r="AC12" i="1"/>
  <c r="AD12" i="1"/>
  <c r="AE12" i="1"/>
  <c r="AF12" i="1"/>
  <c r="AG12" i="1"/>
  <c r="AI12" i="1"/>
  <c r="R12" i="1"/>
  <c r="S12" i="1"/>
  <c r="T12" i="1"/>
  <c r="U12" i="1"/>
  <c r="V12" i="1"/>
  <c r="W12" i="1"/>
  <c r="Y12" i="1"/>
  <c r="I12" i="1"/>
  <c r="K12" i="1"/>
  <c r="M12" i="1"/>
  <c r="O12" i="1"/>
  <c r="Q12" i="1"/>
  <c r="AA12" i="1"/>
  <c r="AK12" i="1"/>
  <c r="AU12" i="1"/>
  <c r="E13" i="1"/>
  <c r="AL13" i="1"/>
  <c r="G13" i="1"/>
  <c r="AM13" i="1"/>
  <c r="AN13" i="1"/>
  <c r="AO13" i="1"/>
  <c r="AP13" i="1"/>
  <c r="AQ13" i="1"/>
  <c r="AS13" i="1"/>
  <c r="AB13" i="1"/>
  <c r="AC13" i="1"/>
  <c r="AD13" i="1"/>
  <c r="AE13" i="1"/>
  <c r="AF13" i="1"/>
  <c r="AG13" i="1"/>
  <c r="AI13" i="1"/>
  <c r="S13" i="1"/>
  <c r="U13" i="1"/>
  <c r="W13" i="1"/>
  <c r="Y13" i="1"/>
  <c r="I13" i="1"/>
  <c r="K13" i="1"/>
  <c r="M13" i="1"/>
  <c r="O13" i="1"/>
  <c r="Q13" i="1"/>
  <c r="AA13" i="1"/>
  <c r="AK13" i="1"/>
  <c r="AU13" i="1"/>
  <c r="AU14" i="1"/>
  <c r="AS14" i="1"/>
  <c r="AQ14" i="1"/>
  <c r="AO14" i="1"/>
  <c r="AM14" i="1"/>
  <c r="AK14" i="1"/>
  <c r="AI14" i="1"/>
  <c r="AG14" i="1"/>
  <c r="AE14" i="1"/>
  <c r="AC14" i="1"/>
  <c r="AA14" i="1"/>
  <c r="Y14" i="1"/>
  <c r="W14" i="1"/>
  <c r="U14" i="1"/>
  <c r="S14" i="1"/>
  <c r="Q14" i="1"/>
  <c r="O14" i="1"/>
  <c r="M14" i="1"/>
  <c r="K14" i="1"/>
  <c r="I14" i="1"/>
  <c r="F10" i="1"/>
  <c r="F11" i="1"/>
  <c r="F12" i="1"/>
  <c r="F13" i="1"/>
  <c r="F14" i="1"/>
  <c r="E14" i="1"/>
  <c r="G14" i="1"/>
  <c r="AR13" i="1"/>
  <c r="AH13" i="1"/>
  <c r="X13" i="1"/>
  <c r="N13" i="1"/>
  <c r="P13" i="1"/>
  <c r="Z13" i="1"/>
  <c r="AJ13" i="1"/>
  <c r="AT13" i="1"/>
  <c r="AR12" i="1"/>
  <c r="X11" i="1"/>
  <c r="AH12" i="1"/>
  <c r="X12" i="1"/>
  <c r="N12" i="1"/>
  <c r="P12" i="1"/>
  <c r="Z12" i="1"/>
  <c r="AJ12" i="1"/>
  <c r="AT12" i="1"/>
  <c r="AR11" i="1"/>
  <c r="N11" i="1"/>
  <c r="P11" i="1"/>
  <c r="Z11" i="1"/>
  <c r="AJ11" i="1"/>
  <c r="AT11" i="1"/>
  <c r="N10" i="1"/>
  <c r="P10" i="1"/>
  <c r="Z10" i="1"/>
  <c r="AJ10" i="1"/>
  <c r="AT10" i="1"/>
  <c r="S421" i="6"/>
  <c r="S423" i="6"/>
  <c r="S424" i="6"/>
  <c r="W421" i="6"/>
  <c r="V421" i="6"/>
  <c r="S197" i="6"/>
  <c r="S199" i="6"/>
  <c r="S200" i="6"/>
  <c r="W197" i="6"/>
  <c r="V197" i="6"/>
  <c r="S423" i="5"/>
  <c r="S425" i="5"/>
  <c r="S426" i="5"/>
  <c r="W423" i="5"/>
  <c r="V423" i="5"/>
  <c r="S194" i="5"/>
  <c r="S196" i="5"/>
  <c r="S197" i="5"/>
  <c r="W194" i="5"/>
  <c r="V19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LENOVO</author>
  </authors>
  <commentList>
    <comment ref="F41" authorId="0" shapeId="0" xr:uid="{9EABCFC7-7C9A-4697-A0D6-E0666BDF73F7}">
      <text>
        <r>
          <rPr>
            <b/>
            <sz val="9"/>
            <color indexed="81"/>
            <rFont val="Tahoma"/>
            <family val="2"/>
          </rPr>
          <t>LENOVO:</t>
        </r>
        <r>
          <rPr>
            <sz val="9"/>
            <color indexed="81"/>
            <rFont val="Tahoma"/>
            <family val="2"/>
          </rPr>
          <t xml:space="preserve">
Auger</t>
        </r>
      </text>
    </comment>
  </commentList>
</comments>
</file>

<file path=xl/sharedStrings.xml><?xml version="1.0" encoding="utf-8"?>
<sst xmlns="http://schemas.openxmlformats.org/spreadsheetml/2006/main" count="4449" uniqueCount="621">
  <si>
    <t xml:space="preserve">RENCANA KERJA PROYEK ( RKP ) </t>
  </si>
  <si>
    <t>PT. FAST FOREST DEVELOPMENT</t>
  </si>
  <si>
    <t>KEBUN FFD INTI</t>
  </si>
  <si>
    <t>LUAS :</t>
  </si>
  <si>
    <t>45,36 Ha</t>
  </si>
  <si>
    <t>Tahun 2026/2027/2028/2029</t>
  </si>
  <si>
    <t>No.</t>
  </si>
  <si>
    <t>Pekerjaan</t>
  </si>
  <si>
    <t>Rencana</t>
  </si>
  <si>
    <t>TAHUN I ( 2026 )</t>
  </si>
  <si>
    <t>TAHUN II ( 2027 )</t>
  </si>
  <si>
    <t>TAHUN III ( 2028 )</t>
  </si>
  <si>
    <t>TAHUN IV ( 2029 )</t>
  </si>
  <si>
    <t>Proyek 4 Tahun</t>
  </si>
  <si>
    <t>Harga</t>
  </si>
  <si>
    <t>Catur Wulan 1</t>
  </si>
  <si>
    <t>Catur Wulan 2</t>
  </si>
  <si>
    <t>Catur Wulan 3</t>
  </si>
  <si>
    <t>Jumlah Tahun I</t>
  </si>
  <si>
    <t>Jumlah S/d Tahun I</t>
  </si>
  <si>
    <t>Jumlah Tahun II</t>
  </si>
  <si>
    <t>Jumlah S/d Tahun II</t>
  </si>
  <si>
    <t>Jumlah Tahun III</t>
  </si>
  <si>
    <t>Jumlah S/d Tahun III</t>
  </si>
  <si>
    <t>Jumlah Tahun IV</t>
  </si>
  <si>
    <t>Jumlah S/d Tahun IV</t>
  </si>
  <si>
    <t>Volume</t>
  </si>
  <si>
    <t>Biaya</t>
  </si>
  <si>
    <t>Satuan</t>
  </si>
  <si>
    <t>Fisik</t>
  </si>
  <si>
    <t>( Ha )</t>
  </si>
  <si>
    <t>( Rp )</t>
  </si>
  <si>
    <t>( Rp / Ha )</t>
  </si>
  <si>
    <t>Reklamasi TB</t>
  </si>
  <si>
    <t>Pemeliharaan TBM-1</t>
  </si>
  <si>
    <t>Pemeliharaan TBM-2</t>
  </si>
  <si>
    <t>Pemeliharaan TBM-3</t>
  </si>
  <si>
    <t xml:space="preserve">GRAND TOTAL BIAYA </t>
  </si>
  <si>
    <t>Disetujui Oleh ;</t>
  </si>
  <si>
    <t>Diperiksa Oleh ;</t>
  </si>
  <si>
    <t>Disusun Oleh ;</t>
  </si>
  <si>
    <t>Satui, 30 September 2025</t>
  </si>
  <si>
    <t>Diketahui Oleh ;</t>
  </si>
  <si>
    <t>Samsir Hadi</t>
  </si>
  <si>
    <t>Direktur</t>
  </si>
  <si>
    <t>Pjs. GM Agronomy</t>
  </si>
  <si>
    <t>Askep Project Re-Planting &amp; Reklamasi</t>
  </si>
  <si>
    <t>Imam Satoto Yudiono</t>
  </si>
  <si>
    <t>Hairul Amri</t>
  </si>
  <si>
    <t>A r i f</t>
  </si>
  <si>
    <t>Direktur Utama</t>
  </si>
  <si>
    <t>REKAPITULASI RENCANA BIAYA REPLANTING, PERAWATAN TBM 01 TBM 02 TBM 03 BKB INTI TAHUN TANAM 1998 &amp; 1999</t>
  </si>
  <si>
    <t>TB</t>
  </si>
  <si>
    <t>TBM 1</t>
  </si>
  <si>
    <t>TBM 2</t>
  </si>
  <si>
    <t>TBM 3</t>
  </si>
  <si>
    <t>No</t>
  </si>
  <si>
    <t>Jumlah Rp</t>
  </si>
  <si>
    <t>Total Rp</t>
  </si>
  <si>
    <t>Rp/Ha</t>
  </si>
  <si>
    <t>Persentase
(%)</t>
  </si>
  <si>
    <t>Pembukaan Lahan CECT</t>
  </si>
  <si>
    <t>Identifikasi Blok</t>
  </si>
  <si>
    <t>Pembuatan Piringan &amp; Titi Pasar Rintis</t>
  </si>
  <si>
    <t>Pembuatan Piringan</t>
  </si>
  <si>
    <t>Pemeliharaan Piringan Gawangan Manual &amp; Chemist</t>
  </si>
  <si>
    <t>Pemeliharaan Piringan Manual</t>
  </si>
  <si>
    <t>Pembuatan TPH, Pemeliharaan Piringan Gawangan Manual &amp; Chemist</t>
  </si>
  <si>
    <t>Pembuatan TPH</t>
  </si>
  <si>
    <t>Reklamasi</t>
  </si>
  <si>
    <t>Pembuatan Titi Pasar Rintis</t>
  </si>
  <si>
    <t>Pemeliharaan Piringan /Pasar Rintis(Chemist)</t>
  </si>
  <si>
    <t>Tumbang Chipping</t>
  </si>
  <si>
    <t>Pemeliharaan Gawangan Manual</t>
  </si>
  <si>
    <t>Parit CECT</t>
  </si>
  <si>
    <t>Pemeliharaan Gawangan Chemist</t>
  </si>
  <si>
    <t>Pemeliharaan Pasar Rintis Manual</t>
  </si>
  <si>
    <t>Tutup Lubang CECT</t>
  </si>
  <si>
    <t>Pemberantasan Lalang</t>
  </si>
  <si>
    <t>Spot Lalang</t>
  </si>
  <si>
    <t>Lubang Tanam Mekanis Auger</t>
  </si>
  <si>
    <t>Wipping</t>
  </si>
  <si>
    <t>Pembukaan Lahan Serak</t>
  </si>
  <si>
    <t>Transport Air</t>
  </si>
  <si>
    <t>Pengolahan Tanah (Ripping)</t>
  </si>
  <si>
    <t>Pemeliharaan Pokok</t>
  </si>
  <si>
    <t>Kastrasi</t>
  </si>
  <si>
    <t>Penyisipan</t>
  </si>
  <si>
    <t>Sanitasi</t>
  </si>
  <si>
    <t>Tutup Lubang</t>
  </si>
  <si>
    <t>Survey dan Sensus</t>
  </si>
  <si>
    <t>Konsolidasi</t>
  </si>
  <si>
    <t>Pemeliharaan Prasarana</t>
  </si>
  <si>
    <t>Jalan Utama / Jalan Akses</t>
  </si>
  <si>
    <t>Penyemprotan Lalang Gulma &amp; Pasar Rintis</t>
  </si>
  <si>
    <t>Penyemprotan Pasar Rintis</t>
  </si>
  <si>
    <t>Jalan Produksi</t>
  </si>
  <si>
    <t>Jalan Koleksi</t>
  </si>
  <si>
    <t>Pembuatan Sarana &amp; Prasarana</t>
  </si>
  <si>
    <t>Pembuatan Parit Tersier (1x1)</t>
  </si>
  <si>
    <t>Jalan Pringgan / Ring</t>
  </si>
  <si>
    <t>Cuci Parit Alam (1x1) Parit Alam</t>
  </si>
  <si>
    <t>Jalan Liung</t>
  </si>
  <si>
    <t>Pembuatan Jembatan</t>
  </si>
  <si>
    <t>Jembatan Permanen</t>
  </si>
  <si>
    <t>Pembuatan Kontur Teras</t>
  </si>
  <si>
    <t>Gorong-gorong 40 cm</t>
  </si>
  <si>
    <t>Pengawetan Tanah</t>
  </si>
  <si>
    <t>Gorong-gorong 60 CM</t>
  </si>
  <si>
    <t>Pembuatan Pasar Pikul Mekanis</t>
  </si>
  <si>
    <t>Gorong-gorong 80 CM</t>
  </si>
  <si>
    <t>Tanam Kacangan</t>
  </si>
  <si>
    <t>Penanaman Kacangan</t>
  </si>
  <si>
    <t>Tapak Kuda</t>
  </si>
  <si>
    <t>Pembuatan Bedengan</t>
  </si>
  <si>
    <t>Tapak Timbun</t>
  </si>
  <si>
    <t>Perakitan Instalasi Air</t>
  </si>
  <si>
    <t>Pengendalian Hama dan Penyakit</t>
  </si>
  <si>
    <t>Hama Tikus</t>
  </si>
  <si>
    <t>Pemeliharaan Weeding Atas</t>
  </si>
  <si>
    <t>Hama Ulat Api</t>
  </si>
  <si>
    <t>PHPT Insek</t>
  </si>
  <si>
    <t>Hama (Oryctes)</t>
  </si>
  <si>
    <t>PHPT Fungi</t>
  </si>
  <si>
    <t>Pemupukkan Kelapa Sawit</t>
  </si>
  <si>
    <t>Pemupukkan Hayati</t>
  </si>
  <si>
    <t>Penyiraman Bibit</t>
  </si>
  <si>
    <t>Pemupukkan NPK 12-12-17-2+0,65B</t>
  </si>
  <si>
    <t>Pemeliharaan Kacangan</t>
  </si>
  <si>
    <t>Pemupukkan Dolomite</t>
  </si>
  <si>
    <t>Pemupukkan Kacangan</t>
  </si>
  <si>
    <t>Pemupukkan NPK Granule &amp; RP</t>
  </si>
  <si>
    <t>Pemupukkan Borate</t>
  </si>
  <si>
    <t>Angkutan Pupuk</t>
  </si>
  <si>
    <t>Angkutan Pupuk Intern</t>
  </si>
  <si>
    <t>Janjang Kosong &amp; Abu Boiler</t>
  </si>
  <si>
    <t>Angkutan Pupuk Ekstern</t>
  </si>
  <si>
    <t>Pengangkutan Pupuk Intern</t>
  </si>
  <si>
    <t>Tanam Pokok Sawit</t>
  </si>
  <si>
    <t>Memancang</t>
  </si>
  <si>
    <t>Pengangkutan Pupuk Ekstern</t>
  </si>
  <si>
    <t>Pupuk Lubang Tanam</t>
  </si>
  <si>
    <t>Pengawasan dan Administrasi</t>
  </si>
  <si>
    <t>Pengawasan</t>
  </si>
  <si>
    <t>Administrasi</t>
  </si>
  <si>
    <t>Penanaman Kelapa Sawit</t>
  </si>
  <si>
    <t>Total</t>
  </si>
  <si>
    <t>Pemupukkan Urea</t>
  </si>
  <si>
    <t>Rp/HA</t>
  </si>
  <si>
    <t>Aplikasi Abu Boiler</t>
  </si>
  <si>
    <t>Pemeliharaan Pokok Sawit</t>
  </si>
  <si>
    <t>PHPT Tikus</t>
  </si>
  <si>
    <t>PHPT Kumbang Tanduk</t>
  </si>
  <si>
    <t>Buat Piringan</t>
  </si>
  <si>
    <t>Ganoderma</t>
  </si>
  <si>
    <t>Konsolidasi Pokok</t>
  </si>
  <si>
    <t>Pengawasan &amp; Administrasi</t>
  </si>
  <si>
    <t>Luas:</t>
  </si>
  <si>
    <t>Material</t>
  </si>
  <si>
    <t>Rotasi APD</t>
  </si>
  <si>
    <t>TB/LC</t>
  </si>
  <si>
    <t>Rata-rata</t>
  </si>
  <si>
    <t>Keterangan</t>
  </si>
  <si>
    <t>BIAYA/HA</t>
  </si>
  <si>
    <t>Biaya/pkk</t>
  </si>
  <si>
    <t>Jenis</t>
  </si>
  <si>
    <t>Sat</t>
  </si>
  <si>
    <t>Vol</t>
  </si>
  <si>
    <t>Norma</t>
  </si>
  <si>
    <t>Rotasi</t>
  </si>
  <si>
    <t>Jumlah Unit</t>
  </si>
  <si>
    <t>Rp Sat</t>
  </si>
  <si>
    <t>Jumlah RP</t>
  </si>
  <si>
    <t>%</t>
  </si>
  <si>
    <t>Luas/Mtr/Pkk/Unit</t>
  </si>
  <si>
    <t>PEMBUKAAN LAHAN</t>
  </si>
  <si>
    <t>IMAS,TUMBANG, PERUN</t>
  </si>
  <si>
    <t>Upah PHL</t>
  </si>
  <si>
    <t>HK</t>
  </si>
  <si>
    <t>Ha</t>
  </si>
  <si>
    <t>Cat</t>
  </si>
  <si>
    <t>Kg</t>
  </si>
  <si>
    <t>Kuas</t>
  </si>
  <si>
    <t>Buah</t>
  </si>
  <si>
    <t>Kompas</t>
  </si>
  <si>
    <t>GPS</t>
  </si>
  <si>
    <t>Imas</t>
  </si>
  <si>
    <t>Hutan Primer</t>
  </si>
  <si>
    <t>Vol sesuai kondisi</t>
  </si>
  <si>
    <t>Hutan Sekunder</t>
  </si>
  <si>
    <t>Semak Belukar</t>
  </si>
  <si>
    <t>Tumbang</t>
  </si>
  <si>
    <t>Cincang</t>
  </si>
  <si>
    <t>Perun Mekanis</t>
  </si>
  <si>
    <t>Buldozer 1</t>
  </si>
  <si>
    <t>HM</t>
  </si>
  <si>
    <t>HM/Ha</t>
  </si>
  <si>
    <t>3 HM/HA Penggemburan Tanah dan Pemutusan Akar, total rupiah sudah termasuk harga sewa alat dan BBM</t>
  </si>
  <si>
    <t>Waker Alat</t>
  </si>
  <si>
    <t>Angkutan Material</t>
  </si>
  <si>
    <t>RIT</t>
  </si>
  <si>
    <t>Angkut BBM</t>
  </si>
  <si>
    <t>Pancang Chiping</t>
  </si>
  <si>
    <t>Pemancangan Titik Rumpuk Hasil Chippingan</t>
  </si>
  <si>
    <t>Tumbang Chiping</t>
  </si>
  <si>
    <t>Excavator 1</t>
  </si>
  <si>
    <t>12 Pokok/HM, Total rupiah sudah termasuk harga sewa alat dan BBM</t>
  </si>
  <si>
    <t>Waker Alat 4 Orang, 2 Alat</t>
  </si>
  <si>
    <t>Angkut Solar</t>
  </si>
  <si>
    <t>Aplikasi Metharizium</t>
  </si>
  <si>
    <t>Metharizium</t>
  </si>
  <si>
    <t>Total rupiah sudah termasuk harga sewa alat, dan BBM</t>
  </si>
  <si>
    <t>Tutup Lubang CECT dan Perataan Tanah</t>
  </si>
  <si>
    <t>Waker Alat 2 Orang</t>
  </si>
  <si>
    <t>Lubang Tanam Mekanis/Auger</t>
  </si>
  <si>
    <t>Pancang Kepala</t>
  </si>
  <si>
    <t>Pancang Kepala 1 HK = 4 HA</t>
  </si>
  <si>
    <t>Lubang Tanah Mekanis/Auger</t>
  </si>
  <si>
    <t>94 Lubang/1HM = 940 Lubang/10 HM/Hari</t>
  </si>
  <si>
    <t>Pemberantasan Lalang dan Gulma Lainnya</t>
  </si>
  <si>
    <t>Sprayer (Inter)</t>
  </si>
  <si>
    <t>Glyphosate</t>
  </si>
  <si>
    <t>Liter</t>
  </si>
  <si>
    <t>Metil Metsulfuron</t>
  </si>
  <si>
    <t>Parakuat</t>
  </si>
  <si>
    <t>Perekat</t>
  </si>
  <si>
    <t>Premi Extra Fooding</t>
  </si>
  <si>
    <t>Celemek</t>
  </si>
  <si>
    <t>X</t>
  </si>
  <si>
    <t>Masker Chemical</t>
  </si>
  <si>
    <t>Kaca mata</t>
  </si>
  <si>
    <t>Sarung Tangan Karet</t>
  </si>
  <si>
    <t>Sepatu Boots</t>
  </si>
  <si>
    <t>Transportasi Air</t>
  </si>
  <si>
    <t>TUS 1</t>
  </si>
  <si>
    <t>Becano</t>
  </si>
  <si>
    <t>Pasang</t>
  </si>
  <si>
    <t>Pemadatan Tanah</t>
  </si>
  <si>
    <t>Pembersihan Jalur Tanam</t>
  </si>
  <si>
    <t>Biaya Lainnya / Survey</t>
  </si>
  <si>
    <t>Meteran</t>
  </si>
  <si>
    <t>SUB JUMLAH IMAS TUMBANG PERUN</t>
  </si>
  <si>
    <t>PEMBUATAN SARANA PRASARANA</t>
  </si>
  <si>
    <t>PEMBUATAN JALAN</t>
  </si>
  <si>
    <t>Pembuatan Jalan Utama</t>
  </si>
  <si>
    <t>Greader 1</t>
  </si>
  <si>
    <t>Pembuatan Jalan Produksi</t>
  </si>
  <si>
    <t>Pembuatan Jalan Koleksi</t>
  </si>
  <si>
    <t>Pembuatan Jalan Pringgan</t>
  </si>
  <si>
    <t>SUB JUMLAH PEMBUATAN JALAN</t>
  </si>
  <si>
    <t>PEMBUATAN JEMBATAN</t>
  </si>
  <si>
    <t>Jembatan Permanen s/d 3 Mtr</t>
  </si>
  <si>
    <t>Bahan Jembatan Permanen 1</t>
  </si>
  <si>
    <t>Unit</t>
  </si>
  <si>
    <t>TLB 1</t>
  </si>
  <si>
    <t>Jembatan Permanen 4-6 Mtr</t>
  </si>
  <si>
    <t>Bahan Jembatan Permanen 2</t>
  </si>
  <si>
    <t>Jembatan Permanen 6-9 mtr</t>
  </si>
  <si>
    <t>Bahan Jembatan Permanen 3</t>
  </si>
  <si>
    <t>Pembuatan Jembatan Semi Permanen &gt; 2 Mtr</t>
  </si>
  <si>
    <t>Bahan Jembatan Semi Permanen 1</t>
  </si>
  <si>
    <t>Untuk mengeluarkan debit air yang ada di dalam blok dan menyebrang CR F17/18</t>
  </si>
  <si>
    <t>HDPE Culvert 1.0 X6 Triplewall</t>
  </si>
  <si>
    <t>Gorong-Gorong 40 CM</t>
  </si>
  <si>
    <t>Gorong-Gorong 60 CM</t>
  </si>
  <si>
    <t>Gorong-Gorong 80 CM</t>
  </si>
  <si>
    <t>SUB JUMLAH PEMBUATAN JEMBATAN</t>
  </si>
  <si>
    <t>PEMBUATAN PARIT</t>
  </si>
  <si>
    <t>Pembuatan Parit Primer (4x4)</t>
  </si>
  <si>
    <t>Pembuatan Parit Sekunder (2x2)</t>
  </si>
  <si>
    <t>65 meter/HM</t>
  </si>
  <si>
    <t>Areal rendahan eks tambang yang perlu dibuat field drain 6 :1</t>
  </si>
  <si>
    <t>Mtr</t>
  </si>
  <si>
    <t>SUB JUMLAH PEMBUATAN PARIT</t>
  </si>
  <si>
    <t>CUCI PARIT</t>
  </si>
  <si>
    <t>Cuci Parit Primer (4X4)</t>
  </si>
  <si>
    <t>Cuci Parit Sekunder (2X2) Parit Alam</t>
  </si>
  <si>
    <t>Cuci Parit Tersier (1X1)</t>
  </si>
  <si>
    <t>Parit yang tersedia sudah dangkal karena erosi tanah dari lokasi eks tambang</t>
  </si>
  <si>
    <t>60 Meter/HM</t>
  </si>
  <si>
    <t>SUB JUMLAH CUCI PARIT</t>
  </si>
  <si>
    <t>PEMELIHARAAN PINTU AIR</t>
  </si>
  <si>
    <t>Material Pintu Air 1</t>
  </si>
  <si>
    <t>SUB JUMLAH PEMELIHARAAN PINTU AIR</t>
  </si>
  <si>
    <t>PENGAWETAN TANAH</t>
  </si>
  <si>
    <t>Cangkul</t>
  </si>
  <si>
    <t>Rorak / Benteng</t>
  </si>
  <si>
    <t>Kontur / Teras</t>
  </si>
  <si>
    <t xml:space="preserve">Blok N13 </t>
  </si>
  <si>
    <t>Jalan</t>
  </si>
  <si>
    <t>MTR/HM</t>
  </si>
  <si>
    <t>SUB JUMLAH PENGAWETAN TANAH</t>
  </si>
  <si>
    <t>PEMBUATAN BARAK</t>
  </si>
  <si>
    <t>Pembuatan Barak Tipe A</t>
  </si>
  <si>
    <t>G 10A Kayu</t>
  </si>
  <si>
    <t>Pembuatan Barak Tipe B</t>
  </si>
  <si>
    <t>G 10B Kayu</t>
  </si>
  <si>
    <t>Pembuatan Barak Tipe C</t>
  </si>
  <si>
    <t>G 10C Kayu</t>
  </si>
  <si>
    <t>SUB JUMLAH PEMBUATAN BARAK</t>
  </si>
  <si>
    <t>PEMELIHARAAN TITI PASAR RINTIS</t>
  </si>
  <si>
    <t>Titi Panen 3</t>
  </si>
  <si>
    <t>Pembuatan Pasar Pikul (Mekanis</t>
  </si>
  <si>
    <t>Timbun &amp; Benam Batang Kelapa Sawit</t>
  </si>
  <si>
    <t>SUB JUMLAH PEMBUATAN SARANA PRASARANA</t>
  </si>
  <si>
    <t>SUB TOTAL PEMBUKAAN LAHAN</t>
  </si>
  <si>
    <t>SUB TOTAL LC (AREAL RENDAHAN)</t>
  </si>
  <si>
    <t>TANAM DAN PEMELIHARAAN AWAL</t>
  </si>
  <si>
    <t>TANAM KACANGAN</t>
  </si>
  <si>
    <t>Upah Muat, Ecer, dan Tanam</t>
  </si>
  <si>
    <t>PJ</t>
  </si>
  <si>
    <t>CM</t>
  </si>
  <si>
    <t>Upah Semai MB Bibitan</t>
  </si>
  <si>
    <t>Semai + Pelukaan benih mucuna</t>
  </si>
  <si>
    <t>Upah Isi Tanah</t>
  </si>
  <si>
    <t>Isi, langsir dan susun ke bedengan</t>
  </si>
  <si>
    <t>Rock Phosphate</t>
  </si>
  <si>
    <t>Pupuk Dasar untuk Pengisian Tanah MB 50 Gram/Bag</t>
  </si>
  <si>
    <t>MB (Mocuna Bracteata)</t>
  </si>
  <si>
    <t>Kg/Ha</t>
  </si>
  <si>
    <t>1 Kg : 2500 Biji (50% dari 5.000 Bj)</t>
  </si>
  <si>
    <t xml:space="preserve">Plastik Gula </t>
  </si>
  <si>
    <t>Pcs</t>
  </si>
  <si>
    <t>1 ha : 680 Babybag MB (1 pkk sawit 5 babybag MB)</t>
  </si>
  <si>
    <t>Angkutan Ke Lapangan</t>
  </si>
  <si>
    <t>Rit</t>
  </si>
  <si>
    <t>Menggunakan BIN Amroll 1 Rit 3000 Pkk Mucuna</t>
  </si>
  <si>
    <t>Angkutan Tanah</t>
  </si>
  <si>
    <t>M3</t>
  </si>
  <si>
    <t>Berat Tanah Per Bag 2 Kg</t>
  </si>
  <si>
    <t>Stok Top Soil dan Loading Tanah ke Unit Angkutan</t>
  </si>
  <si>
    <t>Papan</t>
  </si>
  <si>
    <t>Bedeng</t>
  </si>
  <si>
    <t>PHPT Insect</t>
  </si>
  <si>
    <t>CYPERMETHRIN</t>
  </si>
  <si>
    <t>30 ml/kap untuk 3000 bibit</t>
  </si>
  <si>
    <t>0,4 ml/kap untuk 3000 bibit</t>
  </si>
  <si>
    <t>Bibit</t>
  </si>
  <si>
    <t>PHPT Fungisida</t>
  </si>
  <si>
    <t>Upah</t>
  </si>
  <si>
    <t>Antracol</t>
  </si>
  <si>
    <t>60 gram/kap untuk 3000 bibit</t>
  </si>
  <si>
    <t>2 Orang/Hari</t>
  </si>
  <si>
    <t>Perakitan Instalasi Air MB</t>
  </si>
  <si>
    <t>Instalasi Air</t>
  </si>
  <si>
    <t>Set</t>
  </si>
  <si>
    <t>Pipa 2"=20, T 4X2=5, Stop Kran 2"=5, Lem Pipa=3 
Dop 2" = 5, T 2X3/4=25, Sumi=25, Pipa 4"=5,Baut Mur=10
Baut Reng=20, sealtape = 5</t>
  </si>
  <si>
    <t>1kg = 100 plastik gula</t>
  </si>
  <si>
    <t>Bongkar Tumbuhan Pengganggu (Chemist)</t>
  </si>
  <si>
    <t>SUB TOTAL TANAM KACANGAN &amp; PEMELIHARAAN</t>
  </si>
  <si>
    <t>PEMUPUKAN KACANGAN</t>
  </si>
  <si>
    <t>ANORGANIK</t>
  </si>
  <si>
    <t>- NPK Granule dan RP</t>
  </si>
  <si>
    <t>Upah PHL Until Pupuk</t>
  </si>
  <si>
    <t>Takaran Pupuk</t>
  </si>
  <si>
    <t>5 Gram/Pkk</t>
  </si>
  <si>
    <t>NPK 15-15-6-4+TE</t>
  </si>
  <si>
    <t>Pemupukan Lainnya</t>
  </si>
  <si>
    <t>Bahan</t>
  </si>
  <si>
    <t>Farm Traktor 1</t>
  </si>
  <si>
    <t>Angkutan Pupuk (Intern/Ekstern)</t>
  </si>
  <si>
    <t>Ton</t>
  </si>
  <si>
    <t>Upah BM Pupuk Intern</t>
  </si>
  <si>
    <t>Ecer Pupuk</t>
  </si>
  <si>
    <t>Angkutan Pupuk 1</t>
  </si>
  <si>
    <t>Upah BM Pupuk Ekstern</t>
  </si>
  <si>
    <t>SUB TOTAL PEMUPUKKAN KACANGAN</t>
  </si>
  <si>
    <t>TANAM SAWIT</t>
  </si>
  <si>
    <t>Anak Pancang</t>
  </si>
  <si>
    <t>Pengawetan Tanah Tanah Titik Tanam</t>
  </si>
  <si>
    <t>Menggali lubang titik tanam dan mengganti material tanah yang ada dengan tanah top soil</t>
  </si>
  <si>
    <t>Plastik Gula</t>
  </si>
  <si>
    <t>1 Kg = 100 lembar</t>
  </si>
  <si>
    <t>500 Gram/Pkk</t>
  </si>
  <si>
    <t>Trichoderma</t>
  </si>
  <si>
    <t>250 Gram/Pkk</t>
  </si>
  <si>
    <t>Hayati</t>
  </si>
  <si>
    <t>Mikoriza</t>
  </si>
  <si>
    <t>150 Gram/Pkk</t>
  </si>
  <si>
    <t>DOLOMITE</t>
  </si>
  <si>
    <t>Bongkar Muat Bibit</t>
  </si>
  <si>
    <t>Pokok</t>
  </si>
  <si>
    <t xml:space="preserve">Bibit KS </t>
  </si>
  <si>
    <t>Angkutan Bibit KS</t>
  </si>
  <si>
    <t>SUB TOTAL TANAM SAWIT</t>
  </si>
  <si>
    <t>PEMELIHARAAN SAWIT</t>
  </si>
  <si>
    <t>PHPT</t>
  </si>
  <si>
    <t>Ulat Api</t>
  </si>
  <si>
    <t>Decis</t>
  </si>
  <si>
    <t xml:space="preserve">Sprayer </t>
  </si>
  <si>
    <t>Tikus</t>
  </si>
  <si>
    <t>Rodentisida</t>
  </si>
  <si>
    <t>Kumbang Tanduk</t>
  </si>
  <si>
    <t>Marshal</t>
  </si>
  <si>
    <t>KG</t>
  </si>
  <si>
    <t>Kapur Barus</t>
  </si>
  <si>
    <t>Pak</t>
  </si>
  <si>
    <t>Furadan</t>
  </si>
  <si>
    <t>Ember</t>
  </si>
  <si>
    <t>Aplikasi Di Lubang Tanam, Pokok Gano 8, Suspek Gano 208</t>
  </si>
  <si>
    <t>Trichoderma = 500 Gram</t>
  </si>
  <si>
    <t>Mikoriza = 200 Gram</t>
  </si>
  <si>
    <t>Crown Dease</t>
  </si>
  <si>
    <t>Dithan</t>
  </si>
  <si>
    <t>Ltr</t>
  </si>
  <si>
    <t>Kuproxite</t>
  </si>
  <si>
    <t>4 HK/HA</t>
  </si>
  <si>
    <t>SUB TOTAL PEMELIHARAAN SAWIT</t>
  </si>
  <si>
    <t>PEMUPUKAN SAWIT</t>
  </si>
  <si>
    <t>Umur 1 Bulan = 75 Gram</t>
  </si>
  <si>
    <t>Urea</t>
  </si>
  <si>
    <t>Pemupukan Urea</t>
  </si>
  <si>
    <t>Pemupukan Rock Phosphate</t>
  </si>
  <si>
    <t>Pemupukan MOP</t>
  </si>
  <si>
    <t>MOP</t>
  </si>
  <si>
    <t>Pemupukan Kieserite</t>
  </si>
  <si>
    <t>Kieserite</t>
  </si>
  <si>
    <t>Pemupukan Borate</t>
  </si>
  <si>
    <t>Borate</t>
  </si>
  <si>
    <t>Pemupukan NPK Tablet 15-15-15</t>
  </si>
  <si>
    <t>NPK TABLET 15-15-15-1-3+TE</t>
  </si>
  <si>
    <t>Angkutan JJK 1</t>
  </si>
  <si>
    <t>Angkong</t>
  </si>
  <si>
    <t>Gancu</t>
  </si>
  <si>
    <t>Pemupukan Organik (Janjang Kosong)</t>
  </si>
  <si>
    <t>TBM 2 dimasukkan</t>
  </si>
  <si>
    <t>Organik</t>
  </si>
  <si>
    <t>Angkutan Pupuk 2</t>
  </si>
  <si>
    <t>SUB TOTAL PEMUPUKKAN SAWIT</t>
  </si>
  <si>
    <t>SUB TOTAL TANAM+PEMELIHARAAN</t>
  </si>
  <si>
    <t>PENGAWASAN DAN ADMINISTRASI</t>
  </si>
  <si>
    <t>Unit Manager 1</t>
  </si>
  <si>
    <t>HA</t>
  </si>
  <si>
    <t>Alat Komunikasi</t>
  </si>
  <si>
    <t>Unit Askep 1</t>
  </si>
  <si>
    <t>Adminitrasi</t>
  </si>
  <si>
    <t>ATK</t>
  </si>
  <si>
    <t>Lainnya</t>
  </si>
  <si>
    <t>SUB TOTAL PENGAWASAN</t>
  </si>
  <si>
    <t>GRAND TOTAL TB (AREAL MINERAL)</t>
  </si>
  <si>
    <t>TOTAL (AREAL RENDAHAN)</t>
  </si>
  <si>
    <t>AREAL MINERAL</t>
  </si>
  <si>
    <t>LC</t>
  </si>
  <si>
    <t>LCC</t>
  </si>
  <si>
    <t>TOTAL LC-TB</t>
  </si>
  <si>
    <t>TBM1</t>
  </si>
  <si>
    <t>TBM2</t>
  </si>
  <si>
    <t>TBM3</t>
  </si>
  <si>
    <t>GRAND TOTAL AREAL MINERAL</t>
  </si>
  <si>
    <t>AREAL RENDAHAN</t>
  </si>
  <si>
    <t>GRAND TOTAL AREAL RENDAHAN</t>
  </si>
  <si>
    <t>Rizhobium</t>
  </si>
  <si>
    <t>Bongkar Tumbuhan Pengganggu</t>
  </si>
  <si>
    <t>Masker</t>
  </si>
  <si>
    <t>SUB TOTAL TANAMAN KACANGAN</t>
  </si>
  <si>
    <t>TANAMAN BELUM MENGHASILKAN</t>
  </si>
  <si>
    <t>PEMBUATAN PIRINGAN, PASAR RINTIS, TPH DAN TITI PASAR RINTIS</t>
  </si>
  <si>
    <t>SUB TOTAL PEMBUATAN PIRINGAN</t>
  </si>
  <si>
    <t>Pembuatan Pasar Rintis</t>
  </si>
  <si>
    <t>Titi Pasar Rintis 1</t>
  </si>
  <si>
    <t>SUB TOTAL PEMBUATAN TITI PASAR RINTIS</t>
  </si>
  <si>
    <t>Pembuatan Pasar Pikul / Pasar Tengah</t>
  </si>
  <si>
    <t>Parang</t>
  </si>
  <si>
    <t>SUB TOTAL PEMBUATAN PIRINGAN,PASAR RINTIS,DAN TITI PASAR RINTIS</t>
  </si>
  <si>
    <t>PENGENDALIAN GULMA</t>
  </si>
  <si>
    <t>Pemel. Piringan, TPH dan Pasar Rintis (Manual)</t>
  </si>
  <si>
    <t>Pemeliharaan TPH Manual</t>
  </si>
  <si>
    <t>SUB TOTAL PEMELIHARAAN PIRINGAN,TPH,PASAR RINTIS</t>
  </si>
  <si>
    <t>Pemel. Piringan, TPH dan Pasar Rintis (Chemis)</t>
  </si>
  <si>
    <t>Rotasi 1 X perlu dibahas ulang</t>
  </si>
  <si>
    <t>Pemeliharaan TPH (Chemist)</t>
  </si>
  <si>
    <t>Pemeliharaan Pasar Rintis (Chemist)</t>
  </si>
  <si>
    <t>Basmi Bambu</t>
  </si>
  <si>
    <t>SUB TOTAL PEMELIHARAAN GAWANGAN MANUAL</t>
  </si>
  <si>
    <t>Triclophir</t>
  </si>
  <si>
    <t>SUB TOTAL PEMELIHARAAN GAWANGAN CHEMIST</t>
  </si>
  <si>
    <t>(AREAL RENDAHAN)</t>
  </si>
  <si>
    <t>Sprayer</t>
  </si>
  <si>
    <t>Pemberantasan Lalang (Spraying/Spot/Wiping)</t>
  </si>
  <si>
    <t>Sheet Lalang</t>
  </si>
  <si>
    <t>z</t>
  </si>
  <si>
    <t>Rit/Ha</t>
  </si>
  <si>
    <t>SUB TOTAL PEMBERANTASAN LALANG</t>
  </si>
  <si>
    <t>SUB TOTAL PENGENDALIAN GULMA</t>
  </si>
  <si>
    <t>PEMELIHARAAN POKOK</t>
  </si>
  <si>
    <t>Dodos 4"</t>
  </si>
  <si>
    <t>Batu Asah</t>
  </si>
  <si>
    <t>Sarung Dodos</t>
  </si>
  <si>
    <t>Dodos 3"</t>
  </si>
  <si>
    <t>Penyisipan dan Konsolidasi</t>
  </si>
  <si>
    <t>Pkk</t>
  </si>
  <si>
    <t>5 % sampai TBM 2</t>
  </si>
  <si>
    <t>TBM 1 3%</t>
  </si>
  <si>
    <t>SUB TOTAL PENYISIPAN DAN KONSOLIDASI</t>
  </si>
  <si>
    <t>Alat Sensus</t>
  </si>
  <si>
    <t>SUB TOTAL SURVEY DAN SENSUS</t>
  </si>
  <si>
    <t>SUB TOTAL PEMELIHARAAN POKOK</t>
  </si>
  <si>
    <t>PEMELIHARAAN PRASARANA</t>
  </si>
  <si>
    <t>Batu 1</t>
  </si>
  <si>
    <t xml:space="preserve">Laterit </t>
  </si>
  <si>
    <t>Compactor 1</t>
  </si>
  <si>
    <t>SUB TOTAL JALAN</t>
  </si>
  <si>
    <t>Jembatan</t>
  </si>
  <si>
    <t>Jembatan 1 Meter</t>
  </si>
  <si>
    <t>Jembatan 3 x 4 Meter</t>
  </si>
  <si>
    <t>Jembatan 4 x 4 Meter</t>
  </si>
  <si>
    <t>Jembatan 4 x 6 Meter</t>
  </si>
  <si>
    <t>Jembatan 4 x 8 Meter</t>
  </si>
  <si>
    <t>HDPE Culvert 1.8X6 Triplewall</t>
  </si>
  <si>
    <t>HDPE Culvert 2.3X6 Triplewall</t>
  </si>
  <si>
    <t>Box Culvert 1 Meter</t>
  </si>
  <si>
    <t>Jembatan Semi Permanen</t>
  </si>
  <si>
    <t>Gorong-gorong 60 cm</t>
  </si>
  <si>
    <t>Gorong-gorong 80 cm</t>
  </si>
  <si>
    <t>SUB TOTAL JEMBATAN DAN GORONG-GORONG</t>
  </si>
  <si>
    <t>Parit</t>
  </si>
  <si>
    <t>Parit 4 X 4</t>
  </si>
  <si>
    <t>Parit 2 X 2</t>
  </si>
  <si>
    <t>Parit 1 X 1</t>
  </si>
  <si>
    <t>Pintu Air</t>
  </si>
  <si>
    <t>Perbatasan Pringgan</t>
  </si>
  <si>
    <t>Galangan Api</t>
  </si>
  <si>
    <t>Barak Karyawan / Pondok Hujan</t>
  </si>
  <si>
    <t>Material Pondok Hujan</t>
  </si>
  <si>
    <t>SUB TOTAL PEMELIHARAAN PRASARANA</t>
  </si>
  <si>
    <t>Kontur</t>
  </si>
  <si>
    <t>SUB TOTAL PENGAWETAN TANAH</t>
  </si>
  <si>
    <t>PENGENDALIAN HAMA DAN PENYAKIT</t>
  </si>
  <si>
    <t>Klerat di DPB</t>
  </si>
  <si>
    <t>SUB TOTAL HAMA TIKUS</t>
  </si>
  <si>
    <t>Hama Babi</t>
  </si>
  <si>
    <t>SUB TOTAL HAMA ULAT API</t>
  </si>
  <si>
    <t>Rayap</t>
  </si>
  <si>
    <t>Hama Lainnya (Oryctes)</t>
  </si>
  <si>
    <t>Pheromone</t>
  </si>
  <si>
    <t>Sct</t>
  </si>
  <si>
    <t>Ferotrap</t>
  </si>
  <si>
    <t>SUB TOTAL PENGENDALIAN ORYCTES</t>
  </si>
  <si>
    <t>Busuk Batang</t>
  </si>
  <si>
    <t>Marfu</t>
  </si>
  <si>
    <t>Batang/Crown Disease</t>
  </si>
  <si>
    <t>Vol disesuaikan</t>
  </si>
  <si>
    <t>Penyakit Lainnya</t>
  </si>
  <si>
    <t>SUB TOTAL PENGENDALIAN HAMA DAN PENYAKIT</t>
  </si>
  <si>
    <t>PEMUPUKAN KELAPA SAWIT</t>
  </si>
  <si>
    <t>Anorganik</t>
  </si>
  <si>
    <t>- NPK Granule</t>
  </si>
  <si>
    <t>Umur 3 Bulan=575 gram</t>
  </si>
  <si>
    <t>Umur 5 Bulan=575 gram</t>
  </si>
  <si>
    <t>Umur 8 Bulan=950 gram</t>
  </si>
  <si>
    <t>Umur 12 Bulan=950 gram</t>
  </si>
  <si>
    <t>NPK 12-12-17-2+0,65B</t>
  </si>
  <si>
    <t>NPK 12-12-17-2+TE</t>
  </si>
  <si>
    <t>SUB TOTAL NPK 12</t>
  </si>
  <si>
    <t>- Dolomite</t>
  </si>
  <si>
    <t>Umur 3 Bulan=150 gram</t>
  </si>
  <si>
    <t>Umur 5 Bulan=150 gram</t>
  </si>
  <si>
    <t>Umur 8 Bulan=225 gram</t>
  </si>
  <si>
    <t>Umur 12 Bulan=225 gram</t>
  </si>
  <si>
    <t>SUB TOTAL DOLOMITE</t>
  </si>
  <si>
    <t>- Borate</t>
  </si>
  <si>
    <t>Umur 12 Bulan=20 gram</t>
  </si>
  <si>
    <t>SUB TOTAL BORATE</t>
  </si>
  <si>
    <t>Janjang Kosong</t>
  </si>
  <si>
    <t>Aplikasi Jangkos start awal setelah kegiatan tanam KS khusus untuk areal reklamasi</t>
  </si>
  <si>
    <t>SUB TOTAL JANJANG KOSONG &amp; ABU BOILER</t>
  </si>
  <si>
    <t>Mill Effluent (Limbah Pabrik)</t>
  </si>
  <si>
    <t>SUB TOTAL PENGANGKUTAN PUPUK</t>
  </si>
  <si>
    <t>SUB TOTAL PEMUPUKKAN KELAPA SAWIT</t>
  </si>
  <si>
    <t>KM</t>
  </si>
  <si>
    <t>SUB TOTAL PENGAWASAN DAN ADMINISTRASI</t>
  </si>
  <si>
    <t>GRAND TOTAL TBM 1</t>
  </si>
  <si>
    <t>TOTAL</t>
  </si>
  <si>
    <t>FLUROXYPYR</t>
  </si>
  <si>
    <t>SUB TOTAL PEMELIHARAAN PIRINGAN/PASAR RINTIS CHEMIST</t>
  </si>
  <si>
    <t>SUB TOTAL KASTRASI</t>
  </si>
  <si>
    <t>Penyisipan 2%</t>
  </si>
  <si>
    <t>SUB TOTAL PENYISIPAN</t>
  </si>
  <si>
    <t>5 gr/pkk/2minggu</t>
  </si>
  <si>
    <t>SUB TOTAL PENGENDALIAN HAMA &amp; PENYAKIT</t>
  </si>
  <si>
    <t>Umur 18 Bulan=500 gram</t>
  </si>
  <si>
    <t>SUB TOTAL PEMUPUKKAN HAYATI</t>
  </si>
  <si>
    <t>Umur 18 Bulan=375 gram</t>
  </si>
  <si>
    <t>Umur 20 Bulan=375 gram</t>
  </si>
  <si>
    <t>Umur 24 Bulan=375 gram</t>
  </si>
  <si>
    <t>SUB TOTAL PEMUPUKKAN DOLOMITE</t>
  </si>
  <si>
    <t>-NPK 12-12-17-2+0,65B</t>
  </si>
  <si>
    <t>Umur 18 Bulan=1500 gram</t>
  </si>
  <si>
    <t>Umur 20 Bulan=750 gram</t>
  </si>
  <si>
    <t>Umur 24 Bulan=1875 gram</t>
  </si>
  <si>
    <t>SUB TOTAL PEMUPUKKAN NPK 12</t>
  </si>
  <si>
    <t>Umur 24 Bulan=50 gram</t>
  </si>
  <si>
    <t>SUB TOTAL PEMUPUKKAN BORATE</t>
  </si>
  <si>
    <t>78 Kg/Pkk</t>
  </si>
  <si>
    <t>32000 per ton</t>
  </si>
  <si>
    <t>SUB TOTAL JANGKOS &amp; ABU BOILER</t>
  </si>
  <si>
    <t>SUB TOTAL PENGAWASAN &amp; ADMINISTRASI</t>
  </si>
  <si>
    <t>GRAND TOTAL TBM 2</t>
  </si>
  <si>
    <t>SUB TOTAL TANAM KACANGAN</t>
  </si>
  <si>
    <t>SUB TOTAL PEMBUATAN TPH</t>
  </si>
  <si>
    <t>SUB TOTAL PEMBUATAN PIRINGAN,PASAR RINTIS,TPH &amp; TITI PASAR RINTIS</t>
  </si>
  <si>
    <t>SUB TOTAL PEMEL PIRINGAN MANUAL</t>
  </si>
  <si>
    <t>SUB TOTAL PEMEL PASAR RINTIS MANUAL</t>
  </si>
  <si>
    <t>SUB TOTAL PEMEL PIRINGAN/PASAR RINTIS CHEMIST</t>
  </si>
  <si>
    <t>SUB TOTAL PEMEL GAWANGAN MANUAL</t>
  </si>
  <si>
    <t>SUB TOTAL PEMEL GAWANGAN CHEMIST</t>
  </si>
  <si>
    <t>SUB TOTAL SANITASI</t>
  </si>
  <si>
    <t>SUB TOTAL JEMBATAN &amp; GORONG-GORONG</t>
  </si>
  <si>
    <t>5 gram/Pokok/2 Minggu</t>
  </si>
  <si>
    <t>Umur 28 Bulan=750 gram</t>
  </si>
  <si>
    <t>Umur 28 Bulan=575 gram</t>
  </si>
  <si>
    <t>Umur 32 Bulan=750 gram</t>
  </si>
  <si>
    <t>Umur 36 Bulan=750 gram</t>
  </si>
  <si>
    <t>SUB TOTAL PEMUPUKKAN DOLOMIT</t>
  </si>
  <si>
    <t>Umur 28 Bulan=1875 gram</t>
  </si>
  <si>
    <t>Umur 32 Bulan=950 gram</t>
  </si>
  <si>
    <t>Umur 36 Bulan=2075 gram</t>
  </si>
  <si>
    <t>Umur 36 Bulan=50 gram</t>
  </si>
  <si>
    <t>170 Kg/Pkk</t>
  </si>
  <si>
    <t>SUB TOTAL JANJANG KOSONG</t>
  </si>
  <si>
    <t>GRAND TOTAL JUMLAH BIAYA TBM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</si>
</sst>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43" formatCode="_-* #,##0.00_-;\-* #,##0.00_-;_-* &quot;-&quot;??_-;_-@_-"/>
    <numFmt numFmtId="164" formatCode="_(* #,##0_);_(* \(#,##0\);_(* &quot;-&quot;_);_(@_)"/>
    <numFmt numFmtId="165" formatCode="_(* #,##0.0000_);_(* \(#,##0.0000\);_(* &quot;-&quot;_);_(@_)"/>
    <numFmt numFmtId="166" formatCode="_(* #,##0.00_);_(* \(#,##0.00\);_(* &quot;-&quot;_);_(@_)"/>
    <numFmt numFmtId="167" formatCode="_(* #,##0.00000000_);_(* \(#,##0.00000000\);_(* &quot;-&quot;_);_(@_)"/>
    <numFmt numFmtId="168" formatCode="_(* #,##0_);_(* \(#,##0\);_(* &quot;-&quot;??_);_(@_)"/>
    <numFmt numFmtId="169" formatCode="_(* #,##0.00_);_(* \(#,##0.00\);_(* &quot;-&quot;??_);_(@_)"/>
    <numFmt numFmtId="170" formatCode="0.00\ &quot; Ha&quot;"/>
    <numFmt numFmtId="171" formatCode="_(* #,##0.000_);_(* \(#,##0.000\);_(* &quot;-&quot;??_);_(@_)"/>
    <numFmt numFmtId="172" formatCode="_(* #,##0.0000_);_(* \(#,##0.0000\);_(* &quot;-&quot;??_);_(@_)"/>
    <numFmt numFmtId="173" formatCode="_(* #,##0.0_);_(* \(#,##0.0\);_(* &quot;-&quot;??_);_(@_)"/>
    <numFmt numFmtId="174" formatCode="_-* #,##0_-;\-* #,##0_-;_-* &quot;-&quot;??_-;_-@_-"/>
    <numFmt numFmtId="175" formatCode="_(* #,##0.00000_);_(* \(#,##0.00000\);_(* &quot;-&quot;??_);_(@_)"/>
    <numFmt numFmtId="176" formatCode="_(* #,##0.0_);_(* \(#,##0.0\);_(* &quot;-&quot;_);_(@_)"/>
    <numFmt numFmtId="177" formatCode="0.000"/>
    <numFmt numFmtId="178" formatCode="#,##0.0"/>
    <numFmt numFmtId="179" formatCode="_-* #,##0.0000_-;\-* #,##0.0000_-;_-* &quot;-&quot;??_-;_-@_-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Arial"/>
      <family val="2"/>
    </font>
    <font>
      <b/>
      <sz val="10"/>
      <name val="Times New Roman"/>
      <family val="1"/>
    </font>
    <font>
      <sz val="11"/>
      <color theme="1"/>
      <name val="Calibri"/>
      <family val="2"/>
      <charset val="1"/>
      <scheme val="minor"/>
    </font>
    <font>
      <b/>
      <sz val="12"/>
      <name val="Times New Roman"/>
      <family val="1"/>
    </font>
    <font>
      <sz val="8"/>
      <name val="Times New Roman"/>
      <family val="1"/>
    </font>
    <font>
      <sz val="8"/>
      <color indexed="10"/>
      <name val="Arial"/>
      <family val="2"/>
    </font>
    <font>
      <b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9"/>
      <name val="Arial"/>
      <family val="2"/>
    </font>
    <font>
      <sz val="11"/>
      <color indexed="8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8"/>
      <name val="Times New Roman"/>
      <family val="1"/>
    </font>
    <font>
      <b/>
      <sz val="8"/>
      <color indexed="10"/>
      <name val="Arial"/>
      <family val="2"/>
    </font>
    <font>
      <sz val="8"/>
      <name val="Cambria"/>
      <family val="1"/>
      <scheme val="major"/>
    </font>
    <font>
      <sz val="10"/>
      <name val="Arial"/>
      <family val="2"/>
      <charset val="1"/>
    </font>
    <font>
      <sz val="10"/>
      <name val="Cambria"/>
      <family val="1"/>
      <scheme val="major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2"/>
      <color indexed="10"/>
      <name val="Cambria"/>
      <family val="1"/>
      <scheme val="major"/>
    </font>
    <font>
      <b/>
      <u/>
      <sz val="12"/>
      <name val="Cambria"/>
      <family val="1"/>
      <scheme val="major"/>
    </font>
    <font>
      <b/>
      <sz val="11"/>
      <color indexed="8"/>
      <name val="Calibri"/>
      <family val="2"/>
    </font>
    <font>
      <b/>
      <i/>
      <sz val="11"/>
      <color indexed="8"/>
      <name val="Calibri"/>
      <family val="2"/>
    </font>
    <font>
      <sz val="11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4DFE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0" tint="-4.9989318521683403E-2"/>
        <bgColor indexed="64"/>
      </patternFill>
    </fill>
  </fills>
  <borders count="58">
    <border>
      <left/>
      <right/>
      <top/>
      <bottom/>
      <diagonal/>
    </border>
    <border>
      <left style="thick">
        <color indexed="64"/>
      </left>
      <right style="double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double">
        <color indexed="64"/>
      </top>
      <bottom/>
      <diagonal/>
    </border>
    <border>
      <left style="thick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9" fontId="14" fillId="0" borderId="0" applyFont="0" applyFill="0" applyBorder="0" applyAlignment="0" applyProtection="0"/>
    <xf numFmtId="164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20" fillId="0" borderId="0"/>
    <xf numFmtId="169" fontId="1" fillId="0" borderId="0" applyFont="0" applyFill="0" applyBorder="0" applyAlignment="0" applyProtection="0"/>
  </cellStyleXfs>
  <cellXfs count="796">
    <xf numFmtId="0" fontId="0" fillId="0" borderId="0" xfId="0"/>
    <xf numFmtId="0" fontId="5" fillId="0" borderId="0" xfId="4" applyFont="1" applyAlignment="1">
      <alignment horizontal="left"/>
    </xf>
    <xf numFmtId="0" fontId="4" fillId="0" borderId="0" xfId="4"/>
    <xf numFmtId="0" fontId="5" fillId="0" borderId="0" xfId="4" applyFont="1" applyAlignment="1">
      <alignment horizontal="left"/>
    </xf>
    <xf numFmtId="165" fontId="5" fillId="0" borderId="0" xfId="2" applyNumberFormat="1" applyFont="1" applyFill="1" applyAlignment="1">
      <alignment horizontal="left"/>
    </xf>
    <xf numFmtId="166" fontId="5" fillId="0" borderId="0" xfId="2" applyNumberFormat="1" applyFont="1" applyFill="1" applyAlignment="1">
      <alignment horizontal="left"/>
    </xf>
    <xf numFmtId="167" fontId="5" fillId="0" borderId="0" xfId="2" applyNumberFormat="1" applyFont="1" applyFill="1" applyAlignment="1">
      <alignment horizontal="left"/>
    </xf>
    <xf numFmtId="168" fontId="5" fillId="0" borderId="0" xfId="4" applyNumberFormat="1" applyFont="1" applyAlignment="1">
      <alignment horizontal="left"/>
    </xf>
    <xf numFmtId="168" fontId="4" fillId="0" borderId="0" xfId="4" applyNumberFormat="1"/>
    <xf numFmtId="0" fontId="5" fillId="0" borderId="0" xfId="4" applyFont="1"/>
    <xf numFmtId="0" fontId="7" fillId="0" borderId="0" xfId="4" applyFont="1"/>
    <xf numFmtId="168" fontId="7" fillId="0" borderId="0" xfId="4" applyNumberFormat="1" applyFont="1"/>
    <xf numFmtId="0" fontId="8" fillId="0" borderId="0" xfId="4" applyFont="1"/>
    <xf numFmtId="165" fontId="4" fillId="0" borderId="0" xfId="2" applyNumberFormat="1" applyFont="1" applyFill="1"/>
    <xf numFmtId="166" fontId="4" fillId="0" borderId="0" xfId="2" applyNumberFormat="1" applyFont="1" applyFill="1"/>
    <xf numFmtId="43" fontId="9" fillId="0" borderId="0" xfId="4" applyNumberFormat="1" applyFont="1"/>
    <xf numFmtId="167" fontId="4" fillId="0" borderId="0" xfId="2" applyNumberFormat="1" applyFont="1" applyFill="1"/>
    <xf numFmtId="0" fontId="9" fillId="0" borderId="0" xfId="4" applyFont="1"/>
    <xf numFmtId="43" fontId="4" fillId="0" borderId="0" xfId="4" applyNumberFormat="1"/>
    <xf numFmtId="169" fontId="4" fillId="0" borderId="0" xfId="4" applyNumberFormat="1"/>
    <xf numFmtId="0" fontId="10" fillId="0" borderId="0" xfId="4" applyFont="1"/>
    <xf numFmtId="170" fontId="10" fillId="0" borderId="0" xfId="4" applyNumberFormat="1" applyFont="1" applyAlignment="1">
      <alignment horizontal="left"/>
    </xf>
    <xf numFmtId="0" fontId="5" fillId="2" borderId="1" xfId="4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/>
    </xf>
    <xf numFmtId="0" fontId="5" fillId="2" borderId="3" xfId="4" applyFont="1" applyFill="1" applyBorder="1" applyAlignment="1">
      <alignment horizontal="center" vertical="center"/>
    </xf>
    <xf numFmtId="0" fontId="11" fillId="2" borderId="4" xfId="4" applyFont="1" applyFill="1" applyBorder="1"/>
    <xf numFmtId="0" fontId="5" fillId="2" borderId="5" xfId="4" applyFont="1" applyFill="1" applyBorder="1" applyAlignment="1">
      <alignment horizontal="center"/>
    </xf>
    <xf numFmtId="0" fontId="5" fillId="2" borderId="6" xfId="4" applyFont="1" applyFill="1" applyBorder="1" applyAlignment="1">
      <alignment horizontal="center"/>
    </xf>
    <xf numFmtId="0" fontId="5" fillId="2" borderId="7" xfId="4" applyFont="1" applyFill="1" applyBorder="1" applyAlignment="1">
      <alignment horizontal="center"/>
    </xf>
    <xf numFmtId="0" fontId="5" fillId="2" borderId="8" xfId="4" applyFont="1" applyFill="1" applyBorder="1" applyAlignment="1">
      <alignment horizontal="center" vertical="center"/>
    </xf>
    <xf numFmtId="0" fontId="5" fillId="2" borderId="0" xfId="4" applyFont="1" applyFill="1" applyAlignment="1">
      <alignment horizontal="center" vertical="center"/>
    </xf>
    <xf numFmtId="0" fontId="5" fillId="2" borderId="9" xfId="4" applyFont="1" applyFill="1" applyBorder="1" applyAlignment="1">
      <alignment horizontal="center" vertical="center"/>
    </xf>
    <xf numFmtId="0" fontId="5" fillId="2" borderId="10" xfId="4" applyFont="1" applyFill="1" applyBorder="1" applyAlignment="1">
      <alignment horizontal="center" vertical="center"/>
    </xf>
    <xf numFmtId="0" fontId="5" fillId="2" borderId="11" xfId="4" applyFont="1" applyFill="1" applyBorder="1" applyAlignment="1">
      <alignment horizontal="center"/>
    </xf>
    <xf numFmtId="0" fontId="5" fillId="2" borderId="12" xfId="4" applyFont="1" applyFill="1" applyBorder="1" applyAlignment="1">
      <alignment horizontal="center"/>
    </xf>
    <xf numFmtId="0" fontId="5" fillId="2" borderId="13" xfId="4" applyFont="1" applyFill="1" applyBorder="1" applyAlignment="1">
      <alignment horizontal="center"/>
    </xf>
    <xf numFmtId="0" fontId="5" fillId="2" borderId="14" xfId="4" applyFont="1" applyFill="1" applyBorder="1" applyAlignment="1">
      <alignment horizontal="center"/>
    </xf>
    <xf numFmtId="0" fontId="5" fillId="2" borderId="15" xfId="4" applyFont="1" applyFill="1" applyBorder="1" applyAlignment="1">
      <alignment horizontal="center"/>
    </xf>
    <xf numFmtId="0" fontId="5" fillId="2" borderId="16" xfId="4" applyFont="1" applyFill="1" applyBorder="1" applyAlignment="1">
      <alignment horizontal="center"/>
    </xf>
    <xf numFmtId="0" fontId="5" fillId="2" borderId="17" xfId="4" applyFont="1" applyFill="1" applyBorder="1" applyAlignment="1">
      <alignment horizontal="center"/>
    </xf>
    <xf numFmtId="0" fontId="5" fillId="2" borderId="18" xfId="4" applyFont="1" applyFill="1" applyBorder="1" applyAlignment="1">
      <alignment horizontal="center"/>
    </xf>
    <xf numFmtId="0" fontId="5" fillId="2" borderId="19" xfId="4" applyFont="1" applyFill="1" applyBorder="1" applyAlignment="1">
      <alignment horizontal="center"/>
    </xf>
    <xf numFmtId="0" fontId="5" fillId="2" borderId="20" xfId="4" applyFont="1" applyFill="1" applyBorder="1" applyAlignment="1">
      <alignment horizontal="center"/>
    </xf>
    <xf numFmtId="0" fontId="5" fillId="2" borderId="21" xfId="4" applyFont="1" applyFill="1" applyBorder="1" applyAlignment="1">
      <alignment horizontal="center" vertical="center"/>
    </xf>
    <xf numFmtId="0" fontId="5" fillId="2" borderId="22" xfId="4" applyFont="1" applyFill="1" applyBorder="1" applyAlignment="1">
      <alignment horizontal="center" vertical="center"/>
    </xf>
    <xf numFmtId="0" fontId="5" fillId="2" borderId="23" xfId="4" applyFont="1" applyFill="1" applyBorder="1" applyAlignment="1">
      <alignment horizontal="center"/>
    </xf>
    <xf numFmtId="0" fontId="5" fillId="2" borderId="24" xfId="4" applyFont="1" applyFill="1" applyBorder="1" applyAlignment="1">
      <alignment horizontal="center"/>
    </xf>
    <xf numFmtId="0" fontId="5" fillId="2" borderId="25" xfId="4" applyFont="1" applyFill="1" applyBorder="1" applyAlignment="1">
      <alignment horizontal="center"/>
    </xf>
    <xf numFmtId="0" fontId="5" fillId="2" borderId="26" xfId="4" applyFont="1" applyFill="1" applyBorder="1" applyAlignment="1">
      <alignment horizontal="center"/>
    </xf>
    <xf numFmtId="0" fontId="5" fillId="2" borderId="27" xfId="4" applyFont="1" applyFill="1" applyBorder="1" applyAlignment="1">
      <alignment horizontal="center"/>
    </xf>
    <xf numFmtId="0" fontId="5" fillId="2" borderId="28" xfId="4" applyFont="1" applyFill="1" applyBorder="1" applyAlignment="1">
      <alignment horizontal="center"/>
    </xf>
    <xf numFmtId="0" fontId="5" fillId="2" borderId="29" xfId="4" applyFont="1" applyFill="1" applyBorder="1" applyAlignment="1">
      <alignment horizontal="center" vertical="center"/>
    </xf>
    <xf numFmtId="0" fontId="5" fillId="2" borderId="30" xfId="4" applyFont="1" applyFill="1" applyBorder="1" applyAlignment="1">
      <alignment horizontal="center" vertical="center"/>
    </xf>
    <xf numFmtId="0" fontId="5" fillId="2" borderId="31" xfId="4" applyFont="1" applyFill="1" applyBorder="1" applyAlignment="1">
      <alignment horizontal="center" vertical="center"/>
    </xf>
    <xf numFmtId="0" fontId="5" fillId="2" borderId="32" xfId="4" applyFont="1" applyFill="1" applyBorder="1" applyAlignment="1">
      <alignment horizontal="center" vertical="center"/>
    </xf>
    <xf numFmtId="0" fontId="5" fillId="2" borderId="33" xfId="4" applyFont="1" applyFill="1" applyBorder="1" applyAlignment="1">
      <alignment horizontal="center"/>
    </xf>
    <xf numFmtId="0" fontId="5" fillId="2" borderId="34" xfId="4" applyFont="1" applyFill="1" applyBorder="1" applyAlignment="1">
      <alignment horizontal="center"/>
    </xf>
    <xf numFmtId="0" fontId="5" fillId="2" borderId="31" xfId="4" applyFont="1" applyFill="1" applyBorder="1" applyAlignment="1">
      <alignment horizontal="center"/>
    </xf>
    <xf numFmtId="0" fontId="5" fillId="2" borderId="32" xfId="4" applyFont="1" applyFill="1" applyBorder="1" applyAlignment="1">
      <alignment horizontal="center"/>
    </xf>
    <xf numFmtId="0" fontId="5" fillId="2" borderId="35" xfId="4" applyFont="1" applyFill="1" applyBorder="1" applyAlignment="1">
      <alignment horizontal="center"/>
    </xf>
    <xf numFmtId="0" fontId="5" fillId="2" borderId="36" xfId="4" applyFont="1" applyFill="1" applyBorder="1" applyAlignment="1">
      <alignment horizontal="center"/>
    </xf>
    <xf numFmtId="0" fontId="12" fillId="0" borderId="8" xfId="4" applyFont="1" applyBorder="1" applyAlignment="1">
      <alignment horizontal="center" vertical="center"/>
    </xf>
    <xf numFmtId="0" fontId="12" fillId="0" borderId="37" xfId="4" applyFont="1" applyBorder="1" applyAlignment="1">
      <alignment vertical="center"/>
    </xf>
    <xf numFmtId="0" fontId="12" fillId="0" borderId="0" xfId="4" applyFont="1" applyAlignment="1">
      <alignment vertical="center"/>
    </xf>
    <xf numFmtId="0" fontId="13" fillId="0" borderId="21" xfId="4" applyFont="1" applyBorder="1" applyAlignment="1">
      <alignment vertical="center"/>
    </xf>
    <xf numFmtId="168" fontId="13" fillId="0" borderId="22" xfId="4" applyNumberFormat="1" applyFont="1" applyBorder="1" applyAlignment="1">
      <alignment vertical="center"/>
    </xf>
    <xf numFmtId="168" fontId="13" fillId="0" borderId="11" xfId="1" applyNumberFormat="1" applyFont="1" applyFill="1" applyBorder="1" applyAlignment="1">
      <alignment vertical="center"/>
    </xf>
    <xf numFmtId="169" fontId="13" fillId="0" borderId="11" xfId="1" applyFont="1" applyFill="1" applyBorder="1"/>
    <xf numFmtId="168" fontId="13" fillId="0" borderId="38" xfId="1" applyNumberFormat="1" applyFont="1" applyFill="1" applyBorder="1"/>
    <xf numFmtId="169" fontId="13" fillId="0" borderId="21" xfId="1" applyFont="1" applyFill="1" applyBorder="1" applyAlignment="1">
      <alignment vertical="center"/>
    </xf>
    <xf numFmtId="168" fontId="13" fillId="0" borderId="22" xfId="1" applyNumberFormat="1" applyFont="1" applyFill="1" applyBorder="1" applyAlignment="1">
      <alignment vertical="center"/>
    </xf>
    <xf numFmtId="168" fontId="13" fillId="0" borderId="39" xfId="1" applyNumberFormat="1" applyFont="1" applyFill="1" applyBorder="1" applyAlignment="1">
      <alignment vertical="center"/>
    </xf>
    <xf numFmtId="168" fontId="13" fillId="0" borderId="40" xfId="1" applyNumberFormat="1" applyFont="1" applyFill="1" applyBorder="1" applyAlignment="1">
      <alignment vertical="center"/>
    </xf>
    <xf numFmtId="168" fontId="13" fillId="0" borderId="38" xfId="1" applyNumberFormat="1" applyFont="1" applyFill="1" applyBorder="1" applyAlignment="1">
      <alignment vertical="center"/>
    </xf>
    <xf numFmtId="168" fontId="13" fillId="0" borderId="21" xfId="1" applyNumberFormat="1" applyFont="1" applyFill="1" applyBorder="1" applyAlignment="1">
      <alignment vertical="center"/>
    </xf>
    <xf numFmtId="168" fontId="13" fillId="0" borderId="41" xfId="1" applyNumberFormat="1" applyFont="1" applyFill="1" applyBorder="1" applyAlignment="1">
      <alignment vertical="center"/>
    </xf>
    <xf numFmtId="168" fontId="13" fillId="0" borderId="11" xfId="1" applyNumberFormat="1" applyFont="1" applyFill="1" applyBorder="1"/>
    <xf numFmtId="168" fontId="13" fillId="0" borderId="42" xfId="1" applyNumberFormat="1" applyFont="1" applyFill="1" applyBorder="1" applyAlignment="1">
      <alignment vertical="center"/>
    </xf>
    <xf numFmtId="171" fontId="13" fillId="0" borderId="40" xfId="1" applyNumberFormat="1" applyFont="1" applyFill="1" applyBorder="1" applyAlignment="1">
      <alignment vertical="center"/>
    </xf>
    <xf numFmtId="169" fontId="13" fillId="0" borderId="37" xfId="1" applyFont="1" applyFill="1" applyBorder="1" applyAlignment="1">
      <alignment vertical="center"/>
    </xf>
    <xf numFmtId="168" fontId="13" fillId="0" borderId="37" xfId="1" applyNumberFormat="1" applyFont="1" applyFill="1" applyBorder="1" applyAlignment="1">
      <alignment vertical="center"/>
    </xf>
    <xf numFmtId="169" fontId="13" fillId="0" borderId="40" xfId="1" applyFont="1" applyFill="1" applyBorder="1" applyAlignment="1">
      <alignment vertical="center"/>
    </xf>
    <xf numFmtId="169" fontId="13" fillId="0" borderId="38" xfId="1" applyFont="1" applyFill="1" applyBorder="1" applyAlignment="1">
      <alignment vertical="center"/>
    </xf>
    <xf numFmtId="169" fontId="13" fillId="0" borderId="11" xfId="1" applyFont="1" applyFill="1" applyBorder="1" applyAlignment="1">
      <alignment vertical="center"/>
    </xf>
    <xf numFmtId="0" fontId="5" fillId="2" borderId="43" xfId="4" applyFont="1" applyFill="1" applyBorder="1"/>
    <xf numFmtId="0" fontId="5" fillId="2" borderId="44" xfId="4" applyFont="1" applyFill="1" applyBorder="1"/>
    <xf numFmtId="0" fontId="5" fillId="2" borderId="45" xfId="4" applyFont="1" applyFill="1" applyBorder="1"/>
    <xf numFmtId="0" fontId="15" fillId="2" borderId="46" xfId="4" applyFont="1" applyFill="1" applyBorder="1"/>
    <xf numFmtId="168" fontId="15" fillId="2" borderId="47" xfId="4" applyNumberFormat="1" applyFont="1" applyFill="1" applyBorder="1"/>
    <xf numFmtId="168" fontId="15" fillId="2" borderId="48" xfId="4" applyNumberFormat="1" applyFont="1" applyFill="1" applyBorder="1"/>
    <xf numFmtId="168" fontId="15" fillId="2" borderId="49" xfId="4" applyNumberFormat="1" applyFont="1" applyFill="1" applyBorder="1"/>
    <xf numFmtId="168" fontId="15" fillId="2" borderId="46" xfId="4" applyNumberFormat="1" applyFont="1" applyFill="1" applyBorder="1" applyAlignment="1">
      <alignment vertical="center"/>
    </xf>
    <xf numFmtId="168" fontId="15" fillId="2" borderId="49" xfId="4" applyNumberFormat="1" applyFont="1" applyFill="1" applyBorder="1" applyAlignment="1">
      <alignment vertical="center"/>
    </xf>
    <xf numFmtId="168" fontId="15" fillId="2" borderId="50" xfId="4" applyNumberFormat="1" applyFont="1" applyFill="1" applyBorder="1" applyAlignment="1">
      <alignment vertical="center"/>
    </xf>
    <xf numFmtId="168" fontId="15" fillId="2" borderId="48" xfId="4" applyNumberFormat="1" applyFont="1" applyFill="1" applyBorder="1" applyAlignment="1">
      <alignment vertical="center"/>
    </xf>
    <xf numFmtId="168" fontId="8" fillId="0" borderId="0" xfId="1" applyNumberFormat="1" applyFont="1" applyFill="1"/>
    <xf numFmtId="168" fontId="4" fillId="0" borderId="0" xfId="1" applyNumberFormat="1" applyFont="1" applyFill="1"/>
    <xf numFmtId="168" fontId="9" fillId="0" borderId="0" xfId="1" applyNumberFormat="1" applyFont="1" applyFill="1"/>
    <xf numFmtId="169" fontId="8" fillId="0" borderId="0" xfId="1" applyFont="1"/>
    <xf numFmtId="0" fontId="16" fillId="0" borderId="0" xfId="4" applyFont="1"/>
    <xf numFmtId="0" fontId="17" fillId="0" borderId="0" xfId="4" applyFont="1"/>
    <xf numFmtId="168" fontId="17" fillId="0" borderId="0" xfId="4" applyNumberFormat="1" applyFont="1"/>
    <xf numFmtId="169" fontId="17" fillId="0" borderId="0" xfId="1" applyFont="1" applyFill="1"/>
    <xf numFmtId="168" fontId="17" fillId="0" borderId="0" xfId="1" applyNumberFormat="1" applyFont="1" applyFill="1"/>
    <xf numFmtId="168" fontId="16" fillId="0" borderId="0" xfId="1" applyNumberFormat="1" applyFont="1" applyFill="1"/>
    <xf numFmtId="168" fontId="18" fillId="0" borderId="0" xfId="1" applyNumberFormat="1" applyFont="1" applyFill="1"/>
    <xf numFmtId="0" fontId="19" fillId="0" borderId="0" xfId="4" applyFont="1"/>
    <xf numFmtId="169" fontId="19" fillId="0" borderId="0" xfId="1" applyFont="1" applyFill="1"/>
    <xf numFmtId="0" fontId="21" fillId="3" borderId="0" xfId="5" applyFont="1" applyFill="1" applyAlignment="1">
      <alignment horizontal="center" vertical="center" wrapText="1"/>
    </xf>
    <xf numFmtId="0" fontId="21" fillId="3" borderId="0" xfId="5" applyFont="1" applyFill="1" applyAlignment="1">
      <alignment horizontal="center" vertical="center" wrapText="1"/>
    </xf>
    <xf numFmtId="0" fontId="21" fillId="3" borderId="51" xfId="5" applyFont="1" applyFill="1" applyBorder="1" applyAlignment="1">
      <alignment horizontal="center" vertical="center" wrapText="1"/>
    </xf>
    <xf numFmtId="168" fontId="19" fillId="0" borderId="0" xfId="1" applyNumberFormat="1" applyFont="1" applyFill="1"/>
    <xf numFmtId="168" fontId="22" fillId="0" borderId="0" xfId="1" applyNumberFormat="1" applyFont="1" applyFill="1"/>
    <xf numFmtId="172" fontId="23" fillId="0" borderId="0" xfId="1" applyNumberFormat="1" applyFont="1" applyFill="1"/>
    <xf numFmtId="168" fontId="24" fillId="0" borderId="0" xfId="1" applyNumberFormat="1" applyFont="1" applyFill="1"/>
    <xf numFmtId="0" fontId="22" fillId="3" borderId="0" xfId="5" applyFont="1" applyFill="1" applyAlignment="1">
      <alignment horizontal="center" vertical="center" wrapText="1"/>
    </xf>
    <xf numFmtId="0" fontId="19" fillId="0" borderId="0" xfId="4" quotePrefix="1" applyFont="1"/>
    <xf numFmtId="0" fontId="21" fillId="3" borderId="0" xfId="5" applyFont="1" applyFill="1" applyAlignment="1">
      <alignment horizontal="left" vertical="center" wrapText="1"/>
    </xf>
    <xf numFmtId="0" fontId="22" fillId="3" borderId="0" xfId="5" applyFont="1" applyFill="1" applyAlignment="1">
      <alignment vertical="center" wrapText="1"/>
    </xf>
    <xf numFmtId="0" fontId="22" fillId="3" borderId="0" xfId="5" applyFont="1" applyFill="1" applyAlignment="1">
      <alignment horizontal="center" vertical="center" wrapText="1"/>
    </xf>
    <xf numFmtId="0" fontId="22" fillId="3" borderId="0" xfId="5" applyFont="1" applyFill="1" applyAlignment="1">
      <alignment horizontal="left" vertical="center" wrapText="1"/>
    </xf>
    <xf numFmtId="0" fontId="25" fillId="3" borderId="0" xfId="5" applyFont="1" applyFill="1" applyAlignment="1">
      <alignment horizontal="center" wrapText="1"/>
    </xf>
    <xf numFmtId="0" fontId="22" fillId="0" borderId="0" xfId="4" applyFont="1"/>
    <xf numFmtId="0" fontId="24" fillId="0" borderId="0" xfId="4" applyFont="1"/>
    <xf numFmtId="0" fontId="21" fillId="3" borderId="0" xfId="5" applyFont="1" applyFill="1" applyAlignment="1">
      <alignment horizontal="center" vertical="center"/>
    </xf>
    <xf numFmtId="0" fontId="21" fillId="3" borderId="30" xfId="5" applyFont="1" applyFill="1" applyBorder="1" applyAlignment="1">
      <alignment horizontal="center" vertical="center"/>
    </xf>
    <xf numFmtId="0" fontId="21" fillId="3" borderId="30" xfId="5" applyFont="1" applyFill="1" applyBorder="1" applyAlignment="1">
      <alignment horizontal="center" vertical="center"/>
    </xf>
    <xf numFmtId="0" fontId="21" fillId="3" borderId="52" xfId="5" applyFont="1" applyFill="1" applyBorder="1" applyAlignment="1">
      <alignment horizontal="center" vertical="center" wrapText="1"/>
    </xf>
    <xf numFmtId="0" fontId="25" fillId="3" borderId="0" xfId="5" applyFont="1" applyFill="1" applyAlignment="1">
      <alignment horizontal="center" vertical="center" wrapText="1"/>
    </xf>
    <xf numFmtId="0" fontId="25" fillId="3" borderId="0" xfId="5" applyFont="1" applyFill="1" applyAlignment="1">
      <alignment vertical="center" wrapText="1"/>
    </xf>
    <xf numFmtId="0" fontId="22" fillId="3" borderId="0" xfId="5" applyFont="1" applyFill="1" applyAlignment="1">
      <alignment horizontal="center" vertical="top"/>
    </xf>
    <xf numFmtId="0" fontId="22" fillId="3" borderId="0" xfId="5" applyFont="1" applyFill="1" applyAlignment="1">
      <alignment vertical="top"/>
    </xf>
    <xf numFmtId="0" fontId="22" fillId="3" borderId="0" xfId="5" applyFont="1" applyFill="1" applyAlignment="1">
      <alignment horizontal="center" vertical="top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20" xfId="0" applyFont="1" applyFill="1" applyBorder="1" applyAlignment="1">
      <alignment horizontal="center"/>
    </xf>
    <xf numFmtId="0" fontId="3" fillId="4" borderId="18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/>
    </xf>
    <xf numFmtId="0" fontId="3" fillId="4" borderId="13" xfId="0" applyFont="1" applyFill="1" applyBorder="1" applyAlignment="1">
      <alignment horizontal="center" vertical="center" wrapText="1"/>
    </xf>
    <xf numFmtId="0" fontId="3" fillId="4" borderId="15" xfId="0" applyFont="1" applyFill="1" applyBorder="1" applyAlignment="1">
      <alignment horizontal="center" vertical="center"/>
    </xf>
    <xf numFmtId="0" fontId="3" fillId="4" borderId="18" xfId="0" applyFon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169" fontId="14" fillId="0" borderId="13" xfId="1" applyFont="1" applyFill="1" applyBorder="1" applyAlignment="1">
      <alignment horizontal="left"/>
    </xf>
    <xf numFmtId="164" fontId="0" fillId="0" borderId="13" xfId="2" applyFont="1" applyBorder="1" applyAlignment="1">
      <alignment horizontal="center"/>
    </xf>
    <xf numFmtId="164" fontId="0" fillId="0" borderId="13" xfId="0" applyNumberFormat="1" applyBorder="1" applyAlignment="1">
      <alignment horizontal="center" vertical="center"/>
    </xf>
    <xf numFmtId="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 wrapText="1"/>
    </xf>
    <xf numFmtId="0" fontId="0" fillId="0" borderId="13" xfId="0" applyBorder="1"/>
    <xf numFmtId="164" fontId="0" fillId="0" borderId="13" xfId="2" applyFont="1" applyBorder="1"/>
    <xf numFmtId="164" fontId="0" fillId="0" borderId="24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 wrapText="1"/>
    </xf>
    <xf numFmtId="0" fontId="0" fillId="3" borderId="18" xfId="0" applyFill="1" applyBorder="1" applyAlignment="1">
      <alignment horizontal="left" vertical="center"/>
    </xf>
    <xf numFmtId="169" fontId="1" fillId="3" borderId="13" xfId="1" applyFont="1" applyFill="1" applyBorder="1" applyAlignment="1">
      <alignment horizontal="center" vertical="center"/>
    </xf>
    <xf numFmtId="2" fontId="0" fillId="0" borderId="24" xfId="0" applyNumberFormat="1" applyBorder="1" applyAlignment="1">
      <alignment horizontal="center" vertical="center"/>
    </xf>
    <xf numFmtId="4" fontId="0" fillId="0" borderId="38" xfId="0" applyNumberFormat="1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3" xfId="0" applyBorder="1" applyAlignment="1">
      <alignment horizontal="center" wrapText="1"/>
    </xf>
    <xf numFmtId="4" fontId="0" fillId="0" borderId="53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0" fillId="0" borderId="38" xfId="0" applyBorder="1" applyAlignment="1">
      <alignment horizontal="center" vertical="center" wrapText="1"/>
    </xf>
    <xf numFmtId="164" fontId="0" fillId="0" borderId="38" xfId="0" applyNumberFormat="1" applyBorder="1" applyAlignment="1">
      <alignment horizontal="center" vertical="center"/>
    </xf>
    <xf numFmtId="164" fontId="0" fillId="3" borderId="13" xfId="2" applyFont="1" applyFill="1" applyBorder="1"/>
    <xf numFmtId="2" fontId="0" fillId="0" borderId="38" xfId="0" applyNumberFormat="1" applyBorder="1" applyAlignment="1">
      <alignment horizontal="center" vertical="center"/>
    </xf>
    <xf numFmtId="164" fontId="0" fillId="0" borderId="0" xfId="0" applyNumberFormat="1"/>
    <xf numFmtId="0" fontId="0" fillId="0" borderId="53" xfId="0" applyBorder="1" applyAlignment="1">
      <alignment horizontal="center" vertical="center" wrapText="1"/>
    </xf>
    <xf numFmtId="164" fontId="0" fillId="0" borderId="53" xfId="0" applyNumberFormat="1" applyBorder="1" applyAlignment="1">
      <alignment horizontal="center" vertical="center"/>
    </xf>
    <xf numFmtId="0" fontId="0" fillId="3" borderId="54" xfId="0" applyFill="1" applyBorder="1"/>
    <xf numFmtId="2" fontId="0" fillId="0" borderId="53" xfId="0" applyNumberFormat="1" applyBorder="1" applyAlignment="1">
      <alignment horizontal="center" vertical="center"/>
    </xf>
    <xf numFmtId="0" fontId="0" fillId="0" borderId="54" xfId="0" applyBorder="1"/>
    <xf numFmtId="0" fontId="0" fillId="3" borderId="0" xfId="0" applyFill="1"/>
    <xf numFmtId="0" fontId="0" fillId="0" borderId="13" xfId="0" applyBorder="1" applyAlignment="1">
      <alignment vertical="center"/>
    </xf>
    <xf numFmtId="164" fontId="0" fillId="0" borderId="13" xfId="2" applyFont="1" applyBorder="1" applyAlignment="1">
      <alignment vertical="center"/>
    </xf>
    <xf numFmtId="169" fontId="14" fillId="3" borderId="54" xfId="1" applyFont="1" applyFill="1" applyBorder="1"/>
    <xf numFmtId="164" fontId="0" fillId="0" borderId="13" xfId="0" applyNumberFormat="1" applyBorder="1" applyAlignment="1">
      <alignment horizontal="center" vertical="center"/>
    </xf>
    <xf numFmtId="164" fontId="0" fillId="0" borderId="13" xfId="0" applyNumberFormat="1" applyBorder="1" applyAlignment="1">
      <alignment vertical="center"/>
    </xf>
    <xf numFmtId="4" fontId="0" fillId="0" borderId="13" xfId="0" applyNumberFormat="1" applyBorder="1" applyAlignment="1">
      <alignment horizontal="center" vertical="center"/>
    </xf>
    <xf numFmtId="169" fontId="14" fillId="0" borderId="13" xfId="1" applyFont="1" applyFill="1" applyBorder="1" applyAlignment="1">
      <alignment horizontal="left" vertical="center"/>
    </xf>
    <xf numFmtId="169" fontId="14" fillId="3" borderId="13" xfId="1" applyFont="1" applyFill="1" applyBorder="1"/>
    <xf numFmtId="0" fontId="0" fillId="0" borderId="13" xfId="0" applyBorder="1" applyAlignment="1">
      <alignment horizontal="left"/>
    </xf>
    <xf numFmtId="164" fontId="0" fillId="0" borderId="13" xfId="2" applyFont="1" applyBorder="1" applyAlignment="1">
      <alignment horizontal="center" vertical="center"/>
    </xf>
    <xf numFmtId="0" fontId="0" fillId="0" borderId="54" xfId="0" quotePrefix="1" applyBorder="1"/>
    <xf numFmtId="0" fontId="0" fillId="0" borderId="13" xfId="0" applyBorder="1" applyAlignment="1">
      <alignment horizontal="center" vertical="center"/>
    </xf>
    <xf numFmtId="0" fontId="3" fillId="4" borderId="20" xfId="0" applyFont="1" applyFill="1" applyBorder="1" applyAlignment="1">
      <alignment horizontal="center" vertical="center"/>
    </xf>
    <xf numFmtId="164" fontId="3" fillId="4" borderId="13" xfId="0" applyNumberFormat="1" applyFont="1" applyFill="1" applyBorder="1"/>
    <xf numFmtId="0" fontId="0" fillId="4" borderId="13" xfId="0" applyFill="1" applyBorder="1"/>
    <xf numFmtId="169" fontId="14" fillId="0" borderId="0" xfId="1" applyFont="1"/>
    <xf numFmtId="169" fontId="14" fillId="0" borderId="0" xfId="1" applyFont="1" applyAlignment="1">
      <alignment horizontal="right"/>
    </xf>
    <xf numFmtId="169" fontId="14" fillId="0" borderId="0" xfId="1" applyFont="1" applyAlignment="1">
      <alignment horizontal="left"/>
    </xf>
    <xf numFmtId="169" fontId="14" fillId="0" borderId="0" xfId="1" applyFont="1" applyAlignment="1">
      <alignment horizontal="center"/>
    </xf>
    <xf numFmtId="0" fontId="14" fillId="0" borderId="0" xfId="1" applyNumberFormat="1" applyFont="1" applyAlignment="1">
      <alignment horizontal="center"/>
    </xf>
    <xf numFmtId="172" fontId="1" fillId="0" borderId="0" xfId="1" applyNumberFormat="1" applyFont="1"/>
    <xf numFmtId="169" fontId="0" fillId="0" borderId="0" xfId="1" applyFont="1"/>
    <xf numFmtId="169" fontId="26" fillId="5" borderId="26" xfId="1" applyFont="1" applyFill="1" applyBorder="1" applyAlignment="1">
      <alignment horizontal="center" vertical="center"/>
    </xf>
    <xf numFmtId="169" fontId="26" fillId="5" borderId="54" xfId="1" applyFont="1" applyFill="1" applyBorder="1" applyAlignment="1">
      <alignment horizontal="center" vertical="center"/>
    </xf>
    <xf numFmtId="169" fontId="26" fillId="5" borderId="28" xfId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8" xfId="0" applyFont="1" applyFill="1" applyBorder="1" applyAlignment="1">
      <alignment horizontal="center" vertical="center"/>
    </xf>
    <xf numFmtId="0" fontId="3" fillId="5" borderId="26" xfId="0" applyFont="1" applyFill="1" applyBorder="1" applyAlignment="1">
      <alignment horizontal="center" vertical="center"/>
    </xf>
    <xf numFmtId="0" fontId="3" fillId="5" borderId="28" xfId="0" applyFont="1" applyFill="1" applyBorder="1" applyAlignment="1">
      <alignment horizontal="center" vertical="center"/>
    </xf>
    <xf numFmtId="0" fontId="26" fillId="5" borderId="15" xfId="1" applyNumberFormat="1" applyFont="1" applyFill="1" applyBorder="1" applyAlignment="1">
      <alignment horizontal="center"/>
    </xf>
    <xf numFmtId="0" fontId="26" fillId="5" borderId="20" xfId="1" applyNumberFormat="1" applyFont="1" applyFill="1" applyBorder="1" applyAlignment="1">
      <alignment horizontal="center"/>
    </xf>
    <xf numFmtId="0" fontId="26" fillId="5" borderId="18" xfId="1" applyNumberFormat="1" applyFont="1" applyFill="1" applyBorder="1" applyAlignment="1">
      <alignment horizontal="center"/>
    </xf>
    <xf numFmtId="0" fontId="26" fillId="6" borderId="15" xfId="1" applyNumberFormat="1" applyFont="1" applyFill="1" applyBorder="1" applyAlignment="1">
      <alignment horizontal="center" vertical="center"/>
    </xf>
    <xf numFmtId="0" fontId="26" fillId="6" borderId="18" xfId="1" applyNumberFormat="1" applyFont="1" applyFill="1" applyBorder="1" applyAlignment="1">
      <alignment horizontal="center" vertical="center"/>
    </xf>
    <xf numFmtId="0" fontId="26" fillId="5" borderId="15" xfId="1" applyNumberFormat="1" applyFont="1" applyFill="1" applyBorder="1" applyAlignment="1">
      <alignment horizontal="center" vertical="center"/>
    </xf>
    <xf numFmtId="0" fontId="26" fillId="5" borderId="18" xfId="1" applyNumberFormat="1" applyFont="1" applyFill="1" applyBorder="1" applyAlignment="1">
      <alignment horizontal="center" vertical="center"/>
    </xf>
    <xf numFmtId="0" fontId="26" fillId="7" borderId="15" xfId="1" applyNumberFormat="1" applyFont="1" applyFill="1" applyBorder="1" applyAlignment="1">
      <alignment horizontal="center" vertical="center"/>
    </xf>
    <xf numFmtId="0" fontId="26" fillId="7" borderId="18" xfId="1" applyNumberFormat="1" applyFont="1" applyFill="1" applyBorder="1" applyAlignment="1">
      <alignment horizontal="center" vertical="center"/>
    </xf>
    <xf numFmtId="0" fontId="26" fillId="8" borderId="15" xfId="1" applyNumberFormat="1" applyFont="1" applyFill="1" applyBorder="1" applyAlignment="1">
      <alignment horizontal="center" vertical="center"/>
    </xf>
    <xf numFmtId="0" fontId="26" fillId="8" borderId="18" xfId="1" applyNumberFormat="1" applyFont="1" applyFill="1" applyBorder="1" applyAlignment="1">
      <alignment horizontal="center" vertical="center"/>
    </xf>
    <xf numFmtId="0" fontId="3" fillId="9" borderId="24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/>
    </xf>
    <xf numFmtId="0" fontId="3" fillId="10" borderId="24" xfId="0" applyFont="1" applyFill="1" applyBorder="1" applyAlignment="1">
      <alignment horizontal="center" vertical="center" wrapText="1"/>
    </xf>
    <xf numFmtId="169" fontId="26" fillId="5" borderId="22" xfId="1" applyFont="1" applyFill="1" applyBorder="1" applyAlignment="1">
      <alignment horizontal="center" vertical="center"/>
    </xf>
    <xf numFmtId="169" fontId="26" fillId="5" borderId="0" xfId="1" applyFont="1" applyFill="1" applyBorder="1" applyAlignment="1">
      <alignment horizontal="center" vertical="center"/>
    </xf>
    <xf numFmtId="169" fontId="26" fillId="5" borderId="40" xfId="1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/>
    </xf>
    <xf numFmtId="0" fontId="3" fillId="5" borderId="22" xfId="0" applyFont="1" applyFill="1" applyBorder="1" applyAlignment="1">
      <alignment horizontal="center" vertical="center"/>
    </xf>
    <xf numFmtId="0" fontId="3" fillId="5" borderId="40" xfId="0" applyFont="1" applyFill="1" applyBorder="1" applyAlignment="1">
      <alignment horizontal="center" vertical="center"/>
    </xf>
    <xf numFmtId="172" fontId="3" fillId="5" borderId="24" xfId="1" applyNumberFormat="1" applyFont="1" applyFill="1" applyBorder="1" applyAlignment="1">
      <alignment horizontal="center" vertical="center"/>
    </xf>
    <xf numFmtId="169" fontId="26" fillId="5" borderId="24" xfId="1" applyFont="1" applyFill="1" applyBorder="1" applyAlignment="1">
      <alignment horizontal="center" vertical="center" wrapText="1"/>
    </xf>
    <xf numFmtId="0" fontId="26" fillId="6" borderId="24" xfId="1" applyNumberFormat="1" applyFont="1" applyFill="1" applyBorder="1" applyAlignment="1">
      <alignment horizontal="center" vertical="center"/>
    </xf>
    <xf numFmtId="0" fontId="26" fillId="6" borderId="28" xfId="1" applyNumberFormat="1" applyFont="1" applyFill="1" applyBorder="1" applyAlignment="1">
      <alignment horizontal="center" vertical="center"/>
    </xf>
    <xf numFmtId="0" fontId="26" fillId="5" borderId="24" xfId="1" applyNumberFormat="1" applyFont="1" applyFill="1" applyBorder="1" applyAlignment="1">
      <alignment horizontal="center" vertical="center"/>
    </xf>
    <xf numFmtId="0" fontId="26" fillId="7" borderId="24" xfId="1" applyNumberFormat="1" applyFont="1" applyFill="1" applyBorder="1" applyAlignment="1">
      <alignment horizontal="center" vertical="center"/>
    </xf>
    <xf numFmtId="0" fontId="26" fillId="8" borderId="24" xfId="1" applyNumberFormat="1" applyFont="1" applyFill="1" applyBorder="1" applyAlignment="1">
      <alignment horizontal="center" vertical="center"/>
    </xf>
    <xf numFmtId="0" fontId="3" fillId="9" borderId="38" xfId="0" applyFont="1" applyFill="1" applyBorder="1" applyAlignment="1">
      <alignment horizontal="center" vertical="center"/>
    </xf>
    <xf numFmtId="0" fontId="3" fillId="10" borderId="38" xfId="0" applyFont="1" applyFill="1" applyBorder="1" applyAlignment="1">
      <alignment horizontal="center" vertical="center"/>
    </xf>
    <xf numFmtId="169" fontId="26" fillId="5" borderId="55" xfId="1" applyFont="1" applyFill="1" applyBorder="1" applyAlignment="1">
      <alignment horizontal="center" vertical="center"/>
    </xf>
    <xf numFmtId="169" fontId="26" fillId="5" borderId="10" xfId="1" applyFont="1" applyFill="1" applyBorder="1" applyAlignment="1">
      <alignment horizontal="center" vertical="center"/>
    </xf>
    <xf numFmtId="169" fontId="26" fillId="5" borderId="56" xfId="1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/>
    </xf>
    <xf numFmtId="0" fontId="3" fillId="5" borderId="55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56" xfId="0" applyFont="1" applyFill="1" applyBorder="1" applyAlignment="1">
      <alignment horizontal="center" vertical="center" wrapText="1"/>
    </xf>
    <xf numFmtId="172" fontId="3" fillId="5" borderId="53" xfId="1" applyNumberFormat="1" applyFont="1" applyFill="1" applyBorder="1" applyAlignment="1">
      <alignment horizontal="center" vertical="center"/>
    </xf>
    <xf numFmtId="169" fontId="26" fillId="5" borderId="53" xfId="1" applyFont="1" applyFill="1" applyBorder="1" applyAlignment="1">
      <alignment horizontal="center" vertical="center" wrapText="1"/>
    </xf>
    <xf numFmtId="0" fontId="26" fillId="6" borderId="53" xfId="1" applyNumberFormat="1" applyFont="1" applyFill="1" applyBorder="1" applyAlignment="1">
      <alignment horizontal="center" vertical="center"/>
    </xf>
    <xf numFmtId="0" fontId="26" fillId="6" borderId="56" xfId="1" applyNumberFormat="1" applyFont="1" applyFill="1" applyBorder="1" applyAlignment="1">
      <alignment horizontal="center" vertical="center"/>
    </xf>
    <xf numFmtId="0" fontId="26" fillId="5" borderId="53" xfId="1" applyNumberFormat="1" applyFont="1" applyFill="1" applyBorder="1" applyAlignment="1">
      <alignment horizontal="center" vertical="center"/>
    </xf>
    <xf numFmtId="0" fontId="26" fillId="7" borderId="53" xfId="1" applyNumberFormat="1" applyFont="1" applyFill="1" applyBorder="1" applyAlignment="1">
      <alignment horizontal="center" vertical="center"/>
    </xf>
    <xf numFmtId="0" fontId="26" fillId="8" borderId="53" xfId="1" applyNumberFormat="1" applyFont="1" applyFill="1" applyBorder="1" applyAlignment="1">
      <alignment horizontal="center" vertical="center"/>
    </xf>
    <xf numFmtId="0" fontId="3" fillId="9" borderId="53" xfId="0" applyFont="1" applyFill="1" applyBorder="1" applyAlignment="1">
      <alignment horizontal="center" vertical="center"/>
    </xf>
    <xf numFmtId="0" fontId="3" fillId="10" borderId="53" xfId="0" applyFont="1" applyFill="1" applyBorder="1" applyAlignment="1">
      <alignment horizontal="center" vertical="center"/>
    </xf>
    <xf numFmtId="169" fontId="27" fillId="0" borderId="15" xfId="1" applyFont="1" applyBorder="1"/>
    <xf numFmtId="169" fontId="26" fillId="0" borderId="20" xfId="1" applyFont="1" applyBorder="1"/>
    <xf numFmtId="169" fontId="26" fillId="0" borderId="18" xfId="1" applyFont="1" applyBorder="1"/>
    <xf numFmtId="0" fontId="14" fillId="0" borderId="13" xfId="1" applyNumberFormat="1" applyFont="1" applyBorder="1"/>
    <xf numFmtId="169" fontId="14" fillId="0" borderId="13" xfId="1" applyFont="1" applyBorder="1" applyAlignment="1">
      <alignment horizontal="center"/>
    </xf>
    <xf numFmtId="169" fontId="14" fillId="0" borderId="15" xfId="1" applyFont="1" applyBorder="1"/>
    <xf numFmtId="169" fontId="14" fillId="0" borderId="20" xfId="1" applyFont="1" applyBorder="1"/>
    <xf numFmtId="169" fontId="14" fillId="0" borderId="13" xfId="1" applyFont="1" applyBorder="1"/>
    <xf numFmtId="0" fontId="14" fillId="0" borderId="18" xfId="1" applyNumberFormat="1" applyFont="1" applyBorder="1" applyAlignment="1">
      <alignment horizontal="center"/>
    </xf>
    <xf numFmtId="172" fontId="1" fillId="0" borderId="13" xfId="1" applyNumberFormat="1" applyFont="1" applyBorder="1"/>
    <xf numFmtId="169" fontId="0" fillId="0" borderId="13" xfId="1" applyFont="1" applyBorder="1"/>
    <xf numFmtId="169" fontId="26" fillId="0" borderId="15" xfId="1" applyFont="1" applyBorder="1"/>
    <xf numFmtId="168" fontId="0" fillId="0" borderId="13" xfId="1" applyNumberFormat="1" applyFont="1" applyBorder="1"/>
    <xf numFmtId="169" fontId="14" fillId="0" borderId="26" xfId="1" applyFont="1" applyBorder="1"/>
    <xf numFmtId="169" fontId="14" fillId="0" borderId="54" xfId="1" applyFont="1" applyBorder="1"/>
    <xf numFmtId="169" fontId="14" fillId="0" borderId="28" xfId="1" applyFont="1" applyBorder="1"/>
    <xf numFmtId="9" fontId="14" fillId="0" borderId="18" xfId="1" applyNumberFormat="1" applyFont="1" applyBorder="1" applyAlignment="1">
      <alignment horizontal="center"/>
    </xf>
    <xf numFmtId="173" fontId="1" fillId="0" borderId="13" xfId="1" applyNumberFormat="1" applyFont="1" applyBorder="1"/>
    <xf numFmtId="169" fontId="26" fillId="3" borderId="26" xfId="1" applyFont="1" applyFill="1" applyBorder="1" applyAlignment="1">
      <alignment vertical="center"/>
    </xf>
    <xf numFmtId="169" fontId="14" fillId="3" borderId="22" xfId="1" applyFont="1" applyFill="1" applyBorder="1"/>
    <xf numFmtId="169" fontId="14" fillId="3" borderId="0" xfId="1" applyFont="1" applyFill="1" applyBorder="1"/>
    <xf numFmtId="169" fontId="14" fillId="3" borderId="40" xfId="1" applyFont="1" applyFill="1" applyBorder="1"/>
    <xf numFmtId="169" fontId="14" fillId="3" borderId="26" xfId="1" applyFont="1" applyFill="1" applyBorder="1"/>
    <xf numFmtId="169" fontId="14" fillId="3" borderId="28" xfId="1" applyFont="1" applyFill="1" applyBorder="1"/>
    <xf numFmtId="169" fontId="14" fillId="3" borderId="18" xfId="1" applyFont="1" applyFill="1" applyBorder="1"/>
    <xf numFmtId="168" fontId="0" fillId="0" borderId="13" xfId="1" applyNumberFormat="1" applyFont="1" applyBorder="1" applyAlignment="1">
      <alignment vertical="center"/>
    </xf>
    <xf numFmtId="169" fontId="14" fillId="3" borderId="55" xfId="1" applyFont="1" applyFill="1" applyBorder="1"/>
    <xf numFmtId="169" fontId="14" fillId="3" borderId="10" xfId="1" applyFont="1" applyFill="1" applyBorder="1"/>
    <xf numFmtId="169" fontId="14" fillId="3" borderId="56" xfId="1" applyFont="1" applyFill="1" applyBorder="1"/>
    <xf numFmtId="9" fontId="14" fillId="3" borderId="18" xfId="1" applyNumberFormat="1" applyFont="1" applyFill="1" applyBorder="1" applyAlignment="1">
      <alignment horizontal="center"/>
    </xf>
    <xf numFmtId="169" fontId="14" fillId="3" borderId="54" xfId="1" applyFont="1" applyFill="1" applyBorder="1" applyAlignment="1">
      <alignment vertical="center"/>
    </xf>
    <xf numFmtId="169" fontId="14" fillId="3" borderId="28" xfId="1" applyFont="1" applyFill="1" applyBorder="1" applyAlignment="1">
      <alignment vertical="center"/>
    </xf>
    <xf numFmtId="0" fontId="14" fillId="3" borderId="13" xfId="1" applyNumberFormat="1" applyFont="1" applyFill="1" applyBorder="1" applyAlignment="1">
      <alignment vertical="center"/>
    </xf>
    <xf numFmtId="169" fontId="14" fillId="3" borderId="13" xfId="1" applyFont="1" applyFill="1" applyBorder="1" applyAlignment="1">
      <alignment horizontal="center" vertical="center"/>
    </xf>
    <xf numFmtId="169" fontId="14" fillId="3" borderId="15" xfId="1" applyFont="1" applyFill="1" applyBorder="1" applyAlignment="1">
      <alignment vertical="center"/>
    </xf>
    <xf numFmtId="169" fontId="14" fillId="3" borderId="20" xfId="1" applyFont="1" applyFill="1" applyBorder="1" applyAlignment="1">
      <alignment vertical="center"/>
    </xf>
    <xf numFmtId="169" fontId="14" fillId="3" borderId="13" xfId="1" applyFont="1" applyFill="1" applyBorder="1" applyAlignment="1">
      <alignment vertical="center"/>
    </xf>
    <xf numFmtId="9" fontId="14" fillId="3" borderId="18" xfId="1" applyNumberFormat="1" applyFont="1" applyFill="1" applyBorder="1" applyAlignment="1">
      <alignment horizontal="center" vertical="center"/>
    </xf>
    <xf numFmtId="0" fontId="14" fillId="0" borderId="18" xfId="1" applyNumberFormat="1" applyFont="1" applyBorder="1" applyAlignment="1">
      <alignment horizontal="center" vertical="center"/>
    </xf>
    <xf numFmtId="169" fontId="1" fillId="0" borderId="13" xfId="1" applyFont="1" applyBorder="1" applyAlignment="1">
      <alignment vertical="center"/>
    </xf>
    <xf numFmtId="169" fontId="0" fillId="0" borderId="13" xfId="1" applyFont="1" applyBorder="1" applyAlignment="1">
      <alignment vertical="center"/>
    </xf>
    <xf numFmtId="0" fontId="0" fillId="0" borderId="13" xfId="0" applyBorder="1" applyAlignment="1">
      <alignment wrapText="1"/>
    </xf>
    <xf numFmtId="174" fontId="0" fillId="0" borderId="0" xfId="0" applyNumberFormat="1"/>
    <xf numFmtId="168" fontId="0" fillId="0" borderId="13" xfId="0" applyNumberFormat="1" applyBorder="1" applyAlignment="1">
      <alignment vertical="center"/>
    </xf>
    <xf numFmtId="169" fontId="14" fillId="3" borderId="0" xfId="1" applyFont="1" applyFill="1" applyBorder="1" applyAlignment="1">
      <alignment vertical="center"/>
    </xf>
    <xf numFmtId="169" fontId="14" fillId="3" borderId="40" xfId="1" applyFont="1" applyFill="1" applyBorder="1" applyAlignment="1">
      <alignment vertical="center"/>
    </xf>
    <xf numFmtId="0" fontId="14" fillId="3" borderId="13" xfId="1" applyNumberFormat="1" applyFont="1" applyFill="1" applyBorder="1"/>
    <xf numFmtId="169" fontId="14" fillId="3" borderId="13" xfId="1" applyFont="1" applyFill="1" applyBorder="1" applyAlignment="1">
      <alignment horizontal="center"/>
    </xf>
    <xf numFmtId="169" fontId="14" fillId="3" borderId="15" xfId="1" applyFont="1" applyFill="1" applyBorder="1"/>
    <xf numFmtId="169" fontId="14" fillId="3" borderId="20" xfId="1" applyFont="1" applyFill="1" applyBorder="1"/>
    <xf numFmtId="43" fontId="14" fillId="3" borderId="18" xfId="1" applyNumberFormat="1" applyFont="1" applyFill="1" applyBorder="1" applyAlignment="1">
      <alignment horizontal="center"/>
    </xf>
    <xf numFmtId="168" fontId="1" fillId="0" borderId="13" xfId="1" applyNumberFormat="1" applyFont="1" applyBorder="1"/>
    <xf numFmtId="169" fontId="14" fillId="3" borderId="10" xfId="1" applyFont="1" applyFill="1" applyBorder="1" applyAlignment="1">
      <alignment vertical="center"/>
    </xf>
    <xf numFmtId="169" fontId="14" fillId="3" borderId="56" xfId="1" applyFont="1" applyFill="1" applyBorder="1" applyAlignment="1">
      <alignment vertical="center"/>
    </xf>
    <xf numFmtId="0" fontId="14" fillId="3" borderId="18" xfId="1" applyNumberFormat="1" applyFont="1" applyFill="1" applyBorder="1" applyAlignment="1">
      <alignment horizontal="center"/>
    </xf>
    <xf numFmtId="0" fontId="14" fillId="3" borderId="18" xfId="1" applyNumberFormat="1" applyFont="1" applyFill="1" applyBorder="1" applyAlignment="1">
      <alignment horizontal="center" vertical="center"/>
    </xf>
    <xf numFmtId="168" fontId="0" fillId="0" borderId="24" xfId="0" applyNumberFormat="1" applyBorder="1" applyAlignment="1">
      <alignment horizontal="center" vertical="center"/>
    </xf>
    <xf numFmtId="168" fontId="0" fillId="0" borderId="13" xfId="0" applyNumberFormat="1" applyBorder="1"/>
    <xf numFmtId="168" fontId="0" fillId="0" borderId="38" xfId="0" applyNumberFormat="1" applyBorder="1" applyAlignment="1">
      <alignment horizontal="center" vertical="center"/>
    </xf>
    <xf numFmtId="168" fontId="0" fillId="0" borderId="53" xfId="0" applyNumberFormat="1" applyBorder="1" applyAlignment="1">
      <alignment horizontal="center" vertical="center"/>
    </xf>
    <xf numFmtId="169" fontId="1" fillId="0" borderId="13" xfId="1" applyFont="1" applyBorder="1"/>
    <xf numFmtId="173" fontId="0" fillId="0" borderId="0" xfId="1" applyNumberFormat="1" applyFont="1"/>
    <xf numFmtId="173" fontId="1" fillId="0" borderId="13" xfId="1" applyNumberFormat="1" applyFont="1" applyBorder="1" applyAlignment="1">
      <alignment vertical="center"/>
    </xf>
    <xf numFmtId="2" fontId="14" fillId="3" borderId="18" xfId="1" applyNumberFormat="1" applyFont="1" applyFill="1" applyBorder="1" applyAlignment="1">
      <alignment horizontal="center"/>
    </xf>
    <xf numFmtId="169" fontId="14" fillId="0" borderId="22" xfId="1" applyFont="1" applyBorder="1"/>
    <xf numFmtId="169" fontId="14" fillId="0" borderId="0" xfId="1" applyFont="1" applyBorder="1"/>
    <xf numFmtId="169" fontId="14" fillId="0" borderId="40" xfId="1" applyFont="1" applyBorder="1"/>
    <xf numFmtId="0" fontId="0" fillId="0" borderId="15" xfId="0" applyBorder="1" applyAlignment="1">
      <alignment horizontal="center"/>
    </xf>
    <xf numFmtId="0" fontId="0" fillId="0" borderId="15" xfId="0" applyBorder="1"/>
    <xf numFmtId="0" fontId="0" fillId="0" borderId="20" xfId="0" applyBorder="1"/>
    <xf numFmtId="169" fontId="1" fillId="0" borderId="13" xfId="1" applyFont="1" applyFill="1" applyBorder="1"/>
    <xf numFmtId="169" fontId="14" fillId="0" borderId="55" xfId="1" applyFont="1" applyBorder="1"/>
    <xf numFmtId="169" fontId="14" fillId="0" borderId="10" xfId="1" applyFont="1" applyBorder="1"/>
    <xf numFmtId="169" fontId="0" fillId="0" borderId="24" xfId="1" applyFont="1" applyBorder="1"/>
    <xf numFmtId="0" fontId="0" fillId="0" borderId="13" xfId="1" applyNumberFormat="1" applyFont="1" applyBorder="1"/>
    <xf numFmtId="173" fontId="1" fillId="0" borderId="13" xfId="1" applyNumberFormat="1" applyFont="1" applyFill="1" applyBorder="1"/>
    <xf numFmtId="169" fontId="0" fillId="0" borderId="28" xfId="1" applyFont="1" applyBorder="1"/>
    <xf numFmtId="169" fontId="0" fillId="0" borderId="40" xfId="1" applyFont="1" applyBorder="1"/>
    <xf numFmtId="171" fontId="1" fillId="0" borderId="13" xfId="1" applyNumberFormat="1" applyFont="1" applyFill="1" applyBorder="1"/>
    <xf numFmtId="172" fontId="1" fillId="0" borderId="13" xfId="1" applyNumberFormat="1" applyFont="1" applyFill="1" applyBorder="1"/>
    <xf numFmtId="168" fontId="0" fillId="0" borderId="13" xfId="1" applyNumberFormat="1" applyFont="1" applyBorder="1" applyAlignment="1">
      <alignment horizontal="center"/>
    </xf>
    <xf numFmtId="169" fontId="0" fillId="0" borderId="56" xfId="1" applyFont="1" applyBorder="1"/>
    <xf numFmtId="0" fontId="0" fillId="0" borderId="18" xfId="1" applyNumberFormat="1" applyFont="1" applyBorder="1"/>
    <xf numFmtId="169" fontId="14" fillId="0" borderId="56" xfId="1" applyFont="1" applyBorder="1"/>
    <xf numFmtId="169" fontId="14" fillId="11" borderId="55" xfId="1" applyFont="1" applyFill="1" applyBorder="1"/>
    <xf numFmtId="169" fontId="14" fillId="11" borderId="10" xfId="1" applyFont="1" applyFill="1" applyBorder="1"/>
    <xf numFmtId="169" fontId="26" fillId="11" borderId="10" xfId="1" applyFont="1" applyFill="1" applyBorder="1"/>
    <xf numFmtId="169" fontId="14" fillId="11" borderId="56" xfId="1" applyFont="1" applyFill="1" applyBorder="1"/>
    <xf numFmtId="0" fontId="14" fillId="11" borderId="13" xfId="1" applyNumberFormat="1" applyFont="1" applyFill="1" applyBorder="1"/>
    <xf numFmtId="169" fontId="14" fillId="11" borderId="13" xfId="1" applyFont="1" applyFill="1" applyBorder="1" applyAlignment="1">
      <alignment horizontal="center"/>
    </xf>
    <xf numFmtId="169" fontId="14" fillId="11" borderId="15" xfId="1" applyFont="1" applyFill="1" applyBorder="1"/>
    <xf numFmtId="169" fontId="14" fillId="11" borderId="20" xfId="1" applyFont="1" applyFill="1" applyBorder="1"/>
    <xf numFmtId="169" fontId="14" fillId="11" borderId="13" xfId="1" applyFont="1" applyFill="1" applyBorder="1"/>
    <xf numFmtId="0" fontId="14" fillId="11" borderId="18" xfId="1" applyNumberFormat="1" applyFont="1" applyFill="1" applyBorder="1" applyAlignment="1">
      <alignment horizontal="center"/>
    </xf>
    <xf numFmtId="172" fontId="1" fillId="11" borderId="13" xfId="1" applyNumberFormat="1" applyFont="1" applyFill="1" applyBorder="1"/>
    <xf numFmtId="169" fontId="0" fillId="11" borderId="13" xfId="1" applyFont="1" applyFill="1" applyBorder="1"/>
    <xf numFmtId="168" fontId="3" fillId="11" borderId="13" xfId="1" applyNumberFormat="1" applyFont="1" applyFill="1" applyBorder="1"/>
    <xf numFmtId="43" fontId="3" fillId="11" borderId="13" xfId="0" applyNumberFormat="1" applyFont="1" applyFill="1" applyBorder="1"/>
    <xf numFmtId="0" fontId="3" fillId="11" borderId="0" xfId="0" applyFont="1" applyFill="1"/>
    <xf numFmtId="168" fontId="3" fillId="11" borderId="13" xfId="0" applyNumberFormat="1" applyFont="1" applyFill="1" applyBorder="1"/>
    <xf numFmtId="169" fontId="14" fillId="0" borderId="18" xfId="1" applyFont="1" applyBorder="1"/>
    <xf numFmtId="171" fontId="14" fillId="0" borderId="22" xfId="1" applyNumberFormat="1" applyFont="1" applyBorder="1"/>
    <xf numFmtId="171" fontId="14" fillId="0" borderId="0" xfId="1" applyNumberFormat="1" applyFont="1" applyBorder="1"/>
    <xf numFmtId="171" fontId="14" fillId="0" borderId="40" xfId="1" applyNumberFormat="1" applyFont="1" applyBorder="1"/>
    <xf numFmtId="171" fontId="14" fillId="0" borderId="55" xfId="1" applyNumberFormat="1" applyFont="1" applyBorder="1"/>
    <xf numFmtId="171" fontId="14" fillId="0" borderId="10" xfId="1" applyNumberFormat="1" applyFont="1" applyBorder="1"/>
    <xf numFmtId="171" fontId="14" fillId="0" borderId="56" xfId="1" applyNumberFormat="1" applyFont="1" applyBorder="1"/>
    <xf numFmtId="171" fontId="14" fillId="0" borderId="22" xfId="1" applyNumberFormat="1" applyFont="1" applyFill="1" applyBorder="1"/>
    <xf numFmtId="171" fontId="14" fillId="0" borderId="0" xfId="1" applyNumberFormat="1" applyFont="1" applyFill="1" applyBorder="1"/>
    <xf numFmtId="171" fontId="14" fillId="0" borderId="40" xfId="1" applyNumberFormat="1" applyFont="1" applyFill="1" applyBorder="1"/>
    <xf numFmtId="0" fontId="14" fillId="0" borderId="13" xfId="1" applyNumberFormat="1" applyFont="1" applyFill="1" applyBorder="1"/>
    <xf numFmtId="169" fontId="14" fillId="0" borderId="13" xfId="1" applyFont="1" applyFill="1" applyBorder="1" applyAlignment="1">
      <alignment horizontal="center"/>
    </xf>
    <xf numFmtId="169" fontId="14" fillId="0" borderId="15" xfId="1" applyFont="1" applyFill="1" applyBorder="1"/>
    <xf numFmtId="169" fontId="14" fillId="0" borderId="20" xfId="1" applyFont="1" applyFill="1" applyBorder="1"/>
    <xf numFmtId="169" fontId="14" fillId="0" borderId="13" xfId="1" applyFont="1" applyFill="1" applyBorder="1"/>
    <xf numFmtId="0" fontId="14" fillId="0" borderId="18" xfId="1" applyNumberFormat="1" applyFont="1" applyFill="1" applyBorder="1" applyAlignment="1">
      <alignment horizontal="center"/>
    </xf>
    <xf numFmtId="169" fontId="0" fillId="0" borderId="13" xfId="1" applyFont="1" applyFill="1" applyBorder="1"/>
    <xf numFmtId="171" fontId="14" fillId="0" borderId="55" xfId="1" applyNumberFormat="1" applyFont="1" applyFill="1" applyBorder="1"/>
    <xf numFmtId="171" fontId="14" fillId="0" borderId="10" xfId="1" applyNumberFormat="1" applyFont="1" applyFill="1" applyBorder="1"/>
    <xf numFmtId="171" fontId="14" fillId="0" borderId="56" xfId="1" applyNumberFormat="1" applyFont="1" applyFill="1" applyBorder="1"/>
    <xf numFmtId="169" fontId="26" fillId="11" borderId="15" xfId="1" applyFont="1" applyFill="1" applyBorder="1" applyAlignment="1">
      <alignment horizontal="center"/>
    </xf>
    <xf numFmtId="169" fontId="26" fillId="11" borderId="20" xfId="1" applyFont="1" applyFill="1" applyBorder="1" applyAlignment="1">
      <alignment horizontal="center"/>
    </xf>
    <xf numFmtId="169" fontId="26" fillId="11" borderId="18" xfId="1" applyFont="1" applyFill="1" applyBorder="1" applyAlignment="1">
      <alignment horizontal="center"/>
    </xf>
    <xf numFmtId="0" fontId="0" fillId="11" borderId="13" xfId="0" applyFill="1" applyBorder="1"/>
    <xf numFmtId="0" fontId="0" fillId="11" borderId="0" xfId="0" applyFill="1"/>
    <xf numFmtId="9" fontId="14" fillId="0" borderId="18" xfId="1" applyNumberFormat="1" applyFont="1" applyBorder="1" applyAlignment="1">
      <alignment horizontal="center" vertical="center"/>
    </xf>
    <xf numFmtId="172" fontId="1" fillId="3" borderId="13" xfId="1" applyNumberFormat="1" applyFont="1" applyFill="1" applyBorder="1" applyAlignment="1">
      <alignment vertical="center"/>
    </xf>
    <xf numFmtId="169" fontId="0" fillId="3" borderId="13" xfId="1" applyFont="1" applyFill="1" applyBorder="1" applyAlignment="1">
      <alignment vertical="center"/>
    </xf>
    <xf numFmtId="0" fontId="0" fillId="0" borderId="13" xfId="0" applyBorder="1" applyAlignment="1">
      <alignment vertical="center" wrapText="1"/>
    </xf>
    <xf numFmtId="169" fontId="28" fillId="0" borderId="13" xfId="6" applyFont="1" applyFill="1" applyBorder="1" applyAlignment="1">
      <alignment horizontal="center"/>
    </xf>
    <xf numFmtId="172" fontId="1" fillId="3" borderId="13" xfId="1" applyNumberFormat="1" applyFont="1" applyFill="1" applyBorder="1"/>
    <xf numFmtId="169" fontId="0" fillId="3" borderId="13" xfId="1" applyFont="1" applyFill="1" applyBorder="1"/>
    <xf numFmtId="0" fontId="0" fillId="3" borderId="13" xfId="0" applyFill="1" applyBorder="1"/>
    <xf numFmtId="169" fontId="3" fillId="11" borderId="13" xfId="1" applyFont="1" applyFill="1" applyBorder="1"/>
    <xf numFmtId="0" fontId="3" fillId="11" borderId="13" xfId="0" applyFont="1" applyFill="1" applyBorder="1"/>
    <xf numFmtId="169" fontId="26" fillId="3" borderId="20" xfId="1" applyFont="1" applyFill="1" applyBorder="1"/>
    <xf numFmtId="172" fontId="1" fillId="0" borderId="13" xfId="1" applyNumberFormat="1" applyFont="1" applyBorder="1" applyAlignment="1">
      <alignment vertical="center"/>
    </xf>
    <xf numFmtId="168" fontId="0" fillId="3" borderId="13" xfId="1" applyNumberFormat="1" applyFont="1" applyFill="1" applyBorder="1" applyAlignment="1">
      <alignment vertical="center"/>
    </xf>
    <xf numFmtId="9" fontId="14" fillId="11" borderId="18" xfId="1" applyNumberFormat="1" applyFont="1" applyFill="1" applyBorder="1" applyAlignment="1">
      <alignment horizontal="center"/>
    </xf>
    <xf numFmtId="168" fontId="0" fillId="11" borderId="13" xfId="1" applyNumberFormat="1" applyFont="1" applyFill="1" applyBorder="1"/>
    <xf numFmtId="169" fontId="26" fillId="11" borderId="26" xfId="1" applyFont="1" applyFill="1" applyBorder="1" applyAlignment="1">
      <alignment vertical="center"/>
    </xf>
    <xf numFmtId="169" fontId="0" fillId="0" borderId="13" xfId="0" applyNumberFormat="1" applyBorder="1"/>
    <xf numFmtId="3" fontId="14" fillId="3" borderId="18" xfId="1" applyNumberFormat="1" applyFont="1" applyFill="1" applyBorder="1" applyAlignment="1">
      <alignment horizontal="center"/>
    </xf>
    <xf numFmtId="171" fontId="1" fillId="3" borderId="13" xfId="1" applyNumberFormat="1" applyFont="1" applyFill="1" applyBorder="1"/>
    <xf numFmtId="168" fontId="0" fillId="3" borderId="13" xfId="1" applyNumberFormat="1" applyFont="1" applyFill="1" applyBorder="1"/>
    <xf numFmtId="3" fontId="14" fillId="11" borderId="18" xfId="1" applyNumberFormat="1" applyFont="1" applyFill="1" applyBorder="1" applyAlignment="1">
      <alignment horizontal="center"/>
    </xf>
    <xf numFmtId="171" fontId="1" fillId="11" borderId="13" xfId="1" applyNumberFormat="1" applyFont="1" applyFill="1" applyBorder="1"/>
    <xf numFmtId="169" fontId="26" fillId="3" borderId="0" xfId="1" applyFont="1" applyFill="1" applyBorder="1"/>
    <xf numFmtId="9" fontId="14" fillId="3" borderId="18" xfId="3" applyFont="1" applyFill="1" applyBorder="1" applyAlignment="1">
      <alignment horizontal="center"/>
    </xf>
    <xf numFmtId="169" fontId="14" fillId="3" borderId="18" xfId="1" applyFont="1" applyFill="1" applyBorder="1" applyAlignment="1">
      <alignment horizontal="center"/>
    </xf>
    <xf numFmtId="1" fontId="14" fillId="3" borderId="18" xfId="1" applyNumberFormat="1" applyFont="1" applyFill="1" applyBorder="1" applyAlignment="1">
      <alignment horizontal="center"/>
    </xf>
    <xf numFmtId="171" fontId="1" fillId="0" borderId="13" xfId="1" applyNumberFormat="1" applyFont="1" applyBorder="1"/>
    <xf numFmtId="168" fontId="3" fillId="11" borderId="13" xfId="1" applyNumberFormat="1" applyFont="1" applyFill="1" applyBorder="1" applyAlignment="1">
      <alignment vertical="center"/>
    </xf>
    <xf numFmtId="0" fontId="26" fillId="11" borderId="13" xfId="1" applyNumberFormat="1" applyFont="1" applyFill="1" applyBorder="1"/>
    <xf numFmtId="169" fontId="26" fillId="11" borderId="13" xfId="1" applyFont="1" applyFill="1" applyBorder="1" applyAlignment="1">
      <alignment horizontal="center"/>
    </xf>
    <xf numFmtId="169" fontId="26" fillId="11" borderId="15" xfId="1" applyFont="1" applyFill="1" applyBorder="1"/>
    <xf numFmtId="169" fontId="26" fillId="11" borderId="20" xfId="1" applyFont="1" applyFill="1" applyBorder="1"/>
    <xf numFmtId="169" fontId="26" fillId="11" borderId="13" xfId="1" applyFont="1" applyFill="1" applyBorder="1"/>
    <xf numFmtId="0" fontId="26" fillId="11" borderId="18" xfId="1" applyNumberFormat="1" applyFont="1" applyFill="1" applyBorder="1" applyAlignment="1">
      <alignment horizontal="center"/>
    </xf>
    <xf numFmtId="172" fontId="3" fillId="11" borderId="13" xfId="1" applyNumberFormat="1" applyFont="1" applyFill="1" applyBorder="1"/>
    <xf numFmtId="169" fontId="26" fillId="3" borderId="10" xfId="1" applyFont="1" applyFill="1" applyBorder="1"/>
    <xf numFmtId="43" fontId="0" fillId="11" borderId="13" xfId="0" applyNumberFormat="1" applyFill="1" applyBorder="1"/>
    <xf numFmtId="169" fontId="26" fillId="12" borderId="15" xfId="1" applyFont="1" applyFill="1" applyBorder="1" applyAlignment="1">
      <alignment horizontal="center"/>
    </xf>
    <xf numFmtId="169" fontId="26" fillId="12" borderId="20" xfId="1" applyFont="1" applyFill="1" applyBorder="1" applyAlignment="1">
      <alignment horizontal="center"/>
    </xf>
    <xf numFmtId="169" fontId="26" fillId="12" borderId="18" xfId="1" applyFont="1" applyFill="1" applyBorder="1" applyAlignment="1">
      <alignment horizontal="center"/>
    </xf>
    <xf numFmtId="0" fontId="26" fillId="12" borderId="13" xfId="1" applyNumberFormat="1" applyFont="1" applyFill="1" applyBorder="1"/>
    <xf numFmtId="169" fontId="26" fillId="12" borderId="13" xfId="1" applyFont="1" applyFill="1" applyBorder="1" applyAlignment="1">
      <alignment horizontal="center"/>
    </xf>
    <xf numFmtId="169" fontId="26" fillId="12" borderId="15" xfId="1" applyFont="1" applyFill="1" applyBorder="1"/>
    <xf numFmtId="169" fontId="26" fillId="12" borderId="20" xfId="1" applyFont="1" applyFill="1" applyBorder="1"/>
    <xf numFmtId="169" fontId="26" fillId="12" borderId="13" xfId="1" applyFont="1" applyFill="1" applyBorder="1"/>
    <xf numFmtId="0" fontId="26" fillId="12" borderId="18" xfId="1" applyNumberFormat="1" applyFont="1" applyFill="1" applyBorder="1" applyAlignment="1">
      <alignment horizontal="center"/>
    </xf>
    <xf numFmtId="172" fontId="3" fillId="12" borderId="13" xfId="1" applyNumberFormat="1" applyFont="1" applyFill="1" applyBorder="1"/>
    <xf numFmtId="169" fontId="3" fillId="12" borderId="13" xfId="1" applyFont="1" applyFill="1" applyBorder="1"/>
    <xf numFmtId="168" fontId="3" fillId="12" borderId="13" xfId="1" applyNumberFormat="1" applyFont="1" applyFill="1" applyBorder="1"/>
    <xf numFmtId="0" fontId="3" fillId="12" borderId="13" xfId="0" applyFont="1" applyFill="1" applyBorder="1"/>
    <xf numFmtId="0" fontId="3" fillId="0" borderId="0" xfId="0" applyFont="1"/>
    <xf numFmtId="168" fontId="3" fillId="13" borderId="13" xfId="0" applyNumberFormat="1" applyFont="1" applyFill="1" applyBorder="1"/>
    <xf numFmtId="43" fontId="3" fillId="13" borderId="13" xfId="0" applyNumberFormat="1" applyFont="1" applyFill="1" applyBorder="1"/>
    <xf numFmtId="0" fontId="3" fillId="13" borderId="13" xfId="0" applyFont="1" applyFill="1" applyBorder="1"/>
    <xf numFmtId="0" fontId="3" fillId="0" borderId="13" xfId="0" applyFont="1" applyBorder="1"/>
    <xf numFmtId="169" fontId="0" fillId="0" borderId="0" xfId="0" applyNumberFormat="1"/>
    <xf numFmtId="173" fontId="1" fillId="3" borderId="13" xfId="1" applyNumberFormat="1" applyFont="1" applyFill="1" applyBorder="1"/>
    <xf numFmtId="164" fontId="14" fillId="0" borderId="18" xfId="2" applyFont="1" applyBorder="1" applyAlignment="1">
      <alignment horizontal="center"/>
    </xf>
    <xf numFmtId="169" fontId="0" fillId="0" borderId="26" xfId="1" applyFont="1" applyBorder="1"/>
    <xf numFmtId="9" fontId="0" fillId="0" borderId="13" xfId="0" applyNumberFormat="1" applyBorder="1" applyAlignment="1">
      <alignment horizontal="center"/>
    </xf>
    <xf numFmtId="168" fontId="0" fillId="0" borderId="0" xfId="0" applyNumberFormat="1"/>
    <xf numFmtId="166" fontId="1" fillId="0" borderId="13" xfId="2" applyNumberFormat="1" applyFont="1" applyBorder="1"/>
    <xf numFmtId="169" fontId="1" fillId="3" borderId="13" xfId="1" applyFont="1" applyFill="1" applyBorder="1"/>
    <xf numFmtId="173" fontId="0" fillId="3" borderId="13" xfId="1" applyNumberFormat="1" applyFont="1" applyFill="1" applyBorder="1"/>
    <xf numFmtId="169" fontId="14" fillId="0" borderId="26" xfId="1" applyFont="1" applyBorder="1" applyAlignment="1">
      <alignment vertical="center"/>
    </xf>
    <xf numFmtId="169" fontId="14" fillId="0" borderId="54" xfId="1" applyFont="1" applyBorder="1" applyAlignment="1">
      <alignment vertical="center"/>
    </xf>
    <xf numFmtId="169" fontId="14" fillId="0" borderId="28" xfId="1" applyFont="1" applyBorder="1" applyAlignment="1">
      <alignment vertical="center"/>
    </xf>
    <xf numFmtId="169" fontId="14" fillId="0" borderId="55" xfId="1" applyFont="1" applyBorder="1" applyAlignment="1">
      <alignment vertical="center"/>
    </xf>
    <xf numFmtId="169" fontId="14" fillId="0" borderId="10" xfId="1" applyFont="1" applyBorder="1" applyAlignment="1">
      <alignment vertical="center"/>
    </xf>
    <xf numFmtId="169" fontId="14" fillId="0" borderId="56" xfId="1" applyFont="1" applyBorder="1" applyAlignment="1">
      <alignment vertical="center"/>
    </xf>
    <xf numFmtId="169" fontId="14" fillId="0" borderId="26" xfId="1" applyFont="1" applyBorder="1" applyAlignment="1">
      <alignment horizontal="left" vertical="center"/>
    </xf>
    <xf numFmtId="169" fontId="14" fillId="0" borderId="54" xfId="1" applyFont="1" applyBorder="1" applyAlignment="1">
      <alignment horizontal="left" vertical="center"/>
    </xf>
    <xf numFmtId="169" fontId="14" fillId="0" borderId="28" xfId="1" applyFont="1" applyBorder="1" applyAlignment="1">
      <alignment horizontal="left" vertical="center"/>
    </xf>
    <xf numFmtId="169" fontId="14" fillId="0" borderId="22" xfId="1" applyFont="1" applyBorder="1" applyAlignment="1">
      <alignment horizontal="left" vertical="center"/>
    </xf>
    <xf numFmtId="169" fontId="14" fillId="0" borderId="0" xfId="1" applyFont="1" applyBorder="1" applyAlignment="1">
      <alignment horizontal="left" vertical="center"/>
    </xf>
    <xf numFmtId="169" fontId="14" fillId="0" borderId="40" xfId="1" applyFont="1" applyBorder="1" applyAlignment="1">
      <alignment horizontal="left" vertical="center"/>
    </xf>
    <xf numFmtId="175" fontId="1" fillId="3" borderId="13" xfId="1" applyNumberFormat="1" applyFont="1" applyFill="1" applyBorder="1"/>
    <xf numFmtId="169" fontId="14" fillId="0" borderId="55" xfId="1" applyFont="1" applyBorder="1" applyAlignment="1">
      <alignment horizontal="left" vertical="center"/>
    </xf>
    <xf numFmtId="169" fontId="14" fillId="0" borderId="10" xfId="1" applyFont="1" applyBorder="1" applyAlignment="1">
      <alignment horizontal="left" vertical="center"/>
    </xf>
    <xf numFmtId="169" fontId="14" fillId="0" borderId="56" xfId="1" applyFont="1" applyBorder="1" applyAlignment="1">
      <alignment horizontal="left" vertical="center"/>
    </xf>
    <xf numFmtId="169" fontId="14" fillId="0" borderId="22" xfId="1" applyFont="1" applyBorder="1" applyAlignment="1">
      <alignment vertical="center"/>
    </xf>
    <xf numFmtId="169" fontId="14" fillId="0" borderId="0" xfId="1" applyFont="1" applyBorder="1" applyAlignment="1">
      <alignment vertical="center"/>
    </xf>
    <xf numFmtId="0" fontId="14" fillId="0" borderId="13" xfId="1" applyNumberFormat="1" applyFont="1" applyBorder="1" applyAlignment="1">
      <alignment vertical="center"/>
    </xf>
    <xf numFmtId="169" fontId="14" fillId="0" borderId="13" xfId="1" applyFont="1" applyBorder="1" applyAlignment="1">
      <alignment horizontal="center" vertical="center"/>
    </xf>
    <xf numFmtId="169" fontId="14" fillId="0" borderId="15" xfId="1" applyFont="1" applyBorder="1" applyAlignment="1">
      <alignment vertical="center"/>
    </xf>
    <xf numFmtId="169" fontId="14" fillId="0" borderId="20" xfId="1" applyFont="1" applyBorder="1" applyAlignment="1">
      <alignment vertical="center"/>
    </xf>
    <xf numFmtId="169" fontId="14" fillId="0" borderId="13" xfId="1" applyFont="1" applyBorder="1" applyAlignment="1">
      <alignment vertical="center"/>
    </xf>
    <xf numFmtId="164" fontId="14" fillId="0" borderId="18" xfId="2" applyFont="1" applyBorder="1" applyAlignment="1">
      <alignment horizontal="center" vertical="center"/>
    </xf>
    <xf numFmtId="168" fontId="1" fillId="3" borderId="13" xfId="1" applyNumberFormat="1" applyFont="1" applyFill="1" applyBorder="1" applyAlignment="1">
      <alignment vertical="center"/>
    </xf>
    <xf numFmtId="0" fontId="0" fillId="3" borderId="13" xfId="0" applyFill="1" applyBorder="1" applyAlignment="1">
      <alignment vertical="center" wrapText="1"/>
    </xf>
    <xf numFmtId="169" fontId="0" fillId="0" borderId="13" xfId="0" applyNumberFormat="1" applyBorder="1" applyAlignment="1">
      <alignment vertical="center"/>
    </xf>
    <xf numFmtId="0" fontId="14" fillId="0" borderId="13" xfId="1" applyNumberFormat="1" applyFont="1" applyBorder="1" applyAlignment="1">
      <alignment horizontal="center"/>
    </xf>
    <xf numFmtId="0" fontId="0" fillId="11" borderId="15" xfId="0" applyFill="1" applyBorder="1" applyAlignment="1">
      <alignment horizontal="center"/>
    </xf>
    <xf numFmtId="0" fontId="0" fillId="11" borderId="15" xfId="0" applyFill="1" applyBorder="1"/>
    <xf numFmtId="0" fontId="0" fillId="11" borderId="20" xfId="0" applyFill="1" applyBorder="1"/>
    <xf numFmtId="0" fontId="0" fillId="10" borderId="13" xfId="0" applyFill="1" applyBorder="1"/>
    <xf numFmtId="0" fontId="0" fillId="10" borderId="0" xfId="0" applyFill="1"/>
    <xf numFmtId="169" fontId="3" fillId="10" borderId="13" xfId="0" applyNumberFormat="1" applyFont="1" applyFill="1" applyBorder="1" applyAlignment="1">
      <alignment vertical="center"/>
    </xf>
    <xf numFmtId="0" fontId="3" fillId="0" borderId="22" xfId="0" quotePrefix="1" applyFont="1" applyBorder="1"/>
    <xf numFmtId="0" fontId="3" fillId="0" borderId="0" xfId="0" quotePrefix="1" applyFont="1"/>
    <xf numFmtId="0" fontId="3" fillId="0" borderId="40" xfId="0" quotePrefix="1" applyFont="1" applyBorder="1"/>
    <xf numFmtId="43" fontId="0" fillId="0" borderId="0" xfId="0" applyNumberFormat="1"/>
    <xf numFmtId="165" fontId="1" fillId="3" borderId="13" xfId="2" applyNumberFormat="1" applyFont="1" applyFill="1" applyBorder="1"/>
    <xf numFmtId="176" fontId="1" fillId="0" borderId="13" xfId="2" applyNumberFormat="1" applyFont="1" applyBorder="1"/>
    <xf numFmtId="169" fontId="1" fillId="0" borderId="26" xfId="1" applyFont="1" applyBorder="1"/>
    <xf numFmtId="177" fontId="14" fillId="0" borderId="18" xfId="1" applyNumberFormat="1" applyFont="1" applyBorder="1" applyAlignment="1">
      <alignment horizontal="center"/>
    </xf>
    <xf numFmtId="0" fontId="3" fillId="10" borderId="13" xfId="0" applyFont="1" applyFill="1" applyBorder="1"/>
    <xf numFmtId="0" fontId="3" fillId="10" borderId="0" xfId="0" applyFont="1" applyFill="1"/>
    <xf numFmtId="43" fontId="3" fillId="10" borderId="13" xfId="0" applyNumberFormat="1" applyFont="1" applyFill="1" applyBorder="1"/>
    <xf numFmtId="174" fontId="0" fillId="0" borderId="13" xfId="0" applyNumberFormat="1" applyBorder="1" applyAlignment="1">
      <alignment horizontal="left" vertical="center"/>
    </xf>
    <xf numFmtId="4" fontId="0" fillId="0" borderId="0" xfId="0" applyNumberFormat="1"/>
    <xf numFmtId="174" fontId="0" fillId="0" borderId="13" xfId="0" applyNumberFormat="1" applyBorder="1" applyAlignment="1">
      <alignment horizontal="left"/>
    </xf>
    <xf numFmtId="174" fontId="0" fillId="0" borderId="13" xfId="0" applyNumberFormat="1" applyBorder="1" applyAlignment="1">
      <alignment horizontal="left" wrapText="1"/>
    </xf>
    <xf numFmtId="169" fontId="14" fillId="0" borderId="18" xfId="1" applyFont="1" applyBorder="1" applyAlignment="1">
      <alignment horizontal="center"/>
    </xf>
    <xf numFmtId="43" fontId="14" fillId="0" borderId="18" xfId="1" applyNumberFormat="1" applyFont="1" applyBorder="1" applyAlignment="1">
      <alignment horizontal="center"/>
    </xf>
    <xf numFmtId="164" fontId="1" fillId="0" borderId="13" xfId="2" applyFont="1" applyBorder="1"/>
    <xf numFmtId="164" fontId="1" fillId="0" borderId="13" xfId="1" applyNumberFormat="1" applyFont="1" applyBorder="1"/>
    <xf numFmtId="178" fontId="14" fillId="0" borderId="18" xfId="1" applyNumberFormat="1" applyFont="1" applyBorder="1" applyAlignment="1">
      <alignment horizontal="center"/>
    </xf>
    <xf numFmtId="43" fontId="0" fillId="0" borderId="13" xfId="0" applyNumberFormat="1" applyBorder="1"/>
    <xf numFmtId="0" fontId="14" fillId="14" borderId="13" xfId="1" applyNumberFormat="1" applyFont="1" applyFill="1" applyBorder="1"/>
    <xf numFmtId="173" fontId="0" fillId="0" borderId="13" xfId="1" applyNumberFormat="1" applyFont="1" applyBorder="1"/>
    <xf numFmtId="0" fontId="0" fillId="0" borderId="57" xfId="0" applyBorder="1"/>
    <xf numFmtId="169" fontId="0" fillId="0" borderId="15" xfId="1" applyFont="1" applyBorder="1"/>
    <xf numFmtId="168" fontId="3" fillId="10" borderId="13" xfId="1" applyNumberFormat="1" applyFont="1" applyFill="1" applyBorder="1"/>
    <xf numFmtId="169" fontId="26" fillId="0" borderId="54" xfId="1" applyFont="1" applyBorder="1"/>
    <xf numFmtId="169" fontId="26" fillId="0" borderId="0" xfId="1" applyFont="1" applyBorder="1"/>
    <xf numFmtId="169" fontId="0" fillId="3" borderId="15" xfId="0" applyNumberFormat="1" applyFill="1" applyBorder="1"/>
    <xf numFmtId="166" fontId="1" fillId="3" borderId="13" xfId="2" applyNumberFormat="1" applyFont="1" applyFill="1" applyBorder="1"/>
    <xf numFmtId="0" fontId="0" fillId="0" borderId="13" xfId="0" applyBorder="1" applyAlignment="1">
      <alignment horizontal="center"/>
    </xf>
    <xf numFmtId="165" fontId="1" fillId="0" borderId="13" xfId="2" applyNumberFormat="1" applyFont="1" applyFill="1" applyBorder="1"/>
    <xf numFmtId="0" fontId="0" fillId="0" borderId="26" xfId="0" applyBorder="1"/>
    <xf numFmtId="0" fontId="0" fillId="3" borderId="54" xfId="0" applyFill="1" applyBorder="1" applyAlignment="1">
      <alignment vertical="center"/>
    </xf>
    <xf numFmtId="0" fontId="0" fillId="0" borderId="28" xfId="0" applyBorder="1"/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vertical="center"/>
    </xf>
    <xf numFmtId="0" fontId="0" fillId="0" borderId="20" xfId="0" applyBorder="1" applyAlignment="1">
      <alignment vertical="center"/>
    </xf>
    <xf numFmtId="9" fontId="0" fillId="0" borderId="13" xfId="0" applyNumberForma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69" fontId="1" fillId="3" borderId="13" xfId="1" applyFont="1" applyFill="1" applyBorder="1" applyAlignment="1">
      <alignment vertical="center"/>
    </xf>
    <xf numFmtId="173" fontId="0" fillId="0" borderId="13" xfId="1" applyNumberFormat="1" applyFont="1" applyBorder="1" applyAlignment="1">
      <alignment vertical="center"/>
    </xf>
    <xf numFmtId="169" fontId="0" fillId="0" borderId="15" xfId="0" applyNumberFormat="1" applyBorder="1" applyAlignment="1">
      <alignment vertical="center"/>
    </xf>
    <xf numFmtId="168" fontId="0" fillId="0" borderId="15" xfId="1" applyNumberFormat="1" applyFont="1" applyBorder="1" applyAlignment="1">
      <alignment vertical="center"/>
    </xf>
    <xf numFmtId="169" fontId="0" fillId="0" borderId="15" xfId="1" applyFont="1" applyBorder="1" applyAlignment="1">
      <alignment vertical="center"/>
    </xf>
    <xf numFmtId="169" fontId="0" fillId="0" borderId="15" xfId="1" applyFont="1" applyBorder="1" applyAlignment="1"/>
    <xf numFmtId="0" fontId="0" fillId="0" borderId="22" xfId="0" applyBorder="1"/>
    <xf numFmtId="0" fontId="0" fillId="0" borderId="40" xfId="0" applyBorder="1"/>
    <xf numFmtId="169" fontId="0" fillId="0" borderId="15" xfId="0" applyNumberFormat="1" applyBorder="1"/>
    <xf numFmtId="168" fontId="0" fillId="0" borderId="15" xfId="1" applyNumberFormat="1" applyFont="1" applyBorder="1"/>
    <xf numFmtId="0" fontId="3" fillId="13" borderId="0" xfId="0" applyFont="1" applyFill="1"/>
    <xf numFmtId="174" fontId="3" fillId="13" borderId="13" xfId="0" applyNumberFormat="1" applyFont="1" applyFill="1" applyBorder="1"/>
    <xf numFmtId="0" fontId="14" fillId="12" borderId="13" xfId="1" applyNumberFormat="1" applyFont="1" applyFill="1" applyBorder="1"/>
    <xf numFmtId="169" fontId="14" fillId="12" borderId="13" xfId="1" applyFont="1" applyFill="1" applyBorder="1" applyAlignment="1">
      <alignment horizontal="center"/>
    </xf>
    <xf numFmtId="169" fontId="14" fillId="12" borderId="15" xfId="1" applyFont="1" applyFill="1" applyBorder="1"/>
    <xf numFmtId="169" fontId="14" fillId="12" borderId="20" xfId="1" applyFont="1" applyFill="1" applyBorder="1"/>
    <xf numFmtId="169" fontId="14" fillId="12" borderId="13" xfId="1" applyFont="1" applyFill="1" applyBorder="1"/>
    <xf numFmtId="0" fontId="14" fillId="12" borderId="18" xfId="1" applyNumberFormat="1" applyFont="1" applyFill="1" applyBorder="1" applyAlignment="1">
      <alignment horizontal="center"/>
    </xf>
    <xf numFmtId="172" fontId="1" fillId="12" borderId="13" xfId="1" applyNumberFormat="1" applyFont="1" applyFill="1" applyBorder="1"/>
    <xf numFmtId="169" fontId="0" fillId="12" borderId="13" xfId="1" applyFont="1" applyFill="1" applyBorder="1"/>
    <xf numFmtId="0" fontId="0" fillId="13" borderId="13" xfId="0" applyFill="1" applyBorder="1"/>
    <xf numFmtId="0" fontId="0" fillId="13" borderId="0" xfId="0" applyFill="1"/>
    <xf numFmtId="169" fontId="26" fillId="13" borderId="15" xfId="1" applyFont="1" applyFill="1" applyBorder="1" applyAlignment="1">
      <alignment horizontal="center"/>
    </xf>
    <xf numFmtId="169" fontId="26" fillId="13" borderId="20" xfId="1" applyFont="1" applyFill="1" applyBorder="1" applyAlignment="1">
      <alignment horizontal="center"/>
    </xf>
    <xf numFmtId="169" fontId="26" fillId="13" borderId="18" xfId="1" applyFont="1" applyFill="1" applyBorder="1" applyAlignment="1">
      <alignment horizontal="center"/>
    </xf>
    <xf numFmtId="0" fontId="14" fillId="13" borderId="13" xfId="1" applyNumberFormat="1" applyFont="1" applyFill="1" applyBorder="1"/>
    <xf numFmtId="169" fontId="14" fillId="13" borderId="13" xfId="1" applyFont="1" applyFill="1" applyBorder="1" applyAlignment="1">
      <alignment horizontal="center"/>
    </xf>
    <xf numFmtId="169" fontId="14" fillId="13" borderId="15" xfId="1" applyFont="1" applyFill="1" applyBorder="1"/>
    <xf numFmtId="169" fontId="14" fillId="13" borderId="20" xfId="1" applyFont="1" applyFill="1" applyBorder="1"/>
    <xf numFmtId="169" fontId="14" fillId="13" borderId="13" xfId="1" applyFont="1" applyFill="1" applyBorder="1"/>
    <xf numFmtId="0" fontId="14" fillId="13" borderId="18" xfId="1" applyNumberFormat="1" applyFont="1" applyFill="1" applyBorder="1" applyAlignment="1">
      <alignment horizontal="center"/>
    </xf>
    <xf numFmtId="172" fontId="1" fillId="13" borderId="13" xfId="1" applyNumberFormat="1" applyFont="1" applyFill="1" applyBorder="1"/>
    <xf numFmtId="169" fontId="0" fillId="13" borderId="13" xfId="1" applyFont="1" applyFill="1" applyBorder="1"/>
    <xf numFmtId="168" fontId="3" fillId="13" borderId="13" xfId="1" applyNumberFormat="1" applyFont="1" applyFill="1" applyBorder="1"/>
    <xf numFmtId="169" fontId="3" fillId="0" borderId="13" xfId="1" applyFont="1" applyBorder="1"/>
    <xf numFmtId="164" fontId="0" fillId="0" borderId="0" xfId="2" applyFont="1"/>
    <xf numFmtId="169" fontId="26" fillId="0" borderId="0" xfId="1" applyFont="1"/>
    <xf numFmtId="169" fontId="3" fillId="0" borderId="0" xfId="0" applyNumberFormat="1" applyFont="1"/>
    <xf numFmtId="0" fontId="0" fillId="0" borderId="0" xfId="0" applyAlignment="1">
      <alignment horizontal="center"/>
    </xf>
    <xf numFmtId="0" fontId="3" fillId="5" borderId="54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0" fillId="9" borderId="20" xfId="0" applyFill="1" applyBorder="1" applyAlignment="1">
      <alignment vertical="center"/>
    </xf>
    <xf numFmtId="0" fontId="3" fillId="10" borderId="13" xfId="0" applyFont="1" applyFill="1" applyBorder="1" applyAlignment="1">
      <alignment horizontal="center" vertical="center" wrapText="1"/>
    </xf>
    <xf numFmtId="0" fontId="3" fillId="5" borderId="0" xfId="0" applyFont="1" applyFill="1" applyAlignment="1">
      <alignment horizontal="center" vertical="center"/>
    </xf>
    <xf numFmtId="0" fontId="3" fillId="5" borderId="24" xfId="1" applyNumberFormat="1" applyFont="1" applyFill="1" applyBorder="1" applyAlignment="1">
      <alignment horizontal="center" vertical="center"/>
    </xf>
    <xf numFmtId="0" fontId="3" fillId="5" borderId="24" xfId="0" applyFont="1" applyFill="1" applyBorder="1" applyAlignment="1">
      <alignment horizontal="center" vertical="center" wrapText="1"/>
    </xf>
    <xf numFmtId="0" fontId="3" fillId="10" borderId="13" xfId="0" applyFont="1" applyFill="1" applyBorder="1" applyAlignment="1">
      <alignment horizontal="center" vertical="center"/>
    </xf>
    <xf numFmtId="0" fontId="3" fillId="5" borderId="53" xfId="1" applyNumberFormat="1" applyFont="1" applyFill="1" applyBorder="1" applyAlignment="1">
      <alignment horizontal="center" vertical="center"/>
    </xf>
    <xf numFmtId="0" fontId="3" fillId="5" borderId="53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53" xfId="0" applyFill="1" applyBorder="1" applyAlignment="1">
      <alignment horizontal="center" vertical="center"/>
    </xf>
    <xf numFmtId="0" fontId="0" fillId="3" borderId="56" xfId="0" applyFill="1" applyBorder="1" applyAlignment="1">
      <alignment horizontal="center" vertical="center"/>
    </xf>
    <xf numFmtId="172" fontId="1" fillId="3" borderId="53" xfId="1" applyNumberFormat="1" applyFont="1" applyFill="1" applyBorder="1" applyAlignment="1">
      <alignment horizontal="center" vertical="center"/>
    </xf>
    <xf numFmtId="169" fontId="0" fillId="3" borderId="53" xfId="1" applyFont="1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 wrapText="1"/>
    </xf>
    <xf numFmtId="169" fontId="26" fillId="3" borderId="26" xfId="1" applyFont="1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0" borderId="18" xfId="0" applyBorder="1" applyAlignment="1">
      <alignment horizontal="center"/>
    </xf>
    <xf numFmtId="0" fontId="0" fillId="3" borderId="15" xfId="0" applyFill="1" applyBorder="1"/>
    <xf numFmtId="0" fontId="0" fillId="0" borderId="55" xfId="0" applyBorder="1"/>
    <xf numFmtId="0" fontId="0" fillId="0" borderId="10" xfId="0" applyBorder="1"/>
    <xf numFmtId="0" fontId="0" fillId="0" borderId="56" xfId="0" applyBorder="1"/>
    <xf numFmtId="0" fontId="0" fillId="0" borderId="18" xfId="0" applyBorder="1"/>
    <xf numFmtId="177" fontId="0" fillId="3" borderId="15" xfId="0" applyNumberFormat="1" applyFill="1" applyBorder="1"/>
    <xf numFmtId="0" fontId="3" fillId="13" borderId="15" xfId="0" applyFont="1" applyFill="1" applyBorder="1" applyAlignment="1">
      <alignment horizontal="center"/>
    </xf>
    <xf numFmtId="0" fontId="3" fillId="13" borderId="20" xfId="0" applyFont="1" applyFill="1" applyBorder="1" applyAlignment="1">
      <alignment horizontal="center"/>
    </xf>
    <xf numFmtId="0" fontId="0" fillId="13" borderId="56" xfId="0" applyFill="1" applyBorder="1"/>
    <xf numFmtId="0" fontId="0" fillId="13" borderId="15" xfId="0" applyFill="1" applyBorder="1" applyAlignment="1">
      <alignment horizontal="center"/>
    </xf>
    <xf numFmtId="0" fontId="0" fillId="13" borderId="15" xfId="0" applyFill="1" applyBorder="1"/>
    <xf numFmtId="0" fontId="0" fillId="13" borderId="20" xfId="0" applyFill="1" applyBorder="1"/>
    <xf numFmtId="0" fontId="0" fillId="13" borderId="13" xfId="0" applyFill="1" applyBorder="1" applyAlignment="1">
      <alignment horizontal="center"/>
    </xf>
    <xf numFmtId="0" fontId="0" fillId="13" borderId="18" xfId="0" applyFill="1" applyBorder="1" applyAlignment="1">
      <alignment horizontal="center"/>
    </xf>
    <xf numFmtId="169" fontId="0" fillId="13" borderId="15" xfId="1" applyFont="1" applyFill="1" applyBorder="1"/>
    <xf numFmtId="168" fontId="0" fillId="13" borderId="15" xfId="1" applyNumberFormat="1" applyFont="1" applyFill="1" applyBorder="1"/>
    <xf numFmtId="169" fontId="0" fillId="13" borderId="15" xfId="1" applyFont="1" applyFill="1" applyBorder="1" applyAlignment="1"/>
    <xf numFmtId="0" fontId="3" fillId="0" borderId="15" xfId="0" applyFont="1" applyBorder="1"/>
    <xf numFmtId="0" fontId="3" fillId="0" borderId="22" xfId="0" applyFont="1" applyBorder="1"/>
    <xf numFmtId="0" fontId="0" fillId="3" borderId="55" xfId="0" applyFill="1" applyBorder="1"/>
    <xf numFmtId="0" fontId="0" fillId="3" borderId="10" xfId="0" applyFill="1" applyBorder="1"/>
    <xf numFmtId="0" fontId="0" fillId="3" borderId="56" xfId="0" applyFill="1" applyBorder="1"/>
    <xf numFmtId="0" fontId="0" fillId="3" borderId="15" xfId="0" applyFill="1" applyBorder="1" applyAlignment="1">
      <alignment horizontal="center"/>
    </xf>
    <xf numFmtId="0" fontId="0" fillId="3" borderId="20" xfId="0" applyFill="1" applyBorder="1"/>
    <xf numFmtId="9" fontId="0" fillId="3" borderId="13" xfId="0" applyNumberFormat="1" applyFill="1" applyBorder="1" applyAlignment="1">
      <alignment horizontal="center"/>
    </xf>
    <xf numFmtId="169" fontId="0" fillId="3" borderId="15" xfId="1" applyFont="1" applyFill="1" applyBorder="1"/>
    <xf numFmtId="168" fontId="0" fillId="3" borderId="15" xfId="1" applyNumberFormat="1" applyFont="1" applyFill="1" applyBorder="1"/>
    <xf numFmtId="169" fontId="0" fillId="3" borderId="15" xfId="1" applyFont="1" applyFill="1" applyBorder="1" applyAlignment="1"/>
    <xf numFmtId="0" fontId="3" fillId="14" borderId="15" xfId="0" applyFont="1" applyFill="1" applyBorder="1" applyAlignment="1">
      <alignment horizontal="center" vertical="center" wrapText="1"/>
    </xf>
    <xf numFmtId="0" fontId="0" fillId="14" borderId="20" xfId="0" applyFill="1" applyBorder="1" applyAlignment="1">
      <alignment horizontal="center" vertical="center" wrapText="1"/>
    </xf>
    <xf numFmtId="0" fontId="0" fillId="14" borderId="40" xfId="0" applyFill="1" applyBorder="1"/>
    <xf numFmtId="0" fontId="0" fillId="14" borderId="13" xfId="0" applyFill="1" applyBorder="1"/>
    <xf numFmtId="0" fontId="0" fillId="14" borderId="15" xfId="0" applyFill="1" applyBorder="1" applyAlignment="1">
      <alignment horizontal="center"/>
    </xf>
    <xf numFmtId="0" fontId="0" fillId="14" borderId="15" xfId="0" applyFill="1" applyBorder="1"/>
    <xf numFmtId="0" fontId="0" fillId="14" borderId="20" xfId="0" applyFill="1" applyBorder="1"/>
    <xf numFmtId="0" fontId="0" fillId="14" borderId="13" xfId="0" applyFill="1" applyBorder="1" applyAlignment="1">
      <alignment horizontal="center"/>
    </xf>
    <xf numFmtId="0" fontId="0" fillId="14" borderId="18" xfId="0" applyFill="1" applyBorder="1" applyAlignment="1">
      <alignment horizontal="center"/>
    </xf>
    <xf numFmtId="172" fontId="1" fillId="14" borderId="13" xfId="1" applyNumberFormat="1" applyFont="1" applyFill="1" applyBorder="1"/>
    <xf numFmtId="169" fontId="0" fillId="14" borderId="13" xfId="1" applyFont="1" applyFill="1" applyBorder="1"/>
    <xf numFmtId="169" fontId="0" fillId="14" borderId="15" xfId="1" applyFont="1" applyFill="1" applyBorder="1"/>
    <xf numFmtId="168" fontId="3" fillId="14" borderId="15" xfId="1" applyNumberFormat="1" applyFont="1" applyFill="1" applyBorder="1" applyAlignment="1">
      <alignment vertical="center"/>
    </xf>
    <xf numFmtId="43" fontId="3" fillId="14" borderId="13" xfId="0" applyNumberFormat="1" applyFont="1" applyFill="1" applyBorder="1"/>
    <xf numFmtId="169" fontId="3" fillId="14" borderId="13" xfId="0" applyNumberFormat="1" applyFont="1" applyFill="1" applyBorder="1" applyAlignment="1">
      <alignment vertical="center"/>
    </xf>
    <xf numFmtId="0" fontId="0" fillId="3" borderId="18" xfId="0" applyFill="1" applyBorder="1" applyAlignment="1">
      <alignment horizontal="center"/>
    </xf>
    <xf numFmtId="0" fontId="0" fillId="3" borderId="22" xfId="0" applyFill="1" applyBorder="1"/>
    <xf numFmtId="0" fontId="0" fillId="3" borderId="40" xfId="0" applyFill="1" applyBorder="1"/>
    <xf numFmtId="0" fontId="0" fillId="3" borderId="26" xfId="0" applyFill="1" applyBorder="1"/>
    <xf numFmtId="0" fontId="0" fillId="15" borderId="28" xfId="0" applyFill="1" applyBorder="1"/>
    <xf numFmtId="0" fontId="0" fillId="15" borderId="40" xfId="0" applyFill="1" applyBorder="1"/>
    <xf numFmtId="0" fontId="0" fillId="15" borderId="56" xfId="0" applyFill="1" applyBorder="1"/>
    <xf numFmtId="169" fontId="0" fillId="16" borderId="15" xfId="1" applyFont="1" applyFill="1" applyBorder="1" applyAlignment="1"/>
    <xf numFmtId="169" fontId="14" fillId="15" borderId="40" xfId="1" applyFont="1" applyFill="1" applyBorder="1"/>
    <xf numFmtId="169" fontId="0" fillId="0" borderId="15" xfId="1" applyFont="1" applyFill="1" applyBorder="1"/>
    <xf numFmtId="168" fontId="0" fillId="0" borderId="15" xfId="1" applyNumberFormat="1" applyFont="1" applyFill="1" applyBorder="1"/>
    <xf numFmtId="169" fontId="0" fillId="0" borderId="15" xfId="1" applyFont="1" applyFill="1" applyBorder="1" applyAlignment="1"/>
    <xf numFmtId="169" fontId="14" fillId="15" borderId="56" xfId="1" applyFont="1" applyFill="1" applyBorder="1"/>
    <xf numFmtId="0" fontId="3" fillId="13" borderId="15" xfId="0" applyFont="1" applyFill="1" applyBorder="1" applyAlignment="1">
      <alignment horizontal="center" wrapText="1"/>
    </xf>
    <xf numFmtId="0" fontId="0" fillId="13" borderId="20" xfId="0" applyFill="1" applyBorder="1" applyAlignment="1">
      <alignment horizontal="center" wrapText="1"/>
    </xf>
    <xf numFmtId="169" fontId="14" fillId="13" borderId="56" xfId="1" applyFont="1" applyFill="1" applyBorder="1"/>
    <xf numFmtId="0" fontId="14" fillId="13" borderId="13" xfId="1" applyNumberFormat="1" applyFont="1" applyFill="1" applyBorder="1" applyAlignment="1">
      <alignment horizontal="center"/>
    </xf>
    <xf numFmtId="168" fontId="3" fillId="13" borderId="13" xfId="1" applyNumberFormat="1" applyFont="1" applyFill="1" applyBorder="1" applyAlignment="1">
      <alignment vertical="center"/>
    </xf>
    <xf numFmtId="43" fontId="3" fillId="13" borderId="13" xfId="0" applyNumberFormat="1" applyFont="1" applyFill="1" applyBorder="1" applyAlignment="1">
      <alignment vertical="center"/>
    </xf>
    <xf numFmtId="169" fontId="3" fillId="13" borderId="13" xfId="0" applyNumberFormat="1" applyFont="1" applyFill="1" applyBorder="1" applyAlignment="1">
      <alignment vertical="center"/>
    </xf>
    <xf numFmtId="0" fontId="3" fillId="3" borderId="15" xfId="0" applyFont="1" applyFill="1" applyBorder="1"/>
    <xf numFmtId="0" fontId="0" fillId="3" borderId="18" xfId="0" applyFill="1" applyBorder="1"/>
    <xf numFmtId="0" fontId="3" fillId="3" borderId="22" xfId="0" applyFont="1" applyFill="1" applyBorder="1"/>
    <xf numFmtId="0" fontId="3" fillId="14" borderId="15" xfId="0" applyFont="1" applyFill="1" applyBorder="1"/>
    <xf numFmtId="43" fontId="3" fillId="14" borderId="13" xfId="0" applyNumberFormat="1" applyFont="1" applyFill="1" applyBorder="1" applyAlignment="1">
      <alignment vertical="center"/>
    </xf>
    <xf numFmtId="0" fontId="0" fillId="3" borderId="28" xfId="0" applyFill="1" applyBorder="1"/>
    <xf numFmtId="172" fontId="1" fillId="3" borderId="15" xfId="1" applyNumberFormat="1" applyFont="1" applyFill="1" applyBorder="1"/>
    <xf numFmtId="169" fontId="3" fillId="14" borderId="13" xfId="0" applyNumberFormat="1" applyFont="1" applyFill="1" applyBorder="1"/>
    <xf numFmtId="0" fontId="0" fillId="5" borderId="26" xfId="0" applyFill="1" applyBorder="1"/>
    <xf numFmtId="0" fontId="0" fillId="5" borderId="54" xfId="0" applyFill="1" applyBorder="1"/>
    <xf numFmtId="0" fontId="0" fillId="5" borderId="28" xfId="0" applyFill="1" applyBorder="1"/>
    <xf numFmtId="0" fontId="3" fillId="5" borderId="22" xfId="0" applyFont="1" applyFill="1" applyBorder="1"/>
    <xf numFmtId="0" fontId="3" fillId="5" borderId="0" xfId="0" applyFont="1" applyFill="1"/>
    <xf numFmtId="0" fontId="3" fillId="5" borderId="40" xfId="0" applyFont="1" applyFill="1" applyBorder="1"/>
    <xf numFmtId="0" fontId="0" fillId="5" borderId="22" xfId="0" applyFill="1" applyBorder="1"/>
    <xf numFmtId="0" fontId="0" fillId="5" borderId="0" xfId="0" applyFill="1"/>
    <xf numFmtId="0" fontId="0" fillId="5" borderId="40" xfId="0" applyFill="1" applyBorder="1"/>
    <xf numFmtId="168" fontId="0" fillId="3" borderId="15" xfId="0" applyNumberFormat="1" applyFill="1" applyBorder="1"/>
    <xf numFmtId="43" fontId="0" fillId="3" borderId="15" xfId="0" applyNumberFormat="1" applyFill="1" applyBorder="1"/>
    <xf numFmtId="0" fontId="3" fillId="13" borderId="15" xfId="0" applyFont="1" applyFill="1" applyBorder="1" applyAlignment="1">
      <alignment horizontal="center" vertical="center" wrapText="1"/>
    </xf>
    <xf numFmtId="0" fontId="0" fillId="13" borderId="20" xfId="0" applyFill="1" applyBorder="1" applyAlignment="1">
      <alignment horizontal="center" vertical="center" wrapText="1"/>
    </xf>
    <xf numFmtId="0" fontId="0" fillId="13" borderId="40" xfId="0" applyFill="1" applyBorder="1"/>
    <xf numFmtId="168" fontId="3" fillId="13" borderId="15" xfId="1" applyNumberFormat="1" applyFont="1" applyFill="1" applyBorder="1" applyAlignment="1">
      <alignment vertical="center"/>
    </xf>
    <xf numFmtId="169" fontId="3" fillId="13" borderId="13" xfId="0" applyNumberFormat="1" applyFont="1" applyFill="1" applyBorder="1"/>
    <xf numFmtId="1" fontId="0" fillId="0" borderId="18" xfId="0" applyNumberFormat="1" applyBorder="1" applyAlignment="1">
      <alignment horizontal="center"/>
    </xf>
    <xf numFmtId="0" fontId="0" fillId="17" borderId="15" xfId="0" applyFill="1" applyBorder="1"/>
    <xf numFmtId="0" fontId="3" fillId="0" borderId="26" xfId="0" applyFont="1" applyBorder="1"/>
    <xf numFmtId="168" fontId="1" fillId="3" borderId="13" xfId="2" applyNumberFormat="1" applyFont="1" applyFill="1" applyBorder="1"/>
    <xf numFmtId="168" fontId="1" fillId="3" borderId="13" xfId="1" applyNumberFormat="1" applyFont="1" applyFill="1" applyBorder="1"/>
    <xf numFmtId="169" fontId="1" fillId="18" borderId="15" xfId="1" applyFont="1" applyFill="1" applyBorder="1"/>
    <xf numFmtId="169" fontId="1" fillId="18" borderId="15" xfId="1" applyFont="1" applyFill="1" applyBorder="1" applyAlignment="1"/>
    <xf numFmtId="168" fontId="1" fillId="3" borderId="18" xfId="1" applyNumberFormat="1" applyFont="1" applyFill="1" applyBorder="1"/>
    <xf numFmtId="168" fontId="0" fillId="0" borderId="15" xfId="0" applyNumberFormat="1" applyBorder="1"/>
    <xf numFmtId="0" fontId="0" fillId="3" borderId="18" xfId="1" applyNumberFormat="1" applyFont="1" applyFill="1" applyBorder="1" applyAlignment="1">
      <alignment horizontal="center"/>
    </xf>
    <xf numFmtId="0" fontId="0" fillId="0" borderId="24" xfId="0" applyBorder="1"/>
    <xf numFmtId="0" fontId="0" fillId="0" borderId="26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8" xfId="0" applyBorder="1" applyAlignment="1">
      <alignment horizontal="center"/>
    </xf>
    <xf numFmtId="172" fontId="1" fillId="0" borderId="24" xfId="1" applyNumberFormat="1" applyFont="1" applyBorder="1"/>
    <xf numFmtId="168" fontId="0" fillId="0" borderId="26" xfId="1" applyNumberFormat="1" applyFont="1" applyBorder="1"/>
    <xf numFmtId="169" fontId="0" fillId="0" borderId="26" xfId="1" applyFont="1" applyBorder="1" applyAlignment="1"/>
    <xf numFmtId="169" fontId="0" fillId="0" borderId="18" xfId="1" applyFon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164" fontId="1" fillId="0" borderId="15" xfId="2" applyFont="1" applyBorder="1"/>
    <xf numFmtId="169" fontId="1" fillId="0" borderId="15" xfId="1" applyFont="1" applyBorder="1"/>
    <xf numFmtId="168" fontId="1" fillId="0" borderId="15" xfId="1" applyNumberFormat="1" applyFont="1" applyBorder="1"/>
    <xf numFmtId="169" fontId="1" fillId="0" borderId="15" xfId="1" applyFont="1" applyBorder="1" applyAlignment="1"/>
    <xf numFmtId="9" fontId="0" fillId="17" borderId="13" xfId="0" applyNumberFormat="1" applyFill="1" applyBorder="1" applyAlignment="1">
      <alignment horizontal="center"/>
    </xf>
    <xf numFmtId="172" fontId="0" fillId="0" borderId="13" xfId="1" applyNumberFormat="1" applyFont="1" applyBorder="1"/>
    <xf numFmtId="0" fontId="0" fillId="3" borderId="26" xfId="0" applyFill="1" applyBorder="1" applyAlignment="1">
      <alignment horizontal="center"/>
    </xf>
    <xf numFmtId="0" fontId="0" fillId="3" borderId="24" xfId="0" applyFill="1" applyBorder="1" applyAlignment="1">
      <alignment horizontal="center" vertical="center" wrapText="1"/>
    </xf>
    <xf numFmtId="0" fontId="0" fillId="3" borderId="28" xfId="0" applyFill="1" applyBorder="1" applyAlignment="1">
      <alignment horizontal="center" vertical="center" wrapText="1"/>
    </xf>
    <xf numFmtId="164" fontId="1" fillId="3" borderId="13" xfId="2" applyFont="1" applyFill="1" applyBorder="1"/>
    <xf numFmtId="169" fontId="1" fillId="18" borderId="13" xfId="1" applyFont="1" applyFill="1" applyBorder="1" applyAlignment="1"/>
    <xf numFmtId="0" fontId="0" fillId="3" borderId="38" xfId="0" applyFill="1" applyBorder="1" applyAlignment="1">
      <alignment horizontal="center" vertical="center" wrapText="1"/>
    </xf>
    <xf numFmtId="0" fontId="0" fillId="3" borderId="13" xfId="0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/>
    </xf>
    <xf numFmtId="0" fontId="0" fillId="3" borderId="53" xfId="0" applyFill="1" applyBorder="1" applyAlignment="1">
      <alignment horizontal="center" vertical="center" wrapText="1"/>
    </xf>
    <xf numFmtId="0" fontId="0" fillId="3" borderId="56" xfId="0" applyFill="1" applyBorder="1" applyAlignment="1">
      <alignment horizontal="center" vertical="center" wrapText="1"/>
    </xf>
    <xf numFmtId="0" fontId="3" fillId="0" borderId="54" xfId="0" quotePrefix="1" applyFont="1" applyBorder="1"/>
    <xf numFmtId="0" fontId="3" fillId="0" borderId="28" xfId="0" quotePrefix="1" applyFont="1" applyBorder="1"/>
    <xf numFmtId="0" fontId="0" fillId="3" borderId="15" xfId="0" applyFill="1" applyBorder="1" applyAlignment="1">
      <alignment vertical="center" wrapText="1"/>
    </xf>
    <xf numFmtId="43" fontId="0" fillId="0" borderId="13" xfId="0" applyNumberFormat="1" applyBorder="1" applyAlignment="1">
      <alignment vertical="center"/>
    </xf>
    <xf numFmtId="179" fontId="0" fillId="0" borderId="18" xfId="0" applyNumberFormat="1" applyBorder="1" applyAlignment="1">
      <alignment horizontal="center"/>
    </xf>
    <xf numFmtId="177" fontId="0" fillId="0" borderId="18" xfId="0" applyNumberFormat="1" applyBorder="1" applyAlignment="1">
      <alignment horizontal="center"/>
    </xf>
    <xf numFmtId="169" fontId="1" fillId="3" borderId="13" xfId="1" applyFont="1" applyFill="1" applyBorder="1" applyAlignment="1"/>
    <xf numFmtId="169" fontId="1" fillId="0" borderId="13" xfId="1" applyFont="1" applyBorder="1" applyAlignment="1"/>
    <xf numFmtId="0" fontId="3" fillId="13" borderId="18" xfId="0" applyFont="1" applyFill="1" applyBorder="1" applyAlignment="1">
      <alignment horizontal="center"/>
    </xf>
    <xf numFmtId="169" fontId="3" fillId="13" borderId="15" xfId="1" applyFont="1" applyFill="1" applyBorder="1"/>
    <xf numFmtId="168" fontId="3" fillId="13" borderId="15" xfId="1" applyNumberFormat="1" applyFont="1" applyFill="1" applyBorder="1"/>
    <xf numFmtId="0" fontId="0" fillId="9" borderId="55" xfId="0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13" borderId="20" xfId="0" applyFont="1" applyFill="1" applyBorder="1" applyAlignment="1">
      <alignment horizontal="center" wrapText="1"/>
    </xf>
    <xf numFmtId="0" fontId="3" fillId="13" borderId="18" xfId="0" applyFont="1" applyFill="1" applyBorder="1" applyAlignment="1">
      <alignment horizontal="center" wrapText="1"/>
    </xf>
    <xf numFmtId="169" fontId="3" fillId="13" borderId="13" xfId="1" applyFont="1" applyFill="1" applyBorder="1" applyAlignment="1">
      <alignment vertical="center"/>
    </xf>
    <xf numFmtId="0" fontId="3" fillId="14" borderId="20" xfId="0" applyFont="1" applyFill="1" applyBorder="1" applyAlignment="1">
      <alignment horizontal="center" vertical="center" wrapText="1"/>
    </xf>
    <xf numFmtId="0" fontId="3" fillId="14" borderId="18" xfId="0" applyFont="1" applyFill="1" applyBorder="1" applyAlignment="1">
      <alignment horizontal="center" vertical="center" wrapText="1"/>
    </xf>
    <xf numFmtId="169" fontId="3" fillId="14" borderId="15" xfId="1" applyFont="1" applyFill="1" applyBorder="1" applyAlignment="1">
      <alignment vertical="center"/>
    </xf>
    <xf numFmtId="0" fontId="0" fillId="19" borderId="26" xfId="0" applyFill="1" applyBorder="1"/>
    <xf numFmtId="0" fontId="0" fillId="19" borderId="54" xfId="0" applyFill="1" applyBorder="1"/>
    <xf numFmtId="0" fontId="0" fillId="19" borderId="28" xfId="0" applyFill="1" applyBorder="1"/>
    <xf numFmtId="0" fontId="3" fillId="19" borderId="22" xfId="0" applyFont="1" applyFill="1" applyBorder="1"/>
    <xf numFmtId="0" fontId="3" fillId="19" borderId="0" xfId="0" applyFont="1" applyFill="1"/>
    <xf numFmtId="0" fontId="3" fillId="19" borderId="40" xfId="0" applyFont="1" applyFill="1" applyBorder="1"/>
    <xf numFmtId="0" fontId="0" fillId="19" borderId="22" xfId="0" applyFill="1" applyBorder="1"/>
    <xf numFmtId="0" fontId="0" fillId="19" borderId="0" xfId="0" applyFill="1"/>
    <xf numFmtId="0" fontId="0" fillId="19" borderId="40" xfId="0" applyFill="1" applyBorder="1"/>
    <xf numFmtId="172" fontId="1" fillId="19" borderId="13" xfId="1" applyNumberFormat="1" applyFont="1" applyFill="1" applyBorder="1"/>
    <xf numFmtId="0" fontId="3" fillId="13" borderId="20" xfId="0" applyFont="1" applyFill="1" applyBorder="1" applyAlignment="1">
      <alignment horizontal="center" vertical="center" wrapText="1"/>
    </xf>
    <xf numFmtId="0" fontId="3" fillId="13" borderId="18" xfId="0" applyFont="1" applyFill="1" applyBorder="1" applyAlignment="1">
      <alignment horizontal="center" vertical="center" wrapText="1"/>
    </xf>
    <xf numFmtId="169" fontId="3" fillId="13" borderId="15" xfId="1" applyFont="1" applyFill="1" applyBorder="1" applyAlignment="1">
      <alignment vertical="center"/>
    </xf>
    <xf numFmtId="43" fontId="3" fillId="14" borderId="13" xfId="0" applyNumberFormat="1" applyFont="1" applyFill="1" applyBorder="1" applyAlignment="1">
      <alignment horizontal="center" vertical="center"/>
    </xf>
    <xf numFmtId="169" fontId="1" fillId="3" borderId="15" xfId="1" applyFont="1" applyFill="1" applyBorder="1"/>
    <xf numFmtId="169" fontId="0" fillId="18" borderId="13" xfId="1" applyFont="1" applyFill="1" applyBorder="1"/>
    <xf numFmtId="169" fontId="0" fillId="18" borderId="15" xfId="1" applyFont="1" applyFill="1" applyBorder="1"/>
    <xf numFmtId="169" fontId="0" fillId="18" borderId="15" xfId="1" applyFont="1" applyFill="1" applyBorder="1" applyAlignment="1"/>
    <xf numFmtId="169" fontId="26" fillId="18" borderId="26" xfId="1" applyFont="1" applyFill="1" applyBorder="1" applyAlignment="1">
      <alignment vertical="center"/>
    </xf>
    <xf numFmtId="9" fontId="31" fillId="0" borderId="13" xfId="0" applyNumberFormat="1" applyFont="1" applyBorder="1" applyAlignment="1">
      <alignment horizontal="center"/>
    </xf>
    <xf numFmtId="169" fontId="31" fillId="0" borderId="13" xfId="1" applyFont="1" applyBorder="1"/>
    <xf numFmtId="169" fontId="31" fillId="0" borderId="15" xfId="0" applyNumberFormat="1" applyFont="1" applyBorder="1"/>
    <xf numFmtId="168" fontId="31" fillId="0" borderId="13" xfId="1" applyNumberFormat="1" applyFont="1" applyBorder="1"/>
    <xf numFmtId="168" fontId="31" fillId="0" borderId="15" xfId="1" applyNumberFormat="1" applyFont="1" applyBorder="1"/>
    <xf numFmtId="169" fontId="2" fillId="0" borderId="13" xfId="1" applyFont="1" applyBorder="1"/>
    <xf numFmtId="169" fontId="2" fillId="0" borderId="15" xfId="1" applyFont="1" applyBorder="1"/>
    <xf numFmtId="169" fontId="2" fillId="0" borderId="15" xfId="1" applyFont="1" applyBorder="1" applyAlignment="1"/>
    <xf numFmtId="169" fontId="32" fillId="3" borderId="26" xfId="1" applyFont="1" applyFill="1" applyBorder="1" applyAlignment="1">
      <alignment vertical="center"/>
    </xf>
    <xf numFmtId="0" fontId="31" fillId="0" borderId="13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31" fillId="0" borderId="15" xfId="0" applyFont="1" applyBorder="1"/>
    <xf numFmtId="169" fontId="31" fillId="0" borderId="15" xfId="1" applyFont="1" applyBorder="1"/>
    <xf numFmtId="9" fontId="0" fillId="19" borderId="13" xfId="0" applyNumberFormat="1" applyFill="1" applyBorder="1" applyAlignment="1">
      <alignment horizontal="center"/>
    </xf>
    <xf numFmtId="0" fontId="0" fillId="19" borderId="13" xfId="0" applyFill="1" applyBorder="1"/>
    <xf numFmtId="0" fontId="0" fillId="19" borderId="13" xfId="0" applyFill="1" applyBorder="1" applyAlignment="1">
      <alignment horizontal="center"/>
    </xf>
    <xf numFmtId="0" fontId="0" fillId="19" borderId="26" xfId="0" applyFill="1" applyBorder="1" applyAlignment="1">
      <alignment horizontal="center"/>
    </xf>
    <xf numFmtId="0" fontId="0" fillId="19" borderId="24" xfId="0" applyFill="1" applyBorder="1" applyAlignment="1">
      <alignment horizontal="center" vertical="center" wrapText="1"/>
    </xf>
    <xf numFmtId="0" fontId="0" fillId="19" borderId="28" xfId="0" applyFill="1" applyBorder="1" applyAlignment="1">
      <alignment horizontal="center" vertical="center" wrapText="1"/>
    </xf>
    <xf numFmtId="169" fontId="1" fillId="19" borderId="13" xfId="1" applyFont="1" applyFill="1" applyBorder="1"/>
    <xf numFmtId="164" fontId="1" fillId="19" borderId="13" xfId="2" applyFont="1" applyFill="1" applyBorder="1"/>
    <xf numFmtId="168" fontId="1" fillId="19" borderId="13" xfId="1" applyNumberFormat="1" applyFont="1" applyFill="1" applyBorder="1"/>
    <xf numFmtId="169" fontId="1" fillId="18" borderId="13" xfId="1" applyFont="1" applyFill="1" applyBorder="1"/>
    <xf numFmtId="0" fontId="0" fillId="19" borderId="22" xfId="0" applyFill="1" applyBorder="1" applyAlignment="1">
      <alignment horizontal="center"/>
    </xf>
    <xf numFmtId="0" fontId="0" fillId="19" borderId="38" xfId="0" applyFill="1" applyBorder="1" applyAlignment="1">
      <alignment horizontal="center" vertical="center" wrapText="1"/>
    </xf>
    <xf numFmtId="0" fontId="0" fillId="19" borderId="40" xfId="0" applyFill="1" applyBorder="1" applyAlignment="1">
      <alignment horizontal="center" vertical="center" wrapText="1"/>
    </xf>
    <xf numFmtId="0" fontId="0" fillId="19" borderId="55" xfId="0" applyFill="1" applyBorder="1"/>
    <xf numFmtId="0" fontId="0" fillId="19" borderId="10" xfId="0" applyFill="1" applyBorder="1"/>
    <xf numFmtId="0" fontId="0" fillId="19" borderId="55" xfId="0" applyFill="1" applyBorder="1" applyAlignment="1">
      <alignment horizontal="center"/>
    </xf>
    <xf numFmtId="0" fontId="0" fillId="19" borderId="53" xfId="0" applyFill="1" applyBorder="1" applyAlignment="1">
      <alignment horizontal="center" vertical="center" wrapText="1"/>
    </xf>
    <xf numFmtId="0" fontId="0" fillId="19" borderId="56" xfId="0" applyFill="1" applyBorder="1" applyAlignment="1">
      <alignment horizontal="center" vertical="center" wrapText="1"/>
    </xf>
    <xf numFmtId="165" fontId="1" fillId="0" borderId="13" xfId="2" applyNumberFormat="1" applyFont="1" applyBorder="1"/>
    <xf numFmtId="176" fontId="1" fillId="3" borderId="13" xfId="2" applyNumberFormat="1" applyFont="1" applyFill="1" applyBorder="1"/>
    <xf numFmtId="164" fontId="0" fillId="3" borderId="15" xfId="2" applyFont="1" applyFill="1" applyBorder="1"/>
    <xf numFmtId="165" fontId="1" fillId="19" borderId="13" xfId="2" applyNumberFormat="1" applyFont="1" applyFill="1" applyBorder="1"/>
    <xf numFmtId="172" fontId="1" fillId="3" borderId="0" xfId="1" applyNumberFormat="1" applyFont="1" applyFill="1"/>
    <xf numFmtId="169" fontId="0" fillId="3" borderId="0" xfId="1" applyFont="1" applyFill="1"/>
    <xf numFmtId="43" fontId="0" fillId="3" borderId="13" xfId="0" applyNumberFormat="1" applyFill="1" applyBorder="1"/>
    <xf numFmtId="169" fontId="0" fillId="14" borderId="15" xfId="1" applyFont="1" applyFill="1" applyBorder="1" applyAlignment="1"/>
    <xf numFmtId="43" fontId="3" fillId="13" borderId="13" xfId="0" applyNumberFormat="1" applyFont="1" applyFill="1" applyBorder="1" applyAlignment="1">
      <alignment horizontal="center" vertical="center"/>
    </xf>
    <xf numFmtId="169" fontId="0" fillId="3" borderId="13" xfId="0" applyNumberFormat="1" applyFill="1" applyBorder="1"/>
    <xf numFmtId="0" fontId="3" fillId="3" borderId="0" xfId="0" applyFont="1" applyFill="1"/>
    <xf numFmtId="0" fontId="3" fillId="3" borderId="40" xfId="0" applyFont="1" applyFill="1" applyBorder="1"/>
    <xf numFmtId="43" fontId="33" fillId="14" borderId="13" xfId="0" applyNumberFormat="1" applyFont="1" applyFill="1" applyBorder="1"/>
    <xf numFmtId="169" fontId="1" fillId="3" borderId="15" xfId="1" applyFont="1" applyFill="1" applyBorder="1" applyAlignment="1"/>
    <xf numFmtId="169" fontId="1" fillId="3" borderId="26" xfId="1" applyFont="1" applyFill="1" applyBorder="1" applyAlignment="1"/>
    <xf numFmtId="164" fontId="1" fillId="3" borderId="15" xfId="2" applyFont="1" applyFill="1" applyBorder="1"/>
    <xf numFmtId="168" fontId="1" fillId="3" borderId="15" xfId="1" applyNumberFormat="1" applyFont="1" applyFill="1" applyBorder="1"/>
    <xf numFmtId="169" fontId="0" fillId="3" borderId="0" xfId="0" applyNumberFormat="1" applyFill="1"/>
    <xf numFmtId="9" fontId="14" fillId="0" borderId="13" xfId="1" applyNumberFormat="1" applyFont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40" xfId="0" applyFill="1" applyBorder="1" applyAlignment="1">
      <alignment horizontal="center" vertical="center" wrapText="1"/>
    </xf>
    <xf numFmtId="0" fontId="3" fillId="3" borderId="22" xfId="0" quotePrefix="1" applyFont="1" applyFill="1" applyBorder="1"/>
    <xf numFmtId="0" fontId="3" fillId="3" borderId="0" xfId="0" quotePrefix="1" applyFont="1" applyFill="1"/>
    <xf numFmtId="0" fontId="3" fillId="3" borderId="40" xfId="0" quotePrefix="1" applyFont="1" applyFill="1" applyBorder="1"/>
    <xf numFmtId="0" fontId="3" fillId="3" borderId="54" xfId="0" quotePrefix="1" applyFont="1" applyFill="1" applyBorder="1"/>
    <xf numFmtId="0" fontId="3" fillId="3" borderId="28" xfId="0" quotePrefix="1" applyFont="1" applyFill="1" applyBorder="1"/>
    <xf numFmtId="177" fontId="0" fillId="3" borderId="18" xfId="0" applyNumberFormat="1" applyFill="1" applyBorder="1" applyAlignment="1">
      <alignment horizontal="center"/>
    </xf>
  </cellXfs>
  <cellStyles count="7">
    <cellStyle name="Comma" xfId="1" builtinId="3"/>
    <cellStyle name="Comma [0]" xfId="2" builtinId="6"/>
    <cellStyle name="Comma 10" xfId="6" xr:uid="{56801B56-7A3B-455F-9C30-87915CEA23EA}"/>
    <cellStyle name="Normal" xfId="0" builtinId="0"/>
    <cellStyle name="Normal_Form Budget 2008 Non Biaya Rev01" xfId="5" xr:uid="{4B215061-13CF-4D4E-AB34-A568B3A14552}"/>
    <cellStyle name="Normal_RKP FFD 5 Tahun 2008-2012" xfId="4" xr:uid="{5A8493DA-1B30-4981-AD78-AB909343A4F9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00226-D02C-468A-B5D1-5576B8AE1A74}">
  <sheetPr>
    <tabColor rgb="FF00B050"/>
    <pageSetUpPr fitToPage="1"/>
  </sheetPr>
  <dimension ref="A1:AX74"/>
  <sheetViews>
    <sheetView tabSelected="1" view="pageBreakPreview" topLeftCell="A5" zoomScale="110" zoomScaleNormal="140" zoomScaleSheetLayoutView="110" workbookViewId="0">
      <selection activeCell="F14" sqref="F14"/>
    </sheetView>
  </sheetViews>
  <sheetFormatPr defaultRowHeight="10" outlineLevelCol="1" x14ac:dyDescent="0.2"/>
  <cols>
    <col min="1" max="1" width="2.7265625" style="2" customWidth="1"/>
    <col min="2" max="2" width="3.54296875" style="2" customWidth="1"/>
    <col min="3" max="3" width="3.7265625" style="2" customWidth="1"/>
    <col min="4" max="4" width="17.1796875" style="2" customWidth="1"/>
    <col min="5" max="5" width="8" style="2" customWidth="1"/>
    <col min="6" max="6" width="14.26953125" style="2" customWidth="1"/>
    <col min="7" max="7" width="12.36328125" style="2" customWidth="1"/>
    <col min="8" max="8" width="9.1796875" style="2" hidden="1" customWidth="1" outlineLevel="1"/>
    <col min="9" max="9" width="11.36328125" style="2" hidden="1" customWidth="1" outlineLevel="1"/>
    <col min="10" max="10" width="9.26953125" style="2" hidden="1" customWidth="1" outlineLevel="1"/>
    <col min="11" max="11" width="13.1796875" style="2" hidden="1" customWidth="1" outlineLevel="1"/>
    <col min="12" max="12" width="9.7265625" style="2" hidden="1" customWidth="1" outlineLevel="1"/>
    <col min="13" max="13" width="13.1796875" style="2" hidden="1" customWidth="1" outlineLevel="1"/>
    <col min="14" max="14" width="6.54296875" style="2" bestFit="1" customWidth="1" collapsed="1"/>
    <col min="15" max="15" width="14" style="2" customWidth="1"/>
    <col min="16" max="16" width="6.54296875" style="2" bestFit="1" customWidth="1" collapsed="1"/>
    <col min="17" max="17" width="14.26953125" style="2" bestFit="1" customWidth="1"/>
    <col min="18" max="18" width="9.54296875" style="17" hidden="1" customWidth="1" outlineLevel="1"/>
    <col min="19" max="19" width="12.1796875" style="2" hidden="1" customWidth="1" outlineLevel="1"/>
    <col min="20" max="20" width="7.81640625" style="2" hidden="1" customWidth="1" outlineLevel="1"/>
    <col min="21" max="21" width="12.1796875" style="2" hidden="1" customWidth="1" outlineLevel="1"/>
    <col min="22" max="22" width="7.81640625" style="2" hidden="1" customWidth="1" outlineLevel="1"/>
    <col min="23" max="23" width="12.1796875" style="2" hidden="1" customWidth="1" outlineLevel="1"/>
    <col min="24" max="24" width="6.54296875" style="2" bestFit="1" customWidth="1" collapsed="1"/>
    <col min="25" max="25" width="12.81640625" style="2" customWidth="1"/>
    <col min="26" max="26" width="6.54296875" style="2" bestFit="1" customWidth="1" collapsed="1"/>
    <col min="27" max="27" width="13.81640625" style="2" customWidth="1"/>
    <col min="28" max="28" width="7.54296875" style="17" hidden="1" customWidth="1" outlineLevel="1"/>
    <col min="29" max="29" width="12.1796875" style="2" hidden="1" customWidth="1" outlineLevel="1"/>
    <col min="30" max="30" width="7.81640625" style="2" hidden="1" customWidth="1" outlineLevel="1"/>
    <col min="31" max="31" width="12.1796875" style="2" hidden="1" customWidth="1" outlineLevel="1"/>
    <col min="32" max="32" width="7.81640625" style="2" hidden="1" customWidth="1" outlineLevel="1"/>
    <col min="33" max="33" width="0.36328125" style="2" customWidth="1" outlineLevel="1"/>
    <col min="34" max="34" width="5.7265625" style="2" bestFit="1" customWidth="1"/>
    <col min="35" max="35" width="12.26953125" style="2" customWidth="1"/>
    <col min="36" max="36" width="6.54296875" style="2" bestFit="1" customWidth="1"/>
    <col min="37" max="37" width="14.54296875" style="2" customWidth="1"/>
    <col min="38" max="38" width="6.81640625" style="2" hidden="1" customWidth="1" outlineLevel="1"/>
    <col min="39" max="39" width="12.1796875" style="2" hidden="1" customWidth="1" outlineLevel="1"/>
    <col min="40" max="40" width="6.36328125" style="2" hidden="1" customWidth="1" outlineLevel="1"/>
    <col min="41" max="41" width="12.1796875" style="2" hidden="1" customWidth="1" outlineLevel="1"/>
    <col min="42" max="42" width="6" style="2" hidden="1" customWidth="1" outlineLevel="1"/>
    <col min="43" max="43" width="12.1796875" style="2" hidden="1" customWidth="1" outlineLevel="1"/>
    <col min="44" max="44" width="7.81640625" style="2" customWidth="1" collapsed="1"/>
    <col min="45" max="45" width="13.26953125" style="2" customWidth="1"/>
    <col min="46" max="46" width="6.54296875" style="2" bestFit="1" customWidth="1"/>
    <col min="47" max="47" width="14.36328125" style="2" bestFit="1" customWidth="1"/>
    <col min="48" max="48" width="8" style="2" customWidth="1"/>
    <col min="49" max="49" width="12.1796875" style="2" customWidth="1"/>
    <col min="50" max="50" width="8" style="2" customWidth="1"/>
    <col min="51" max="51" width="20" style="2" customWidth="1"/>
    <col min="52" max="52" width="15.26953125" style="2" bestFit="1" customWidth="1"/>
    <col min="53" max="53" width="14.26953125" style="2" bestFit="1" customWidth="1"/>
    <col min="54" max="54" width="13" style="2" bestFit="1" customWidth="1"/>
    <col min="55" max="226" width="8.7265625" style="2"/>
    <col min="227" max="227" width="2.7265625" style="2" customWidth="1"/>
    <col min="228" max="228" width="3.54296875" style="2" customWidth="1"/>
    <col min="229" max="229" width="7" style="2" customWidth="1"/>
    <col min="230" max="230" width="23" style="2" customWidth="1"/>
    <col min="231" max="231" width="13.26953125" style="2" customWidth="1"/>
    <col min="232" max="232" width="17.36328125" style="2" bestFit="1" customWidth="1"/>
    <col min="233" max="233" width="11.54296875" style="2" bestFit="1" customWidth="1"/>
    <col min="234" max="234" width="7.81640625" style="2" customWidth="1"/>
    <col min="235" max="235" width="11.54296875" style="2" bestFit="1" customWidth="1"/>
    <col min="236" max="236" width="7" style="2" customWidth="1"/>
    <col min="237" max="237" width="18.1796875" style="2" customWidth="1"/>
    <col min="238" max="238" width="7" style="2" customWidth="1"/>
    <col min="239" max="239" width="15.54296875" style="2" customWidth="1"/>
    <col min="240" max="240" width="7.81640625" style="2" customWidth="1"/>
    <col min="241" max="241" width="15.54296875" style="2" customWidth="1"/>
    <col min="242" max="242" width="7.81640625" style="2" bestFit="1" customWidth="1"/>
    <col min="243" max="243" width="15.7265625" style="2" bestFit="1" customWidth="1"/>
    <col min="244" max="244" width="7.54296875" style="2" customWidth="1"/>
    <col min="245" max="245" width="14" style="2" customWidth="1"/>
    <col min="246" max="246" width="7.81640625" style="2" customWidth="1"/>
    <col min="247" max="247" width="14" style="2" customWidth="1"/>
    <col min="248" max="248" width="7.81640625" style="2" customWidth="1"/>
    <col min="249" max="249" width="14" style="2" customWidth="1"/>
    <col min="250" max="250" width="9" style="2" customWidth="1"/>
    <col min="251" max="251" width="15.1796875" style="2" customWidth="1"/>
    <col min="252" max="252" width="13" style="2" bestFit="1" customWidth="1"/>
    <col min="253" max="253" width="15.1796875" style="2" bestFit="1" customWidth="1"/>
    <col min="254" max="254" width="7.54296875" style="2" customWidth="1"/>
    <col min="255" max="255" width="14" style="2" customWidth="1"/>
    <col min="256" max="256" width="7.81640625" style="2" customWidth="1"/>
    <col min="257" max="257" width="14" style="2" customWidth="1"/>
    <col min="258" max="258" width="7.81640625" style="2" customWidth="1"/>
    <col min="259" max="259" width="14" style="2" customWidth="1"/>
    <col min="260" max="260" width="9" style="2" bestFit="1" customWidth="1"/>
    <col min="261" max="261" width="15.1796875" style="2" bestFit="1" customWidth="1"/>
    <col min="262" max="262" width="9" style="2" bestFit="1" customWidth="1"/>
    <col min="263" max="263" width="15.1796875" style="2" bestFit="1" customWidth="1"/>
    <col min="264" max="264" width="6.36328125" style="2" customWidth="1"/>
    <col min="265" max="265" width="12.7265625" style="2" customWidth="1"/>
    <col min="266" max="266" width="6.36328125" style="2" customWidth="1"/>
    <col min="267" max="267" width="12.7265625" style="2" customWidth="1"/>
    <col min="268" max="268" width="6" style="2" customWidth="1"/>
    <col min="269" max="269" width="12.7265625" style="2" customWidth="1"/>
    <col min="270" max="270" width="9.54296875" style="2" customWidth="1"/>
    <col min="271" max="271" width="14" style="2" bestFit="1" customWidth="1"/>
    <col min="272" max="272" width="8.7265625" style="2" bestFit="1" customWidth="1"/>
    <col min="273" max="273" width="13.54296875" style="2" customWidth="1"/>
    <col min="274" max="274" width="6" style="2" customWidth="1"/>
    <col min="275" max="275" width="13.7265625" style="2" customWidth="1"/>
    <col min="276" max="276" width="6" style="2" customWidth="1"/>
    <col min="277" max="277" width="12.7265625" style="2" customWidth="1"/>
    <col min="278" max="278" width="6.81640625" style="2" customWidth="1"/>
    <col min="279" max="279" width="12.7265625" style="2" customWidth="1"/>
    <col min="280" max="280" width="6.81640625" style="2" customWidth="1"/>
    <col min="281" max="281" width="15.7265625" style="2" bestFit="1" customWidth="1"/>
    <col min="282" max="282" width="8.54296875" style="2" bestFit="1" customWidth="1"/>
    <col min="283" max="283" width="13.54296875" style="2" customWidth="1"/>
    <col min="284" max="284" width="6" style="2" customWidth="1"/>
    <col min="285" max="285" width="13.7265625" style="2" customWidth="1"/>
    <col min="286" max="286" width="6" style="2" customWidth="1"/>
    <col min="287" max="287" width="12.7265625" style="2" customWidth="1"/>
    <col min="288" max="288" width="6.81640625" style="2" customWidth="1"/>
    <col min="289" max="289" width="12.7265625" style="2" customWidth="1"/>
    <col min="290" max="290" width="6.81640625" style="2" customWidth="1"/>
    <col min="291" max="291" width="16.36328125" style="2" bestFit="1" customWidth="1"/>
    <col min="292" max="292" width="9.54296875" style="2" bestFit="1" customWidth="1"/>
    <col min="293" max="293" width="17.36328125" style="2" bestFit="1" customWidth="1"/>
    <col min="294" max="294" width="6" style="2" customWidth="1"/>
    <col min="295" max="295" width="13.7265625" style="2" customWidth="1"/>
    <col min="296" max="296" width="6" style="2" customWidth="1"/>
    <col min="297" max="297" width="12.7265625" style="2" customWidth="1"/>
    <col min="298" max="298" width="6.81640625" style="2" customWidth="1"/>
    <col min="299" max="299" width="12.7265625" style="2" customWidth="1"/>
    <col min="300" max="300" width="6.81640625" style="2" customWidth="1"/>
    <col min="301" max="301" width="15.36328125" style="2" bestFit="1" customWidth="1"/>
    <col min="302" max="302" width="9.54296875" style="2" bestFit="1" customWidth="1"/>
    <col min="303" max="303" width="17.36328125" style="2" bestFit="1" customWidth="1"/>
    <col min="304" max="304" width="8" style="2" customWidth="1"/>
    <col min="305" max="305" width="12.1796875" style="2" customWidth="1"/>
    <col min="306" max="306" width="8" style="2" customWidth="1"/>
    <col min="307" max="307" width="20" style="2" customWidth="1"/>
    <col min="308" max="308" width="15.26953125" style="2" bestFit="1" customWidth="1"/>
    <col min="309" max="309" width="14.26953125" style="2" bestFit="1" customWidth="1"/>
    <col min="310" max="310" width="13" style="2" bestFit="1" customWidth="1"/>
    <col min="311" max="482" width="8.7265625" style="2"/>
    <col min="483" max="483" width="2.7265625" style="2" customWidth="1"/>
    <col min="484" max="484" width="3.54296875" style="2" customWidth="1"/>
    <col min="485" max="485" width="7" style="2" customWidth="1"/>
    <col min="486" max="486" width="23" style="2" customWidth="1"/>
    <col min="487" max="487" width="13.26953125" style="2" customWidth="1"/>
    <col min="488" max="488" width="17.36328125" style="2" bestFit="1" customWidth="1"/>
    <col min="489" max="489" width="11.54296875" style="2" bestFit="1" customWidth="1"/>
    <col min="490" max="490" width="7.81640625" style="2" customWidth="1"/>
    <col min="491" max="491" width="11.54296875" style="2" bestFit="1" customWidth="1"/>
    <col min="492" max="492" width="7" style="2" customWidth="1"/>
    <col min="493" max="493" width="18.1796875" style="2" customWidth="1"/>
    <col min="494" max="494" width="7" style="2" customWidth="1"/>
    <col min="495" max="495" width="15.54296875" style="2" customWidth="1"/>
    <col min="496" max="496" width="7.81640625" style="2" customWidth="1"/>
    <col min="497" max="497" width="15.54296875" style="2" customWidth="1"/>
    <col min="498" max="498" width="7.81640625" style="2" bestFit="1" customWidth="1"/>
    <col min="499" max="499" width="15.7265625" style="2" bestFit="1" customWidth="1"/>
    <col min="500" max="500" width="7.54296875" style="2" customWidth="1"/>
    <col min="501" max="501" width="14" style="2" customWidth="1"/>
    <col min="502" max="502" width="7.81640625" style="2" customWidth="1"/>
    <col min="503" max="503" width="14" style="2" customWidth="1"/>
    <col min="504" max="504" width="7.81640625" style="2" customWidth="1"/>
    <col min="505" max="505" width="14" style="2" customWidth="1"/>
    <col min="506" max="506" width="9" style="2" customWidth="1"/>
    <col min="507" max="507" width="15.1796875" style="2" customWidth="1"/>
    <col min="508" max="508" width="13" style="2" bestFit="1" customWidth="1"/>
    <col min="509" max="509" width="15.1796875" style="2" bestFit="1" customWidth="1"/>
    <col min="510" max="510" width="7.54296875" style="2" customWidth="1"/>
    <col min="511" max="511" width="14" style="2" customWidth="1"/>
    <col min="512" max="512" width="7.81640625" style="2" customWidth="1"/>
    <col min="513" max="513" width="14" style="2" customWidth="1"/>
    <col min="514" max="514" width="7.81640625" style="2" customWidth="1"/>
    <col min="515" max="515" width="14" style="2" customWidth="1"/>
    <col min="516" max="516" width="9" style="2" bestFit="1" customWidth="1"/>
    <col min="517" max="517" width="15.1796875" style="2" bestFit="1" customWidth="1"/>
    <col min="518" max="518" width="9" style="2" bestFit="1" customWidth="1"/>
    <col min="519" max="519" width="15.1796875" style="2" bestFit="1" customWidth="1"/>
    <col min="520" max="520" width="6.36328125" style="2" customWidth="1"/>
    <col min="521" max="521" width="12.7265625" style="2" customWidth="1"/>
    <col min="522" max="522" width="6.36328125" style="2" customWidth="1"/>
    <col min="523" max="523" width="12.7265625" style="2" customWidth="1"/>
    <col min="524" max="524" width="6" style="2" customWidth="1"/>
    <col min="525" max="525" width="12.7265625" style="2" customWidth="1"/>
    <col min="526" max="526" width="9.54296875" style="2" customWidth="1"/>
    <col min="527" max="527" width="14" style="2" bestFit="1" customWidth="1"/>
    <col min="528" max="528" width="8.7265625" style="2" bestFit="1" customWidth="1"/>
    <col min="529" max="529" width="13.54296875" style="2" customWidth="1"/>
    <col min="530" max="530" width="6" style="2" customWidth="1"/>
    <col min="531" max="531" width="13.7265625" style="2" customWidth="1"/>
    <col min="532" max="532" width="6" style="2" customWidth="1"/>
    <col min="533" max="533" width="12.7265625" style="2" customWidth="1"/>
    <col min="534" max="534" width="6.81640625" style="2" customWidth="1"/>
    <col min="535" max="535" width="12.7265625" style="2" customWidth="1"/>
    <col min="536" max="536" width="6.81640625" style="2" customWidth="1"/>
    <col min="537" max="537" width="15.7265625" style="2" bestFit="1" customWidth="1"/>
    <col min="538" max="538" width="8.54296875" style="2" bestFit="1" customWidth="1"/>
    <col min="539" max="539" width="13.54296875" style="2" customWidth="1"/>
    <col min="540" max="540" width="6" style="2" customWidth="1"/>
    <col min="541" max="541" width="13.7265625" style="2" customWidth="1"/>
    <col min="542" max="542" width="6" style="2" customWidth="1"/>
    <col min="543" max="543" width="12.7265625" style="2" customWidth="1"/>
    <col min="544" max="544" width="6.81640625" style="2" customWidth="1"/>
    <col min="545" max="545" width="12.7265625" style="2" customWidth="1"/>
    <col min="546" max="546" width="6.81640625" style="2" customWidth="1"/>
    <col min="547" max="547" width="16.36328125" style="2" bestFit="1" customWidth="1"/>
    <col min="548" max="548" width="9.54296875" style="2" bestFit="1" customWidth="1"/>
    <col min="549" max="549" width="17.36328125" style="2" bestFit="1" customWidth="1"/>
    <col min="550" max="550" width="6" style="2" customWidth="1"/>
    <col min="551" max="551" width="13.7265625" style="2" customWidth="1"/>
    <col min="552" max="552" width="6" style="2" customWidth="1"/>
    <col min="553" max="553" width="12.7265625" style="2" customWidth="1"/>
    <col min="554" max="554" width="6.81640625" style="2" customWidth="1"/>
    <col min="555" max="555" width="12.7265625" style="2" customWidth="1"/>
    <col min="556" max="556" width="6.81640625" style="2" customWidth="1"/>
    <col min="557" max="557" width="15.36328125" style="2" bestFit="1" customWidth="1"/>
    <col min="558" max="558" width="9.54296875" style="2" bestFit="1" customWidth="1"/>
    <col min="559" max="559" width="17.36328125" style="2" bestFit="1" customWidth="1"/>
    <col min="560" max="560" width="8" style="2" customWidth="1"/>
    <col min="561" max="561" width="12.1796875" style="2" customWidth="1"/>
    <col min="562" max="562" width="8" style="2" customWidth="1"/>
    <col min="563" max="563" width="20" style="2" customWidth="1"/>
    <col min="564" max="564" width="15.26953125" style="2" bestFit="1" customWidth="1"/>
    <col min="565" max="565" width="14.26953125" style="2" bestFit="1" customWidth="1"/>
    <col min="566" max="566" width="13" style="2" bestFit="1" customWidth="1"/>
    <col min="567" max="738" width="8.7265625" style="2"/>
    <col min="739" max="739" width="2.7265625" style="2" customWidth="1"/>
    <col min="740" max="740" width="3.54296875" style="2" customWidth="1"/>
    <col min="741" max="741" width="7" style="2" customWidth="1"/>
    <col min="742" max="742" width="23" style="2" customWidth="1"/>
    <col min="743" max="743" width="13.26953125" style="2" customWidth="1"/>
    <col min="744" max="744" width="17.36328125" style="2" bestFit="1" customWidth="1"/>
    <col min="745" max="745" width="11.54296875" style="2" bestFit="1" customWidth="1"/>
    <col min="746" max="746" width="7.81640625" style="2" customWidth="1"/>
    <col min="747" max="747" width="11.54296875" style="2" bestFit="1" customWidth="1"/>
    <col min="748" max="748" width="7" style="2" customWidth="1"/>
    <col min="749" max="749" width="18.1796875" style="2" customWidth="1"/>
    <col min="750" max="750" width="7" style="2" customWidth="1"/>
    <col min="751" max="751" width="15.54296875" style="2" customWidth="1"/>
    <col min="752" max="752" width="7.81640625" style="2" customWidth="1"/>
    <col min="753" max="753" width="15.54296875" style="2" customWidth="1"/>
    <col min="754" max="754" width="7.81640625" style="2" bestFit="1" customWidth="1"/>
    <col min="755" max="755" width="15.7265625" style="2" bestFit="1" customWidth="1"/>
    <col min="756" max="756" width="7.54296875" style="2" customWidth="1"/>
    <col min="757" max="757" width="14" style="2" customWidth="1"/>
    <col min="758" max="758" width="7.81640625" style="2" customWidth="1"/>
    <col min="759" max="759" width="14" style="2" customWidth="1"/>
    <col min="760" max="760" width="7.81640625" style="2" customWidth="1"/>
    <col min="761" max="761" width="14" style="2" customWidth="1"/>
    <col min="762" max="762" width="9" style="2" customWidth="1"/>
    <col min="763" max="763" width="15.1796875" style="2" customWidth="1"/>
    <col min="764" max="764" width="13" style="2" bestFit="1" customWidth="1"/>
    <col min="765" max="765" width="15.1796875" style="2" bestFit="1" customWidth="1"/>
    <col min="766" max="766" width="7.54296875" style="2" customWidth="1"/>
    <col min="767" max="767" width="14" style="2" customWidth="1"/>
    <col min="768" max="768" width="7.81640625" style="2" customWidth="1"/>
    <col min="769" max="769" width="14" style="2" customWidth="1"/>
    <col min="770" max="770" width="7.81640625" style="2" customWidth="1"/>
    <col min="771" max="771" width="14" style="2" customWidth="1"/>
    <col min="772" max="772" width="9" style="2" bestFit="1" customWidth="1"/>
    <col min="773" max="773" width="15.1796875" style="2" bestFit="1" customWidth="1"/>
    <col min="774" max="774" width="9" style="2" bestFit="1" customWidth="1"/>
    <col min="775" max="775" width="15.1796875" style="2" bestFit="1" customWidth="1"/>
    <col min="776" max="776" width="6.36328125" style="2" customWidth="1"/>
    <col min="777" max="777" width="12.7265625" style="2" customWidth="1"/>
    <col min="778" max="778" width="6.36328125" style="2" customWidth="1"/>
    <col min="779" max="779" width="12.7265625" style="2" customWidth="1"/>
    <col min="780" max="780" width="6" style="2" customWidth="1"/>
    <col min="781" max="781" width="12.7265625" style="2" customWidth="1"/>
    <col min="782" max="782" width="9.54296875" style="2" customWidth="1"/>
    <col min="783" max="783" width="14" style="2" bestFit="1" customWidth="1"/>
    <col min="784" max="784" width="8.7265625" style="2" bestFit="1" customWidth="1"/>
    <col min="785" max="785" width="13.54296875" style="2" customWidth="1"/>
    <col min="786" max="786" width="6" style="2" customWidth="1"/>
    <col min="787" max="787" width="13.7265625" style="2" customWidth="1"/>
    <col min="788" max="788" width="6" style="2" customWidth="1"/>
    <col min="789" max="789" width="12.7265625" style="2" customWidth="1"/>
    <col min="790" max="790" width="6.81640625" style="2" customWidth="1"/>
    <col min="791" max="791" width="12.7265625" style="2" customWidth="1"/>
    <col min="792" max="792" width="6.81640625" style="2" customWidth="1"/>
    <col min="793" max="793" width="15.7265625" style="2" bestFit="1" customWidth="1"/>
    <col min="794" max="794" width="8.54296875" style="2" bestFit="1" customWidth="1"/>
    <col min="795" max="795" width="13.54296875" style="2" customWidth="1"/>
    <col min="796" max="796" width="6" style="2" customWidth="1"/>
    <col min="797" max="797" width="13.7265625" style="2" customWidth="1"/>
    <col min="798" max="798" width="6" style="2" customWidth="1"/>
    <col min="799" max="799" width="12.7265625" style="2" customWidth="1"/>
    <col min="800" max="800" width="6.81640625" style="2" customWidth="1"/>
    <col min="801" max="801" width="12.7265625" style="2" customWidth="1"/>
    <col min="802" max="802" width="6.81640625" style="2" customWidth="1"/>
    <col min="803" max="803" width="16.36328125" style="2" bestFit="1" customWidth="1"/>
    <col min="804" max="804" width="9.54296875" style="2" bestFit="1" customWidth="1"/>
    <col min="805" max="805" width="17.36328125" style="2" bestFit="1" customWidth="1"/>
    <col min="806" max="806" width="6" style="2" customWidth="1"/>
    <col min="807" max="807" width="13.7265625" style="2" customWidth="1"/>
    <col min="808" max="808" width="6" style="2" customWidth="1"/>
    <col min="809" max="809" width="12.7265625" style="2" customWidth="1"/>
    <col min="810" max="810" width="6.81640625" style="2" customWidth="1"/>
    <col min="811" max="811" width="12.7265625" style="2" customWidth="1"/>
    <col min="812" max="812" width="6.81640625" style="2" customWidth="1"/>
    <col min="813" max="813" width="15.36328125" style="2" bestFit="1" customWidth="1"/>
    <col min="814" max="814" width="9.54296875" style="2" bestFit="1" customWidth="1"/>
    <col min="815" max="815" width="17.36328125" style="2" bestFit="1" customWidth="1"/>
    <col min="816" max="816" width="8" style="2" customWidth="1"/>
    <col min="817" max="817" width="12.1796875" style="2" customWidth="1"/>
    <col min="818" max="818" width="8" style="2" customWidth="1"/>
    <col min="819" max="819" width="20" style="2" customWidth="1"/>
    <col min="820" max="820" width="15.26953125" style="2" bestFit="1" customWidth="1"/>
    <col min="821" max="821" width="14.26953125" style="2" bestFit="1" customWidth="1"/>
    <col min="822" max="822" width="13" style="2" bestFit="1" customWidth="1"/>
    <col min="823" max="994" width="8.7265625" style="2"/>
    <col min="995" max="995" width="2.7265625" style="2" customWidth="1"/>
    <col min="996" max="996" width="3.54296875" style="2" customWidth="1"/>
    <col min="997" max="997" width="7" style="2" customWidth="1"/>
    <col min="998" max="998" width="23" style="2" customWidth="1"/>
    <col min="999" max="999" width="13.26953125" style="2" customWidth="1"/>
    <col min="1000" max="1000" width="17.36328125" style="2" bestFit="1" customWidth="1"/>
    <col min="1001" max="1001" width="11.54296875" style="2" bestFit="1" customWidth="1"/>
    <col min="1002" max="1002" width="7.81640625" style="2" customWidth="1"/>
    <col min="1003" max="1003" width="11.54296875" style="2" bestFit="1" customWidth="1"/>
    <col min="1004" max="1004" width="7" style="2" customWidth="1"/>
    <col min="1005" max="1005" width="18.1796875" style="2" customWidth="1"/>
    <col min="1006" max="1006" width="7" style="2" customWidth="1"/>
    <col min="1007" max="1007" width="15.54296875" style="2" customWidth="1"/>
    <col min="1008" max="1008" width="7.81640625" style="2" customWidth="1"/>
    <col min="1009" max="1009" width="15.54296875" style="2" customWidth="1"/>
    <col min="1010" max="1010" width="7.81640625" style="2" bestFit="1" customWidth="1"/>
    <col min="1011" max="1011" width="15.7265625" style="2" bestFit="1" customWidth="1"/>
    <col min="1012" max="1012" width="7.54296875" style="2" customWidth="1"/>
    <col min="1013" max="1013" width="14" style="2" customWidth="1"/>
    <col min="1014" max="1014" width="7.81640625" style="2" customWidth="1"/>
    <col min="1015" max="1015" width="14" style="2" customWidth="1"/>
    <col min="1016" max="1016" width="7.81640625" style="2" customWidth="1"/>
    <col min="1017" max="1017" width="14" style="2" customWidth="1"/>
    <col min="1018" max="1018" width="9" style="2" customWidth="1"/>
    <col min="1019" max="1019" width="15.1796875" style="2" customWidth="1"/>
    <col min="1020" max="1020" width="13" style="2" bestFit="1" customWidth="1"/>
    <col min="1021" max="1021" width="15.1796875" style="2" bestFit="1" customWidth="1"/>
    <col min="1022" max="1022" width="7.54296875" style="2" customWidth="1"/>
    <col min="1023" max="1023" width="14" style="2" customWidth="1"/>
    <col min="1024" max="1024" width="7.81640625" style="2" customWidth="1"/>
    <col min="1025" max="1025" width="14" style="2" customWidth="1"/>
    <col min="1026" max="1026" width="7.81640625" style="2" customWidth="1"/>
    <col min="1027" max="1027" width="14" style="2" customWidth="1"/>
    <col min="1028" max="1028" width="9" style="2" bestFit="1" customWidth="1"/>
    <col min="1029" max="1029" width="15.1796875" style="2" bestFit="1" customWidth="1"/>
    <col min="1030" max="1030" width="9" style="2" bestFit="1" customWidth="1"/>
    <col min="1031" max="1031" width="15.1796875" style="2" bestFit="1" customWidth="1"/>
    <col min="1032" max="1032" width="6.36328125" style="2" customWidth="1"/>
    <col min="1033" max="1033" width="12.7265625" style="2" customWidth="1"/>
    <col min="1034" max="1034" width="6.36328125" style="2" customWidth="1"/>
    <col min="1035" max="1035" width="12.7265625" style="2" customWidth="1"/>
    <col min="1036" max="1036" width="6" style="2" customWidth="1"/>
    <col min="1037" max="1037" width="12.7265625" style="2" customWidth="1"/>
    <col min="1038" max="1038" width="9.54296875" style="2" customWidth="1"/>
    <col min="1039" max="1039" width="14" style="2" bestFit="1" customWidth="1"/>
    <col min="1040" max="1040" width="8.7265625" style="2" bestFit="1" customWidth="1"/>
    <col min="1041" max="1041" width="13.54296875" style="2" customWidth="1"/>
    <col min="1042" max="1042" width="6" style="2" customWidth="1"/>
    <col min="1043" max="1043" width="13.7265625" style="2" customWidth="1"/>
    <col min="1044" max="1044" width="6" style="2" customWidth="1"/>
    <col min="1045" max="1045" width="12.7265625" style="2" customWidth="1"/>
    <col min="1046" max="1046" width="6.81640625" style="2" customWidth="1"/>
    <col min="1047" max="1047" width="12.7265625" style="2" customWidth="1"/>
    <col min="1048" max="1048" width="6.81640625" style="2" customWidth="1"/>
    <col min="1049" max="1049" width="15.7265625" style="2" bestFit="1" customWidth="1"/>
    <col min="1050" max="1050" width="8.54296875" style="2" bestFit="1" customWidth="1"/>
    <col min="1051" max="1051" width="13.54296875" style="2" customWidth="1"/>
    <col min="1052" max="1052" width="6" style="2" customWidth="1"/>
    <col min="1053" max="1053" width="13.7265625" style="2" customWidth="1"/>
    <col min="1054" max="1054" width="6" style="2" customWidth="1"/>
    <col min="1055" max="1055" width="12.7265625" style="2" customWidth="1"/>
    <col min="1056" max="1056" width="6.81640625" style="2" customWidth="1"/>
    <col min="1057" max="1057" width="12.7265625" style="2" customWidth="1"/>
    <col min="1058" max="1058" width="6.81640625" style="2" customWidth="1"/>
    <col min="1059" max="1059" width="16.36328125" style="2" bestFit="1" customWidth="1"/>
    <col min="1060" max="1060" width="9.54296875" style="2" bestFit="1" customWidth="1"/>
    <col min="1061" max="1061" width="17.36328125" style="2" bestFit="1" customWidth="1"/>
    <col min="1062" max="1062" width="6" style="2" customWidth="1"/>
    <col min="1063" max="1063" width="13.7265625" style="2" customWidth="1"/>
    <col min="1064" max="1064" width="6" style="2" customWidth="1"/>
    <col min="1065" max="1065" width="12.7265625" style="2" customWidth="1"/>
    <col min="1066" max="1066" width="6.81640625" style="2" customWidth="1"/>
    <col min="1067" max="1067" width="12.7265625" style="2" customWidth="1"/>
    <col min="1068" max="1068" width="6.81640625" style="2" customWidth="1"/>
    <col min="1069" max="1069" width="15.36328125" style="2" bestFit="1" customWidth="1"/>
    <col min="1070" max="1070" width="9.54296875" style="2" bestFit="1" customWidth="1"/>
    <col min="1071" max="1071" width="17.36328125" style="2" bestFit="1" customWidth="1"/>
    <col min="1072" max="1072" width="8" style="2" customWidth="1"/>
    <col min="1073" max="1073" width="12.1796875" style="2" customWidth="1"/>
    <col min="1074" max="1074" width="8" style="2" customWidth="1"/>
    <col min="1075" max="1075" width="20" style="2" customWidth="1"/>
    <col min="1076" max="1076" width="15.26953125" style="2" bestFit="1" customWidth="1"/>
    <col min="1077" max="1077" width="14.26953125" style="2" bestFit="1" customWidth="1"/>
    <col min="1078" max="1078" width="13" style="2" bestFit="1" customWidth="1"/>
    <col min="1079" max="1250" width="8.7265625" style="2"/>
    <col min="1251" max="1251" width="2.7265625" style="2" customWidth="1"/>
    <col min="1252" max="1252" width="3.54296875" style="2" customWidth="1"/>
    <col min="1253" max="1253" width="7" style="2" customWidth="1"/>
    <col min="1254" max="1254" width="23" style="2" customWidth="1"/>
    <col min="1255" max="1255" width="13.26953125" style="2" customWidth="1"/>
    <col min="1256" max="1256" width="17.36328125" style="2" bestFit="1" customWidth="1"/>
    <col min="1257" max="1257" width="11.54296875" style="2" bestFit="1" customWidth="1"/>
    <col min="1258" max="1258" width="7.81640625" style="2" customWidth="1"/>
    <col min="1259" max="1259" width="11.54296875" style="2" bestFit="1" customWidth="1"/>
    <col min="1260" max="1260" width="7" style="2" customWidth="1"/>
    <col min="1261" max="1261" width="18.1796875" style="2" customWidth="1"/>
    <col min="1262" max="1262" width="7" style="2" customWidth="1"/>
    <col min="1263" max="1263" width="15.54296875" style="2" customWidth="1"/>
    <col min="1264" max="1264" width="7.81640625" style="2" customWidth="1"/>
    <col min="1265" max="1265" width="15.54296875" style="2" customWidth="1"/>
    <col min="1266" max="1266" width="7.81640625" style="2" bestFit="1" customWidth="1"/>
    <col min="1267" max="1267" width="15.7265625" style="2" bestFit="1" customWidth="1"/>
    <col min="1268" max="1268" width="7.54296875" style="2" customWidth="1"/>
    <col min="1269" max="1269" width="14" style="2" customWidth="1"/>
    <col min="1270" max="1270" width="7.81640625" style="2" customWidth="1"/>
    <col min="1271" max="1271" width="14" style="2" customWidth="1"/>
    <col min="1272" max="1272" width="7.81640625" style="2" customWidth="1"/>
    <col min="1273" max="1273" width="14" style="2" customWidth="1"/>
    <col min="1274" max="1274" width="9" style="2" customWidth="1"/>
    <col min="1275" max="1275" width="15.1796875" style="2" customWidth="1"/>
    <col min="1276" max="1276" width="13" style="2" bestFit="1" customWidth="1"/>
    <col min="1277" max="1277" width="15.1796875" style="2" bestFit="1" customWidth="1"/>
    <col min="1278" max="1278" width="7.54296875" style="2" customWidth="1"/>
    <col min="1279" max="1279" width="14" style="2" customWidth="1"/>
    <col min="1280" max="1280" width="7.81640625" style="2" customWidth="1"/>
    <col min="1281" max="1281" width="14" style="2" customWidth="1"/>
    <col min="1282" max="1282" width="7.81640625" style="2" customWidth="1"/>
    <col min="1283" max="1283" width="14" style="2" customWidth="1"/>
    <col min="1284" max="1284" width="9" style="2" bestFit="1" customWidth="1"/>
    <col min="1285" max="1285" width="15.1796875" style="2" bestFit="1" customWidth="1"/>
    <col min="1286" max="1286" width="9" style="2" bestFit="1" customWidth="1"/>
    <col min="1287" max="1287" width="15.1796875" style="2" bestFit="1" customWidth="1"/>
    <col min="1288" max="1288" width="6.36328125" style="2" customWidth="1"/>
    <col min="1289" max="1289" width="12.7265625" style="2" customWidth="1"/>
    <col min="1290" max="1290" width="6.36328125" style="2" customWidth="1"/>
    <col min="1291" max="1291" width="12.7265625" style="2" customWidth="1"/>
    <col min="1292" max="1292" width="6" style="2" customWidth="1"/>
    <col min="1293" max="1293" width="12.7265625" style="2" customWidth="1"/>
    <col min="1294" max="1294" width="9.54296875" style="2" customWidth="1"/>
    <col min="1295" max="1295" width="14" style="2" bestFit="1" customWidth="1"/>
    <col min="1296" max="1296" width="8.7265625" style="2" bestFit="1" customWidth="1"/>
    <col min="1297" max="1297" width="13.54296875" style="2" customWidth="1"/>
    <col min="1298" max="1298" width="6" style="2" customWidth="1"/>
    <col min="1299" max="1299" width="13.7265625" style="2" customWidth="1"/>
    <col min="1300" max="1300" width="6" style="2" customWidth="1"/>
    <col min="1301" max="1301" width="12.7265625" style="2" customWidth="1"/>
    <col min="1302" max="1302" width="6.81640625" style="2" customWidth="1"/>
    <col min="1303" max="1303" width="12.7265625" style="2" customWidth="1"/>
    <col min="1304" max="1304" width="6.81640625" style="2" customWidth="1"/>
    <col min="1305" max="1305" width="15.7265625" style="2" bestFit="1" customWidth="1"/>
    <col min="1306" max="1306" width="8.54296875" style="2" bestFit="1" customWidth="1"/>
    <col min="1307" max="1307" width="13.54296875" style="2" customWidth="1"/>
    <col min="1308" max="1308" width="6" style="2" customWidth="1"/>
    <col min="1309" max="1309" width="13.7265625" style="2" customWidth="1"/>
    <col min="1310" max="1310" width="6" style="2" customWidth="1"/>
    <col min="1311" max="1311" width="12.7265625" style="2" customWidth="1"/>
    <col min="1312" max="1312" width="6.81640625" style="2" customWidth="1"/>
    <col min="1313" max="1313" width="12.7265625" style="2" customWidth="1"/>
    <col min="1314" max="1314" width="6.81640625" style="2" customWidth="1"/>
    <col min="1315" max="1315" width="16.36328125" style="2" bestFit="1" customWidth="1"/>
    <col min="1316" max="1316" width="9.54296875" style="2" bestFit="1" customWidth="1"/>
    <col min="1317" max="1317" width="17.36328125" style="2" bestFit="1" customWidth="1"/>
    <col min="1318" max="1318" width="6" style="2" customWidth="1"/>
    <col min="1319" max="1319" width="13.7265625" style="2" customWidth="1"/>
    <col min="1320" max="1320" width="6" style="2" customWidth="1"/>
    <col min="1321" max="1321" width="12.7265625" style="2" customWidth="1"/>
    <col min="1322" max="1322" width="6.81640625" style="2" customWidth="1"/>
    <col min="1323" max="1323" width="12.7265625" style="2" customWidth="1"/>
    <col min="1324" max="1324" width="6.81640625" style="2" customWidth="1"/>
    <col min="1325" max="1325" width="15.36328125" style="2" bestFit="1" customWidth="1"/>
    <col min="1326" max="1326" width="9.54296875" style="2" bestFit="1" customWidth="1"/>
    <col min="1327" max="1327" width="17.36328125" style="2" bestFit="1" customWidth="1"/>
    <col min="1328" max="1328" width="8" style="2" customWidth="1"/>
    <col min="1329" max="1329" width="12.1796875" style="2" customWidth="1"/>
    <col min="1330" max="1330" width="8" style="2" customWidth="1"/>
    <col min="1331" max="1331" width="20" style="2" customWidth="1"/>
    <col min="1332" max="1332" width="15.26953125" style="2" bestFit="1" customWidth="1"/>
    <col min="1333" max="1333" width="14.26953125" style="2" bestFit="1" customWidth="1"/>
    <col min="1334" max="1334" width="13" style="2" bestFit="1" customWidth="1"/>
    <col min="1335" max="1506" width="8.7265625" style="2"/>
    <col min="1507" max="1507" width="2.7265625" style="2" customWidth="1"/>
    <col min="1508" max="1508" width="3.54296875" style="2" customWidth="1"/>
    <col min="1509" max="1509" width="7" style="2" customWidth="1"/>
    <col min="1510" max="1510" width="23" style="2" customWidth="1"/>
    <col min="1511" max="1511" width="13.26953125" style="2" customWidth="1"/>
    <col min="1512" max="1512" width="17.36328125" style="2" bestFit="1" customWidth="1"/>
    <col min="1513" max="1513" width="11.54296875" style="2" bestFit="1" customWidth="1"/>
    <col min="1514" max="1514" width="7.81640625" style="2" customWidth="1"/>
    <col min="1515" max="1515" width="11.54296875" style="2" bestFit="1" customWidth="1"/>
    <col min="1516" max="1516" width="7" style="2" customWidth="1"/>
    <col min="1517" max="1517" width="18.1796875" style="2" customWidth="1"/>
    <col min="1518" max="1518" width="7" style="2" customWidth="1"/>
    <col min="1519" max="1519" width="15.54296875" style="2" customWidth="1"/>
    <col min="1520" max="1520" width="7.81640625" style="2" customWidth="1"/>
    <col min="1521" max="1521" width="15.54296875" style="2" customWidth="1"/>
    <col min="1522" max="1522" width="7.81640625" style="2" bestFit="1" customWidth="1"/>
    <col min="1523" max="1523" width="15.7265625" style="2" bestFit="1" customWidth="1"/>
    <col min="1524" max="1524" width="7.54296875" style="2" customWidth="1"/>
    <col min="1525" max="1525" width="14" style="2" customWidth="1"/>
    <col min="1526" max="1526" width="7.81640625" style="2" customWidth="1"/>
    <col min="1527" max="1527" width="14" style="2" customWidth="1"/>
    <col min="1528" max="1528" width="7.81640625" style="2" customWidth="1"/>
    <col min="1529" max="1529" width="14" style="2" customWidth="1"/>
    <col min="1530" max="1530" width="9" style="2" customWidth="1"/>
    <col min="1531" max="1531" width="15.1796875" style="2" customWidth="1"/>
    <col min="1532" max="1532" width="13" style="2" bestFit="1" customWidth="1"/>
    <col min="1533" max="1533" width="15.1796875" style="2" bestFit="1" customWidth="1"/>
    <col min="1534" max="1534" width="7.54296875" style="2" customWidth="1"/>
    <col min="1535" max="1535" width="14" style="2" customWidth="1"/>
    <col min="1536" max="1536" width="7.81640625" style="2" customWidth="1"/>
    <col min="1537" max="1537" width="14" style="2" customWidth="1"/>
    <col min="1538" max="1538" width="7.81640625" style="2" customWidth="1"/>
    <col min="1539" max="1539" width="14" style="2" customWidth="1"/>
    <col min="1540" max="1540" width="9" style="2" bestFit="1" customWidth="1"/>
    <col min="1541" max="1541" width="15.1796875" style="2" bestFit="1" customWidth="1"/>
    <col min="1542" max="1542" width="9" style="2" bestFit="1" customWidth="1"/>
    <col min="1543" max="1543" width="15.1796875" style="2" bestFit="1" customWidth="1"/>
    <col min="1544" max="1544" width="6.36328125" style="2" customWidth="1"/>
    <col min="1545" max="1545" width="12.7265625" style="2" customWidth="1"/>
    <col min="1546" max="1546" width="6.36328125" style="2" customWidth="1"/>
    <col min="1547" max="1547" width="12.7265625" style="2" customWidth="1"/>
    <col min="1548" max="1548" width="6" style="2" customWidth="1"/>
    <col min="1549" max="1549" width="12.7265625" style="2" customWidth="1"/>
    <col min="1550" max="1550" width="9.54296875" style="2" customWidth="1"/>
    <col min="1551" max="1551" width="14" style="2" bestFit="1" customWidth="1"/>
    <col min="1552" max="1552" width="8.7265625" style="2" bestFit="1" customWidth="1"/>
    <col min="1553" max="1553" width="13.54296875" style="2" customWidth="1"/>
    <col min="1554" max="1554" width="6" style="2" customWidth="1"/>
    <col min="1555" max="1555" width="13.7265625" style="2" customWidth="1"/>
    <col min="1556" max="1556" width="6" style="2" customWidth="1"/>
    <col min="1557" max="1557" width="12.7265625" style="2" customWidth="1"/>
    <col min="1558" max="1558" width="6.81640625" style="2" customWidth="1"/>
    <col min="1559" max="1559" width="12.7265625" style="2" customWidth="1"/>
    <col min="1560" max="1560" width="6.81640625" style="2" customWidth="1"/>
    <col min="1561" max="1561" width="15.7265625" style="2" bestFit="1" customWidth="1"/>
    <col min="1562" max="1562" width="8.54296875" style="2" bestFit="1" customWidth="1"/>
    <col min="1563" max="1563" width="13.54296875" style="2" customWidth="1"/>
    <col min="1564" max="1564" width="6" style="2" customWidth="1"/>
    <col min="1565" max="1565" width="13.7265625" style="2" customWidth="1"/>
    <col min="1566" max="1566" width="6" style="2" customWidth="1"/>
    <col min="1567" max="1567" width="12.7265625" style="2" customWidth="1"/>
    <col min="1568" max="1568" width="6.81640625" style="2" customWidth="1"/>
    <col min="1569" max="1569" width="12.7265625" style="2" customWidth="1"/>
    <col min="1570" max="1570" width="6.81640625" style="2" customWidth="1"/>
    <col min="1571" max="1571" width="16.36328125" style="2" bestFit="1" customWidth="1"/>
    <col min="1572" max="1572" width="9.54296875" style="2" bestFit="1" customWidth="1"/>
    <col min="1573" max="1573" width="17.36328125" style="2" bestFit="1" customWidth="1"/>
    <col min="1574" max="1574" width="6" style="2" customWidth="1"/>
    <col min="1575" max="1575" width="13.7265625" style="2" customWidth="1"/>
    <col min="1576" max="1576" width="6" style="2" customWidth="1"/>
    <col min="1577" max="1577" width="12.7265625" style="2" customWidth="1"/>
    <col min="1578" max="1578" width="6.81640625" style="2" customWidth="1"/>
    <col min="1579" max="1579" width="12.7265625" style="2" customWidth="1"/>
    <col min="1580" max="1580" width="6.81640625" style="2" customWidth="1"/>
    <col min="1581" max="1581" width="15.36328125" style="2" bestFit="1" customWidth="1"/>
    <col min="1582" max="1582" width="9.54296875" style="2" bestFit="1" customWidth="1"/>
    <col min="1583" max="1583" width="17.36328125" style="2" bestFit="1" customWidth="1"/>
    <col min="1584" max="1584" width="8" style="2" customWidth="1"/>
    <col min="1585" max="1585" width="12.1796875" style="2" customWidth="1"/>
    <col min="1586" max="1586" width="8" style="2" customWidth="1"/>
    <col min="1587" max="1587" width="20" style="2" customWidth="1"/>
    <col min="1588" max="1588" width="15.26953125" style="2" bestFit="1" customWidth="1"/>
    <col min="1589" max="1589" width="14.26953125" style="2" bestFit="1" customWidth="1"/>
    <col min="1590" max="1590" width="13" style="2" bestFit="1" customWidth="1"/>
    <col min="1591" max="1762" width="8.7265625" style="2"/>
    <col min="1763" max="1763" width="2.7265625" style="2" customWidth="1"/>
    <col min="1764" max="1764" width="3.54296875" style="2" customWidth="1"/>
    <col min="1765" max="1765" width="7" style="2" customWidth="1"/>
    <col min="1766" max="1766" width="23" style="2" customWidth="1"/>
    <col min="1767" max="1767" width="13.26953125" style="2" customWidth="1"/>
    <col min="1768" max="1768" width="17.36328125" style="2" bestFit="1" customWidth="1"/>
    <col min="1769" max="1769" width="11.54296875" style="2" bestFit="1" customWidth="1"/>
    <col min="1770" max="1770" width="7.81640625" style="2" customWidth="1"/>
    <col min="1771" max="1771" width="11.54296875" style="2" bestFit="1" customWidth="1"/>
    <col min="1772" max="1772" width="7" style="2" customWidth="1"/>
    <col min="1773" max="1773" width="18.1796875" style="2" customWidth="1"/>
    <col min="1774" max="1774" width="7" style="2" customWidth="1"/>
    <col min="1775" max="1775" width="15.54296875" style="2" customWidth="1"/>
    <col min="1776" max="1776" width="7.81640625" style="2" customWidth="1"/>
    <col min="1777" max="1777" width="15.54296875" style="2" customWidth="1"/>
    <col min="1778" max="1778" width="7.81640625" style="2" bestFit="1" customWidth="1"/>
    <col min="1779" max="1779" width="15.7265625" style="2" bestFit="1" customWidth="1"/>
    <col min="1780" max="1780" width="7.54296875" style="2" customWidth="1"/>
    <col min="1781" max="1781" width="14" style="2" customWidth="1"/>
    <col min="1782" max="1782" width="7.81640625" style="2" customWidth="1"/>
    <col min="1783" max="1783" width="14" style="2" customWidth="1"/>
    <col min="1784" max="1784" width="7.81640625" style="2" customWidth="1"/>
    <col min="1785" max="1785" width="14" style="2" customWidth="1"/>
    <col min="1786" max="1786" width="9" style="2" customWidth="1"/>
    <col min="1787" max="1787" width="15.1796875" style="2" customWidth="1"/>
    <col min="1788" max="1788" width="13" style="2" bestFit="1" customWidth="1"/>
    <col min="1789" max="1789" width="15.1796875" style="2" bestFit="1" customWidth="1"/>
    <col min="1790" max="1790" width="7.54296875" style="2" customWidth="1"/>
    <col min="1791" max="1791" width="14" style="2" customWidth="1"/>
    <col min="1792" max="1792" width="7.81640625" style="2" customWidth="1"/>
    <col min="1793" max="1793" width="14" style="2" customWidth="1"/>
    <col min="1794" max="1794" width="7.81640625" style="2" customWidth="1"/>
    <col min="1795" max="1795" width="14" style="2" customWidth="1"/>
    <col min="1796" max="1796" width="9" style="2" bestFit="1" customWidth="1"/>
    <col min="1797" max="1797" width="15.1796875" style="2" bestFit="1" customWidth="1"/>
    <col min="1798" max="1798" width="9" style="2" bestFit="1" customWidth="1"/>
    <col min="1799" max="1799" width="15.1796875" style="2" bestFit="1" customWidth="1"/>
    <col min="1800" max="1800" width="6.36328125" style="2" customWidth="1"/>
    <col min="1801" max="1801" width="12.7265625" style="2" customWidth="1"/>
    <col min="1802" max="1802" width="6.36328125" style="2" customWidth="1"/>
    <col min="1803" max="1803" width="12.7265625" style="2" customWidth="1"/>
    <col min="1804" max="1804" width="6" style="2" customWidth="1"/>
    <col min="1805" max="1805" width="12.7265625" style="2" customWidth="1"/>
    <col min="1806" max="1806" width="9.54296875" style="2" customWidth="1"/>
    <col min="1807" max="1807" width="14" style="2" bestFit="1" customWidth="1"/>
    <col min="1808" max="1808" width="8.7265625" style="2" bestFit="1" customWidth="1"/>
    <col min="1809" max="1809" width="13.54296875" style="2" customWidth="1"/>
    <col min="1810" max="1810" width="6" style="2" customWidth="1"/>
    <col min="1811" max="1811" width="13.7265625" style="2" customWidth="1"/>
    <col min="1812" max="1812" width="6" style="2" customWidth="1"/>
    <col min="1813" max="1813" width="12.7265625" style="2" customWidth="1"/>
    <col min="1814" max="1814" width="6.81640625" style="2" customWidth="1"/>
    <col min="1815" max="1815" width="12.7265625" style="2" customWidth="1"/>
    <col min="1816" max="1816" width="6.81640625" style="2" customWidth="1"/>
    <col min="1817" max="1817" width="15.7265625" style="2" bestFit="1" customWidth="1"/>
    <col min="1818" max="1818" width="8.54296875" style="2" bestFit="1" customWidth="1"/>
    <col min="1819" max="1819" width="13.54296875" style="2" customWidth="1"/>
    <col min="1820" max="1820" width="6" style="2" customWidth="1"/>
    <col min="1821" max="1821" width="13.7265625" style="2" customWidth="1"/>
    <col min="1822" max="1822" width="6" style="2" customWidth="1"/>
    <col min="1823" max="1823" width="12.7265625" style="2" customWidth="1"/>
    <col min="1824" max="1824" width="6.81640625" style="2" customWidth="1"/>
    <col min="1825" max="1825" width="12.7265625" style="2" customWidth="1"/>
    <col min="1826" max="1826" width="6.81640625" style="2" customWidth="1"/>
    <col min="1827" max="1827" width="16.36328125" style="2" bestFit="1" customWidth="1"/>
    <col min="1828" max="1828" width="9.54296875" style="2" bestFit="1" customWidth="1"/>
    <col min="1829" max="1829" width="17.36328125" style="2" bestFit="1" customWidth="1"/>
    <col min="1830" max="1830" width="6" style="2" customWidth="1"/>
    <col min="1831" max="1831" width="13.7265625" style="2" customWidth="1"/>
    <col min="1832" max="1832" width="6" style="2" customWidth="1"/>
    <col min="1833" max="1833" width="12.7265625" style="2" customWidth="1"/>
    <col min="1834" max="1834" width="6.81640625" style="2" customWidth="1"/>
    <col min="1835" max="1835" width="12.7265625" style="2" customWidth="1"/>
    <col min="1836" max="1836" width="6.81640625" style="2" customWidth="1"/>
    <col min="1837" max="1837" width="15.36328125" style="2" bestFit="1" customWidth="1"/>
    <col min="1838" max="1838" width="9.54296875" style="2" bestFit="1" customWidth="1"/>
    <col min="1839" max="1839" width="17.36328125" style="2" bestFit="1" customWidth="1"/>
    <col min="1840" max="1840" width="8" style="2" customWidth="1"/>
    <col min="1841" max="1841" width="12.1796875" style="2" customWidth="1"/>
    <col min="1842" max="1842" width="8" style="2" customWidth="1"/>
    <col min="1843" max="1843" width="20" style="2" customWidth="1"/>
    <col min="1844" max="1844" width="15.26953125" style="2" bestFit="1" customWidth="1"/>
    <col min="1845" max="1845" width="14.26953125" style="2" bestFit="1" customWidth="1"/>
    <col min="1846" max="1846" width="13" style="2" bestFit="1" customWidth="1"/>
    <col min="1847" max="2018" width="8.7265625" style="2"/>
    <col min="2019" max="2019" width="2.7265625" style="2" customWidth="1"/>
    <col min="2020" max="2020" width="3.54296875" style="2" customWidth="1"/>
    <col min="2021" max="2021" width="7" style="2" customWidth="1"/>
    <col min="2022" max="2022" width="23" style="2" customWidth="1"/>
    <col min="2023" max="2023" width="13.26953125" style="2" customWidth="1"/>
    <col min="2024" max="2024" width="17.36328125" style="2" bestFit="1" customWidth="1"/>
    <col min="2025" max="2025" width="11.54296875" style="2" bestFit="1" customWidth="1"/>
    <col min="2026" max="2026" width="7.81640625" style="2" customWidth="1"/>
    <col min="2027" max="2027" width="11.54296875" style="2" bestFit="1" customWidth="1"/>
    <col min="2028" max="2028" width="7" style="2" customWidth="1"/>
    <col min="2029" max="2029" width="18.1796875" style="2" customWidth="1"/>
    <col min="2030" max="2030" width="7" style="2" customWidth="1"/>
    <col min="2031" max="2031" width="15.54296875" style="2" customWidth="1"/>
    <col min="2032" max="2032" width="7.81640625" style="2" customWidth="1"/>
    <col min="2033" max="2033" width="15.54296875" style="2" customWidth="1"/>
    <col min="2034" max="2034" width="7.81640625" style="2" bestFit="1" customWidth="1"/>
    <col min="2035" max="2035" width="15.7265625" style="2" bestFit="1" customWidth="1"/>
    <col min="2036" max="2036" width="7.54296875" style="2" customWidth="1"/>
    <col min="2037" max="2037" width="14" style="2" customWidth="1"/>
    <col min="2038" max="2038" width="7.81640625" style="2" customWidth="1"/>
    <col min="2039" max="2039" width="14" style="2" customWidth="1"/>
    <col min="2040" max="2040" width="7.81640625" style="2" customWidth="1"/>
    <col min="2041" max="2041" width="14" style="2" customWidth="1"/>
    <col min="2042" max="2042" width="9" style="2" customWidth="1"/>
    <col min="2043" max="2043" width="15.1796875" style="2" customWidth="1"/>
    <col min="2044" max="2044" width="13" style="2" bestFit="1" customWidth="1"/>
    <col min="2045" max="2045" width="15.1796875" style="2" bestFit="1" customWidth="1"/>
    <col min="2046" max="2046" width="7.54296875" style="2" customWidth="1"/>
    <col min="2047" max="2047" width="14" style="2" customWidth="1"/>
    <col min="2048" max="2048" width="7.81640625" style="2" customWidth="1"/>
    <col min="2049" max="2049" width="14" style="2" customWidth="1"/>
    <col min="2050" max="2050" width="7.81640625" style="2" customWidth="1"/>
    <col min="2051" max="2051" width="14" style="2" customWidth="1"/>
    <col min="2052" max="2052" width="9" style="2" bestFit="1" customWidth="1"/>
    <col min="2053" max="2053" width="15.1796875" style="2" bestFit="1" customWidth="1"/>
    <col min="2054" max="2054" width="9" style="2" bestFit="1" customWidth="1"/>
    <col min="2055" max="2055" width="15.1796875" style="2" bestFit="1" customWidth="1"/>
    <col min="2056" max="2056" width="6.36328125" style="2" customWidth="1"/>
    <col min="2057" max="2057" width="12.7265625" style="2" customWidth="1"/>
    <col min="2058" max="2058" width="6.36328125" style="2" customWidth="1"/>
    <col min="2059" max="2059" width="12.7265625" style="2" customWidth="1"/>
    <col min="2060" max="2060" width="6" style="2" customWidth="1"/>
    <col min="2061" max="2061" width="12.7265625" style="2" customWidth="1"/>
    <col min="2062" max="2062" width="9.54296875" style="2" customWidth="1"/>
    <col min="2063" max="2063" width="14" style="2" bestFit="1" customWidth="1"/>
    <col min="2064" max="2064" width="8.7265625" style="2" bestFit="1" customWidth="1"/>
    <col min="2065" max="2065" width="13.54296875" style="2" customWidth="1"/>
    <col min="2066" max="2066" width="6" style="2" customWidth="1"/>
    <col min="2067" max="2067" width="13.7265625" style="2" customWidth="1"/>
    <col min="2068" max="2068" width="6" style="2" customWidth="1"/>
    <col min="2069" max="2069" width="12.7265625" style="2" customWidth="1"/>
    <col min="2070" max="2070" width="6.81640625" style="2" customWidth="1"/>
    <col min="2071" max="2071" width="12.7265625" style="2" customWidth="1"/>
    <col min="2072" max="2072" width="6.81640625" style="2" customWidth="1"/>
    <col min="2073" max="2073" width="15.7265625" style="2" bestFit="1" customWidth="1"/>
    <col min="2074" max="2074" width="8.54296875" style="2" bestFit="1" customWidth="1"/>
    <col min="2075" max="2075" width="13.54296875" style="2" customWidth="1"/>
    <col min="2076" max="2076" width="6" style="2" customWidth="1"/>
    <col min="2077" max="2077" width="13.7265625" style="2" customWidth="1"/>
    <col min="2078" max="2078" width="6" style="2" customWidth="1"/>
    <col min="2079" max="2079" width="12.7265625" style="2" customWidth="1"/>
    <col min="2080" max="2080" width="6.81640625" style="2" customWidth="1"/>
    <col min="2081" max="2081" width="12.7265625" style="2" customWidth="1"/>
    <col min="2082" max="2082" width="6.81640625" style="2" customWidth="1"/>
    <col min="2083" max="2083" width="16.36328125" style="2" bestFit="1" customWidth="1"/>
    <col min="2084" max="2084" width="9.54296875" style="2" bestFit="1" customWidth="1"/>
    <col min="2085" max="2085" width="17.36328125" style="2" bestFit="1" customWidth="1"/>
    <col min="2086" max="2086" width="6" style="2" customWidth="1"/>
    <col min="2087" max="2087" width="13.7265625" style="2" customWidth="1"/>
    <col min="2088" max="2088" width="6" style="2" customWidth="1"/>
    <col min="2089" max="2089" width="12.7265625" style="2" customWidth="1"/>
    <col min="2090" max="2090" width="6.81640625" style="2" customWidth="1"/>
    <col min="2091" max="2091" width="12.7265625" style="2" customWidth="1"/>
    <col min="2092" max="2092" width="6.81640625" style="2" customWidth="1"/>
    <col min="2093" max="2093" width="15.36328125" style="2" bestFit="1" customWidth="1"/>
    <col min="2094" max="2094" width="9.54296875" style="2" bestFit="1" customWidth="1"/>
    <col min="2095" max="2095" width="17.36328125" style="2" bestFit="1" customWidth="1"/>
    <col min="2096" max="2096" width="8" style="2" customWidth="1"/>
    <col min="2097" max="2097" width="12.1796875" style="2" customWidth="1"/>
    <col min="2098" max="2098" width="8" style="2" customWidth="1"/>
    <col min="2099" max="2099" width="20" style="2" customWidth="1"/>
    <col min="2100" max="2100" width="15.26953125" style="2" bestFit="1" customWidth="1"/>
    <col min="2101" max="2101" width="14.26953125" style="2" bestFit="1" customWidth="1"/>
    <col min="2102" max="2102" width="13" style="2" bestFit="1" customWidth="1"/>
    <col min="2103" max="2274" width="8.7265625" style="2"/>
    <col min="2275" max="2275" width="2.7265625" style="2" customWidth="1"/>
    <col min="2276" max="2276" width="3.54296875" style="2" customWidth="1"/>
    <col min="2277" max="2277" width="7" style="2" customWidth="1"/>
    <col min="2278" max="2278" width="23" style="2" customWidth="1"/>
    <col min="2279" max="2279" width="13.26953125" style="2" customWidth="1"/>
    <col min="2280" max="2280" width="17.36328125" style="2" bestFit="1" customWidth="1"/>
    <col min="2281" max="2281" width="11.54296875" style="2" bestFit="1" customWidth="1"/>
    <col min="2282" max="2282" width="7.81640625" style="2" customWidth="1"/>
    <col min="2283" max="2283" width="11.54296875" style="2" bestFit="1" customWidth="1"/>
    <col min="2284" max="2284" width="7" style="2" customWidth="1"/>
    <col min="2285" max="2285" width="18.1796875" style="2" customWidth="1"/>
    <col min="2286" max="2286" width="7" style="2" customWidth="1"/>
    <col min="2287" max="2287" width="15.54296875" style="2" customWidth="1"/>
    <col min="2288" max="2288" width="7.81640625" style="2" customWidth="1"/>
    <col min="2289" max="2289" width="15.54296875" style="2" customWidth="1"/>
    <col min="2290" max="2290" width="7.81640625" style="2" bestFit="1" customWidth="1"/>
    <col min="2291" max="2291" width="15.7265625" style="2" bestFit="1" customWidth="1"/>
    <col min="2292" max="2292" width="7.54296875" style="2" customWidth="1"/>
    <col min="2293" max="2293" width="14" style="2" customWidth="1"/>
    <col min="2294" max="2294" width="7.81640625" style="2" customWidth="1"/>
    <col min="2295" max="2295" width="14" style="2" customWidth="1"/>
    <col min="2296" max="2296" width="7.81640625" style="2" customWidth="1"/>
    <col min="2297" max="2297" width="14" style="2" customWidth="1"/>
    <col min="2298" max="2298" width="9" style="2" customWidth="1"/>
    <col min="2299" max="2299" width="15.1796875" style="2" customWidth="1"/>
    <col min="2300" max="2300" width="13" style="2" bestFit="1" customWidth="1"/>
    <col min="2301" max="2301" width="15.1796875" style="2" bestFit="1" customWidth="1"/>
    <col min="2302" max="2302" width="7.54296875" style="2" customWidth="1"/>
    <col min="2303" max="2303" width="14" style="2" customWidth="1"/>
    <col min="2304" max="2304" width="7.81640625" style="2" customWidth="1"/>
    <col min="2305" max="2305" width="14" style="2" customWidth="1"/>
    <col min="2306" max="2306" width="7.81640625" style="2" customWidth="1"/>
    <col min="2307" max="2307" width="14" style="2" customWidth="1"/>
    <col min="2308" max="2308" width="9" style="2" bestFit="1" customWidth="1"/>
    <col min="2309" max="2309" width="15.1796875" style="2" bestFit="1" customWidth="1"/>
    <col min="2310" max="2310" width="9" style="2" bestFit="1" customWidth="1"/>
    <col min="2311" max="2311" width="15.1796875" style="2" bestFit="1" customWidth="1"/>
    <col min="2312" max="2312" width="6.36328125" style="2" customWidth="1"/>
    <col min="2313" max="2313" width="12.7265625" style="2" customWidth="1"/>
    <col min="2314" max="2314" width="6.36328125" style="2" customWidth="1"/>
    <col min="2315" max="2315" width="12.7265625" style="2" customWidth="1"/>
    <col min="2316" max="2316" width="6" style="2" customWidth="1"/>
    <col min="2317" max="2317" width="12.7265625" style="2" customWidth="1"/>
    <col min="2318" max="2318" width="9.54296875" style="2" customWidth="1"/>
    <col min="2319" max="2319" width="14" style="2" bestFit="1" customWidth="1"/>
    <col min="2320" max="2320" width="8.7265625" style="2" bestFit="1" customWidth="1"/>
    <col min="2321" max="2321" width="13.54296875" style="2" customWidth="1"/>
    <col min="2322" max="2322" width="6" style="2" customWidth="1"/>
    <col min="2323" max="2323" width="13.7265625" style="2" customWidth="1"/>
    <col min="2324" max="2324" width="6" style="2" customWidth="1"/>
    <col min="2325" max="2325" width="12.7265625" style="2" customWidth="1"/>
    <col min="2326" max="2326" width="6.81640625" style="2" customWidth="1"/>
    <col min="2327" max="2327" width="12.7265625" style="2" customWidth="1"/>
    <col min="2328" max="2328" width="6.81640625" style="2" customWidth="1"/>
    <col min="2329" max="2329" width="15.7265625" style="2" bestFit="1" customWidth="1"/>
    <col min="2330" max="2330" width="8.54296875" style="2" bestFit="1" customWidth="1"/>
    <col min="2331" max="2331" width="13.54296875" style="2" customWidth="1"/>
    <col min="2332" max="2332" width="6" style="2" customWidth="1"/>
    <col min="2333" max="2333" width="13.7265625" style="2" customWidth="1"/>
    <col min="2334" max="2334" width="6" style="2" customWidth="1"/>
    <col min="2335" max="2335" width="12.7265625" style="2" customWidth="1"/>
    <col min="2336" max="2336" width="6.81640625" style="2" customWidth="1"/>
    <col min="2337" max="2337" width="12.7265625" style="2" customWidth="1"/>
    <col min="2338" max="2338" width="6.81640625" style="2" customWidth="1"/>
    <col min="2339" max="2339" width="16.36328125" style="2" bestFit="1" customWidth="1"/>
    <col min="2340" max="2340" width="9.54296875" style="2" bestFit="1" customWidth="1"/>
    <col min="2341" max="2341" width="17.36328125" style="2" bestFit="1" customWidth="1"/>
    <col min="2342" max="2342" width="6" style="2" customWidth="1"/>
    <col min="2343" max="2343" width="13.7265625" style="2" customWidth="1"/>
    <col min="2344" max="2344" width="6" style="2" customWidth="1"/>
    <col min="2345" max="2345" width="12.7265625" style="2" customWidth="1"/>
    <col min="2346" max="2346" width="6.81640625" style="2" customWidth="1"/>
    <col min="2347" max="2347" width="12.7265625" style="2" customWidth="1"/>
    <col min="2348" max="2348" width="6.81640625" style="2" customWidth="1"/>
    <col min="2349" max="2349" width="15.36328125" style="2" bestFit="1" customWidth="1"/>
    <col min="2350" max="2350" width="9.54296875" style="2" bestFit="1" customWidth="1"/>
    <col min="2351" max="2351" width="17.36328125" style="2" bestFit="1" customWidth="1"/>
    <col min="2352" max="2352" width="8" style="2" customWidth="1"/>
    <col min="2353" max="2353" width="12.1796875" style="2" customWidth="1"/>
    <col min="2354" max="2354" width="8" style="2" customWidth="1"/>
    <col min="2355" max="2355" width="20" style="2" customWidth="1"/>
    <col min="2356" max="2356" width="15.26953125" style="2" bestFit="1" customWidth="1"/>
    <col min="2357" max="2357" width="14.26953125" style="2" bestFit="1" customWidth="1"/>
    <col min="2358" max="2358" width="13" style="2" bestFit="1" customWidth="1"/>
    <col min="2359" max="2530" width="8.7265625" style="2"/>
    <col min="2531" max="2531" width="2.7265625" style="2" customWidth="1"/>
    <col min="2532" max="2532" width="3.54296875" style="2" customWidth="1"/>
    <col min="2533" max="2533" width="7" style="2" customWidth="1"/>
    <col min="2534" max="2534" width="23" style="2" customWidth="1"/>
    <col min="2535" max="2535" width="13.26953125" style="2" customWidth="1"/>
    <col min="2536" max="2536" width="17.36328125" style="2" bestFit="1" customWidth="1"/>
    <col min="2537" max="2537" width="11.54296875" style="2" bestFit="1" customWidth="1"/>
    <col min="2538" max="2538" width="7.81640625" style="2" customWidth="1"/>
    <col min="2539" max="2539" width="11.54296875" style="2" bestFit="1" customWidth="1"/>
    <col min="2540" max="2540" width="7" style="2" customWidth="1"/>
    <col min="2541" max="2541" width="18.1796875" style="2" customWidth="1"/>
    <col min="2542" max="2542" width="7" style="2" customWidth="1"/>
    <col min="2543" max="2543" width="15.54296875" style="2" customWidth="1"/>
    <col min="2544" max="2544" width="7.81640625" style="2" customWidth="1"/>
    <col min="2545" max="2545" width="15.54296875" style="2" customWidth="1"/>
    <col min="2546" max="2546" width="7.81640625" style="2" bestFit="1" customWidth="1"/>
    <col min="2547" max="2547" width="15.7265625" style="2" bestFit="1" customWidth="1"/>
    <col min="2548" max="2548" width="7.54296875" style="2" customWidth="1"/>
    <col min="2549" max="2549" width="14" style="2" customWidth="1"/>
    <col min="2550" max="2550" width="7.81640625" style="2" customWidth="1"/>
    <col min="2551" max="2551" width="14" style="2" customWidth="1"/>
    <col min="2552" max="2552" width="7.81640625" style="2" customWidth="1"/>
    <col min="2553" max="2553" width="14" style="2" customWidth="1"/>
    <col min="2554" max="2554" width="9" style="2" customWidth="1"/>
    <col min="2555" max="2555" width="15.1796875" style="2" customWidth="1"/>
    <col min="2556" max="2556" width="13" style="2" bestFit="1" customWidth="1"/>
    <col min="2557" max="2557" width="15.1796875" style="2" bestFit="1" customWidth="1"/>
    <col min="2558" max="2558" width="7.54296875" style="2" customWidth="1"/>
    <col min="2559" max="2559" width="14" style="2" customWidth="1"/>
    <col min="2560" max="2560" width="7.81640625" style="2" customWidth="1"/>
    <col min="2561" max="2561" width="14" style="2" customWidth="1"/>
    <col min="2562" max="2562" width="7.81640625" style="2" customWidth="1"/>
    <col min="2563" max="2563" width="14" style="2" customWidth="1"/>
    <col min="2564" max="2564" width="9" style="2" bestFit="1" customWidth="1"/>
    <col min="2565" max="2565" width="15.1796875" style="2" bestFit="1" customWidth="1"/>
    <col min="2566" max="2566" width="9" style="2" bestFit="1" customWidth="1"/>
    <col min="2567" max="2567" width="15.1796875" style="2" bestFit="1" customWidth="1"/>
    <col min="2568" max="2568" width="6.36328125" style="2" customWidth="1"/>
    <col min="2569" max="2569" width="12.7265625" style="2" customWidth="1"/>
    <col min="2570" max="2570" width="6.36328125" style="2" customWidth="1"/>
    <col min="2571" max="2571" width="12.7265625" style="2" customWidth="1"/>
    <col min="2572" max="2572" width="6" style="2" customWidth="1"/>
    <col min="2573" max="2573" width="12.7265625" style="2" customWidth="1"/>
    <col min="2574" max="2574" width="9.54296875" style="2" customWidth="1"/>
    <col min="2575" max="2575" width="14" style="2" bestFit="1" customWidth="1"/>
    <col min="2576" max="2576" width="8.7265625" style="2" bestFit="1" customWidth="1"/>
    <col min="2577" max="2577" width="13.54296875" style="2" customWidth="1"/>
    <col min="2578" max="2578" width="6" style="2" customWidth="1"/>
    <col min="2579" max="2579" width="13.7265625" style="2" customWidth="1"/>
    <col min="2580" max="2580" width="6" style="2" customWidth="1"/>
    <col min="2581" max="2581" width="12.7265625" style="2" customWidth="1"/>
    <col min="2582" max="2582" width="6.81640625" style="2" customWidth="1"/>
    <col min="2583" max="2583" width="12.7265625" style="2" customWidth="1"/>
    <col min="2584" max="2584" width="6.81640625" style="2" customWidth="1"/>
    <col min="2585" max="2585" width="15.7265625" style="2" bestFit="1" customWidth="1"/>
    <col min="2586" max="2586" width="8.54296875" style="2" bestFit="1" customWidth="1"/>
    <col min="2587" max="2587" width="13.54296875" style="2" customWidth="1"/>
    <col min="2588" max="2588" width="6" style="2" customWidth="1"/>
    <col min="2589" max="2589" width="13.7265625" style="2" customWidth="1"/>
    <col min="2590" max="2590" width="6" style="2" customWidth="1"/>
    <col min="2591" max="2591" width="12.7265625" style="2" customWidth="1"/>
    <col min="2592" max="2592" width="6.81640625" style="2" customWidth="1"/>
    <col min="2593" max="2593" width="12.7265625" style="2" customWidth="1"/>
    <col min="2594" max="2594" width="6.81640625" style="2" customWidth="1"/>
    <col min="2595" max="2595" width="16.36328125" style="2" bestFit="1" customWidth="1"/>
    <col min="2596" max="2596" width="9.54296875" style="2" bestFit="1" customWidth="1"/>
    <col min="2597" max="2597" width="17.36328125" style="2" bestFit="1" customWidth="1"/>
    <col min="2598" max="2598" width="6" style="2" customWidth="1"/>
    <col min="2599" max="2599" width="13.7265625" style="2" customWidth="1"/>
    <col min="2600" max="2600" width="6" style="2" customWidth="1"/>
    <col min="2601" max="2601" width="12.7265625" style="2" customWidth="1"/>
    <col min="2602" max="2602" width="6.81640625" style="2" customWidth="1"/>
    <col min="2603" max="2603" width="12.7265625" style="2" customWidth="1"/>
    <col min="2604" max="2604" width="6.81640625" style="2" customWidth="1"/>
    <col min="2605" max="2605" width="15.36328125" style="2" bestFit="1" customWidth="1"/>
    <col min="2606" max="2606" width="9.54296875" style="2" bestFit="1" customWidth="1"/>
    <col min="2607" max="2607" width="17.36328125" style="2" bestFit="1" customWidth="1"/>
    <col min="2608" max="2608" width="8" style="2" customWidth="1"/>
    <col min="2609" max="2609" width="12.1796875" style="2" customWidth="1"/>
    <col min="2610" max="2610" width="8" style="2" customWidth="1"/>
    <col min="2611" max="2611" width="20" style="2" customWidth="1"/>
    <col min="2612" max="2612" width="15.26953125" style="2" bestFit="1" customWidth="1"/>
    <col min="2613" max="2613" width="14.26953125" style="2" bestFit="1" customWidth="1"/>
    <col min="2614" max="2614" width="13" style="2" bestFit="1" customWidth="1"/>
    <col min="2615" max="2786" width="8.7265625" style="2"/>
    <col min="2787" max="2787" width="2.7265625" style="2" customWidth="1"/>
    <col min="2788" max="2788" width="3.54296875" style="2" customWidth="1"/>
    <col min="2789" max="2789" width="7" style="2" customWidth="1"/>
    <col min="2790" max="2790" width="23" style="2" customWidth="1"/>
    <col min="2791" max="2791" width="13.26953125" style="2" customWidth="1"/>
    <col min="2792" max="2792" width="17.36328125" style="2" bestFit="1" customWidth="1"/>
    <col min="2793" max="2793" width="11.54296875" style="2" bestFit="1" customWidth="1"/>
    <col min="2794" max="2794" width="7.81640625" style="2" customWidth="1"/>
    <col min="2795" max="2795" width="11.54296875" style="2" bestFit="1" customWidth="1"/>
    <col min="2796" max="2796" width="7" style="2" customWidth="1"/>
    <col min="2797" max="2797" width="18.1796875" style="2" customWidth="1"/>
    <col min="2798" max="2798" width="7" style="2" customWidth="1"/>
    <col min="2799" max="2799" width="15.54296875" style="2" customWidth="1"/>
    <col min="2800" max="2800" width="7.81640625" style="2" customWidth="1"/>
    <col min="2801" max="2801" width="15.54296875" style="2" customWidth="1"/>
    <col min="2802" max="2802" width="7.81640625" style="2" bestFit="1" customWidth="1"/>
    <col min="2803" max="2803" width="15.7265625" style="2" bestFit="1" customWidth="1"/>
    <col min="2804" max="2804" width="7.54296875" style="2" customWidth="1"/>
    <col min="2805" max="2805" width="14" style="2" customWidth="1"/>
    <col min="2806" max="2806" width="7.81640625" style="2" customWidth="1"/>
    <col min="2807" max="2807" width="14" style="2" customWidth="1"/>
    <col min="2808" max="2808" width="7.81640625" style="2" customWidth="1"/>
    <col min="2809" max="2809" width="14" style="2" customWidth="1"/>
    <col min="2810" max="2810" width="9" style="2" customWidth="1"/>
    <col min="2811" max="2811" width="15.1796875" style="2" customWidth="1"/>
    <col min="2812" max="2812" width="13" style="2" bestFit="1" customWidth="1"/>
    <col min="2813" max="2813" width="15.1796875" style="2" bestFit="1" customWidth="1"/>
    <col min="2814" max="2814" width="7.54296875" style="2" customWidth="1"/>
    <col min="2815" max="2815" width="14" style="2" customWidth="1"/>
    <col min="2816" max="2816" width="7.81640625" style="2" customWidth="1"/>
    <col min="2817" max="2817" width="14" style="2" customWidth="1"/>
    <col min="2818" max="2818" width="7.81640625" style="2" customWidth="1"/>
    <col min="2819" max="2819" width="14" style="2" customWidth="1"/>
    <col min="2820" max="2820" width="9" style="2" bestFit="1" customWidth="1"/>
    <col min="2821" max="2821" width="15.1796875" style="2" bestFit="1" customWidth="1"/>
    <col min="2822" max="2822" width="9" style="2" bestFit="1" customWidth="1"/>
    <col min="2823" max="2823" width="15.1796875" style="2" bestFit="1" customWidth="1"/>
    <col min="2824" max="2824" width="6.36328125" style="2" customWidth="1"/>
    <col min="2825" max="2825" width="12.7265625" style="2" customWidth="1"/>
    <col min="2826" max="2826" width="6.36328125" style="2" customWidth="1"/>
    <col min="2827" max="2827" width="12.7265625" style="2" customWidth="1"/>
    <col min="2828" max="2828" width="6" style="2" customWidth="1"/>
    <col min="2829" max="2829" width="12.7265625" style="2" customWidth="1"/>
    <col min="2830" max="2830" width="9.54296875" style="2" customWidth="1"/>
    <col min="2831" max="2831" width="14" style="2" bestFit="1" customWidth="1"/>
    <col min="2832" max="2832" width="8.7265625" style="2" bestFit="1" customWidth="1"/>
    <col min="2833" max="2833" width="13.54296875" style="2" customWidth="1"/>
    <col min="2834" max="2834" width="6" style="2" customWidth="1"/>
    <col min="2835" max="2835" width="13.7265625" style="2" customWidth="1"/>
    <col min="2836" max="2836" width="6" style="2" customWidth="1"/>
    <col min="2837" max="2837" width="12.7265625" style="2" customWidth="1"/>
    <col min="2838" max="2838" width="6.81640625" style="2" customWidth="1"/>
    <col min="2839" max="2839" width="12.7265625" style="2" customWidth="1"/>
    <col min="2840" max="2840" width="6.81640625" style="2" customWidth="1"/>
    <col min="2841" max="2841" width="15.7265625" style="2" bestFit="1" customWidth="1"/>
    <col min="2842" max="2842" width="8.54296875" style="2" bestFit="1" customWidth="1"/>
    <col min="2843" max="2843" width="13.54296875" style="2" customWidth="1"/>
    <col min="2844" max="2844" width="6" style="2" customWidth="1"/>
    <col min="2845" max="2845" width="13.7265625" style="2" customWidth="1"/>
    <col min="2846" max="2846" width="6" style="2" customWidth="1"/>
    <col min="2847" max="2847" width="12.7265625" style="2" customWidth="1"/>
    <col min="2848" max="2848" width="6.81640625" style="2" customWidth="1"/>
    <col min="2849" max="2849" width="12.7265625" style="2" customWidth="1"/>
    <col min="2850" max="2850" width="6.81640625" style="2" customWidth="1"/>
    <col min="2851" max="2851" width="16.36328125" style="2" bestFit="1" customWidth="1"/>
    <col min="2852" max="2852" width="9.54296875" style="2" bestFit="1" customWidth="1"/>
    <col min="2853" max="2853" width="17.36328125" style="2" bestFit="1" customWidth="1"/>
    <col min="2854" max="2854" width="6" style="2" customWidth="1"/>
    <col min="2855" max="2855" width="13.7265625" style="2" customWidth="1"/>
    <col min="2856" max="2856" width="6" style="2" customWidth="1"/>
    <col min="2857" max="2857" width="12.7265625" style="2" customWidth="1"/>
    <col min="2858" max="2858" width="6.81640625" style="2" customWidth="1"/>
    <col min="2859" max="2859" width="12.7265625" style="2" customWidth="1"/>
    <col min="2860" max="2860" width="6.81640625" style="2" customWidth="1"/>
    <col min="2861" max="2861" width="15.36328125" style="2" bestFit="1" customWidth="1"/>
    <col min="2862" max="2862" width="9.54296875" style="2" bestFit="1" customWidth="1"/>
    <col min="2863" max="2863" width="17.36328125" style="2" bestFit="1" customWidth="1"/>
    <col min="2864" max="2864" width="8" style="2" customWidth="1"/>
    <col min="2865" max="2865" width="12.1796875" style="2" customWidth="1"/>
    <col min="2866" max="2866" width="8" style="2" customWidth="1"/>
    <col min="2867" max="2867" width="20" style="2" customWidth="1"/>
    <col min="2868" max="2868" width="15.26953125" style="2" bestFit="1" customWidth="1"/>
    <col min="2869" max="2869" width="14.26953125" style="2" bestFit="1" customWidth="1"/>
    <col min="2870" max="2870" width="13" style="2" bestFit="1" customWidth="1"/>
    <col min="2871" max="3042" width="8.7265625" style="2"/>
    <col min="3043" max="3043" width="2.7265625" style="2" customWidth="1"/>
    <col min="3044" max="3044" width="3.54296875" style="2" customWidth="1"/>
    <col min="3045" max="3045" width="7" style="2" customWidth="1"/>
    <col min="3046" max="3046" width="23" style="2" customWidth="1"/>
    <col min="3047" max="3047" width="13.26953125" style="2" customWidth="1"/>
    <col min="3048" max="3048" width="17.36328125" style="2" bestFit="1" customWidth="1"/>
    <col min="3049" max="3049" width="11.54296875" style="2" bestFit="1" customWidth="1"/>
    <col min="3050" max="3050" width="7.81640625" style="2" customWidth="1"/>
    <col min="3051" max="3051" width="11.54296875" style="2" bestFit="1" customWidth="1"/>
    <col min="3052" max="3052" width="7" style="2" customWidth="1"/>
    <col min="3053" max="3053" width="18.1796875" style="2" customWidth="1"/>
    <col min="3054" max="3054" width="7" style="2" customWidth="1"/>
    <col min="3055" max="3055" width="15.54296875" style="2" customWidth="1"/>
    <col min="3056" max="3056" width="7.81640625" style="2" customWidth="1"/>
    <col min="3057" max="3057" width="15.54296875" style="2" customWidth="1"/>
    <col min="3058" max="3058" width="7.81640625" style="2" bestFit="1" customWidth="1"/>
    <col min="3059" max="3059" width="15.7265625" style="2" bestFit="1" customWidth="1"/>
    <col min="3060" max="3060" width="7.54296875" style="2" customWidth="1"/>
    <col min="3061" max="3061" width="14" style="2" customWidth="1"/>
    <col min="3062" max="3062" width="7.81640625" style="2" customWidth="1"/>
    <col min="3063" max="3063" width="14" style="2" customWidth="1"/>
    <col min="3064" max="3064" width="7.81640625" style="2" customWidth="1"/>
    <col min="3065" max="3065" width="14" style="2" customWidth="1"/>
    <col min="3066" max="3066" width="9" style="2" customWidth="1"/>
    <col min="3067" max="3067" width="15.1796875" style="2" customWidth="1"/>
    <col min="3068" max="3068" width="13" style="2" bestFit="1" customWidth="1"/>
    <col min="3069" max="3069" width="15.1796875" style="2" bestFit="1" customWidth="1"/>
    <col min="3070" max="3070" width="7.54296875" style="2" customWidth="1"/>
    <col min="3071" max="3071" width="14" style="2" customWidth="1"/>
    <col min="3072" max="3072" width="7.81640625" style="2" customWidth="1"/>
    <col min="3073" max="3073" width="14" style="2" customWidth="1"/>
    <col min="3074" max="3074" width="7.81640625" style="2" customWidth="1"/>
    <col min="3075" max="3075" width="14" style="2" customWidth="1"/>
    <col min="3076" max="3076" width="9" style="2" bestFit="1" customWidth="1"/>
    <col min="3077" max="3077" width="15.1796875" style="2" bestFit="1" customWidth="1"/>
    <col min="3078" max="3078" width="9" style="2" bestFit="1" customWidth="1"/>
    <col min="3079" max="3079" width="15.1796875" style="2" bestFit="1" customWidth="1"/>
    <col min="3080" max="3080" width="6.36328125" style="2" customWidth="1"/>
    <col min="3081" max="3081" width="12.7265625" style="2" customWidth="1"/>
    <col min="3082" max="3082" width="6.36328125" style="2" customWidth="1"/>
    <col min="3083" max="3083" width="12.7265625" style="2" customWidth="1"/>
    <col min="3084" max="3084" width="6" style="2" customWidth="1"/>
    <col min="3085" max="3085" width="12.7265625" style="2" customWidth="1"/>
    <col min="3086" max="3086" width="9.54296875" style="2" customWidth="1"/>
    <col min="3087" max="3087" width="14" style="2" bestFit="1" customWidth="1"/>
    <col min="3088" max="3088" width="8.7265625" style="2" bestFit="1" customWidth="1"/>
    <col min="3089" max="3089" width="13.54296875" style="2" customWidth="1"/>
    <col min="3090" max="3090" width="6" style="2" customWidth="1"/>
    <col min="3091" max="3091" width="13.7265625" style="2" customWidth="1"/>
    <col min="3092" max="3092" width="6" style="2" customWidth="1"/>
    <col min="3093" max="3093" width="12.7265625" style="2" customWidth="1"/>
    <col min="3094" max="3094" width="6.81640625" style="2" customWidth="1"/>
    <col min="3095" max="3095" width="12.7265625" style="2" customWidth="1"/>
    <col min="3096" max="3096" width="6.81640625" style="2" customWidth="1"/>
    <col min="3097" max="3097" width="15.7265625" style="2" bestFit="1" customWidth="1"/>
    <col min="3098" max="3098" width="8.54296875" style="2" bestFit="1" customWidth="1"/>
    <col min="3099" max="3099" width="13.54296875" style="2" customWidth="1"/>
    <col min="3100" max="3100" width="6" style="2" customWidth="1"/>
    <col min="3101" max="3101" width="13.7265625" style="2" customWidth="1"/>
    <col min="3102" max="3102" width="6" style="2" customWidth="1"/>
    <col min="3103" max="3103" width="12.7265625" style="2" customWidth="1"/>
    <col min="3104" max="3104" width="6.81640625" style="2" customWidth="1"/>
    <col min="3105" max="3105" width="12.7265625" style="2" customWidth="1"/>
    <col min="3106" max="3106" width="6.81640625" style="2" customWidth="1"/>
    <col min="3107" max="3107" width="16.36328125" style="2" bestFit="1" customWidth="1"/>
    <col min="3108" max="3108" width="9.54296875" style="2" bestFit="1" customWidth="1"/>
    <col min="3109" max="3109" width="17.36328125" style="2" bestFit="1" customWidth="1"/>
    <col min="3110" max="3110" width="6" style="2" customWidth="1"/>
    <col min="3111" max="3111" width="13.7265625" style="2" customWidth="1"/>
    <col min="3112" max="3112" width="6" style="2" customWidth="1"/>
    <col min="3113" max="3113" width="12.7265625" style="2" customWidth="1"/>
    <col min="3114" max="3114" width="6.81640625" style="2" customWidth="1"/>
    <col min="3115" max="3115" width="12.7265625" style="2" customWidth="1"/>
    <col min="3116" max="3116" width="6.81640625" style="2" customWidth="1"/>
    <col min="3117" max="3117" width="15.36328125" style="2" bestFit="1" customWidth="1"/>
    <col min="3118" max="3118" width="9.54296875" style="2" bestFit="1" customWidth="1"/>
    <col min="3119" max="3119" width="17.36328125" style="2" bestFit="1" customWidth="1"/>
    <col min="3120" max="3120" width="8" style="2" customWidth="1"/>
    <col min="3121" max="3121" width="12.1796875" style="2" customWidth="1"/>
    <col min="3122" max="3122" width="8" style="2" customWidth="1"/>
    <col min="3123" max="3123" width="20" style="2" customWidth="1"/>
    <col min="3124" max="3124" width="15.26953125" style="2" bestFit="1" customWidth="1"/>
    <col min="3125" max="3125" width="14.26953125" style="2" bestFit="1" customWidth="1"/>
    <col min="3126" max="3126" width="13" style="2" bestFit="1" customWidth="1"/>
    <col min="3127" max="3298" width="8.7265625" style="2"/>
    <col min="3299" max="3299" width="2.7265625" style="2" customWidth="1"/>
    <col min="3300" max="3300" width="3.54296875" style="2" customWidth="1"/>
    <col min="3301" max="3301" width="7" style="2" customWidth="1"/>
    <col min="3302" max="3302" width="23" style="2" customWidth="1"/>
    <col min="3303" max="3303" width="13.26953125" style="2" customWidth="1"/>
    <col min="3304" max="3304" width="17.36328125" style="2" bestFit="1" customWidth="1"/>
    <col min="3305" max="3305" width="11.54296875" style="2" bestFit="1" customWidth="1"/>
    <col min="3306" max="3306" width="7.81640625" style="2" customWidth="1"/>
    <col min="3307" max="3307" width="11.54296875" style="2" bestFit="1" customWidth="1"/>
    <col min="3308" max="3308" width="7" style="2" customWidth="1"/>
    <col min="3309" max="3309" width="18.1796875" style="2" customWidth="1"/>
    <col min="3310" max="3310" width="7" style="2" customWidth="1"/>
    <col min="3311" max="3311" width="15.54296875" style="2" customWidth="1"/>
    <col min="3312" max="3312" width="7.81640625" style="2" customWidth="1"/>
    <col min="3313" max="3313" width="15.54296875" style="2" customWidth="1"/>
    <col min="3314" max="3314" width="7.81640625" style="2" bestFit="1" customWidth="1"/>
    <col min="3315" max="3315" width="15.7265625" style="2" bestFit="1" customWidth="1"/>
    <col min="3316" max="3316" width="7.54296875" style="2" customWidth="1"/>
    <col min="3317" max="3317" width="14" style="2" customWidth="1"/>
    <col min="3318" max="3318" width="7.81640625" style="2" customWidth="1"/>
    <col min="3319" max="3319" width="14" style="2" customWidth="1"/>
    <col min="3320" max="3320" width="7.81640625" style="2" customWidth="1"/>
    <col min="3321" max="3321" width="14" style="2" customWidth="1"/>
    <col min="3322" max="3322" width="9" style="2" customWidth="1"/>
    <col min="3323" max="3323" width="15.1796875" style="2" customWidth="1"/>
    <col min="3324" max="3324" width="13" style="2" bestFit="1" customWidth="1"/>
    <col min="3325" max="3325" width="15.1796875" style="2" bestFit="1" customWidth="1"/>
    <col min="3326" max="3326" width="7.54296875" style="2" customWidth="1"/>
    <col min="3327" max="3327" width="14" style="2" customWidth="1"/>
    <col min="3328" max="3328" width="7.81640625" style="2" customWidth="1"/>
    <col min="3329" max="3329" width="14" style="2" customWidth="1"/>
    <col min="3330" max="3330" width="7.81640625" style="2" customWidth="1"/>
    <col min="3331" max="3331" width="14" style="2" customWidth="1"/>
    <col min="3332" max="3332" width="9" style="2" bestFit="1" customWidth="1"/>
    <col min="3333" max="3333" width="15.1796875" style="2" bestFit="1" customWidth="1"/>
    <col min="3334" max="3334" width="9" style="2" bestFit="1" customWidth="1"/>
    <col min="3335" max="3335" width="15.1796875" style="2" bestFit="1" customWidth="1"/>
    <col min="3336" max="3336" width="6.36328125" style="2" customWidth="1"/>
    <col min="3337" max="3337" width="12.7265625" style="2" customWidth="1"/>
    <col min="3338" max="3338" width="6.36328125" style="2" customWidth="1"/>
    <col min="3339" max="3339" width="12.7265625" style="2" customWidth="1"/>
    <col min="3340" max="3340" width="6" style="2" customWidth="1"/>
    <col min="3341" max="3341" width="12.7265625" style="2" customWidth="1"/>
    <col min="3342" max="3342" width="9.54296875" style="2" customWidth="1"/>
    <col min="3343" max="3343" width="14" style="2" bestFit="1" customWidth="1"/>
    <col min="3344" max="3344" width="8.7265625" style="2" bestFit="1" customWidth="1"/>
    <col min="3345" max="3345" width="13.54296875" style="2" customWidth="1"/>
    <col min="3346" max="3346" width="6" style="2" customWidth="1"/>
    <col min="3347" max="3347" width="13.7265625" style="2" customWidth="1"/>
    <col min="3348" max="3348" width="6" style="2" customWidth="1"/>
    <col min="3349" max="3349" width="12.7265625" style="2" customWidth="1"/>
    <col min="3350" max="3350" width="6.81640625" style="2" customWidth="1"/>
    <col min="3351" max="3351" width="12.7265625" style="2" customWidth="1"/>
    <col min="3352" max="3352" width="6.81640625" style="2" customWidth="1"/>
    <col min="3353" max="3353" width="15.7265625" style="2" bestFit="1" customWidth="1"/>
    <col min="3354" max="3354" width="8.54296875" style="2" bestFit="1" customWidth="1"/>
    <col min="3355" max="3355" width="13.54296875" style="2" customWidth="1"/>
    <col min="3356" max="3356" width="6" style="2" customWidth="1"/>
    <col min="3357" max="3357" width="13.7265625" style="2" customWidth="1"/>
    <col min="3358" max="3358" width="6" style="2" customWidth="1"/>
    <col min="3359" max="3359" width="12.7265625" style="2" customWidth="1"/>
    <col min="3360" max="3360" width="6.81640625" style="2" customWidth="1"/>
    <col min="3361" max="3361" width="12.7265625" style="2" customWidth="1"/>
    <col min="3362" max="3362" width="6.81640625" style="2" customWidth="1"/>
    <col min="3363" max="3363" width="16.36328125" style="2" bestFit="1" customWidth="1"/>
    <col min="3364" max="3364" width="9.54296875" style="2" bestFit="1" customWidth="1"/>
    <col min="3365" max="3365" width="17.36328125" style="2" bestFit="1" customWidth="1"/>
    <col min="3366" max="3366" width="6" style="2" customWidth="1"/>
    <col min="3367" max="3367" width="13.7265625" style="2" customWidth="1"/>
    <col min="3368" max="3368" width="6" style="2" customWidth="1"/>
    <col min="3369" max="3369" width="12.7265625" style="2" customWidth="1"/>
    <col min="3370" max="3370" width="6.81640625" style="2" customWidth="1"/>
    <col min="3371" max="3371" width="12.7265625" style="2" customWidth="1"/>
    <col min="3372" max="3372" width="6.81640625" style="2" customWidth="1"/>
    <col min="3373" max="3373" width="15.36328125" style="2" bestFit="1" customWidth="1"/>
    <col min="3374" max="3374" width="9.54296875" style="2" bestFit="1" customWidth="1"/>
    <col min="3375" max="3375" width="17.36328125" style="2" bestFit="1" customWidth="1"/>
    <col min="3376" max="3376" width="8" style="2" customWidth="1"/>
    <col min="3377" max="3377" width="12.1796875" style="2" customWidth="1"/>
    <col min="3378" max="3378" width="8" style="2" customWidth="1"/>
    <col min="3379" max="3379" width="20" style="2" customWidth="1"/>
    <col min="3380" max="3380" width="15.26953125" style="2" bestFit="1" customWidth="1"/>
    <col min="3381" max="3381" width="14.26953125" style="2" bestFit="1" customWidth="1"/>
    <col min="3382" max="3382" width="13" style="2" bestFit="1" customWidth="1"/>
    <col min="3383" max="3554" width="8.7265625" style="2"/>
    <col min="3555" max="3555" width="2.7265625" style="2" customWidth="1"/>
    <col min="3556" max="3556" width="3.54296875" style="2" customWidth="1"/>
    <col min="3557" max="3557" width="7" style="2" customWidth="1"/>
    <col min="3558" max="3558" width="23" style="2" customWidth="1"/>
    <col min="3559" max="3559" width="13.26953125" style="2" customWidth="1"/>
    <col min="3560" max="3560" width="17.36328125" style="2" bestFit="1" customWidth="1"/>
    <col min="3561" max="3561" width="11.54296875" style="2" bestFit="1" customWidth="1"/>
    <col min="3562" max="3562" width="7.81640625" style="2" customWidth="1"/>
    <col min="3563" max="3563" width="11.54296875" style="2" bestFit="1" customWidth="1"/>
    <col min="3564" max="3564" width="7" style="2" customWidth="1"/>
    <col min="3565" max="3565" width="18.1796875" style="2" customWidth="1"/>
    <col min="3566" max="3566" width="7" style="2" customWidth="1"/>
    <col min="3567" max="3567" width="15.54296875" style="2" customWidth="1"/>
    <col min="3568" max="3568" width="7.81640625" style="2" customWidth="1"/>
    <col min="3569" max="3569" width="15.54296875" style="2" customWidth="1"/>
    <col min="3570" max="3570" width="7.81640625" style="2" bestFit="1" customWidth="1"/>
    <col min="3571" max="3571" width="15.7265625" style="2" bestFit="1" customWidth="1"/>
    <col min="3572" max="3572" width="7.54296875" style="2" customWidth="1"/>
    <col min="3573" max="3573" width="14" style="2" customWidth="1"/>
    <col min="3574" max="3574" width="7.81640625" style="2" customWidth="1"/>
    <col min="3575" max="3575" width="14" style="2" customWidth="1"/>
    <col min="3576" max="3576" width="7.81640625" style="2" customWidth="1"/>
    <col min="3577" max="3577" width="14" style="2" customWidth="1"/>
    <col min="3578" max="3578" width="9" style="2" customWidth="1"/>
    <col min="3579" max="3579" width="15.1796875" style="2" customWidth="1"/>
    <col min="3580" max="3580" width="13" style="2" bestFit="1" customWidth="1"/>
    <col min="3581" max="3581" width="15.1796875" style="2" bestFit="1" customWidth="1"/>
    <col min="3582" max="3582" width="7.54296875" style="2" customWidth="1"/>
    <col min="3583" max="3583" width="14" style="2" customWidth="1"/>
    <col min="3584" max="3584" width="7.81640625" style="2" customWidth="1"/>
    <col min="3585" max="3585" width="14" style="2" customWidth="1"/>
    <col min="3586" max="3586" width="7.81640625" style="2" customWidth="1"/>
    <col min="3587" max="3587" width="14" style="2" customWidth="1"/>
    <col min="3588" max="3588" width="9" style="2" bestFit="1" customWidth="1"/>
    <col min="3589" max="3589" width="15.1796875" style="2" bestFit="1" customWidth="1"/>
    <col min="3590" max="3590" width="9" style="2" bestFit="1" customWidth="1"/>
    <col min="3591" max="3591" width="15.1796875" style="2" bestFit="1" customWidth="1"/>
    <col min="3592" max="3592" width="6.36328125" style="2" customWidth="1"/>
    <col min="3593" max="3593" width="12.7265625" style="2" customWidth="1"/>
    <col min="3594" max="3594" width="6.36328125" style="2" customWidth="1"/>
    <col min="3595" max="3595" width="12.7265625" style="2" customWidth="1"/>
    <col min="3596" max="3596" width="6" style="2" customWidth="1"/>
    <col min="3597" max="3597" width="12.7265625" style="2" customWidth="1"/>
    <col min="3598" max="3598" width="9.54296875" style="2" customWidth="1"/>
    <col min="3599" max="3599" width="14" style="2" bestFit="1" customWidth="1"/>
    <col min="3600" max="3600" width="8.7265625" style="2" bestFit="1" customWidth="1"/>
    <col min="3601" max="3601" width="13.54296875" style="2" customWidth="1"/>
    <col min="3602" max="3602" width="6" style="2" customWidth="1"/>
    <col min="3603" max="3603" width="13.7265625" style="2" customWidth="1"/>
    <col min="3604" max="3604" width="6" style="2" customWidth="1"/>
    <col min="3605" max="3605" width="12.7265625" style="2" customWidth="1"/>
    <col min="3606" max="3606" width="6.81640625" style="2" customWidth="1"/>
    <col min="3607" max="3607" width="12.7265625" style="2" customWidth="1"/>
    <col min="3608" max="3608" width="6.81640625" style="2" customWidth="1"/>
    <col min="3609" max="3609" width="15.7265625" style="2" bestFit="1" customWidth="1"/>
    <col min="3610" max="3610" width="8.54296875" style="2" bestFit="1" customWidth="1"/>
    <col min="3611" max="3611" width="13.54296875" style="2" customWidth="1"/>
    <col min="3612" max="3612" width="6" style="2" customWidth="1"/>
    <col min="3613" max="3613" width="13.7265625" style="2" customWidth="1"/>
    <col min="3614" max="3614" width="6" style="2" customWidth="1"/>
    <col min="3615" max="3615" width="12.7265625" style="2" customWidth="1"/>
    <col min="3616" max="3616" width="6.81640625" style="2" customWidth="1"/>
    <col min="3617" max="3617" width="12.7265625" style="2" customWidth="1"/>
    <col min="3618" max="3618" width="6.81640625" style="2" customWidth="1"/>
    <col min="3619" max="3619" width="16.36328125" style="2" bestFit="1" customWidth="1"/>
    <col min="3620" max="3620" width="9.54296875" style="2" bestFit="1" customWidth="1"/>
    <col min="3621" max="3621" width="17.36328125" style="2" bestFit="1" customWidth="1"/>
    <col min="3622" max="3622" width="6" style="2" customWidth="1"/>
    <col min="3623" max="3623" width="13.7265625" style="2" customWidth="1"/>
    <col min="3624" max="3624" width="6" style="2" customWidth="1"/>
    <col min="3625" max="3625" width="12.7265625" style="2" customWidth="1"/>
    <col min="3626" max="3626" width="6.81640625" style="2" customWidth="1"/>
    <col min="3627" max="3627" width="12.7265625" style="2" customWidth="1"/>
    <col min="3628" max="3628" width="6.81640625" style="2" customWidth="1"/>
    <col min="3629" max="3629" width="15.36328125" style="2" bestFit="1" customWidth="1"/>
    <col min="3630" max="3630" width="9.54296875" style="2" bestFit="1" customWidth="1"/>
    <col min="3631" max="3631" width="17.36328125" style="2" bestFit="1" customWidth="1"/>
    <col min="3632" max="3632" width="8" style="2" customWidth="1"/>
    <col min="3633" max="3633" width="12.1796875" style="2" customWidth="1"/>
    <col min="3634" max="3634" width="8" style="2" customWidth="1"/>
    <col min="3635" max="3635" width="20" style="2" customWidth="1"/>
    <col min="3636" max="3636" width="15.26953125" style="2" bestFit="1" customWidth="1"/>
    <col min="3637" max="3637" width="14.26953125" style="2" bestFit="1" customWidth="1"/>
    <col min="3638" max="3638" width="13" style="2" bestFit="1" customWidth="1"/>
    <col min="3639" max="3810" width="8.7265625" style="2"/>
    <col min="3811" max="3811" width="2.7265625" style="2" customWidth="1"/>
    <col min="3812" max="3812" width="3.54296875" style="2" customWidth="1"/>
    <col min="3813" max="3813" width="7" style="2" customWidth="1"/>
    <col min="3814" max="3814" width="23" style="2" customWidth="1"/>
    <col min="3815" max="3815" width="13.26953125" style="2" customWidth="1"/>
    <col min="3816" max="3816" width="17.36328125" style="2" bestFit="1" customWidth="1"/>
    <col min="3817" max="3817" width="11.54296875" style="2" bestFit="1" customWidth="1"/>
    <col min="3818" max="3818" width="7.81640625" style="2" customWidth="1"/>
    <col min="3819" max="3819" width="11.54296875" style="2" bestFit="1" customWidth="1"/>
    <col min="3820" max="3820" width="7" style="2" customWidth="1"/>
    <col min="3821" max="3821" width="18.1796875" style="2" customWidth="1"/>
    <col min="3822" max="3822" width="7" style="2" customWidth="1"/>
    <col min="3823" max="3823" width="15.54296875" style="2" customWidth="1"/>
    <col min="3824" max="3824" width="7.81640625" style="2" customWidth="1"/>
    <col min="3825" max="3825" width="15.54296875" style="2" customWidth="1"/>
    <col min="3826" max="3826" width="7.81640625" style="2" bestFit="1" customWidth="1"/>
    <col min="3827" max="3827" width="15.7265625" style="2" bestFit="1" customWidth="1"/>
    <col min="3828" max="3828" width="7.54296875" style="2" customWidth="1"/>
    <col min="3829" max="3829" width="14" style="2" customWidth="1"/>
    <col min="3830" max="3830" width="7.81640625" style="2" customWidth="1"/>
    <col min="3831" max="3831" width="14" style="2" customWidth="1"/>
    <col min="3832" max="3832" width="7.81640625" style="2" customWidth="1"/>
    <col min="3833" max="3833" width="14" style="2" customWidth="1"/>
    <col min="3834" max="3834" width="9" style="2" customWidth="1"/>
    <col min="3835" max="3835" width="15.1796875" style="2" customWidth="1"/>
    <col min="3836" max="3836" width="13" style="2" bestFit="1" customWidth="1"/>
    <col min="3837" max="3837" width="15.1796875" style="2" bestFit="1" customWidth="1"/>
    <col min="3838" max="3838" width="7.54296875" style="2" customWidth="1"/>
    <col min="3839" max="3839" width="14" style="2" customWidth="1"/>
    <col min="3840" max="3840" width="7.81640625" style="2" customWidth="1"/>
    <col min="3841" max="3841" width="14" style="2" customWidth="1"/>
    <col min="3842" max="3842" width="7.81640625" style="2" customWidth="1"/>
    <col min="3843" max="3843" width="14" style="2" customWidth="1"/>
    <col min="3844" max="3844" width="9" style="2" bestFit="1" customWidth="1"/>
    <col min="3845" max="3845" width="15.1796875" style="2" bestFit="1" customWidth="1"/>
    <col min="3846" max="3846" width="9" style="2" bestFit="1" customWidth="1"/>
    <col min="3847" max="3847" width="15.1796875" style="2" bestFit="1" customWidth="1"/>
    <col min="3848" max="3848" width="6.36328125" style="2" customWidth="1"/>
    <col min="3849" max="3849" width="12.7265625" style="2" customWidth="1"/>
    <col min="3850" max="3850" width="6.36328125" style="2" customWidth="1"/>
    <col min="3851" max="3851" width="12.7265625" style="2" customWidth="1"/>
    <col min="3852" max="3852" width="6" style="2" customWidth="1"/>
    <col min="3853" max="3853" width="12.7265625" style="2" customWidth="1"/>
    <col min="3854" max="3854" width="9.54296875" style="2" customWidth="1"/>
    <col min="3855" max="3855" width="14" style="2" bestFit="1" customWidth="1"/>
    <col min="3856" max="3856" width="8.7265625" style="2" bestFit="1" customWidth="1"/>
    <col min="3857" max="3857" width="13.54296875" style="2" customWidth="1"/>
    <col min="3858" max="3858" width="6" style="2" customWidth="1"/>
    <col min="3859" max="3859" width="13.7265625" style="2" customWidth="1"/>
    <col min="3860" max="3860" width="6" style="2" customWidth="1"/>
    <col min="3861" max="3861" width="12.7265625" style="2" customWidth="1"/>
    <col min="3862" max="3862" width="6.81640625" style="2" customWidth="1"/>
    <col min="3863" max="3863" width="12.7265625" style="2" customWidth="1"/>
    <col min="3864" max="3864" width="6.81640625" style="2" customWidth="1"/>
    <col min="3865" max="3865" width="15.7265625" style="2" bestFit="1" customWidth="1"/>
    <col min="3866" max="3866" width="8.54296875" style="2" bestFit="1" customWidth="1"/>
    <col min="3867" max="3867" width="13.54296875" style="2" customWidth="1"/>
    <col min="3868" max="3868" width="6" style="2" customWidth="1"/>
    <col min="3869" max="3869" width="13.7265625" style="2" customWidth="1"/>
    <col min="3870" max="3870" width="6" style="2" customWidth="1"/>
    <col min="3871" max="3871" width="12.7265625" style="2" customWidth="1"/>
    <col min="3872" max="3872" width="6.81640625" style="2" customWidth="1"/>
    <col min="3873" max="3873" width="12.7265625" style="2" customWidth="1"/>
    <col min="3874" max="3874" width="6.81640625" style="2" customWidth="1"/>
    <col min="3875" max="3875" width="16.36328125" style="2" bestFit="1" customWidth="1"/>
    <col min="3876" max="3876" width="9.54296875" style="2" bestFit="1" customWidth="1"/>
    <col min="3877" max="3877" width="17.36328125" style="2" bestFit="1" customWidth="1"/>
    <col min="3878" max="3878" width="6" style="2" customWidth="1"/>
    <col min="3879" max="3879" width="13.7265625" style="2" customWidth="1"/>
    <col min="3880" max="3880" width="6" style="2" customWidth="1"/>
    <col min="3881" max="3881" width="12.7265625" style="2" customWidth="1"/>
    <col min="3882" max="3882" width="6.81640625" style="2" customWidth="1"/>
    <col min="3883" max="3883" width="12.7265625" style="2" customWidth="1"/>
    <col min="3884" max="3884" width="6.81640625" style="2" customWidth="1"/>
    <col min="3885" max="3885" width="15.36328125" style="2" bestFit="1" customWidth="1"/>
    <col min="3886" max="3886" width="9.54296875" style="2" bestFit="1" customWidth="1"/>
    <col min="3887" max="3887" width="17.36328125" style="2" bestFit="1" customWidth="1"/>
    <col min="3888" max="3888" width="8" style="2" customWidth="1"/>
    <col min="3889" max="3889" width="12.1796875" style="2" customWidth="1"/>
    <col min="3890" max="3890" width="8" style="2" customWidth="1"/>
    <col min="3891" max="3891" width="20" style="2" customWidth="1"/>
    <col min="3892" max="3892" width="15.26953125" style="2" bestFit="1" customWidth="1"/>
    <col min="3893" max="3893" width="14.26953125" style="2" bestFit="1" customWidth="1"/>
    <col min="3894" max="3894" width="13" style="2" bestFit="1" customWidth="1"/>
    <col min="3895" max="4066" width="8.7265625" style="2"/>
    <col min="4067" max="4067" width="2.7265625" style="2" customWidth="1"/>
    <col min="4068" max="4068" width="3.54296875" style="2" customWidth="1"/>
    <col min="4069" max="4069" width="7" style="2" customWidth="1"/>
    <col min="4070" max="4070" width="23" style="2" customWidth="1"/>
    <col min="4071" max="4071" width="13.26953125" style="2" customWidth="1"/>
    <col min="4072" max="4072" width="17.36328125" style="2" bestFit="1" customWidth="1"/>
    <col min="4073" max="4073" width="11.54296875" style="2" bestFit="1" customWidth="1"/>
    <col min="4074" max="4074" width="7.81640625" style="2" customWidth="1"/>
    <col min="4075" max="4075" width="11.54296875" style="2" bestFit="1" customWidth="1"/>
    <col min="4076" max="4076" width="7" style="2" customWidth="1"/>
    <col min="4077" max="4077" width="18.1796875" style="2" customWidth="1"/>
    <col min="4078" max="4078" width="7" style="2" customWidth="1"/>
    <col min="4079" max="4079" width="15.54296875" style="2" customWidth="1"/>
    <col min="4080" max="4080" width="7.81640625" style="2" customWidth="1"/>
    <col min="4081" max="4081" width="15.54296875" style="2" customWidth="1"/>
    <col min="4082" max="4082" width="7.81640625" style="2" bestFit="1" customWidth="1"/>
    <col min="4083" max="4083" width="15.7265625" style="2" bestFit="1" customWidth="1"/>
    <col min="4084" max="4084" width="7.54296875" style="2" customWidth="1"/>
    <col min="4085" max="4085" width="14" style="2" customWidth="1"/>
    <col min="4086" max="4086" width="7.81640625" style="2" customWidth="1"/>
    <col min="4087" max="4087" width="14" style="2" customWidth="1"/>
    <col min="4088" max="4088" width="7.81640625" style="2" customWidth="1"/>
    <col min="4089" max="4089" width="14" style="2" customWidth="1"/>
    <col min="4090" max="4090" width="9" style="2" customWidth="1"/>
    <col min="4091" max="4091" width="15.1796875" style="2" customWidth="1"/>
    <col min="4092" max="4092" width="13" style="2" bestFit="1" customWidth="1"/>
    <col min="4093" max="4093" width="15.1796875" style="2" bestFit="1" customWidth="1"/>
    <col min="4094" max="4094" width="7.54296875" style="2" customWidth="1"/>
    <col min="4095" max="4095" width="14" style="2" customWidth="1"/>
    <col min="4096" max="4096" width="7.81640625" style="2" customWidth="1"/>
    <col min="4097" max="4097" width="14" style="2" customWidth="1"/>
    <col min="4098" max="4098" width="7.81640625" style="2" customWidth="1"/>
    <col min="4099" max="4099" width="14" style="2" customWidth="1"/>
    <col min="4100" max="4100" width="9" style="2" bestFit="1" customWidth="1"/>
    <col min="4101" max="4101" width="15.1796875" style="2" bestFit="1" customWidth="1"/>
    <col min="4102" max="4102" width="9" style="2" bestFit="1" customWidth="1"/>
    <col min="4103" max="4103" width="15.1796875" style="2" bestFit="1" customWidth="1"/>
    <col min="4104" max="4104" width="6.36328125" style="2" customWidth="1"/>
    <col min="4105" max="4105" width="12.7265625" style="2" customWidth="1"/>
    <col min="4106" max="4106" width="6.36328125" style="2" customWidth="1"/>
    <col min="4107" max="4107" width="12.7265625" style="2" customWidth="1"/>
    <col min="4108" max="4108" width="6" style="2" customWidth="1"/>
    <col min="4109" max="4109" width="12.7265625" style="2" customWidth="1"/>
    <col min="4110" max="4110" width="9.54296875" style="2" customWidth="1"/>
    <col min="4111" max="4111" width="14" style="2" bestFit="1" customWidth="1"/>
    <col min="4112" max="4112" width="8.7265625" style="2" bestFit="1" customWidth="1"/>
    <col min="4113" max="4113" width="13.54296875" style="2" customWidth="1"/>
    <col min="4114" max="4114" width="6" style="2" customWidth="1"/>
    <col min="4115" max="4115" width="13.7265625" style="2" customWidth="1"/>
    <col min="4116" max="4116" width="6" style="2" customWidth="1"/>
    <col min="4117" max="4117" width="12.7265625" style="2" customWidth="1"/>
    <col min="4118" max="4118" width="6.81640625" style="2" customWidth="1"/>
    <col min="4119" max="4119" width="12.7265625" style="2" customWidth="1"/>
    <col min="4120" max="4120" width="6.81640625" style="2" customWidth="1"/>
    <col min="4121" max="4121" width="15.7265625" style="2" bestFit="1" customWidth="1"/>
    <col min="4122" max="4122" width="8.54296875" style="2" bestFit="1" customWidth="1"/>
    <col min="4123" max="4123" width="13.54296875" style="2" customWidth="1"/>
    <col min="4124" max="4124" width="6" style="2" customWidth="1"/>
    <col min="4125" max="4125" width="13.7265625" style="2" customWidth="1"/>
    <col min="4126" max="4126" width="6" style="2" customWidth="1"/>
    <col min="4127" max="4127" width="12.7265625" style="2" customWidth="1"/>
    <col min="4128" max="4128" width="6.81640625" style="2" customWidth="1"/>
    <col min="4129" max="4129" width="12.7265625" style="2" customWidth="1"/>
    <col min="4130" max="4130" width="6.81640625" style="2" customWidth="1"/>
    <col min="4131" max="4131" width="16.36328125" style="2" bestFit="1" customWidth="1"/>
    <col min="4132" max="4132" width="9.54296875" style="2" bestFit="1" customWidth="1"/>
    <col min="4133" max="4133" width="17.36328125" style="2" bestFit="1" customWidth="1"/>
    <col min="4134" max="4134" width="6" style="2" customWidth="1"/>
    <col min="4135" max="4135" width="13.7265625" style="2" customWidth="1"/>
    <col min="4136" max="4136" width="6" style="2" customWidth="1"/>
    <col min="4137" max="4137" width="12.7265625" style="2" customWidth="1"/>
    <col min="4138" max="4138" width="6.81640625" style="2" customWidth="1"/>
    <col min="4139" max="4139" width="12.7265625" style="2" customWidth="1"/>
    <col min="4140" max="4140" width="6.81640625" style="2" customWidth="1"/>
    <col min="4141" max="4141" width="15.36328125" style="2" bestFit="1" customWidth="1"/>
    <col min="4142" max="4142" width="9.54296875" style="2" bestFit="1" customWidth="1"/>
    <col min="4143" max="4143" width="17.36328125" style="2" bestFit="1" customWidth="1"/>
    <col min="4144" max="4144" width="8" style="2" customWidth="1"/>
    <col min="4145" max="4145" width="12.1796875" style="2" customWidth="1"/>
    <col min="4146" max="4146" width="8" style="2" customWidth="1"/>
    <col min="4147" max="4147" width="20" style="2" customWidth="1"/>
    <col min="4148" max="4148" width="15.26953125" style="2" bestFit="1" customWidth="1"/>
    <col min="4149" max="4149" width="14.26953125" style="2" bestFit="1" customWidth="1"/>
    <col min="4150" max="4150" width="13" style="2" bestFit="1" customWidth="1"/>
    <col min="4151" max="4322" width="8.7265625" style="2"/>
    <col min="4323" max="4323" width="2.7265625" style="2" customWidth="1"/>
    <col min="4324" max="4324" width="3.54296875" style="2" customWidth="1"/>
    <col min="4325" max="4325" width="7" style="2" customWidth="1"/>
    <col min="4326" max="4326" width="23" style="2" customWidth="1"/>
    <col min="4327" max="4327" width="13.26953125" style="2" customWidth="1"/>
    <col min="4328" max="4328" width="17.36328125" style="2" bestFit="1" customWidth="1"/>
    <col min="4329" max="4329" width="11.54296875" style="2" bestFit="1" customWidth="1"/>
    <col min="4330" max="4330" width="7.81640625" style="2" customWidth="1"/>
    <col min="4331" max="4331" width="11.54296875" style="2" bestFit="1" customWidth="1"/>
    <col min="4332" max="4332" width="7" style="2" customWidth="1"/>
    <col min="4333" max="4333" width="18.1796875" style="2" customWidth="1"/>
    <col min="4334" max="4334" width="7" style="2" customWidth="1"/>
    <col min="4335" max="4335" width="15.54296875" style="2" customWidth="1"/>
    <col min="4336" max="4336" width="7.81640625" style="2" customWidth="1"/>
    <col min="4337" max="4337" width="15.54296875" style="2" customWidth="1"/>
    <col min="4338" max="4338" width="7.81640625" style="2" bestFit="1" customWidth="1"/>
    <col min="4339" max="4339" width="15.7265625" style="2" bestFit="1" customWidth="1"/>
    <col min="4340" max="4340" width="7.54296875" style="2" customWidth="1"/>
    <col min="4341" max="4341" width="14" style="2" customWidth="1"/>
    <col min="4342" max="4342" width="7.81640625" style="2" customWidth="1"/>
    <col min="4343" max="4343" width="14" style="2" customWidth="1"/>
    <col min="4344" max="4344" width="7.81640625" style="2" customWidth="1"/>
    <col min="4345" max="4345" width="14" style="2" customWidth="1"/>
    <col min="4346" max="4346" width="9" style="2" customWidth="1"/>
    <col min="4347" max="4347" width="15.1796875" style="2" customWidth="1"/>
    <col min="4348" max="4348" width="13" style="2" bestFit="1" customWidth="1"/>
    <col min="4349" max="4349" width="15.1796875" style="2" bestFit="1" customWidth="1"/>
    <col min="4350" max="4350" width="7.54296875" style="2" customWidth="1"/>
    <col min="4351" max="4351" width="14" style="2" customWidth="1"/>
    <col min="4352" max="4352" width="7.81640625" style="2" customWidth="1"/>
    <col min="4353" max="4353" width="14" style="2" customWidth="1"/>
    <col min="4354" max="4354" width="7.81640625" style="2" customWidth="1"/>
    <col min="4355" max="4355" width="14" style="2" customWidth="1"/>
    <col min="4356" max="4356" width="9" style="2" bestFit="1" customWidth="1"/>
    <col min="4357" max="4357" width="15.1796875" style="2" bestFit="1" customWidth="1"/>
    <col min="4358" max="4358" width="9" style="2" bestFit="1" customWidth="1"/>
    <col min="4359" max="4359" width="15.1796875" style="2" bestFit="1" customWidth="1"/>
    <col min="4360" max="4360" width="6.36328125" style="2" customWidth="1"/>
    <col min="4361" max="4361" width="12.7265625" style="2" customWidth="1"/>
    <col min="4362" max="4362" width="6.36328125" style="2" customWidth="1"/>
    <col min="4363" max="4363" width="12.7265625" style="2" customWidth="1"/>
    <col min="4364" max="4364" width="6" style="2" customWidth="1"/>
    <col min="4365" max="4365" width="12.7265625" style="2" customWidth="1"/>
    <col min="4366" max="4366" width="9.54296875" style="2" customWidth="1"/>
    <col min="4367" max="4367" width="14" style="2" bestFit="1" customWidth="1"/>
    <col min="4368" max="4368" width="8.7265625" style="2" bestFit="1" customWidth="1"/>
    <col min="4369" max="4369" width="13.54296875" style="2" customWidth="1"/>
    <col min="4370" max="4370" width="6" style="2" customWidth="1"/>
    <col min="4371" max="4371" width="13.7265625" style="2" customWidth="1"/>
    <col min="4372" max="4372" width="6" style="2" customWidth="1"/>
    <col min="4373" max="4373" width="12.7265625" style="2" customWidth="1"/>
    <col min="4374" max="4374" width="6.81640625" style="2" customWidth="1"/>
    <col min="4375" max="4375" width="12.7265625" style="2" customWidth="1"/>
    <col min="4376" max="4376" width="6.81640625" style="2" customWidth="1"/>
    <col min="4377" max="4377" width="15.7265625" style="2" bestFit="1" customWidth="1"/>
    <col min="4378" max="4378" width="8.54296875" style="2" bestFit="1" customWidth="1"/>
    <col min="4379" max="4379" width="13.54296875" style="2" customWidth="1"/>
    <col min="4380" max="4380" width="6" style="2" customWidth="1"/>
    <col min="4381" max="4381" width="13.7265625" style="2" customWidth="1"/>
    <col min="4382" max="4382" width="6" style="2" customWidth="1"/>
    <col min="4383" max="4383" width="12.7265625" style="2" customWidth="1"/>
    <col min="4384" max="4384" width="6.81640625" style="2" customWidth="1"/>
    <col min="4385" max="4385" width="12.7265625" style="2" customWidth="1"/>
    <col min="4386" max="4386" width="6.81640625" style="2" customWidth="1"/>
    <col min="4387" max="4387" width="16.36328125" style="2" bestFit="1" customWidth="1"/>
    <col min="4388" max="4388" width="9.54296875" style="2" bestFit="1" customWidth="1"/>
    <col min="4389" max="4389" width="17.36328125" style="2" bestFit="1" customWidth="1"/>
    <col min="4390" max="4390" width="6" style="2" customWidth="1"/>
    <col min="4391" max="4391" width="13.7265625" style="2" customWidth="1"/>
    <col min="4392" max="4392" width="6" style="2" customWidth="1"/>
    <col min="4393" max="4393" width="12.7265625" style="2" customWidth="1"/>
    <col min="4394" max="4394" width="6.81640625" style="2" customWidth="1"/>
    <col min="4395" max="4395" width="12.7265625" style="2" customWidth="1"/>
    <col min="4396" max="4396" width="6.81640625" style="2" customWidth="1"/>
    <col min="4397" max="4397" width="15.36328125" style="2" bestFit="1" customWidth="1"/>
    <col min="4398" max="4398" width="9.54296875" style="2" bestFit="1" customWidth="1"/>
    <col min="4399" max="4399" width="17.36328125" style="2" bestFit="1" customWidth="1"/>
    <col min="4400" max="4400" width="8" style="2" customWidth="1"/>
    <col min="4401" max="4401" width="12.1796875" style="2" customWidth="1"/>
    <col min="4402" max="4402" width="8" style="2" customWidth="1"/>
    <col min="4403" max="4403" width="20" style="2" customWidth="1"/>
    <col min="4404" max="4404" width="15.26953125" style="2" bestFit="1" customWidth="1"/>
    <col min="4405" max="4405" width="14.26953125" style="2" bestFit="1" customWidth="1"/>
    <col min="4406" max="4406" width="13" style="2" bestFit="1" customWidth="1"/>
    <col min="4407" max="4578" width="8.7265625" style="2"/>
    <col min="4579" max="4579" width="2.7265625" style="2" customWidth="1"/>
    <col min="4580" max="4580" width="3.54296875" style="2" customWidth="1"/>
    <col min="4581" max="4581" width="7" style="2" customWidth="1"/>
    <col min="4582" max="4582" width="23" style="2" customWidth="1"/>
    <col min="4583" max="4583" width="13.26953125" style="2" customWidth="1"/>
    <col min="4584" max="4584" width="17.36328125" style="2" bestFit="1" customWidth="1"/>
    <col min="4585" max="4585" width="11.54296875" style="2" bestFit="1" customWidth="1"/>
    <col min="4586" max="4586" width="7.81640625" style="2" customWidth="1"/>
    <col min="4587" max="4587" width="11.54296875" style="2" bestFit="1" customWidth="1"/>
    <col min="4588" max="4588" width="7" style="2" customWidth="1"/>
    <col min="4589" max="4589" width="18.1796875" style="2" customWidth="1"/>
    <col min="4590" max="4590" width="7" style="2" customWidth="1"/>
    <col min="4591" max="4591" width="15.54296875" style="2" customWidth="1"/>
    <col min="4592" max="4592" width="7.81640625" style="2" customWidth="1"/>
    <col min="4593" max="4593" width="15.54296875" style="2" customWidth="1"/>
    <col min="4594" max="4594" width="7.81640625" style="2" bestFit="1" customWidth="1"/>
    <col min="4595" max="4595" width="15.7265625" style="2" bestFit="1" customWidth="1"/>
    <col min="4596" max="4596" width="7.54296875" style="2" customWidth="1"/>
    <col min="4597" max="4597" width="14" style="2" customWidth="1"/>
    <col min="4598" max="4598" width="7.81640625" style="2" customWidth="1"/>
    <col min="4599" max="4599" width="14" style="2" customWidth="1"/>
    <col min="4600" max="4600" width="7.81640625" style="2" customWidth="1"/>
    <col min="4601" max="4601" width="14" style="2" customWidth="1"/>
    <col min="4602" max="4602" width="9" style="2" customWidth="1"/>
    <col min="4603" max="4603" width="15.1796875" style="2" customWidth="1"/>
    <col min="4604" max="4604" width="13" style="2" bestFit="1" customWidth="1"/>
    <col min="4605" max="4605" width="15.1796875" style="2" bestFit="1" customWidth="1"/>
    <col min="4606" max="4606" width="7.54296875" style="2" customWidth="1"/>
    <col min="4607" max="4607" width="14" style="2" customWidth="1"/>
    <col min="4608" max="4608" width="7.81640625" style="2" customWidth="1"/>
    <col min="4609" max="4609" width="14" style="2" customWidth="1"/>
    <col min="4610" max="4610" width="7.81640625" style="2" customWidth="1"/>
    <col min="4611" max="4611" width="14" style="2" customWidth="1"/>
    <col min="4612" max="4612" width="9" style="2" bestFit="1" customWidth="1"/>
    <col min="4613" max="4613" width="15.1796875" style="2" bestFit="1" customWidth="1"/>
    <col min="4614" max="4614" width="9" style="2" bestFit="1" customWidth="1"/>
    <col min="4615" max="4615" width="15.1796875" style="2" bestFit="1" customWidth="1"/>
    <col min="4616" max="4616" width="6.36328125" style="2" customWidth="1"/>
    <col min="4617" max="4617" width="12.7265625" style="2" customWidth="1"/>
    <col min="4618" max="4618" width="6.36328125" style="2" customWidth="1"/>
    <col min="4619" max="4619" width="12.7265625" style="2" customWidth="1"/>
    <col min="4620" max="4620" width="6" style="2" customWidth="1"/>
    <col min="4621" max="4621" width="12.7265625" style="2" customWidth="1"/>
    <col min="4622" max="4622" width="9.54296875" style="2" customWidth="1"/>
    <col min="4623" max="4623" width="14" style="2" bestFit="1" customWidth="1"/>
    <col min="4624" max="4624" width="8.7265625" style="2" bestFit="1" customWidth="1"/>
    <col min="4625" max="4625" width="13.54296875" style="2" customWidth="1"/>
    <col min="4626" max="4626" width="6" style="2" customWidth="1"/>
    <col min="4627" max="4627" width="13.7265625" style="2" customWidth="1"/>
    <col min="4628" max="4628" width="6" style="2" customWidth="1"/>
    <col min="4629" max="4629" width="12.7265625" style="2" customWidth="1"/>
    <col min="4630" max="4630" width="6.81640625" style="2" customWidth="1"/>
    <col min="4631" max="4631" width="12.7265625" style="2" customWidth="1"/>
    <col min="4632" max="4632" width="6.81640625" style="2" customWidth="1"/>
    <col min="4633" max="4633" width="15.7265625" style="2" bestFit="1" customWidth="1"/>
    <col min="4634" max="4634" width="8.54296875" style="2" bestFit="1" customWidth="1"/>
    <col min="4635" max="4635" width="13.54296875" style="2" customWidth="1"/>
    <col min="4636" max="4636" width="6" style="2" customWidth="1"/>
    <col min="4637" max="4637" width="13.7265625" style="2" customWidth="1"/>
    <col min="4638" max="4638" width="6" style="2" customWidth="1"/>
    <col min="4639" max="4639" width="12.7265625" style="2" customWidth="1"/>
    <col min="4640" max="4640" width="6.81640625" style="2" customWidth="1"/>
    <col min="4641" max="4641" width="12.7265625" style="2" customWidth="1"/>
    <col min="4642" max="4642" width="6.81640625" style="2" customWidth="1"/>
    <col min="4643" max="4643" width="16.36328125" style="2" bestFit="1" customWidth="1"/>
    <col min="4644" max="4644" width="9.54296875" style="2" bestFit="1" customWidth="1"/>
    <col min="4645" max="4645" width="17.36328125" style="2" bestFit="1" customWidth="1"/>
    <col min="4646" max="4646" width="6" style="2" customWidth="1"/>
    <col min="4647" max="4647" width="13.7265625" style="2" customWidth="1"/>
    <col min="4648" max="4648" width="6" style="2" customWidth="1"/>
    <col min="4649" max="4649" width="12.7265625" style="2" customWidth="1"/>
    <col min="4650" max="4650" width="6.81640625" style="2" customWidth="1"/>
    <col min="4651" max="4651" width="12.7265625" style="2" customWidth="1"/>
    <col min="4652" max="4652" width="6.81640625" style="2" customWidth="1"/>
    <col min="4653" max="4653" width="15.36328125" style="2" bestFit="1" customWidth="1"/>
    <col min="4654" max="4654" width="9.54296875" style="2" bestFit="1" customWidth="1"/>
    <col min="4655" max="4655" width="17.36328125" style="2" bestFit="1" customWidth="1"/>
    <col min="4656" max="4656" width="8" style="2" customWidth="1"/>
    <col min="4657" max="4657" width="12.1796875" style="2" customWidth="1"/>
    <col min="4658" max="4658" width="8" style="2" customWidth="1"/>
    <col min="4659" max="4659" width="20" style="2" customWidth="1"/>
    <col min="4660" max="4660" width="15.26953125" style="2" bestFit="1" customWidth="1"/>
    <col min="4661" max="4661" width="14.26953125" style="2" bestFit="1" customWidth="1"/>
    <col min="4662" max="4662" width="13" style="2" bestFit="1" customWidth="1"/>
    <col min="4663" max="4834" width="8.7265625" style="2"/>
    <col min="4835" max="4835" width="2.7265625" style="2" customWidth="1"/>
    <col min="4836" max="4836" width="3.54296875" style="2" customWidth="1"/>
    <col min="4837" max="4837" width="7" style="2" customWidth="1"/>
    <col min="4838" max="4838" width="23" style="2" customWidth="1"/>
    <col min="4839" max="4839" width="13.26953125" style="2" customWidth="1"/>
    <col min="4840" max="4840" width="17.36328125" style="2" bestFit="1" customWidth="1"/>
    <col min="4841" max="4841" width="11.54296875" style="2" bestFit="1" customWidth="1"/>
    <col min="4842" max="4842" width="7.81640625" style="2" customWidth="1"/>
    <col min="4843" max="4843" width="11.54296875" style="2" bestFit="1" customWidth="1"/>
    <col min="4844" max="4844" width="7" style="2" customWidth="1"/>
    <col min="4845" max="4845" width="18.1796875" style="2" customWidth="1"/>
    <col min="4846" max="4846" width="7" style="2" customWidth="1"/>
    <col min="4847" max="4847" width="15.54296875" style="2" customWidth="1"/>
    <col min="4848" max="4848" width="7.81640625" style="2" customWidth="1"/>
    <col min="4849" max="4849" width="15.54296875" style="2" customWidth="1"/>
    <col min="4850" max="4850" width="7.81640625" style="2" bestFit="1" customWidth="1"/>
    <col min="4851" max="4851" width="15.7265625" style="2" bestFit="1" customWidth="1"/>
    <col min="4852" max="4852" width="7.54296875" style="2" customWidth="1"/>
    <col min="4853" max="4853" width="14" style="2" customWidth="1"/>
    <col min="4854" max="4854" width="7.81640625" style="2" customWidth="1"/>
    <col min="4855" max="4855" width="14" style="2" customWidth="1"/>
    <col min="4856" max="4856" width="7.81640625" style="2" customWidth="1"/>
    <col min="4857" max="4857" width="14" style="2" customWidth="1"/>
    <col min="4858" max="4858" width="9" style="2" customWidth="1"/>
    <col min="4859" max="4859" width="15.1796875" style="2" customWidth="1"/>
    <col min="4860" max="4860" width="13" style="2" bestFit="1" customWidth="1"/>
    <col min="4861" max="4861" width="15.1796875" style="2" bestFit="1" customWidth="1"/>
    <col min="4862" max="4862" width="7.54296875" style="2" customWidth="1"/>
    <col min="4863" max="4863" width="14" style="2" customWidth="1"/>
    <col min="4864" max="4864" width="7.81640625" style="2" customWidth="1"/>
    <col min="4865" max="4865" width="14" style="2" customWidth="1"/>
    <col min="4866" max="4866" width="7.81640625" style="2" customWidth="1"/>
    <col min="4867" max="4867" width="14" style="2" customWidth="1"/>
    <col min="4868" max="4868" width="9" style="2" bestFit="1" customWidth="1"/>
    <col min="4869" max="4869" width="15.1796875" style="2" bestFit="1" customWidth="1"/>
    <col min="4870" max="4870" width="9" style="2" bestFit="1" customWidth="1"/>
    <col min="4871" max="4871" width="15.1796875" style="2" bestFit="1" customWidth="1"/>
    <col min="4872" max="4872" width="6.36328125" style="2" customWidth="1"/>
    <col min="4873" max="4873" width="12.7265625" style="2" customWidth="1"/>
    <col min="4874" max="4874" width="6.36328125" style="2" customWidth="1"/>
    <col min="4875" max="4875" width="12.7265625" style="2" customWidth="1"/>
    <col min="4876" max="4876" width="6" style="2" customWidth="1"/>
    <col min="4877" max="4877" width="12.7265625" style="2" customWidth="1"/>
    <col min="4878" max="4878" width="9.54296875" style="2" customWidth="1"/>
    <col min="4879" max="4879" width="14" style="2" bestFit="1" customWidth="1"/>
    <col min="4880" max="4880" width="8.7265625" style="2" bestFit="1" customWidth="1"/>
    <col min="4881" max="4881" width="13.54296875" style="2" customWidth="1"/>
    <col min="4882" max="4882" width="6" style="2" customWidth="1"/>
    <col min="4883" max="4883" width="13.7265625" style="2" customWidth="1"/>
    <col min="4884" max="4884" width="6" style="2" customWidth="1"/>
    <col min="4885" max="4885" width="12.7265625" style="2" customWidth="1"/>
    <col min="4886" max="4886" width="6.81640625" style="2" customWidth="1"/>
    <col min="4887" max="4887" width="12.7265625" style="2" customWidth="1"/>
    <col min="4888" max="4888" width="6.81640625" style="2" customWidth="1"/>
    <col min="4889" max="4889" width="15.7265625" style="2" bestFit="1" customWidth="1"/>
    <col min="4890" max="4890" width="8.54296875" style="2" bestFit="1" customWidth="1"/>
    <col min="4891" max="4891" width="13.54296875" style="2" customWidth="1"/>
    <col min="4892" max="4892" width="6" style="2" customWidth="1"/>
    <col min="4893" max="4893" width="13.7265625" style="2" customWidth="1"/>
    <col min="4894" max="4894" width="6" style="2" customWidth="1"/>
    <col min="4895" max="4895" width="12.7265625" style="2" customWidth="1"/>
    <col min="4896" max="4896" width="6.81640625" style="2" customWidth="1"/>
    <col min="4897" max="4897" width="12.7265625" style="2" customWidth="1"/>
    <col min="4898" max="4898" width="6.81640625" style="2" customWidth="1"/>
    <col min="4899" max="4899" width="16.36328125" style="2" bestFit="1" customWidth="1"/>
    <col min="4900" max="4900" width="9.54296875" style="2" bestFit="1" customWidth="1"/>
    <col min="4901" max="4901" width="17.36328125" style="2" bestFit="1" customWidth="1"/>
    <col min="4902" max="4902" width="6" style="2" customWidth="1"/>
    <col min="4903" max="4903" width="13.7265625" style="2" customWidth="1"/>
    <col min="4904" max="4904" width="6" style="2" customWidth="1"/>
    <col min="4905" max="4905" width="12.7265625" style="2" customWidth="1"/>
    <col min="4906" max="4906" width="6.81640625" style="2" customWidth="1"/>
    <col min="4907" max="4907" width="12.7265625" style="2" customWidth="1"/>
    <col min="4908" max="4908" width="6.81640625" style="2" customWidth="1"/>
    <col min="4909" max="4909" width="15.36328125" style="2" bestFit="1" customWidth="1"/>
    <col min="4910" max="4910" width="9.54296875" style="2" bestFit="1" customWidth="1"/>
    <col min="4911" max="4911" width="17.36328125" style="2" bestFit="1" customWidth="1"/>
    <col min="4912" max="4912" width="8" style="2" customWidth="1"/>
    <col min="4913" max="4913" width="12.1796875" style="2" customWidth="1"/>
    <col min="4914" max="4914" width="8" style="2" customWidth="1"/>
    <col min="4915" max="4915" width="20" style="2" customWidth="1"/>
    <col min="4916" max="4916" width="15.26953125" style="2" bestFit="1" customWidth="1"/>
    <col min="4917" max="4917" width="14.26953125" style="2" bestFit="1" customWidth="1"/>
    <col min="4918" max="4918" width="13" style="2" bestFit="1" customWidth="1"/>
    <col min="4919" max="5090" width="8.7265625" style="2"/>
    <col min="5091" max="5091" width="2.7265625" style="2" customWidth="1"/>
    <col min="5092" max="5092" width="3.54296875" style="2" customWidth="1"/>
    <col min="5093" max="5093" width="7" style="2" customWidth="1"/>
    <col min="5094" max="5094" width="23" style="2" customWidth="1"/>
    <col min="5095" max="5095" width="13.26953125" style="2" customWidth="1"/>
    <col min="5096" max="5096" width="17.36328125" style="2" bestFit="1" customWidth="1"/>
    <col min="5097" max="5097" width="11.54296875" style="2" bestFit="1" customWidth="1"/>
    <col min="5098" max="5098" width="7.81640625" style="2" customWidth="1"/>
    <col min="5099" max="5099" width="11.54296875" style="2" bestFit="1" customWidth="1"/>
    <col min="5100" max="5100" width="7" style="2" customWidth="1"/>
    <col min="5101" max="5101" width="18.1796875" style="2" customWidth="1"/>
    <col min="5102" max="5102" width="7" style="2" customWidth="1"/>
    <col min="5103" max="5103" width="15.54296875" style="2" customWidth="1"/>
    <col min="5104" max="5104" width="7.81640625" style="2" customWidth="1"/>
    <col min="5105" max="5105" width="15.54296875" style="2" customWidth="1"/>
    <col min="5106" max="5106" width="7.81640625" style="2" bestFit="1" customWidth="1"/>
    <col min="5107" max="5107" width="15.7265625" style="2" bestFit="1" customWidth="1"/>
    <col min="5108" max="5108" width="7.54296875" style="2" customWidth="1"/>
    <col min="5109" max="5109" width="14" style="2" customWidth="1"/>
    <col min="5110" max="5110" width="7.81640625" style="2" customWidth="1"/>
    <col min="5111" max="5111" width="14" style="2" customWidth="1"/>
    <col min="5112" max="5112" width="7.81640625" style="2" customWidth="1"/>
    <col min="5113" max="5113" width="14" style="2" customWidth="1"/>
    <col min="5114" max="5114" width="9" style="2" customWidth="1"/>
    <col min="5115" max="5115" width="15.1796875" style="2" customWidth="1"/>
    <col min="5116" max="5116" width="13" style="2" bestFit="1" customWidth="1"/>
    <col min="5117" max="5117" width="15.1796875" style="2" bestFit="1" customWidth="1"/>
    <col min="5118" max="5118" width="7.54296875" style="2" customWidth="1"/>
    <col min="5119" max="5119" width="14" style="2" customWidth="1"/>
    <col min="5120" max="5120" width="7.81640625" style="2" customWidth="1"/>
    <col min="5121" max="5121" width="14" style="2" customWidth="1"/>
    <col min="5122" max="5122" width="7.81640625" style="2" customWidth="1"/>
    <col min="5123" max="5123" width="14" style="2" customWidth="1"/>
    <col min="5124" max="5124" width="9" style="2" bestFit="1" customWidth="1"/>
    <col min="5125" max="5125" width="15.1796875" style="2" bestFit="1" customWidth="1"/>
    <col min="5126" max="5126" width="9" style="2" bestFit="1" customWidth="1"/>
    <col min="5127" max="5127" width="15.1796875" style="2" bestFit="1" customWidth="1"/>
    <col min="5128" max="5128" width="6.36328125" style="2" customWidth="1"/>
    <col min="5129" max="5129" width="12.7265625" style="2" customWidth="1"/>
    <col min="5130" max="5130" width="6.36328125" style="2" customWidth="1"/>
    <col min="5131" max="5131" width="12.7265625" style="2" customWidth="1"/>
    <col min="5132" max="5132" width="6" style="2" customWidth="1"/>
    <col min="5133" max="5133" width="12.7265625" style="2" customWidth="1"/>
    <col min="5134" max="5134" width="9.54296875" style="2" customWidth="1"/>
    <col min="5135" max="5135" width="14" style="2" bestFit="1" customWidth="1"/>
    <col min="5136" max="5136" width="8.7265625" style="2" bestFit="1" customWidth="1"/>
    <col min="5137" max="5137" width="13.54296875" style="2" customWidth="1"/>
    <col min="5138" max="5138" width="6" style="2" customWidth="1"/>
    <col min="5139" max="5139" width="13.7265625" style="2" customWidth="1"/>
    <col min="5140" max="5140" width="6" style="2" customWidth="1"/>
    <col min="5141" max="5141" width="12.7265625" style="2" customWidth="1"/>
    <col min="5142" max="5142" width="6.81640625" style="2" customWidth="1"/>
    <col min="5143" max="5143" width="12.7265625" style="2" customWidth="1"/>
    <col min="5144" max="5144" width="6.81640625" style="2" customWidth="1"/>
    <col min="5145" max="5145" width="15.7265625" style="2" bestFit="1" customWidth="1"/>
    <col min="5146" max="5146" width="8.54296875" style="2" bestFit="1" customWidth="1"/>
    <col min="5147" max="5147" width="13.54296875" style="2" customWidth="1"/>
    <col min="5148" max="5148" width="6" style="2" customWidth="1"/>
    <col min="5149" max="5149" width="13.7265625" style="2" customWidth="1"/>
    <col min="5150" max="5150" width="6" style="2" customWidth="1"/>
    <col min="5151" max="5151" width="12.7265625" style="2" customWidth="1"/>
    <col min="5152" max="5152" width="6.81640625" style="2" customWidth="1"/>
    <col min="5153" max="5153" width="12.7265625" style="2" customWidth="1"/>
    <col min="5154" max="5154" width="6.81640625" style="2" customWidth="1"/>
    <col min="5155" max="5155" width="16.36328125" style="2" bestFit="1" customWidth="1"/>
    <col min="5156" max="5156" width="9.54296875" style="2" bestFit="1" customWidth="1"/>
    <col min="5157" max="5157" width="17.36328125" style="2" bestFit="1" customWidth="1"/>
    <col min="5158" max="5158" width="6" style="2" customWidth="1"/>
    <col min="5159" max="5159" width="13.7265625" style="2" customWidth="1"/>
    <col min="5160" max="5160" width="6" style="2" customWidth="1"/>
    <col min="5161" max="5161" width="12.7265625" style="2" customWidth="1"/>
    <col min="5162" max="5162" width="6.81640625" style="2" customWidth="1"/>
    <col min="5163" max="5163" width="12.7265625" style="2" customWidth="1"/>
    <col min="5164" max="5164" width="6.81640625" style="2" customWidth="1"/>
    <col min="5165" max="5165" width="15.36328125" style="2" bestFit="1" customWidth="1"/>
    <col min="5166" max="5166" width="9.54296875" style="2" bestFit="1" customWidth="1"/>
    <col min="5167" max="5167" width="17.36328125" style="2" bestFit="1" customWidth="1"/>
    <col min="5168" max="5168" width="8" style="2" customWidth="1"/>
    <col min="5169" max="5169" width="12.1796875" style="2" customWidth="1"/>
    <col min="5170" max="5170" width="8" style="2" customWidth="1"/>
    <col min="5171" max="5171" width="20" style="2" customWidth="1"/>
    <col min="5172" max="5172" width="15.26953125" style="2" bestFit="1" customWidth="1"/>
    <col min="5173" max="5173" width="14.26953125" style="2" bestFit="1" customWidth="1"/>
    <col min="5174" max="5174" width="13" style="2" bestFit="1" customWidth="1"/>
    <col min="5175" max="5346" width="8.7265625" style="2"/>
    <col min="5347" max="5347" width="2.7265625" style="2" customWidth="1"/>
    <col min="5348" max="5348" width="3.54296875" style="2" customWidth="1"/>
    <col min="5349" max="5349" width="7" style="2" customWidth="1"/>
    <col min="5350" max="5350" width="23" style="2" customWidth="1"/>
    <col min="5351" max="5351" width="13.26953125" style="2" customWidth="1"/>
    <col min="5352" max="5352" width="17.36328125" style="2" bestFit="1" customWidth="1"/>
    <col min="5353" max="5353" width="11.54296875" style="2" bestFit="1" customWidth="1"/>
    <col min="5354" max="5354" width="7.81640625" style="2" customWidth="1"/>
    <col min="5355" max="5355" width="11.54296875" style="2" bestFit="1" customWidth="1"/>
    <col min="5356" max="5356" width="7" style="2" customWidth="1"/>
    <col min="5357" max="5357" width="18.1796875" style="2" customWidth="1"/>
    <col min="5358" max="5358" width="7" style="2" customWidth="1"/>
    <col min="5359" max="5359" width="15.54296875" style="2" customWidth="1"/>
    <col min="5360" max="5360" width="7.81640625" style="2" customWidth="1"/>
    <col min="5361" max="5361" width="15.54296875" style="2" customWidth="1"/>
    <col min="5362" max="5362" width="7.81640625" style="2" bestFit="1" customWidth="1"/>
    <col min="5363" max="5363" width="15.7265625" style="2" bestFit="1" customWidth="1"/>
    <col min="5364" max="5364" width="7.54296875" style="2" customWidth="1"/>
    <col min="5365" max="5365" width="14" style="2" customWidth="1"/>
    <col min="5366" max="5366" width="7.81640625" style="2" customWidth="1"/>
    <col min="5367" max="5367" width="14" style="2" customWidth="1"/>
    <col min="5368" max="5368" width="7.81640625" style="2" customWidth="1"/>
    <col min="5369" max="5369" width="14" style="2" customWidth="1"/>
    <col min="5370" max="5370" width="9" style="2" customWidth="1"/>
    <col min="5371" max="5371" width="15.1796875" style="2" customWidth="1"/>
    <col min="5372" max="5372" width="13" style="2" bestFit="1" customWidth="1"/>
    <col min="5373" max="5373" width="15.1796875" style="2" bestFit="1" customWidth="1"/>
    <col min="5374" max="5374" width="7.54296875" style="2" customWidth="1"/>
    <col min="5375" max="5375" width="14" style="2" customWidth="1"/>
    <col min="5376" max="5376" width="7.81640625" style="2" customWidth="1"/>
    <col min="5377" max="5377" width="14" style="2" customWidth="1"/>
    <col min="5378" max="5378" width="7.81640625" style="2" customWidth="1"/>
    <col min="5379" max="5379" width="14" style="2" customWidth="1"/>
    <col min="5380" max="5380" width="9" style="2" bestFit="1" customWidth="1"/>
    <col min="5381" max="5381" width="15.1796875" style="2" bestFit="1" customWidth="1"/>
    <col min="5382" max="5382" width="9" style="2" bestFit="1" customWidth="1"/>
    <col min="5383" max="5383" width="15.1796875" style="2" bestFit="1" customWidth="1"/>
    <col min="5384" max="5384" width="6.36328125" style="2" customWidth="1"/>
    <col min="5385" max="5385" width="12.7265625" style="2" customWidth="1"/>
    <col min="5386" max="5386" width="6.36328125" style="2" customWidth="1"/>
    <col min="5387" max="5387" width="12.7265625" style="2" customWidth="1"/>
    <col min="5388" max="5388" width="6" style="2" customWidth="1"/>
    <col min="5389" max="5389" width="12.7265625" style="2" customWidth="1"/>
    <col min="5390" max="5390" width="9.54296875" style="2" customWidth="1"/>
    <col min="5391" max="5391" width="14" style="2" bestFit="1" customWidth="1"/>
    <col min="5392" max="5392" width="8.7265625" style="2" bestFit="1" customWidth="1"/>
    <col min="5393" max="5393" width="13.54296875" style="2" customWidth="1"/>
    <col min="5394" max="5394" width="6" style="2" customWidth="1"/>
    <col min="5395" max="5395" width="13.7265625" style="2" customWidth="1"/>
    <col min="5396" max="5396" width="6" style="2" customWidth="1"/>
    <col min="5397" max="5397" width="12.7265625" style="2" customWidth="1"/>
    <col min="5398" max="5398" width="6.81640625" style="2" customWidth="1"/>
    <col min="5399" max="5399" width="12.7265625" style="2" customWidth="1"/>
    <col min="5400" max="5400" width="6.81640625" style="2" customWidth="1"/>
    <col min="5401" max="5401" width="15.7265625" style="2" bestFit="1" customWidth="1"/>
    <col min="5402" max="5402" width="8.54296875" style="2" bestFit="1" customWidth="1"/>
    <col min="5403" max="5403" width="13.54296875" style="2" customWidth="1"/>
    <col min="5404" max="5404" width="6" style="2" customWidth="1"/>
    <col min="5405" max="5405" width="13.7265625" style="2" customWidth="1"/>
    <col min="5406" max="5406" width="6" style="2" customWidth="1"/>
    <col min="5407" max="5407" width="12.7265625" style="2" customWidth="1"/>
    <col min="5408" max="5408" width="6.81640625" style="2" customWidth="1"/>
    <col min="5409" max="5409" width="12.7265625" style="2" customWidth="1"/>
    <col min="5410" max="5410" width="6.81640625" style="2" customWidth="1"/>
    <col min="5411" max="5411" width="16.36328125" style="2" bestFit="1" customWidth="1"/>
    <col min="5412" max="5412" width="9.54296875" style="2" bestFit="1" customWidth="1"/>
    <col min="5413" max="5413" width="17.36328125" style="2" bestFit="1" customWidth="1"/>
    <col min="5414" max="5414" width="6" style="2" customWidth="1"/>
    <col min="5415" max="5415" width="13.7265625" style="2" customWidth="1"/>
    <col min="5416" max="5416" width="6" style="2" customWidth="1"/>
    <col min="5417" max="5417" width="12.7265625" style="2" customWidth="1"/>
    <col min="5418" max="5418" width="6.81640625" style="2" customWidth="1"/>
    <col min="5419" max="5419" width="12.7265625" style="2" customWidth="1"/>
    <col min="5420" max="5420" width="6.81640625" style="2" customWidth="1"/>
    <col min="5421" max="5421" width="15.36328125" style="2" bestFit="1" customWidth="1"/>
    <col min="5422" max="5422" width="9.54296875" style="2" bestFit="1" customWidth="1"/>
    <col min="5423" max="5423" width="17.36328125" style="2" bestFit="1" customWidth="1"/>
    <col min="5424" max="5424" width="8" style="2" customWidth="1"/>
    <col min="5425" max="5425" width="12.1796875" style="2" customWidth="1"/>
    <col min="5426" max="5426" width="8" style="2" customWidth="1"/>
    <col min="5427" max="5427" width="20" style="2" customWidth="1"/>
    <col min="5428" max="5428" width="15.26953125" style="2" bestFit="1" customWidth="1"/>
    <col min="5429" max="5429" width="14.26953125" style="2" bestFit="1" customWidth="1"/>
    <col min="5430" max="5430" width="13" style="2" bestFit="1" customWidth="1"/>
    <col min="5431" max="5602" width="8.7265625" style="2"/>
    <col min="5603" max="5603" width="2.7265625" style="2" customWidth="1"/>
    <col min="5604" max="5604" width="3.54296875" style="2" customWidth="1"/>
    <col min="5605" max="5605" width="7" style="2" customWidth="1"/>
    <col min="5606" max="5606" width="23" style="2" customWidth="1"/>
    <col min="5607" max="5607" width="13.26953125" style="2" customWidth="1"/>
    <col min="5608" max="5608" width="17.36328125" style="2" bestFit="1" customWidth="1"/>
    <col min="5609" max="5609" width="11.54296875" style="2" bestFit="1" customWidth="1"/>
    <col min="5610" max="5610" width="7.81640625" style="2" customWidth="1"/>
    <col min="5611" max="5611" width="11.54296875" style="2" bestFit="1" customWidth="1"/>
    <col min="5612" max="5612" width="7" style="2" customWidth="1"/>
    <col min="5613" max="5613" width="18.1796875" style="2" customWidth="1"/>
    <col min="5614" max="5614" width="7" style="2" customWidth="1"/>
    <col min="5615" max="5615" width="15.54296875" style="2" customWidth="1"/>
    <col min="5616" max="5616" width="7.81640625" style="2" customWidth="1"/>
    <col min="5617" max="5617" width="15.54296875" style="2" customWidth="1"/>
    <col min="5618" max="5618" width="7.81640625" style="2" bestFit="1" customWidth="1"/>
    <col min="5619" max="5619" width="15.7265625" style="2" bestFit="1" customWidth="1"/>
    <col min="5620" max="5620" width="7.54296875" style="2" customWidth="1"/>
    <col min="5621" max="5621" width="14" style="2" customWidth="1"/>
    <col min="5622" max="5622" width="7.81640625" style="2" customWidth="1"/>
    <col min="5623" max="5623" width="14" style="2" customWidth="1"/>
    <col min="5624" max="5624" width="7.81640625" style="2" customWidth="1"/>
    <col min="5625" max="5625" width="14" style="2" customWidth="1"/>
    <col min="5626" max="5626" width="9" style="2" customWidth="1"/>
    <col min="5627" max="5627" width="15.1796875" style="2" customWidth="1"/>
    <col min="5628" max="5628" width="13" style="2" bestFit="1" customWidth="1"/>
    <col min="5629" max="5629" width="15.1796875" style="2" bestFit="1" customWidth="1"/>
    <col min="5630" max="5630" width="7.54296875" style="2" customWidth="1"/>
    <col min="5631" max="5631" width="14" style="2" customWidth="1"/>
    <col min="5632" max="5632" width="7.81640625" style="2" customWidth="1"/>
    <col min="5633" max="5633" width="14" style="2" customWidth="1"/>
    <col min="5634" max="5634" width="7.81640625" style="2" customWidth="1"/>
    <col min="5635" max="5635" width="14" style="2" customWidth="1"/>
    <col min="5636" max="5636" width="9" style="2" bestFit="1" customWidth="1"/>
    <col min="5637" max="5637" width="15.1796875" style="2" bestFit="1" customWidth="1"/>
    <col min="5638" max="5638" width="9" style="2" bestFit="1" customWidth="1"/>
    <col min="5639" max="5639" width="15.1796875" style="2" bestFit="1" customWidth="1"/>
    <col min="5640" max="5640" width="6.36328125" style="2" customWidth="1"/>
    <col min="5641" max="5641" width="12.7265625" style="2" customWidth="1"/>
    <col min="5642" max="5642" width="6.36328125" style="2" customWidth="1"/>
    <col min="5643" max="5643" width="12.7265625" style="2" customWidth="1"/>
    <col min="5644" max="5644" width="6" style="2" customWidth="1"/>
    <col min="5645" max="5645" width="12.7265625" style="2" customWidth="1"/>
    <col min="5646" max="5646" width="9.54296875" style="2" customWidth="1"/>
    <col min="5647" max="5647" width="14" style="2" bestFit="1" customWidth="1"/>
    <col min="5648" max="5648" width="8.7265625" style="2" bestFit="1" customWidth="1"/>
    <col min="5649" max="5649" width="13.54296875" style="2" customWidth="1"/>
    <col min="5650" max="5650" width="6" style="2" customWidth="1"/>
    <col min="5651" max="5651" width="13.7265625" style="2" customWidth="1"/>
    <col min="5652" max="5652" width="6" style="2" customWidth="1"/>
    <col min="5653" max="5653" width="12.7265625" style="2" customWidth="1"/>
    <col min="5654" max="5654" width="6.81640625" style="2" customWidth="1"/>
    <col min="5655" max="5655" width="12.7265625" style="2" customWidth="1"/>
    <col min="5656" max="5656" width="6.81640625" style="2" customWidth="1"/>
    <col min="5657" max="5657" width="15.7265625" style="2" bestFit="1" customWidth="1"/>
    <col min="5658" max="5658" width="8.54296875" style="2" bestFit="1" customWidth="1"/>
    <col min="5659" max="5659" width="13.54296875" style="2" customWidth="1"/>
    <col min="5660" max="5660" width="6" style="2" customWidth="1"/>
    <col min="5661" max="5661" width="13.7265625" style="2" customWidth="1"/>
    <col min="5662" max="5662" width="6" style="2" customWidth="1"/>
    <col min="5663" max="5663" width="12.7265625" style="2" customWidth="1"/>
    <col min="5664" max="5664" width="6.81640625" style="2" customWidth="1"/>
    <col min="5665" max="5665" width="12.7265625" style="2" customWidth="1"/>
    <col min="5666" max="5666" width="6.81640625" style="2" customWidth="1"/>
    <col min="5667" max="5667" width="16.36328125" style="2" bestFit="1" customWidth="1"/>
    <col min="5668" max="5668" width="9.54296875" style="2" bestFit="1" customWidth="1"/>
    <col min="5669" max="5669" width="17.36328125" style="2" bestFit="1" customWidth="1"/>
    <col min="5670" max="5670" width="6" style="2" customWidth="1"/>
    <col min="5671" max="5671" width="13.7265625" style="2" customWidth="1"/>
    <col min="5672" max="5672" width="6" style="2" customWidth="1"/>
    <col min="5673" max="5673" width="12.7265625" style="2" customWidth="1"/>
    <col min="5674" max="5674" width="6.81640625" style="2" customWidth="1"/>
    <col min="5675" max="5675" width="12.7265625" style="2" customWidth="1"/>
    <col min="5676" max="5676" width="6.81640625" style="2" customWidth="1"/>
    <col min="5677" max="5677" width="15.36328125" style="2" bestFit="1" customWidth="1"/>
    <col min="5678" max="5678" width="9.54296875" style="2" bestFit="1" customWidth="1"/>
    <col min="5679" max="5679" width="17.36328125" style="2" bestFit="1" customWidth="1"/>
    <col min="5680" max="5680" width="8" style="2" customWidth="1"/>
    <col min="5681" max="5681" width="12.1796875" style="2" customWidth="1"/>
    <col min="5682" max="5682" width="8" style="2" customWidth="1"/>
    <col min="5683" max="5683" width="20" style="2" customWidth="1"/>
    <col min="5684" max="5684" width="15.26953125" style="2" bestFit="1" customWidth="1"/>
    <col min="5685" max="5685" width="14.26953125" style="2" bestFit="1" customWidth="1"/>
    <col min="5686" max="5686" width="13" style="2" bestFit="1" customWidth="1"/>
    <col min="5687" max="5858" width="8.7265625" style="2"/>
    <col min="5859" max="5859" width="2.7265625" style="2" customWidth="1"/>
    <col min="5860" max="5860" width="3.54296875" style="2" customWidth="1"/>
    <col min="5861" max="5861" width="7" style="2" customWidth="1"/>
    <col min="5862" max="5862" width="23" style="2" customWidth="1"/>
    <col min="5863" max="5863" width="13.26953125" style="2" customWidth="1"/>
    <col min="5864" max="5864" width="17.36328125" style="2" bestFit="1" customWidth="1"/>
    <col min="5865" max="5865" width="11.54296875" style="2" bestFit="1" customWidth="1"/>
    <col min="5866" max="5866" width="7.81640625" style="2" customWidth="1"/>
    <col min="5867" max="5867" width="11.54296875" style="2" bestFit="1" customWidth="1"/>
    <col min="5868" max="5868" width="7" style="2" customWidth="1"/>
    <col min="5869" max="5869" width="18.1796875" style="2" customWidth="1"/>
    <col min="5870" max="5870" width="7" style="2" customWidth="1"/>
    <col min="5871" max="5871" width="15.54296875" style="2" customWidth="1"/>
    <col min="5872" max="5872" width="7.81640625" style="2" customWidth="1"/>
    <col min="5873" max="5873" width="15.54296875" style="2" customWidth="1"/>
    <col min="5874" max="5874" width="7.81640625" style="2" bestFit="1" customWidth="1"/>
    <col min="5875" max="5875" width="15.7265625" style="2" bestFit="1" customWidth="1"/>
    <col min="5876" max="5876" width="7.54296875" style="2" customWidth="1"/>
    <col min="5877" max="5877" width="14" style="2" customWidth="1"/>
    <col min="5878" max="5878" width="7.81640625" style="2" customWidth="1"/>
    <col min="5879" max="5879" width="14" style="2" customWidth="1"/>
    <col min="5880" max="5880" width="7.81640625" style="2" customWidth="1"/>
    <col min="5881" max="5881" width="14" style="2" customWidth="1"/>
    <col min="5882" max="5882" width="9" style="2" customWidth="1"/>
    <col min="5883" max="5883" width="15.1796875" style="2" customWidth="1"/>
    <col min="5884" max="5884" width="13" style="2" bestFit="1" customWidth="1"/>
    <col min="5885" max="5885" width="15.1796875" style="2" bestFit="1" customWidth="1"/>
    <col min="5886" max="5886" width="7.54296875" style="2" customWidth="1"/>
    <col min="5887" max="5887" width="14" style="2" customWidth="1"/>
    <col min="5888" max="5888" width="7.81640625" style="2" customWidth="1"/>
    <col min="5889" max="5889" width="14" style="2" customWidth="1"/>
    <col min="5890" max="5890" width="7.81640625" style="2" customWidth="1"/>
    <col min="5891" max="5891" width="14" style="2" customWidth="1"/>
    <col min="5892" max="5892" width="9" style="2" bestFit="1" customWidth="1"/>
    <col min="5893" max="5893" width="15.1796875" style="2" bestFit="1" customWidth="1"/>
    <col min="5894" max="5894" width="9" style="2" bestFit="1" customWidth="1"/>
    <col min="5895" max="5895" width="15.1796875" style="2" bestFit="1" customWidth="1"/>
    <col min="5896" max="5896" width="6.36328125" style="2" customWidth="1"/>
    <col min="5897" max="5897" width="12.7265625" style="2" customWidth="1"/>
    <col min="5898" max="5898" width="6.36328125" style="2" customWidth="1"/>
    <col min="5899" max="5899" width="12.7265625" style="2" customWidth="1"/>
    <col min="5900" max="5900" width="6" style="2" customWidth="1"/>
    <col min="5901" max="5901" width="12.7265625" style="2" customWidth="1"/>
    <col min="5902" max="5902" width="9.54296875" style="2" customWidth="1"/>
    <col min="5903" max="5903" width="14" style="2" bestFit="1" customWidth="1"/>
    <col min="5904" max="5904" width="8.7265625" style="2" bestFit="1" customWidth="1"/>
    <col min="5905" max="5905" width="13.54296875" style="2" customWidth="1"/>
    <col min="5906" max="5906" width="6" style="2" customWidth="1"/>
    <col min="5907" max="5907" width="13.7265625" style="2" customWidth="1"/>
    <col min="5908" max="5908" width="6" style="2" customWidth="1"/>
    <col min="5909" max="5909" width="12.7265625" style="2" customWidth="1"/>
    <col min="5910" max="5910" width="6.81640625" style="2" customWidth="1"/>
    <col min="5911" max="5911" width="12.7265625" style="2" customWidth="1"/>
    <col min="5912" max="5912" width="6.81640625" style="2" customWidth="1"/>
    <col min="5913" max="5913" width="15.7265625" style="2" bestFit="1" customWidth="1"/>
    <col min="5914" max="5914" width="8.54296875" style="2" bestFit="1" customWidth="1"/>
    <col min="5915" max="5915" width="13.54296875" style="2" customWidth="1"/>
    <col min="5916" max="5916" width="6" style="2" customWidth="1"/>
    <col min="5917" max="5917" width="13.7265625" style="2" customWidth="1"/>
    <col min="5918" max="5918" width="6" style="2" customWidth="1"/>
    <col min="5919" max="5919" width="12.7265625" style="2" customWidth="1"/>
    <col min="5920" max="5920" width="6.81640625" style="2" customWidth="1"/>
    <col min="5921" max="5921" width="12.7265625" style="2" customWidth="1"/>
    <col min="5922" max="5922" width="6.81640625" style="2" customWidth="1"/>
    <col min="5923" max="5923" width="16.36328125" style="2" bestFit="1" customWidth="1"/>
    <col min="5924" max="5924" width="9.54296875" style="2" bestFit="1" customWidth="1"/>
    <col min="5925" max="5925" width="17.36328125" style="2" bestFit="1" customWidth="1"/>
    <col min="5926" max="5926" width="6" style="2" customWidth="1"/>
    <col min="5927" max="5927" width="13.7265625" style="2" customWidth="1"/>
    <col min="5928" max="5928" width="6" style="2" customWidth="1"/>
    <col min="5929" max="5929" width="12.7265625" style="2" customWidth="1"/>
    <col min="5930" max="5930" width="6.81640625" style="2" customWidth="1"/>
    <col min="5931" max="5931" width="12.7265625" style="2" customWidth="1"/>
    <col min="5932" max="5932" width="6.81640625" style="2" customWidth="1"/>
    <col min="5933" max="5933" width="15.36328125" style="2" bestFit="1" customWidth="1"/>
    <col min="5934" max="5934" width="9.54296875" style="2" bestFit="1" customWidth="1"/>
    <col min="5935" max="5935" width="17.36328125" style="2" bestFit="1" customWidth="1"/>
    <col min="5936" max="5936" width="8" style="2" customWidth="1"/>
    <col min="5937" max="5937" width="12.1796875" style="2" customWidth="1"/>
    <col min="5938" max="5938" width="8" style="2" customWidth="1"/>
    <col min="5939" max="5939" width="20" style="2" customWidth="1"/>
    <col min="5940" max="5940" width="15.26953125" style="2" bestFit="1" customWidth="1"/>
    <col min="5941" max="5941" width="14.26953125" style="2" bestFit="1" customWidth="1"/>
    <col min="5942" max="5942" width="13" style="2" bestFit="1" customWidth="1"/>
    <col min="5943" max="6114" width="8.7265625" style="2"/>
    <col min="6115" max="6115" width="2.7265625" style="2" customWidth="1"/>
    <col min="6116" max="6116" width="3.54296875" style="2" customWidth="1"/>
    <col min="6117" max="6117" width="7" style="2" customWidth="1"/>
    <col min="6118" max="6118" width="23" style="2" customWidth="1"/>
    <col min="6119" max="6119" width="13.26953125" style="2" customWidth="1"/>
    <col min="6120" max="6120" width="17.36328125" style="2" bestFit="1" customWidth="1"/>
    <col min="6121" max="6121" width="11.54296875" style="2" bestFit="1" customWidth="1"/>
    <col min="6122" max="6122" width="7.81640625" style="2" customWidth="1"/>
    <col min="6123" max="6123" width="11.54296875" style="2" bestFit="1" customWidth="1"/>
    <col min="6124" max="6124" width="7" style="2" customWidth="1"/>
    <col min="6125" max="6125" width="18.1796875" style="2" customWidth="1"/>
    <col min="6126" max="6126" width="7" style="2" customWidth="1"/>
    <col min="6127" max="6127" width="15.54296875" style="2" customWidth="1"/>
    <col min="6128" max="6128" width="7.81640625" style="2" customWidth="1"/>
    <col min="6129" max="6129" width="15.54296875" style="2" customWidth="1"/>
    <col min="6130" max="6130" width="7.81640625" style="2" bestFit="1" customWidth="1"/>
    <col min="6131" max="6131" width="15.7265625" style="2" bestFit="1" customWidth="1"/>
    <col min="6132" max="6132" width="7.54296875" style="2" customWidth="1"/>
    <col min="6133" max="6133" width="14" style="2" customWidth="1"/>
    <col min="6134" max="6134" width="7.81640625" style="2" customWidth="1"/>
    <col min="6135" max="6135" width="14" style="2" customWidth="1"/>
    <col min="6136" max="6136" width="7.81640625" style="2" customWidth="1"/>
    <col min="6137" max="6137" width="14" style="2" customWidth="1"/>
    <col min="6138" max="6138" width="9" style="2" customWidth="1"/>
    <col min="6139" max="6139" width="15.1796875" style="2" customWidth="1"/>
    <col min="6140" max="6140" width="13" style="2" bestFit="1" customWidth="1"/>
    <col min="6141" max="6141" width="15.1796875" style="2" bestFit="1" customWidth="1"/>
    <col min="6142" max="6142" width="7.54296875" style="2" customWidth="1"/>
    <col min="6143" max="6143" width="14" style="2" customWidth="1"/>
    <col min="6144" max="6144" width="7.81640625" style="2" customWidth="1"/>
    <col min="6145" max="6145" width="14" style="2" customWidth="1"/>
    <col min="6146" max="6146" width="7.81640625" style="2" customWidth="1"/>
    <col min="6147" max="6147" width="14" style="2" customWidth="1"/>
    <col min="6148" max="6148" width="9" style="2" bestFit="1" customWidth="1"/>
    <col min="6149" max="6149" width="15.1796875" style="2" bestFit="1" customWidth="1"/>
    <col min="6150" max="6150" width="9" style="2" bestFit="1" customWidth="1"/>
    <col min="6151" max="6151" width="15.1796875" style="2" bestFit="1" customWidth="1"/>
    <col min="6152" max="6152" width="6.36328125" style="2" customWidth="1"/>
    <col min="6153" max="6153" width="12.7265625" style="2" customWidth="1"/>
    <col min="6154" max="6154" width="6.36328125" style="2" customWidth="1"/>
    <col min="6155" max="6155" width="12.7265625" style="2" customWidth="1"/>
    <col min="6156" max="6156" width="6" style="2" customWidth="1"/>
    <col min="6157" max="6157" width="12.7265625" style="2" customWidth="1"/>
    <col min="6158" max="6158" width="9.54296875" style="2" customWidth="1"/>
    <col min="6159" max="6159" width="14" style="2" bestFit="1" customWidth="1"/>
    <col min="6160" max="6160" width="8.7265625" style="2" bestFit="1" customWidth="1"/>
    <col min="6161" max="6161" width="13.54296875" style="2" customWidth="1"/>
    <col min="6162" max="6162" width="6" style="2" customWidth="1"/>
    <col min="6163" max="6163" width="13.7265625" style="2" customWidth="1"/>
    <col min="6164" max="6164" width="6" style="2" customWidth="1"/>
    <col min="6165" max="6165" width="12.7265625" style="2" customWidth="1"/>
    <col min="6166" max="6166" width="6.81640625" style="2" customWidth="1"/>
    <col min="6167" max="6167" width="12.7265625" style="2" customWidth="1"/>
    <col min="6168" max="6168" width="6.81640625" style="2" customWidth="1"/>
    <col min="6169" max="6169" width="15.7265625" style="2" bestFit="1" customWidth="1"/>
    <col min="6170" max="6170" width="8.54296875" style="2" bestFit="1" customWidth="1"/>
    <col min="6171" max="6171" width="13.54296875" style="2" customWidth="1"/>
    <col min="6172" max="6172" width="6" style="2" customWidth="1"/>
    <col min="6173" max="6173" width="13.7265625" style="2" customWidth="1"/>
    <col min="6174" max="6174" width="6" style="2" customWidth="1"/>
    <col min="6175" max="6175" width="12.7265625" style="2" customWidth="1"/>
    <col min="6176" max="6176" width="6.81640625" style="2" customWidth="1"/>
    <col min="6177" max="6177" width="12.7265625" style="2" customWidth="1"/>
    <col min="6178" max="6178" width="6.81640625" style="2" customWidth="1"/>
    <col min="6179" max="6179" width="16.36328125" style="2" bestFit="1" customWidth="1"/>
    <col min="6180" max="6180" width="9.54296875" style="2" bestFit="1" customWidth="1"/>
    <col min="6181" max="6181" width="17.36328125" style="2" bestFit="1" customWidth="1"/>
    <col min="6182" max="6182" width="6" style="2" customWidth="1"/>
    <col min="6183" max="6183" width="13.7265625" style="2" customWidth="1"/>
    <col min="6184" max="6184" width="6" style="2" customWidth="1"/>
    <col min="6185" max="6185" width="12.7265625" style="2" customWidth="1"/>
    <col min="6186" max="6186" width="6.81640625" style="2" customWidth="1"/>
    <col min="6187" max="6187" width="12.7265625" style="2" customWidth="1"/>
    <col min="6188" max="6188" width="6.81640625" style="2" customWidth="1"/>
    <col min="6189" max="6189" width="15.36328125" style="2" bestFit="1" customWidth="1"/>
    <col min="6190" max="6190" width="9.54296875" style="2" bestFit="1" customWidth="1"/>
    <col min="6191" max="6191" width="17.36328125" style="2" bestFit="1" customWidth="1"/>
    <col min="6192" max="6192" width="8" style="2" customWidth="1"/>
    <col min="6193" max="6193" width="12.1796875" style="2" customWidth="1"/>
    <col min="6194" max="6194" width="8" style="2" customWidth="1"/>
    <col min="6195" max="6195" width="20" style="2" customWidth="1"/>
    <col min="6196" max="6196" width="15.26953125" style="2" bestFit="1" customWidth="1"/>
    <col min="6197" max="6197" width="14.26953125" style="2" bestFit="1" customWidth="1"/>
    <col min="6198" max="6198" width="13" style="2" bestFit="1" customWidth="1"/>
    <col min="6199" max="6370" width="8.7265625" style="2"/>
    <col min="6371" max="6371" width="2.7265625" style="2" customWidth="1"/>
    <col min="6372" max="6372" width="3.54296875" style="2" customWidth="1"/>
    <col min="6373" max="6373" width="7" style="2" customWidth="1"/>
    <col min="6374" max="6374" width="23" style="2" customWidth="1"/>
    <col min="6375" max="6375" width="13.26953125" style="2" customWidth="1"/>
    <col min="6376" max="6376" width="17.36328125" style="2" bestFit="1" customWidth="1"/>
    <col min="6377" max="6377" width="11.54296875" style="2" bestFit="1" customWidth="1"/>
    <col min="6378" max="6378" width="7.81640625" style="2" customWidth="1"/>
    <col min="6379" max="6379" width="11.54296875" style="2" bestFit="1" customWidth="1"/>
    <col min="6380" max="6380" width="7" style="2" customWidth="1"/>
    <col min="6381" max="6381" width="18.1796875" style="2" customWidth="1"/>
    <col min="6382" max="6382" width="7" style="2" customWidth="1"/>
    <col min="6383" max="6383" width="15.54296875" style="2" customWidth="1"/>
    <col min="6384" max="6384" width="7.81640625" style="2" customWidth="1"/>
    <col min="6385" max="6385" width="15.54296875" style="2" customWidth="1"/>
    <col min="6386" max="6386" width="7.81640625" style="2" bestFit="1" customWidth="1"/>
    <col min="6387" max="6387" width="15.7265625" style="2" bestFit="1" customWidth="1"/>
    <col min="6388" max="6388" width="7.54296875" style="2" customWidth="1"/>
    <col min="6389" max="6389" width="14" style="2" customWidth="1"/>
    <col min="6390" max="6390" width="7.81640625" style="2" customWidth="1"/>
    <col min="6391" max="6391" width="14" style="2" customWidth="1"/>
    <col min="6392" max="6392" width="7.81640625" style="2" customWidth="1"/>
    <col min="6393" max="6393" width="14" style="2" customWidth="1"/>
    <col min="6394" max="6394" width="9" style="2" customWidth="1"/>
    <col min="6395" max="6395" width="15.1796875" style="2" customWidth="1"/>
    <col min="6396" max="6396" width="13" style="2" bestFit="1" customWidth="1"/>
    <col min="6397" max="6397" width="15.1796875" style="2" bestFit="1" customWidth="1"/>
    <col min="6398" max="6398" width="7.54296875" style="2" customWidth="1"/>
    <col min="6399" max="6399" width="14" style="2" customWidth="1"/>
    <col min="6400" max="6400" width="7.81640625" style="2" customWidth="1"/>
    <col min="6401" max="6401" width="14" style="2" customWidth="1"/>
    <col min="6402" max="6402" width="7.81640625" style="2" customWidth="1"/>
    <col min="6403" max="6403" width="14" style="2" customWidth="1"/>
    <col min="6404" max="6404" width="9" style="2" bestFit="1" customWidth="1"/>
    <col min="6405" max="6405" width="15.1796875" style="2" bestFit="1" customWidth="1"/>
    <col min="6406" max="6406" width="9" style="2" bestFit="1" customWidth="1"/>
    <col min="6407" max="6407" width="15.1796875" style="2" bestFit="1" customWidth="1"/>
    <col min="6408" max="6408" width="6.36328125" style="2" customWidth="1"/>
    <col min="6409" max="6409" width="12.7265625" style="2" customWidth="1"/>
    <col min="6410" max="6410" width="6.36328125" style="2" customWidth="1"/>
    <col min="6411" max="6411" width="12.7265625" style="2" customWidth="1"/>
    <col min="6412" max="6412" width="6" style="2" customWidth="1"/>
    <col min="6413" max="6413" width="12.7265625" style="2" customWidth="1"/>
    <col min="6414" max="6414" width="9.54296875" style="2" customWidth="1"/>
    <col min="6415" max="6415" width="14" style="2" bestFit="1" customWidth="1"/>
    <col min="6416" max="6416" width="8.7265625" style="2" bestFit="1" customWidth="1"/>
    <col min="6417" max="6417" width="13.54296875" style="2" customWidth="1"/>
    <col min="6418" max="6418" width="6" style="2" customWidth="1"/>
    <col min="6419" max="6419" width="13.7265625" style="2" customWidth="1"/>
    <col min="6420" max="6420" width="6" style="2" customWidth="1"/>
    <col min="6421" max="6421" width="12.7265625" style="2" customWidth="1"/>
    <col min="6422" max="6422" width="6.81640625" style="2" customWidth="1"/>
    <col min="6423" max="6423" width="12.7265625" style="2" customWidth="1"/>
    <col min="6424" max="6424" width="6.81640625" style="2" customWidth="1"/>
    <col min="6425" max="6425" width="15.7265625" style="2" bestFit="1" customWidth="1"/>
    <col min="6426" max="6426" width="8.54296875" style="2" bestFit="1" customWidth="1"/>
    <col min="6427" max="6427" width="13.54296875" style="2" customWidth="1"/>
    <col min="6428" max="6428" width="6" style="2" customWidth="1"/>
    <col min="6429" max="6429" width="13.7265625" style="2" customWidth="1"/>
    <col min="6430" max="6430" width="6" style="2" customWidth="1"/>
    <col min="6431" max="6431" width="12.7265625" style="2" customWidth="1"/>
    <col min="6432" max="6432" width="6.81640625" style="2" customWidth="1"/>
    <col min="6433" max="6433" width="12.7265625" style="2" customWidth="1"/>
    <col min="6434" max="6434" width="6.81640625" style="2" customWidth="1"/>
    <col min="6435" max="6435" width="16.36328125" style="2" bestFit="1" customWidth="1"/>
    <col min="6436" max="6436" width="9.54296875" style="2" bestFit="1" customWidth="1"/>
    <col min="6437" max="6437" width="17.36328125" style="2" bestFit="1" customWidth="1"/>
    <col min="6438" max="6438" width="6" style="2" customWidth="1"/>
    <col min="6439" max="6439" width="13.7265625" style="2" customWidth="1"/>
    <col min="6440" max="6440" width="6" style="2" customWidth="1"/>
    <col min="6441" max="6441" width="12.7265625" style="2" customWidth="1"/>
    <col min="6442" max="6442" width="6.81640625" style="2" customWidth="1"/>
    <col min="6443" max="6443" width="12.7265625" style="2" customWidth="1"/>
    <col min="6444" max="6444" width="6.81640625" style="2" customWidth="1"/>
    <col min="6445" max="6445" width="15.36328125" style="2" bestFit="1" customWidth="1"/>
    <col min="6446" max="6446" width="9.54296875" style="2" bestFit="1" customWidth="1"/>
    <col min="6447" max="6447" width="17.36328125" style="2" bestFit="1" customWidth="1"/>
    <col min="6448" max="6448" width="8" style="2" customWidth="1"/>
    <col min="6449" max="6449" width="12.1796875" style="2" customWidth="1"/>
    <col min="6450" max="6450" width="8" style="2" customWidth="1"/>
    <col min="6451" max="6451" width="20" style="2" customWidth="1"/>
    <col min="6452" max="6452" width="15.26953125" style="2" bestFit="1" customWidth="1"/>
    <col min="6453" max="6453" width="14.26953125" style="2" bestFit="1" customWidth="1"/>
    <col min="6454" max="6454" width="13" style="2" bestFit="1" customWidth="1"/>
    <col min="6455" max="6626" width="8.7265625" style="2"/>
    <col min="6627" max="6627" width="2.7265625" style="2" customWidth="1"/>
    <col min="6628" max="6628" width="3.54296875" style="2" customWidth="1"/>
    <col min="6629" max="6629" width="7" style="2" customWidth="1"/>
    <col min="6630" max="6630" width="23" style="2" customWidth="1"/>
    <col min="6631" max="6631" width="13.26953125" style="2" customWidth="1"/>
    <col min="6632" max="6632" width="17.36328125" style="2" bestFit="1" customWidth="1"/>
    <col min="6633" max="6633" width="11.54296875" style="2" bestFit="1" customWidth="1"/>
    <col min="6634" max="6634" width="7.81640625" style="2" customWidth="1"/>
    <col min="6635" max="6635" width="11.54296875" style="2" bestFit="1" customWidth="1"/>
    <col min="6636" max="6636" width="7" style="2" customWidth="1"/>
    <col min="6637" max="6637" width="18.1796875" style="2" customWidth="1"/>
    <col min="6638" max="6638" width="7" style="2" customWidth="1"/>
    <col min="6639" max="6639" width="15.54296875" style="2" customWidth="1"/>
    <col min="6640" max="6640" width="7.81640625" style="2" customWidth="1"/>
    <col min="6641" max="6641" width="15.54296875" style="2" customWidth="1"/>
    <col min="6642" max="6642" width="7.81640625" style="2" bestFit="1" customWidth="1"/>
    <col min="6643" max="6643" width="15.7265625" style="2" bestFit="1" customWidth="1"/>
    <col min="6644" max="6644" width="7.54296875" style="2" customWidth="1"/>
    <col min="6645" max="6645" width="14" style="2" customWidth="1"/>
    <col min="6646" max="6646" width="7.81640625" style="2" customWidth="1"/>
    <col min="6647" max="6647" width="14" style="2" customWidth="1"/>
    <col min="6648" max="6648" width="7.81640625" style="2" customWidth="1"/>
    <col min="6649" max="6649" width="14" style="2" customWidth="1"/>
    <col min="6650" max="6650" width="9" style="2" customWidth="1"/>
    <col min="6651" max="6651" width="15.1796875" style="2" customWidth="1"/>
    <col min="6652" max="6652" width="13" style="2" bestFit="1" customWidth="1"/>
    <col min="6653" max="6653" width="15.1796875" style="2" bestFit="1" customWidth="1"/>
    <col min="6654" max="6654" width="7.54296875" style="2" customWidth="1"/>
    <col min="6655" max="6655" width="14" style="2" customWidth="1"/>
    <col min="6656" max="6656" width="7.81640625" style="2" customWidth="1"/>
    <col min="6657" max="6657" width="14" style="2" customWidth="1"/>
    <col min="6658" max="6658" width="7.81640625" style="2" customWidth="1"/>
    <col min="6659" max="6659" width="14" style="2" customWidth="1"/>
    <col min="6660" max="6660" width="9" style="2" bestFit="1" customWidth="1"/>
    <col min="6661" max="6661" width="15.1796875" style="2" bestFit="1" customWidth="1"/>
    <col min="6662" max="6662" width="9" style="2" bestFit="1" customWidth="1"/>
    <col min="6663" max="6663" width="15.1796875" style="2" bestFit="1" customWidth="1"/>
    <col min="6664" max="6664" width="6.36328125" style="2" customWidth="1"/>
    <col min="6665" max="6665" width="12.7265625" style="2" customWidth="1"/>
    <col min="6666" max="6666" width="6.36328125" style="2" customWidth="1"/>
    <col min="6667" max="6667" width="12.7265625" style="2" customWidth="1"/>
    <col min="6668" max="6668" width="6" style="2" customWidth="1"/>
    <col min="6669" max="6669" width="12.7265625" style="2" customWidth="1"/>
    <col min="6670" max="6670" width="9.54296875" style="2" customWidth="1"/>
    <col min="6671" max="6671" width="14" style="2" bestFit="1" customWidth="1"/>
    <col min="6672" max="6672" width="8.7265625" style="2" bestFit="1" customWidth="1"/>
    <col min="6673" max="6673" width="13.54296875" style="2" customWidth="1"/>
    <col min="6674" max="6674" width="6" style="2" customWidth="1"/>
    <col min="6675" max="6675" width="13.7265625" style="2" customWidth="1"/>
    <col min="6676" max="6676" width="6" style="2" customWidth="1"/>
    <col min="6677" max="6677" width="12.7265625" style="2" customWidth="1"/>
    <col min="6678" max="6678" width="6.81640625" style="2" customWidth="1"/>
    <col min="6679" max="6679" width="12.7265625" style="2" customWidth="1"/>
    <col min="6680" max="6680" width="6.81640625" style="2" customWidth="1"/>
    <col min="6681" max="6681" width="15.7265625" style="2" bestFit="1" customWidth="1"/>
    <col min="6682" max="6682" width="8.54296875" style="2" bestFit="1" customWidth="1"/>
    <col min="6683" max="6683" width="13.54296875" style="2" customWidth="1"/>
    <col min="6684" max="6684" width="6" style="2" customWidth="1"/>
    <col min="6685" max="6685" width="13.7265625" style="2" customWidth="1"/>
    <col min="6686" max="6686" width="6" style="2" customWidth="1"/>
    <col min="6687" max="6687" width="12.7265625" style="2" customWidth="1"/>
    <col min="6688" max="6688" width="6.81640625" style="2" customWidth="1"/>
    <col min="6689" max="6689" width="12.7265625" style="2" customWidth="1"/>
    <col min="6690" max="6690" width="6.81640625" style="2" customWidth="1"/>
    <col min="6691" max="6691" width="16.36328125" style="2" bestFit="1" customWidth="1"/>
    <col min="6692" max="6692" width="9.54296875" style="2" bestFit="1" customWidth="1"/>
    <col min="6693" max="6693" width="17.36328125" style="2" bestFit="1" customWidth="1"/>
    <col min="6694" max="6694" width="6" style="2" customWidth="1"/>
    <col min="6695" max="6695" width="13.7265625" style="2" customWidth="1"/>
    <col min="6696" max="6696" width="6" style="2" customWidth="1"/>
    <col min="6697" max="6697" width="12.7265625" style="2" customWidth="1"/>
    <col min="6698" max="6698" width="6.81640625" style="2" customWidth="1"/>
    <col min="6699" max="6699" width="12.7265625" style="2" customWidth="1"/>
    <col min="6700" max="6700" width="6.81640625" style="2" customWidth="1"/>
    <col min="6701" max="6701" width="15.36328125" style="2" bestFit="1" customWidth="1"/>
    <col min="6702" max="6702" width="9.54296875" style="2" bestFit="1" customWidth="1"/>
    <col min="6703" max="6703" width="17.36328125" style="2" bestFit="1" customWidth="1"/>
    <col min="6704" max="6704" width="8" style="2" customWidth="1"/>
    <col min="6705" max="6705" width="12.1796875" style="2" customWidth="1"/>
    <col min="6706" max="6706" width="8" style="2" customWidth="1"/>
    <col min="6707" max="6707" width="20" style="2" customWidth="1"/>
    <col min="6708" max="6708" width="15.26953125" style="2" bestFit="1" customWidth="1"/>
    <col min="6709" max="6709" width="14.26953125" style="2" bestFit="1" customWidth="1"/>
    <col min="6710" max="6710" width="13" style="2" bestFit="1" customWidth="1"/>
    <col min="6711" max="6882" width="8.7265625" style="2"/>
    <col min="6883" max="6883" width="2.7265625" style="2" customWidth="1"/>
    <col min="6884" max="6884" width="3.54296875" style="2" customWidth="1"/>
    <col min="6885" max="6885" width="7" style="2" customWidth="1"/>
    <col min="6886" max="6886" width="23" style="2" customWidth="1"/>
    <col min="6887" max="6887" width="13.26953125" style="2" customWidth="1"/>
    <col min="6888" max="6888" width="17.36328125" style="2" bestFit="1" customWidth="1"/>
    <col min="6889" max="6889" width="11.54296875" style="2" bestFit="1" customWidth="1"/>
    <col min="6890" max="6890" width="7.81640625" style="2" customWidth="1"/>
    <col min="6891" max="6891" width="11.54296875" style="2" bestFit="1" customWidth="1"/>
    <col min="6892" max="6892" width="7" style="2" customWidth="1"/>
    <col min="6893" max="6893" width="18.1796875" style="2" customWidth="1"/>
    <col min="6894" max="6894" width="7" style="2" customWidth="1"/>
    <col min="6895" max="6895" width="15.54296875" style="2" customWidth="1"/>
    <col min="6896" max="6896" width="7.81640625" style="2" customWidth="1"/>
    <col min="6897" max="6897" width="15.54296875" style="2" customWidth="1"/>
    <col min="6898" max="6898" width="7.81640625" style="2" bestFit="1" customWidth="1"/>
    <col min="6899" max="6899" width="15.7265625" style="2" bestFit="1" customWidth="1"/>
    <col min="6900" max="6900" width="7.54296875" style="2" customWidth="1"/>
    <col min="6901" max="6901" width="14" style="2" customWidth="1"/>
    <col min="6902" max="6902" width="7.81640625" style="2" customWidth="1"/>
    <col min="6903" max="6903" width="14" style="2" customWidth="1"/>
    <col min="6904" max="6904" width="7.81640625" style="2" customWidth="1"/>
    <col min="6905" max="6905" width="14" style="2" customWidth="1"/>
    <col min="6906" max="6906" width="9" style="2" customWidth="1"/>
    <col min="6907" max="6907" width="15.1796875" style="2" customWidth="1"/>
    <col min="6908" max="6908" width="13" style="2" bestFit="1" customWidth="1"/>
    <col min="6909" max="6909" width="15.1796875" style="2" bestFit="1" customWidth="1"/>
    <col min="6910" max="6910" width="7.54296875" style="2" customWidth="1"/>
    <col min="6911" max="6911" width="14" style="2" customWidth="1"/>
    <col min="6912" max="6912" width="7.81640625" style="2" customWidth="1"/>
    <col min="6913" max="6913" width="14" style="2" customWidth="1"/>
    <col min="6914" max="6914" width="7.81640625" style="2" customWidth="1"/>
    <col min="6915" max="6915" width="14" style="2" customWidth="1"/>
    <col min="6916" max="6916" width="9" style="2" bestFit="1" customWidth="1"/>
    <col min="6917" max="6917" width="15.1796875" style="2" bestFit="1" customWidth="1"/>
    <col min="6918" max="6918" width="9" style="2" bestFit="1" customWidth="1"/>
    <col min="6919" max="6919" width="15.1796875" style="2" bestFit="1" customWidth="1"/>
    <col min="6920" max="6920" width="6.36328125" style="2" customWidth="1"/>
    <col min="6921" max="6921" width="12.7265625" style="2" customWidth="1"/>
    <col min="6922" max="6922" width="6.36328125" style="2" customWidth="1"/>
    <col min="6923" max="6923" width="12.7265625" style="2" customWidth="1"/>
    <col min="6924" max="6924" width="6" style="2" customWidth="1"/>
    <col min="6925" max="6925" width="12.7265625" style="2" customWidth="1"/>
    <col min="6926" max="6926" width="9.54296875" style="2" customWidth="1"/>
    <col min="6927" max="6927" width="14" style="2" bestFit="1" customWidth="1"/>
    <col min="6928" max="6928" width="8.7265625" style="2" bestFit="1" customWidth="1"/>
    <col min="6929" max="6929" width="13.54296875" style="2" customWidth="1"/>
    <col min="6930" max="6930" width="6" style="2" customWidth="1"/>
    <col min="6931" max="6931" width="13.7265625" style="2" customWidth="1"/>
    <col min="6932" max="6932" width="6" style="2" customWidth="1"/>
    <col min="6933" max="6933" width="12.7265625" style="2" customWidth="1"/>
    <col min="6934" max="6934" width="6.81640625" style="2" customWidth="1"/>
    <col min="6935" max="6935" width="12.7265625" style="2" customWidth="1"/>
    <col min="6936" max="6936" width="6.81640625" style="2" customWidth="1"/>
    <col min="6937" max="6937" width="15.7265625" style="2" bestFit="1" customWidth="1"/>
    <col min="6938" max="6938" width="8.54296875" style="2" bestFit="1" customWidth="1"/>
    <col min="6939" max="6939" width="13.54296875" style="2" customWidth="1"/>
    <col min="6940" max="6940" width="6" style="2" customWidth="1"/>
    <col min="6941" max="6941" width="13.7265625" style="2" customWidth="1"/>
    <col min="6942" max="6942" width="6" style="2" customWidth="1"/>
    <col min="6943" max="6943" width="12.7265625" style="2" customWidth="1"/>
    <col min="6944" max="6944" width="6.81640625" style="2" customWidth="1"/>
    <col min="6945" max="6945" width="12.7265625" style="2" customWidth="1"/>
    <col min="6946" max="6946" width="6.81640625" style="2" customWidth="1"/>
    <col min="6947" max="6947" width="16.36328125" style="2" bestFit="1" customWidth="1"/>
    <col min="6948" max="6948" width="9.54296875" style="2" bestFit="1" customWidth="1"/>
    <col min="6949" max="6949" width="17.36328125" style="2" bestFit="1" customWidth="1"/>
    <col min="6950" max="6950" width="6" style="2" customWidth="1"/>
    <col min="6951" max="6951" width="13.7265625" style="2" customWidth="1"/>
    <col min="6952" max="6952" width="6" style="2" customWidth="1"/>
    <col min="6953" max="6953" width="12.7265625" style="2" customWidth="1"/>
    <col min="6954" max="6954" width="6.81640625" style="2" customWidth="1"/>
    <col min="6955" max="6955" width="12.7265625" style="2" customWidth="1"/>
    <col min="6956" max="6956" width="6.81640625" style="2" customWidth="1"/>
    <col min="6957" max="6957" width="15.36328125" style="2" bestFit="1" customWidth="1"/>
    <col min="6958" max="6958" width="9.54296875" style="2" bestFit="1" customWidth="1"/>
    <col min="6959" max="6959" width="17.36328125" style="2" bestFit="1" customWidth="1"/>
    <col min="6960" max="6960" width="8" style="2" customWidth="1"/>
    <col min="6961" max="6961" width="12.1796875" style="2" customWidth="1"/>
    <col min="6962" max="6962" width="8" style="2" customWidth="1"/>
    <col min="6963" max="6963" width="20" style="2" customWidth="1"/>
    <col min="6964" max="6964" width="15.26953125" style="2" bestFit="1" customWidth="1"/>
    <col min="6965" max="6965" width="14.26953125" style="2" bestFit="1" customWidth="1"/>
    <col min="6966" max="6966" width="13" style="2" bestFit="1" customWidth="1"/>
    <col min="6967" max="7138" width="8.7265625" style="2"/>
    <col min="7139" max="7139" width="2.7265625" style="2" customWidth="1"/>
    <col min="7140" max="7140" width="3.54296875" style="2" customWidth="1"/>
    <col min="7141" max="7141" width="7" style="2" customWidth="1"/>
    <col min="7142" max="7142" width="23" style="2" customWidth="1"/>
    <col min="7143" max="7143" width="13.26953125" style="2" customWidth="1"/>
    <col min="7144" max="7144" width="17.36328125" style="2" bestFit="1" customWidth="1"/>
    <col min="7145" max="7145" width="11.54296875" style="2" bestFit="1" customWidth="1"/>
    <col min="7146" max="7146" width="7.81640625" style="2" customWidth="1"/>
    <col min="7147" max="7147" width="11.54296875" style="2" bestFit="1" customWidth="1"/>
    <col min="7148" max="7148" width="7" style="2" customWidth="1"/>
    <col min="7149" max="7149" width="18.1796875" style="2" customWidth="1"/>
    <col min="7150" max="7150" width="7" style="2" customWidth="1"/>
    <col min="7151" max="7151" width="15.54296875" style="2" customWidth="1"/>
    <col min="7152" max="7152" width="7.81640625" style="2" customWidth="1"/>
    <col min="7153" max="7153" width="15.54296875" style="2" customWidth="1"/>
    <col min="7154" max="7154" width="7.81640625" style="2" bestFit="1" customWidth="1"/>
    <col min="7155" max="7155" width="15.7265625" style="2" bestFit="1" customWidth="1"/>
    <col min="7156" max="7156" width="7.54296875" style="2" customWidth="1"/>
    <col min="7157" max="7157" width="14" style="2" customWidth="1"/>
    <col min="7158" max="7158" width="7.81640625" style="2" customWidth="1"/>
    <col min="7159" max="7159" width="14" style="2" customWidth="1"/>
    <col min="7160" max="7160" width="7.81640625" style="2" customWidth="1"/>
    <col min="7161" max="7161" width="14" style="2" customWidth="1"/>
    <col min="7162" max="7162" width="9" style="2" customWidth="1"/>
    <col min="7163" max="7163" width="15.1796875" style="2" customWidth="1"/>
    <col min="7164" max="7164" width="13" style="2" bestFit="1" customWidth="1"/>
    <col min="7165" max="7165" width="15.1796875" style="2" bestFit="1" customWidth="1"/>
    <col min="7166" max="7166" width="7.54296875" style="2" customWidth="1"/>
    <col min="7167" max="7167" width="14" style="2" customWidth="1"/>
    <col min="7168" max="7168" width="7.81640625" style="2" customWidth="1"/>
    <col min="7169" max="7169" width="14" style="2" customWidth="1"/>
    <col min="7170" max="7170" width="7.81640625" style="2" customWidth="1"/>
    <col min="7171" max="7171" width="14" style="2" customWidth="1"/>
    <col min="7172" max="7172" width="9" style="2" bestFit="1" customWidth="1"/>
    <col min="7173" max="7173" width="15.1796875" style="2" bestFit="1" customWidth="1"/>
    <col min="7174" max="7174" width="9" style="2" bestFit="1" customWidth="1"/>
    <col min="7175" max="7175" width="15.1796875" style="2" bestFit="1" customWidth="1"/>
    <col min="7176" max="7176" width="6.36328125" style="2" customWidth="1"/>
    <col min="7177" max="7177" width="12.7265625" style="2" customWidth="1"/>
    <col min="7178" max="7178" width="6.36328125" style="2" customWidth="1"/>
    <col min="7179" max="7179" width="12.7265625" style="2" customWidth="1"/>
    <col min="7180" max="7180" width="6" style="2" customWidth="1"/>
    <col min="7181" max="7181" width="12.7265625" style="2" customWidth="1"/>
    <col min="7182" max="7182" width="9.54296875" style="2" customWidth="1"/>
    <col min="7183" max="7183" width="14" style="2" bestFit="1" customWidth="1"/>
    <col min="7184" max="7184" width="8.7265625" style="2" bestFit="1" customWidth="1"/>
    <col min="7185" max="7185" width="13.54296875" style="2" customWidth="1"/>
    <col min="7186" max="7186" width="6" style="2" customWidth="1"/>
    <col min="7187" max="7187" width="13.7265625" style="2" customWidth="1"/>
    <col min="7188" max="7188" width="6" style="2" customWidth="1"/>
    <col min="7189" max="7189" width="12.7265625" style="2" customWidth="1"/>
    <col min="7190" max="7190" width="6.81640625" style="2" customWidth="1"/>
    <col min="7191" max="7191" width="12.7265625" style="2" customWidth="1"/>
    <col min="7192" max="7192" width="6.81640625" style="2" customWidth="1"/>
    <col min="7193" max="7193" width="15.7265625" style="2" bestFit="1" customWidth="1"/>
    <col min="7194" max="7194" width="8.54296875" style="2" bestFit="1" customWidth="1"/>
    <col min="7195" max="7195" width="13.54296875" style="2" customWidth="1"/>
    <col min="7196" max="7196" width="6" style="2" customWidth="1"/>
    <col min="7197" max="7197" width="13.7265625" style="2" customWidth="1"/>
    <col min="7198" max="7198" width="6" style="2" customWidth="1"/>
    <col min="7199" max="7199" width="12.7265625" style="2" customWidth="1"/>
    <col min="7200" max="7200" width="6.81640625" style="2" customWidth="1"/>
    <col min="7201" max="7201" width="12.7265625" style="2" customWidth="1"/>
    <col min="7202" max="7202" width="6.81640625" style="2" customWidth="1"/>
    <col min="7203" max="7203" width="16.36328125" style="2" bestFit="1" customWidth="1"/>
    <col min="7204" max="7204" width="9.54296875" style="2" bestFit="1" customWidth="1"/>
    <col min="7205" max="7205" width="17.36328125" style="2" bestFit="1" customWidth="1"/>
    <col min="7206" max="7206" width="6" style="2" customWidth="1"/>
    <col min="7207" max="7207" width="13.7265625" style="2" customWidth="1"/>
    <col min="7208" max="7208" width="6" style="2" customWidth="1"/>
    <col min="7209" max="7209" width="12.7265625" style="2" customWidth="1"/>
    <col min="7210" max="7210" width="6.81640625" style="2" customWidth="1"/>
    <col min="7211" max="7211" width="12.7265625" style="2" customWidth="1"/>
    <col min="7212" max="7212" width="6.81640625" style="2" customWidth="1"/>
    <col min="7213" max="7213" width="15.36328125" style="2" bestFit="1" customWidth="1"/>
    <col min="7214" max="7214" width="9.54296875" style="2" bestFit="1" customWidth="1"/>
    <col min="7215" max="7215" width="17.36328125" style="2" bestFit="1" customWidth="1"/>
    <col min="7216" max="7216" width="8" style="2" customWidth="1"/>
    <col min="7217" max="7217" width="12.1796875" style="2" customWidth="1"/>
    <col min="7218" max="7218" width="8" style="2" customWidth="1"/>
    <col min="7219" max="7219" width="20" style="2" customWidth="1"/>
    <col min="7220" max="7220" width="15.26953125" style="2" bestFit="1" customWidth="1"/>
    <col min="7221" max="7221" width="14.26953125" style="2" bestFit="1" customWidth="1"/>
    <col min="7222" max="7222" width="13" style="2" bestFit="1" customWidth="1"/>
    <col min="7223" max="7394" width="8.7265625" style="2"/>
    <col min="7395" max="7395" width="2.7265625" style="2" customWidth="1"/>
    <col min="7396" max="7396" width="3.54296875" style="2" customWidth="1"/>
    <col min="7397" max="7397" width="7" style="2" customWidth="1"/>
    <col min="7398" max="7398" width="23" style="2" customWidth="1"/>
    <col min="7399" max="7399" width="13.26953125" style="2" customWidth="1"/>
    <col min="7400" max="7400" width="17.36328125" style="2" bestFit="1" customWidth="1"/>
    <col min="7401" max="7401" width="11.54296875" style="2" bestFit="1" customWidth="1"/>
    <col min="7402" max="7402" width="7.81640625" style="2" customWidth="1"/>
    <col min="7403" max="7403" width="11.54296875" style="2" bestFit="1" customWidth="1"/>
    <col min="7404" max="7404" width="7" style="2" customWidth="1"/>
    <col min="7405" max="7405" width="18.1796875" style="2" customWidth="1"/>
    <col min="7406" max="7406" width="7" style="2" customWidth="1"/>
    <col min="7407" max="7407" width="15.54296875" style="2" customWidth="1"/>
    <col min="7408" max="7408" width="7.81640625" style="2" customWidth="1"/>
    <col min="7409" max="7409" width="15.54296875" style="2" customWidth="1"/>
    <col min="7410" max="7410" width="7.81640625" style="2" bestFit="1" customWidth="1"/>
    <col min="7411" max="7411" width="15.7265625" style="2" bestFit="1" customWidth="1"/>
    <col min="7412" max="7412" width="7.54296875" style="2" customWidth="1"/>
    <col min="7413" max="7413" width="14" style="2" customWidth="1"/>
    <col min="7414" max="7414" width="7.81640625" style="2" customWidth="1"/>
    <col min="7415" max="7415" width="14" style="2" customWidth="1"/>
    <col min="7416" max="7416" width="7.81640625" style="2" customWidth="1"/>
    <col min="7417" max="7417" width="14" style="2" customWidth="1"/>
    <col min="7418" max="7418" width="9" style="2" customWidth="1"/>
    <col min="7419" max="7419" width="15.1796875" style="2" customWidth="1"/>
    <col min="7420" max="7420" width="13" style="2" bestFit="1" customWidth="1"/>
    <col min="7421" max="7421" width="15.1796875" style="2" bestFit="1" customWidth="1"/>
    <col min="7422" max="7422" width="7.54296875" style="2" customWidth="1"/>
    <col min="7423" max="7423" width="14" style="2" customWidth="1"/>
    <col min="7424" max="7424" width="7.81640625" style="2" customWidth="1"/>
    <col min="7425" max="7425" width="14" style="2" customWidth="1"/>
    <col min="7426" max="7426" width="7.81640625" style="2" customWidth="1"/>
    <col min="7427" max="7427" width="14" style="2" customWidth="1"/>
    <col min="7428" max="7428" width="9" style="2" bestFit="1" customWidth="1"/>
    <col min="7429" max="7429" width="15.1796875" style="2" bestFit="1" customWidth="1"/>
    <col min="7430" max="7430" width="9" style="2" bestFit="1" customWidth="1"/>
    <col min="7431" max="7431" width="15.1796875" style="2" bestFit="1" customWidth="1"/>
    <col min="7432" max="7432" width="6.36328125" style="2" customWidth="1"/>
    <col min="7433" max="7433" width="12.7265625" style="2" customWidth="1"/>
    <col min="7434" max="7434" width="6.36328125" style="2" customWidth="1"/>
    <col min="7435" max="7435" width="12.7265625" style="2" customWidth="1"/>
    <col min="7436" max="7436" width="6" style="2" customWidth="1"/>
    <col min="7437" max="7437" width="12.7265625" style="2" customWidth="1"/>
    <col min="7438" max="7438" width="9.54296875" style="2" customWidth="1"/>
    <col min="7439" max="7439" width="14" style="2" bestFit="1" customWidth="1"/>
    <col min="7440" max="7440" width="8.7265625" style="2" bestFit="1" customWidth="1"/>
    <col min="7441" max="7441" width="13.54296875" style="2" customWidth="1"/>
    <col min="7442" max="7442" width="6" style="2" customWidth="1"/>
    <col min="7443" max="7443" width="13.7265625" style="2" customWidth="1"/>
    <col min="7444" max="7444" width="6" style="2" customWidth="1"/>
    <col min="7445" max="7445" width="12.7265625" style="2" customWidth="1"/>
    <col min="7446" max="7446" width="6.81640625" style="2" customWidth="1"/>
    <col min="7447" max="7447" width="12.7265625" style="2" customWidth="1"/>
    <col min="7448" max="7448" width="6.81640625" style="2" customWidth="1"/>
    <col min="7449" max="7449" width="15.7265625" style="2" bestFit="1" customWidth="1"/>
    <col min="7450" max="7450" width="8.54296875" style="2" bestFit="1" customWidth="1"/>
    <col min="7451" max="7451" width="13.54296875" style="2" customWidth="1"/>
    <col min="7452" max="7452" width="6" style="2" customWidth="1"/>
    <col min="7453" max="7453" width="13.7265625" style="2" customWidth="1"/>
    <col min="7454" max="7454" width="6" style="2" customWidth="1"/>
    <col min="7455" max="7455" width="12.7265625" style="2" customWidth="1"/>
    <col min="7456" max="7456" width="6.81640625" style="2" customWidth="1"/>
    <col min="7457" max="7457" width="12.7265625" style="2" customWidth="1"/>
    <col min="7458" max="7458" width="6.81640625" style="2" customWidth="1"/>
    <col min="7459" max="7459" width="16.36328125" style="2" bestFit="1" customWidth="1"/>
    <col min="7460" max="7460" width="9.54296875" style="2" bestFit="1" customWidth="1"/>
    <col min="7461" max="7461" width="17.36328125" style="2" bestFit="1" customWidth="1"/>
    <col min="7462" max="7462" width="6" style="2" customWidth="1"/>
    <col min="7463" max="7463" width="13.7265625" style="2" customWidth="1"/>
    <col min="7464" max="7464" width="6" style="2" customWidth="1"/>
    <col min="7465" max="7465" width="12.7265625" style="2" customWidth="1"/>
    <col min="7466" max="7466" width="6.81640625" style="2" customWidth="1"/>
    <col min="7467" max="7467" width="12.7265625" style="2" customWidth="1"/>
    <col min="7468" max="7468" width="6.81640625" style="2" customWidth="1"/>
    <col min="7469" max="7469" width="15.36328125" style="2" bestFit="1" customWidth="1"/>
    <col min="7470" max="7470" width="9.54296875" style="2" bestFit="1" customWidth="1"/>
    <col min="7471" max="7471" width="17.36328125" style="2" bestFit="1" customWidth="1"/>
    <col min="7472" max="7472" width="8" style="2" customWidth="1"/>
    <col min="7473" max="7473" width="12.1796875" style="2" customWidth="1"/>
    <col min="7474" max="7474" width="8" style="2" customWidth="1"/>
    <col min="7475" max="7475" width="20" style="2" customWidth="1"/>
    <col min="7476" max="7476" width="15.26953125" style="2" bestFit="1" customWidth="1"/>
    <col min="7477" max="7477" width="14.26953125" style="2" bestFit="1" customWidth="1"/>
    <col min="7478" max="7478" width="13" style="2" bestFit="1" customWidth="1"/>
    <col min="7479" max="7650" width="8.7265625" style="2"/>
    <col min="7651" max="7651" width="2.7265625" style="2" customWidth="1"/>
    <col min="7652" max="7652" width="3.54296875" style="2" customWidth="1"/>
    <col min="7653" max="7653" width="7" style="2" customWidth="1"/>
    <col min="7654" max="7654" width="23" style="2" customWidth="1"/>
    <col min="7655" max="7655" width="13.26953125" style="2" customWidth="1"/>
    <col min="7656" max="7656" width="17.36328125" style="2" bestFit="1" customWidth="1"/>
    <col min="7657" max="7657" width="11.54296875" style="2" bestFit="1" customWidth="1"/>
    <col min="7658" max="7658" width="7.81640625" style="2" customWidth="1"/>
    <col min="7659" max="7659" width="11.54296875" style="2" bestFit="1" customWidth="1"/>
    <col min="7660" max="7660" width="7" style="2" customWidth="1"/>
    <col min="7661" max="7661" width="18.1796875" style="2" customWidth="1"/>
    <col min="7662" max="7662" width="7" style="2" customWidth="1"/>
    <col min="7663" max="7663" width="15.54296875" style="2" customWidth="1"/>
    <col min="7664" max="7664" width="7.81640625" style="2" customWidth="1"/>
    <col min="7665" max="7665" width="15.54296875" style="2" customWidth="1"/>
    <col min="7666" max="7666" width="7.81640625" style="2" bestFit="1" customWidth="1"/>
    <col min="7667" max="7667" width="15.7265625" style="2" bestFit="1" customWidth="1"/>
    <col min="7668" max="7668" width="7.54296875" style="2" customWidth="1"/>
    <col min="7669" max="7669" width="14" style="2" customWidth="1"/>
    <col min="7670" max="7670" width="7.81640625" style="2" customWidth="1"/>
    <col min="7671" max="7671" width="14" style="2" customWidth="1"/>
    <col min="7672" max="7672" width="7.81640625" style="2" customWidth="1"/>
    <col min="7673" max="7673" width="14" style="2" customWidth="1"/>
    <col min="7674" max="7674" width="9" style="2" customWidth="1"/>
    <col min="7675" max="7675" width="15.1796875" style="2" customWidth="1"/>
    <col min="7676" max="7676" width="13" style="2" bestFit="1" customWidth="1"/>
    <col min="7677" max="7677" width="15.1796875" style="2" bestFit="1" customWidth="1"/>
    <col min="7678" max="7678" width="7.54296875" style="2" customWidth="1"/>
    <col min="7679" max="7679" width="14" style="2" customWidth="1"/>
    <col min="7680" max="7680" width="7.81640625" style="2" customWidth="1"/>
    <col min="7681" max="7681" width="14" style="2" customWidth="1"/>
    <col min="7682" max="7682" width="7.81640625" style="2" customWidth="1"/>
    <col min="7683" max="7683" width="14" style="2" customWidth="1"/>
    <col min="7684" max="7684" width="9" style="2" bestFit="1" customWidth="1"/>
    <col min="7685" max="7685" width="15.1796875" style="2" bestFit="1" customWidth="1"/>
    <col min="7686" max="7686" width="9" style="2" bestFit="1" customWidth="1"/>
    <col min="7687" max="7687" width="15.1796875" style="2" bestFit="1" customWidth="1"/>
    <col min="7688" max="7688" width="6.36328125" style="2" customWidth="1"/>
    <col min="7689" max="7689" width="12.7265625" style="2" customWidth="1"/>
    <col min="7690" max="7690" width="6.36328125" style="2" customWidth="1"/>
    <col min="7691" max="7691" width="12.7265625" style="2" customWidth="1"/>
    <col min="7692" max="7692" width="6" style="2" customWidth="1"/>
    <col min="7693" max="7693" width="12.7265625" style="2" customWidth="1"/>
    <col min="7694" max="7694" width="9.54296875" style="2" customWidth="1"/>
    <col min="7695" max="7695" width="14" style="2" bestFit="1" customWidth="1"/>
    <col min="7696" max="7696" width="8.7265625" style="2" bestFit="1" customWidth="1"/>
    <col min="7697" max="7697" width="13.54296875" style="2" customWidth="1"/>
    <col min="7698" max="7698" width="6" style="2" customWidth="1"/>
    <col min="7699" max="7699" width="13.7265625" style="2" customWidth="1"/>
    <col min="7700" max="7700" width="6" style="2" customWidth="1"/>
    <col min="7701" max="7701" width="12.7265625" style="2" customWidth="1"/>
    <col min="7702" max="7702" width="6.81640625" style="2" customWidth="1"/>
    <col min="7703" max="7703" width="12.7265625" style="2" customWidth="1"/>
    <col min="7704" max="7704" width="6.81640625" style="2" customWidth="1"/>
    <col min="7705" max="7705" width="15.7265625" style="2" bestFit="1" customWidth="1"/>
    <col min="7706" max="7706" width="8.54296875" style="2" bestFit="1" customWidth="1"/>
    <col min="7707" max="7707" width="13.54296875" style="2" customWidth="1"/>
    <col min="7708" max="7708" width="6" style="2" customWidth="1"/>
    <col min="7709" max="7709" width="13.7265625" style="2" customWidth="1"/>
    <col min="7710" max="7710" width="6" style="2" customWidth="1"/>
    <col min="7711" max="7711" width="12.7265625" style="2" customWidth="1"/>
    <col min="7712" max="7712" width="6.81640625" style="2" customWidth="1"/>
    <col min="7713" max="7713" width="12.7265625" style="2" customWidth="1"/>
    <col min="7714" max="7714" width="6.81640625" style="2" customWidth="1"/>
    <col min="7715" max="7715" width="16.36328125" style="2" bestFit="1" customWidth="1"/>
    <col min="7716" max="7716" width="9.54296875" style="2" bestFit="1" customWidth="1"/>
    <col min="7717" max="7717" width="17.36328125" style="2" bestFit="1" customWidth="1"/>
    <col min="7718" max="7718" width="6" style="2" customWidth="1"/>
    <col min="7719" max="7719" width="13.7265625" style="2" customWidth="1"/>
    <col min="7720" max="7720" width="6" style="2" customWidth="1"/>
    <col min="7721" max="7721" width="12.7265625" style="2" customWidth="1"/>
    <col min="7722" max="7722" width="6.81640625" style="2" customWidth="1"/>
    <col min="7723" max="7723" width="12.7265625" style="2" customWidth="1"/>
    <col min="7724" max="7724" width="6.81640625" style="2" customWidth="1"/>
    <col min="7725" max="7725" width="15.36328125" style="2" bestFit="1" customWidth="1"/>
    <col min="7726" max="7726" width="9.54296875" style="2" bestFit="1" customWidth="1"/>
    <col min="7727" max="7727" width="17.36328125" style="2" bestFit="1" customWidth="1"/>
    <col min="7728" max="7728" width="8" style="2" customWidth="1"/>
    <col min="7729" max="7729" width="12.1796875" style="2" customWidth="1"/>
    <col min="7730" max="7730" width="8" style="2" customWidth="1"/>
    <col min="7731" max="7731" width="20" style="2" customWidth="1"/>
    <col min="7732" max="7732" width="15.26953125" style="2" bestFit="1" customWidth="1"/>
    <col min="7733" max="7733" width="14.26953125" style="2" bestFit="1" customWidth="1"/>
    <col min="7734" max="7734" width="13" style="2" bestFit="1" customWidth="1"/>
    <col min="7735" max="7906" width="8.7265625" style="2"/>
    <col min="7907" max="7907" width="2.7265625" style="2" customWidth="1"/>
    <col min="7908" max="7908" width="3.54296875" style="2" customWidth="1"/>
    <col min="7909" max="7909" width="7" style="2" customWidth="1"/>
    <col min="7910" max="7910" width="23" style="2" customWidth="1"/>
    <col min="7911" max="7911" width="13.26953125" style="2" customWidth="1"/>
    <col min="7912" max="7912" width="17.36328125" style="2" bestFit="1" customWidth="1"/>
    <col min="7913" max="7913" width="11.54296875" style="2" bestFit="1" customWidth="1"/>
    <col min="7914" max="7914" width="7.81640625" style="2" customWidth="1"/>
    <col min="7915" max="7915" width="11.54296875" style="2" bestFit="1" customWidth="1"/>
    <col min="7916" max="7916" width="7" style="2" customWidth="1"/>
    <col min="7917" max="7917" width="18.1796875" style="2" customWidth="1"/>
    <col min="7918" max="7918" width="7" style="2" customWidth="1"/>
    <col min="7919" max="7919" width="15.54296875" style="2" customWidth="1"/>
    <col min="7920" max="7920" width="7.81640625" style="2" customWidth="1"/>
    <col min="7921" max="7921" width="15.54296875" style="2" customWidth="1"/>
    <col min="7922" max="7922" width="7.81640625" style="2" bestFit="1" customWidth="1"/>
    <col min="7923" max="7923" width="15.7265625" style="2" bestFit="1" customWidth="1"/>
    <col min="7924" max="7924" width="7.54296875" style="2" customWidth="1"/>
    <col min="7925" max="7925" width="14" style="2" customWidth="1"/>
    <col min="7926" max="7926" width="7.81640625" style="2" customWidth="1"/>
    <col min="7927" max="7927" width="14" style="2" customWidth="1"/>
    <col min="7928" max="7928" width="7.81640625" style="2" customWidth="1"/>
    <col min="7929" max="7929" width="14" style="2" customWidth="1"/>
    <col min="7930" max="7930" width="9" style="2" customWidth="1"/>
    <col min="7931" max="7931" width="15.1796875" style="2" customWidth="1"/>
    <col min="7932" max="7932" width="13" style="2" bestFit="1" customWidth="1"/>
    <col min="7933" max="7933" width="15.1796875" style="2" bestFit="1" customWidth="1"/>
    <col min="7934" max="7934" width="7.54296875" style="2" customWidth="1"/>
    <col min="7935" max="7935" width="14" style="2" customWidth="1"/>
    <col min="7936" max="7936" width="7.81640625" style="2" customWidth="1"/>
    <col min="7937" max="7937" width="14" style="2" customWidth="1"/>
    <col min="7938" max="7938" width="7.81640625" style="2" customWidth="1"/>
    <col min="7939" max="7939" width="14" style="2" customWidth="1"/>
    <col min="7940" max="7940" width="9" style="2" bestFit="1" customWidth="1"/>
    <col min="7941" max="7941" width="15.1796875" style="2" bestFit="1" customWidth="1"/>
    <col min="7942" max="7942" width="9" style="2" bestFit="1" customWidth="1"/>
    <col min="7943" max="7943" width="15.1796875" style="2" bestFit="1" customWidth="1"/>
    <col min="7944" max="7944" width="6.36328125" style="2" customWidth="1"/>
    <col min="7945" max="7945" width="12.7265625" style="2" customWidth="1"/>
    <col min="7946" max="7946" width="6.36328125" style="2" customWidth="1"/>
    <col min="7947" max="7947" width="12.7265625" style="2" customWidth="1"/>
    <col min="7948" max="7948" width="6" style="2" customWidth="1"/>
    <col min="7949" max="7949" width="12.7265625" style="2" customWidth="1"/>
    <col min="7950" max="7950" width="9.54296875" style="2" customWidth="1"/>
    <col min="7951" max="7951" width="14" style="2" bestFit="1" customWidth="1"/>
    <col min="7952" max="7952" width="8.7265625" style="2" bestFit="1" customWidth="1"/>
    <col min="7953" max="7953" width="13.54296875" style="2" customWidth="1"/>
    <col min="7954" max="7954" width="6" style="2" customWidth="1"/>
    <col min="7955" max="7955" width="13.7265625" style="2" customWidth="1"/>
    <col min="7956" max="7956" width="6" style="2" customWidth="1"/>
    <col min="7957" max="7957" width="12.7265625" style="2" customWidth="1"/>
    <col min="7958" max="7958" width="6.81640625" style="2" customWidth="1"/>
    <col min="7959" max="7959" width="12.7265625" style="2" customWidth="1"/>
    <col min="7960" max="7960" width="6.81640625" style="2" customWidth="1"/>
    <col min="7961" max="7961" width="15.7265625" style="2" bestFit="1" customWidth="1"/>
    <col min="7962" max="7962" width="8.54296875" style="2" bestFit="1" customWidth="1"/>
    <col min="7963" max="7963" width="13.54296875" style="2" customWidth="1"/>
    <col min="7964" max="7964" width="6" style="2" customWidth="1"/>
    <col min="7965" max="7965" width="13.7265625" style="2" customWidth="1"/>
    <col min="7966" max="7966" width="6" style="2" customWidth="1"/>
    <col min="7967" max="7967" width="12.7265625" style="2" customWidth="1"/>
    <col min="7968" max="7968" width="6.81640625" style="2" customWidth="1"/>
    <col min="7969" max="7969" width="12.7265625" style="2" customWidth="1"/>
    <col min="7970" max="7970" width="6.81640625" style="2" customWidth="1"/>
    <col min="7971" max="7971" width="16.36328125" style="2" bestFit="1" customWidth="1"/>
    <col min="7972" max="7972" width="9.54296875" style="2" bestFit="1" customWidth="1"/>
    <col min="7973" max="7973" width="17.36328125" style="2" bestFit="1" customWidth="1"/>
    <col min="7974" max="7974" width="6" style="2" customWidth="1"/>
    <col min="7975" max="7975" width="13.7265625" style="2" customWidth="1"/>
    <col min="7976" max="7976" width="6" style="2" customWidth="1"/>
    <col min="7977" max="7977" width="12.7265625" style="2" customWidth="1"/>
    <col min="7978" max="7978" width="6.81640625" style="2" customWidth="1"/>
    <col min="7979" max="7979" width="12.7265625" style="2" customWidth="1"/>
    <col min="7980" max="7980" width="6.81640625" style="2" customWidth="1"/>
    <col min="7981" max="7981" width="15.36328125" style="2" bestFit="1" customWidth="1"/>
    <col min="7982" max="7982" width="9.54296875" style="2" bestFit="1" customWidth="1"/>
    <col min="7983" max="7983" width="17.36328125" style="2" bestFit="1" customWidth="1"/>
    <col min="7984" max="7984" width="8" style="2" customWidth="1"/>
    <col min="7985" max="7985" width="12.1796875" style="2" customWidth="1"/>
    <col min="7986" max="7986" width="8" style="2" customWidth="1"/>
    <col min="7987" max="7987" width="20" style="2" customWidth="1"/>
    <col min="7988" max="7988" width="15.26953125" style="2" bestFit="1" customWidth="1"/>
    <col min="7989" max="7989" width="14.26953125" style="2" bestFit="1" customWidth="1"/>
    <col min="7990" max="7990" width="13" style="2" bestFit="1" customWidth="1"/>
    <col min="7991" max="8162" width="8.7265625" style="2"/>
    <col min="8163" max="8163" width="2.7265625" style="2" customWidth="1"/>
    <col min="8164" max="8164" width="3.54296875" style="2" customWidth="1"/>
    <col min="8165" max="8165" width="7" style="2" customWidth="1"/>
    <col min="8166" max="8166" width="23" style="2" customWidth="1"/>
    <col min="8167" max="8167" width="13.26953125" style="2" customWidth="1"/>
    <col min="8168" max="8168" width="17.36328125" style="2" bestFit="1" customWidth="1"/>
    <col min="8169" max="8169" width="11.54296875" style="2" bestFit="1" customWidth="1"/>
    <col min="8170" max="8170" width="7.81640625" style="2" customWidth="1"/>
    <col min="8171" max="8171" width="11.54296875" style="2" bestFit="1" customWidth="1"/>
    <col min="8172" max="8172" width="7" style="2" customWidth="1"/>
    <col min="8173" max="8173" width="18.1796875" style="2" customWidth="1"/>
    <col min="8174" max="8174" width="7" style="2" customWidth="1"/>
    <col min="8175" max="8175" width="15.54296875" style="2" customWidth="1"/>
    <col min="8176" max="8176" width="7.81640625" style="2" customWidth="1"/>
    <col min="8177" max="8177" width="15.54296875" style="2" customWidth="1"/>
    <col min="8178" max="8178" width="7.81640625" style="2" bestFit="1" customWidth="1"/>
    <col min="8179" max="8179" width="15.7265625" style="2" bestFit="1" customWidth="1"/>
    <col min="8180" max="8180" width="7.54296875" style="2" customWidth="1"/>
    <col min="8181" max="8181" width="14" style="2" customWidth="1"/>
    <col min="8182" max="8182" width="7.81640625" style="2" customWidth="1"/>
    <col min="8183" max="8183" width="14" style="2" customWidth="1"/>
    <col min="8184" max="8184" width="7.81640625" style="2" customWidth="1"/>
    <col min="8185" max="8185" width="14" style="2" customWidth="1"/>
    <col min="8186" max="8186" width="9" style="2" customWidth="1"/>
    <col min="8187" max="8187" width="15.1796875" style="2" customWidth="1"/>
    <col min="8188" max="8188" width="13" style="2" bestFit="1" customWidth="1"/>
    <col min="8189" max="8189" width="15.1796875" style="2" bestFit="1" customWidth="1"/>
    <col min="8190" max="8190" width="7.54296875" style="2" customWidth="1"/>
    <col min="8191" max="8191" width="14" style="2" customWidth="1"/>
    <col min="8192" max="8192" width="7.81640625" style="2" customWidth="1"/>
    <col min="8193" max="8193" width="14" style="2" customWidth="1"/>
    <col min="8194" max="8194" width="7.81640625" style="2" customWidth="1"/>
    <col min="8195" max="8195" width="14" style="2" customWidth="1"/>
    <col min="8196" max="8196" width="9" style="2" bestFit="1" customWidth="1"/>
    <col min="8197" max="8197" width="15.1796875" style="2" bestFit="1" customWidth="1"/>
    <col min="8198" max="8198" width="9" style="2" bestFit="1" customWidth="1"/>
    <col min="8199" max="8199" width="15.1796875" style="2" bestFit="1" customWidth="1"/>
    <col min="8200" max="8200" width="6.36328125" style="2" customWidth="1"/>
    <col min="8201" max="8201" width="12.7265625" style="2" customWidth="1"/>
    <col min="8202" max="8202" width="6.36328125" style="2" customWidth="1"/>
    <col min="8203" max="8203" width="12.7265625" style="2" customWidth="1"/>
    <col min="8204" max="8204" width="6" style="2" customWidth="1"/>
    <col min="8205" max="8205" width="12.7265625" style="2" customWidth="1"/>
    <col min="8206" max="8206" width="9.54296875" style="2" customWidth="1"/>
    <col min="8207" max="8207" width="14" style="2" bestFit="1" customWidth="1"/>
    <col min="8208" max="8208" width="8.7265625" style="2" bestFit="1" customWidth="1"/>
    <col min="8209" max="8209" width="13.54296875" style="2" customWidth="1"/>
    <col min="8210" max="8210" width="6" style="2" customWidth="1"/>
    <col min="8211" max="8211" width="13.7265625" style="2" customWidth="1"/>
    <col min="8212" max="8212" width="6" style="2" customWidth="1"/>
    <col min="8213" max="8213" width="12.7265625" style="2" customWidth="1"/>
    <col min="8214" max="8214" width="6.81640625" style="2" customWidth="1"/>
    <col min="8215" max="8215" width="12.7265625" style="2" customWidth="1"/>
    <col min="8216" max="8216" width="6.81640625" style="2" customWidth="1"/>
    <col min="8217" max="8217" width="15.7265625" style="2" bestFit="1" customWidth="1"/>
    <col min="8218" max="8218" width="8.54296875" style="2" bestFit="1" customWidth="1"/>
    <col min="8219" max="8219" width="13.54296875" style="2" customWidth="1"/>
    <col min="8220" max="8220" width="6" style="2" customWidth="1"/>
    <col min="8221" max="8221" width="13.7265625" style="2" customWidth="1"/>
    <col min="8222" max="8222" width="6" style="2" customWidth="1"/>
    <col min="8223" max="8223" width="12.7265625" style="2" customWidth="1"/>
    <col min="8224" max="8224" width="6.81640625" style="2" customWidth="1"/>
    <col min="8225" max="8225" width="12.7265625" style="2" customWidth="1"/>
    <col min="8226" max="8226" width="6.81640625" style="2" customWidth="1"/>
    <col min="8227" max="8227" width="16.36328125" style="2" bestFit="1" customWidth="1"/>
    <col min="8228" max="8228" width="9.54296875" style="2" bestFit="1" customWidth="1"/>
    <col min="8229" max="8229" width="17.36328125" style="2" bestFit="1" customWidth="1"/>
    <col min="8230" max="8230" width="6" style="2" customWidth="1"/>
    <col min="8231" max="8231" width="13.7265625" style="2" customWidth="1"/>
    <col min="8232" max="8232" width="6" style="2" customWidth="1"/>
    <col min="8233" max="8233" width="12.7265625" style="2" customWidth="1"/>
    <col min="8234" max="8234" width="6.81640625" style="2" customWidth="1"/>
    <col min="8235" max="8235" width="12.7265625" style="2" customWidth="1"/>
    <col min="8236" max="8236" width="6.81640625" style="2" customWidth="1"/>
    <col min="8237" max="8237" width="15.36328125" style="2" bestFit="1" customWidth="1"/>
    <col min="8238" max="8238" width="9.54296875" style="2" bestFit="1" customWidth="1"/>
    <col min="8239" max="8239" width="17.36328125" style="2" bestFit="1" customWidth="1"/>
    <col min="8240" max="8240" width="8" style="2" customWidth="1"/>
    <col min="8241" max="8241" width="12.1796875" style="2" customWidth="1"/>
    <col min="8242" max="8242" width="8" style="2" customWidth="1"/>
    <col min="8243" max="8243" width="20" style="2" customWidth="1"/>
    <col min="8244" max="8244" width="15.26953125" style="2" bestFit="1" customWidth="1"/>
    <col min="8245" max="8245" width="14.26953125" style="2" bestFit="1" customWidth="1"/>
    <col min="8246" max="8246" width="13" style="2" bestFit="1" customWidth="1"/>
    <col min="8247" max="8418" width="8.7265625" style="2"/>
    <col min="8419" max="8419" width="2.7265625" style="2" customWidth="1"/>
    <col min="8420" max="8420" width="3.54296875" style="2" customWidth="1"/>
    <col min="8421" max="8421" width="7" style="2" customWidth="1"/>
    <col min="8422" max="8422" width="23" style="2" customWidth="1"/>
    <col min="8423" max="8423" width="13.26953125" style="2" customWidth="1"/>
    <col min="8424" max="8424" width="17.36328125" style="2" bestFit="1" customWidth="1"/>
    <col min="8425" max="8425" width="11.54296875" style="2" bestFit="1" customWidth="1"/>
    <col min="8426" max="8426" width="7.81640625" style="2" customWidth="1"/>
    <col min="8427" max="8427" width="11.54296875" style="2" bestFit="1" customWidth="1"/>
    <col min="8428" max="8428" width="7" style="2" customWidth="1"/>
    <col min="8429" max="8429" width="18.1796875" style="2" customWidth="1"/>
    <col min="8430" max="8430" width="7" style="2" customWidth="1"/>
    <col min="8431" max="8431" width="15.54296875" style="2" customWidth="1"/>
    <col min="8432" max="8432" width="7.81640625" style="2" customWidth="1"/>
    <col min="8433" max="8433" width="15.54296875" style="2" customWidth="1"/>
    <col min="8434" max="8434" width="7.81640625" style="2" bestFit="1" customWidth="1"/>
    <col min="8435" max="8435" width="15.7265625" style="2" bestFit="1" customWidth="1"/>
    <col min="8436" max="8436" width="7.54296875" style="2" customWidth="1"/>
    <col min="8437" max="8437" width="14" style="2" customWidth="1"/>
    <col min="8438" max="8438" width="7.81640625" style="2" customWidth="1"/>
    <col min="8439" max="8439" width="14" style="2" customWidth="1"/>
    <col min="8440" max="8440" width="7.81640625" style="2" customWidth="1"/>
    <col min="8441" max="8441" width="14" style="2" customWidth="1"/>
    <col min="8442" max="8442" width="9" style="2" customWidth="1"/>
    <col min="8443" max="8443" width="15.1796875" style="2" customWidth="1"/>
    <col min="8444" max="8444" width="13" style="2" bestFit="1" customWidth="1"/>
    <col min="8445" max="8445" width="15.1796875" style="2" bestFit="1" customWidth="1"/>
    <col min="8446" max="8446" width="7.54296875" style="2" customWidth="1"/>
    <col min="8447" max="8447" width="14" style="2" customWidth="1"/>
    <col min="8448" max="8448" width="7.81640625" style="2" customWidth="1"/>
    <col min="8449" max="8449" width="14" style="2" customWidth="1"/>
    <col min="8450" max="8450" width="7.81640625" style="2" customWidth="1"/>
    <col min="8451" max="8451" width="14" style="2" customWidth="1"/>
    <col min="8452" max="8452" width="9" style="2" bestFit="1" customWidth="1"/>
    <col min="8453" max="8453" width="15.1796875" style="2" bestFit="1" customWidth="1"/>
    <col min="8454" max="8454" width="9" style="2" bestFit="1" customWidth="1"/>
    <col min="8455" max="8455" width="15.1796875" style="2" bestFit="1" customWidth="1"/>
    <col min="8456" max="8456" width="6.36328125" style="2" customWidth="1"/>
    <col min="8457" max="8457" width="12.7265625" style="2" customWidth="1"/>
    <col min="8458" max="8458" width="6.36328125" style="2" customWidth="1"/>
    <col min="8459" max="8459" width="12.7265625" style="2" customWidth="1"/>
    <col min="8460" max="8460" width="6" style="2" customWidth="1"/>
    <col min="8461" max="8461" width="12.7265625" style="2" customWidth="1"/>
    <col min="8462" max="8462" width="9.54296875" style="2" customWidth="1"/>
    <col min="8463" max="8463" width="14" style="2" bestFit="1" customWidth="1"/>
    <col min="8464" max="8464" width="8.7265625" style="2" bestFit="1" customWidth="1"/>
    <col min="8465" max="8465" width="13.54296875" style="2" customWidth="1"/>
    <col min="8466" max="8466" width="6" style="2" customWidth="1"/>
    <col min="8467" max="8467" width="13.7265625" style="2" customWidth="1"/>
    <col min="8468" max="8468" width="6" style="2" customWidth="1"/>
    <col min="8469" max="8469" width="12.7265625" style="2" customWidth="1"/>
    <col min="8470" max="8470" width="6.81640625" style="2" customWidth="1"/>
    <col min="8471" max="8471" width="12.7265625" style="2" customWidth="1"/>
    <col min="8472" max="8472" width="6.81640625" style="2" customWidth="1"/>
    <col min="8473" max="8473" width="15.7265625" style="2" bestFit="1" customWidth="1"/>
    <col min="8474" max="8474" width="8.54296875" style="2" bestFit="1" customWidth="1"/>
    <col min="8475" max="8475" width="13.54296875" style="2" customWidth="1"/>
    <col min="8476" max="8476" width="6" style="2" customWidth="1"/>
    <col min="8477" max="8477" width="13.7265625" style="2" customWidth="1"/>
    <col min="8478" max="8478" width="6" style="2" customWidth="1"/>
    <col min="8479" max="8479" width="12.7265625" style="2" customWidth="1"/>
    <col min="8480" max="8480" width="6.81640625" style="2" customWidth="1"/>
    <col min="8481" max="8481" width="12.7265625" style="2" customWidth="1"/>
    <col min="8482" max="8482" width="6.81640625" style="2" customWidth="1"/>
    <col min="8483" max="8483" width="16.36328125" style="2" bestFit="1" customWidth="1"/>
    <col min="8484" max="8484" width="9.54296875" style="2" bestFit="1" customWidth="1"/>
    <col min="8485" max="8485" width="17.36328125" style="2" bestFit="1" customWidth="1"/>
    <col min="8486" max="8486" width="6" style="2" customWidth="1"/>
    <col min="8487" max="8487" width="13.7265625" style="2" customWidth="1"/>
    <col min="8488" max="8488" width="6" style="2" customWidth="1"/>
    <col min="8489" max="8489" width="12.7265625" style="2" customWidth="1"/>
    <col min="8490" max="8490" width="6.81640625" style="2" customWidth="1"/>
    <col min="8491" max="8491" width="12.7265625" style="2" customWidth="1"/>
    <col min="8492" max="8492" width="6.81640625" style="2" customWidth="1"/>
    <col min="8493" max="8493" width="15.36328125" style="2" bestFit="1" customWidth="1"/>
    <col min="8494" max="8494" width="9.54296875" style="2" bestFit="1" customWidth="1"/>
    <col min="8495" max="8495" width="17.36328125" style="2" bestFit="1" customWidth="1"/>
    <col min="8496" max="8496" width="8" style="2" customWidth="1"/>
    <col min="8497" max="8497" width="12.1796875" style="2" customWidth="1"/>
    <col min="8498" max="8498" width="8" style="2" customWidth="1"/>
    <col min="8499" max="8499" width="20" style="2" customWidth="1"/>
    <col min="8500" max="8500" width="15.26953125" style="2" bestFit="1" customWidth="1"/>
    <col min="8501" max="8501" width="14.26953125" style="2" bestFit="1" customWidth="1"/>
    <col min="8502" max="8502" width="13" style="2" bestFit="1" customWidth="1"/>
    <col min="8503" max="8674" width="8.7265625" style="2"/>
    <col min="8675" max="8675" width="2.7265625" style="2" customWidth="1"/>
    <col min="8676" max="8676" width="3.54296875" style="2" customWidth="1"/>
    <col min="8677" max="8677" width="7" style="2" customWidth="1"/>
    <col min="8678" max="8678" width="23" style="2" customWidth="1"/>
    <col min="8679" max="8679" width="13.26953125" style="2" customWidth="1"/>
    <col min="8680" max="8680" width="17.36328125" style="2" bestFit="1" customWidth="1"/>
    <col min="8681" max="8681" width="11.54296875" style="2" bestFit="1" customWidth="1"/>
    <col min="8682" max="8682" width="7.81640625" style="2" customWidth="1"/>
    <col min="8683" max="8683" width="11.54296875" style="2" bestFit="1" customWidth="1"/>
    <col min="8684" max="8684" width="7" style="2" customWidth="1"/>
    <col min="8685" max="8685" width="18.1796875" style="2" customWidth="1"/>
    <col min="8686" max="8686" width="7" style="2" customWidth="1"/>
    <col min="8687" max="8687" width="15.54296875" style="2" customWidth="1"/>
    <col min="8688" max="8688" width="7.81640625" style="2" customWidth="1"/>
    <col min="8689" max="8689" width="15.54296875" style="2" customWidth="1"/>
    <col min="8690" max="8690" width="7.81640625" style="2" bestFit="1" customWidth="1"/>
    <col min="8691" max="8691" width="15.7265625" style="2" bestFit="1" customWidth="1"/>
    <col min="8692" max="8692" width="7.54296875" style="2" customWidth="1"/>
    <col min="8693" max="8693" width="14" style="2" customWidth="1"/>
    <col min="8694" max="8694" width="7.81640625" style="2" customWidth="1"/>
    <col min="8695" max="8695" width="14" style="2" customWidth="1"/>
    <col min="8696" max="8696" width="7.81640625" style="2" customWidth="1"/>
    <col min="8697" max="8697" width="14" style="2" customWidth="1"/>
    <col min="8698" max="8698" width="9" style="2" customWidth="1"/>
    <col min="8699" max="8699" width="15.1796875" style="2" customWidth="1"/>
    <col min="8700" max="8700" width="13" style="2" bestFit="1" customWidth="1"/>
    <col min="8701" max="8701" width="15.1796875" style="2" bestFit="1" customWidth="1"/>
    <col min="8702" max="8702" width="7.54296875" style="2" customWidth="1"/>
    <col min="8703" max="8703" width="14" style="2" customWidth="1"/>
    <col min="8704" max="8704" width="7.81640625" style="2" customWidth="1"/>
    <col min="8705" max="8705" width="14" style="2" customWidth="1"/>
    <col min="8706" max="8706" width="7.81640625" style="2" customWidth="1"/>
    <col min="8707" max="8707" width="14" style="2" customWidth="1"/>
    <col min="8708" max="8708" width="9" style="2" bestFit="1" customWidth="1"/>
    <col min="8709" max="8709" width="15.1796875" style="2" bestFit="1" customWidth="1"/>
    <col min="8710" max="8710" width="9" style="2" bestFit="1" customWidth="1"/>
    <col min="8711" max="8711" width="15.1796875" style="2" bestFit="1" customWidth="1"/>
    <col min="8712" max="8712" width="6.36328125" style="2" customWidth="1"/>
    <col min="8713" max="8713" width="12.7265625" style="2" customWidth="1"/>
    <col min="8714" max="8714" width="6.36328125" style="2" customWidth="1"/>
    <col min="8715" max="8715" width="12.7265625" style="2" customWidth="1"/>
    <col min="8716" max="8716" width="6" style="2" customWidth="1"/>
    <col min="8717" max="8717" width="12.7265625" style="2" customWidth="1"/>
    <col min="8718" max="8718" width="9.54296875" style="2" customWidth="1"/>
    <col min="8719" max="8719" width="14" style="2" bestFit="1" customWidth="1"/>
    <col min="8720" max="8720" width="8.7265625" style="2" bestFit="1" customWidth="1"/>
    <col min="8721" max="8721" width="13.54296875" style="2" customWidth="1"/>
    <col min="8722" max="8722" width="6" style="2" customWidth="1"/>
    <col min="8723" max="8723" width="13.7265625" style="2" customWidth="1"/>
    <col min="8724" max="8724" width="6" style="2" customWidth="1"/>
    <col min="8725" max="8725" width="12.7265625" style="2" customWidth="1"/>
    <col min="8726" max="8726" width="6.81640625" style="2" customWidth="1"/>
    <col min="8727" max="8727" width="12.7265625" style="2" customWidth="1"/>
    <col min="8728" max="8728" width="6.81640625" style="2" customWidth="1"/>
    <col min="8729" max="8729" width="15.7265625" style="2" bestFit="1" customWidth="1"/>
    <col min="8730" max="8730" width="8.54296875" style="2" bestFit="1" customWidth="1"/>
    <col min="8731" max="8731" width="13.54296875" style="2" customWidth="1"/>
    <col min="8732" max="8732" width="6" style="2" customWidth="1"/>
    <col min="8733" max="8733" width="13.7265625" style="2" customWidth="1"/>
    <col min="8734" max="8734" width="6" style="2" customWidth="1"/>
    <col min="8735" max="8735" width="12.7265625" style="2" customWidth="1"/>
    <col min="8736" max="8736" width="6.81640625" style="2" customWidth="1"/>
    <col min="8737" max="8737" width="12.7265625" style="2" customWidth="1"/>
    <col min="8738" max="8738" width="6.81640625" style="2" customWidth="1"/>
    <col min="8739" max="8739" width="16.36328125" style="2" bestFit="1" customWidth="1"/>
    <col min="8740" max="8740" width="9.54296875" style="2" bestFit="1" customWidth="1"/>
    <col min="8741" max="8741" width="17.36328125" style="2" bestFit="1" customWidth="1"/>
    <col min="8742" max="8742" width="6" style="2" customWidth="1"/>
    <col min="8743" max="8743" width="13.7265625" style="2" customWidth="1"/>
    <col min="8744" max="8744" width="6" style="2" customWidth="1"/>
    <col min="8745" max="8745" width="12.7265625" style="2" customWidth="1"/>
    <col min="8746" max="8746" width="6.81640625" style="2" customWidth="1"/>
    <col min="8747" max="8747" width="12.7265625" style="2" customWidth="1"/>
    <col min="8748" max="8748" width="6.81640625" style="2" customWidth="1"/>
    <col min="8749" max="8749" width="15.36328125" style="2" bestFit="1" customWidth="1"/>
    <col min="8750" max="8750" width="9.54296875" style="2" bestFit="1" customWidth="1"/>
    <col min="8751" max="8751" width="17.36328125" style="2" bestFit="1" customWidth="1"/>
    <col min="8752" max="8752" width="8" style="2" customWidth="1"/>
    <col min="8753" max="8753" width="12.1796875" style="2" customWidth="1"/>
    <col min="8754" max="8754" width="8" style="2" customWidth="1"/>
    <col min="8755" max="8755" width="20" style="2" customWidth="1"/>
    <col min="8756" max="8756" width="15.26953125" style="2" bestFit="1" customWidth="1"/>
    <col min="8757" max="8757" width="14.26953125" style="2" bestFit="1" customWidth="1"/>
    <col min="8758" max="8758" width="13" style="2" bestFit="1" customWidth="1"/>
    <col min="8759" max="8930" width="8.7265625" style="2"/>
    <col min="8931" max="8931" width="2.7265625" style="2" customWidth="1"/>
    <col min="8932" max="8932" width="3.54296875" style="2" customWidth="1"/>
    <col min="8933" max="8933" width="7" style="2" customWidth="1"/>
    <col min="8934" max="8934" width="23" style="2" customWidth="1"/>
    <col min="8935" max="8935" width="13.26953125" style="2" customWidth="1"/>
    <col min="8936" max="8936" width="17.36328125" style="2" bestFit="1" customWidth="1"/>
    <col min="8937" max="8937" width="11.54296875" style="2" bestFit="1" customWidth="1"/>
    <col min="8938" max="8938" width="7.81640625" style="2" customWidth="1"/>
    <col min="8939" max="8939" width="11.54296875" style="2" bestFit="1" customWidth="1"/>
    <col min="8940" max="8940" width="7" style="2" customWidth="1"/>
    <col min="8941" max="8941" width="18.1796875" style="2" customWidth="1"/>
    <col min="8942" max="8942" width="7" style="2" customWidth="1"/>
    <col min="8943" max="8943" width="15.54296875" style="2" customWidth="1"/>
    <col min="8944" max="8944" width="7.81640625" style="2" customWidth="1"/>
    <col min="8945" max="8945" width="15.54296875" style="2" customWidth="1"/>
    <col min="8946" max="8946" width="7.81640625" style="2" bestFit="1" customWidth="1"/>
    <col min="8947" max="8947" width="15.7265625" style="2" bestFit="1" customWidth="1"/>
    <col min="8948" max="8948" width="7.54296875" style="2" customWidth="1"/>
    <col min="8949" max="8949" width="14" style="2" customWidth="1"/>
    <col min="8950" max="8950" width="7.81640625" style="2" customWidth="1"/>
    <col min="8951" max="8951" width="14" style="2" customWidth="1"/>
    <col min="8952" max="8952" width="7.81640625" style="2" customWidth="1"/>
    <col min="8953" max="8953" width="14" style="2" customWidth="1"/>
    <col min="8954" max="8954" width="9" style="2" customWidth="1"/>
    <col min="8955" max="8955" width="15.1796875" style="2" customWidth="1"/>
    <col min="8956" max="8956" width="13" style="2" bestFit="1" customWidth="1"/>
    <col min="8957" max="8957" width="15.1796875" style="2" bestFit="1" customWidth="1"/>
    <col min="8958" max="8958" width="7.54296875" style="2" customWidth="1"/>
    <col min="8959" max="8959" width="14" style="2" customWidth="1"/>
    <col min="8960" max="8960" width="7.81640625" style="2" customWidth="1"/>
    <col min="8961" max="8961" width="14" style="2" customWidth="1"/>
    <col min="8962" max="8962" width="7.81640625" style="2" customWidth="1"/>
    <col min="8963" max="8963" width="14" style="2" customWidth="1"/>
    <col min="8964" max="8964" width="9" style="2" bestFit="1" customWidth="1"/>
    <col min="8965" max="8965" width="15.1796875" style="2" bestFit="1" customWidth="1"/>
    <col min="8966" max="8966" width="9" style="2" bestFit="1" customWidth="1"/>
    <col min="8967" max="8967" width="15.1796875" style="2" bestFit="1" customWidth="1"/>
    <col min="8968" max="8968" width="6.36328125" style="2" customWidth="1"/>
    <col min="8969" max="8969" width="12.7265625" style="2" customWidth="1"/>
    <col min="8970" max="8970" width="6.36328125" style="2" customWidth="1"/>
    <col min="8971" max="8971" width="12.7265625" style="2" customWidth="1"/>
    <col min="8972" max="8972" width="6" style="2" customWidth="1"/>
    <col min="8973" max="8973" width="12.7265625" style="2" customWidth="1"/>
    <col min="8974" max="8974" width="9.54296875" style="2" customWidth="1"/>
    <col min="8975" max="8975" width="14" style="2" bestFit="1" customWidth="1"/>
    <col min="8976" max="8976" width="8.7265625" style="2" bestFit="1" customWidth="1"/>
    <col min="8977" max="8977" width="13.54296875" style="2" customWidth="1"/>
    <col min="8978" max="8978" width="6" style="2" customWidth="1"/>
    <col min="8979" max="8979" width="13.7265625" style="2" customWidth="1"/>
    <col min="8980" max="8980" width="6" style="2" customWidth="1"/>
    <col min="8981" max="8981" width="12.7265625" style="2" customWidth="1"/>
    <col min="8982" max="8982" width="6.81640625" style="2" customWidth="1"/>
    <col min="8983" max="8983" width="12.7265625" style="2" customWidth="1"/>
    <col min="8984" max="8984" width="6.81640625" style="2" customWidth="1"/>
    <col min="8985" max="8985" width="15.7265625" style="2" bestFit="1" customWidth="1"/>
    <col min="8986" max="8986" width="8.54296875" style="2" bestFit="1" customWidth="1"/>
    <col min="8987" max="8987" width="13.54296875" style="2" customWidth="1"/>
    <col min="8988" max="8988" width="6" style="2" customWidth="1"/>
    <col min="8989" max="8989" width="13.7265625" style="2" customWidth="1"/>
    <col min="8990" max="8990" width="6" style="2" customWidth="1"/>
    <col min="8991" max="8991" width="12.7265625" style="2" customWidth="1"/>
    <col min="8992" max="8992" width="6.81640625" style="2" customWidth="1"/>
    <col min="8993" max="8993" width="12.7265625" style="2" customWidth="1"/>
    <col min="8994" max="8994" width="6.81640625" style="2" customWidth="1"/>
    <col min="8995" max="8995" width="16.36328125" style="2" bestFit="1" customWidth="1"/>
    <col min="8996" max="8996" width="9.54296875" style="2" bestFit="1" customWidth="1"/>
    <col min="8997" max="8997" width="17.36328125" style="2" bestFit="1" customWidth="1"/>
    <col min="8998" max="8998" width="6" style="2" customWidth="1"/>
    <col min="8999" max="8999" width="13.7265625" style="2" customWidth="1"/>
    <col min="9000" max="9000" width="6" style="2" customWidth="1"/>
    <col min="9001" max="9001" width="12.7265625" style="2" customWidth="1"/>
    <col min="9002" max="9002" width="6.81640625" style="2" customWidth="1"/>
    <col min="9003" max="9003" width="12.7265625" style="2" customWidth="1"/>
    <col min="9004" max="9004" width="6.81640625" style="2" customWidth="1"/>
    <col min="9005" max="9005" width="15.36328125" style="2" bestFit="1" customWidth="1"/>
    <col min="9006" max="9006" width="9.54296875" style="2" bestFit="1" customWidth="1"/>
    <col min="9007" max="9007" width="17.36328125" style="2" bestFit="1" customWidth="1"/>
    <col min="9008" max="9008" width="8" style="2" customWidth="1"/>
    <col min="9009" max="9009" width="12.1796875" style="2" customWidth="1"/>
    <col min="9010" max="9010" width="8" style="2" customWidth="1"/>
    <col min="9011" max="9011" width="20" style="2" customWidth="1"/>
    <col min="9012" max="9012" width="15.26953125" style="2" bestFit="1" customWidth="1"/>
    <col min="9013" max="9013" width="14.26953125" style="2" bestFit="1" customWidth="1"/>
    <col min="9014" max="9014" width="13" style="2" bestFit="1" customWidth="1"/>
    <col min="9015" max="9186" width="8.7265625" style="2"/>
    <col min="9187" max="9187" width="2.7265625" style="2" customWidth="1"/>
    <col min="9188" max="9188" width="3.54296875" style="2" customWidth="1"/>
    <col min="9189" max="9189" width="7" style="2" customWidth="1"/>
    <col min="9190" max="9190" width="23" style="2" customWidth="1"/>
    <col min="9191" max="9191" width="13.26953125" style="2" customWidth="1"/>
    <col min="9192" max="9192" width="17.36328125" style="2" bestFit="1" customWidth="1"/>
    <col min="9193" max="9193" width="11.54296875" style="2" bestFit="1" customWidth="1"/>
    <col min="9194" max="9194" width="7.81640625" style="2" customWidth="1"/>
    <col min="9195" max="9195" width="11.54296875" style="2" bestFit="1" customWidth="1"/>
    <col min="9196" max="9196" width="7" style="2" customWidth="1"/>
    <col min="9197" max="9197" width="18.1796875" style="2" customWidth="1"/>
    <col min="9198" max="9198" width="7" style="2" customWidth="1"/>
    <col min="9199" max="9199" width="15.54296875" style="2" customWidth="1"/>
    <col min="9200" max="9200" width="7.81640625" style="2" customWidth="1"/>
    <col min="9201" max="9201" width="15.54296875" style="2" customWidth="1"/>
    <col min="9202" max="9202" width="7.81640625" style="2" bestFit="1" customWidth="1"/>
    <col min="9203" max="9203" width="15.7265625" style="2" bestFit="1" customWidth="1"/>
    <col min="9204" max="9204" width="7.54296875" style="2" customWidth="1"/>
    <col min="9205" max="9205" width="14" style="2" customWidth="1"/>
    <col min="9206" max="9206" width="7.81640625" style="2" customWidth="1"/>
    <col min="9207" max="9207" width="14" style="2" customWidth="1"/>
    <col min="9208" max="9208" width="7.81640625" style="2" customWidth="1"/>
    <col min="9209" max="9209" width="14" style="2" customWidth="1"/>
    <col min="9210" max="9210" width="9" style="2" customWidth="1"/>
    <col min="9211" max="9211" width="15.1796875" style="2" customWidth="1"/>
    <col min="9212" max="9212" width="13" style="2" bestFit="1" customWidth="1"/>
    <col min="9213" max="9213" width="15.1796875" style="2" bestFit="1" customWidth="1"/>
    <col min="9214" max="9214" width="7.54296875" style="2" customWidth="1"/>
    <col min="9215" max="9215" width="14" style="2" customWidth="1"/>
    <col min="9216" max="9216" width="7.81640625" style="2" customWidth="1"/>
    <col min="9217" max="9217" width="14" style="2" customWidth="1"/>
    <col min="9218" max="9218" width="7.81640625" style="2" customWidth="1"/>
    <col min="9219" max="9219" width="14" style="2" customWidth="1"/>
    <col min="9220" max="9220" width="9" style="2" bestFit="1" customWidth="1"/>
    <col min="9221" max="9221" width="15.1796875" style="2" bestFit="1" customWidth="1"/>
    <col min="9222" max="9222" width="9" style="2" bestFit="1" customWidth="1"/>
    <col min="9223" max="9223" width="15.1796875" style="2" bestFit="1" customWidth="1"/>
    <col min="9224" max="9224" width="6.36328125" style="2" customWidth="1"/>
    <col min="9225" max="9225" width="12.7265625" style="2" customWidth="1"/>
    <col min="9226" max="9226" width="6.36328125" style="2" customWidth="1"/>
    <col min="9227" max="9227" width="12.7265625" style="2" customWidth="1"/>
    <col min="9228" max="9228" width="6" style="2" customWidth="1"/>
    <col min="9229" max="9229" width="12.7265625" style="2" customWidth="1"/>
    <col min="9230" max="9230" width="9.54296875" style="2" customWidth="1"/>
    <col min="9231" max="9231" width="14" style="2" bestFit="1" customWidth="1"/>
    <col min="9232" max="9232" width="8.7265625" style="2" bestFit="1" customWidth="1"/>
    <col min="9233" max="9233" width="13.54296875" style="2" customWidth="1"/>
    <col min="9234" max="9234" width="6" style="2" customWidth="1"/>
    <col min="9235" max="9235" width="13.7265625" style="2" customWidth="1"/>
    <col min="9236" max="9236" width="6" style="2" customWidth="1"/>
    <col min="9237" max="9237" width="12.7265625" style="2" customWidth="1"/>
    <col min="9238" max="9238" width="6.81640625" style="2" customWidth="1"/>
    <col min="9239" max="9239" width="12.7265625" style="2" customWidth="1"/>
    <col min="9240" max="9240" width="6.81640625" style="2" customWidth="1"/>
    <col min="9241" max="9241" width="15.7265625" style="2" bestFit="1" customWidth="1"/>
    <col min="9242" max="9242" width="8.54296875" style="2" bestFit="1" customWidth="1"/>
    <col min="9243" max="9243" width="13.54296875" style="2" customWidth="1"/>
    <col min="9244" max="9244" width="6" style="2" customWidth="1"/>
    <col min="9245" max="9245" width="13.7265625" style="2" customWidth="1"/>
    <col min="9246" max="9246" width="6" style="2" customWidth="1"/>
    <col min="9247" max="9247" width="12.7265625" style="2" customWidth="1"/>
    <col min="9248" max="9248" width="6.81640625" style="2" customWidth="1"/>
    <col min="9249" max="9249" width="12.7265625" style="2" customWidth="1"/>
    <col min="9250" max="9250" width="6.81640625" style="2" customWidth="1"/>
    <col min="9251" max="9251" width="16.36328125" style="2" bestFit="1" customWidth="1"/>
    <col min="9252" max="9252" width="9.54296875" style="2" bestFit="1" customWidth="1"/>
    <col min="9253" max="9253" width="17.36328125" style="2" bestFit="1" customWidth="1"/>
    <col min="9254" max="9254" width="6" style="2" customWidth="1"/>
    <col min="9255" max="9255" width="13.7265625" style="2" customWidth="1"/>
    <col min="9256" max="9256" width="6" style="2" customWidth="1"/>
    <col min="9257" max="9257" width="12.7265625" style="2" customWidth="1"/>
    <col min="9258" max="9258" width="6.81640625" style="2" customWidth="1"/>
    <col min="9259" max="9259" width="12.7265625" style="2" customWidth="1"/>
    <col min="9260" max="9260" width="6.81640625" style="2" customWidth="1"/>
    <col min="9261" max="9261" width="15.36328125" style="2" bestFit="1" customWidth="1"/>
    <col min="9262" max="9262" width="9.54296875" style="2" bestFit="1" customWidth="1"/>
    <col min="9263" max="9263" width="17.36328125" style="2" bestFit="1" customWidth="1"/>
    <col min="9264" max="9264" width="8" style="2" customWidth="1"/>
    <col min="9265" max="9265" width="12.1796875" style="2" customWidth="1"/>
    <col min="9266" max="9266" width="8" style="2" customWidth="1"/>
    <col min="9267" max="9267" width="20" style="2" customWidth="1"/>
    <col min="9268" max="9268" width="15.26953125" style="2" bestFit="1" customWidth="1"/>
    <col min="9269" max="9269" width="14.26953125" style="2" bestFit="1" customWidth="1"/>
    <col min="9270" max="9270" width="13" style="2" bestFit="1" customWidth="1"/>
    <col min="9271" max="9442" width="8.7265625" style="2"/>
    <col min="9443" max="9443" width="2.7265625" style="2" customWidth="1"/>
    <col min="9444" max="9444" width="3.54296875" style="2" customWidth="1"/>
    <col min="9445" max="9445" width="7" style="2" customWidth="1"/>
    <col min="9446" max="9446" width="23" style="2" customWidth="1"/>
    <col min="9447" max="9447" width="13.26953125" style="2" customWidth="1"/>
    <col min="9448" max="9448" width="17.36328125" style="2" bestFit="1" customWidth="1"/>
    <col min="9449" max="9449" width="11.54296875" style="2" bestFit="1" customWidth="1"/>
    <col min="9450" max="9450" width="7.81640625" style="2" customWidth="1"/>
    <col min="9451" max="9451" width="11.54296875" style="2" bestFit="1" customWidth="1"/>
    <col min="9452" max="9452" width="7" style="2" customWidth="1"/>
    <col min="9453" max="9453" width="18.1796875" style="2" customWidth="1"/>
    <col min="9454" max="9454" width="7" style="2" customWidth="1"/>
    <col min="9455" max="9455" width="15.54296875" style="2" customWidth="1"/>
    <col min="9456" max="9456" width="7.81640625" style="2" customWidth="1"/>
    <col min="9457" max="9457" width="15.54296875" style="2" customWidth="1"/>
    <col min="9458" max="9458" width="7.81640625" style="2" bestFit="1" customWidth="1"/>
    <col min="9459" max="9459" width="15.7265625" style="2" bestFit="1" customWidth="1"/>
    <col min="9460" max="9460" width="7.54296875" style="2" customWidth="1"/>
    <col min="9461" max="9461" width="14" style="2" customWidth="1"/>
    <col min="9462" max="9462" width="7.81640625" style="2" customWidth="1"/>
    <col min="9463" max="9463" width="14" style="2" customWidth="1"/>
    <col min="9464" max="9464" width="7.81640625" style="2" customWidth="1"/>
    <col min="9465" max="9465" width="14" style="2" customWidth="1"/>
    <col min="9466" max="9466" width="9" style="2" customWidth="1"/>
    <col min="9467" max="9467" width="15.1796875" style="2" customWidth="1"/>
    <col min="9468" max="9468" width="13" style="2" bestFit="1" customWidth="1"/>
    <col min="9469" max="9469" width="15.1796875" style="2" bestFit="1" customWidth="1"/>
    <col min="9470" max="9470" width="7.54296875" style="2" customWidth="1"/>
    <col min="9471" max="9471" width="14" style="2" customWidth="1"/>
    <col min="9472" max="9472" width="7.81640625" style="2" customWidth="1"/>
    <col min="9473" max="9473" width="14" style="2" customWidth="1"/>
    <col min="9474" max="9474" width="7.81640625" style="2" customWidth="1"/>
    <col min="9475" max="9475" width="14" style="2" customWidth="1"/>
    <col min="9476" max="9476" width="9" style="2" bestFit="1" customWidth="1"/>
    <col min="9477" max="9477" width="15.1796875" style="2" bestFit="1" customWidth="1"/>
    <col min="9478" max="9478" width="9" style="2" bestFit="1" customWidth="1"/>
    <col min="9479" max="9479" width="15.1796875" style="2" bestFit="1" customWidth="1"/>
    <col min="9480" max="9480" width="6.36328125" style="2" customWidth="1"/>
    <col min="9481" max="9481" width="12.7265625" style="2" customWidth="1"/>
    <col min="9482" max="9482" width="6.36328125" style="2" customWidth="1"/>
    <col min="9483" max="9483" width="12.7265625" style="2" customWidth="1"/>
    <col min="9484" max="9484" width="6" style="2" customWidth="1"/>
    <col min="9485" max="9485" width="12.7265625" style="2" customWidth="1"/>
    <col min="9486" max="9486" width="9.54296875" style="2" customWidth="1"/>
    <col min="9487" max="9487" width="14" style="2" bestFit="1" customWidth="1"/>
    <col min="9488" max="9488" width="8.7265625" style="2" bestFit="1" customWidth="1"/>
    <col min="9489" max="9489" width="13.54296875" style="2" customWidth="1"/>
    <col min="9490" max="9490" width="6" style="2" customWidth="1"/>
    <col min="9491" max="9491" width="13.7265625" style="2" customWidth="1"/>
    <col min="9492" max="9492" width="6" style="2" customWidth="1"/>
    <col min="9493" max="9493" width="12.7265625" style="2" customWidth="1"/>
    <col min="9494" max="9494" width="6.81640625" style="2" customWidth="1"/>
    <col min="9495" max="9495" width="12.7265625" style="2" customWidth="1"/>
    <col min="9496" max="9496" width="6.81640625" style="2" customWidth="1"/>
    <col min="9497" max="9497" width="15.7265625" style="2" bestFit="1" customWidth="1"/>
    <col min="9498" max="9498" width="8.54296875" style="2" bestFit="1" customWidth="1"/>
    <col min="9499" max="9499" width="13.54296875" style="2" customWidth="1"/>
    <col min="9500" max="9500" width="6" style="2" customWidth="1"/>
    <col min="9501" max="9501" width="13.7265625" style="2" customWidth="1"/>
    <col min="9502" max="9502" width="6" style="2" customWidth="1"/>
    <col min="9503" max="9503" width="12.7265625" style="2" customWidth="1"/>
    <col min="9504" max="9504" width="6.81640625" style="2" customWidth="1"/>
    <col min="9505" max="9505" width="12.7265625" style="2" customWidth="1"/>
    <col min="9506" max="9506" width="6.81640625" style="2" customWidth="1"/>
    <col min="9507" max="9507" width="16.36328125" style="2" bestFit="1" customWidth="1"/>
    <col min="9508" max="9508" width="9.54296875" style="2" bestFit="1" customWidth="1"/>
    <col min="9509" max="9509" width="17.36328125" style="2" bestFit="1" customWidth="1"/>
    <col min="9510" max="9510" width="6" style="2" customWidth="1"/>
    <col min="9511" max="9511" width="13.7265625" style="2" customWidth="1"/>
    <col min="9512" max="9512" width="6" style="2" customWidth="1"/>
    <col min="9513" max="9513" width="12.7265625" style="2" customWidth="1"/>
    <col min="9514" max="9514" width="6.81640625" style="2" customWidth="1"/>
    <col min="9515" max="9515" width="12.7265625" style="2" customWidth="1"/>
    <col min="9516" max="9516" width="6.81640625" style="2" customWidth="1"/>
    <col min="9517" max="9517" width="15.36328125" style="2" bestFit="1" customWidth="1"/>
    <col min="9518" max="9518" width="9.54296875" style="2" bestFit="1" customWidth="1"/>
    <col min="9519" max="9519" width="17.36328125" style="2" bestFit="1" customWidth="1"/>
    <col min="9520" max="9520" width="8" style="2" customWidth="1"/>
    <col min="9521" max="9521" width="12.1796875" style="2" customWidth="1"/>
    <col min="9522" max="9522" width="8" style="2" customWidth="1"/>
    <col min="9523" max="9523" width="20" style="2" customWidth="1"/>
    <col min="9524" max="9524" width="15.26953125" style="2" bestFit="1" customWidth="1"/>
    <col min="9525" max="9525" width="14.26953125" style="2" bestFit="1" customWidth="1"/>
    <col min="9526" max="9526" width="13" style="2" bestFit="1" customWidth="1"/>
    <col min="9527" max="9698" width="8.7265625" style="2"/>
    <col min="9699" max="9699" width="2.7265625" style="2" customWidth="1"/>
    <col min="9700" max="9700" width="3.54296875" style="2" customWidth="1"/>
    <col min="9701" max="9701" width="7" style="2" customWidth="1"/>
    <col min="9702" max="9702" width="23" style="2" customWidth="1"/>
    <col min="9703" max="9703" width="13.26953125" style="2" customWidth="1"/>
    <col min="9704" max="9704" width="17.36328125" style="2" bestFit="1" customWidth="1"/>
    <col min="9705" max="9705" width="11.54296875" style="2" bestFit="1" customWidth="1"/>
    <col min="9706" max="9706" width="7.81640625" style="2" customWidth="1"/>
    <col min="9707" max="9707" width="11.54296875" style="2" bestFit="1" customWidth="1"/>
    <col min="9708" max="9708" width="7" style="2" customWidth="1"/>
    <col min="9709" max="9709" width="18.1796875" style="2" customWidth="1"/>
    <col min="9710" max="9710" width="7" style="2" customWidth="1"/>
    <col min="9711" max="9711" width="15.54296875" style="2" customWidth="1"/>
    <col min="9712" max="9712" width="7.81640625" style="2" customWidth="1"/>
    <col min="9713" max="9713" width="15.54296875" style="2" customWidth="1"/>
    <col min="9714" max="9714" width="7.81640625" style="2" bestFit="1" customWidth="1"/>
    <col min="9715" max="9715" width="15.7265625" style="2" bestFit="1" customWidth="1"/>
    <col min="9716" max="9716" width="7.54296875" style="2" customWidth="1"/>
    <col min="9717" max="9717" width="14" style="2" customWidth="1"/>
    <col min="9718" max="9718" width="7.81640625" style="2" customWidth="1"/>
    <col min="9719" max="9719" width="14" style="2" customWidth="1"/>
    <col min="9720" max="9720" width="7.81640625" style="2" customWidth="1"/>
    <col min="9721" max="9721" width="14" style="2" customWidth="1"/>
    <col min="9722" max="9722" width="9" style="2" customWidth="1"/>
    <col min="9723" max="9723" width="15.1796875" style="2" customWidth="1"/>
    <col min="9724" max="9724" width="13" style="2" bestFit="1" customWidth="1"/>
    <col min="9725" max="9725" width="15.1796875" style="2" bestFit="1" customWidth="1"/>
    <col min="9726" max="9726" width="7.54296875" style="2" customWidth="1"/>
    <col min="9727" max="9727" width="14" style="2" customWidth="1"/>
    <col min="9728" max="9728" width="7.81640625" style="2" customWidth="1"/>
    <col min="9729" max="9729" width="14" style="2" customWidth="1"/>
    <col min="9730" max="9730" width="7.81640625" style="2" customWidth="1"/>
    <col min="9731" max="9731" width="14" style="2" customWidth="1"/>
    <col min="9732" max="9732" width="9" style="2" bestFit="1" customWidth="1"/>
    <col min="9733" max="9733" width="15.1796875" style="2" bestFit="1" customWidth="1"/>
    <col min="9734" max="9734" width="9" style="2" bestFit="1" customWidth="1"/>
    <col min="9735" max="9735" width="15.1796875" style="2" bestFit="1" customWidth="1"/>
    <col min="9736" max="9736" width="6.36328125" style="2" customWidth="1"/>
    <col min="9737" max="9737" width="12.7265625" style="2" customWidth="1"/>
    <col min="9738" max="9738" width="6.36328125" style="2" customWidth="1"/>
    <col min="9739" max="9739" width="12.7265625" style="2" customWidth="1"/>
    <col min="9740" max="9740" width="6" style="2" customWidth="1"/>
    <col min="9741" max="9741" width="12.7265625" style="2" customWidth="1"/>
    <col min="9742" max="9742" width="9.54296875" style="2" customWidth="1"/>
    <col min="9743" max="9743" width="14" style="2" bestFit="1" customWidth="1"/>
    <col min="9744" max="9744" width="8.7265625" style="2" bestFit="1" customWidth="1"/>
    <col min="9745" max="9745" width="13.54296875" style="2" customWidth="1"/>
    <col min="9746" max="9746" width="6" style="2" customWidth="1"/>
    <col min="9747" max="9747" width="13.7265625" style="2" customWidth="1"/>
    <col min="9748" max="9748" width="6" style="2" customWidth="1"/>
    <col min="9749" max="9749" width="12.7265625" style="2" customWidth="1"/>
    <col min="9750" max="9750" width="6.81640625" style="2" customWidth="1"/>
    <col min="9751" max="9751" width="12.7265625" style="2" customWidth="1"/>
    <col min="9752" max="9752" width="6.81640625" style="2" customWidth="1"/>
    <col min="9753" max="9753" width="15.7265625" style="2" bestFit="1" customWidth="1"/>
    <col min="9754" max="9754" width="8.54296875" style="2" bestFit="1" customWidth="1"/>
    <col min="9755" max="9755" width="13.54296875" style="2" customWidth="1"/>
    <col min="9756" max="9756" width="6" style="2" customWidth="1"/>
    <col min="9757" max="9757" width="13.7265625" style="2" customWidth="1"/>
    <col min="9758" max="9758" width="6" style="2" customWidth="1"/>
    <col min="9759" max="9759" width="12.7265625" style="2" customWidth="1"/>
    <col min="9760" max="9760" width="6.81640625" style="2" customWidth="1"/>
    <col min="9761" max="9761" width="12.7265625" style="2" customWidth="1"/>
    <col min="9762" max="9762" width="6.81640625" style="2" customWidth="1"/>
    <col min="9763" max="9763" width="16.36328125" style="2" bestFit="1" customWidth="1"/>
    <col min="9764" max="9764" width="9.54296875" style="2" bestFit="1" customWidth="1"/>
    <col min="9765" max="9765" width="17.36328125" style="2" bestFit="1" customWidth="1"/>
    <col min="9766" max="9766" width="6" style="2" customWidth="1"/>
    <col min="9767" max="9767" width="13.7265625" style="2" customWidth="1"/>
    <col min="9768" max="9768" width="6" style="2" customWidth="1"/>
    <col min="9769" max="9769" width="12.7265625" style="2" customWidth="1"/>
    <col min="9770" max="9770" width="6.81640625" style="2" customWidth="1"/>
    <col min="9771" max="9771" width="12.7265625" style="2" customWidth="1"/>
    <col min="9772" max="9772" width="6.81640625" style="2" customWidth="1"/>
    <col min="9773" max="9773" width="15.36328125" style="2" bestFit="1" customWidth="1"/>
    <col min="9774" max="9774" width="9.54296875" style="2" bestFit="1" customWidth="1"/>
    <col min="9775" max="9775" width="17.36328125" style="2" bestFit="1" customWidth="1"/>
    <col min="9776" max="9776" width="8" style="2" customWidth="1"/>
    <col min="9777" max="9777" width="12.1796875" style="2" customWidth="1"/>
    <col min="9778" max="9778" width="8" style="2" customWidth="1"/>
    <col min="9779" max="9779" width="20" style="2" customWidth="1"/>
    <col min="9780" max="9780" width="15.26953125" style="2" bestFit="1" customWidth="1"/>
    <col min="9781" max="9781" width="14.26953125" style="2" bestFit="1" customWidth="1"/>
    <col min="9782" max="9782" width="13" style="2" bestFit="1" customWidth="1"/>
    <col min="9783" max="9954" width="8.7265625" style="2"/>
    <col min="9955" max="9955" width="2.7265625" style="2" customWidth="1"/>
    <col min="9956" max="9956" width="3.54296875" style="2" customWidth="1"/>
    <col min="9957" max="9957" width="7" style="2" customWidth="1"/>
    <col min="9958" max="9958" width="23" style="2" customWidth="1"/>
    <col min="9959" max="9959" width="13.26953125" style="2" customWidth="1"/>
    <col min="9960" max="9960" width="17.36328125" style="2" bestFit="1" customWidth="1"/>
    <col min="9961" max="9961" width="11.54296875" style="2" bestFit="1" customWidth="1"/>
    <col min="9962" max="9962" width="7.81640625" style="2" customWidth="1"/>
    <col min="9963" max="9963" width="11.54296875" style="2" bestFit="1" customWidth="1"/>
    <col min="9964" max="9964" width="7" style="2" customWidth="1"/>
    <col min="9965" max="9965" width="18.1796875" style="2" customWidth="1"/>
    <col min="9966" max="9966" width="7" style="2" customWidth="1"/>
    <col min="9967" max="9967" width="15.54296875" style="2" customWidth="1"/>
    <col min="9968" max="9968" width="7.81640625" style="2" customWidth="1"/>
    <col min="9969" max="9969" width="15.54296875" style="2" customWidth="1"/>
    <col min="9970" max="9970" width="7.81640625" style="2" bestFit="1" customWidth="1"/>
    <col min="9971" max="9971" width="15.7265625" style="2" bestFit="1" customWidth="1"/>
    <col min="9972" max="9972" width="7.54296875" style="2" customWidth="1"/>
    <col min="9973" max="9973" width="14" style="2" customWidth="1"/>
    <col min="9974" max="9974" width="7.81640625" style="2" customWidth="1"/>
    <col min="9975" max="9975" width="14" style="2" customWidth="1"/>
    <col min="9976" max="9976" width="7.81640625" style="2" customWidth="1"/>
    <col min="9977" max="9977" width="14" style="2" customWidth="1"/>
    <col min="9978" max="9978" width="9" style="2" customWidth="1"/>
    <col min="9979" max="9979" width="15.1796875" style="2" customWidth="1"/>
    <col min="9980" max="9980" width="13" style="2" bestFit="1" customWidth="1"/>
    <col min="9981" max="9981" width="15.1796875" style="2" bestFit="1" customWidth="1"/>
    <col min="9982" max="9982" width="7.54296875" style="2" customWidth="1"/>
    <col min="9983" max="9983" width="14" style="2" customWidth="1"/>
    <col min="9984" max="9984" width="7.81640625" style="2" customWidth="1"/>
    <col min="9985" max="9985" width="14" style="2" customWidth="1"/>
    <col min="9986" max="9986" width="7.81640625" style="2" customWidth="1"/>
    <col min="9987" max="9987" width="14" style="2" customWidth="1"/>
    <col min="9988" max="9988" width="9" style="2" bestFit="1" customWidth="1"/>
    <col min="9989" max="9989" width="15.1796875" style="2" bestFit="1" customWidth="1"/>
    <col min="9990" max="9990" width="9" style="2" bestFit="1" customWidth="1"/>
    <col min="9991" max="9991" width="15.1796875" style="2" bestFit="1" customWidth="1"/>
    <col min="9992" max="9992" width="6.36328125" style="2" customWidth="1"/>
    <col min="9993" max="9993" width="12.7265625" style="2" customWidth="1"/>
    <col min="9994" max="9994" width="6.36328125" style="2" customWidth="1"/>
    <col min="9995" max="9995" width="12.7265625" style="2" customWidth="1"/>
    <col min="9996" max="9996" width="6" style="2" customWidth="1"/>
    <col min="9997" max="9997" width="12.7265625" style="2" customWidth="1"/>
    <col min="9998" max="9998" width="9.54296875" style="2" customWidth="1"/>
    <col min="9999" max="9999" width="14" style="2" bestFit="1" customWidth="1"/>
    <col min="10000" max="10000" width="8.7265625" style="2" bestFit="1" customWidth="1"/>
    <col min="10001" max="10001" width="13.54296875" style="2" customWidth="1"/>
    <col min="10002" max="10002" width="6" style="2" customWidth="1"/>
    <col min="10003" max="10003" width="13.7265625" style="2" customWidth="1"/>
    <col min="10004" max="10004" width="6" style="2" customWidth="1"/>
    <col min="10005" max="10005" width="12.7265625" style="2" customWidth="1"/>
    <col min="10006" max="10006" width="6.81640625" style="2" customWidth="1"/>
    <col min="10007" max="10007" width="12.7265625" style="2" customWidth="1"/>
    <col min="10008" max="10008" width="6.81640625" style="2" customWidth="1"/>
    <col min="10009" max="10009" width="15.7265625" style="2" bestFit="1" customWidth="1"/>
    <col min="10010" max="10010" width="8.54296875" style="2" bestFit="1" customWidth="1"/>
    <col min="10011" max="10011" width="13.54296875" style="2" customWidth="1"/>
    <col min="10012" max="10012" width="6" style="2" customWidth="1"/>
    <col min="10013" max="10013" width="13.7265625" style="2" customWidth="1"/>
    <col min="10014" max="10014" width="6" style="2" customWidth="1"/>
    <col min="10015" max="10015" width="12.7265625" style="2" customWidth="1"/>
    <col min="10016" max="10016" width="6.81640625" style="2" customWidth="1"/>
    <col min="10017" max="10017" width="12.7265625" style="2" customWidth="1"/>
    <col min="10018" max="10018" width="6.81640625" style="2" customWidth="1"/>
    <col min="10019" max="10019" width="16.36328125" style="2" bestFit="1" customWidth="1"/>
    <col min="10020" max="10020" width="9.54296875" style="2" bestFit="1" customWidth="1"/>
    <col min="10021" max="10021" width="17.36328125" style="2" bestFit="1" customWidth="1"/>
    <col min="10022" max="10022" width="6" style="2" customWidth="1"/>
    <col min="10023" max="10023" width="13.7265625" style="2" customWidth="1"/>
    <col min="10024" max="10024" width="6" style="2" customWidth="1"/>
    <col min="10025" max="10025" width="12.7265625" style="2" customWidth="1"/>
    <col min="10026" max="10026" width="6.81640625" style="2" customWidth="1"/>
    <col min="10027" max="10027" width="12.7265625" style="2" customWidth="1"/>
    <col min="10028" max="10028" width="6.81640625" style="2" customWidth="1"/>
    <col min="10029" max="10029" width="15.36328125" style="2" bestFit="1" customWidth="1"/>
    <col min="10030" max="10030" width="9.54296875" style="2" bestFit="1" customWidth="1"/>
    <col min="10031" max="10031" width="17.36328125" style="2" bestFit="1" customWidth="1"/>
    <col min="10032" max="10032" width="8" style="2" customWidth="1"/>
    <col min="10033" max="10033" width="12.1796875" style="2" customWidth="1"/>
    <col min="10034" max="10034" width="8" style="2" customWidth="1"/>
    <col min="10035" max="10035" width="20" style="2" customWidth="1"/>
    <col min="10036" max="10036" width="15.26953125" style="2" bestFit="1" customWidth="1"/>
    <col min="10037" max="10037" width="14.26953125" style="2" bestFit="1" customWidth="1"/>
    <col min="10038" max="10038" width="13" style="2" bestFit="1" customWidth="1"/>
    <col min="10039" max="10210" width="8.7265625" style="2"/>
    <col min="10211" max="10211" width="2.7265625" style="2" customWidth="1"/>
    <col min="10212" max="10212" width="3.54296875" style="2" customWidth="1"/>
    <col min="10213" max="10213" width="7" style="2" customWidth="1"/>
    <col min="10214" max="10214" width="23" style="2" customWidth="1"/>
    <col min="10215" max="10215" width="13.26953125" style="2" customWidth="1"/>
    <col min="10216" max="10216" width="17.36328125" style="2" bestFit="1" customWidth="1"/>
    <col min="10217" max="10217" width="11.54296875" style="2" bestFit="1" customWidth="1"/>
    <col min="10218" max="10218" width="7.81640625" style="2" customWidth="1"/>
    <col min="10219" max="10219" width="11.54296875" style="2" bestFit="1" customWidth="1"/>
    <col min="10220" max="10220" width="7" style="2" customWidth="1"/>
    <col min="10221" max="10221" width="18.1796875" style="2" customWidth="1"/>
    <col min="10222" max="10222" width="7" style="2" customWidth="1"/>
    <col min="10223" max="10223" width="15.54296875" style="2" customWidth="1"/>
    <col min="10224" max="10224" width="7.81640625" style="2" customWidth="1"/>
    <col min="10225" max="10225" width="15.54296875" style="2" customWidth="1"/>
    <col min="10226" max="10226" width="7.81640625" style="2" bestFit="1" customWidth="1"/>
    <col min="10227" max="10227" width="15.7265625" style="2" bestFit="1" customWidth="1"/>
    <col min="10228" max="10228" width="7.54296875" style="2" customWidth="1"/>
    <col min="10229" max="10229" width="14" style="2" customWidth="1"/>
    <col min="10230" max="10230" width="7.81640625" style="2" customWidth="1"/>
    <col min="10231" max="10231" width="14" style="2" customWidth="1"/>
    <col min="10232" max="10232" width="7.81640625" style="2" customWidth="1"/>
    <col min="10233" max="10233" width="14" style="2" customWidth="1"/>
    <col min="10234" max="10234" width="9" style="2" customWidth="1"/>
    <col min="10235" max="10235" width="15.1796875" style="2" customWidth="1"/>
    <col min="10236" max="10236" width="13" style="2" bestFit="1" customWidth="1"/>
    <col min="10237" max="10237" width="15.1796875" style="2" bestFit="1" customWidth="1"/>
    <col min="10238" max="10238" width="7.54296875" style="2" customWidth="1"/>
    <col min="10239" max="10239" width="14" style="2" customWidth="1"/>
    <col min="10240" max="10240" width="7.81640625" style="2" customWidth="1"/>
    <col min="10241" max="10241" width="14" style="2" customWidth="1"/>
    <col min="10242" max="10242" width="7.81640625" style="2" customWidth="1"/>
    <col min="10243" max="10243" width="14" style="2" customWidth="1"/>
    <col min="10244" max="10244" width="9" style="2" bestFit="1" customWidth="1"/>
    <col min="10245" max="10245" width="15.1796875" style="2" bestFit="1" customWidth="1"/>
    <col min="10246" max="10246" width="9" style="2" bestFit="1" customWidth="1"/>
    <col min="10247" max="10247" width="15.1796875" style="2" bestFit="1" customWidth="1"/>
    <col min="10248" max="10248" width="6.36328125" style="2" customWidth="1"/>
    <col min="10249" max="10249" width="12.7265625" style="2" customWidth="1"/>
    <col min="10250" max="10250" width="6.36328125" style="2" customWidth="1"/>
    <col min="10251" max="10251" width="12.7265625" style="2" customWidth="1"/>
    <col min="10252" max="10252" width="6" style="2" customWidth="1"/>
    <col min="10253" max="10253" width="12.7265625" style="2" customWidth="1"/>
    <col min="10254" max="10254" width="9.54296875" style="2" customWidth="1"/>
    <col min="10255" max="10255" width="14" style="2" bestFit="1" customWidth="1"/>
    <col min="10256" max="10256" width="8.7265625" style="2" bestFit="1" customWidth="1"/>
    <col min="10257" max="10257" width="13.54296875" style="2" customWidth="1"/>
    <col min="10258" max="10258" width="6" style="2" customWidth="1"/>
    <col min="10259" max="10259" width="13.7265625" style="2" customWidth="1"/>
    <col min="10260" max="10260" width="6" style="2" customWidth="1"/>
    <col min="10261" max="10261" width="12.7265625" style="2" customWidth="1"/>
    <col min="10262" max="10262" width="6.81640625" style="2" customWidth="1"/>
    <col min="10263" max="10263" width="12.7265625" style="2" customWidth="1"/>
    <col min="10264" max="10264" width="6.81640625" style="2" customWidth="1"/>
    <col min="10265" max="10265" width="15.7265625" style="2" bestFit="1" customWidth="1"/>
    <col min="10266" max="10266" width="8.54296875" style="2" bestFit="1" customWidth="1"/>
    <col min="10267" max="10267" width="13.54296875" style="2" customWidth="1"/>
    <col min="10268" max="10268" width="6" style="2" customWidth="1"/>
    <col min="10269" max="10269" width="13.7265625" style="2" customWidth="1"/>
    <col min="10270" max="10270" width="6" style="2" customWidth="1"/>
    <col min="10271" max="10271" width="12.7265625" style="2" customWidth="1"/>
    <col min="10272" max="10272" width="6.81640625" style="2" customWidth="1"/>
    <col min="10273" max="10273" width="12.7265625" style="2" customWidth="1"/>
    <col min="10274" max="10274" width="6.81640625" style="2" customWidth="1"/>
    <col min="10275" max="10275" width="16.36328125" style="2" bestFit="1" customWidth="1"/>
    <col min="10276" max="10276" width="9.54296875" style="2" bestFit="1" customWidth="1"/>
    <col min="10277" max="10277" width="17.36328125" style="2" bestFit="1" customWidth="1"/>
    <col min="10278" max="10278" width="6" style="2" customWidth="1"/>
    <col min="10279" max="10279" width="13.7265625" style="2" customWidth="1"/>
    <col min="10280" max="10280" width="6" style="2" customWidth="1"/>
    <col min="10281" max="10281" width="12.7265625" style="2" customWidth="1"/>
    <col min="10282" max="10282" width="6.81640625" style="2" customWidth="1"/>
    <col min="10283" max="10283" width="12.7265625" style="2" customWidth="1"/>
    <col min="10284" max="10284" width="6.81640625" style="2" customWidth="1"/>
    <col min="10285" max="10285" width="15.36328125" style="2" bestFit="1" customWidth="1"/>
    <col min="10286" max="10286" width="9.54296875" style="2" bestFit="1" customWidth="1"/>
    <col min="10287" max="10287" width="17.36328125" style="2" bestFit="1" customWidth="1"/>
    <col min="10288" max="10288" width="8" style="2" customWidth="1"/>
    <col min="10289" max="10289" width="12.1796875" style="2" customWidth="1"/>
    <col min="10290" max="10290" width="8" style="2" customWidth="1"/>
    <col min="10291" max="10291" width="20" style="2" customWidth="1"/>
    <col min="10292" max="10292" width="15.26953125" style="2" bestFit="1" customWidth="1"/>
    <col min="10293" max="10293" width="14.26953125" style="2" bestFit="1" customWidth="1"/>
    <col min="10294" max="10294" width="13" style="2" bestFit="1" customWidth="1"/>
    <col min="10295" max="10466" width="8.7265625" style="2"/>
    <col min="10467" max="10467" width="2.7265625" style="2" customWidth="1"/>
    <col min="10468" max="10468" width="3.54296875" style="2" customWidth="1"/>
    <col min="10469" max="10469" width="7" style="2" customWidth="1"/>
    <col min="10470" max="10470" width="23" style="2" customWidth="1"/>
    <col min="10471" max="10471" width="13.26953125" style="2" customWidth="1"/>
    <col min="10472" max="10472" width="17.36328125" style="2" bestFit="1" customWidth="1"/>
    <col min="10473" max="10473" width="11.54296875" style="2" bestFit="1" customWidth="1"/>
    <col min="10474" max="10474" width="7.81640625" style="2" customWidth="1"/>
    <col min="10475" max="10475" width="11.54296875" style="2" bestFit="1" customWidth="1"/>
    <col min="10476" max="10476" width="7" style="2" customWidth="1"/>
    <col min="10477" max="10477" width="18.1796875" style="2" customWidth="1"/>
    <col min="10478" max="10478" width="7" style="2" customWidth="1"/>
    <col min="10479" max="10479" width="15.54296875" style="2" customWidth="1"/>
    <col min="10480" max="10480" width="7.81640625" style="2" customWidth="1"/>
    <col min="10481" max="10481" width="15.54296875" style="2" customWidth="1"/>
    <col min="10482" max="10482" width="7.81640625" style="2" bestFit="1" customWidth="1"/>
    <col min="10483" max="10483" width="15.7265625" style="2" bestFit="1" customWidth="1"/>
    <col min="10484" max="10484" width="7.54296875" style="2" customWidth="1"/>
    <col min="10485" max="10485" width="14" style="2" customWidth="1"/>
    <col min="10486" max="10486" width="7.81640625" style="2" customWidth="1"/>
    <col min="10487" max="10487" width="14" style="2" customWidth="1"/>
    <col min="10488" max="10488" width="7.81640625" style="2" customWidth="1"/>
    <col min="10489" max="10489" width="14" style="2" customWidth="1"/>
    <col min="10490" max="10490" width="9" style="2" customWidth="1"/>
    <col min="10491" max="10491" width="15.1796875" style="2" customWidth="1"/>
    <col min="10492" max="10492" width="13" style="2" bestFit="1" customWidth="1"/>
    <col min="10493" max="10493" width="15.1796875" style="2" bestFit="1" customWidth="1"/>
    <col min="10494" max="10494" width="7.54296875" style="2" customWidth="1"/>
    <col min="10495" max="10495" width="14" style="2" customWidth="1"/>
    <col min="10496" max="10496" width="7.81640625" style="2" customWidth="1"/>
    <col min="10497" max="10497" width="14" style="2" customWidth="1"/>
    <col min="10498" max="10498" width="7.81640625" style="2" customWidth="1"/>
    <col min="10499" max="10499" width="14" style="2" customWidth="1"/>
    <col min="10500" max="10500" width="9" style="2" bestFit="1" customWidth="1"/>
    <col min="10501" max="10501" width="15.1796875" style="2" bestFit="1" customWidth="1"/>
    <col min="10502" max="10502" width="9" style="2" bestFit="1" customWidth="1"/>
    <col min="10503" max="10503" width="15.1796875" style="2" bestFit="1" customWidth="1"/>
    <col min="10504" max="10504" width="6.36328125" style="2" customWidth="1"/>
    <col min="10505" max="10505" width="12.7265625" style="2" customWidth="1"/>
    <col min="10506" max="10506" width="6.36328125" style="2" customWidth="1"/>
    <col min="10507" max="10507" width="12.7265625" style="2" customWidth="1"/>
    <col min="10508" max="10508" width="6" style="2" customWidth="1"/>
    <col min="10509" max="10509" width="12.7265625" style="2" customWidth="1"/>
    <col min="10510" max="10510" width="9.54296875" style="2" customWidth="1"/>
    <col min="10511" max="10511" width="14" style="2" bestFit="1" customWidth="1"/>
    <col min="10512" max="10512" width="8.7265625" style="2" bestFit="1" customWidth="1"/>
    <col min="10513" max="10513" width="13.54296875" style="2" customWidth="1"/>
    <col min="10514" max="10514" width="6" style="2" customWidth="1"/>
    <col min="10515" max="10515" width="13.7265625" style="2" customWidth="1"/>
    <col min="10516" max="10516" width="6" style="2" customWidth="1"/>
    <col min="10517" max="10517" width="12.7265625" style="2" customWidth="1"/>
    <col min="10518" max="10518" width="6.81640625" style="2" customWidth="1"/>
    <col min="10519" max="10519" width="12.7265625" style="2" customWidth="1"/>
    <col min="10520" max="10520" width="6.81640625" style="2" customWidth="1"/>
    <col min="10521" max="10521" width="15.7265625" style="2" bestFit="1" customWidth="1"/>
    <col min="10522" max="10522" width="8.54296875" style="2" bestFit="1" customWidth="1"/>
    <col min="10523" max="10523" width="13.54296875" style="2" customWidth="1"/>
    <col min="10524" max="10524" width="6" style="2" customWidth="1"/>
    <col min="10525" max="10525" width="13.7265625" style="2" customWidth="1"/>
    <col min="10526" max="10526" width="6" style="2" customWidth="1"/>
    <col min="10527" max="10527" width="12.7265625" style="2" customWidth="1"/>
    <col min="10528" max="10528" width="6.81640625" style="2" customWidth="1"/>
    <col min="10529" max="10529" width="12.7265625" style="2" customWidth="1"/>
    <col min="10530" max="10530" width="6.81640625" style="2" customWidth="1"/>
    <col min="10531" max="10531" width="16.36328125" style="2" bestFit="1" customWidth="1"/>
    <col min="10532" max="10532" width="9.54296875" style="2" bestFit="1" customWidth="1"/>
    <col min="10533" max="10533" width="17.36328125" style="2" bestFit="1" customWidth="1"/>
    <col min="10534" max="10534" width="6" style="2" customWidth="1"/>
    <col min="10535" max="10535" width="13.7265625" style="2" customWidth="1"/>
    <col min="10536" max="10536" width="6" style="2" customWidth="1"/>
    <col min="10537" max="10537" width="12.7265625" style="2" customWidth="1"/>
    <col min="10538" max="10538" width="6.81640625" style="2" customWidth="1"/>
    <col min="10539" max="10539" width="12.7265625" style="2" customWidth="1"/>
    <col min="10540" max="10540" width="6.81640625" style="2" customWidth="1"/>
    <col min="10541" max="10541" width="15.36328125" style="2" bestFit="1" customWidth="1"/>
    <col min="10542" max="10542" width="9.54296875" style="2" bestFit="1" customWidth="1"/>
    <col min="10543" max="10543" width="17.36328125" style="2" bestFit="1" customWidth="1"/>
    <col min="10544" max="10544" width="8" style="2" customWidth="1"/>
    <col min="10545" max="10545" width="12.1796875" style="2" customWidth="1"/>
    <col min="10546" max="10546" width="8" style="2" customWidth="1"/>
    <col min="10547" max="10547" width="20" style="2" customWidth="1"/>
    <col min="10548" max="10548" width="15.26953125" style="2" bestFit="1" customWidth="1"/>
    <col min="10549" max="10549" width="14.26953125" style="2" bestFit="1" customWidth="1"/>
    <col min="10550" max="10550" width="13" style="2" bestFit="1" customWidth="1"/>
    <col min="10551" max="10722" width="8.7265625" style="2"/>
    <col min="10723" max="10723" width="2.7265625" style="2" customWidth="1"/>
    <col min="10724" max="10724" width="3.54296875" style="2" customWidth="1"/>
    <col min="10725" max="10725" width="7" style="2" customWidth="1"/>
    <col min="10726" max="10726" width="23" style="2" customWidth="1"/>
    <col min="10727" max="10727" width="13.26953125" style="2" customWidth="1"/>
    <col min="10728" max="10728" width="17.36328125" style="2" bestFit="1" customWidth="1"/>
    <col min="10729" max="10729" width="11.54296875" style="2" bestFit="1" customWidth="1"/>
    <col min="10730" max="10730" width="7.81640625" style="2" customWidth="1"/>
    <col min="10731" max="10731" width="11.54296875" style="2" bestFit="1" customWidth="1"/>
    <col min="10732" max="10732" width="7" style="2" customWidth="1"/>
    <col min="10733" max="10733" width="18.1796875" style="2" customWidth="1"/>
    <col min="10734" max="10734" width="7" style="2" customWidth="1"/>
    <col min="10735" max="10735" width="15.54296875" style="2" customWidth="1"/>
    <col min="10736" max="10736" width="7.81640625" style="2" customWidth="1"/>
    <col min="10737" max="10737" width="15.54296875" style="2" customWidth="1"/>
    <col min="10738" max="10738" width="7.81640625" style="2" bestFit="1" customWidth="1"/>
    <col min="10739" max="10739" width="15.7265625" style="2" bestFit="1" customWidth="1"/>
    <col min="10740" max="10740" width="7.54296875" style="2" customWidth="1"/>
    <col min="10741" max="10741" width="14" style="2" customWidth="1"/>
    <col min="10742" max="10742" width="7.81640625" style="2" customWidth="1"/>
    <col min="10743" max="10743" width="14" style="2" customWidth="1"/>
    <col min="10744" max="10744" width="7.81640625" style="2" customWidth="1"/>
    <col min="10745" max="10745" width="14" style="2" customWidth="1"/>
    <col min="10746" max="10746" width="9" style="2" customWidth="1"/>
    <col min="10747" max="10747" width="15.1796875" style="2" customWidth="1"/>
    <col min="10748" max="10748" width="13" style="2" bestFit="1" customWidth="1"/>
    <col min="10749" max="10749" width="15.1796875" style="2" bestFit="1" customWidth="1"/>
    <col min="10750" max="10750" width="7.54296875" style="2" customWidth="1"/>
    <col min="10751" max="10751" width="14" style="2" customWidth="1"/>
    <col min="10752" max="10752" width="7.81640625" style="2" customWidth="1"/>
    <col min="10753" max="10753" width="14" style="2" customWidth="1"/>
    <col min="10754" max="10754" width="7.81640625" style="2" customWidth="1"/>
    <col min="10755" max="10755" width="14" style="2" customWidth="1"/>
    <col min="10756" max="10756" width="9" style="2" bestFit="1" customWidth="1"/>
    <col min="10757" max="10757" width="15.1796875" style="2" bestFit="1" customWidth="1"/>
    <col min="10758" max="10758" width="9" style="2" bestFit="1" customWidth="1"/>
    <col min="10759" max="10759" width="15.1796875" style="2" bestFit="1" customWidth="1"/>
    <col min="10760" max="10760" width="6.36328125" style="2" customWidth="1"/>
    <col min="10761" max="10761" width="12.7265625" style="2" customWidth="1"/>
    <col min="10762" max="10762" width="6.36328125" style="2" customWidth="1"/>
    <col min="10763" max="10763" width="12.7265625" style="2" customWidth="1"/>
    <col min="10764" max="10764" width="6" style="2" customWidth="1"/>
    <col min="10765" max="10765" width="12.7265625" style="2" customWidth="1"/>
    <col min="10766" max="10766" width="9.54296875" style="2" customWidth="1"/>
    <col min="10767" max="10767" width="14" style="2" bestFit="1" customWidth="1"/>
    <col min="10768" max="10768" width="8.7265625" style="2" bestFit="1" customWidth="1"/>
    <col min="10769" max="10769" width="13.54296875" style="2" customWidth="1"/>
    <col min="10770" max="10770" width="6" style="2" customWidth="1"/>
    <col min="10771" max="10771" width="13.7265625" style="2" customWidth="1"/>
    <col min="10772" max="10772" width="6" style="2" customWidth="1"/>
    <col min="10773" max="10773" width="12.7265625" style="2" customWidth="1"/>
    <col min="10774" max="10774" width="6.81640625" style="2" customWidth="1"/>
    <col min="10775" max="10775" width="12.7265625" style="2" customWidth="1"/>
    <col min="10776" max="10776" width="6.81640625" style="2" customWidth="1"/>
    <col min="10777" max="10777" width="15.7265625" style="2" bestFit="1" customWidth="1"/>
    <col min="10778" max="10778" width="8.54296875" style="2" bestFit="1" customWidth="1"/>
    <col min="10779" max="10779" width="13.54296875" style="2" customWidth="1"/>
    <col min="10780" max="10780" width="6" style="2" customWidth="1"/>
    <col min="10781" max="10781" width="13.7265625" style="2" customWidth="1"/>
    <col min="10782" max="10782" width="6" style="2" customWidth="1"/>
    <col min="10783" max="10783" width="12.7265625" style="2" customWidth="1"/>
    <col min="10784" max="10784" width="6.81640625" style="2" customWidth="1"/>
    <col min="10785" max="10785" width="12.7265625" style="2" customWidth="1"/>
    <col min="10786" max="10786" width="6.81640625" style="2" customWidth="1"/>
    <col min="10787" max="10787" width="16.36328125" style="2" bestFit="1" customWidth="1"/>
    <col min="10788" max="10788" width="9.54296875" style="2" bestFit="1" customWidth="1"/>
    <col min="10789" max="10789" width="17.36328125" style="2" bestFit="1" customWidth="1"/>
    <col min="10790" max="10790" width="6" style="2" customWidth="1"/>
    <col min="10791" max="10791" width="13.7265625" style="2" customWidth="1"/>
    <col min="10792" max="10792" width="6" style="2" customWidth="1"/>
    <col min="10793" max="10793" width="12.7265625" style="2" customWidth="1"/>
    <col min="10794" max="10794" width="6.81640625" style="2" customWidth="1"/>
    <col min="10795" max="10795" width="12.7265625" style="2" customWidth="1"/>
    <col min="10796" max="10796" width="6.81640625" style="2" customWidth="1"/>
    <col min="10797" max="10797" width="15.36328125" style="2" bestFit="1" customWidth="1"/>
    <col min="10798" max="10798" width="9.54296875" style="2" bestFit="1" customWidth="1"/>
    <col min="10799" max="10799" width="17.36328125" style="2" bestFit="1" customWidth="1"/>
    <col min="10800" max="10800" width="8" style="2" customWidth="1"/>
    <col min="10801" max="10801" width="12.1796875" style="2" customWidth="1"/>
    <col min="10802" max="10802" width="8" style="2" customWidth="1"/>
    <col min="10803" max="10803" width="20" style="2" customWidth="1"/>
    <col min="10804" max="10804" width="15.26953125" style="2" bestFit="1" customWidth="1"/>
    <col min="10805" max="10805" width="14.26953125" style="2" bestFit="1" customWidth="1"/>
    <col min="10806" max="10806" width="13" style="2" bestFit="1" customWidth="1"/>
    <col min="10807" max="10978" width="8.7265625" style="2"/>
    <col min="10979" max="10979" width="2.7265625" style="2" customWidth="1"/>
    <col min="10980" max="10980" width="3.54296875" style="2" customWidth="1"/>
    <col min="10981" max="10981" width="7" style="2" customWidth="1"/>
    <col min="10982" max="10982" width="23" style="2" customWidth="1"/>
    <col min="10983" max="10983" width="13.26953125" style="2" customWidth="1"/>
    <col min="10984" max="10984" width="17.36328125" style="2" bestFit="1" customWidth="1"/>
    <col min="10985" max="10985" width="11.54296875" style="2" bestFit="1" customWidth="1"/>
    <col min="10986" max="10986" width="7.81640625" style="2" customWidth="1"/>
    <col min="10987" max="10987" width="11.54296875" style="2" bestFit="1" customWidth="1"/>
    <col min="10988" max="10988" width="7" style="2" customWidth="1"/>
    <col min="10989" max="10989" width="18.1796875" style="2" customWidth="1"/>
    <col min="10990" max="10990" width="7" style="2" customWidth="1"/>
    <col min="10991" max="10991" width="15.54296875" style="2" customWidth="1"/>
    <col min="10992" max="10992" width="7.81640625" style="2" customWidth="1"/>
    <col min="10993" max="10993" width="15.54296875" style="2" customWidth="1"/>
    <col min="10994" max="10994" width="7.81640625" style="2" bestFit="1" customWidth="1"/>
    <col min="10995" max="10995" width="15.7265625" style="2" bestFit="1" customWidth="1"/>
    <col min="10996" max="10996" width="7.54296875" style="2" customWidth="1"/>
    <col min="10997" max="10997" width="14" style="2" customWidth="1"/>
    <col min="10998" max="10998" width="7.81640625" style="2" customWidth="1"/>
    <col min="10999" max="10999" width="14" style="2" customWidth="1"/>
    <col min="11000" max="11000" width="7.81640625" style="2" customWidth="1"/>
    <col min="11001" max="11001" width="14" style="2" customWidth="1"/>
    <col min="11002" max="11002" width="9" style="2" customWidth="1"/>
    <col min="11003" max="11003" width="15.1796875" style="2" customWidth="1"/>
    <col min="11004" max="11004" width="13" style="2" bestFit="1" customWidth="1"/>
    <col min="11005" max="11005" width="15.1796875" style="2" bestFit="1" customWidth="1"/>
    <col min="11006" max="11006" width="7.54296875" style="2" customWidth="1"/>
    <col min="11007" max="11007" width="14" style="2" customWidth="1"/>
    <col min="11008" max="11008" width="7.81640625" style="2" customWidth="1"/>
    <col min="11009" max="11009" width="14" style="2" customWidth="1"/>
    <col min="11010" max="11010" width="7.81640625" style="2" customWidth="1"/>
    <col min="11011" max="11011" width="14" style="2" customWidth="1"/>
    <col min="11012" max="11012" width="9" style="2" bestFit="1" customWidth="1"/>
    <col min="11013" max="11013" width="15.1796875" style="2" bestFit="1" customWidth="1"/>
    <col min="11014" max="11014" width="9" style="2" bestFit="1" customWidth="1"/>
    <col min="11015" max="11015" width="15.1796875" style="2" bestFit="1" customWidth="1"/>
    <col min="11016" max="11016" width="6.36328125" style="2" customWidth="1"/>
    <col min="11017" max="11017" width="12.7265625" style="2" customWidth="1"/>
    <col min="11018" max="11018" width="6.36328125" style="2" customWidth="1"/>
    <col min="11019" max="11019" width="12.7265625" style="2" customWidth="1"/>
    <col min="11020" max="11020" width="6" style="2" customWidth="1"/>
    <col min="11021" max="11021" width="12.7265625" style="2" customWidth="1"/>
    <col min="11022" max="11022" width="9.54296875" style="2" customWidth="1"/>
    <col min="11023" max="11023" width="14" style="2" bestFit="1" customWidth="1"/>
    <col min="11024" max="11024" width="8.7265625" style="2" bestFit="1" customWidth="1"/>
    <col min="11025" max="11025" width="13.54296875" style="2" customWidth="1"/>
    <col min="11026" max="11026" width="6" style="2" customWidth="1"/>
    <col min="11027" max="11027" width="13.7265625" style="2" customWidth="1"/>
    <col min="11028" max="11028" width="6" style="2" customWidth="1"/>
    <col min="11029" max="11029" width="12.7265625" style="2" customWidth="1"/>
    <col min="11030" max="11030" width="6.81640625" style="2" customWidth="1"/>
    <col min="11031" max="11031" width="12.7265625" style="2" customWidth="1"/>
    <col min="11032" max="11032" width="6.81640625" style="2" customWidth="1"/>
    <col min="11033" max="11033" width="15.7265625" style="2" bestFit="1" customWidth="1"/>
    <col min="11034" max="11034" width="8.54296875" style="2" bestFit="1" customWidth="1"/>
    <col min="11035" max="11035" width="13.54296875" style="2" customWidth="1"/>
    <col min="11036" max="11036" width="6" style="2" customWidth="1"/>
    <col min="11037" max="11037" width="13.7265625" style="2" customWidth="1"/>
    <col min="11038" max="11038" width="6" style="2" customWidth="1"/>
    <col min="11039" max="11039" width="12.7265625" style="2" customWidth="1"/>
    <col min="11040" max="11040" width="6.81640625" style="2" customWidth="1"/>
    <col min="11041" max="11041" width="12.7265625" style="2" customWidth="1"/>
    <col min="11042" max="11042" width="6.81640625" style="2" customWidth="1"/>
    <col min="11043" max="11043" width="16.36328125" style="2" bestFit="1" customWidth="1"/>
    <col min="11044" max="11044" width="9.54296875" style="2" bestFit="1" customWidth="1"/>
    <col min="11045" max="11045" width="17.36328125" style="2" bestFit="1" customWidth="1"/>
    <col min="11046" max="11046" width="6" style="2" customWidth="1"/>
    <col min="11047" max="11047" width="13.7265625" style="2" customWidth="1"/>
    <col min="11048" max="11048" width="6" style="2" customWidth="1"/>
    <col min="11049" max="11049" width="12.7265625" style="2" customWidth="1"/>
    <col min="11050" max="11050" width="6.81640625" style="2" customWidth="1"/>
    <col min="11051" max="11051" width="12.7265625" style="2" customWidth="1"/>
    <col min="11052" max="11052" width="6.81640625" style="2" customWidth="1"/>
    <col min="11053" max="11053" width="15.36328125" style="2" bestFit="1" customWidth="1"/>
    <col min="11054" max="11054" width="9.54296875" style="2" bestFit="1" customWidth="1"/>
    <col min="11055" max="11055" width="17.36328125" style="2" bestFit="1" customWidth="1"/>
    <col min="11056" max="11056" width="8" style="2" customWidth="1"/>
    <col min="11057" max="11057" width="12.1796875" style="2" customWidth="1"/>
    <col min="11058" max="11058" width="8" style="2" customWidth="1"/>
    <col min="11059" max="11059" width="20" style="2" customWidth="1"/>
    <col min="11060" max="11060" width="15.26953125" style="2" bestFit="1" customWidth="1"/>
    <col min="11061" max="11061" width="14.26953125" style="2" bestFit="1" customWidth="1"/>
    <col min="11062" max="11062" width="13" style="2" bestFit="1" customWidth="1"/>
    <col min="11063" max="11234" width="8.7265625" style="2"/>
    <col min="11235" max="11235" width="2.7265625" style="2" customWidth="1"/>
    <col min="11236" max="11236" width="3.54296875" style="2" customWidth="1"/>
    <col min="11237" max="11237" width="7" style="2" customWidth="1"/>
    <col min="11238" max="11238" width="23" style="2" customWidth="1"/>
    <col min="11239" max="11239" width="13.26953125" style="2" customWidth="1"/>
    <col min="11240" max="11240" width="17.36328125" style="2" bestFit="1" customWidth="1"/>
    <col min="11241" max="11241" width="11.54296875" style="2" bestFit="1" customWidth="1"/>
    <col min="11242" max="11242" width="7.81640625" style="2" customWidth="1"/>
    <col min="11243" max="11243" width="11.54296875" style="2" bestFit="1" customWidth="1"/>
    <col min="11244" max="11244" width="7" style="2" customWidth="1"/>
    <col min="11245" max="11245" width="18.1796875" style="2" customWidth="1"/>
    <col min="11246" max="11246" width="7" style="2" customWidth="1"/>
    <col min="11247" max="11247" width="15.54296875" style="2" customWidth="1"/>
    <col min="11248" max="11248" width="7.81640625" style="2" customWidth="1"/>
    <col min="11249" max="11249" width="15.54296875" style="2" customWidth="1"/>
    <col min="11250" max="11250" width="7.81640625" style="2" bestFit="1" customWidth="1"/>
    <col min="11251" max="11251" width="15.7265625" style="2" bestFit="1" customWidth="1"/>
    <col min="11252" max="11252" width="7.54296875" style="2" customWidth="1"/>
    <col min="11253" max="11253" width="14" style="2" customWidth="1"/>
    <col min="11254" max="11254" width="7.81640625" style="2" customWidth="1"/>
    <col min="11255" max="11255" width="14" style="2" customWidth="1"/>
    <col min="11256" max="11256" width="7.81640625" style="2" customWidth="1"/>
    <col min="11257" max="11257" width="14" style="2" customWidth="1"/>
    <col min="11258" max="11258" width="9" style="2" customWidth="1"/>
    <col min="11259" max="11259" width="15.1796875" style="2" customWidth="1"/>
    <col min="11260" max="11260" width="13" style="2" bestFit="1" customWidth="1"/>
    <col min="11261" max="11261" width="15.1796875" style="2" bestFit="1" customWidth="1"/>
    <col min="11262" max="11262" width="7.54296875" style="2" customWidth="1"/>
    <col min="11263" max="11263" width="14" style="2" customWidth="1"/>
    <col min="11264" max="11264" width="7.81640625" style="2" customWidth="1"/>
    <col min="11265" max="11265" width="14" style="2" customWidth="1"/>
    <col min="11266" max="11266" width="7.81640625" style="2" customWidth="1"/>
    <col min="11267" max="11267" width="14" style="2" customWidth="1"/>
    <col min="11268" max="11268" width="9" style="2" bestFit="1" customWidth="1"/>
    <col min="11269" max="11269" width="15.1796875" style="2" bestFit="1" customWidth="1"/>
    <col min="11270" max="11270" width="9" style="2" bestFit="1" customWidth="1"/>
    <col min="11271" max="11271" width="15.1796875" style="2" bestFit="1" customWidth="1"/>
    <col min="11272" max="11272" width="6.36328125" style="2" customWidth="1"/>
    <col min="11273" max="11273" width="12.7265625" style="2" customWidth="1"/>
    <col min="11274" max="11274" width="6.36328125" style="2" customWidth="1"/>
    <col min="11275" max="11275" width="12.7265625" style="2" customWidth="1"/>
    <col min="11276" max="11276" width="6" style="2" customWidth="1"/>
    <col min="11277" max="11277" width="12.7265625" style="2" customWidth="1"/>
    <col min="11278" max="11278" width="9.54296875" style="2" customWidth="1"/>
    <col min="11279" max="11279" width="14" style="2" bestFit="1" customWidth="1"/>
    <col min="11280" max="11280" width="8.7265625" style="2" bestFit="1" customWidth="1"/>
    <col min="11281" max="11281" width="13.54296875" style="2" customWidth="1"/>
    <col min="11282" max="11282" width="6" style="2" customWidth="1"/>
    <col min="11283" max="11283" width="13.7265625" style="2" customWidth="1"/>
    <col min="11284" max="11284" width="6" style="2" customWidth="1"/>
    <col min="11285" max="11285" width="12.7265625" style="2" customWidth="1"/>
    <col min="11286" max="11286" width="6.81640625" style="2" customWidth="1"/>
    <col min="11287" max="11287" width="12.7265625" style="2" customWidth="1"/>
    <col min="11288" max="11288" width="6.81640625" style="2" customWidth="1"/>
    <col min="11289" max="11289" width="15.7265625" style="2" bestFit="1" customWidth="1"/>
    <col min="11290" max="11290" width="8.54296875" style="2" bestFit="1" customWidth="1"/>
    <col min="11291" max="11291" width="13.54296875" style="2" customWidth="1"/>
    <col min="11292" max="11292" width="6" style="2" customWidth="1"/>
    <col min="11293" max="11293" width="13.7265625" style="2" customWidth="1"/>
    <col min="11294" max="11294" width="6" style="2" customWidth="1"/>
    <col min="11295" max="11295" width="12.7265625" style="2" customWidth="1"/>
    <col min="11296" max="11296" width="6.81640625" style="2" customWidth="1"/>
    <col min="11297" max="11297" width="12.7265625" style="2" customWidth="1"/>
    <col min="11298" max="11298" width="6.81640625" style="2" customWidth="1"/>
    <col min="11299" max="11299" width="16.36328125" style="2" bestFit="1" customWidth="1"/>
    <col min="11300" max="11300" width="9.54296875" style="2" bestFit="1" customWidth="1"/>
    <col min="11301" max="11301" width="17.36328125" style="2" bestFit="1" customWidth="1"/>
    <col min="11302" max="11302" width="6" style="2" customWidth="1"/>
    <col min="11303" max="11303" width="13.7265625" style="2" customWidth="1"/>
    <col min="11304" max="11304" width="6" style="2" customWidth="1"/>
    <col min="11305" max="11305" width="12.7265625" style="2" customWidth="1"/>
    <col min="11306" max="11306" width="6.81640625" style="2" customWidth="1"/>
    <col min="11307" max="11307" width="12.7265625" style="2" customWidth="1"/>
    <col min="11308" max="11308" width="6.81640625" style="2" customWidth="1"/>
    <col min="11309" max="11309" width="15.36328125" style="2" bestFit="1" customWidth="1"/>
    <col min="11310" max="11310" width="9.54296875" style="2" bestFit="1" customWidth="1"/>
    <col min="11311" max="11311" width="17.36328125" style="2" bestFit="1" customWidth="1"/>
    <col min="11312" max="11312" width="8" style="2" customWidth="1"/>
    <col min="11313" max="11313" width="12.1796875" style="2" customWidth="1"/>
    <col min="11314" max="11314" width="8" style="2" customWidth="1"/>
    <col min="11315" max="11315" width="20" style="2" customWidth="1"/>
    <col min="11316" max="11316" width="15.26953125" style="2" bestFit="1" customWidth="1"/>
    <col min="11317" max="11317" width="14.26953125" style="2" bestFit="1" customWidth="1"/>
    <col min="11318" max="11318" width="13" style="2" bestFit="1" customWidth="1"/>
    <col min="11319" max="11490" width="8.7265625" style="2"/>
    <col min="11491" max="11491" width="2.7265625" style="2" customWidth="1"/>
    <col min="11492" max="11492" width="3.54296875" style="2" customWidth="1"/>
    <col min="11493" max="11493" width="7" style="2" customWidth="1"/>
    <col min="11494" max="11494" width="23" style="2" customWidth="1"/>
    <col min="11495" max="11495" width="13.26953125" style="2" customWidth="1"/>
    <col min="11496" max="11496" width="17.36328125" style="2" bestFit="1" customWidth="1"/>
    <col min="11497" max="11497" width="11.54296875" style="2" bestFit="1" customWidth="1"/>
    <col min="11498" max="11498" width="7.81640625" style="2" customWidth="1"/>
    <col min="11499" max="11499" width="11.54296875" style="2" bestFit="1" customWidth="1"/>
    <col min="11500" max="11500" width="7" style="2" customWidth="1"/>
    <col min="11501" max="11501" width="18.1796875" style="2" customWidth="1"/>
    <col min="11502" max="11502" width="7" style="2" customWidth="1"/>
    <col min="11503" max="11503" width="15.54296875" style="2" customWidth="1"/>
    <col min="11504" max="11504" width="7.81640625" style="2" customWidth="1"/>
    <col min="11505" max="11505" width="15.54296875" style="2" customWidth="1"/>
    <col min="11506" max="11506" width="7.81640625" style="2" bestFit="1" customWidth="1"/>
    <col min="11507" max="11507" width="15.7265625" style="2" bestFit="1" customWidth="1"/>
    <col min="11508" max="11508" width="7.54296875" style="2" customWidth="1"/>
    <col min="11509" max="11509" width="14" style="2" customWidth="1"/>
    <col min="11510" max="11510" width="7.81640625" style="2" customWidth="1"/>
    <col min="11511" max="11511" width="14" style="2" customWidth="1"/>
    <col min="11512" max="11512" width="7.81640625" style="2" customWidth="1"/>
    <col min="11513" max="11513" width="14" style="2" customWidth="1"/>
    <col min="11514" max="11514" width="9" style="2" customWidth="1"/>
    <col min="11515" max="11515" width="15.1796875" style="2" customWidth="1"/>
    <col min="11516" max="11516" width="13" style="2" bestFit="1" customWidth="1"/>
    <col min="11517" max="11517" width="15.1796875" style="2" bestFit="1" customWidth="1"/>
    <col min="11518" max="11518" width="7.54296875" style="2" customWidth="1"/>
    <col min="11519" max="11519" width="14" style="2" customWidth="1"/>
    <col min="11520" max="11520" width="7.81640625" style="2" customWidth="1"/>
    <col min="11521" max="11521" width="14" style="2" customWidth="1"/>
    <col min="11522" max="11522" width="7.81640625" style="2" customWidth="1"/>
    <col min="11523" max="11523" width="14" style="2" customWidth="1"/>
    <col min="11524" max="11524" width="9" style="2" bestFit="1" customWidth="1"/>
    <col min="11525" max="11525" width="15.1796875" style="2" bestFit="1" customWidth="1"/>
    <col min="11526" max="11526" width="9" style="2" bestFit="1" customWidth="1"/>
    <col min="11527" max="11527" width="15.1796875" style="2" bestFit="1" customWidth="1"/>
    <col min="11528" max="11528" width="6.36328125" style="2" customWidth="1"/>
    <col min="11529" max="11529" width="12.7265625" style="2" customWidth="1"/>
    <col min="11530" max="11530" width="6.36328125" style="2" customWidth="1"/>
    <col min="11531" max="11531" width="12.7265625" style="2" customWidth="1"/>
    <col min="11532" max="11532" width="6" style="2" customWidth="1"/>
    <col min="11533" max="11533" width="12.7265625" style="2" customWidth="1"/>
    <col min="11534" max="11534" width="9.54296875" style="2" customWidth="1"/>
    <col min="11535" max="11535" width="14" style="2" bestFit="1" customWidth="1"/>
    <col min="11536" max="11536" width="8.7265625" style="2" bestFit="1" customWidth="1"/>
    <col min="11537" max="11537" width="13.54296875" style="2" customWidth="1"/>
    <col min="11538" max="11538" width="6" style="2" customWidth="1"/>
    <col min="11539" max="11539" width="13.7265625" style="2" customWidth="1"/>
    <col min="11540" max="11540" width="6" style="2" customWidth="1"/>
    <col min="11541" max="11541" width="12.7265625" style="2" customWidth="1"/>
    <col min="11542" max="11542" width="6.81640625" style="2" customWidth="1"/>
    <col min="11543" max="11543" width="12.7265625" style="2" customWidth="1"/>
    <col min="11544" max="11544" width="6.81640625" style="2" customWidth="1"/>
    <col min="11545" max="11545" width="15.7265625" style="2" bestFit="1" customWidth="1"/>
    <col min="11546" max="11546" width="8.54296875" style="2" bestFit="1" customWidth="1"/>
    <col min="11547" max="11547" width="13.54296875" style="2" customWidth="1"/>
    <col min="11548" max="11548" width="6" style="2" customWidth="1"/>
    <col min="11549" max="11549" width="13.7265625" style="2" customWidth="1"/>
    <col min="11550" max="11550" width="6" style="2" customWidth="1"/>
    <col min="11551" max="11551" width="12.7265625" style="2" customWidth="1"/>
    <col min="11552" max="11552" width="6.81640625" style="2" customWidth="1"/>
    <col min="11553" max="11553" width="12.7265625" style="2" customWidth="1"/>
    <col min="11554" max="11554" width="6.81640625" style="2" customWidth="1"/>
    <col min="11555" max="11555" width="16.36328125" style="2" bestFit="1" customWidth="1"/>
    <col min="11556" max="11556" width="9.54296875" style="2" bestFit="1" customWidth="1"/>
    <col min="11557" max="11557" width="17.36328125" style="2" bestFit="1" customWidth="1"/>
    <col min="11558" max="11558" width="6" style="2" customWidth="1"/>
    <col min="11559" max="11559" width="13.7265625" style="2" customWidth="1"/>
    <col min="11560" max="11560" width="6" style="2" customWidth="1"/>
    <col min="11561" max="11561" width="12.7265625" style="2" customWidth="1"/>
    <col min="11562" max="11562" width="6.81640625" style="2" customWidth="1"/>
    <col min="11563" max="11563" width="12.7265625" style="2" customWidth="1"/>
    <col min="11564" max="11564" width="6.81640625" style="2" customWidth="1"/>
    <col min="11565" max="11565" width="15.36328125" style="2" bestFit="1" customWidth="1"/>
    <col min="11566" max="11566" width="9.54296875" style="2" bestFit="1" customWidth="1"/>
    <col min="11567" max="11567" width="17.36328125" style="2" bestFit="1" customWidth="1"/>
    <col min="11568" max="11568" width="8" style="2" customWidth="1"/>
    <col min="11569" max="11569" width="12.1796875" style="2" customWidth="1"/>
    <col min="11570" max="11570" width="8" style="2" customWidth="1"/>
    <col min="11571" max="11571" width="20" style="2" customWidth="1"/>
    <col min="11572" max="11572" width="15.26953125" style="2" bestFit="1" customWidth="1"/>
    <col min="11573" max="11573" width="14.26953125" style="2" bestFit="1" customWidth="1"/>
    <col min="11574" max="11574" width="13" style="2" bestFit="1" customWidth="1"/>
    <col min="11575" max="11746" width="8.7265625" style="2"/>
    <col min="11747" max="11747" width="2.7265625" style="2" customWidth="1"/>
    <col min="11748" max="11748" width="3.54296875" style="2" customWidth="1"/>
    <col min="11749" max="11749" width="7" style="2" customWidth="1"/>
    <col min="11750" max="11750" width="23" style="2" customWidth="1"/>
    <col min="11751" max="11751" width="13.26953125" style="2" customWidth="1"/>
    <col min="11752" max="11752" width="17.36328125" style="2" bestFit="1" customWidth="1"/>
    <col min="11753" max="11753" width="11.54296875" style="2" bestFit="1" customWidth="1"/>
    <col min="11754" max="11754" width="7.81640625" style="2" customWidth="1"/>
    <col min="11755" max="11755" width="11.54296875" style="2" bestFit="1" customWidth="1"/>
    <col min="11756" max="11756" width="7" style="2" customWidth="1"/>
    <col min="11757" max="11757" width="18.1796875" style="2" customWidth="1"/>
    <col min="11758" max="11758" width="7" style="2" customWidth="1"/>
    <col min="11759" max="11759" width="15.54296875" style="2" customWidth="1"/>
    <col min="11760" max="11760" width="7.81640625" style="2" customWidth="1"/>
    <col min="11761" max="11761" width="15.54296875" style="2" customWidth="1"/>
    <col min="11762" max="11762" width="7.81640625" style="2" bestFit="1" customWidth="1"/>
    <col min="11763" max="11763" width="15.7265625" style="2" bestFit="1" customWidth="1"/>
    <col min="11764" max="11764" width="7.54296875" style="2" customWidth="1"/>
    <col min="11765" max="11765" width="14" style="2" customWidth="1"/>
    <col min="11766" max="11766" width="7.81640625" style="2" customWidth="1"/>
    <col min="11767" max="11767" width="14" style="2" customWidth="1"/>
    <col min="11768" max="11768" width="7.81640625" style="2" customWidth="1"/>
    <col min="11769" max="11769" width="14" style="2" customWidth="1"/>
    <col min="11770" max="11770" width="9" style="2" customWidth="1"/>
    <col min="11771" max="11771" width="15.1796875" style="2" customWidth="1"/>
    <col min="11772" max="11772" width="13" style="2" bestFit="1" customWidth="1"/>
    <col min="11773" max="11773" width="15.1796875" style="2" bestFit="1" customWidth="1"/>
    <col min="11774" max="11774" width="7.54296875" style="2" customWidth="1"/>
    <col min="11775" max="11775" width="14" style="2" customWidth="1"/>
    <col min="11776" max="11776" width="7.81640625" style="2" customWidth="1"/>
    <col min="11777" max="11777" width="14" style="2" customWidth="1"/>
    <col min="11778" max="11778" width="7.81640625" style="2" customWidth="1"/>
    <col min="11779" max="11779" width="14" style="2" customWidth="1"/>
    <col min="11780" max="11780" width="9" style="2" bestFit="1" customWidth="1"/>
    <col min="11781" max="11781" width="15.1796875" style="2" bestFit="1" customWidth="1"/>
    <col min="11782" max="11782" width="9" style="2" bestFit="1" customWidth="1"/>
    <col min="11783" max="11783" width="15.1796875" style="2" bestFit="1" customWidth="1"/>
    <col min="11784" max="11784" width="6.36328125" style="2" customWidth="1"/>
    <col min="11785" max="11785" width="12.7265625" style="2" customWidth="1"/>
    <col min="11786" max="11786" width="6.36328125" style="2" customWidth="1"/>
    <col min="11787" max="11787" width="12.7265625" style="2" customWidth="1"/>
    <col min="11788" max="11788" width="6" style="2" customWidth="1"/>
    <col min="11789" max="11789" width="12.7265625" style="2" customWidth="1"/>
    <col min="11790" max="11790" width="9.54296875" style="2" customWidth="1"/>
    <col min="11791" max="11791" width="14" style="2" bestFit="1" customWidth="1"/>
    <col min="11792" max="11792" width="8.7265625" style="2" bestFit="1" customWidth="1"/>
    <col min="11793" max="11793" width="13.54296875" style="2" customWidth="1"/>
    <col min="11794" max="11794" width="6" style="2" customWidth="1"/>
    <col min="11795" max="11795" width="13.7265625" style="2" customWidth="1"/>
    <col min="11796" max="11796" width="6" style="2" customWidth="1"/>
    <col min="11797" max="11797" width="12.7265625" style="2" customWidth="1"/>
    <col min="11798" max="11798" width="6.81640625" style="2" customWidth="1"/>
    <col min="11799" max="11799" width="12.7265625" style="2" customWidth="1"/>
    <col min="11800" max="11800" width="6.81640625" style="2" customWidth="1"/>
    <col min="11801" max="11801" width="15.7265625" style="2" bestFit="1" customWidth="1"/>
    <col min="11802" max="11802" width="8.54296875" style="2" bestFit="1" customWidth="1"/>
    <col min="11803" max="11803" width="13.54296875" style="2" customWidth="1"/>
    <col min="11804" max="11804" width="6" style="2" customWidth="1"/>
    <col min="11805" max="11805" width="13.7265625" style="2" customWidth="1"/>
    <col min="11806" max="11806" width="6" style="2" customWidth="1"/>
    <col min="11807" max="11807" width="12.7265625" style="2" customWidth="1"/>
    <col min="11808" max="11808" width="6.81640625" style="2" customWidth="1"/>
    <col min="11809" max="11809" width="12.7265625" style="2" customWidth="1"/>
    <col min="11810" max="11810" width="6.81640625" style="2" customWidth="1"/>
    <col min="11811" max="11811" width="16.36328125" style="2" bestFit="1" customWidth="1"/>
    <col min="11812" max="11812" width="9.54296875" style="2" bestFit="1" customWidth="1"/>
    <col min="11813" max="11813" width="17.36328125" style="2" bestFit="1" customWidth="1"/>
    <col min="11814" max="11814" width="6" style="2" customWidth="1"/>
    <col min="11815" max="11815" width="13.7265625" style="2" customWidth="1"/>
    <col min="11816" max="11816" width="6" style="2" customWidth="1"/>
    <col min="11817" max="11817" width="12.7265625" style="2" customWidth="1"/>
    <col min="11818" max="11818" width="6.81640625" style="2" customWidth="1"/>
    <col min="11819" max="11819" width="12.7265625" style="2" customWidth="1"/>
    <col min="11820" max="11820" width="6.81640625" style="2" customWidth="1"/>
    <col min="11821" max="11821" width="15.36328125" style="2" bestFit="1" customWidth="1"/>
    <col min="11822" max="11822" width="9.54296875" style="2" bestFit="1" customWidth="1"/>
    <col min="11823" max="11823" width="17.36328125" style="2" bestFit="1" customWidth="1"/>
    <col min="11824" max="11824" width="8" style="2" customWidth="1"/>
    <col min="11825" max="11825" width="12.1796875" style="2" customWidth="1"/>
    <col min="11826" max="11826" width="8" style="2" customWidth="1"/>
    <col min="11827" max="11827" width="20" style="2" customWidth="1"/>
    <col min="11828" max="11828" width="15.26953125" style="2" bestFit="1" customWidth="1"/>
    <col min="11829" max="11829" width="14.26953125" style="2" bestFit="1" customWidth="1"/>
    <col min="11830" max="11830" width="13" style="2" bestFit="1" customWidth="1"/>
    <col min="11831" max="12002" width="8.7265625" style="2"/>
    <col min="12003" max="12003" width="2.7265625" style="2" customWidth="1"/>
    <col min="12004" max="12004" width="3.54296875" style="2" customWidth="1"/>
    <col min="12005" max="12005" width="7" style="2" customWidth="1"/>
    <col min="12006" max="12006" width="23" style="2" customWidth="1"/>
    <col min="12007" max="12007" width="13.26953125" style="2" customWidth="1"/>
    <col min="12008" max="12008" width="17.36328125" style="2" bestFit="1" customWidth="1"/>
    <col min="12009" max="12009" width="11.54296875" style="2" bestFit="1" customWidth="1"/>
    <col min="12010" max="12010" width="7.81640625" style="2" customWidth="1"/>
    <col min="12011" max="12011" width="11.54296875" style="2" bestFit="1" customWidth="1"/>
    <col min="12012" max="12012" width="7" style="2" customWidth="1"/>
    <col min="12013" max="12013" width="18.1796875" style="2" customWidth="1"/>
    <col min="12014" max="12014" width="7" style="2" customWidth="1"/>
    <col min="12015" max="12015" width="15.54296875" style="2" customWidth="1"/>
    <col min="12016" max="12016" width="7.81640625" style="2" customWidth="1"/>
    <col min="12017" max="12017" width="15.54296875" style="2" customWidth="1"/>
    <col min="12018" max="12018" width="7.81640625" style="2" bestFit="1" customWidth="1"/>
    <col min="12019" max="12019" width="15.7265625" style="2" bestFit="1" customWidth="1"/>
    <col min="12020" max="12020" width="7.54296875" style="2" customWidth="1"/>
    <col min="12021" max="12021" width="14" style="2" customWidth="1"/>
    <col min="12022" max="12022" width="7.81640625" style="2" customWidth="1"/>
    <col min="12023" max="12023" width="14" style="2" customWidth="1"/>
    <col min="12024" max="12024" width="7.81640625" style="2" customWidth="1"/>
    <col min="12025" max="12025" width="14" style="2" customWidth="1"/>
    <col min="12026" max="12026" width="9" style="2" customWidth="1"/>
    <col min="12027" max="12027" width="15.1796875" style="2" customWidth="1"/>
    <col min="12028" max="12028" width="13" style="2" bestFit="1" customWidth="1"/>
    <col min="12029" max="12029" width="15.1796875" style="2" bestFit="1" customWidth="1"/>
    <col min="12030" max="12030" width="7.54296875" style="2" customWidth="1"/>
    <col min="12031" max="12031" width="14" style="2" customWidth="1"/>
    <col min="12032" max="12032" width="7.81640625" style="2" customWidth="1"/>
    <col min="12033" max="12033" width="14" style="2" customWidth="1"/>
    <col min="12034" max="12034" width="7.81640625" style="2" customWidth="1"/>
    <col min="12035" max="12035" width="14" style="2" customWidth="1"/>
    <col min="12036" max="12036" width="9" style="2" bestFit="1" customWidth="1"/>
    <col min="12037" max="12037" width="15.1796875" style="2" bestFit="1" customWidth="1"/>
    <col min="12038" max="12038" width="9" style="2" bestFit="1" customWidth="1"/>
    <col min="12039" max="12039" width="15.1796875" style="2" bestFit="1" customWidth="1"/>
    <col min="12040" max="12040" width="6.36328125" style="2" customWidth="1"/>
    <col min="12041" max="12041" width="12.7265625" style="2" customWidth="1"/>
    <col min="12042" max="12042" width="6.36328125" style="2" customWidth="1"/>
    <col min="12043" max="12043" width="12.7265625" style="2" customWidth="1"/>
    <col min="12044" max="12044" width="6" style="2" customWidth="1"/>
    <col min="12045" max="12045" width="12.7265625" style="2" customWidth="1"/>
    <col min="12046" max="12046" width="9.54296875" style="2" customWidth="1"/>
    <col min="12047" max="12047" width="14" style="2" bestFit="1" customWidth="1"/>
    <col min="12048" max="12048" width="8.7265625" style="2" bestFit="1" customWidth="1"/>
    <col min="12049" max="12049" width="13.54296875" style="2" customWidth="1"/>
    <col min="12050" max="12050" width="6" style="2" customWidth="1"/>
    <col min="12051" max="12051" width="13.7265625" style="2" customWidth="1"/>
    <col min="12052" max="12052" width="6" style="2" customWidth="1"/>
    <col min="12053" max="12053" width="12.7265625" style="2" customWidth="1"/>
    <col min="12054" max="12054" width="6.81640625" style="2" customWidth="1"/>
    <col min="12055" max="12055" width="12.7265625" style="2" customWidth="1"/>
    <col min="12056" max="12056" width="6.81640625" style="2" customWidth="1"/>
    <col min="12057" max="12057" width="15.7265625" style="2" bestFit="1" customWidth="1"/>
    <col min="12058" max="12058" width="8.54296875" style="2" bestFit="1" customWidth="1"/>
    <col min="12059" max="12059" width="13.54296875" style="2" customWidth="1"/>
    <col min="12060" max="12060" width="6" style="2" customWidth="1"/>
    <col min="12061" max="12061" width="13.7265625" style="2" customWidth="1"/>
    <col min="12062" max="12062" width="6" style="2" customWidth="1"/>
    <col min="12063" max="12063" width="12.7265625" style="2" customWidth="1"/>
    <col min="12064" max="12064" width="6.81640625" style="2" customWidth="1"/>
    <col min="12065" max="12065" width="12.7265625" style="2" customWidth="1"/>
    <col min="12066" max="12066" width="6.81640625" style="2" customWidth="1"/>
    <col min="12067" max="12067" width="16.36328125" style="2" bestFit="1" customWidth="1"/>
    <col min="12068" max="12068" width="9.54296875" style="2" bestFit="1" customWidth="1"/>
    <col min="12069" max="12069" width="17.36328125" style="2" bestFit="1" customWidth="1"/>
    <col min="12070" max="12070" width="6" style="2" customWidth="1"/>
    <col min="12071" max="12071" width="13.7265625" style="2" customWidth="1"/>
    <col min="12072" max="12072" width="6" style="2" customWidth="1"/>
    <col min="12073" max="12073" width="12.7265625" style="2" customWidth="1"/>
    <col min="12074" max="12074" width="6.81640625" style="2" customWidth="1"/>
    <col min="12075" max="12075" width="12.7265625" style="2" customWidth="1"/>
    <col min="12076" max="12076" width="6.81640625" style="2" customWidth="1"/>
    <col min="12077" max="12077" width="15.36328125" style="2" bestFit="1" customWidth="1"/>
    <col min="12078" max="12078" width="9.54296875" style="2" bestFit="1" customWidth="1"/>
    <col min="12079" max="12079" width="17.36328125" style="2" bestFit="1" customWidth="1"/>
    <col min="12080" max="12080" width="8" style="2" customWidth="1"/>
    <col min="12081" max="12081" width="12.1796875" style="2" customWidth="1"/>
    <col min="12082" max="12082" width="8" style="2" customWidth="1"/>
    <col min="12083" max="12083" width="20" style="2" customWidth="1"/>
    <col min="12084" max="12084" width="15.26953125" style="2" bestFit="1" customWidth="1"/>
    <col min="12085" max="12085" width="14.26953125" style="2" bestFit="1" customWidth="1"/>
    <col min="12086" max="12086" width="13" style="2" bestFit="1" customWidth="1"/>
    <col min="12087" max="12258" width="8.7265625" style="2"/>
    <col min="12259" max="12259" width="2.7265625" style="2" customWidth="1"/>
    <col min="12260" max="12260" width="3.54296875" style="2" customWidth="1"/>
    <col min="12261" max="12261" width="7" style="2" customWidth="1"/>
    <col min="12262" max="12262" width="23" style="2" customWidth="1"/>
    <col min="12263" max="12263" width="13.26953125" style="2" customWidth="1"/>
    <col min="12264" max="12264" width="17.36328125" style="2" bestFit="1" customWidth="1"/>
    <col min="12265" max="12265" width="11.54296875" style="2" bestFit="1" customWidth="1"/>
    <col min="12266" max="12266" width="7.81640625" style="2" customWidth="1"/>
    <col min="12267" max="12267" width="11.54296875" style="2" bestFit="1" customWidth="1"/>
    <col min="12268" max="12268" width="7" style="2" customWidth="1"/>
    <col min="12269" max="12269" width="18.1796875" style="2" customWidth="1"/>
    <col min="12270" max="12270" width="7" style="2" customWidth="1"/>
    <col min="12271" max="12271" width="15.54296875" style="2" customWidth="1"/>
    <col min="12272" max="12272" width="7.81640625" style="2" customWidth="1"/>
    <col min="12273" max="12273" width="15.54296875" style="2" customWidth="1"/>
    <col min="12274" max="12274" width="7.81640625" style="2" bestFit="1" customWidth="1"/>
    <col min="12275" max="12275" width="15.7265625" style="2" bestFit="1" customWidth="1"/>
    <col min="12276" max="12276" width="7.54296875" style="2" customWidth="1"/>
    <col min="12277" max="12277" width="14" style="2" customWidth="1"/>
    <col min="12278" max="12278" width="7.81640625" style="2" customWidth="1"/>
    <col min="12279" max="12279" width="14" style="2" customWidth="1"/>
    <col min="12280" max="12280" width="7.81640625" style="2" customWidth="1"/>
    <col min="12281" max="12281" width="14" style="2" customWidth="1"/>
    <col min="12282" max="12282" width="9" style="2" customWidth="1"/>
    <col min="12283" max="12283" width="15.1796875" style="2" customWidth="1"/>
    <col min="12284" max="12284" width="13" style="2" bestFit="1" customWidth="1"/>
    <col min="12285" max="12285" width="15.1796875" style="2" bestFit="1" customWidth="1"/>
    <col min="12286" max="12286" width="7.54296875" style="2" customWidth="1"/>
    <col min="12287" max="12287" width="14" style="2" customWidth="1"/>
    <col min="12288" max="12288" width="7.81640625" style="2" customWidth="1"/>
    <col min="12289" max="12289" width="14" style="2" customWidth="1"/>
    <col min="12290" max="12290" width="7.81640625" style="2" customWidth="1"/>
    <col min="12291" max="12291" width="14" style="2" customWidth="1"/>
    <col min="12292" max="12292" width="9" style="2" bestFit="1" customWidth="1"/>
    <col min="12293" max="12293" width="15.1796875" style="2" bestFit="1" customWidth="1"/>
    <col min="12294" max="12294" width="9" style="2" bestFit="1" customWidth="1"/>
    <col min="12295" max="12295" width="15.1796875" style="2" bestFit="1" customWidth="1"/>
    <col min="12296" max="12296" width="6.36328125" style="2" customWidth="1"/>
    <col min="12297" max="12297" width="12.7265625" style="2" customWidth="1"/>
    <col min="12298" max="12298" width="6.36328125" style="2" customWidth="1"/>
    <col min="12299" max="12299" width="12.7265625" style="2" customWidth="1"/>
    <col min="12300" max="12300" width="6" style="2" customWidth="1"/>
    <col min="12301" max="12301" width="12.7265625" style="2" customWidth="1"/>
    <col min="12302" max="12302" width="9.54296875" style="2" customWidth="1"/>
    <col min="12303" max="12303" width="14" style="2" bestFit="1" customWidth="1"/>
    <col min="12304" max="12304" width="8.7265625" style="2" bestFit="1" customWidth="1"/>
    <col min="12305" max="12305" width="13.54296875" style="2" customWidth="1"/>
    <col min="12306" max="12306" width="6" style="2" customWidth="1"/>
    <col min="12307" max="12307" width="13.7265625" style="2" customWidth="1"/>
    <col min="12308" max="12308" width="6" style="2" customWidth="1"/>
    <col min="12309" max="12309" width="12.7265625" style="2" customWidth="1"/>
    <col min="12310" max="12310" width="6.81640625" style="2" customWidth="1"/>
    <col min="12311" max="12311" width="12.7265625" style="2" customWidth="1"/>
    <col min="12312" max="12312" width="6.81640625" style="2" customWidth="1"/>
    <col min="12313" max="12313" width="15.7265625" style="2" bestFit="1" customWidth="1"/>
    <col min="12314" max="12314" width="8.54296875" style="2" bestFit="1" customWidth="1"/>
    <col min="12315" max="12315" width="13.54296875" style="2" customWidth="1"/>
    <col min="12316" max="12316" width="6" style="2" customWidth="1"/>
    <col min="12317" max="12317" width="13.7265625" style="2" customWidth="1"/>
    <col min="12318" max="12318" width="6" style="2" customWidth="1"/>
    <col min="12319" max="12319" width="12.7265625" style="2" customWidth="1"/>
    <col min="12320" max="12320" width="6.81640625" style="2" customWidth="1"/>
    <col min="12321" max="12321" width="12.7265625" style="2" customWidth="1"/>
    <col min="12322" max="12322" width="6.81640625" style="2" customWidth="1"/>
    <col min="12323" max="12323" width="16.36328125" style="2" bestFit="1" customWidth="1"/>
    <col min="12324" max="12324" width="9.54296875" style="2" bestFit="1" customWidth="1"/>
    <col min="12325" max="12325" width="17.36328125" style="2" bestFit="1" customWidth="1"/>
    <col min="12326" max="12326" width="6" style="2" customWidth="1"/>
    <col min="12327" max="12327" width="13.7265625" style="2" customWidth="1"/>
    <col min="12328" max="12328" width="6" style="2" customWidth="1"/>
    <col min="12329" max="12329" width="12.7265625" style="2" customWidth="1"/>
    <col min="12330" max="12330" width="6.81640625" style="2" customWidth="1"/>
    <col min="12331" max="12331" width="12.7265625" style="2" customWidth="1"/>
    <col min="12332" max="12332" width="6.81640625" style="2" customWidth="1"/>
    <col min="12333" max="12333" width="15.36328125" style="2" bestFit="1" customWidth="1"/>
    <col min="12334" max="12334" width="9.54296875" style="2" bestFit="1" customWidth="1"/>
    <col min="12335" max="12335" width="17.36328125" style="2" bestFit="1" customWidth="1"/>
    <col min="12336" max="12336" width="8" style="2" customWidth="1"/>
    <col min="12337" max="12337" width="12.1796875" style="2" customWidth="1"/>
    <col min="12338" max="12338" width="8" style="2" customWidth="1"/>
    <col min="12339" max="12339" width="20" style="2" customWidth="1"/>
    <col min="12340" max="12340" width="15.26953125" style="2" bestFit="1" customWidth="1"/>
    <col min="12341" max="12341" width="14.26953125" style="2" bestFit="1" customWidth="1"/>
    <col min="12342" max="12342" width="13" style="2" bestFit="1" customWidth="1"/>
    <col min="12343" max="12514" width="8.7265625" style="2"/>
    <col min="12515" max="12515" width="2.7265625" style="2" customWidth="1"/>
    <col min="12516" max="12516" width="3.54296875" style="2" customWidth="1"/>
    <col min="12517" max="12517" width="7" style="2" customWidth="1"/>
    <col min="12518" max="12518" width="23" style="2" customWidth="1"/>
    <col min="12519" max="12519" width="13.26953125" style="2" customWidth="1"/>
    <col min="12520" max="12520" width="17.36328125" style="2" bestFit="1" customWidth="1"/>
    <col min="12521" max="12521" width="11.54296875" style="2" bestFit="1" customWidth="1"/>
    <col min="12522" max="12522" width="7.81640625" style="2" customWidth="1"/>
    <col min="12523" max="12523" width="11.54296875" style="2" bestFit="1" customWidth="1"/>
    <col min="12524" max="12524" width="7" style="2" customWidth="1"/>
    <col min="12525" max="12525" width="18.1796875" style="2" customWidth="1"/>
    <col min="12526" max="12526" width="7" style="2" customWidth="1"/>
    <col min="12527" max="12527" width="15.54296875" style="2" customWidth="1"/>
    <col min="12528" max="12528" width="7.81640625" style="2" customWidth="1"/>
    <col min="12529" max="12529" width="15.54296875" style="2" customWidth="1"/>
    <col min="12530" max="12530" width="7.81640625" style="2" bestFit="1" customWidth="1"/>
    <col min="12531" max="12531" width="15.7265625" style="2" bestFit="1" customWidth="1"/>
    <col min="12532" max="12532" width="7.54296875" style="2" customWidth="1"/>
    <col min="12533" max="12533" width="14" style="2" customWidth="1"/>
    <col min="12534" max="12534" width="7.81640625" style="2" customWidth="1"/>
    <col min="12535" max="12535" width="14" style="2" customWidth="1"/>
    <col min="12536" max="12536" width="7.81640625" style="2" customWidth="1"/>
    <col min="12537" max="12537" width="14" style="2" customWidth="1"/>
    <col min="12538" max="12538" width="9" style="2" customWidth="1"/>
    <col min="12539" max="12539" width="15.1796875" style="2" customWidth="1"/>
    <col min="12540" max="12540" width="13" style="2" bestFit="1" customWidth="1"/>
    <col min="12541" max="12541" width="15.1796875" style="2" bestFit="1" customWidth="1"/>
    <col min="12542" max="12542" width="7.54296875" style="2" customWidth="1"/>
    <col min="12543" max="12543" width="14" style="2" customWidth="1"/>
    <col min="12544" max="12544" width="7.81640625" style="2" customWidth="1"/>
    <col min="12545" max="12545" width="14" style="2" customWidth="1"/>
    <col min="12546" max="12546" width="7.81640625" style="2" customWidth="1"/>
    <col min="12547" max="12547" width="14" style="2" customWidth="1"/>
    <col min="12548" max="12548" width="9" style="2" bestFit="1" customWidth="1"/>
    <col min="12549" max="12549" width="15.1796875" style="2" bestFit="1" customWidth="1"/>
    <col min="12550" max="12550" width="9" style="2" bestFit="1" customWidth="1"/>
    <col min="12551" max="12551" width="15.1796875" style="2" bestFit="1" customWidth="1"/>
    <col min="12552" max="12552" width="6.36328125" style="2" customWidth="1"/>
    <col min="12553" max="12553" width="12.7265625" style="2" customWidth="1"/>
    <col min="12554" max="12554" width="6.36328125" style="2" customWidth="1"/>
    <col min="12555" max="12555" width="12.7265625" style="2" customWidth="1"/>
    <col min="12556" max="12556" width="6" style="2" customWidth="1"/>
    <col min="12557" max="12557" width="12.7265625" style="2" customWidth="1"/>
    <col min="12558" max="12558" width="9.54296875" style="2" customWidth="1"/>
    <col min="12559" max="12559" width="14" style="2" bestFit="1" customWidth="1"/>
    <col min="12560" max="12560" width="8.7265625" style="2" bestFit="1" customWidth="1"/>
    <col min="12561" max="12561" width="13.54296875" style="2" customWidth="1"/>
    <col min="12562" max="12562" width="6" style="2" customWidth="1"/>
    <col min="12563" max="12563" width="13.7265625" style="2" customWidth="1"/>
    <col min="12564" max="12564" width="6" style="2" customWidth="1"/>
    <col min="12565" max="12565" width="12.7265625" style="2" customWidth="1"/>
    <col min="12566" max="12566" width="6.81640625" style="2" customWidth="1"/>
    <col min="12567" max="12567" width="12.7265625" style="2" customWidth="1"/>
    <col min="12568" max="12568" width="6.81640625" style="2" customWidth="1"/>
    <col min="12569" max="12569" width="15.7265625" style="2" bestFit="1" customWidth="1"/>
    <col min="12570" max="12570" width="8.54296875" style="2" bestFit="1" customWidth="1"/>
    <col min="12571" max="12571" width="13.54296875" style="2" customWidth="1"/>
    <col min="12572" max="12572" width="6" style="2" customWidth="1"/>
    <col min="12573" max="12573" width="13.7265625" style="2" customWidth="1"/>
    <col min="12574" max="12574" width="6" style="2" customWidth="1"/>
    <col min="12575" max="12575" width="12.7265625" style="2" customWidth="1"/>
    <col min="12576" max="12576" width="6.81640625" style="2" customWidth="1"/>
    <col min="12577" max="12577" width="12.7265625" style="2" customWidth="1"/>
    <col min="12578" max="12578" width="6.81640625" style="2" customWidth="1"/>
    <col min="12579" max="12579" width="16.36328125" style="2" bestFit="1" customWidth="1"/>
    <col min="12580" max="12580" width="9.54296875" style="2" bestFit="1" customWidth="1"/>
    <col min="12581" max="12581" width="17.36328125" style="2" bestFit="1" customWidth="1"/>
    <col min="12582" max="12582" width="6" style="2" customWidth="1"/>
    <col min="12583" max="12583" width="13.7265625" style="2" customWidth="1"/>
    <col min="12584" max="12584" width="6" style="2" customWidth="1"/>
    <col min="12585" max="12585" width="12.7265625" style="2" customWidth="1"/>
    <col min="12586" max="12586" width="6.81640625" style="2" customWidth="1"/>
    <col min="12587" max="12587" width="12.7265625" style="2" customWidth="1"/>
    <col min="12588" max="12588" width="6.81640625" style="2" customWidth="1"/>
    <col min="12589" max="12589" width="15.36328125" style="2" bestFit="1" customWidth="1"/>
    <col min="12590" max="12590" width="9.54296875" style="2" bestFit="1" customWidth="1"/>
    <col min="12591" max="12591" width="17.36328125" style="2" bestFit="1" customWidth="1"/>
    <col min="12592" max="12592" width="8" style="2" customWidth="1"/>
    <col min="12593" max="12593" width="12.1796875" style="2" customWidth="1"/>
    <col min="12594" max="12594" width="8" style="2" customWidth="1"/>
    <col min="12595" max="12595" width="20" style="2" customWidth="1"/>
    <col min="12596" max="12596" width="15.26953125" style="2" bestFit="1" customWidth="1"/>
    <col min="12597" max="12597" width="14.26953125" style="2" bestFit="1" customWidth="1"/>
    <col min="12598" max="12598" width="13" style="2" bestFit="1" customWidth="1"/>
    <col min="12599" max="12770" width="8.7265625" style="2"/>
    <col min="12771" max="12771" width="2.7265625" style="2" customWidth="1"/>
    <col min="12772" max="12772" width="3.54296875" style="2" customWidth="1"/>
    <col min="12773" max="12773" width="7" style="2" customWidth="1"/>
    <col min="12774" max="12774" width="23" style="2" customWidth="1"/>
    <col min="12775" max="12775" width="13.26953125" style="2" customWidth="1"/>
    <col min="12776" max="12776" width="17.36328125" style="2" bestFit="1" customWidth="1"/>
    <col min="12777" max="12777" width="11.54296875" style="2" bestFit="1" customWidth="1"/>
    <col min="12778" max="12778" width="7.81640625" style="2" customWidth="1"/>
    <col min="12779" max="12779" width="11.54296875" style="2" bestFit="1" customWidth="1"/>
    <col min="12780" max="12780" width="7" style="2" customWidth="1"/>
    <col min="12781" max="12781" width="18.1796875" style="2" customWidth="1"/>
    <col min="12782" max="12782" width="7" style="2" customWidth="1"/>
    <col min="12783" max="12783" width="15.54296875" style="2" customWidth="1"/>
    <col min="12784" max="12784" width="7.81640625" style="2" customWidth="1"/>
    <col min="12785" max="12785" width="15.54296875" style="2" customWidth="1"/>
    <col min="12786" max="12786" width="7.81640625" style="2" bestFit="1" customWidth="1"/>
    <col min="12787" max="12787" width="15.7265625" style="2" bestFit="1" customWidth="1"/>
    <col min="12788" max="12788" width="7.54296875" style="2" customWidth="1"/>
    <col min="12789" max="12789" width="14" style="2" customWidth="1"/>
    <col min="12790" max="12790" width="7.81640625" style="2" customWidth="1"/>
    <col min="12791" max="12791" width="14" style="2" customWidth="1"/>
    <col min="12792" max="12792" width="7.81640625" style="2" customWidth="1"/>
    <col min="12793" max="12793" width="14" style="2" customWidth="1"/>
    <col min="12794" max="12794" width="9" style="2" customWidth="1"/>
    <col min="12795" max="12795" width="15.1796875" style="2" customWidth="1"/>
    <col min="12796" max="12796" width="13" style="2" bestFit="1" customWidth="1"/>
    <col min="12797" max="12797" width="15.1796875" style="2" bestFit="1" customWidth="1"/>
    <col min="12798" max="12798" width="7.54296875" style="2" customWidth="1"/>
    <col min="12799" max="12799" width="14" style="2" customWidth="1"/>
    <col min="12800" max="12800" width="7.81640625" style="2" customWidth="1"/>
    <col min="12801" max="12801" width="14" style="2" customWidth="1"/>
    <col min="12802" max="12802" width="7.81640625" style="2" customWidth="1"/>
    <col min="12803" max="12803" width="14" style="2" customWidth="1"/>
    <col min="12804" max="12804" width="9" style="2" bestFit="1" customWidth="1"/>
    <col min="12805" max="12805" width="15.1796875" style="2" bestFit="1" customWidth="1"/>
    <col min="12806" max="12806" width="9" style="2" bestFit="1" customWidth="1"/>
    <col min="12807" max="12807" width="15.1796875" style="2" bestFit="1" customWidth="1"/>
    <col min="12808" max="12808" width="6.36328125" style="2" customWidth="1"/>
    <col min="12809" max="12809" width="12.7265625" style="2" customWidth="1"/>
    <col min="12810" max="12810" width="6.36328125" style="2" customWidth="1"/>
    <col min="12811" max="12811" width="12.7265625" style="2" customWidth="1"/>
    <col min="12812" max="12812" width="6" style="2" customWidth="1"/>
    <col min="12813" max="12813" width="12.7265625" style="2" customWidth="1"/>
    <col min="12814" max="12814" width="9.54296875" style="2" customWidth="1"/>
    <col min="12815" max="12815" width="14" style="2" bestFit="1" customWidth="1"/>
    <col min="12816" max="12816" width="8.7265625" style="2" bestFit="1" customWidth="1"/>
    <col min="12817" max="12817" width="13.54296875" style="2" customWidth="1"/>
    <col min="12818" max="12818" width="6" style="2" customWidth="1"/>
    <col min="12819" max="12819" width="13.7265625" style="2" customWidth="1"/>
    <col min="12820" max="12820" width="6" style="2" customWidth="1"/>
    <col min="12821" max="12821" width="12.7265625" style="2" customWidth="1"/>
    <col min="12822" max="12822" width="6.81640625" style="2" customWidth="1"/>
    <col min="12823" max="12823" width="12.7265625" style="2" customWidth="1"/>
    <col min="12824" max="12824" width="6.81640625" style="2" customWidth="1"/>
    <col min="12825" max="12825" width="15.7265625" style="2" bestFit="1" customWidth="1"/>
    <col min="12826" max="12826" width="8.54296875" style="2" bestFit="1" customWidth="1"/>
    <col min="12827" max="12827" width="13.54296875" style="2" customWidth="1"/>
    <col min="12828" max="12828" width="6" style="2" customWidth="1"/>
    <col min="12829" max="12829" width="13.7265625" style="2" customWidth="1"/>
    <col min="12830" max="12830" width="6" style="2" customWidth="1"/>
    <col min="12831" max="12831" width="12.7265625" style="2" customWidth="1"/>
    <col min="12832" max="12832" width="6.81640625" style="2" customWidth="1"/>
    <col min="12833" max="12833" width="12.7265625" style="2" customWidth="1"/>
    <col min="12834" max="12834" width="6.81640625" style="2" customWidth="1"/>
    <col min="12835" max="12835" width="16.36328125" style="2" bestFit="1" customWidth="1"/>
    <col min="12836" max="12836" width="9.54296875" style="2" bestFit="1" customWidth="1"/>
    <col min="12837" max="12837" width="17.36328125" style="2" bestFit="1" customWidth="1"/>
    <col min="12838" max="12838" width="6" style="2" customWidth="1"/>
    <col min="12839" max="12839" width="13.7265625" style="2" customWidth="1"/>
    <col min="12840" max="12840" width="6" style="2" customWidth="1"/>
    <col min="12841" max="12841" width="12.7265625" style="2" customWidth="1"/>
    <col min="12842" max="12842" width="6.81640625" style="2" customWidth="1"/>
    <col min="12843" max="12843" width="12.7265625" style="2" customWidth="1"/>
    <col min="12844" max="12844" width="6.81640625" style="2" customWidth="1"/>
    <col min="12845" max="12845" width="15.36328125" style="2" bestFit="1" customWidth="1"/>
    <col min="12846" max="12846" width="9.54296875" style="2" bestFit="1" customWidth="1"/>
    <col min="12847" max="12847" width="17.36328125" style="2" bestFit="1" customWidth="1"/>
    <col min="12848" max="12848" width="8" style="2" customWidth="1"/>
    <col min="12849" max="12849" width="12.1796875" style="2" customWidth="1"/>
    <col min="12850" max="12850" width="8" style="2" customWidth="1"/>
    <col min="12851" max="12851" width="20" style="2" customWidth="1"/>
    <col min="12852" max="12852" width="15.26953125" style="2" bestFit="1" customWidth="1"/>
    <col min="12853" max="12853" width="14.26953125" style="2" bestFit="1" customWidth="1"/>
    <col min="12854" max="12854" width="13" style="2" bestFit="1" customWidth="1"/>
    <col min="12855" max="13026" width="8.7265625" style="2"/>
    <col min="13027" max="13027" width="2.7265625" style="2" customWidth="1"/>
    <col min="13028" max="13028" width="3.54296875" style="2" customWidth="1"/>
    <col min="13029" max="13029" width="7" style="2" customWidth="1"/>
    <col min="13030" max="13030" width="23" style="2" customWidth="1"/>
    <col min="13031" max="13031" width="13.26953125" style="2" customWidth="1"/>
    <col min="13032" max="13032" width="17.36328125" style="2" bestFit="1" customWidth="1"/>
    <col min="13033" max="13033" width="11.54296875" style="2" bestFit="1" customWidth="1"/>
    <col min="13034" max="13034" width="7.81640625" style="2" customWidth="1"/>
    <col min="13035" max="13035" width="11.54296875" style="2" bestFit="1" customWidth="1"/>
    <col min="13036" max="13036" width="7" style="2" customWidth="1"/>
    <col min="13037" max="13037" width="18.1796875" style="2" customWidth="1"/>
    <col min="13038" max="13038" width="7" style="2" customWidth="1"/>
    <col min="13039" max="13039" width="15.54296875" style="2" customWidth="1"/>
    <col min="13040" max="13040" width="7.81640625" style="2" customWidth="1"/>
    <col min="13041" max="13041" width="15.54296875" style="2" customWidth="1"/>
    <col min="13042" max="13042" width="7.81640625" style="2" bestFit="1" customWidth="1"/>
    <col min="13043" max="13043" width="15.7265625" style="2" bestFit="1" customWidth="1"/>
    <col min="13044" max="13044" width="7.54296875" style="2" customWidth="1"/>
    <col min="13045" max="13045" width="14" style="2" customWidth="1"/>
    <col min="13046" max="13046" width="7.81640625" style="2" customWidth="1"/>
    <col min="13047" max="13047" width="14" style="2" customWidth="1"/>
    <col min="13048" max="13048" width="7.81640625" style="2" customWidth="1"/>
    <col min="13049" max="13049" width="14" style="2" customWidth="1"/>
    <col min="13050" max="13050" width="9" style="2" customWidth="1"/>
    <col min="13051" max="13051" width="15.1796875" style="2" customWidth="1"/>
    <col min="13052" max="13052" width="13" style="2" bestFit="1" customWidth="1"/>
    <col min="13053" max="13053" width="15.1796875" style="2" bestFit="1" customWidth="1"/>
    <col min="13054" max="13054" width="7.54296875" style="2" customWidth="1"/>
    <col min="13055" max="13055" width="14" style="2" customWidth="1"/>
    <col min="13056" max="13056" width="7.81640625" style="2" customWidth="1"/>
    <col min="13057" max="13057" width="14" style="2" customWidth="1"/>
    <col min="13058" max="13058" width="7.81640625" style="2" customWidth="1"/>
    <col min="13059" max="13059" width="14" style="2" customWidth="1"/>
    <col min="13060" max="13060" width="9" style="2" bestFit="1" customWidth="1"/>
    <col min="13061" max="13061" width="15.1796875" style="2" bestFit="1" customWidth="1"/>
    <col min="13062" max="13062" width="9" style="2" bestFit="1" customWidth="1"/>
    <col min="13063" max="13063" width="15.1796875" style="2" bestFit="1" customWidth="1"/>
    <col min="13064" max="13064" width="6.36328125" style="2" customWidth="1"/>
    <col min="13065" max="13065" width="12.7265625" style="2" customWidth="1"/>
    <col min="13066" max="13066" width="6.36328125" style="2" customWidth="1"/>
    <col min="13067" max="13067" width="12.7265625" style="2" customWidth="1"/>
    <col min="13068" max="13068" width="6" style="2" customWidth="1"/>
    <col min="13069" max="13069" width="12.7265625" style="2" customWidth="1"/>
    <col min="13070" max="13070" width="9.54296875" style="2" customWidth="1"/>
    <col min="13071" max="13071" width="14" style="2" bestFit="1" customWidth="1"/>
    <col min="13072" max="13072" width="8.7265625" style="2" bestFit="1" customWidth="1"/>
    <col min="13073" max="13073" width="13.54296875" style="2" customWidth="1"/>
    <col min="13074" max="13074" width="6" style="2" customWidth="1"/>
    <col min="13075" max="13075" width="13.7265625" style="2" customWidth="1"/>
    <col min="13076" max="13076" width="6" style="2" customWidth="1"/>
    <col min="13077" max="13077" width="12.7265625" style="2" customWidth="1"/>
    <col min="13078" max="13078" width="6.81640625" style="2" customWidth="1"/>
    <col min="13079" max="13079" width="12.7265625" style="2" customWidth="1"/>
    <col min="13080" max="13080" width="6.81640625" style="2" customWidth="1"/>
    <col min="13081" max="13081" width="15.7265625" style="2" bestFit="1" customWidth="1"/>
    <col min="13082" max="13082" width="8.54296875" style="2" bestFit="1" customWidth="1"/>
    <col min="13083" max="13083" width="13.54296875" style="2" customWidth="1"/>
    <col min="13084" max="13084" width="6" style="2" customWidth="1"/>
    <col min="13085" max="13085" width="13.7265625" style="2" customWidth="1"/>
    <col min="13086" max="13086" width="6" style="2" customWidth="1"/>
    <col min="13087" max="13087" width="12.7265625" style="2" customWidth="1"/>
    <col min="13088" max="13088" width="6.81640625" style="2" customWidth="1"/>
    <col min="13089" max="13089" width="12.7265625" style="2" customWidth="1"/>
    <col min="13090" max="13090" width="6.81640625" style="2" customWidth="1"/>
    <col min="13091" max="13091" width="16.36328125" style="2" bestFit="1" customWidth="1"/>
    <col min="13092" max="13092" width="9.54296875" style="2" bestFit="1" customWidth="1"/>
    <col min="13093" max="13093" width="17.36328125" style="2" bestFit="1" customWidth="1"/>
    <col min="13094" max="13094" width="6" style="2" customWidth="1"/>
    <col min="13095" max="13095" width="13.7265625" style="2" customWidth="1"/>
    <col min="13096" max="13096" width="6" style="2" customWidth="1"/>
    <col min="13097" max="13097" width="12.7265625" style="2" customWidth="1"/>
    <col min="13098" max="13098" width="6.81640625" style="2" customWidth="1"/>
    <col min="13099" max="13099" width="12.7265625" style="2" customWidth="1"/>
    <col min="13100" max="13100" width="6.81640625" style="2" customWidth="1"/>
    <col min="13101" max="13101" width="15.36328125" style="2" bestFit="1" customWidth="1"/>
    <col min="13102" max="13102" width="9.54296875" style="2" bestFit="1" customWidth="1"/>
    <col min="13103" max="13103" width="17.36328125" style="2" bestFit="1" customWidth="1"/>
    <col min="13104" max="13104" width="8" style="2" customWidth="1"/>
    <col min="13105" max="13105" width="12.1796875" style="2" customWidth="1"/>
    <col min="13106" max="13106" width="8" style="2" customWidth="1"/>
    <col min="13107" max="13107" width="20" style="2" customWidth="1"/>
    <col min="13108" max="13108" width="15.26953125" style="2" bestFit="1" customWidth="1"/>
    <col min="13109" max="13109" width="14.26953125" style="2" bestFit="1" customWidth="1"/>
    <col min="13110" max="13110" width="13" style="2" bestFit="1" customWidth="1"/>
    <col min="13111" max="13282" width="8.7265625" style="2"/>
    <col min="13283" max="13283" width="2.7265625" style="2" customWidth="1"/>
    <col min="13284" max="13284" width="3.54296875" style="2" customWidth="1"/>
    <col min="13285" max="13285" width="7" style="2" customWidth="1"/>
    <col min="13286" max="13286" width="23" style="2" customWidth="1"/>
    <col min="13287" max="13287" width="13.26953125" style="2" customWidth="1"/>
    <col min="13288" max="13288" width="17.36328125" style="2" bestFit="1" customWidth="1"/>
    <col min="13289" max="13289" width="11.54296875" style="2" bestFit="1" customWidth="1"/>
    <col min="13290" max="13290" width="7.81640625" style="2" customWidth="1"/>
    <col min="13291" max="13291" width="11.54296875" style="2" bestFit="1" customWidth="1"/>
    <col min="13292" max="13292" width="7" style="2" customWidth="1"/>
    <col min="13293" max="13293" width="18.1796875" style="2" customWidth="1"/>
    <col min="13294" max="13294" width="7" style="2" customWidth="1"/>
    <col min="13295" max="13295" width="15.54296875" style="2" customWidth="1"/>
    <col min="13296" max="13296" width="7.81640625" style="2" customWidth="1"/>
    <col min="13297" max="13297" width="15.54296875" style="2" customWidth="1"/>
    <col min="13298" max="13298" width="7.81640625" style="2" bestFit="1" customWidth="1"/>
    <col min="13299" max="13299" width="15.7265625" style="2" bestFit="1" customWidth="1"/>
    <col min="13300" max="13300" width="7.54296875" style="2" customWidth="1"/>
    <col min="13301" max="13301" width="14" style="2" customWidth="1"/>
    <col min="13302" max="13302" width="7.81640625" style="2" customWidth="1"/>
    <col min="13303" max="13303" width="14" style="2" customWidth="1"/>
    <col min="13304" max="13304" width="7.81640625" style="2" customWidth="1"/>
    <col min="13305" max="13305" width="14" style="2" customWidth="1"/>
    <col min="13306" max="13306" width="9" style="2" customWidth="1"/>
    <col min="13307" max="13307" width="15.1796875" style="2" customWidth="1"/>
    <col min="13308" max="13308" width="13" style="2" bestFit="1" customWidth="1"/>
    <col min="13309" max="13309" width="15.1796875" style="2" bestFit="1" customWidth="1"/>
    <col min="13310" max="13310" width="7.54296875" style="2" customWidth="1"/>
    <col min="13311" max="13311" width="14" style="2" customWidth="1"/>
    <col min="13312" max="13312" width="7.81640625" style="2" customWidth="1"/>
    <col min="13313" max="13313" width="14" style="2" customWidth="1"/>
    <col min="13314" max="13314" width="7.81640625" style="2" customWidth="1"/>
    <col min="13315" max="13315" width="14" style="2" customWidth="1"/>
    <col min="13316" max="13316" width="9" style="2" bestFit="1" customWidth="1"/>
    <col min="13317" max="13317" width="15.1796875" style="2" bestFit="1" customWidth="1"/>
    <col min="13318" max="13318" width="9" style="2" bestFit="1" customWidth="1"/>
    <col min="13319" max="13319" width="15.1796875" style="2" bestFit="1" customWidth="1"/>
    <col min="13320" max="13320" width="6.36328125" style="2" customWidth="1"/>
    <col min="13321" max="13321" width="12.7265625" style="2" customWidth="1"/>
    <col min="13322" max="13322" width="6.36328125" style="2" customWidth="1"/>
    <col min="13323" max="13323" width="12.7265625" style="2" customWidth="1"/>
    <col min="13324" max="13324" width="6" style="2" customWidth="1"/>
    <col min="13325" max="13325" width="12.7265625" style="2" customWidth="1"/>
    <col min="13326" max="13326" width="9.54296875" style="2" customWidth="1"/>
    <col min="13327" max="13327" width="14" style="2" bestFit="1" customWidth="1"/>
    <col min="13328" max="13328" width="8.7265625" style="2" bestFit="1" customWidth="1"/>
    <col min="13329" max="13329" width="13.54296875" style="2" customWidth="1"/>
    <col min="13330" max="13330" width="6" style="2" customWidth="1"/>
    <col min="13331" max="13331" width="13.7265625" style="2" customWidth="1"/>
    <col min="13332" max="13332" width="6" style="2" customWidth="1"/>
    <col min="13333" max="13333" width="12.7265625" style="2" customWidth="1"/>
    <col min="13334" max="13334" width="6.81640625" style="2" customWidth="1"/>
    <col min="13335" max="13335" width="12.7265625" style="2" customWidth="1"/>
    <col min="13336" max="13336" width="6.81640625" style="2" customWidth="1"/>
    <col min="13337" max="13337" width="15.7265625" style="2" bestFit="1" customWidth="1"/>
    <col min="13338" max="13338" width="8.54296875" style="2" bestFit="1" customWidth="1"/>
    <col min="13339" max="13339" width="13.54296875" style="2" customWidth="1"/>
    <col min="13340" max="13340" width="6" style="2" customWidth="1"/>
    <col min="13341" max="13341" width="13.7265625" style="2" customWidth="1"/>
    <col min="13342" max="13342" width="6" style="2" customWidth="1"/>
    <col min="13343" max="13343" width="12.7265625" style="2" customWidth="1"/>
    <col min="13344" max="13344" width="6.81640625" style="2" customWidth="1"/>
    <col min="13345" max="13345" width="12.7265625" style="2" customWidth="1"/>
    <col min="13346" max="13346" width="6.81640625" style="2" customWidth="1"/>
    <col min="13347" max="13347" width="16.36328125" style="2" bestFit="1" customWidth="1"/>
    <col min="13348" max="13348" width="9.54296875" style="2" bestFit="1" customWidth="1"/>
    <col min="13349" max="13349" width="17.36328125" style="2" bestFit="1" customWidth="1"/>
    <col min="13350" max="13350" width="6" style="2" customWidth="1"/>
    <col min="13351" max="13351" width="13.7265625" style="2" customWidth="1"/>
    <col min="13352" max="13352" width="6" style="2" customWidth="1"/>
    <col min="13353" max="13353" width="12.7265625" style="2" customWidth="1"/>
    <col min="13354" max="13354" width="6.81640625" style="2" customWidth="1"/>
    <col min="13355" max="13355" width="12.7265625" style="2" customWidth="1"/>
    <col min="13356" max="13356" width="6.81640625" style="2" customWidth="1"/>
    <col min="13357" max="13357" width="15.36328125" style="2" bestFit="1" customWidth="1"/>
    <col min="13358" max="13358" width="9.54296875" style="2" bestFit="1" customWidth="1"/>
    <col min="13359" max="13359" width="17.36328125" style="2" bestFit="1" customWidth="1"/>
    <col min="13360" max="13360" width="8" style="2" customWidth="1"/>
    <col min="13361" max="13361" width="12.1796875" style="2" customWidth="1"/>
    <col min="13362" max="13362" width="8" style="2" customWidth="1"/>
    <col min="13363" max="13363" width="20" style="2" customWidth="1"/>
    <col min="13364" max="13364" width="15.26953125" style="2" bestFit="1" customWidth="1"/>
    <col min="13365" max="13365" width="14.26953125" style="2" bestFit="1" customWidth="1"/>
    <col min="13366" max="13366" width="13" style="2" bestFit="1" customWidth="1"/>
    <col min="13367" max="13538" width="8.7265625" style="2"/>
    <col min="13539" max="13539" width="2.7265625" style="2" customWidth="1"/>
    <col min="13540" max="13540" width="3.54296875" style="2" customWidth="1"/>
    <col min="13541" max="13541" width="7" style="2" customWidth="1"/>
    <col min="13542" max="13542" width="23" style="2" customWidth="1"/>
    <col min="13543" max="13543" width="13.26953125" style="2" customWidth="1"/>
    <col min="13544" max="13544" width="17.36328125" style="2" bestFit="1" customWidth="1"/>
    <col min="13545" max="13545" width="11.54296875" style="2" bestFit="1" customWidth="1"/>
    <col min="13546" max="13546" width="7.81640625" style="2" customWidth="1"/>
    <col min="13547" max="13547" width="11.54296875" style="2" bestFit="1" customWidth="1"/>
    <col min="13548" max="13548" width="7" style="2" customWidth="1"/>
    <col min="13549" max="13549" width="18.1796875" style="2" customWidth="1"/>
    <col min="13550" max="13550" width="7" style="2" customWidth="1"/>
    <col min="13551" max="13551" width="15.54296875" style="2" customWidth="1"/>
    <col min="13552" max="13552" width="7.81640625" style="2" customWidth="1"/>
    <col min="13553" max="13553" width="15.54296875" style="2" customWidth="1"/>
    <col min="13554" max="13554" width="7.81640625" style="2" bestFit="1" customWidth="1"/>
    <col min="13555" max="13555" width="15.7265625" style="2" bestFit="1" customWidth="1"/>
    <col min="13556" max="13556" width="7.54296875" style="2" customWidth="1"/>
    <col min="13557" max="13557" width="14" style="2" customWidth="1"/>
    <col min="13558" max="13558" width="7.81640625" style="2" customWidth="1"/>
    <col min="13559" max="13559" width="14" style="2" customWidth="1"/>
    <col min="13560" max="13560" width="7.81640625" style="2" customWidth="1"/>
    <col min="13561" max="13561" width="14" style="2" customWidth="1"/>
    <col min="13562" max="13562" width="9" style="2" customWidth="1"/>
    <col min="13563" max="13563" width="15.1796875" style="2" customWidth="1"/>
    <col min="13564" max="13564" width="13" style="2" bestFit="1" customWidth="1"/>
    <col min="13565" max="13565" width="15.1796875" style="2" bestFit="1" customWidth="1"/>
    <col min="13566" max="13566" width="7.54296875" style="2" customWidth="1"/>
    <col min="13567" max="13567" width="14" style="2" customWidth="1"/>
    <col min="13568" max="13568" width="7.81640625" style="2" customWidth="1"/>
    <col min="13569" max="13569" width="14" style="2" customWidth="1"/>
    <col min="13570" max="13570" width="7.81640625" style="2" customWidth="1"/>
    <col min="13571" max="13571" width="14" style="2" customWidth="1"/>
    <col min="13572" max="13572" width="9" style="2" bestFit="1" customWidth="1"/>
    <col min="13573" max="13573" width="15.1796875" style="2" bestFit="1" customWidth="1"/>
    <col min="13574" max="13574" width="9" style="2" bestFit="1" customWidth="1"/>
    <col min="13575" max="13575" width="15.1796875" style="2" bestFit="1" customWidth="1"/>
    <col min="13576" max="13576" width="6.36328125" style="2" customWidth="1"/>
    <col min="13577" max="13577" width="12.7265625" style="2" customWidth="1"/>
    <col min="13578" max="13578" width="6.36328125" style="2" customWidth="1"/>
    <col min="13579" max="13579" width="12.7265625" style="2" customWidth="1"/>
    <col min="13580" max="13580" width="6" style="2" customWidth="1"/>
    <col min="13581" max="13581" width="12.7265625" style="2" customWidth="1"/>
    <col min="13582" max="13582" width="9.54296875" style="2" customWidth="1"/>
    <col min="13583" max="13583" width="14" style="2" bestFit="1" customWidth="1"/>
    <col min="13584" max="13584" width="8.7265625" style="2" bestFit="1" customWidth="1"/>
    <col min="13585" max="13585" width="13.54296875" style="2" customWidth="1"/>
    <col min="13586" max="13586" width="6" style="2" customWidth="1"/>
    <col min="13587" max="13587" width="13.7265625" style="2" customWidth="1"/>
    <col min="13588" max="13588" width="6" style="2" customWidth="1"/>
    <col min="13589" max="13589" width="12.7265625" style="2" customWidth="1"/>
    <col min="13590" max="13590" width="6.81640625" style="2" customWidth="1"/>
    <col min="13591" max="13591" width="12.7265625" style="2" customWidth="1"/>
    <col min="13592" max="13592" width="6.81640625" style="2" customWidth="1"/>
    <col min="13593" max="13593" width="15.7265625" style="2" bestFit="1" customWidth="1"/>
    <col min="13594" max="13594" width="8.54296875" style="2" bestFit="1" customWidth="1"/>
    <col min="13595" max="13595" width="13.54296875" style="2" customWidth="1"/>
    <col min="13596" max="13596" width="6" style="2" customWidth="1"/>
    <col min="13597" max="13597" width="13.7265625" style="2" customWidth="1"/>
    <col min="13598" max="13598" width="6" style="2" customWidth="1"/>
    <col min="13599" max="13599" width="12.7265625" style="2" customWidth="1"/>
    <col min="13600" max="13600" width="6.81640625" style="2" customWidth="1"/>
    <col min="13601" max="13601" width="12.7265625" style="2" customWidth="1"/>
    <col min="13602" max="13602" width="6.81640625" style="2" customWidth="1"/>
    <col min="13603" max="13603" width="16.36328125" style="2" bestFit="1" customWidth="1"/>
    <col min="13604" max="13604" width="9.54296875" style="2" bestFit="1" customWidth="1"/>
    <col min="13605" max="13605" width="17.36328125" style="2" bestFit="1" customWidth="1"/>
    <col min="13606" max="13606" width="6" style="2" customWidth="1"/>
    <col min="13607" max="13607" width="13.7265625" style="2" customWidth="1"/>
    <col min="13608" max="13608" width="6" style="2" customWidth="1"/>
    <col min="13609" max="13609" width="12.7265625" style="2" customWidth="1"/>
    <col min="13610" max="13610" width="6.81640625" style="2" customWidth="1"/>
    <col min="13611" max="13611" width="12.7265625" style="2" customWidth="1"/>
    <col min="13612" max="13612" width="6.81640625" style="2" customWidth="1"/>
    <col min="13613" max="13613" width="15.36328125" style="2" bestFit="1" customWidth="1"/>
    <col min="13614" max="13614" width="9.54296875" style="2" bestFit="1" customWidth="1"/>
    <col min="13615" max="13615" width="17.36328125" style="2" bestFit="1" customWidth="1"/>
    <col min="13616" max="13616" width="8" style="2" customWidth="1"/>
    <col min="13617" max="13617" width="12.1796875" style="2" customWidth="1"/>
    <col min="13618" max="13618" width="8" style="2" customWidth="1"/>
    <col min="13619" max="13619" width="20" style="2" customWidth="1"/>
    <col min="13620" max="13620" width="15.26953125" style="2" bestFit="1" customWidth="1"/>
    <col min="13621" max="13621" width="14.26953125" style="2" bestFit="1" customWidth="1"/>
    <col min="13622" max="13622" width="13" style="2" bestFit="1" customWidth="1"/>
    <col min="13623" max="13794" width="8.7265625" style="2"/>
    <col min="13795" max="13795" width="2.7265625" style="2" customWidth="1"/>
    <col min="13796" max="13796" width="3.54296875" style="2" customWidth="1"/>
    <col min="13797" max="13797" width="7" style="2" customWidth="1"/>
    <col min="13798" max="13798" width="23" style="2" customWidth="1"/>
    <col min="13799" max="13799" width="13.26953125" style="2" customWidth="1"/>
    <col min="13800" max="13800" width="17.36328125" style="2" bestFit="1" customWidth="1"/>
    <col min="13801" max="13801" width="11.54296875" style="2" bestFit="1" customWidth="1"/>
    <col min="13802" max="13802" width="7.81640625" style="2" customWidth="1"/>
    <col min="13803" max="13803" width="11.54296875" style="2" bestFit="1" customWidth="1"/>
    <col min="13804" max="13804" width="7" style="2" customWidth="1"/>
    <col min="13805" max="13805" width="18.1796875" style="2" customWidth="1"/>
    <col min="13806" max="13806" width="7" style="2" customWidth="1"/>
    <col min="13807" max="13807" width="15.54296875" style="2" customWidth="1"/>
    <col min="13808" max="13808" width="7.81640625" style="2" customWidth="1"/>
    <col min="13809" max="13809" width="15.54296875" style="2" customWidth="1"/>
    <col min="13810" max="13810" width="7.81640625" style="2" bestFit="1" customWidth="1"/>
    <col min="13811" max="13811" width="15.7265625" style="2" bestFit="1" customWidth="1"/>
    <col min="13812" max="13812" width="7.54296875" style="2" customWidth="1"/>
    <col min="13813" max="13813" width="14" style="2" customWidth="1"/>
    <col min="13814" max="13814" width="7.81640625" style="2" customWidth="1"/>
    <col min="13815" max="13815" width="14" style="2" customWidth="1"/>
    <col min="13816" max="13816" width="7.81640625" style="2" customWidth="1"/>
    <col min="13817" max="13817" width="14" style="2" customWidth="1"/>
    <col min="13818" max="13818" width="9" style="2" customWidth="1"/>
    <col min="13819" max="13819" width="15.1796875" style="2" customWidth="1"/>
    <col min="13820" max="13820" width="13" style="2" bestFit="1" customWidth="1"/>
    <col min="13821" max="13821" width="15.1796875" style="2" bestFit="1" customWidth="1"/>
    <col min="13822" max="13822" width="7.54296875" style="2" customWidth="1"/>
    <col min="13823" max="13823" width="14" style="2" customWidth="1"/>
    <col min="13824" max="13824" width="7.81640625" style="2" customWidth="1"/>
    <col min="13825" max="13825" width="14" style="2" customWidth="1"/>
    <col min="13826" max="13826" width="7.81640625" style="2" customWidth="1"/>
    <col min="13827" max="13827" width="14" style="2" customWidth="1"/>
    <col min="13828" max="13828" width="9" style="2" bestFit="1" customWidth="1"/>
    <col min="13829" max="13829" width="15.1796875" style="2" bestFit="1" customWidth="1"/>
    <col min="13830" max="13830" width="9" style="2" bestFit="1" customWidth="1"/>
    <col min="13831" max="13831" width="15.1796875" style="2" bestFit="1" customWidth="1"/>
    <col min="13832" max="13832" width="6.36328125" style="2" customWidth="1"/>
    <col min="13833" max="13833" width="12.7265625" style="2" customWidth="1"/>
    <col min="13834" max="13834" width="6.36328125" style="2" customWidth="1"/>
    <col min="13835" max="13835" width="12.7265625" style="2" customWidth="1"/>
    <col min="13836" max="13836" width="6" style="2" customWidth="1"/>
    <col min="13837" max="13837" width="12.7265625" style="2" customWidth="1"/>
    <col min="13838" max="13838" width="9.54296875" style="2" customWidth="1"/>
    <col min="13839" max="13839" width="14" style="2" bestFit="1" customWidth="1"/>
    <col min="13840" max="13840" width="8.7265625" style="2" bestFit="1" customWidth="1"/>
    <col min="13841" max="13841" width="13.54296875" style="2" customWidth="1"/>
    <col min="13842" max="13842" width="6" style="2" customWidth="1"/>
    <col min="13843" max="13843" width="13.7265625" style="2" customWidth="1"/>
    <col min="13844" max="13844" width="6" style="2" customWidth="1"/>
    <col min="13845" max="13845" width="12.7265625" style="2" customWidth="1"/>
    <col min="13846" max="13846" width="6.81640625" style="2" customWidth="1"/>
    <col min="13847" max="13847" width="12.7265625" style="2" customWidth="1"/>
    <col min="13848" max="13848" width="6.81640625" style="2" customWidth="1"/>
    <col min="13849" max="13849" width="15.7265625" style="2" bestFit="1" customWidth="1"/>
    <col min="13850" max="13850" width="8.54296875" style="2" bestFit="1" customWidth="1"/>
    <col min="13851" max="13851" width="13.54296875" style="2" customWidth="1"/>
    <col min="13852" max="13852" width="6" style="2" customWidth="1"/>
    <col min="13853" max="13853" width="13.7265625" style="2" customWidth="1"/>
    <col min="13854" max="13854" width="6" style="2" customWidth="1"/>
    <col min="13855" max="13855" width="12.7265625" style="2" customWidth="1"/>
    <col min="13856" max="13856" width="6.81640625" style="2" customWidth="1"/>
    <col min="13857" max="13857" width="12.7265625" style="2" customWidth="1"/>
    <col min="13858" max="13858" width="6.81640625" style="2" customWidth="1"/>
    <col min="13859" max="13859" width="16.36328125" style="2" bestFit="1" customWidth="1"/>
    <col min="13860" max="13860" width="9.54296875" style="2" bestFit="1" customWidth="1"/>
    <col min="13861" max="13861" width="17.36328125" style="2" bestFit="1" customWidth="1"/>
    <col min="13862" max="13862" width="6" style="2" customWidth="1"/>
    <col min="13863" max="13863" width="13.7265625" style="2" customWidth="1"/>
    <col min="13864" max="13864" width="6" style="2" customWidth="1"/>
    <col min="13865" max="13865" width="12.7265625" style="2" customWidth="1"/>
    <col min="13866" max="13866" width="6.81640625" style="2" customWidth="1"/>
    <col min="13867" max="13867" width="12.7265625" style="2" customWidth="1"/>
    <col min="13868" max="13868" width="6.81640625" style="2" customWidth="1"/>
    <col min="13869" max="13869" width="15.36328125" style="2" bestFit="1" customWidth="1"/>
    <col min="13870" max="13870" width="9.54296875" style="2" bestFit="1" customWidth="1"/>
    <col min="13871" max="13871" width="17.36328125" style="2" bestFit="1" customWidth="1"/>
    <col min="13872" max="13872" width="8" style="2" customWidth="1"/>
    <col min="13873" max="13873" width="12.1796875" style="2" customWidth="1"/>
    <col min="13874" max="13874" width="8" style="2" customWidth="1"/>
    <col min="13875" max="13875" width="20" style="2" customWidth="1"/>
    <col min="13876" max="13876" width="15.26953125" style="2" bestFit="1" customWidth="1"/>
    <col min="13877" max="13877" width="14.26953125" style="2" bestFit="1" customWidth="1"/>
    <col min="13878" max="13878" width="13" style="2" bestFit="1" customWidth="1"/>
    <col min="13879" max="14050" width="8.7265625" style="2"/>
    <col min="14051" max="14051" width="2.7265625" style="2" customWidth="1"/>
    <col min="14052" max="14052" width="3.54296875" style="2" customWidth="1"/>
    <col min="14053" max="14053" width="7" style="2" customWidth="1"/>
    <col min="14054" max="14054" width="23" style="2" customWidth="1"/>
    <col min="14055" max="14055" width="13.26953125" style="2" customWidth="1"/>
    <col min="14056" max="14056" width="17.36328125" style="2" bestFit="1" customWidth="1"/>
    <col min="14057" max="14057" width="11.54296875" style="2" bestFit="1" customWidth="1"/>
    <col min="14058" max="14058" width="7.81640625" style="2" customWidth="1"/>
    <col min="14059" max="14059" width="11.54296875" style="2" bestFit="1" customWidth="1"/>
    <col min="14060" max="14060" width="7" style="2" customWidth="1"/>
    <col min="14061" max="14061" width="18.1796875" style="2" customWidth="1"/>
    <col min="14062" max="14062" width="7" style="2" customWidth="1"/>
    <col min="14063" max="14063" width="15.54296875" style="2" customWidth="1"/>
    <col min="14064" max="14064" width="7.81640625" style="2" customWidth="1"/>
    <col min="14065" max="14065" width="15.54296875" style="2" customWidth="1"/>
    <col min="14066" max="14066" width="7.81640625" style="2" bestFit="1" customWidth="1"/>
    <col min="14067" max="14067" width="15.7265625" style="2" bestFit="1" customWidth="1"/>
    <col min="14068" max="14068" width="7.54296875" style="2" customWidth="1"/>
    <col min="14069" max="14069" width="14" style="2" customWidth="1"/>
    <col min="14070" max="14070" width="7.81640625" style="2" customWidth="1"/>
    <col min="14071" max="14071" width="14" style="2" customWidth="1"/>
    <col min="14072" max="14072" width="7.81640625" style="2" customWidth="1"/>
    <col min="14073" max="14073" width="14" style="2" customWidth="1"/>
    <col min="14074" max="14074" width="9" style="2" customWidth="1"/>
    <col min="14075" max="14075" width="15.1796875" style="2" customWidth="1"/>
    <col min="14076" max="14076" width="13" style="2" bestFit="1" customWidth="1"/>
    <col min="14077" max="14077" width="15.1796875" style="2" bestFit="1" customWidth="1"/>
    <col min="14078" max="14078" width="7.54296875" style="2" customWidth="1"/>
    <col min="14079" max="14079" width="14" style="2" customWidth="1"/>
    <col min="14080" max="14080" width="7.81640625" style="2" customWidth="1"/>
    <col min="14081" max="14081" width="14" style="2" customWidth="1"/>
    <col min="14082" max="14082" width="7.81640625" style="2" customWidth="1"/>
    <col min="14083" max="14083" width="14" style="2" customWidth="1"/>
    <col min="14084" max="14084" width="9" style="2" bestFit="1" customWidth="1"/>
    <col min="14085" max="14085" width="15.1796875" style="2" bestFit="1" customWidth="1"/>
    <col min="14086" max="14086" width="9" style="2" bestFit="1" customWidth="1"/>
    <col min="14087" max="14087" width="15.1796875" style="2" bestFit="1" customWidth="1"/>
    <col min="14088" max="14088" width="6.36328125" style="2" customWidth="1"/>
    <col min="14089" max="14089" width="12.7265625" style="2" customWidth="1"/>
    <col min="14090" max="14090" width="6.36328125" style="2" customWidth="1"/>
    <col min="14091" max="14091" width="12.7265625" style="2" customWidth="1"/>
    <col min="14092" max="14092" width="6" style="2" customWidth="1"/>
    <col min="14093" max="14093" width="12.7265625" style="2" customWidth="1"/>
    <col min="14094" max="14094" width="9.54296875" style="2" customWidth="1"/>
    <col min="14095" max="14095" width="14" style="2" bestFit="1" customWidth="1"/>
    <col min="14096" max="14096" width="8.7265625" style="2" bestFit="1" customWidth="1"/>
    <col min="14097" max="14097" width="13.54296875" style="2" customWidth="1"/>
    <col min="14098" max="14098" width="6" style="2" customWidth="1"/>
    <col min="14099" max="14099" width="13.7265625" style="2" customWidth="1"/>
    <col min="14100" max="14100" width="6" style="2" customWidth="1"/>
    <col min="14101" max="14101" width="12.7265625" style="2" customWidth="1"/>
    <col min="14102" max="14102" width="6.81640625" style="2" customWidth="1"/>
    <col min="14103" max="14103" width="12.7265625" style="2" customWidth="1"/>
    <col min="14104" max="14104" width="6.81640625" style="2" customWidth="1"/>
    <col min="14105" max="14105" width="15.7265625" style="2" bestFit="1" customWidth="1"/>
    <col min="14106" max="14106" width="8.54296875" style="2" bestFit="1" customWidth="1"/>
    <col min="14107" max="14107" width="13.54296875" style="2" customWidth="1"/>
    <col min="14108" max="14108" width="6" style="2" customWidth="1"/>
    <col min="14109" max="14109" width="13.7265625" style="2" customWidth="1"/>
    <col min="14110" max="14110" width="6" style="2" customWidth="1"/>
    <col min="14111" max="14111" width="12.7265625" style="2" customWidth="1"/>
    <col min="14112" max="14112" width="6.81640625" style="2" customWidth="1"/>
    <col min="14113" max="14113" width="12.7265625" style="2" customWidth="1"/>
    <col min="14114" max="14114" width="6.81640625" style="2" customWidth="1"/>
    <col min="14115" max="14115" width="16.36328125" style="2" bestFit="1" customWidth="1"/>
    <col min="14116" max="14116" width="9.54296875" style="2" bestFit="1" customWidth="1"/>
    <col min="14117" max="14117" width="17.36328125" style="2" bestFit="1" customWidth="1"/>
    <col min="14118" max="14118" width="6" style="2" customWidth="1"/>
    <col min="14119" max="14119" width="13.7265625" style="2" customWidth="1"/>
    <col min="14120" max="14120" width="6" style="2" customWidth="1"/>
    <col min="14121" max="14121" width="12.7265625" style="2" customWidth="1"/>
    <col min="14122" max="14122" width="6.81640625" style="2" customWidth="1"/>
    <col min="14123" max="14123" width="12.7265625" style="2" customWidth="1"/>
    <col min="14124" max="14124" width="6.81640625" style="2" customWidth="1"/>
    <col min="14125" max="14125" width="15.36328125" style="2" bestFit="1" customWidth="1"/>
    <col min="14126" max="14126" width="9.54296875" style="2" bestFit="1" customWidth="1"/>
    <col min="14127" max="14127" width="17.36328125" style="2" bestFit="1" customWidth="1"/>
    <col min="14128" max="14128" width="8" style="2" customWidth="1"/>
    <col min="14129" max="14129" width="12.1796875" style="2" customWidth="1"/>
    <col min="14130" max="14130" width="8" style="2" customWidth="1"/>
    <col min="14131" max="14131" width="20" style="2" customWidth="1"/>
    <col min="14132" max="14132" width="15.26953125" style="2" bestFit="1" customWidth="1"/>
    <col min="14133" max="14133" width="14.26953125" style="2" bestFit="1" customWidth="1"/>
    <col min="14134" max="14134" width="13" style="2" bestFit="1" customWidth="1"/>
    <col min="14135" max="14306" width="8.7265625" style="2"/>
    <col min="14307" max="14307" width="2.7265625" style="2" customWidth="1"/>
    <col min="14308" max="14308" width="3.54296875" style="2" customWidth="1"/>
    <col min="14309" max="14309" width="7" style="2" customWidth="1"/>
    <col min="14310" max="14310" width="23" style="2" customWidth="1"/>
    <col min="14311" max="14311" width="13.26953125" style="2" customWidth="1"/>
    <col min="14312" max="14312" width="17.36328125" style="2" bestFit="1" customWidth="1"/>
    <col min="14313" max="14313" width="11.54296875" style="2" bestFit="1" customWidth="1"/>
    <col min="14314" max="14314" width="7.81640625" style="2" customWidth="1"/>
    <col min="14315" max="14315" width="11.54296875" style="2" bestFit="1" customWidth="1"/>
    <col min="14316" max="14316" width="7" style="2" customWidth="1"/>
    <col min="14317" max="14317" width="18.1796875" style="2" customWidth="1"/>
    <col min="14318" max="14318" width="7" style="2" customWidth="1"/>
    <col min="14319" max="14319" width="15.54296875" style="2" customWidth="1"/>
    <col min="14320" max="14320" width="7.81640625" style="2" customWidth="1"/>
    <col min="14321" max="14321" width="15.54296875" style="2" customWidth="1"/>
    <col min="14322" max="14322" width="7.81640625" style="2" bestFit="1" customWidth="1"/>
    <col min="14323" max="14323" width="15.7265625" style="2" bestFit="1" customWidth="1"/>
    <col min="14324" max="14324" width="7.54296875" style="2" customWidth="1"/>
    <col min="14325" max="14325" width="14" style="2" customWidth="1"/>
    <col min="14326" max="14326" width="7.81640625" style="2" customWidth="1"/>
    <col min="14327" max="14327" width="14" style="2" customWidth="1"/>
    <col min="14328" max="14328" width="7.81640625" style="2" customWidth="1"/>
    <col min="14329" max="14329" width="14" style="2" customWidth="1"/>
    <col min="14330" max="14330" width="9" style="2" customWidth="1"/>
    <col min="14331" max="14331" width="15.1796875" style="2" customWidth="1"/>
    <col min="14332" max="14332" width="13" style="2" bestFit="1" customWidth="1"/>
    <col min="14333" max="14333" width="15.1796875" style="2" bestFit="1" customWidth="1"/>
    <col min="14334" max="14334" width="7.54296875" style="2" customWidth="1"/>
    <col min="14335" max="14335" width="14" style="2" customWidth="1"/>
    <col min="14336" max="14336" width="7.81640625" style="2" customWidth="1"/>
    <col min="14337" max="14337" width="14" style="2" customWidth="1"/>
    <col min="14338" max="14338" width="7.81640625" style="2" customWidth="1"/>
    <col min="14339" max="14339" width="14" style="2" customWidth="1"/>
    <col min="14340" max="14340" width="9" style="2" bestFit="1" customWidth="1"/>
    <col min="14341" max="14341" width="15.1796875" style="2" bestFit="1" customWidth="1"/>
    <col min="14342" max="14342" width="9" style="2" bestFit="1" customWidth="1"/>
    <col min="14343" max="14343" width="15.1796875" style="2" bestFit="1" customWidth="1"/>
    <col min="14344" max="14344" width="6.36328125" style="2" customWidth="1"/>
    <col min="14345" max="14345" width="12.7265625" style="2" customWidth="1"/>
    <col min="14346" max="14346" width="6.36328125" style="2" customWidth="1"/>
    <col min="14347" max="14347" width="12.7265625" style="2" customWidth="1"/>
    <col min="14348" max="14348" width="6" style="2" customWidth="1"/>
    <col min="14349" max="14349" width="12.7265625" style="2" customWidth="1"/>
    <col min="14350" max="14350" width="9.54296875" style="2" customWidth="1"/>
    <col min="14351" max="14351" width="14" style="2" bestFit="1" customWidth="1"/>
    <col min="14352" max="14352" width="8.7265625" style="2" bestFit="1" customWidth="1"/>
    <col min="14353" max="14353" width="13.54296875" style="2" customWidth="1"/>
    <col min="14354" max="14354" width="6" style="2" customWidth="1"/>
    <col min="14355" max="14355" width="13.7265625" style="2" customWidth="1"/>
    <col min="14356" max="14356" width="6" style="2" customWidth="1"/>
    <col min="14357" max="14357" width="12.7265625" style="2" customWidth="1"/>
    <col min="14358" max="14358" width="6.81640625" style="2" customWidth="1"/>
    <col min="14359" max="14359" width="12.7265625" style="2" customWidth="1"/>
    <col min="14360" max="14360" width="6.81640625" style="2" customWidth="1"/>
    <col min="14361" max="14361" width="15.7265625" style="2" bestFit="1" customWidth="1"/>
    <col min="14362" max="14362" width="8.54296875" style="2" bestFit="1" customWidth="1"/>
    <col min="14363" max="14363" width="13.54296875" style="2" customWidth="1"/>
    <col min="14364" max="14364" width="6" style="2" customWidth="1"/>
    <col min="14365" max="14365" width="13.7265625" style="2" customWidth="1"/>
    <col min="14366" max="14366" width="6" style="2" customWidth="1"/>
    <col min="14367" max="14367" width="12.7265625" style="2" customWidth="1"/>
    <col min="14368" max="14368" width="6.81640625" style="2" customWidth="1"/>
    <col min="14369" max="14369" width="12.7265625" style="2" customWidth="1"/>
    <col min="14370" max="14370" width="6.81640625" style="2" customWidth="1"/>
    <col min="14371" max="14371" width="16.36328125" style="2" bestFit="1" customWidth="1"/>
    <col min="14372" max="14372" width="9.54296875" style="2" bestFit="1" customWidth="1"/>
    <col min="14373" max="14373" width="17.36328125" style="2" bestFit="1" customWidth="1"/>
    <col min="14374" max="14374" width="6" style="2" customWidth="1"/>
    <col min="14375" max="14375" width="13.7265625" style="2" customWidth="1"/>
    <col min="14376" max="14376" width="6" style="2" customWidth="1"/>
    <col min="14377" max="14377" width="12.7265625" style="2" customWidth="1"/>
    <col min="14378" max="14378" width="6.81640625" style="2" customWidth="1"/>
    <col min="14379" max="14379" width="12.7265625" style="2" customWidth="1"/>
    <col min="14380" max="14380" width="6.81640625" style="2" customWidth="1"/>
    <col min="14381" max="14381" width="15.36328125" style="2" bestFit="1" customWidth="1"/>
    <col min="14382" max="14382" width="9.54296875" style="2" bestFit="1" customWidth="1"/>
    <col min="14383" max="14383" width="17.36328125" style="2" bestFit="1" customWidth="1"/>
    <col min="14384" max="14384" width="8" style="2" customWidth="1"/>
    <col min="14385" max="14385" width="12.1796875" style="2" customWidth="1"/>
    <col min="14386" max="14386" width="8" style="2" customWidth="1"/>
    <col min="14387" max="14387" width="20" style="2" customWidth="1"/>
    <col min="14388" max="14388" width="15.26953125" style="2" bestFit="1" customWidth="1"/>
    <col min="14389" max="14389" width="14.26953125" style="2" bestFit="1" customWidth="1"/>
    <col min="14390" max="14390" width="13" style="2" bestFit="1" customWidth="1"/>
    <col min="14391" max="14562" width="8.7265625" style="2"/>
    <col min="14563" max="14563" width="2.7265625" style="2" customWidth="1"/>
    <col min="14564" max="14564" width="3.54296875" style="2" customWidth="1"/>
    <col min="14565" max="14565" width="7" style="2" customWidth="1"/>
    <col min="14566" max="14566" width="23" style="2" customWidth="1"/>
    <col min="14567" max="14567" width="13.26953125" style="2" customWidth="1"/>
    <col min="14568" max="14568" width="17.36328125" style="2" bestFit="1" customWidth="1"/>
    <col min="14569" max="14569" width="11.54296875" style="2" bestFit="1" customWidth="1"/>
    <col min="14570" max="14570" width="7.81640625" style="2" customWidth="1"/>
    <col min="14571" max="14571" width="11.54296875" style="2" bestFit="1" customWidth="1"/>
    <col min="14572" max="14572" width="7" style="2" customWidth="1"/>
    <col min="14573" max="14573" width="18.1796875" style="2" customWidth="1"/>
    <col min="14574" max="14574" width="7" style="2" customWidth="1"/>
    <col min="14575" max="14575" width="15.54296875" style="2" customWidth="1"/>
    <col min="14576" max="14576" width="7.81640625" style="2" customWidth="1"/>
    <col min="14577" max="14577" width="15.54296875" style="2" customWidth="1"/>
    <col min="14578" max="14578" width="7.81640625" style="2" bestFit="1" customWidth="1"/>
    <col min="14579" max="14579" width="15.7265625" style="2" bestFit="1" customWidth="1"/>
    <col min="14580" max="14580" width="7.54296875" style="2" customWidth="1"/>
    <col min="14581" max="14581" width="14" style="2" customWidth="1"/>
    <col min="14582" max="14582" width="7.81640625" style="2" customWidth="1"/>
    <col min="14583" max="14583" width="14" style="2" customWidth="1"/>
    <col min="14584" max="14584" width="7.81640625" style="2" customWidth="1"/>
    <col min="14585" max="14585" width="14" style="2" customWidth="1"/>
    <col min="14586" max="14586" width="9" style="2" customWidth="1"/>
    <col min="14587" max="14587" width="15.1796875" style="2" customWidth="1"/>
    <col min="14588" max="14588" width="13" style="2" bestFit="1" customWidth="1"/>
    <col min="14589" max="14589" width="15.1796875" style="2" bestFit="1" customWidth="1"/>
    <col min="14590" max="14590" width="7.54296875" style="2" customWidth="1"/>
    <col min="14591" max="14591" width="14" style="2" customWidth="1"/>
    <col min="14592" max="14592" width="7.81640625" style="2" customWidth="1"/>
    <col min="14593" max="14593" width="14" style="2" customWidth="1"/>
    <col min="14594" max="14594" width="7.81640625" style="2" customWidth="1"/>
    <col min="14595" max="14595" width="14" style="2" customWidth="1"/>
    <col min="14596" max="14596" width="9" style="2" bestFit="1" customWidth="1"/>
    <col min="14597" max="14597" width="15.1796875" style="2" bestFit="1" customWidth="1"/>
    <col min="14598" max="14598" width="9" style="2" bestFit="1" customWidth="1"/>
    <col min="14599" max="14599" width="15.1796875" style="2" bestFit="1" customWidth="1"/>
    <col min="14600" max="14600" width="6.36328125" style="2" customWidth="1"/>
    <col min="14601" max="14601" width="12.7265625" style="2" customWidth="1"/>
    <col min="14602" max="14602" width="6.36328125" style="2" customWidth="1"/>
    <col min="14603" max="14603" width="12.7265625" style="2" customWidth="1"/>
    <col min="14604" max="14604" width="6" style="2" customWidth="1"/>
    <col min="14605" max="14605" width="12.7265625" style="2" customWidth="1"/>
    <col min="14606" max="14606" width="9.54296875" style="2" customWidth="1"/>
    <col min="14607" max="14607" width="14" style="2" bestFit="1" customWidth="1"/>
    <col min="14608" max="14608" width="8.7265625" style="2" bestFit="1" customWidth="1"/>
    <col min="14609" max="14609" width="13.54296875" style="2" customWidth="1"/>
    <col min="14610" max="14610" width="6" style="2" customWidth="1"/>
    <col min="14611" max="14611" width="13.7265625" style="2" customWidth="1"/>
    <col min="14612" max="14612" width="6" style="2" customWidth="1"/>
    <col min="14613" max="14613" width="12.7265625" style="2" customWidth="1"/>
    <col min="14614" max="14614" width="6.81640625" style="2" customWidth="1"/>
    <col min="14615" max="14615" width="12.7265625" style="2" customWidth="1"/>
    <col min="14616" max="14616" width="6.81640625" style="2" customWidth="1"/>
    <col min="14617" max="14617" width="15.7265625" style="2" bestFit="1" customWidth="1"/>
    <col min="14618" max="14618" width="8.54296875" style="2" bestFit="1" customWidth="1"/>
    <col min="14619" max="14619" width="13.54296875" style="2" customWidth="1"/>
    <col min="14620" max="14620" width="6" style="2" customWidth="1"/>
    <col min="14621" max="14621" width="13.7265625" style="2" customWidth="1"/>
    <col min="14622" max="14622" width="6" style="2" customWidth="1"/>
    <col min="14623" max="14623" width="12.7265625" style="2" customWidth="1"/>
    <col min="14624" max="14624" width="6.81640625" style="2" customWidth="1"/>
    <col min="14625" max="14625" width="12.7265625" style="2" customWidth="1"/>
    <col min="14626" max="14626" width="6.81640625" style="2" customWidth="1"/>
    <col min="14627" max="14627" width="16.36328125" style="2" bestFit="1" customWidth="1"/>
    <col min="14628" max="14628" width="9.54296875" style="2" bestFit="1" customWidth="1"/>
    <col min="14629" max="14629" width="17.36328125" style="2" bestFit="1" customWidth="1"/>
    <col min="14630" max="14630" width="6" style="2" customWidth="1"/>
    <col min="14631" max="14631" width="13.7265625" style="2" customWidth="1"/>
    <col min="14632" max="14632" width="6" style="2" customWidth="1"/>
    <col min="14633" max="14633" width="12.7265625" style="2" customWidth="1"/>
    <col min="14634" max="14634" width="6.81640625" style="2" customWidth="1"/>
    <col min="14635" max="14635" width="12.7265625" style="2" customWidth="1"/>
    <col min="14636" max="14636" width="6.81640625" style="2" customWidth="1"/>
    <col min="14637" max="14637" width="15.36328125" style="2" bestFit="1" customWidth="1"/>
    <col min="14638" max="14638" width="9.54296875" style="2" bestFit="1" customWidth="1"/>
    <col min="14639" max="14639" width="17.36328125" style="2" bestFit="1" customWidth="1"/>
    <col min="14640" max="14640" width="8" style="2" customWidth="1"/>
    <col min="14641" max="14641" width="12.1796875" style="2" customWidth="1"/>
    <col min="14642" max="14642" width="8" style="2" customWidth="1"/>
    <col min="14643" max="14643" width="20" style="2" customWidth="1"/>
    <col min="14644" max="14644" width="15.26953125" style="2" bestFit="1" customWidth="1"/>
    <col min="14645" max="14645" width="14.26953125" style="2" bestFit="1" customWidth="1"/>
    <col min="14646" max="14646" width="13" style="2" bestFit="1" customWidth="1"/>
    <col min="14647" max="14818" width="8.7265625" style="2"/>
    <col min="14819" max="14819" width="2.7265625" style="2" customWidth="1"/>
    <col min="14820" max="14820" width="3.54296875" style="2" customWidth="1"/>
    <col min="14821" max="14821" width="7" style="2" customWidth="1"/>
    <col min="14822" max="14822" width="23" style="2" customWidth="1"/>
    <col min="14823" max="14823" width="13.26953125" style="2" customWidth="1"/>
    <col min="14824" max="14824" width="17.36328125" style="2" bestFit="1" customWidth="1"/>
    <col min="14825" max="14825" width="11.54296875" style="2" bestFit="1" customWidth="1"/>
    <col min="14826" max="14826" width="7.81640625" style="2" customWidth="1"/>
    <col min="14827" max="14827" width="11.54296875" style="2" bestFit="1" customWidth="1"/>
    <col min="14828" max="14828" width="7" style="2" customWidth="1"/>
    <col min="14829" max="14829" width="18.1796875" style="2" customWidth="1"/>
    <col min="14830" max="14830" width="7" style="2" customWidth="1"/>
    <col min="14831" max="14831" width="15.54296875" style="2" customWidth="1"/>
    <col min="14832" max="14832" width="7.81640625" style="2" customWidth="1"/>
    <col min="14833" max="14833" width="15.54296875" style="2" customWidth="1"/>
    <col min="14834" max="14834" width="7.81640625" style="2" bestFit="1" customWidth="1"/>
    <col min="14835" max="14835" width="15.7265625" style="2" bestFit="1" customWidth="1"/>
    <col min="14836" max="14836" width="7.54296875" style="2" customWidth="1"/>
    <col min="14837" max="14837" width="14" style="2" customWidth="1"/>
    <col min="14838" max="14838" width="7.81640625" style="2" customWidth="1"/>
    <col min="14839" max="14839" width="14" style="2" customWidth="1"/>
    <col min="14840" max="14840" width="7.81640625" style="2" customWidth="1"/>
    <col min="14841" max="14841" width="14" style="2" customWidth="1"/>
    <col min="14842" max="14842" width="9" style="2" customWidth="1"/>
    <col min="14843" max="14843" width="15.1796875" style="2" customWidth="1"/>
    <col min="14844" max="14844" width="13" style="2" bestFit="1" customWidth="1"/>
    <col min="14845" max="14845" width="15.1796875" style="2" bestFit="1" customWidth="1"/>
    <col min="14846" max="14846" width="7.54296875" style="2" customWidth="1"/>
    <col min="14847" max="14847" width="14" style="2" customWidth="1"/>
    <col min="14848" max="14848" width="7.81640625" style="2" customWidth="1"/>
    <col min="14849" max="14849" width="14" style="2" customWidth="1"/>
    <col min="14850" max="14850" width="7.81640625" style="2" customWidth="1"/>
    <col min="14851" max="14851" width="14" style="2" customWidth="1"/>
    <col min="14852" max="14852" width="9" style="2" bestFit="1" customWidth="1"/>
    <col min="14853" max="14853" width="15.1796875" style="2" bestFit="1" customWidth="1"/>
    <col min="14854" max="14854" width="9" style="2" bestFit="1" customWidth="1"/>
    <col min="14855" max="14855" width="15.1796875" style="2" bestFit="1" customWidth="1"/>
    <col min="14856" max="14856" width="6.36328125" style="2" customWidth="1"/>
    <col min="14857" max="14857" width="12.7265625" style="2" customWidth="1"/>
    <col min="14858" max="14858" width="6.36328125" style="2" customWidth="1"/>
    <col min="14859" max="14859" width="12.7265625" style="2" customWidth="1"/>
    <col min="14860" max="14860" width="6" style="2" customWidth="1"/>
    <col min="14861" max="14861" width="12.7265625" style="2" customWidth="1"/>
    <col min="14862" max="14862" width="9.54296875" style="2" customWidth="1"/>
    <col min="14863" max="14863" width="14" style="2" bestFit="1" customWidth="1"/>
    <col min="14864" max="14864" width="8.7265625" style="2" bestFit="1" customWidth="1"/>
    <col min="14865" max="14865" width="13.54296875" style="2" customWidth="1"/>
    <col min="14866" max="14866" width="6" style="2" customWidth="1"/>
    <col min="14867" max="14867" width="13.7265625" style="2" customWidth="1"/>
    <col min="14868" max="14868" width="6" style="2" customWidth="1"/>
    <col min="14869" max="14869" width="12.7265625" style="2" customWidth="1"/>
    <col min="14870" max="14870" width="6.81640625" style="2" customWidth="1"/>
    <col min="14871" max="14871" width="12.7265625" style="2" customWidth="1"/>
    <col min="14872" max="14872" width="6.81640625" style="2" customWidth="1"/>
    <col min="14873" max="14873" width="15.7265625" style="2" bestFit="1" customWidth="1"/>
    <col min="14874" max="14874" width="8.54296875" style="2" bestFit="1" customWidth="1"/>
    <col min="14875" max="14875" width="13.54296875" style="2" customWidth="1"/>
    <col min="14876" max="14876" width="6" style="2" customWidth="1"/>
    <col min="14877" max="14877" width="13.7265625" style="2" customWidth="1"/>
    <col min="14878" max="14878" width="6" style="2" customWidth="1"/>
    <col min="14879" max="14879" width="12.7265625" style="2" customWidth="1"/>
    <col min="14880" max="14880" width="6.81640625" style="2" customWidth="1"/>
    <col min="14881" max="14881" width="12.7265625" style="2" customWidth="1"/>
    <col min="14882" max="14882" width="6.81640625" style="2" customWidth="1"/>
    <col min="14883" max="14883" width="16.36328125" style="2" bestFit="1" customWidth="1"/>
    <col min="14884" max="14884" width="9.54296875" style="2" bestFit="1" customWidth="1"/>
    <col min="14885" max="14885" width="17.36328125" style="2" bestFit="1" customWidth="1"/>
    <col min="14886" max="14886" width="6" style="2" customWidth="1"/>
    <col min="14887" max="14887" width="13.7265625" style="2" customWidth="1"/>
    <col min="14888" max="14888" width="6" style="2" customWidth="1"/>
    <col min="14889" max="14889" width="12.7265625" style="2" customWidth="1"/>
    <col min="14890" max="14890" width="6.81640625" style="2" customWidth="1"/>
    <col min="14891" max="14891" width="12.7265625" style="2" customWidth="1"/>
    <col min="14892" max="14892" width="6.81640625" style="2" customWidth="1"/>
    <col min="14893" max="14893" width="15.36328125" style="2" bestFit="1" customWidth="1"/>
    <col min="14894" max="14894" width="9.54296875" style="2" bestFit="1" customWidth="1"/>
    <col min="14895" max="14895" width="17.36328125" style="2" bestFit="1" customWidth="1"/>
    <col min="14896" max="14896" width="8" style="2" customWidth="1"/>
    <col min="14897" max="14897" width="12.1796875" style="2" customWidth="1"/>
    <col min="14898" max="14898" width="8" style="2" customWidth="1"/>
    <col min="14899" max="14899" width="20" style="2" customWidth="1"/>
    <col min="14900" max="14900" width="15.26953125" style="2" bestFit="1" customWidth="1"/>
    <col min="14901" max="14901" width="14.26953125" style="2" bestFit="1" customWidth="1"/>
    <col min="14902" max="14902" width="13" style="2" bestFit="1" customWidth="1"/>
    <col min="14903" max="15074" width="8.7265625" style="2"/>
    <col min="15075" max="15075" width="2.7265625" style="2" customWidth="1"/>
    <col min="15076" max="15076" width="3.54296875" style="2" customWidth="1"/>
    <col min="15077" max="15077" width="7" style="2" customWidth="1"/>
    <col min="15078" max="15078" width="23" style="2" customWidth="1"/>
    <col min="15079" max="15079" width="13.26953125" style="2" customWidth="1"/>
    <col min="15080" max="15080" width="17.36328125" style="2" bestFit="1" customWidth="1"/>
    <col min="15081" max="15081" width="11.54296875" style="2" bestFit="1" customWidth="1"/>
    <col min="15082" max="15082" width="7.81640625" style="2" customWidth="1"/>
    <col min="15083" max="15083" width="11.54296875" style="2" bestFit="1" customWidth="1"/>
    <col min="15084" max="15084" width="7" style="2" customWidth="1"/>
    <col min="15085" max="15085" width="18.1796875" style="2" customWidth="1"/>
    <col min="15086" max="15086" width="7" style="2" customWidth="1"/>
    <col min="15087" max="15087" width="15.54296875" style="2" customWidth="1"/>
    <col min="15088" max="15088" width="7.81640625" style="2" customWidth="1"/>
    <col min="15089" max="15089" width="15.54296875" style="2" customWidth="1"/>
    <col min="15090" max="15090" width="7.81640625" style="2" bestFit="1" customWidth="1"/>
    <col min="15091" max="15091" width="15.7265625" style="2" bestFit="1" customWidth="1"/>
    <col min="15092" max="15092" width="7.54296875" style="2" customWidth="1"/>
    <col min="15093" max="15093" width="14" style="2" customWidth="1"/>
    <col min="15094" max="15094" width="7.81640625" style="2" customWidth="1"/>
    <col min="15095" max="15095" width="14" style="2" customWidth="1"/>
    <col min="15096" max="15096" width="7.81640625" style="2" customWidth="1"/>
    <col min="15097" max="15097" width="14" style="2" customWidth="1"/>
    <col min="15098" max="15098" width="9" style="2" customWidth="1"/>
    <col min="15099" max="15099" width="15.1796875" style="2" customWidth="1"/>
    <col min="15100" max="15100" width="13" style="2" bestFit="1" customWidth="1"/>
    <col min="15101" max="15101" width="15.1796875" style="2" bestFit="1" customWidth="1"/>
    <col min="15102" max="15102" width="7.54296875" style="2" customWidth="1"/>
    <col min="15103" max="15103" width="14" style="2" customWidth="1"/>
    <col min="15104" max="15104" width="7.81640625" style="2" customWidth="1"/>
    <col min="15105" max="15105" width="14" style="2" customWidth="1"/>
    <col min="15106" max="15106" width="7.81640625" style="2" customWidth="1"/>
    <col min="15107" max="15107" width="14" style="2" customWidth="1"/>
    <col min="15108" max="15108" width="9" style="2" bestFit="1" customWidth="1"/>
    <col min="15109" max="15109" width="15.1796875" style="2" bestFit="1" customWidth="1"/>
    <col min="15110" max="15110" width="9" style="2" bestFit="1" customWidth="1"/>
    <col min="15111" max="15111" width="15.1796875" style="2" bestFit="1" customWidth="1"/>
    <col min="15112" max="15112" width="6.36328125" style="2" customWidth="1"/>
    <col min="15113" max="15113" width="12.7265625" style="2" customWidth="1"/>
    <col min="15114" max="15114" width="6.36328125" style="2" customWidth="1"/>
    <col min="15115" max="15115" width="12.7265625" style="2" customWidth="1"/>
    <col min="15116" max="15116" width="6" style="2" customWidth="1"/>
    <col min="15117" max="15117" width="12.7265625" style="2" customWidth="1"/>
    <col min="15118" max="15118" width="9.54296875" style="2" customWidth="1"/>
    <col min="15119" max="15119" width="14" style="2" bestFit="1" customWidth="1"/>
    <col min="15120" max="15120" width="8.7265625" style="2" bestFit="1" customWidth="1"/>
    <col min="15121" max="15121" width="13.54296875" style="2" customWidth="1"/>
    <col min="15122" max="15122" width="6" style="2" customWidth="1"/>
    <col min="15123" max="15123" width="13.7265625" style="2" customWidth="1"/>
    <col min="15124" max="15124" width="6" style="2" customWidth="1"/>
    <col min="15125" max="15125" width="12.7265625" style="2" customWidth="1"/>
    <col min="15126" max="15126" width="6.81640625" style="2" customWidth="1"/>
    <col min="15127" max="15127" width="12.7265625" style="2" customWidth="1"/>
    <col min="15128" max="15128" width="6.81640625" style="2" customWidth="1"/>
    <col min="15129" max="15129" width="15.7265625" style="2" bestFit="1" customWidth="1"/>
    <col min="15130" max="15130" width="8.54296875" style="2" bestFit="1" customWidth="1"/>
    <col min="15131" max="15131" width="13.54296875" style="2" customWidth="1"/>
    <col min="15132" max="15132" width="6" style="2" customWidth="1"/>
    <col min="15133" max="15133" width="13.7265625" style="2" customWidth="1"/>
    <col min="15134" max="15134" width="6" style="2" customWidth="1"/>
    <col min="15135" max="15135" width="12.7265625" style="2" customWidth="1"/>
    <col min="15136" max="15136" width="6.81640625" style="2" customWidth="1"/>
    <col min="15137" max="15137" width="12.7265625" style="2" customWidth="1"/>
    <col min="15138" max="15138" width="6.81640625" style="2" customWidth="1"/>
    <col min="15139" max="15139" width="16.36328125" style="2" bestFit="1" customWidth="1"/>
    <col min="15140" max="15140" width="9.54296875" style="2" bestFit="1" customWidth="1"/>
    <col min="15141" max="15141" width="17.36328125" style="2" bestFit="1" customWidth="1"/>
    <col min="15142" max="15142" width="6" style="2" customWidth="1"/>
    <col min="15143" max="15143" width="13.7265625" style="2" customWidth="1"/>
    <col min="15144" max="15144" width="6" style="2" customWidth="1"/>
    <col min="15145" max="15145" width="12.7265625" style="2" customWidth="1"/>
    <col min="15146" max="15146" width="6.81640625" style="2" customWidth="1"/>
    <col min="15147" max="15147" width="12.7265625" style="2" customWidth="1"/>
    <col min="15148" max="15148" width="6.81640625" style="2" customWidth="1"/>
    <col min="15149" max="15149" width="15.36328125" style="2" bestFit="1" customWidth="1"/>
    <col min="15150" max="15150" width="9.54296875" style="2" bestFit="1" customWidth="1"/>
    <col min="15151" max="15151" width="17.36328125" style="2" bestFit="1" customWidth="1"/>
    <col min="15152" max="15152" width="8" style="2" customWidth="1"/>
    <col min="15153" max="15153" width="12.1796875" style="2" customWidth="1"/>
    <col min="15154" max="15154" width="8" style="2" customWidth="1"/>
    <col min="15155" max="15155" width="20" style="2" customWidth="1"/>
    <col min="15156" max="15156" width="15.26953125" style="2" bestFit="1" customWidth="1"/>
    <col min="15157" max="15157" width="14.26953125" style="2" bestFit="1" customWidth="1"/>
    <col min="15158" max="15158" width="13" style="2" bestFit="1" customWidth="1"/>
    <col min="15159" max="15330" width="8.7265625" style="2"/>
    <col min="15331" max="15331" width="2.7265625" style="2" customWidth="1"/>
    <col min="15332" max="15332" width="3.54296875" style="2" customWidth="1"/>
    <col min="15333" max="15333" width="7" style="2" customWidth="1"/>
    <col min="15334" max="15334" width="23" style="2" customWidth="1"/>
    <col min="15335" max="15335" width="13.26953125" style="2" customWidth="1"/>
    <col min="15336" max="15336" width="17.36328125" style="2" bestFit="1" customWidth="1"/>
    <col min="15337" max="15337" width="11.54296875" style="2" bestFit="1" customWidth="1"/>
    <col min="15338" max="15338" width="7.81640625" style="2" customWidth="1"/>
    <col min="15339" max="15339" width="11.54296875" style="2" bestFit="1" customWidth="1"/>
    <col min="15340" max="15340" width="7" style="2" customWidth="1"/>
    <col min="15341" max="15341" width="18.1796875" style="2" customWidth="1"/>
    <col min="15342" max="15342" width="7" style="2" customWidth="1"/>
    <col min="15343" max="15343" width="15.54296875" style="2" customWidth="1"/>
    <col min="15344" max="15344" width="7.81640625" style="2" customWidth="1"/>
    <col min="15345" max="15345" width="15.54296875" style="2" customWidth="1"/>
    <col min="15346" max="15346" width="7.81640625" style="2" bestFit="1" customWidth="1"/>
    <col min="15347" max="15347" width="15.7265625" style="2" bestFit="1" customWidth="1"/>
    <col min="15348" max="15348" width="7.54296875" style="2" customWidth="1"/>
    <col min="15349" max="15349" width="14" style="2" customWidth="1"/>
    <col min="15350" max="15350" width="7.81640625" style="2" customWidth="1"/>
    <col min="15351" max="15351" width="14" style="2" customWidth="1"/>
    <col min="15352" max="15352" width="7.81640625" style="2" customWidth="1"/>
    <col min="15353" max="15353" width="14" style="2" customWidth="1"/>
    <col min="15354" max="15354" width="9" style="2" customWidth="1"/>
    <col min="15355" max="15355" width="15.1796875" style="2" customWidth="1"/>
    <col min="15356" max="15356" width="13" style="2" bestFit="1" customWidth="1"/>
    <col min="15357" max="15357" width="15.1796875" style="2" bestFit="1" customWidth="1"/>
    <col min="15358" max="15358" width="7.54296875" style="2" customWidth="1"/>
    <col min="15359" max="15359" width="14" style="2" customWidth="1"/>
    <col min="15360" max="15360" width="7.81640625" style="2" customWidth="1"/>
    <col min="15361" max="15361" width="14" style="2" customWidth="1"/>
    <col min="15362" max="15362" width="7.81640625" style="2" customWidth="1"/>
    <col min="15363" max="15363" width="14" style="2" customWidth="1"/>
    <col min="15364" max="15364" width="9" style="2" bestFit="1" customWidth="1"/>
    <col min="15365" max="15365" width="15.1796875" style="2" bestFit="1" customWidth="1"/>
    <col min="15366" max="15366" width="9" style="2" bestFit="1" customWidth="1"/>
    <col min="15367" max="15367" width="15.1796875" style="2" bestFit="1" customWidth="1"/>
    <col min="15368" max="15368" width="6.36328125" style="2" customWidth="1"/>
    <col min="15369" max="15369" width="12.7265625" style="2" customWidth="1"/>
    <col min="15370" max="15370" width="6.36328125" style="2" customWidth="1"/>
    <col min="15371" max="15371" width="12.7265625" style="2" customWidth="1"/>
    <col min="15372" max="15372" width="6" style="2" customWidth="1"/>
    <col min="15373" max="15373" width="12.7265625" style="2" customWidth="1"/>
    <col min="15374" max="15374" width="9.54296875" style="2" customWidth="1"/>
    <col min="15375" max="15375" width="14" style="2" bestFit="1" customWidth="1"/>
    <col min="15376" max="15376" width="8.7265625" style="2" bestFit="1" customWidth="1"/>
    <col min="15377" max="15377" width="13.54296875" style="2" customWidth="1"/>
    <col min="15378" max="15378" width="6" style="2" customWidth="1"/>
    <col min="15379" max="15379" width="13.7265625" style="2" customWidth="1"/>
    <col min="15380" max="15380" width="6" style="2" customWidth="1"/>
    <col min="15381" max="15381" width="12.7265625" style="2" customWidth="1"/>
    <col min="15382" max="15382" width="6.81640625" style="2" customWidth="1"/>
    <col min="15383" max="15383" width="12.7265625" style="2" customWidth="1"/>
    <col min="15384" max="15384" width="6.81640625" style="2" customWidth="1"/>
    <col min="15385" max="15385" width="15.7265625" style="2" bestFit="1" customWidth="1"/>
    <col min="15386" max="15386" width="8.54296875" style="2" bestFit="1" customWidth="1"/>
    <col min="15387" max="15387" width="13.54296875" style="2" customWidth="1"/>
    <col min="15388" max="15388" width="6" style="2" customWidth="1"/>
    <col min="15389" max="15389" width="13.7265625" style="2" customWidth="1"/>
    <col min="15390" max="15390" width="6" style="2" customWidth="1"/>
    <col min="15391" max="15391" width="12.7265625" style="2" customWidth="1"/>
    <col min="15392" max="15392" width="6.81640625" style="2" customWidth="1"/>
    <col min="15393" max="15393" width="12.7265625" style="2" customWidth="1"/>
    <col min="15394" max="15394" width="6.81640625" style="2" customWidth="1"/>
    <col min="15395" max="15395" width="16.36328125" style="2" bestFit="1" customWidth="1"/>
    <col min="15396" max="15396" width="9.54296875" style="2" bestFit="1" customWidth="1"/>
    <col min="15397" max="15397" width="17.36328125" style="2" bestFit="1" customWidth="1"/>
    <col min="15398" max="15398" width="6" style="2" customWidth="1"/>
    <col min="15399" max="15399" width="13.7265625" style="2" customWidth="1"/>
    <col min="15400" max="15400" width="6" style="2" customWidth="1"/>
    <col min="15401" max="15401" width="12.7265625" style="2" customWidth="1"/>
    <col min="15402" max="15402" width="6.81640625" style="2" customWidth="1"/>
    <col min="15403" max="15403" width="12.7265625" style="2" customWidth="1"/>
    <col min="15404" max="15404" width="6.81640625" style="2" customWidth="1"/>
    <col min="15405" max="15405" width="15.36328125" style="2" bestFit="1" customWidth="1"/>
    <col min="15406" max="15406" width="9.54296875" style="2" bestFit="1" customWidth="1"/>
    <col min="15407" max="15407" width="17.36328125" style="2" bestFit="1" customWidth="1"/>
    <col min="15408" max="15408" width="8" style="2" customWidth="1"/>
    <col min="15409" max="15409" width="12.1796875" style="2" customWidth="1"/>
    <col min="15410" max="15410" width="8" style="2" customWidth="1"/>
    <col min="15411" max="15411" width="20" style="2" customWidth="1"/>
    <col min="15412" max="15412" width="15.26953125" style="2" bestFit="1" customWidth="1"/>
    <col min="15413" max="15413" width="14.26953125" style="2" bestFit="1" customWidth="1"/>
    <col min="15414" max="15414" width="13" style="2" bestFit="1" customWidth="1"/>
    <col min="15415" max="15586" width="8.7265625" style="2"/>
    <col min="15587" max="15587" width="2.7265625" style="2" customWidth="1"/>
    <col min="15588" max="15588" width="3.54296875" style="2" customWidth="1"/>
    <col min="15589" max="15589" width="7" style="2" customWidth="1"/>
    <col min="15590" max="15590" width="23" style="2" customWidth="1"/>
    <col min="15591" max="15591" width="13.26953125" style="2" customWidth="1"/>
    <col min="15592" max="15592" width="17.36328125" style="2" bestFit="1" customWidth="1"/>
    <col min="15593" max="15593" width="11.54296875" style="2" bestFit="1" customWidth="1"/>
    <col min="15594" max="15594" width="7.81640625" style="2" customWidth="1"/>
    <col min="15595" max="15595" width="11.54296875" style="2" bestFit="1" customWidth="1"/>
    <col min="15596" max="15596" width="7" style="2" customWidth="1"/>
    <col min="15597" max="15597" width="18.1796875" style="2" customWidth="1"/>
    <col min="15598" max="15598" width="7" style="2" customWidth="1"/>
    <col min="15599" max="15599" width="15.54296875" style="2" customWidth="1"/>
    <col min="15600" max="15600" width="7.81640625" style="2" customWidth="1"/>
    <col min="15601" max="15601" width="15.54296875" style="2" customWidth="1"/>
    <col min="15602" max="15602" width="7.81640625" style="2" bestFit="1" customWidth="1"/>
    <col min="15603" max="15603" width="15.7265625" style="2" bestFit="1" customWidth="1"/>
    <col min="15604" max="15604" width="7.54296875" style="2" customWidth="1"/>
    <col min="15605" max="15605" width="14" style="2" customWidth="1"/>
    <col min="15606" max="15606" width="7.81640625" style="2" customWidth="1"/>
    <col min="15607" max="15607" width="14" style="2" customWidth="1"/>
    <col min="15608" max="15608" width="7.81640625" style="2" customWidth="1"/>
    <col min="15609" max="15609" width="14" style="2" customWidth="1"/>
    <col min="15610" max="15610" width="9" style="2" customWidth="1"/>
    <col min="15611" max="15611" width="15.1796875" style="2" customWidth="1"/>
    <col min="15612" max="15612" width="13" style="2" bestFit="1" customWidth="1"/>
    <col min="15613" max="15613" width="15.1796875" style="2" bestFit="1" customWidth="1"/>
    <col min="15614" max="15614" width="7.54296875" style="2" customWidth="1"/>
    <col min="15615" max="15615" width="14" style="2" customWidth="1"/>
    <col min="15616" max="15616" width="7.81640625" style="2" customWidth="1"/>
    <col min="15617" max="15617" width="14" style="2" customWidth="1"/>
    <col min="15618" max="15618" width="7.81640625" style="2" customWidth="1"/>
    <col min="15619" max="15619" width="14" style="2" customWidth="1"/>
    <col min="15620" max="15620" width="9" style="2" bestFit="1" customWidth="1"/>
    <col min="15621" max="15621" width="15.1796875" style="2" bestFit="1" customWidth="1"/>
    <col min="15622" max="15622" width="9" style="2" bestFit="1" customWidth="1"/>
    <col min="15623" max="15623" width="15.1796875" style="2" bestFit="1" customWidth="1"/>
    <col min="15624" max="15624" width="6.36328125" style="2" customWidth="1"/>
    <col min="15625" max="15625" width="12.7265625" style="2" customWidth="1"/>
    <col min="15626" max="15626" width="6.36328125" style="2" customWidth="1"/>
    <col min="15627" max="15627" width="12.7265625" style="2" customWidth="1"/>
    <col min="15628" max="15628" width="6" style="2" customWidth="1"/>
    <col min="15629" max="15629" width="12.7265625" style="2" customWidth="1"/>
    <col min="15630" max="15630" width="9.54296875" style="2" customWidth="1"/>
    <col min="15631" max="15631" width="14" style="2" bestFit="1" customWidth="1"/>
    <col min="15632" max="15632" width="8.7265625" style="2" bestFit="1" customWidth="1"/>
    <col min="15633" max="15633" width="13.54296875" style="2" customWidth="1"/>
    <col min="15634" max="15634" width="6" style="2" customWidth="1"/>
    <col min="15635" max="15635" width="13.7265625" style="2" customWidth="1"/>
    <col min="15636" max="15636" width="6" style="2" customWidth="1"/>
    <col min="15637" max="15637" width="12.7265625" style="2" customWidth="1"/>
    <col min="15638" max="15638" width="6.81640625" style="2" customWidth="1"/>
    <col min="15639" max="15639" width="12.7265625" style="2" customWidth="1"/>
    <col min="15640" max="15640" width="6.81640625" style="2" customWidth="1"/>
    <col min="15641" max="15641" width="15.7265625" style="2" bestFit="1" customWidth="1"/>
    <col min="15642" max="15642" width="8.54296875" style="2" bestFit="1" customWidth="1"/>
    <col min="15643" max="15643" width="13.54296875" style="2" customWidth="1"/>
    <col min="15644" max="15644" width="6" style="2" customWidth="1"/>
    <col min="15645" max="15645" width="13.7265625" style="2" customWidth="1"/>
    <col min="15646" max="15646" width="6" style="2" customWidth="1"/>
    <col min="15647" max="15647" width="12.7265625" style="2" customWidth="1"/>
    <col min="15648" max="15648" width="6.81640625" style="2" customWidth="1"/>
    <col min="15649" max="15649" width="12.7265625" style="2" customWidth="1"/>
    <col min="15650" max="15650" width="6.81640625" style="2" customWidth="1"/>
    <col min="15651" max="15651" width="16.36328125" style="2" bestFit="1" customWidth="1"/>
    <col min="15652" max="15652" width="9.54296875" style="2" bestFit="1" customWidth="1"/>
    <col min="15653" max="15653" width="17.36328125" style="2" bestFit="1" customWidth="1"/>
    <col min="15654" max="15654" width="6" style="2" customWidth="1"/>
    <col min="15655" max="15655" width="13.7265625" style="2" customWidth="1"/>
    <col min="15656" max="15656" width="6" style="2" customWidth="1"/>
    <col min="15657" max="15657" width="12.7265625" style="2" customWidth="1"/>
    <col min="15658" max="15658" width="6.81640625" style="2" customWidth="1"/>
    <col min="15659" max="15659" width="12.7265625" style="2" customWidth="1"/>
    <col min="15660" max="15660" width="6.81640625" style="2" customWidth="1"/>
    <col min="15661" max="15661" width="15.36328125" style="2" bestFit="1" customWidth="1"/>
    <col min="15662" max="15662" width="9.54296875" style="2" bestFit="1" customWidth="1"/>
    <col min="15663" max="15663" width="17.36328125" style="2" bestFit="1" customWidth="1"/>
    <col min="15664" max="15664" width="8" style="2" customWidth="1"/>
    <col min="15665" max="15665" width="12.1796875" style="2" customWidth="1"/>
    <col min="15666" max="15666" width="8" style="2" customWidth="1"/>
    <col min="15667" max="15667" width="20" style="2" customWidth="1"/>
    <col min="15668" max="15668" width="15.26953125" style="2" bestFit="1" customWidth="1"/>
    <col min="15669" max="15669" width="14.26953125" style="2" bestFit="1" customWidth="1"/>
    <col min="15670" max="15670" width="13" style="2" bestFit="1" customWidth="1"/>
    <col min="15671" max="15842" width="8.7265625" style="2"/>
    <col min="15843" max="15843" width="2.7265625" style="2" customWidth="1"/>
    <col min="15844" max="15844" width="3.54296875" style="2" customWidth="1"/>
    <col min="15845" max="15845" width="7" style="2" customWidth="1"/>
    <col min="15846" max="15846" width="23" style="2" customWidth="1"/>
    <col min="15847" max="15847" width="13.26953125" style="2" customWidth="1"/>
    <col min="15848" max="15848" width="17.36328125" style="2" bestFit="1" customWidth="1"/>
    <col min="15849" max="15849" width="11.54296875" style="2" bestFit="1" customWidth="1"/>
    <col min="15850" max="15850" width="7.81640625" style="2" customWidth="1"/>
    <col min="15851" max="15851" width="11.54296875" style="2" bestFit="1" customWidth="1"/>
    <col min="15852" max="15852" width="7" style="2" customWidth="1"/>
    <col min="15853" max="15853" width="18.1796875" style="2" customWidth="1"/>
    <col min="15854" max="15854" width="7" style="2" customWidth="1"/>
    <col min="15855" max="15855" width="15.54296875" style="2" customWidth="1"/>
    <col min="15856" max="15856" width="7.81640625" style="2" customWidth="1"/>
    <col min="15857" max="15857" width="15.54296875" style="2" customWidth="1"/>
    <col min="15858" max="15858" width="7.81640625" style="2" bestFit="1" customWidth="1"/>
    <col min="15859" max="15859" width="15.7265625" style="2" bestFit="1" customWidth="1"/>
    <col min="15860" max="15860" width="7.54296875" style="2" customWidth="1"/>
    <col min="15861" max="15861" width="14" style="2" customWidth="1"/>
    <col min="15862" max="15862" width="7.81640625" style="2" customWidth="1"/>
    <col min="15863" max="15863" width="14" style="2" customWidth="1"/>
    <col min="15864" max="15864" width="7.81640625" style="2" customWidth="1"/>
    <col min="15865" max="15865" width="14" style="2" customWidth="1"/>
    <col min="15866" max="15866" width="9" style="2" customWidth="1"/>
    <col min="15867" max="15867" width="15.1796875" style="2" customWidth="1"/>
    <col min="15868" max="15868" width="13" style="2" bestFit="1" customWidth="1"/>
    <col min="15869" max="15869" width="15.1796875" style="2" bestFit="1" customWidth="1"/>
    <col min="15870" max="15870" width="7.54296875" style="2" customWidth="1"/>
    <col min="15871" max="15871" width="14" style="2" customWidth="1"/>
    <col min="15872" max="15872" width="7.81640625" style="2" customWidth="1"/>
    <col min="15873" max="15873" width="14" style="2" customWidth="1"/>
    <col min="15874" max="15874" width="7.81640625" style="2" customWidth="1"/>
    <col min="15875" max="15875" width="14" style="2" customWidth="1"/>
    <col min="15876" max="15876" width="9" style="2" bestFit="1" customWidth="1"/>
    <col min="15877" max="15877" width="15.1796875" style="2" bestFit="1" customWidth="1"/>
    <col min="15878" max="15878" width="9" style="2" bestFit="1" customWidth="1"/>
    <col min="15879" max="15879" width="15.1796875" style="2" bestFit="1" customWidth="1"/>
    <col min="15880" max="15880" width="6.36328125" style="2" customWidth="1"/>
    <col min="15881" max="15881" width="12.7265625" style="2" customWidth="1"/>
    <col min="15882" max="15882" width="6.36328125" style="2" customWidth="1"/>
    <col min="15883" max="15883" width="12.7265625" style="2" customWidth="1"/>
    <col min="15884" max="15884" width="6" style="2" customWidth="1"/>
    <col min="15885" max="15885" width="12.7265625" style="2" customWidth="1"/>
    <col min="15886" max="15886" width="9.54296875" style="2" customWidth="1"/>
    <col min="15887" max="15887" width="14" style="2" bestFit="1" customWidth="1"/>
    <col min="15888" max="15888" width="8.7265625" style="2" bestFit="1" customWidth="1"/>
    <col min="15889" max="15889" width="13.54296875" style="2" customWidth="1"/>
    <col min="15890" max="15890" width="6" style="2" customWidth="1"/>
    <col min="15891" max="15891" width="13.7265625" style="2" customWidth="1"/>
    <col min="15892" max="15892" width="6" style="2" customWidth="1"/>
    <col min="15893" max="15893" width="12.7265625" style="2" customWidth="1"/>
    <col min="15894" max="15894" width="6.81640625" style="2" customWidth="1"/>
    <col min="15895" max="15895" width="12.7265625" style="2" customWidth="1"/>
    <col min="15896" max="15896" width="6.81640625" style="2" customWidth="1"/>
    <col min="15897" max="15897" width="15.7265625" style="2" bestFit="1" customWidth="1"/>
    <col min="15898" max="15898" width="8.54296875" style="2" bestFit="1" customWidth="1"/>
    <col min="15899" max="15899" width="13.54296875" style="2" customWidth="1"/>
    <col min="15900" max="15900" width="6" style="2" customWidth="1"/>
    <col min="15901" max="15901" width="13.7265625" style="2" customWidth="1"/>
    <col min="15902" max="15902" width="6" style="2" customWidth="1"/>
    <col min="15903" max="15903" width="12.7265625" style="2" customWidth="1"/>
    <col min="15904" max="15904" width="6.81640625" style="2" customWidth="1"/>
    <col min="15905" max="15905" width="12.7265625" style="2" customWidth="1"/>
    <col min="15906" max="15906" width="6.81640625" style="2" customWidth="1"/>
    <col min="15907" max="15907" width="16.36328125" style="2" bestFit="1" customWidth="1"/>
    <col min="15908" max="15908" width="9.54296875" style="2" bestFit="1" customWidth="1"/>
    <col min="15909" max="15909" width="17.36328125" style="2" bestFit="1" customWidth="1"/>
    <col min="15910" max="15910" width="6" style="2" customWidth="1"/>
    <col min="15911" max="15911" width="13.7265625" style="2" customWidth="1"/>
    <col min="15912" max="15912" width="6" style="2" customWidth="1"/>
    <col min="15913" max="15913" width="12.7265625" style="2" customWidth="1"/>
    <col min="15914" max="15914" width="6.81640625" style="2" customWidth="1"/>
    <col min="15915" max="15915" width="12.7265625" style="2" customWidth="1"/>
    <col min="15916" max="15916" width="6.81640625" style="2" customWidth="1"/>
    <col min="15917" max="15917" width="15.36328125" style="2" bestFit="1" customWidth="1"/>
    <col min="15918" max="15918" width="9.54296875" style="2" bestFit="1" customWidth="1"/>
    <col min="15919" max="15919" width="17.36328125" style="2" bestFit="1" customWidth="1"/>
    <col min="15920" max="15920" width="8" style="2" customWidth="1"/>
    <col min="15921" max="15921" width="12.1796875" style="2" customWidth="1"/>
    <col min="15922" max="15922" width="8" style="2" customWidth="1"/>
    <col min="15923" max="15923" width="20" style="2" customWidth="1"/>
    <col min="15924" max="15924" width="15.26953125" style="2" bestFit="1" customWidth="1"/>
    <col min="15925" max="15925" width="14.26953125" style="2" bestFit="1" customWidth="1"/>
    <col min="15926" max="15926" width="13" style="2" bestFit="1" customWidth="1"/>
    <col min="15927" max="16098" width="8.7265625" style="2"/>
    <col min="16099" max="16099" width="2.7265625" style="2" customWidth="1"/>
    <col min="16100" max="16100" width="3.54296875" style="2" customWidth="1"/>
    <col min="16101" max="16101" width="7" style="2" customWidth="1"/>
    <col min="16102" max="16102" width="23" style="2" customWidth="1"/>
    <col min="16103" max="16103" width="13.26953125" style="2" customWidth="1"/>
    <col min="16104" max="16104" width="17.36328125" style="2" bestFit="1" customWidth="1"/>
    <col min="16105" max="16105" width="11.54296875" style="2" bestFit="1" customWidth="1"/>
    <col min="16106" max="16106" width="7.81640625" style="2" customWidth="1"/>
    <col min="16107" max="16107" width="11.54296875" style="2" bestFit="1" customWidth="1"/>
    <col min="16108" max="16108" width="7" style="2" customWidth="1"/>
    <col min="16109" max="16109" width="18.1796875" style="2" customWidth="1"/>
    <col min="16110" max="16110" width="7" style="2" customWidth="1"/>
    <col min="16111" max="16111" width="15.54296875" style="2" customWidth="1"/>
    <col min="16112" max="16112" width="7.81640625" style="2" customWidth="1"/>
    <col min="16113" max="16113" width="15.54296875" style="2" customWidth="1"/>
    <col min="16114" max="16114" width="7.81640625" style="2" bestFit="1" customWidth="1"/>
    <col min="16115" max="16115" width="15.7265625" style="2" bestFit="1" customWidth="1"/>
    <col min="16116" max="16116" width="7.54296875" style="2" customWidth="1"/>
    <col min="16117" max="16117" width="14" style="2" customWidth="1"/>
    <col min="16118" max="16118" width="7.81640625" style="2" customWidth="1"/>
    <col min="16119" max="16119" width="14" style="2" customWidth="1"/>
    <col min="16120" max="16120" width="7.81640625" style="2" customWidth="1"/>
    <col min="16121" max="16121" width="14" style="2" customWidth="1"/>
    <col min="16122" max="16122" width="9" style="2" customWidth="1"/>
    <col min="16123" max="16123" width="15.1796875" style="2" customWidth="1"/>
    <col min="16124" max="16124" width="13" style="2" bestFit="1" customWidth="1"/>
    <col min="16125" max="16125" width="15.1796875" style="2" bestFit="1" customWidth="1"/>
    <col min="16126" max="16126" width="7.54296875" style="2" customWidth="1"/>
    <col min="16127" max="16127" width="14" style="2" customWidth="1"/>
    <col min="16128" max="16128" width="7.81640625" style="2" customWidth="1"/>
    <col min="16129" max="16129" width="14" style="2" customWidth="1"/>
    <col min="16130" max="16130" width="7.81640625" style="2" customWidth="1"/>
    <col min="16131" max="16131" width="14" style="2" customWidth="1"/>
    <col min="16132" max="16132" width="9" style="2" bestFit="1" customWidth="1"/>
    <col min="16133" max="16133" width="15.1796875" style="2" bestFit="1" customWidth="1"/>
    <col min="16134" max="16134" width="9" style="2" bestFit="1" customWidth="1"/>
    <col min="16135" max="16135" width="15.1796875" style="2" bestFit="1" customWidth="1"/>
    <col min="16136" max="16136" width="6.36328125" style="2" customWidth="1"/>
    <col min="16137" max="16137" width="12.7265625" style="2" customWidth="1"/>
    <col min="16138" max="16138" width="6.36328125" style="2" customWidth="1"/>
    <col min="16139" max="16139" width="12.7265625" style="2" customWidth="1"/>
    <col min="16140" max="16140" width="6" style="2" customWidth="1"/>
    <col min="16141" max="16141" width="12.7265625" style="2" customWidth="1"/>
    <col min="16142" max="16142" width="9.54296875" style="2" customWidth="1"/>
    <col min="16143" max="16143" width="14" style="2" bestFit="1" customWidth="1"/>
    <col min="16144" max="16144" width="8.7265625" style="2" bestFit="1" customWidth="1"/>
    <col min="16145" max="16145" width="13.54296875" style="2" customWidth="1"/>
    <col min="16146" max="16146" width="6" style="2" customWidth="1"/>
    <col min="16147" max="16147" width="13.7265625" style="2" customWidth="1"/>
    <col min="16148" max="16148" width="6" style="2" customWidth="1"/>
    <col min="16149" max="16149" width="12.7265625" style="2" customWidth="1"/>
    <col min="16150" max="16150" width="6.81640625" style="2" customWidth="1"/>
    <col min="16151" max="16151" width="12.7265625" style="2" customWidth="1"/>
    <col min="16152" max="16152" width="6.81640625" style="2" customWidth="1"/>
    <col min="16153" max="16153" width="15.7265625" style="2" bestFit="1" customWidth="1"/>
    <col min="16154" max="16154" width="8.54296875" style="2" bestFit="1" customWidth="1"/>
    <col min="16155" max="16155" width="13.54296875" style="2" customWidth="1"/>
    <col min="16156" max="16156" width="6" style="2" customWidth="1"/>
    <col min="16157" max="16157" width="13.7265625" style="2" customWidth="1"/>
    <col min="16158" max="16158" width="6" style="2" customWidth="1"/>
    <col min="16159" max="16159" width="12.7265625" style="2" customWidth="1"/>
    <col min="16160" max="16160" width="6.81640625" style="2" customWidth="1"/>
    <col min="16161" max="16161" width="12.7265625" style="2" customWidth="1"/>
    <col min="16162" max="16162" width="6.81640625" style="2" customWidth="1"/>
    <col min="16163" max="16163" width="16.36328125" style="2" bestFit="1" customWidth="1"/>
    <col min="16164" max="16164" width="9.54296875" style="2" bestFit="1" customWidth="1"/>
    <col min="16165" max="16165" width="17.36328125" style="2" bestFit="1" customWidth="1"/>
    <col min="16166" max="16166" width="6" style="2" customWidth="1"/>
    <col min="16167" max="16167" width="13.7265625" style="2" customWidth="1"/>
    <col min="16168" max="16168" width="6" style="2" customWidth="1"/>
    <col min="16169" max="16169" width="12.7265625" style="2" customWidth="1"/>
    <col min="16170" max="16170" width="6.81640625" style="2" customWidth="1"/>
    <col min="16171" max="16171" width="12.7265625" style="2" customWidth="1"/>
    <col min="16172" max="16172" width="6.81640625" style="2" customWidth="1"/>
    <col min="16173" max="16173" width="15.36328125" style="2" bestFit="1" customWidth="1"/>
    <col min="16174" max="16174" width="9.54296875" style="2" bestFit="1" customWidth="1"/>
    <col min="16175" max="16175" width="17.36328125" style="2" bestFit="1" customWidth="1"/>
    <col min="16176" max="16176" width="8" style="2" customWidth="1"/>
    <col min="16177" max="16177" width="12.1796875" style="2" customWidth="1"/>
    <col min="16178" max="16178" width="8" style="2" customWidth="1"/>
    <col min="16179" max="16179" width="20" style="2" customWidth="1"/>
    <col min="16180" max="16180" width="15.26953125" style="2" bestFit="1" customWidth="1"/>
    <col min="16181" max="16181" width="14.26953125" style="2" bestFit="1" customWidth="1"/>
    <col min="16182" max="16182" width="13" style="2" bestFit="1" customWidth="1"/>
    <col min="16183" max="16354" width="8.7265625" style="2"/>
    <col min="16355" max="16384" width="9.1796875" style="2" customWidth="1"/>
  </cols>
  <sheetData>
    <row r="1" spans="2:50" ht="14.25" customHeight="1" x14ac:dyDescent="0.3">
      <c r="B1" s="1" t="s">
        <v>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2:50" ht="14.25" customHeight="1" x14ac:dyDescent="0.3">
      <c r="B2" s="3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  <c r="N2" s="3"/>
      <c r="O2" s="5"/>
      <c r="P2" s="3"/>
      <c r="Q2" s="3"/>
      <c r="R2" s="3"/>
      <c r="S2" s="3"/>
      <c r="T2" s="3"/>
      <c r="U2" s="5"/>
      <c r="V2" s="3"/>
      <c r="W2" s="6"/>
      <c r="X2" s="3"/>
      <c r="Y2" s="3"/>
      <c r="Z2" s="3"/>
      <c r="AA2" s="3"/>
      <c r="AB2" s="3"/>
      <c r="AC2" s="7"/>
      <c r="AD2" s="3"/>
      <c r="AE2" s="7"/>
      <c r="AF2" s="3"/>
      <c r="AG2" s="7"/>
      <c r="AH2" s="7"/>
      <c r="AI2" s="7"/>
      <c r="AJ2" s="3"/>
      <c r="AK2" s="3"/>
      <c r="AQ2" s="8"/>
    </row>
    <row r="3" spans="2:50" ht="14.25" customHeight="1" x14ac:dyDescent="0.3">
      <c r="B3" s="9" t="s">
        <v>2</v>
      </c>
      <c r="C3" s="9"/>
      <c r="D3" s="9"/>
      <c r="E3" s="10"/>
      <c r="F3" s="11"/>
      <c r="G3" s="12"/>
      <c r="H3" s="12"/>
      <c r="I3" s="12"/>
      <c r="M3" s="13"/>
      <c r="O3" s="14"/>
      <c r="R3" s="15"/>
      <c r="U3" s="14"/>
      <c r="W3" s="16"/>
      <c r="X3" s="8"/>
      <c r="AC3" s="8"/>
      <c r="AG3" s="8"/>
      <c r="AH3" s="18"/>
      <c r="AI3" s="8"/>
      <c r="AJ3" s="8"/>
      <c r="AM3" s="8"/>
      <c r="AO3" s="8"/>
      <c r="AT3" s="8"/>
    </row>
    <row r="4" spans="2:50" ht="14.25" customHeight="1" x14ac:dyDescent="0.3">
      <c r="B4" s="9"/>
      <c r="C4" s="9"/>
      <c r="D4" s="9"/>
      <c r="E4" s="10"/>
      <c r="F4" s="10"/>
      <c r="G4" s="12"/>
      <c r="H4" s="12"/>
      <c r="I4" s="12"/>
      <c r="M4" s="13"/>
      <c r="O4" s="14"/>
      <c r="S4" s="19"/>
      <c r="U4" s="14"/>
      <c r="W4" s="16"/>
      <c r="AF4" s="8"/>
      <c r="AH4" s="19"/>
      <c r="AI4" s="8"/>
      <c r="AM4" s="8"/>
      <c r="AN4" s="8"/>
    </row>
    <row r="5" spans="2:50" ht="14.25" customHeight="1" thickBot="1" x14ac:dyDescent="0.35">
      <c r="B5" s="20" t="s">
        <v>3</v>
      </c>
      <c r="C5" s="20"/>
      <c r="D5" s="21" t="s">
        <v>4</v>
      </c>
      <c r="E5" s="20" t="s">
        <v>5</v>
      </c>
      <c r="F5" s="20"/>
      <c r="G5" s="12"/>
      <c r="H5" s="12"/>
      <c r="I5" s="12"/>
    </row>
    <row r="6" spans="2:50" ht="14.25" customHeight="1" thickTop="1" x14ac:dyDescent="0.3">
      <c r="B6" s="22" t="s">
        <v>6</v>
      </c>
      <c r="C6" s="23" t="s">
        <v>7</v>
      </c>
      <c r="D6" s="23"/>
      <c r="E6" s="24" t="s">
        <v>8</v>
      </c>
      <c r="F6" s="23"/>
      <c r="G6" s="25"/>
      <c r="H6" s="26" t="s">
        <v>9</v>
      </c>
      <c r="I6" s="27"/>
      <c r="J6" s="27"/>
      <c r="K6" s="27"/>
      <c r="L6" s="27"/>
      <c r="M6" s="27"/>
      <c r="N6" s="27"/>
      <c r="O6" s="27"/>
      <c r="P6" s="27"/>
      <c r="Q6" s="28"/>
      <c r="R6" s="27" t="s">
        <v>10</v>
      </c>
      <c r="S6" s="27"/>
      <c r="T6" s="27"/>
      <c r="U6" s="27"/>
      <c r="V6" s="27"/>
      <c r="W6" s="27"/>
      <c r="X6" s="27"/>
      <c r="Y6" s="27"/>
      <c r="Z6" s="27"/>
      <c r="AA6" s="28"/>
      <c r="AB6" s="26" t="s">
        <v>11</v>
      </c>
      <c r="AC6" s="27"/>
      <c r="AD6" s="27"/>
      <c r="AE6" s="27"/>
      <c r="AF6" s="27"/>
      <c r="AG6" s="27"/>
      <c r="AH6" s="27"/>
      <c r="AI6" s="27"/>
      <c r="AJ6" s="27"/>
      <c r="AK6" s="28"/>
      <c r="AL6" s="26" t="s">
        <v>12</v>
      </c>
      <c r="AM6" s="27"/>
      <c r="AN6" s="27"/>
      <c r="AO6" s="27"/>
      <c r="AP6" s="27"/>
      <c r="AQ6" s="27"/>
      <c r="AR6" s="27"/>
      <c r="AS6" s="27"/>
      <c r="AT6" s="27"/>
      <c r="AU6" s="28"/>
    </row>
    <row r="7" spans="2:50" s="12" customFormat="1" ht="14.25" customHeight="1" x14ac:dyDescent="0.3">
      <c r="B7" s="29"/>
      <c r="C7" s="30"/>
      <c r="D7" s="30"/>
      <c r="E7" s="31" t="s">
        <v>13</v>
      </c>
      <c r="F7" s="32"/>
      <c r="G7" s="33" t="s">
        <v>14</v>
      </c>
      <c r="H7" s="34" t="s">
        <v>15</v>
      </c>
      <c r="I7" s="35"/>
      <c r="J7" s="35" t="s">
        <v>16</v>
      </c>
      <c r="K7" s="35"/>
      <c r="L7" s="35" t="s">
        <v>17</v>
      </c>
      <c r="M7" s="35"/>
      <c r="N7" s="36" t="s">
        <v>18</v>
      </c>
      <c r="O7" s="37"/>
      <c r="P7" s="38" t="s">
        <v>19</v>
      </c>
      <c r="Q7" s="39"/>
      <c r="R7" s="40" t="s">
        <v>15</v>
      </c>
      <c r="S7" s="35"/>
      <c r="T7" s="35" t="s">
        <v>16</v>
      </c>
      <c r="U7" s="35"/>
      <c r="V7" s="35" t="s">
        <v>17</v>
      </c>
      <c r="W7" s="35"/>
      <c r="X7" s="38" t="s">
        <v>20</v>
      </c>
      <c r="Y7" s="41"/>
      <c r="Z7" s="38" t="s">
        <v>21</v>
      </c>
      <c r="AA7" s="39"/>
      <c r="AB7" s="40" t="s">
        <v>15</v>
      </c>
      <c r="AC7" s="35"/>
      <c r="AD7" s="35" t="s">
        <v>16</v>
      </c>
      <c r="AE7" s="35"/>
      <c r="AF7" s="35" t="s">
        <v>17</v>
      </c>
      <c r="AG7" s="35"/>
      <c r="AH7" s="38" t="s">
        <v>22</v>
      </c>
      <c r="AI7" s="41"/>
      <c r="AJ7" s="38" t="s">
        <v>23</v>
      </c>
      <c r="AK7" s="42"/>
      <c r="AL7" s="34" t="s">
        <v>15</v>
      </c>
      <c r="AM7" s="35"/>
      <c r="AN7" s="35" t="s">
        <v>16</v>
      </c>
      <c r="AO7" s="35"/>
      <c r="AP7" s="35" t="s">
        <v>17</v>
      </c>
      <c r="AQ7" s="35"/>
      <c r="AR7" s="38" t="s">
        <v>24</v>
      </c>
      <c r="AS7" s="41"/>
      <c r="AT7" s="38" t="s">
        <v>25</v>
      </c>
      <c r="AU7" s="39"/>
    </row>
    <row r="8" spans="2:50" ht="12.75" customHeight="1" x14ac:dyDescent="0.3">
      <c r="B8" s="29"/>
      <c r="C8" s="30"/>
      <c r="D8" s="30"/>
      <c r="E8" s="43" t="s">
        <v>26</v>
      </c>
      <c r="F8" s="44" t="s">
        <v>27</v>
      </c>
      <c r="G8" s="33" t="s">
        <v>28</v>
      </c>
      <c r="H8" s="45" t="s">
        <v>29</v>
      </c>
      <c r="I8" s="46" t="s">
        <v>27</v>
      </c>
      <c r="J8" s="46" t="s">
        <v>29</v>
      </c>
      <c r="K8" s="46" t="s">
        <v>27</v>
      </c>
      <c r="L8" s="46" t="s">
        <v>29</v>
      </c>
      <c r="M8" s="46" t="s">
        <v>27</v>
      </c>
      <c r="N8" s="47" t="s">
        <v>29</v>
      </c>
      <c r="O8" s="48" t="s">
        <v>27</v>
      </c>
      <c r="P8" s="47" t="s">
        <v>29</v>
      </c>
      <c r="Q8" s="49" t="s">
        <v>27</v>
      </c>
      <c r="R8" s="50" t="s">
        <v>29</v>
      </c>
      <c r="S8" s="48" t="s">
        <v>27</v>
      </c>
      <c r="T8" s="46" t="s">
        <v>29</v>
      </c>
      <c r="U8" s="46" t="s">
        <v>27</v>
      </c>
      <c r="V8" s="50" t="s">
        <v>29</v>
      </c>
      <c r="W8" s="46" t="s">
        <v>27</v>
      </c>
      <c r="X8" s="47" t="s">
        <v>29</v>
      </c>
      <c r="Y8" s="49" t="s">
        <v>27</v>
      </c>
      <c r="Z8" s="47" t="s">
        <v>29</v>
      </c>
      <c r="AA8" s="49" t="s">
        <v>27</v>
      </c>
      <c r="AB8" s="45" t="s">
        <v>29</v>
      </c>
      <c r="AC8" s="48" t="s">
        <v>27</v>
      </c>
      <c r="AD8" s="46" t="s">
        <v>29</v>
      </c>
      <c r="AE8" s="46" t="s">
        <v>27</v>
      </c>
      <c r="AF8" s="50" t="s">
        <v>29</v>
      </c>
      <c r="AG8" s="46" t="s">
        <v>27</v>
      </c>
      <c r="AH8" s="47" t="s">
        <v>29</v>
      </c>
      <c r="AI8" s="49" t="s">
        <v>27</v>
      </c>
      <c r="AJ8" s="47" t="s">
        <v>29</v>
      </c>
      <c r="AK8" s="49" t="s">
        <v>27</v>
      </c>
      <c r="AL8" s="45" t="s">
        <v>29</v>
      </c>
      <c r="AM8" s="48" t="s">
        <v>27</v>
      </c>
      <c r="AN8" s="46" t="s">
        <v>29</v>
      </c>
      <c r="AO8" s="46" t="s">
        <v>27</v>
      </c>
      <c r="AP8" s="50" t="s">
        <v>29</v>
      </c>
      <c r="AQ8" s="46" t="s">
        <v>27</v>
      </c>
      <c r="AR8" s="47" t="s">
        <v>29</v>
      </c>
      <c r="AS8" s="49" t="s">
        <v>27</v>
      </c>
      <c r="AT8" s="47" t="s">
        <v>29</v>
      </c>
      <c r="AU8" s="49" t="s">
        <v>27</v>
      </c>
    </row>
    <row r="9" spans="2:50" ht="14.25" customHeight="1" thickBot="1" x14ac:dyDescent="0.35">
      <c r="B9" s="51"/>
      <c r="C9" s="52"/>
      <c r="D9" s="52"/>
      <c r="E9" s="53" t="s">
        <v>30</v>
      </c>
      <c r="F9" s="54" t="s">
        <v>31</v>
      </c>
      <c r="G9" s="55" t="s">
        <v>32</v>
      </c>
      <c r="H9" s="55" t="s">
        <v>30</v>
      </c>
      <c r="I9" s="56" t="s">
        <v>31</v>
      </c>
      <c r="J9" s="56" t="s">
        <v>30</v>
      </c>
      <c r="K9" s="56" t="s">
        <v>31</v>
      </c>
      <c r="L9" s="56" t="s">
        <v>30</v>
      </c>
      <c r="M9" s="56" t="s">
        <v>31</v>
      </c>
      <c r="N9" s="57" t="s">
        <v>30</v>
      </c>
      <c r="O9" s="58" t="s">
        <v>31</v>
      </c>
      <c r="P9" s="57" t="s">
        <v>30</v>
      </c>
      <c r="Q9" s="59" t="s">
        <v>31</v>
      </c>
      <c r="R9" s="60" t="s">
        <v>30</v>
      </c>
      <c r="S9" s="58" t="s">
        <v>31</v>
      </c>
      <c r="T9" s="56" t="s">
        <v>30</v>
      </c>
      <c r="U9" s="56" t="s">
        <v>31</v>
      </c>
      <c r="V9" s="60" t="s">
        <v>30</v>
      </c>
      <c r="W9" s="56" t="s">
        <v>31</v>
      </c>
      <c r="X9" s="57" t="s">
        <v>30</v>
      </c>
      <c r="Y9" s="59" t="s">
        <v>31</v>
      </c>
      <c r="Z9" s="57" t="s">
        <v>30</v>
      </c>
      <c r="AA9" s="59" t="s">
        <v>31</v>
      </c>
      <c r="AB9" s="55" t="s">
        <v>30</v>
      </c>
      <c r="AC9" s="58" t="s">
        <v>31</v>
      </c>
      <c r="AD9" s="56" t="s">
        <v>30</v>
      </c>
      <c r="AE9" s="56" t="s">
        <v>31</v>
      </c>
      <c r="AF9" s="60" t="s">
        <v>30</v>
      </c>
      <c r="AG9" s="56" t="s">
        <v>31</v>
      </c>
      <c r="AH9" s="57" t="s">
        <v>30</v>
      </c>
      <c r="AI9" s="59" t="s">
        <v>31</v>
      </c>
      <c r="AJ9" s="57" t="s">
        <v>30</v>
      </c>
      <c r="AK9" s="59" t="s">
        <v>31</v>
      </c>
      <c r="AL9" s="55" t="s">
        <v>30</v>
      </c>
      <c r="AM9" s="58" t="s">
        <v>31</v>
      </c>
      <c r="AN9" s="56" t="s">
        <v>30</v>
      </c>
      <c r="AO9" s="56" t="s">
        <v>31</v>
      </c>
      <c r="AP9" s="60" t="s">
        <v>30</v>
      </c>
      <c r="AQ9" s="56" t="s">
        <v>31</v>
      </c>
      <c r="AR9" s="57" t="s">
        <v>30</v>
      </c>
      <c r="AS9" s="59" t="s">
        <v>31</v>
      </c>
      <c r="AT9" s="57" t="s">
        <v>30</v>
      </c>
      <c r="AU9" s="59" t="s">
        <v>31</v>
      </c>
    </row>
    <row r="10" spans="2:50" ht="29.25" customHeight="1" thickTop="1" x14ac:dyDescent="0.25">
      <c r="B10" s="61">
        <v>1</v>
      </c>
      <c r="C10" s="62" t="s">
        <v>33</v>
      </c>
      <c r="D10" s="63"/>
      <c r="E10" s="64">
        <v>45.36</v>
      </c>
      <c r="F10" s="65">
        <f>E10*G10</f>
        <v>3771108365.5560737</v>
      </c>
      <c r="G10" s="66">
        <f>'REKAP BIAYA'!F50</f>
        <v>83137309.646297917</v>
      </c>
      <c r="H10" s="67">
        <f>$E$10/3</f>
        <v>15.12</v>
      </c>
      <c r="I10" s="68">
        <f>H10*$G10</f>
        <v>1257036121.8520246</v>
      </c>
      <c r="J10" s="67">
        <f>$E$10/3</f>
        <v>15.12</v>
      </c>
      <c r="K10" s="68">
        <f>J10*$G10</f>
        <v>1257036121.8520246</v>
      </c>
      <c r="L10" s="67">
        <f>$E$10/3</f>
        <v>15.12</v>
      </c>
      <c r="M10" s="68">
        <f>L10*$G10</f>
        <v>1257036121.8520246</v>
      </c>
      <c r="N10" s="69">
        <f t="shared" ref="N10:O13" si="0">H10+J10+L10</f>
        <v>45.36</v>
      </c>
      <c r="O10" s="70">
        <f t="shared" si="0"/>
        <v>3771108365.5560737</v>
      </c>
      <c r="P10" s="69">
        <f t="shared" ref="P10:Q13" si="1">N10</f>
        <v>45.36</v>
      </c>
      <c r="Q10" s="71">
        <f t="shared" si="1"/>
        <v>3771108365.5560737</v>
      </c>
      <c r="R10" s="72"/>
      <c r="S10" s="73"/>
      <c r="T10" s="73"/>
      <c r="U10" s="73"/>
      <c r="V10" s="73"/>
      <c r="W10" s="73"/>
      <c r="X10" s="74"/>
      <c r="Y10" s="75"/>
      <c r="Z10" s="69">
        <f>P10</f>
        <v>45.36</v>
      </c>
      <c r="AA10" s="71">
        <f>Q10</f>
        <v>3771108365.5560737</v>
      </c>
      <c r="AB10" s="66"/>
      <c r="AC10" s="73"/>
      <c r="AD10" s="73"/>
      <c r="AE10" s="73"/>
      <c r="AF10" s="73"/>
      <c r="AG10" s="73"/>
      <c r="AH10" s="74"/>
      <c r="AI10" s="75"/>
      <c r="AJ10" s="69">
        <f>Z10</f>
        <v>45.36</v>
      </c>
      <c r="AK10" s="71">
        <f>AA10</f>
        <v>3771108365.5560737</v>
      </c>
      <c r="AL10" s="66"/>
      <c r="AM10" s="73"/>
      <c r="AN10" s="73"/>
      <c r="AO10" s="73"/>
      <c r="AP10" s="73"/>
      <c r="AQ10" s="73"/>
      <c r="AR10" s="74"/>
      <c r="AS10" s="75"/>
      <c r="AT10" s="69">
        <f>AJ10</f>
        <v>45.36</v>
      </c>
      <c r="AU10" s="71">
        <f>AK10</f>
        <v>3771108365.5560737</v>
      </c>
      <c r="AW10" s="8"/>
      <c r="AX10" s="8"/>
    </row>
    <row r="11" spans="2:50" ht="29.25" customHeight="1" x14ac:dyDescent="0.25">
      <c r="B11" s="61">
        <v>2</v>
      </c>
      <c r="C11" s="62" t="s">
        <v>34</v>
      </c>
      <c r="D11" s="63"/>
      <c r="E11" s="69">
        <f>E10</f>
        <v>45.36</v>
      </c>
      <c r="F11" s="70">
        <f>E11*G11</f>
        <v>500811709.34439254</v>
      </c>
      <c r="G11" s="66">
        <f>'REKAP BIAYA'!N41</f>
        <v>11040822.51641077</v>
      </c>
      <c r="H11" s="76"/>
      <c r="I11" s="68">
        <f>H11*$G11</f>
        <v>0</v>
      </c>
      <c r="J11" s="68"/>
      <c r="K11" s="68">
        <f>J11*$G11</f>
        <v>0</v>
      </c>
      <c r="L11" s="68"/>
      <c r="M11" s="68">
        <f>L11*$G11</f>
        <v>0</v>
      </c>
      <c r="N11" s="74">
        <f t="shared" si="0"/>
        <v>0</v>
      </c>
      <c r="O11" s="70">
        <f t="shared" si="0"/>
        <v>0</v>
      </c>
      <c r="P11" s="74">
        <f t="shared" si="1"/>
        <v>0</v>
      </c>
      <c r="Q11" s="77">
        <f t="shared" si="1"/>
        <v>0</v>
      </c>
      <c r="R11" s="78">
        <f>$E$11/3</f>
        <v>15.12</v>
      </c>
      <c r="S11" s="73">
        <f>R11*$G11</f>
        <v>166937236.44813085</v>
      </c>
      <c r="T11" s="78">
        <f>$E$11/3</f>
        <v>15.12</v>
      </c>
      <c r="U11" s="73">
        <f>T11*$G11</f>
        <v>166937236.44813085</v>
      </c>
      <c r="V11" s="78">
        <f>$E$11/3</f>
        <v>15.12</v>
      </c>
      <c r="W11" s="73">
        <f>V11*$G11</f>
        <v>166937236.44813085</v>
      </c>
      <c r="X11" s="79">
        <f>R11+T11+V11</f>
        <v>45.36</v>
      </c>
      <c r="Y11" s="71">
        <f t="shared" ref="X11:Y13" si="2">S11+U11+W11</f>
        <v>500811709.34439254</v>
      </c>
      <c r="Z11" s="69">
        <f t="shared" ref="Z11:AA13" si="3">X11+P11</f>
        <v>45.36</v>
      </c>
      <c r="AA11" s="77">
        <f t="shared" si="3"/>
        <v>500811709.34439254</v>
      </c>
      <c r="AB11" s="66"/>
      <c r="AC11" s="73">
        <f>AB11*$G11</f>
        <v>0</v>
      </c>
      <c r="AD11" s="72"/>
      <c r="AE11" s="73">
        <f>AD11*$G11</f>
        <v>0</v>
      </c>
      <c r="AF11" s="73"/>
      <c r="AG11" s="73">
        <f>AF11*$G11</f>
        <v>0</v>
      </c>
      <c r="AH11" s="80">
        <f t="shared" ref="AH11:AI13" si="4">AB11+AD11+AF11</f>
        <v>0</v>
      </c>
      <c r="AI11" s="71">
        <f t="shared" si="4"/>
        <v>0</v>
      </c>
      <c r="AJ11" s="69">
        <f t="shared" ref="AJ11:AK13" si="5">AH11+Z11</f>
        <v>45.36</v>
      </c>
      <c r="AK11" s="77">
        <f t="shared" si="5"/>
        <v>500811709.34439254</v>
      </c>
      <c r="AL11" s="66"/>
      <c r="AM11" s="73">
        <f>AL11*$G11</f>
        <v>0</v>
      </c>
      <c r="AN11" s="73"/>
      <c r="AO11" s="73">
        <f>AN11*$G11</f>
        <v>0</v>
      </c>
      <c r="AP11" s="73"/>
      <c r="AQ11" s="73">
        <f>AP11*$G11</f>
        <v>0</v>
      </c>
      <c r="AR11" s="80">
        <f t="shared" ref="AR11:AS13" si="6">AL11+AN11+AP11</f>
        <v>0</v>
      </c>
      <c r="AS11" s="71">
        <f t="shared" si="6"/>
        <v>0</v>
      </c>
      <c r="AT11" s="69">
        <f t="shared" ref="AT11:AU13" si="7">AR11+AJ11</f>
        <v>45.36</v>
      </c>
      <c r="AU11" s="77">
        <f t="shared" si="7"/>
        <v>500811709.34439254</v>
      </c>
      <c r="AW11" s="8"/>
      <c r="AX11" s="8"/>
    </row>
    <row r="12" spans="2:50" ht="29.25" customHeight="1" x14ac:dyDescent="0.25">
      <c r="B12" s="61">
        <v>3</v>
      </c>
      <c r="C12" s="62" t="s">
        <v>35</v>
      </c>
      <c r="D12" s="63"/>
      <c r="E12" s="69">
        <f>E11</f>
        <v>45.36</v>
      </c>
      <c r="F12" s="70">
        <f>E12*G12</f>
        <v>590173243.26718318</v>
      </c>
      <c r="G12" s="66">
        <f>'REKAP BIAYA'!V40</f>
        <v>13010873.969735079</v>
      </c>
      <c r="H12" s="76"/>
      <c r="I12" s="68">
        <f t="shared" ref="I12:K13" si="8">H12*$G12</f>
        <v>0</v>
      </c>
      <c r="J12" s="68"/>
      <c r="K12" s="68">
        <f t="shared" si="8"/>
        <v>0</v>
      </c>
      <c r="L12" s="68"/>
      <c r="M12" s="68">
        <f>L12*$G12</f>
        <v>0</v>
      </c>
      <c r="N12" s="74">
        <f t="shared" si="0"/>
        <v>0</v>
      </c>
      <c r="O12" s="70">
        <f t="shared" si="0"/>
        <v>0</v>
      </c>
      <c r="P12" s="74">
        <f t="shared" si="1"/>
        <v>0</v>
      </c>
      <c r="Q12" s="77">
        <f t="shared" si="1"/>
        <v>0</v>
      </c>
      <c r="R12" s="81">
        <f>L11/3</f>
        <v>0</v>
      </c>
      <c r="S12" s="73">
        <f>R12*$G12</f>
        <v>0</v>
      </c>
      <c r="T12" s="82">
        <f>R12</f>
        <v>0</v>
      </c>
      <c r="U12" s="73">
        <f>T12*$G12</f>
        <v>0</v>
      </c>
      <c r="V12" s="73">
        <f>T12</f>
        <v>0</v>
      </c>
      <c r="W12" s="73">
        <f>V12*$G12</f>
        <v>0</v>
      </c>
      <c r="X12" s="80">
        <f t="shared" si="2"/>
        <v>0</v>
      </c>
      <c r="Y12" s="71">
        <f t="shared" si="2"/>
        <v>0</v>
      </c>
      <c r="Z12" s="74">
        <f t="shared" si="3"/>
        <v>0</v>
      </c>
      <c r="AA12" s="77">
        <f t="shared" si="3"/>
        <v>0</v>
      </c>
      <c r="AB12" s="78">
        <f>$E$12/3</f>
        <v>15.12</v>
      </c>
      <c r="AC12" s="73">
        <f>AB12*$G12</f>
        <v>196724414.42239437</v>
      </c>
      <c r="AD12" s="78">
        <f>$E$12/3</f>
        <v>15.12</v>
      </c>
      <c r="AE12" s="73">
        <f>AD12*$G12</f>
        <v>196724414.42239437</v>
      </c>
      <c r="AF12" s="78">
        <f>$E$12/3</f>
        <v>15.12</v>
      </c>
      <c r="AG12" s="73">
        <f>AF12*$G12</f>
        <v>196724414.42239437</v>
      </c>
      <c r="AH12" s="80">
        <f>X11</f>
        <v>45.36</v>
      </c>
      <c r="AI12" s="71">
        <f t="shared" si="4"/>
        <v>590173243.26718307</v>
      </c>
      <c r="AJ12" s="69">
        <f t="shared" si="5"/>
        <v>45.36</v>
      </c>
      <c r="AK12" s="77">
        <f t="shared" si="5"/>
        <v>590173243.26718307</v>
      </c>
      <c r="AL12" s="66">
        <f>AH11/3</f>
        <v>0</v>
      </c>
      <c r="AM12" s="73">
        <f>AL12*$G12</f>
        <v>0</v>
      </c>
      <c r="AN12" s="73">
        <f>AL12</f>
        <v>0</v>
      </c>
      <c r="AO12" s="73">
        <f>AN12*$G12</f>
        <v>0</v>
      </c>
      <c r="AP12" s="73">
        <f>AN12</f>
        <v>0</v>
      </c>
      <c r="AQ12" s="73">
        <f>AP12*$G12</f>
        <v>0</v>
      </c>
      <c r="AR12" s="80">
        <f t="shared" si="6"/>
        <v>0</v>
      </c>
      <c r="AS12" s="71">
        <f t="shared" si="6"/>
        <v>0</v>
      </c>
      <c r="AT12" s="69">
        <f t="shared" si="7"/>
        <v>45.36</v>
      </c>
      <c r="AU12" s="77">
        <f t="shared" si="7"/>
        <v>590173243.26718307</v>
      </c>
      <c r="AW12" s="8"/>
      <c r="AX12" s="8"/>
    </row>
    <row r="13" spans="2:50" ht="29.25" customHeight="1" thickBot="1" x14ac:dyDescent="0.3">
      <c r="B13" s="61">
        <v>4</v>
      </c>
      <c r="C13" s="62" t="s">
        <v>36</v>
      </c>
      <c r="D13" s="63"/>
      <c r="E13" s="69">
        <f>E12</f>
        <v>45.36</v>
      </c>
      <c r="F13" s="70">
        <f>E13*G13</f>
        <v>849398966.3319453</v>
      </c>
      <c r="G13" s="66">
        <f>'REKAP BIAYA'!AD42</f>
        <v>18725726.770986449</v>
      </c>
      <c r="H13" s="76"/>
      <c r="I13" s="68">
        <f t="shared" si="8"/>
        <v>0</v>
      </c>
      <c r="J13" s="68"/>
      <c r="K13" s="68">
        <f t="shared" si="8"/>
        <v>0</v>
      </c>
      <c r="L13" s="68"/>
      <c r="M13" s="68">
        <f>L13*$G13</f>
        <v>0</v>
      </c>
      <c r="N13" s="74">
        <f t="shared" si="0"/>
        <v>0</v>
      </c>
      <c r="O13" s="70">
        <f t="shared" si="0"/>
        <v>0</v>
      </c>
      <c r="P13" s="74">
        <f t="shared" si="1"/>
        <v>0</v>
      </c>
      <c r="Q13" s="77">
        <f t="shared" si="1"/>
        <v>0</v>
      </c>
      <c r="R13" s="72"/>
      <c r="S13" s="73">
        <f>R13*$G13</f>
        <v>0</v>
      </c>
      <c r="T13" s="73"/>
      <c r="U13" s="73">
        <f>T13*$G13</f>
        <v>0</v>
      </c>
      <c r="V13" s="73"/>
      <c r="W13" s="73">
        <f>V13*$G13</f>
        <v>0</v>
      </c>
      <c r="X13" s="80">
        <f t="shared" si="2"/>
        <v>0</v>
      </c>
      <c r="Y13" s="71">
        <f t="shared" si="2"/>
        <v>0</v>
      </c>
      <c r="Z13" s="74">
        <f t="shared" si="3"/>
        <v>0</v>
      </c>
      <c r="AA13" s="77">
        <f t="shared" si="3"/>
        <v>0</v>
      </c>
      <c r="AB13" s="66">
        <f>R12</f>
        <v>0</v>
      </c>
      <c r="AC13" s="73">
        <f>AB13*$G13</f>
        <v>0</v>
      </c>
      <c r="AD13" s="73">
        <f>AB13</f>
        <v>0</v>
      </c>
      <c r="AE13" s="73">
        <f>AD13*$G13</f>
        <v>0</v>
      </c>
      <c r="AF13" s="73">
        <f>AD13</f>
        <v>0</v>
      </c>
      <c r="AG13" s="73">
        <f>AF13*$G13</f>
        <v>0</v>
      </c>
      <c r="AH13" s="80">
        <f t="shared" si="4"/>
        <v>0</v>
      </c>
      <c r="AI13" s="71">
        <f t="shared" si="4"/>
        <v>0</v>
      </c>
      <c r="AJ13" s="74">
        <f t="shared" si="5"/>
        <v>0</v>
      </c>
      <c r="AK13" s="77">
        <f t="shared" si="5"/>
        <v>0</v>
      </c>
      <c r="AL13" s="83">
        <f>$E$13/3</f>
        <v>15.12</v>
      </c>
      <c r="AM13" s="73">
        <f>AL13*$G13</f>
        <v>283132988.77731508</v>
      </c>
      <c r="AN13" s="83">
        <f>$E$13/3</f>
        <v>15.12</v>
      </c>
      <c r="AO13" s="73">
        <f>AN13*$G13</f>
        <v>283132988.77731508</v>
      </c>
      <c r="AP13" s="83">
        <f>$E$13/3</f>
        <v>15.12</v>
      </c>
      <c r="AQ13" s="73">
        <f>AP13*$G13</f>
        <v>283132988.77731508</v>
      </c>
      <c r="AR13" s="79">
        <f t="shared" si="6"/>
        <v>45.36</v>
      </c>
      <c r="AS13" s="71">
        <f t="shared" si="6"/>
        <v>849398966.33194518</v>
      </c>
      <c r="AT13" s="69">
        <f t="shared" si="7"/>
        <v>45.36</v>
      </c>
      <c r="AU13" s="77">
        <f t="shared" si="7"/>
        <v>849398966.33194518</v>
      </c>
      <c r="AW13" s="8"/>
      <c r="AX13" s="8"/>
    </row>
    <row r="14" spans="2:50" ht="14.25" customHeight="1" thickTop="1" thickBot="1" x14ac:dyDescent="0.35">
      <c r="B14" s="84" t="s">
        <v>37</v>
      </c>
      <c r="C14" s="85"/>
      <c r="D14" s="86"/>
      <c r="E14" s="87">
        <f>E10</f>
        <v>45.36</v>
      </c>
      <c r="F14" s="88">
        <f>SUM(F10:F13)</f>
        <v>5711492284.4995947</v>
      </c>
      <c r="G14" s="89">
        <f>F14/E14</f>
        <v>125914732.90343022</v>
      </c>
      <c r="H14" s="89"/>
      <c r="I14" s="90">
        <f>SUM(I10:I13)</f>
        <v>1257036121.8520246</v>
      </c>
      <c r="J14" s="90"/>
      <c r="K14" s="90">
        <f>SUM(K10:K13)</f>
        <v>1257036121.8520246</v>
      </c>
      <c r="L14" s="90"/>
      <c r="M14" s="90">
        <f>SUM(M10:M13)</f>
        <v>1257036121.8520246</v>
      </c>
      <c r="N14" s="91"/>
      <c r="O14" s="92">
        <f>SUM(O10:O13)</f>
        <v>3771108365.5560737</v>
      </c>
      <c r="P14" s="91"/>
      <c r="Q14" s="92">
        <f>SUM(Q10:Q13)</f>
        <v>3771108365.5560737</v>
      </c>
      <c r="R14" s="93"/>
      <c r="S14" s="92">
        <f>SUM(S10:S13)</f>
        <v>166937236.44813085</v>
      </c>
      <c r="T14" s="92"/>
      <c r="U14" s="92">
        <f>SUM(U10:U13)</f>
        <v>166937236.44813085</v>
      </c>
      <c r="V14" s="92"/>
      <c r="W14" s="92">
        <f>SUM(W10:W13)</f>
        <v>166937236.44813085</v>
      </c>
      <c r="X14" s="91"/>
      <c r="Y14" s="92">
        <f>SUM(Y10:Y13)</f>
        <v>500811709.34439254</v>
      </c>
      <c r="Z14" s="91"/>
      <c r="AA14" s="92">
        <f>SUM(AA10:AA13)</f>
        <v>4271920074.900466</v>
      </c>
      <c r="AB14" s="94"/>
      <c r="AC14" s="92">
        <f>SUM(AC10:AC13)</f>
        <v>196724414.42239437</v>
      </c>
      <c r="AD14" s="92"/>
      <c r="AE14" s="92">
        <f>SUM(AE10:AE13)</f>
        <v>196724414.42239437</v>
      </c>
      <c r="AF14" s="92"/>
      <c r="AG14" s="92">
        <f>SUM(AG10:AG13)</f>
        <v>196724414.42239437</v>
      </c>
      <c r="AH14" s="91"/>
      <c r="AI14" s="92">
        <f>SUM(AI10:AI13)</f>
        <v>590173243.26718307</v>
      </c>
      <c r="AJ14" s="91"/>
      <c r="AK14" s="92">
        <f>SUM(AK10:AK13)</f>
        <v>4862093318.1676493</v>
      </c>
      <c r="AL14" s="94"/>
      <c r="AM14" s="92">
        <f>SUM(AM10:AM13)</f>
        <v>283132988.77731508</v>
      </c>
      <c r="AN14" s="92"/>
      <c r="AO14" s="92">
        <f>SUM(AO10:AO13)</f>
        <v>283132988.77731508</v>
      </c>
      <c r="AP14" s="92"/>
      <c r="AQ14" s="92">
        <f>SUM(AQ10:AQ13)</f>
        <v>283132988.77731508</v>
      </c>
      <c r="AR14" s="91"/>
      <c r="AS14" s="92">
        <f>SUM(AS10:AS13)</f>
        <v>849398966.33194518</v>
      </c>
      <c r="AT14" s="91"/>
      <c r="AU14" s="92">
        <f>SUM(AU10:AU13)</f>
        <v>5711492284.4995947</v>
      </c>
      <c r="AW14" s="8"/>
      <c r="AX14" s="8"/>
    </row>
    <row r="15" spans="2:50" ht="14.25" customHeight="1" thickTop="1" x14ac:dyDescent="0.25">
      <c r="B15" s="12"/>
      <c r="C15" s="12"/>
      <c r="D15" s="12"/>
      <c r="E15" s="12"/>
      <c r="F15" s="12"/>
      <c r="G15" s="95"/>
      <c r="H15" s="95"/>
      <c r="I15" s="95"/>
      <c r="J15" s="96"/>
      <c r="K15" s="96"/>
      <c r="L15" s="96"/>
      <c r="M15" s="96"/>
      <c r="N15" s="96"/>
      <c r="O15" s="96"/>
      <c r="P15" s="96"/>
      <c r="Q15" s="96"/>
      <c r="R15" s="97"/>
      <c r="S15" s="96"/>
      <c r="T15" s="96"/>
      <c r="U15" s="96"/>
      <c r="V15" s="96"/>
      <c r="W15" s="96"/>
      <c r="X15" s="96"/>
      <c r="Y15" s="96"/>
      <c r="Z15" s="96"/>
      <c r="AA15" s="96"/>
      <c r="AB15" s="97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  <c r="AP15" s="96"/>
      <c r="AQ15" s="96"/>
      <c r="AR15" s="96"/>
      <c r="AS15" s="96"/>
      <c r="AT15" s="96"/>
      <c r="AU15" s="96"/>
    </row>
    <row r="16" spans="2:50" ht="14.25" customHeight="1" x14ac:dyDescent="0.25">
      <c r="B16" s="12"/>
      <c r="C16" s="12"/>
      <c r="D16" s="12"/>
      <c r="E16" s="12"/>
      <c r="F16" s="98"/>
      <c r="G16" s="95"/>
      <c r="H16" s="95"/>
      <c r="I16" s="95"/>
      <c r="J16" s="96"/>
      <c r="K16" s="96"/>
      <c r="L16" s="96"/>
      <c r="M16" s="96"/>
      <c r="N16" s="96"/>
      <c r="O16" s="96"/>
      <c r="P16" s="96"/>
      <c r="Q16" s="96"/>
      <c r="R16" s="97"/>
      <c r="S16" s="96"/>
      <c r="T16" s="96"/>
      <c r="U16" s="96"/>
      <c r="V16" s="96"/>
      <c r="W16" s="96"/>
      <c r="X16" s="96"/>
      <c r="Y16" s="96"/>
      <c r="Z16" s="96"/>
      <c r="AA16" s="96"/>
      <c r="AB16" s="97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  <c r="AP16" s="96"/>
      <c r="AQ16" s="96"/>
      <c r="AR16" s="96"/>
      <c r="AS16" s="96"/>
      <c r="AT16" s="96"/>
      <c r="AU16" s="96"/>
    </row>
    <row r="17" spans="1:48" s="99" customFormat="1" ht="14.25" customHeight="1" x14ac:dyDescent="0.25">
      <c r="B17" s="100"/>
      <c r="C17" s="100"/>
      <c r="D17" s="100"/>
      <c r="E17" s="101"/>
      <c r="F17" s="102"/>
      <c r="G17" s="103"/>
      <c r="H17" s="103"/>
      <c r="I17" s="103"/>
      <c r="J17" s="104"/>
      <c r="K17" s="104"/>
      <c r="L17" s="104"/>
      <c r="M17" s="104"/>
      <c r="N17" s="104"/>
      <c r="O17" s="104"/>
      <c r="P17" s="104"/>
      <c r="Q17" s="104"/>
      <c r="R17" s="105"/>
      <c r="S17" s="104"/>
      <c r="T17" s="104"/>
      <c r="U17" s="104"/>
      <c r="V17" s="104"/>
      <c r="W17" s="104"/>
      <c r="X17" s="104"/>
      <c r="Y17" s="104"/>
      <c r="Z17" s="104"/>
      <c r="AA17" s="104"/>
      <c r="AB17" s="105"/>
      <c r="AC17" s="104"/>
      <c r="AD17" s="104"/>
      <c r="AE17" s="104"/>
      <c r="AF17" s="104"/>
      <c r="AG17" s="104"/>
      <c r="AH17" s="104"/>
      <c r="AI17" s="104"/>
      <c r="AJ17" s="104"/>
      <c r="AK17" s="104"/>
      <c r="AL17" s="104"/>
      <c r="AM17" s="104"/>
      <c r="AN17" s="104"/>
      <c r="AO17" s="104"/>
      <c r="AP17" s="104"/>
      <c r="AQ17" s="104"/>
      <c r="AR17" s="104"/>
      <c r="AS17" s="104"/>
      <c r="AT17" s="104"/>
      <c r="AU17" s="104"/>
    </row>
    <row r="18" spans="1:48" ht="14.25" customHeight="1" x14ac:dyDescent="0.3">
      <c r="A18" s="106"/>
      <c r="B18" s="106"/>
      <c r="C18" s="106"/>
      <c r="D18" s="106"/>
      <c r="E18" s="106"/>
      <c r="F18" s="107"/>
      <c r="G18" s="108"/>
      <c r="H18" s="108"/>
      <c r="I18" s="109" t="s">
        <v>38</v>
      </c>
      <c r="J18" s="108" t="s">
        <v>39</v>
      </c>
      <c r="K18" s="108"/>
      <c r="L18" s="110" t="s">
        <v>40</v>
      </c>
      <c r="M18" s="111"/>
      <c r="N18" s="112"/>
      <c r="O18" s="113"/>
      <c r="P18" s="112"/>
      <c r="Q18" s="112"/>
      <c r="R18" s="114"/>
      <c r="S18" s="112"/>
      <c r="T18" s="112"/>
      <c r="U18" s="112"/>
      <c r="V18" s="112"/>
      <c r="W18" s="112"/>
      <c r="X18" s="112"/>
      <c r="Y18" s="112"/>
      <c r="Z18" s="112"/>
      <c r="AA18" s="112"/>
      <c r="AB18" s="114"/>
      <c r="AC18" s="112"/>
      <c r="AD18" s="112"/>
      <c r="AE18" s="112"/>
      <c r="AF18" s="112"/>
      <c r="AG18" s="112"/>
      <c r="AH18" s="112"/>
      <c r="AI18" s="112"/>
      <c r="AJ18" s="112"/>
      <c r="AK18" s="112"/>
      <c r="AL18" s="112"/>
      <c r="AM18" s="112"/>
      <c r="AN18" s="112"/>
      <c r="AO18" s="112"/>
      <c r="AP18" s="112"/>
      <c r="AQ18" s="112"/>
      <c r="AR18" s="112"/>
      <c r="AS18" s="115" t="s">
        <v>41</v>
      </c>
      <c r="AT18" s="115"/>
      <c r="AU18" s="115"/>
      <c r="AV18" s="106"/>
    </row>
    <row r="19" spans="1:48" ht="14.25" customHeight="1" x14ac:dyDescent="0.3">
      <c r="A19" s="106"/>
      <c r="B19" s="106"/>
      <c r="C19" s="106"/>
      <c r="D19" s="116"/>
      <c r="E19" s="106"/>
      <c r="F19" s="107"/>
      <c r="G19" s="109"/>
      <c r="H19" s="109"/>
      <c r="I19" s="109"/>
      <c r="J19" s="109"/>
      <c r="K19" s="117"/>
      <c r="L19" s="110"/>
      <c r="M19" s="111"/>
      <c r="N19" s="115" t="s">
        <v>42</v>
      </c>
      <c r="O19" s="115"/>
      <c r="P19" s="115"/>
      <c r="Q19" s="112"/>
      <c r="R19" s="114"/>
      <c r="S19" s="112"/>
      <c r="T19" s="112"/>
      <c r="U19" s="112"/>
      <c r="V19" s="112"/>
      <c r="W19" s="112"/>
      <c r="X19" s="115" t="s">
        <v>38</v>
      </c>
      <c r="Y19" s="115"/>
      <c r="Z19" s="115"/>
      <c r="AA19" s="115"/>
      <c r="AB19" s="118"/>
      <c r="AC19" s="118"/>
      <c r="AD19" s="118"/>
      <c r="AE19" s="118"/>
      <c r="AF19" s="118"/>
      <c r="AG19" s="118"/>
      <c r="AH19" s="118"/>
      <c r="AI19" s="115" t="s">
        <v>39</v>
      </c>
      <c r="AJ19" s="115"/>
      <c r="AK19" s="115"/>
      <c r="AL19" s="115"/>
      <c r="AM19" s="115"/>
      <c r="AN19" s="115"/>
      <c r="AO19" s="115"/>
      <c r="AP19" s="115"/>
      <c r="AQ19" s="115"/>
      <c r="AR19" s="115"/>
      <c r="AS19" s="115" t="s">
        <v>40</v>
      </c>
      <c r="AT19" s="115"/>
      <c r="AU19" s="115"/>
      <c r="AV19" s="106"/>
    </row>
    <row r="20" spans="1:48" ht="24.65" customHeight="1" x14ac:dyDescent="0.3">
      <c r="A20" s="106"/>
      <c r="B20" s="106"/>
      <c r="C20" s="106"/>
      <c r="D20" s="116"/>
      <c r="E20" s="106"/>
      <c r="F20" s="107"/>
      <c r="G20" s="109"/>
      <c r="H20" s="109"/>
      <c r="I20" s="109"/>
      <c r="J20" s="109"/>
      <c r="K20" s="117"/>
      <c r="L20" s="110"/>
      <c r="M20" s="111"/>
      <c r="N20" s="119"/>
      <c r="O20" s="119"/>
      <c r="P20" s="112"/>
      <c r="Q20" s="112"/>
      <c r="R20" s="114"/>
      <c r="S20" s="112"/>
      <c r="T20" s="112"/>
      <c r="U20" s="112"/>
      <c r="V20" s="112"/>
      <c r="W20" s="112"/>
      <c r="X20" s="119"/>
      <c r="Y20" s="119"/>
      <c r="Z20" s="119"/>
      <c r="AA20" s="119"/>
      <c r="AB20" s="114"/>
      <c r="AC20" s="112"/>
      <c r="AD20" s="112"/>
      <c r="AE20" s="112"/>
      <c r="AF20" s="112"/>
      <c r="AG20" s="112"/>
      <c r="AH20" s="112"/>
      <c r="AI20" s="112"/>
      <c r="AJ20" s="119"/>
      <c r="AK20" s="120"/>
      <c r="AL20" s="112"/>
      <c r="AM20" s="112"/>
      <c r="AN20" s="112"/>
      <c r="AO20" s="112"/>
      <c r="AP20" s="112"/>
      <c r="AQ20" s="112"/>
      <c r="AR20" s="112"/>
      <c r="AS20" s="121" t="s">
        <v>43</v>
      </c>
      <c r="AT20" s="121"/>
      <c r="AU20" s="121"/>
      <c r="AV20" s="106"/>
    </row>
    <row r="21" spans="1:48" ht="24.65" customHeight="1" x14ac:dyDescent="0.3">
      <c r="A21" s="106"/>
      <c r="B21" s="106"/>
      <c r="C21" s="106"/>
      <c r="D21" s="106"/>
      <c r="E21" s="106"/>
      <c r="F21" s="106"/>
      <c r="G21" s="109"/>
      <c r="H21" s="109"/>
      <c r="I21" s="109"/>
      <c r="J21" s="109"/>
      <c r="K21" s="117"/>
      <c r="L21" s="110"/>
      <c r="M21" s="106"/>
      <c r="N21" s="119"/>
      <c r="O21" s="119"/>
      <c r="P21" s="122"/>
      <c r="Q21" s="122"/>
      <c r="R21" s="123"/>
      <c r="S21" s="122"/>
      <c r="T21" s="122"/>
      <c r="U21" s="122"/>
      <c r="V21" s="122"/>
      <c r="W21" s="122"/>
      <c r="X21" s="119"/>
      <c r="Y21" s="119"/>
      <c r="Z21" s="119"/>
      <c r="AA21" s="119"/>
      <c r="AB21" s="123"/>
      <c r="AC21" s="122"/>
      <c r="AD21" s="122"/>
      <c r="AE21" s="122"/>
      <c r="AF21" s="122"/>
      <c r="AG21" s="122"/>
      <c r="AH21" s="122"/>
      <c r="AI21" s="122"/>
      <c r="AJ21" s="119"/>
      <c r="AK21" s="120"/>
      <c r="AL21" s="122"/>
      <c r="AM21" s="122"/>
      <c r="AN21" s="122"/>
      <c r="AO21" s="122"/>
      <c r="AP21" s="122"/>
      <c r="AQ21" s="122"/>
      <c r="AR21" s="122"/>
      <c r="AS21" s="121"/>
      <c r="AT21" s="121"/>
      <c r="AU21" s="121"/>
      <c r="AV21" s="106"/>
    </row>
    <row r="22" spans="1:48" ht="13.75" customHeight="1" thickBot="1" x14ac:dyDescent="0.35">
      <c r="A22" s="106"/>
      <c r="B22" s="106"/>
      <c r="C22" s="106"/>
      <c r="D22" s="106"/>
      <c r="E22" s="106"/>
      <c r="F22" s="106"/>
      <c r="G22" s="124"/>
      <c r="H22" s="124"/>
      <c r="I22" s="125" t="s">
        <v>44</v>
      </c>
      <c r="J22" s="126" t="s">
        <v>45</v>
      </c>
      <c r="K22" s="126"/>
      <c r="L22" s="127" t="s">
        <v>46</v>
      </c>
      <c r="M22" s="106"/>
      <c r="N22" s="128" t="s">
        <v>47</v>
      </c>
      <c r="O22" s="128"/>
      <c r="P22" s="128"/>
      <c r="Q22" s="122"/>
      <c r="R22" s="123"/>
      <c r="S22" s="122"/>
      <c r="T22" s="122"/>
      <c r="U22" s="122"/>
      <c r="V22" s="122"/>
      <c r="W22" s="122"/>
      <c r="X22" s="128" t="s">
        <v>48</v>
      </c>
      <c r="Y22" s="128"/>
      <c r="Z22" s="128"/>
      <c r="AA22" s="128"/>
      <c r="AB22" s="129"/>
      <c r="AC22" s="129"/>
      <c r="AD22" s="129"/>
      <c r="AE22" s="129"/>
      <c r="AF22" s="129"/>
      <c r="AG22" s="129"/>
      <c r="AH22" s="129"/>
      <c r="AI22" s="128" t="s">
        <v>49</v>
      </c>
      <c r="AJ22" s="128"/>
      <c r="AK22" s="128"/>
      <c r="AL22" s="128"/>
      <c r="AM22" s="128"/>
      <c r="AN22" s="128"/>
      <c r="AO22" s="128"/>
      <c r="AP22" s="128"/>
      <c r="AQ22" s="128"/>
      <c r="AR22" s="128"/>
      <c r="AS22" s="121"/>
      <c r="AT22" s="121"/>
      <c r="AU22" s="121"/>
      <c r="AV22" s="106"/>
    </row>
    <row r="23" spans="1:48" ht="39.75" customHeight="1" thickTop="1" x14ac:dyDescent="0.3">
      <c r="A23" s="106"/>
      <c r="B23" s="106"/>
      <c r="C23" s="106"/>
      <c r="D23" s="106"/>
      <c r="E23" s="106"/>
      <c r="F23" s="106"/>
      <c r="G23" s="106"/>
      <c r="H23" s="106"/>
      <c r="I23" s="106"/>
      <c r="J23" s="106"/>
      <c r="K23" s="106"/>
      <c r="L23" s="106"/>
      <c r="M23" s="106"/>
      <c r="N23" s="130" t="s">
        <v>50</v>
      </c>
      <c r="O23" s="130"/>
      <c r="P23" s="130"/>
      <c r="Q23" s="122"/>
      <c r="R23" s="123"/>
      <c r="S23" s="122"/>
      <c r="T23" s="122"/>
      <c r="U23" s="122"/>
      <c r="V23" s="122"/>
      <c r="W23" s="122"/>
      <c r="X23" s="130" t="s">
        <v>44</v>
      </c>
      <c r="Y23" s="130"/>
      <c r="Z23" s="130"/>
      <c r="AA23" s="130"/>
      <c r="AB23" s="131"/>
      <c r="AC23" s="131"/>
      <c r="AD23" s="131"/>
      <c r="AE23" s="131"/>
      <c r="AF23" s="131"/>
      <c r="AG23" s="131"/>
      <c r="AH23" s="131"/>
      <c r="AI23" s="130" t="s">
        <v>45</v>
      </c>
      <c r="AJ23" s="130"/>
      <c r="AK23" s="130"/>
      <c r="AL23" s="130"/>
      <c r="AM23" s="130"/>
      <c r="AN23" s="130"/>
      <c r="AO23" s="130"/>
      <c r="AP23" s="130"/>
      <c r="AQ23" s="130"/>
      <c r="AR23" s="130"/>
      <c r="AS23" s="132" t="s">
        <v>46</v>
      </c>
      <c r="AT23" s="132"/>
      <c r="AU23" s="132"/>
      <c r="AV23" s="106"/>
    </row>
    <row r="24" spans="1:48" ht="14.25" customHeight="1" x14ac:dyDescent="0.25">
      <c r="B24" s="12"/>
      <c r="C24" s="12"/>
      <c r="D24" s="12"/>
      <c r="E24" s="12"/>
      <c r="F24" s="12"/>
      <c r="G24" s="12"/>
      <c r="H24" s="12"/>
      <c r="I24" s="12"/>
    </row>
    <row r="25" spans="1:48" ht="14.25" customHeight="1" x14ac:dyDescent="0.25">
      <c r="B25" s="12"/>
      <c r="C25" s="12"/>
      <c r="D25" s="12"/>
      <c r="E25" s="12"/>
      <c r="F25" s="12"/>
      <c r="G25" s="12"/>
      <c r="H25" s="12"/>
      <c r="I25" s="12"/>
    </row>
    <row r="26" spans="1:48" ht="14.25" customHeight="1" x14ac:dyDescent="0.25">
      <c r="B26" s="12"/>
      <c r="C26" s="12"/>
      <c r="D26" s="12"/>
      <c r="E26" s="12"/>
      <c r="F26" s="12"/>
      <c r="G26" s="12"/>
      <c r="H26" s="12"/>
      <c r="I26" s="12"/>
    </row>
    <row r="27" spans="1:48" ht="14.25" customHeight="1" x14ac:dyDescent="0.25">
      <c r="B27" s="12"/>
      <c r="C27" s="12"/>
      <c r="D27" s="12"/>
      <c r="E27" s="12"/>
      <c r="F27" s="12"/>
      <c r="G27" s="12"/>
      <c r="H27" s="12"/>
      <c r="I27" s="12"/>
    </row>
    <row r="28" spans="1:48" ht="14.25" customHeight="1" x14ac:dyDescent="0.25">
      <c r="B28" s="12"/>
      <c r="C28" s="12"/>
      <c r="D28" s="12"/>
      <c r="E28" s="12"/>
      <c r="F28" s="12"/>
      <c r="G28" s="12"/>
      <c r="H28" s="12"/>
      <c r="I28" s="12"/>
    </row>
    <row r="29" spans="1:48" ht="14.25" customHeight="1" x14ac:dyDescent="0.25">
      <c r="B29" s="12"/>
      <c r="C29" s="12"/>
      <c r="D29" s="12"/>
      <c r="E29" s="12"/>
      <c r="F29" s="12"/>
      <c r="G29" s="12"/>
      <c r="H29" s="12"/>
      <c r="I29" s="12"/>
    </row>
    <row r="30" spans="1:48" ht="14.25" customHeight="1" x14ac:dyDescent="0.25">
      <c r="B30" s="12"/>
      <c r="C30" s="12"/>
      <c r="D30" s="12"/>
      <c r="E30" s="12"/>
      <c r="F30" s="12"/>
      <c r="G30" s="12"/>
      <c r="H30" s="12"/>
      <c r="I30" s="12"/>
    </row>
    <row r="31" spans="1:48" ht="14.25" customHeight="1" x14ac:dyDescent="0.25">
      <c r="B31" s="12"/>
      <c r="C31" s="12"/>
      <c r="D31" s="12"/>
      <c r="E31" s="12"/>
      <c r="F31" s="12"/>
      <c r="G31" s="12"/>
      <c r="H31" s="12"/>
      <c r="I31" s="12"/>
    </row>
    <row r="32" spans="1:48" ht="14.25" customHeight="1" x14ac:dyDescent="0.25">
      <c r="B32" s="12"/>
      <c r="C32" s="12"/>
      <c r="D32" s="12"/>
      <c r="E32" s="12"/>
      <c r="F32" s="12"/>
      <c r="G32" s="12"/>
      <c r="H32" s="12"/>
      <c r="I32" s="12"/>
    </row>
    <row r="33" spans="2:9" ht="14.25" customHeight="1" x14ac:dyDescent="0.25">
      <c r="B33" s="12"/>
      <c r="C33" s="12"/>
      <c r="D33" s="12"/>
      <c r="E33" s="12"/>
      <c r="F33" s="12"/>
      <c r="G33" s="12"/>
      <c r="H33" s="12"/>
      <c r="I33" s="12"/>
    </row>
    <row r="34" spans="2:9" ht="14.25" customHeight="1" x14ac:dyDescent="0.25">
      <c r="B34" s="12"/>
      <c r="C34" s="12"/>
      <c r="D34" s="12"/>
      <c r="E34" s="12"/>
      <c r="F34" s="12"/>
      <c r="G34" s="12"/>
      <c r="H34" s="12"/>
      <c r="I34" s="12"/>
    </row>
    <row r="35" spans="2:9" ht="14.25" customHeight="1" x14ac:dyDescent="0.25">
      <c r="B35" s="12"/>
      <c r="C35" s="12"/>
      <c r="D35" s="12"/>
      <c r="E35" s="12"/>
      <c r="F35" s="12"/>
      <c r="G35" s="12"/>
      <c r="H35" s="12"/>
      <c r="I35" s="12"/>
    </row>
    <row r="36" spans="2:9" ht="14.25" customHeight="1" x14ac:dyDescent="0.25">
      <c r="B36" s="12"/>
      <c r="C36" s="12"/>
      <c r="D36" s="12"/>
      <c r="E36" s="12"/>
      <c r="F36" s="12"/>
      <c r="G36" s="12"/>
      <c r="H36" s="12"/>
      <c r="I36" s="12"/>
    </row>
    <row r="37" spans="2:9" ht="14.25" customHeight="1" x14ac:dyDescent="0.25">
      <c r="B37" s="12"/>
      <c r="C37" s="12"/>
      <c r="D37" s="12"/>
      <c r="E37" s="12"/>
      <c r="F37" s="12"/>
      <c r="G37" s="12"/>
      <c r="H37" s="12"/>
      <c r="I37" s="12"/>
    </row>
    <row r="38" spans="2:9" ht="14.25" customHeight="1" x14ac:dyDescent="0.25">
      <c r="B38" s="12"/>
      <c r="C38" s="12"/>
      <c r="D38" s="12"/>
      <c r="E38" s="12"/>
      <c r="F38" s="12"/>
      <c r="G38" s="12"/>
      <c r="H38" s="12"/>
      <c r="I38" s="12"/>
    </row>
    <row r="39" spans="2:9" ht="14.25" customHeight="1" x14ac:dyDescent="0.25">
      <c r="B39" s="12"/>
      <c r="C39" s="12"/>
      <c r="D39" s="12"/>
      <c r="E39" s="12"/>
      <c r="F39" s="12"/>
      <c r="G39" s="12"/>
      <c r="H39" s="12"/>
      <c r="I39" s="12"/>
    </row>
    <row r="40" spans="2:9" ht="14.25" customHeight="1" x14ac:dyDescent="0.25">
      <c r="B40" s="12"/>
      <c r="C40" s="12"/>
      <c r="D40" s="12"/>
      <c r="E40" s="12"/>
      <c r="F40" s="12"/>
      <c r="G40" s="12"/>
      <c r="H40" s="12"/>
      <c r="I40" s="12"/>
    </row>
    <row r="41" spans="2:9" ht="14.25" customHeight="1" x14ac:dyDescent="0.25">
      <c r="B41" s="12"/>
      <c r="C41" s="12"/>
      <c r="D41" s="12"/>
      <c r="E41" s="12"/>
      <c r="F41" s="12"/>
      <c r="G41" s="12"/>
      <c r="H41" s="12"/>
      <c r="I41" s="12"/>
    </row>
    <row r="42" spans="2:9" ht="14.25" customHeight="1" x14ac:dyDescent="0.25">
      <c r="B42" s="12"/>
      <c r="C42" s="12"/>
      <c r="D42" s="12"/>
      <c r="E42" s="12"/>
      <c r="F42" s="12"/>
      <c r="G42" s="12"/>
      <c r="H42" s="12"/>
      <c r="I42" s="12"/>
    </row>
    <row r="43" spans="2:9" ht="14.25" customHeight="1" x14ac:dyDescent="0.25">
      <c r="B43" s="12"/>
      <c r="C43" s="12"/>
      <c r="D43" s="12"/>
      <c r="E43" s="12"/>
      <c r="F43" s="12"/>
      <c r="G43" s="12"/>
      <c r="H43" s="12"/>
      <c r="I43" s="12"/>
    </row>
    <row r="44" spans="2:9" ht="14.25" customHeight="1" x14ac:dyDescent="0.25">
      <c r="B44" s="12"/>
      <c r="C44" s="12"/>
      <c r="D44" s="12"/>
      <c r="E44" s="12"/>
      <c r="F44" s="12"/>
      <c r="G44" s="12"/>
      <c r="H44" s="12"/>
      <c r="I44" s="12"/>
    </row>
    <row r="45" spans="2:9" ht="14.25" customHeight="1" x14ac:dyDescent="0.25">
      <c r="B45" s="12"/>
      <c r="C45" s="12"/>
      <c r="D45" s="12"/>
      <c r="E45" s="12"/>
      <c r="F45" s="12"/>
      <c r="G45" s="12"/>
      <c r="H45" s="12"/>
      <c r="I45" s="12"/>
    </row>
    <row r="46" spans="2:9" ht="14.25" customHeight="1" x14ac:dyDescent="0.25">
      <c r="B46" s="12"/>
      <c r="C46" s="12"/>
      <c r="D46" s="12"/>
      <c r="E46" s="12"/>
      <c r="F46" s="12"/>
      <c r="G46" s="12"/>
      <c r="H46" s="12"/>
      <c r="I46" s="12"/>
    </row>
    <row r="47" spans="2:9" ht="14.25" customHeight="1" x14ac:dyDescent="0.25">
      <c r="B47" s="12"/>
      <c r="C47" s="12"/>
      <c r="D47" s="12"/>
      <c r="E47" s="12"/>
      <c r="F47" s="12"/>
      <c r="G47" s="12"/>
      <c r="H47" s="12"/>
      <c r="I47" s="12"/>
    </row>
    <row r="48" spans="2:9" ht="14.25" customHeight="1" x14ac:dyDescent="0.25">
      <c r="B48" s="12"/>
      <c r="C48" s="12"/>
      <c r="D48" s="12"/>
      <c r="E48" s="12"/>
      <c r="F48" s="12"/>
      <c r="G48" s="12"/>
      <c r="H48" s="12"/>
      <c r="I48" s="12"/>
    </row>
    <row r="49" spans="2:9" ht="14.25" customHeight="1" x14ac:dyDescent="0.25">
      <c r="B49" s="12"/>
      <c r="C49" s="12"/>
      <c r="D49" s="12"/>
      <c r="E49" s="12"/>
      <c r="F49" s="12"/>
      <c r="G49" s="12"/>
      <c r="H49" s="12"/>
      <c r="I49" s="12"/>
    </row>
    <row r="50" spans="2:9" ht="14.25" customHeight="1" x14ac:dyDescent="0.25">
      <c r="B50" s="12"/>
      <c r="C50" s="12"/>
      <c r="D50" s="12"/>
      <c r="E50" s="12"/>
      <c r="F50" s="12"/>
      <c r="G50" s="12"/>
      <c r="H50" s="12"/>
      <c r="I50" s="12"/>
    </row>
    <row r="51" spans="2:9" ht="14.25" customHeight="1" x14ac:dyDescent="0.25">
      <c r="B51" s="12"/>
      <c r="C51" s="12"/>
      <c r="D51" s="12"/>
      <c r="E51" s="12"/>
      <c r="F51" s="12"/>
      <c r="G51" s="12"/>
      <c r="H51" s="12"/>
      <c r="I51" s="12"/>
    </row>
    <row r="52" spans="2:9" ht="14.25" customHeight="1" x14ac:dyDescent="0.25">
      <c r="B52" s="12"/>
      <c r="C52" s="12"/>
      <c r="D52" s="12"/>
      <c r="E52" s="12"/>
      <c r="F52" s="12"/>
      <c r="G52" s="12"/>
      <c r="H52" s="12"/>
      <c r="I52" s="12"/>
    </row>
    <row r="53" spans="2:9" ht="14.25" customHeight="1" x14ac:dyDescent="0.25">
      <c r="B53" s="12"/>
      <c r="C53" s="12"/>
      <c r="D53" s="12"/>
      <c r="E53" s="12"/>
      <c r="F53" s="12"/>
      <c r="G53" s="12"/>
      <c r="H53" s="12"/>
      <c r="I53" s="12"/>
    </row>
    <row r="54" spans="2:9" ht="14.25" customHeight="1" x14ac:dyDescent="0.25">
      <c r="B54" s="12"/>
      <c r="C54" s="12"/>
      <c r="D54" s="12"/>
      <c r="E54" s="12"/>
      <c r="F54" s="12"/>
      <c r="G54" s="12"/>
      <c r="H54" s="12"/>
      <c r="I54" s="12"/>
    </row>
    <row r="55" spans="2:9" ht="14.25" customHeight="1" x14ac:dyDescent="0.25">
      <c r="B55" s="12"/>
      <c r="C55" s="12"/>
      <c r="D55" s="12"/>
      <c r="E55" s="12"/>
      <c r="F55" s="12"/>
      <c r="G55" s="12"/>
      <c r="H55" s="12"/>
      <c r="I55" s="12"/>
    </row>
    <row r="56" spans="2:9" ht="14.25" customHeight="1" x14ac:dyDescent="0.25">
      <c r="B56" s="12"/>
      <c r="C56" s="12"/>
      <c r="D56" s="12"/>
      <c r="E56" s="12"/>
      <c r="F56" s="12"/>
      <c r="G56" s="12"/>
      <c r="H56" s="12"/>
      <c r="I56" s="12"/>
    </row>
    <row r="57" spans="2:9" ht="14.25" customHeight="1" x14ac:dyDescent="0.25">
      <c r="B57" s="12"/>
      <c r="C57" s="12"/>
      <c r="D57" s="12"/>
      <c r="E57" s="12"/>
      <c r="F57" s="12"/>
      <c r="G57" s="12"/>
      <c r="H57" s="12"/>
      <c r="I57" s="12"/>
    </row>
    <row r="58" spans="2:9" ht="14.25" customHeight="1" x14ac:dyDescent="0.25">
      <c r="B58" s="12"/>
      <c r="C58" s="12"/>
      <c r="D58" s="12"/>
      <c r="E58" s="12"/>
      <c r="F58" s="12"/>
      <c r="G58" s="12"/>
      <c r="H58" s="12"/>
      <c r="I58" s="12"/>
    </row>
    <row r="59" spans="2:9" ht="14.25" customHeight="1" x14ac:dyDescent="0.25">
      <c r="B59" s="12"/>
      <c r="C59" s="12"/>
      <c r="D59" s="12"/>
      <c r="E59" s="12"/>
      <c r="F59" s="12"/>
      <c r="G59" s="12"/>
      <c r="H59" s="12"/>
      <c r="I59" s="12"/>
    </row>
    <row r="60" spans="2:9" ht="14.25" customHeight="1" x14ac:dyDescent="0.25">
      <c r="B60" s="12"/>
      <c r="C60" s="12"/>
      <c r="D60" s="12"/>
      <c r="E60" s="12"/>
      <c r="F60" s="12"/>
      <c r="G60" s="12"/>
      <c r="H60" s="12"/>
      <c r="I60" s="12"/>
    </row>
    <row r="61" spans="2:9" ht="14.25" customHeight="1" x14ac:dyDescent="0.25">
      <c r="B61" s="12"/>
      <c r="C61" s="12"/>
      <c r="D61" s="12"/>
      <c r="E61" s="12"/>
      <c r="F61" s="12"/>
      <c r="G61" s="12"/>
      <c r="H61" s="12"/>
      <c r="I61" s="12"/>
    </row>
    <row r="62" spans="2:9" ht="14.25" customHeight="1" x14ac:dyDescent="0.25">
      <c r="B62" s="12"/>
      <c r="C62" s="12"/>
      <c r="D62" s="12"/>
      <c r="E62" s="12"/>
      <c r="F62" s="12"/>
      <c r="G62" s="12"/>
      <c r="H62" s="12"/>
      <c r="I62" s="12"/>
    </row>
    <row r="63" spans="2:9" ht="14.25" customHeight="1" x14ac:dyDescent="0.25">
      <c r="B63" s="12"/>
      <c r="C63" s="12"/>
      <c r="D63" s="12"/>
      <c r="E63" s="12"/>
      <c r="F63" s="12"/>
      <c r="G63" s="12"/>
      <c r="H63" s="12"/>
      <c r="I63" s="12"/>
    </row>
    <row r="64" spans="2:9" ht="14.25" customHeight="1" x14ac:dyDescent="0.25">
      <c r="B64" s="12"/>
      <c r="C64" s="12"/>
      <c r="D64" s="12"/>
      <c r="E64" s="12"/>
      <c r="F64" s="12"/>
      <c r="G64" s="12"/>
      <c r="H64" s="12"/>
      <c r="I64" s="12"/>
    </row>
    <row r="65" spans="2:9" ht="14.25" customHeight="1" x14ac:dyDescent="0.25">
      <c r="B65" s="12"/>
      <c r="C65" s="12"/>
      <c r="D65" s="12"/>
      <c r="E65" s="12"/>
      <c r="F65" s="12"/>
      <c r="G65" s="12"/>
      <c r="H65" s="12"/>
      <c r="I65" s="12"/>
    </row>
    <row r="66" spans="2:9" ht="14.25" customHeight="1" x14ac:dyDescent="0.25">
      <c r="B66" s="12"/>
      <c r="C66" s="12"/>
      <c r="D66" s="12"/>
      <c r="E66" s="12"/>
      <c r="F66" s="12"/>
      <c r="G66" s="12"/>
      <c r="H66" s="12"/>
      <c r="I66" s="12"/>
    </row>
    <row r="67" spans="2:9" ht="14.25" customHeight="1" x14ac:dyDescent="0.25">
      <c r="B67" s="12"/>
      <c r="C67" s="12"/>
      <c r="D67" s="12"/>
      <c r="E67" s="12"/>
      <c r="F67" s="12"/>
      <c r="G67" s="12"/>
      <c r="H67" s="12"/>
      <c r="I67" s="12"/>
    </row>
    <row r="68" spans="2:9" ht="14.25" customHeight="1" x14ac:dyDescent="0.25">
      <c r="B68" s="12"/>
      <c r="C68" s="12"/>
      <c r="D68" s="12"/>
      <c r="E68" s="12"/>
      <c r="F68" s="12"/>
      <c r="G68" s="12"/>
      <c r="H68" s="12"/>
      <c r="I68" s="12"/>
    </row>
    <row r="69" spans="2:9" ht="14.25" customHeight="1" x14ac:dyDescent="0.25">
      <c r="B69" s="12"/>
      <c r="C69" s="12"/>
      <c r="D69" s="12"/>
      <c r="E69" s="12"/>
      <c r="F69" s="12"/>
      <c r="G69" s="12"/>
      <c r="H69" s="12"/>
      <c r="I69" s="12"/>
    </row>
    <row r="70" spans="2:9" ht="14.25" customHeight="1" x14ac:dyDescent="0.25">
      <c r="B70" s="12"/>
      <c r="C70" s="12"/>
      <c r="D70" s="12"/>
      <c r="E70" s="12"/>
      <c r="F70" s="12"/>
      <c r="G70" s="12"/>
      <c r="H70" s="12"/>
      <c r="I70" s="12"/>
    </row>
    <row r="71" spans="2:9" ht="14.25" customHeight="1" x14ac:dyDescent="0.25">
      <c r="B71" s="12"/>
      <c r="C71" s="12"/>
      <c r="D71" s="12"/>
      <c r="E71" s="12"/>
      <c r="F71" s="12"/>
      <c r="G71" s="12"/>
      <c r="H71" s="12"/>
      <c r="I71" s="12"/>
    </row>
    <row r="72" spans="2:9" ht="14.25" customHeight="1" x14ac:dyDescent="0.25">
      <c r="B72" s="12"/>
      <c r="C72" s="12"/>
      <c r="D72" s="12"/>
      <c r="E72" s="12"/>
      <c r="F72" s="12"/>
      <c r="G72" s="12"/>
      <c r="H72" s="12"/>
      <c r="I72" s="12"/>
    </row>
    <row r="73" spans="2:9" ht="14.25" customHeight="1" x14ac:dyDescent="0.25">
      <c r="B73" s="12"/>
      <c r="C73" s="12"/>
      <c r="D73" s="12"/>
      <c r="E73" s="12"/>
      <c r="F73" s="12"/>
      <c r="G73" s="12"/>
      <c r="H73" s="12"/>
      <c r="I73" s="12"/>
    </row>
    <row r="74" spans="2:9" ht="14.25" customHeight="1" x14ac:dyDescent="0.25">
      <c r="B74" s="12"/>
      <c r="C74" s="12"/>
      <c r="D74" s="12"/>
      <c r="E74" s="12"/>
      <c r="F74" s="12"/>
      <c r="G74" s="12"/>
      <c r="H74" s="12"/>
      <c r="I74" s="12"/>
    </row>
  </sheetData>
  <mergeCells count="46">
    <mergeCell ref="N23:P23"/>
    <mergeCell ref="X23:AA23"/>
    <mergeCell ref="AI23:AR23"/>
    <mergeCell ref="AS23:AU23"/>
    <mergeCell ref="N19:P19"/>
    <mergeCell ref="X19:AA19"/>
    <mergeCell ref="AI19:AR19"/>
    <mergeCell ref="AS19:AU19"/>
    <mergeCell ref="AS20:AU22"/>
    <mergeCell ref="G22:H22"/>
    <mergeCell ref="J22:K22"/>
    <mergeCell ref="N22:P22"/>
    <mergeCell ref="X22:AA22"/>
    <mergeCell ref="AI22:AR22"/>
    <mergeCell ref="AP7:AQ7"/>
    <mergeCell ref="AR7:AS7"/>
    <mergeCell ref="AT7:AU7"/>
    <mergeCell ref="G18:H18"/>
    <mergeCell ref="J18:K18"/>
    <mergeCell ref="AS18:AU18"/>
    <mergeCell ref="AD7:AE7"/>
    <mergeCell ref="AF7:AG7"/>
    <mergeCell ref="AH7:AI7"/>
    <mergeCell ref="AJ7:AK7"/>
    <mergeCell ref="AL7:AM7"/>
    <mergeCell ref="AN7:AO7"/>
    <mergeCell ref="AL6:AU6"/>
    <mergeCell ref="E7:F7"/>
    <mergeCell ref="H7:I7"/>
    <mergeCell ref="J7:K7"/>
    <mergeCell ref="L7:M7"/>
    <mergeCell ref="N7:O7"/>
    <mergeCell ref="P7:Q7"/>
    <mergeCell ref="R7:S7"/>
    <mergeCell ref="T7:U7"/>
    <mergeCell ref="V7:W7"/>
    <mergeCell ref="B1:AK1"/>
    <mergeCell ref="B6:B9"/>
    <mergeCell ref="C6:D9"/>
    <mergeCell ref="E6:F6"/>
    <mergeCell ref="H6:Q6"/>
    <mergeCell ref="R6:AA6"/>
    <mergeCell ref="AB6:AK6"/>
    <mergeCell ref="X7:Y7"/>
    <mergeCell ref="Z7:AA7"/>
    <mergeCell ref="AB7:AC7"/>
  </mergeCells>
  <pageMargins left="0.11811023622047245" right="0.11811023622047245" top="0.74803149606299213" bottom="0.74803149606299213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2696B-496D-4CAB-AECF-7B743E4935F0}">
  <sheetPr>
    <tabColor rgb="FF00B050"/>
  </sheetPr>
  <dimension ref="A2:AF52"/>
  <sheetViews>
    <sheetView topLeftCell="A22" workbookViewId="0">
      <selection activeCell="F12" sqref="F12:F16"/>
    </sheetView>
  </sheetViews>
  <sheetFormatPr defaultRowHeight="14.5" x14ac:dyDescent="0.35"/>
  <cols>
    <col min="3" max="3" width="29.54296875" customWidth="1"/>
    <col min="4" max="4" width="34.81640625" customWidth="1"/>
    <col min="5" max="5" width="19.54296875" customWidth="1"/>
    <col min="6" max="6" width="19.26953125" customWidth="1"/>
    <col min="7" max="7" width="11.54296875" bestFit="1" customWidth="1"/>
    <col min="8" max="8" width="11.54296875" customWidth="1"/>
    <col min="9" max="9" width="13.81640625" bestFit="1" customWidth="1"/>
    <col min="11" max="11" width="31.1796875" customWidth="1"/>
    <col min="12" max="12" width="41.81640625" customWidth="1"/>
    <col min="13" max="13" width="12.7265625" customWidth="1"/>
    <col min="14" max="14" width="17.7265625" customWidth="1"/>
    <col min="15" max="15" width="15.81640625" customWidth="1"/>
    <col min="16" max="16" width="10.81640625" bestFit="1" customWidth="1"/>
    <col min="19" max="19" width="27" customWidth="1"/>
    <col min="20" max="20" width="38.81640625" bestFit="1" customWidth="1"/>
    <col min="21" max="21" width="14.54296875" customWidth="1"/>
    <col min="22" max="22" width="14.26953125" bestFit="1" customWidth="1"/>
    <col min="23" max="23" width="10.54296875" bestFit="1" customWidth="1"/>
    <col min="24" max="24" width="10.81640625" bestFit="1" customWidth="1"/>
    <col min="27" max="27" width="27.81640625" customWidth="1"/>
    <col min="28" max="28" width="38.81640625" bestFit="1" customWidth="1"/>
    <col min="29" max="29" width="14.1796875" customWidth="1"/>
    <col min="30" max="30" width="13.81640625" customWidth="1"/>
    <col min="31" max="31" width="11.81640625" customWidth="1"/>
    <col min="32" max="32" width="11.1796875" customWidth="1"/>
  </cols>
  <sheetData>
    <row r="2" spans="1:32" x14ac:dyDescent="0.35">
      <c r="A2">
        <v>45.36</v>
      </c>
      <c r="B2">
        <v>45.36</v>
      </c>
    </row>
    <row r="3" spans="1:32" x14ac:dyDescent="0.35">
      <c r="A3">
        <v>45.36</v>
      </c>
      <c r="B3" s="133" t="s">
        <v>51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4"/>
    </row>
    <row r="4" spans="1:32" x14ac:dyDescent="0.35">
      <c r="B4" s="135" t="s">
        <v>52</v>
      </c>
      <c r="C4" s="135"/>
      <c r="D4" s="135"/>
      <c r="E4" s="135"/>
      <c r="F4" s="135"/>
      <c r="G4" s="135"/>
      <c r="H4" s="135"/>
      <c r="J4" s="136" t="s">
        <v>53</v>
      </c>
      <c r="K4" s="137"/>
      <c r="L4" s="137"/>
      <c r="M4" s="137"/>
      <c r="N4" s="137"/>
      <c r="O4" s="137"/>
      <c r="P4" s="138"/>
      <c r="R4" s="136" t="s">
        <v>54</v>
      </c>
      <c r="S4" s="137"/>
      <c r="T4" s="137"/>
      <c r="U4" s="137"/>
      <c r="V4" s="137"/>
      <c r="W4" s="137"/>
      <c r="X4" s="138"/>
      <c r="Z4" s="136" t="s">
        <v>55</v>
      </c>
      <c r="AA4" s="137"/>
      <c r="AB4" s="137"/>
      <c r="AC4" s="137"/>
      <c r="AD4" s="137"/>
      <c r="AE4" s="137"/>
      <c r="AF4" s="138"/>
    </row>
    <row r="5" spans="1:32" ht="29" x14ac:dyDescent="0.35">
      <c r="B5" s="139" t="s">
        <v>56</v>
      </c>
      <c r="C5" s="140" t="s">
        <v>7</v>
      </c>
      <c r="D5" s="140"/>
      <c r="E5" s="139" t="s">
        <v>57</v>
      </c>
      <c r="F5" s="139" t="s">
        <v>58</v>
      </c>
      <c r="G5" s="139" t="s">
        <v>59</v>
      </c>
      <c r="H5" s="141" t="s">
        <v>60</v>
      </c>
      <c r="J5" s="139" t="s">
        <v>56</v>
      </c>
      <c r="K5" s="142" t="s">
        <v>7</v>
      </c>
      <c r="L5" s="143"/>
      <c r="M5" s="139" t="s">
        <v>57</v>
      </c>
      <c r="N5" s="139" t="s">
        <v>58</v>
      </c>
      <c r="O5" s="139" t="s">
        <v>59</v>
      </c>
      <c r="P5" s="141" t="s">
        <v>60</v>
      </c>
      <c r="R5" s="139" t="s">
        <v>56</v>
      </c>
      <c r="S5" s="142" t="s">
        <v>7</v>
      </c>
      <c r="T5" s="143"/>
      <c r="U5" s="139" t="s">
        <v>57</v>
      </c>
      <c r="V5" s="139" t="s">
        <v>58</v>
      </c>
      <c r="W5" s="139" t="s">
        <v>59</v>
      </c>
      <c r="X5" s="141" t="s">
        <v>60</v>
      </c>
      <c r="Z5" s="139" t="s">
        <v>56</v>
      </c>
      <c r="AA5" s="142" t="s">
        <v>7</v>
      </c>
      <c r="AB5" s="143"/>
      <c r="AC5" s="139" t="s">
        <v>57</v>
      </c>
      <c r="AD5" s="139" t="s">
        <v>58</v>
      </c>
      <c r="AE5" s="139" t="s">
        <v>59</v>
      </c>
      <c r="AF5" s="141" t="s">
        <v>60</v>
      </c>
    </row>
    <row r="6" spans="1:32" ht="20.5" customHeight="1" x14ac:dyDescent="0.35">
      <c r="B6" s="144">
        <v>1</v>
      </c>
      <c r="C6" s="144" t="s">
        <v>61</v>
      </c>
      <c r="D6" s="145" t="s">
        <v>62</v>
      </c>
      <c r="E6" s="146">
        <f>'SI TB LC'!Q7</f>
        <v>1690890.6167999995</v>
      </c>
      <c r="F6" s="147">
        <f>SUM(E6:E11)</f>
        <v>2323291464.1629162</v>
      </c>
      <c r="G6" s="147">
        <f>F6/A2</f>
        <v>51218947.622639246</v>
      </c>
      <c r="H6" s="148">
        <f>F6/$F$49*100</f>
        <v>61.607655865395216</v>
      </c>
      <c r="J6" s="149">
        <v>1</v>
      </c>
      <c r="K6" s="150" t="s">
        <v>63</v>
      </c>
      <c r="L6" s="151" t="s">
        <v>64</v>
      </c>
      <c r="M6" s="152">
        <f>SUM('S1 TBM 1'!S38:S40)</f>
        <v>18088739.622922499</v>
      </c>
      <c r="N6" s="153">
        <f>SUM(M6:M7)</f>
        <v>27359242.190626498</v>
      </c>
      <c r="O6" s="153">
        <f>N6/A3</f>
        <v>603157.89661874995</v>
      </c>
      <c r="P6" s="148">
        <f>N6/N40*100</f>
        <v>5.4629797347274893</v>
      </c>
      <c r="R6" s="149">
        <v>1</v>
      </c>
      <c r="S6" s="154" t="s">
        <v>65</v>
      </c>
      <c r="T6" s="151" t="s">
        <v>66</v>
      </c>
      <c r="U6" s="152">
        <f>SUM('S1 TBM 2'!Q59:Q61)</f>
        <v>19258404.672196697</v>
      </c>
      <c r="V6" s="153">
        <f>SUM(U6:U9)</f>
        <v>102948637.08138388</v>
      </c>
      <c r="W6" s="153">
        <f>V6/$A$3</f>
        <v>2269590.7645807737</v>
      </c>
      <c r="X6" s="148">
        <f>V6/V39*100</f>
        <v>17.443799470044251</v>
      </c>
      <c r="Z6" s="149">
        <v>1</v>
      </c>
      <c r="AA6" s="154" t="s">
        <v>67</v>
      </c>
      <c r="AB6" s="155" t="s">
        <v>68</v>
      </c>
      <c r="AC6" s="156">
        <f>SUM('S1 TBM 3'!Q44:Q46)</f>
        <v>1105150.9457265327</v>
      </c>
      <c r="AD6" s="153">
        <f>SUM(AC6:AC11)</f>
        <v>150771579.58551127</v>
      </c>
      <c r="AE6" s="153">
        <f>AD6/$A$3</f>
        <v>3323888.4388340227</v>
      </c>
      <c r="AF6" s="157">
        <f>AD6/AD41*100</f>
        <v>17.750384161238745</v>
      </c>
    </row>
    <row r="7" spans="1:32" x14ac:dyDescent="0.35">
      <c r="B7" s="144"/>
      <c r="C7" s="144"/>
      <c r="D7" s="145" t="s">
        <v>69</v>
      </c>
      <c r="E7" s="146">
        <f>SUM('SI TB LC'!Q22)</f>
        <v>2265419015.7433915</v>
      </c>
      <c r="F7" s="144"/>
      <c r="G7" s="147"/>
      <c r="H7" s="158"/>
      <c r="J7" s="159"/>
      <c r="K7" s="160"/>
      <c r="L7" s="151" t="s">
        <v>70</v>
      </c>
      <c r="M7" s="152">
        <f>SUM('S1 TBM 1'!S48:S50)</f>
        <v>9270502.5677039996</v>
      </c>
      <c r="N7" s="159"/>
      <c r="O7" s="159"/>
      <c r="P7" s="161"/>
      <c r="R7" s="162"/>
      <c r="S7" s="163"/>
      <c r="T7" s="151" t="s">
        <v>71</v>
      </c>
      <c r="U7" s="152">
        <f>SUM('S1 TBM 2'!Q71:Q82)</f>
        <v>27873463.342297744</v>
      </c>
      <c r="V7" s="162"/>
      <c r="W7" s="164"/>
      <c r="X7" s="158"/>
      <c r="Z7" s="162"/>
      <c r="AA7" s="163"/>
      <c r="AB7" s="151" t="s">
        <v>66</v>
      </c>
      <c r="AC7" s="165">
        <f>SUM('S1 TBM 3'!Q60:Q62)</f>
        <v>20509002.46728253</v>
      </c>
      <c r="AD7" s="164"/>
      <c r="AE7" s="164"/>
      <c r="AF7" s="166"/>
    </row>
    <row r="8" spans="1:32" ht="15" customHeight="1" x14ac:dyDescent="0.35">
      <c r="B8" s="144"/>
      <c r="C8" s="144"/>
      <c r="D8" s="145" t="s">
        <v>72</v>
      </c>
      <c r="E8" s="146">
        <f>SUM('SI TB LC'!Q27:Q32)</f>
        <v>0</v>
      </c>
      <c r="F8" s="144"/>
      <c r="G8" s="147"/>
      <c r="H8" s="158"/>
      <c r="I8" s="167"/>
      <c r="J8" s="149">
        <v>2</v>
      </c>
      <c r="K8" s="154" t="s">
        <v>65</v>
      </c>
      <c r="L8" s="151" t="s">
        <v>66</v>
      </c>
      <c r="M8" s="152">
        <f>SUM('S1 TBM 1'!S61:S63)</f>
        <v>18084080.853488471</v>
      </c>
      <c r="N8" s="153">
        <f>SUM(M8:M11)</f>
        <v>68028918.108917832</v>
      </c>
      <c r="O8" s="153">
        <f>N8/A3</f>
        <v>1499755.6902318746</v>
      </c>
      <c r="P8" s="148">
        <f>N8/N40*100</f>
        <v>13.583731538141111</v>
      </c>
      <c r="R8" s="162"/>
      <c r="S8" s="163"/>
      <c r="T8" s="151" t="s">
        <v>73</v>
      </c>
      <c r="U8" s="152">
        <f>SUM('S1 TBM 2'!Q106:Q108)</f>
        <v>30829753.436334141</v>
      </c>
      <c r="V8" s="162"/>
      <c r="W8" s="164"/>
      <c r="X8" s="158"/>
      <c r="Z8" s="162"/>
      <c r="AA8" s="163"/>
      <c r="AB8" s="151" t="s">
        <v>71</v>
      </c>
      <c r="AC8" s="165">
        <f>SUM('S1 TBM 3'!Q73:Q84)</f>
        <v>29532888.5400404</v>
      </c>
      <c r="AD8" s="164"/>
      <c r="AE8" s="164"/>
      <c r="AF8" s="166"/>
    </row>
    <row r="9" spans="1:32" x14ac:dyDescent="0.35">
      <c r="B9" s="144"/>
      <c r="C9" s="144"/>
      <c r="D9" s="145" t="s">
        <v>74</v>
      </c>
      <c r="E9" s="146">
        <f>SUM('SI TB LC'!Q33:Q35)</f>
        <v>0</v>
      </c>
      <c r="F9" s="144"/>
      <c r="G9" s="147"/>
      <c r="H9" s="158"/>
      <c r="I9" s="167"/>
      <c r="J9" s="162"/>
      <c r="K9" s="163"/>
      <c r="L9" s="151" t="s">
        <v>71</v>
      </c>
      <c r="M9" s="152">
        <f>SUM('S1 TBM 1'!S73:S83)</f>
        <v>6970393.7103425609</v>
      </c>
      <c r="N9" s="162"/>
      <c r="O9" s="162"/>
      <c r="P9" s="158"/>
      <c r="R9" s="159"/>
      <c r="S9" s="168"/>
      <c r="T9" s="151" t="s">
        <v>75</v>
      </c>
      <c r="U9" s="152">
        <f>SUM('S1 TBM 2'!Q113:Q124)</f>
        <v>24987015.630555302</v>
      </c>
      <c r="V9" s="159"/>
      <c r="W9" s="169"/>
      <c r="X9" s="161"/>
      <c r="Z9" s="162"/>
      <c r="AA9" s="163"/>
      <c r="AB9" s="170" t="s">
        <v>76</v>
      </c>
      <c r="AC9" s="165">
        <f>SUM('S1 TBM 3'!Q67:Q69)</f>
        <v>40981775.666399136</v>
      </c>
      <c r="AD9" s="164"/>
      <c r="AE9" s="164"/>
      <c r="AF9" s="166"/>
    </row>
    <row r="10" spans="1:32" x14ac:dyDescent="0.35">
      <c r="B10" s="144"/>
      <c r="C10" s="144"/>
      <c r="D10" s="145" t="s">
        <v>77</v>
      </c>
      <c r="E10" s="146">
        <f>SUM('SI TB LC'!Q36:Q38)</f>
        <v>0</v>
      </c>
      <c r="F10" s="144"/>
      <c r="G10" s="147"/>
      <c r="H10" s="158"/>
      <c r="J10" s="162"/>
      <c r="K10" s="163"/>
      <c r="L10" s="151" t="s">
        <v>73</v>
      </c>
      <c r="M10" s="152">
        <f>SUM('S1 TBM 1'!S107:S109)</f>
        <v>36153252.879644245</v>
      </c>
      <c r="N10" s="162"/>
      <c r="O10" s="162"/>
      <c r="P10" s="158"/>
      <c r="R10" s="149">
        <v>2</v>
      </c>
      <c r="S10" s="149" t="s">
        <v>78</v>
      </c>
      <c r="T10" s="151" t="s">
        <v>79</v>
      </c>
      <c r="U10" s="152">
        <f>SUM('S1 TBM 2'!Q150:Q159)</f>
        <v>6057800.9634915041</v>
      </c>
      <c r="V10" s="153">
        <f>SUM(U10:U12)</f>
        <v>21573096.190178681</v>
      </c>
      <c r="W10" s="153">
        <f>V10/$A$3</f>
        <v>475597.35869000619</v>
      </c>
      <c r="X10" s="148">
        <f>V10/V39*100</f>
        <v>3.6553836413780134</v>
      </c>
      <c r="Z10" s="162"/>
      <c r="AA10" s="163"/>
      <c r="AB10" s="151" t="s">
        <v>73</v>
      </c>
      <c r="AC10" s="165">
        <f>SUM('S1 TBM 3'!Q108:Q110)</f>
        <v>32831525.206512436</v>
      </c>
      <c r="AD10" s="164"/>
      <c r="AE10" s="164"/>
      <c r="AF10" s="166"/>
    </row>
    <row r="11" spans="1:32" x14ac:dyDescent="0.35">
      <c r="B11" s="144"/>
      <c r="C11" s="144"/>
      <c r="D11" s="145" t="s">
        <v>80</v>
      </c>
      <c r="E11" s="146">
        <f>SUM('SI TB LC'!Q40:Q43)</f>
        <v>56181557.802724712</v>
      </c>
      <c r="F11" s="144"/>
      <c r="G11" s="147"/>
      <c r="H11" s="161"/>
      <c r="J11" s="159"/>
      <c r="K11" s="168"/>
      <c r="L11" s="151" t="s">
        <v>75</v>
      </c>
      <c r="M11" s="152">
        <f>SUM('S1 TBM 1'!S114:S125)</f>
        <v>6821190.6654425617</v>
      </c>
      <c r="N11" s="159"/>
      <c r="O11" s="159"/>
      <c r="P11" s="161"/>
      <c r="R11" s="162"/>
      <c r="S11" s="162"/>
      <c r="T11" s="151" t="s">
        <v>81</v>
      </c>
      <c r="U11" s="152">
        <f>SUM('S1 TBM 2'!Q160:Q168)</f>
        <v>11356765.570063176</v>
      </c>
      <c r="V11" s="162"/>
      <c r="W11" s="164"/>
      <c r="X11" s="158"/>
      <c r="Z11" s="159"/>
      <c r="AA11" s="168"/>
      <c r="AB11" s="151" t="s">
        <v>75</v>
      </c>
      <c r="AC11" s="165">
        <f>SUM('S1 TBM 3'!Q115:Q126)</f>
        <v>25811236.759550225</v>
      </c>
      <c r="AD11" s="169"/>
      <c r="AE11" s="169"/>
      <c r="AF11" s="171"/>
    </row>
    <row r="12" spans="1:32" x14ac:dyDescent="0.35">
      <c r="B12" s="144">
        <v>2</v>
      </c>
      <c r="C12" s="144" t="s">
        <v>82</v>
      </c>
      <c r="D12" s="145" t="s">
        <v>62</v>
      </c>
      <c r="E12" s="146">
        <v>0</v>
      </c>
      <c r="F12" s="147">
        <f>SUM(E12:E16)</f>
        <v>0</v>
      </c>
      <c r="G12" s="147">
        <f>F12/B2</f>
        <v>0</v>
      </c>
      <c r="H12" s="148">
        <f>F12/F49*100</f>
        <v>0</v>
      </c>
      <c r="J12" s="149">
        <v>3</v>
      </c>
      <c r="K12" s="149" t="s">
        <v>78</v>
      </c>
      <c r="L12" s="151" t="s">
        <v>79</v>
      </c>
      <c r="M12" s="152">
        <f>SUM('S1 TBM 1'!S151:S160)</f>
        <v>5705960.9371348498</v>
      </c>
      <c r="N12" s="153">
        <f>SUM(M12:M14)</f>
        <v>21209889.326528698</v>
      </c>
      <c r="O12" s="153">
        <f>N12/A3</f>
        <v>467590.15270124999</v>
      </c>
      <c r="P12" s="148">
        <f>N12/N40*100</f>
        <v>4.2351025207246744</v>
      </c>
      <c r="R12" s="159"/>
      <c r="S12" s="159"/>
      <c r="T12" s="151" t="s">
        <v>83</v>
      </c>
      <c r="U12" s="152">
        <f>SUM('S1 TBM 2'!Q171)</f>
        <v>4158529.6566240005</v>
      </c>
      <c r="V12" s="159"/>
      <c r="W12" s="169"/>
      <c r="X12" s="161"/>
      <c r="Z12" s="149">
        <v>2</v>
      </c>
      <c r="AA12" s="149" t="s">
        <v>78</v>
      </c>
      <c r="AB12" s="151" t="s">
        <v>81</v>
      </c>
      <c r="AC12" s="152">
        <f>SUM('S1 TBM 3'!Q162:Q170)</f>
        <v>12066338.264901148</v>
      </c>
      <c r="AD12" s="153">
        <f>SUM(AC12:AC13)</f>
        <v>16432794.404356349</v>
      </c>
      <c r="AE12" s="153">
        <f>AD12/$A$3</f>
        <v>362275.00891438161</v>
      </c>
      <c r="AF12" s="157">
        <f>AD12/AD41*100</f>
        <v>1.934637909358417</v>
      </c>
    </row>
    <row r="13" spans="1:32" x14ac:dyDescent="0.35">
      <c r="B13" s="144"/>
      <c r="C13" s="144"/>
      <c r="D13" s="145" t="s">
        <v>84</v>
      </c>
      <c r="E13" s="146">
        <v>0</v>
      </c>
      <c r="F13" s="144"/>
      <c r="G13" s="147"/>
      <c r="H13" s="158"/>
      <c r="J13" s="162"/>
      <c r="K13" s="162"/>
      <c r="L13" s="151" t="s">
        <v>81</v>
      </c>
      <c r="M13" s="152">
        <f>SUM('S1 TBM 1'!S161:S170)</f>
        <v>11543423.954513848</v>
      </c>
      <c r="N13" s="162"/>
      <c r="O13" s="162"/>
      <c r="P13" s="158"/>
      <c r="R13" s="149">
        <v>3</v>
      </c>
      <c r="S13" s="149" t="s">
        <v>85</v>
      </c>
      <c r="T13" s="172" t="s">
        <v>86</v>
      </c>
      <c r="U13" s="152">
        <f>SUM('S1 TBM 2'!Q179:Q183)</f>
        <v>46250139.735545255</v>
      </c>
      <c r="V13" s="153">
        <f>SUM(U13:U15)</f>
        <v>64597751.916014701</v>
      </c>
      <c r="W13" s="153">
        <f>V13/$A$3</f>
        <v>1424112.6965611707</v>
      </c>
      <c r="X13" s="148">
        <f>V13/V39*100</f>
        <v>10.945557538054976</v>
      </c>
      <c r="Z13" s="159"/>
      <c r="AA13" s="159"/>
      <c r="AB13" s="151" t="s">
        <v>83</v>
      </c>
      <c r="AC13" s="152">
        <f>SUM('S1 TBM 3'!Q173)</f>
        <v>4366456.1394552011</v>
      </c>
      <c r="AD13" s="169"/>
      <c r="AE13" s="169"/>
      <c r="AF13" s="171"/>
    </row>
    <row r="14" spans="1:32" x14ac:dyDescent="0.35">
      <c r="B14" s="144"/>
      <c r="C14" s="144"/>
      <c r="D14" s="145" t="s">
        <v>72</v>
      </c>
      <c r="E14" s="146">
        <v>0</v>
      </c>
      <c r="F14" s="144"/>
      <c r="G14" s="147"/>
      <c r="H14" s="158"/>
      <c r="J14" s="159"/>
      <c r="K14" s="159"/>
      <c r="L14" s="151" t="s">
        <v>83</v>
      </c>
      <c r="M14" s="152">
        <f>SUM('S1 TBM 1'!S173)</f>
        <v>3960504.4348800001</v>
      </c>
      <c r="N14" s="159"/>
      <c r="O14" s="159"/>
      <c r="P14" s="161"/>
      <c r="R14" s="162"/>
      <c r="S14" s="162"/>
      <c r="T14" s="151" t="s">
        <v>87</v>
      </c>
      <c r="U14" s="152">
        <f>SUM('S1 TBM 2'!Q186:Q189)</f>
        <v>10644442.069759529</v>
      </c>
      <c r="V14" s="164"/>
      <c r="W14" s="164"/>
      <c r="X14" s="158"/>
      <c r="Z14" s="149">
        <v>3</v>
      </c>
      <c r="AA14" s="149" t="s">
        <v>85</v>
      </c>
      <c r="AB14" s="173" t="s">
        <v>88</v>
      </c>
      <c r="AC14" s="152">
        <f>SUM('S1 TBM 3'!Q177:Q180)</f>
        <v>16368311.848206678</v>
      </c>
      <c r="AD14" s="153">
        <f>SUM(AC14:AC17)</f>
        <v>32780556.96735331</v>
      </c>
      <c r="AE14" s="153">
        <f>AD14/$A$3</f>
        <v>722675.41815152799</v>
      </c>
      <c r="AF14" s="157">
        <f>AD14/AD41*100</f>
        <v>3.8592649940361081</v>
      </c>
    </row>
    <row r="15" spans="1:32" x14ac:dyDescent="0.35">
      <c r="B15" s="144"/>
      <c r="C15" s="144"/>
      <c r="D15" s="145" t="s">
        <v>89</v>
      </c>
      <c r="E15" s="146">
        <v>0</v>
      </c>
      <c r="F15" s="144"/>
      <c r="G15" s="147"/>
      <c r="H15" s="158"/>
      <c r="J15" s="149">
        <v>4</v>
      </c>
      <c r="K15" s="149" t="s">
        <v>85</v>
      </c>
      <c r="L15" s="151" t="s">
        <v>87</v>
      </c>
      <c r="M15" s="152">
        <f>SUM('S1 TBM 1'!S187:S190)</f>
        <v>15146350.205081027</v>
      </c>
      <c r="N15" s="153">
        <f>SUM(M15:M17)</f>
        <v>31142587.713148065</v>
      </c>
      <c r="O15" s="153">
        <f>N15/A3</f>
        <v>686564.98485776153</v>
      </c>
      <c r="P15" s="148">
        <f>N15/N40*100</f>
        <v>6.2184224394266883</v>
      </c>
      <c r="R15" s="159"/>
      <c r="S15" s="159"/>
      <c r="T15" s="174" t="s">
        <v>90</v>
      </c>
      <c r="U15" s="175">
        <f>SUM('S1 TBM 2'!Q194:Q195)</f>
        <v>7703170.1107099196</v>
      </c>
      <c r="V15" s="169"/>
      <c r="W15" s="169"/>
      <c r="X15" s="161"/>
      <c r="Z15" s="162"/>
      <c r="AA15" s="162"/>
      <c r="AB15" s="172" t="s">
        <v>86</v>
      </c>
      <c r="AC15" s="152">
        <f>SUM('S1 TBM 3'!Q182:Q186)</f>
        <v>8208845.4783108169</v>
      </c>
      <c r="AD15" s="164"/>
      <c r="AE15" s="164"/>
      <c r="AF15" s="166"/>
    </row>
    <row r="16" spans="1:32" x14ac:dyDescent="0.35">
      <c r="B16" s="144"/>
      <c r="C16" s="144"/>
      <c r="D16" s="145" t="s">
        <v>80</v>
      </c>
      <c r="E16" s="146">
        <v>0</v>
      </c>
      <c r="F16" s="144"/>
      <c r="G16" s="147"/>
      <c r="H16" s="161"/>
      <c r="J16" s="162"/>
      <c r="K16" s="162"/>
      <c r="L16" s="151" t="s">
        <v>91</v>
      </c>
      <c r="M16" s="175">
        <f>SUM('S1 TBM 1'!S192:S193)</f>
        <v>13084704.210039839</v>
      </c>
      <c r="N16" s="162"/>
      <c r="O16" s="162"/>
      <c r="P16" s="158"/>
      <c r="R16" s="149">
        <v>4</v>
      </c>
      <c r="S16" s="149" t="s">
        <v>92</v>
      </c>
      <c r="T16" s="151" t="s">
        <v>93</v>
      </c>
      <c r="U16" s="152">
        <f>SUM('S1 TBM 2'!Q200:Q205)</f>
        <v>0</v>
      </c>
      <c r="V16" s="153">
        <f>SUM(U16:U24)</f>
        <v>0</v>
      </c>
      <c r="W16" s="153">
        <f>V16/$A$3</f>
        <v>0</v>
      </c>
      <c r="X16" s="148">
        <f>V16/V39*100</f>
        <v>0</v>
      </c>
      <c r="Z16" s="162"/>
      <c r="AA16" s="162"/>
      <c r="AB16" s="151" t="s">
        <v>87</v>
      </c>
      <c r="AC16" s="152">
        <f>SUM('S1 TBM 3'!Q189:Q192)</f>
        <v>0</v>
      </c>
      <c r="AD16" s="164"/>
      <c r="AE16" s="164"/>
      <c r="AF16" s="166"/>
    </row>
    <row r="17" spans="2:32" x14ac:dyDescent="0.35">
      <c r="B17" s="149">
        <v>3</v>
      </c>
      <c r="C17" s="154" t="s">
        <v>94</v>
      </c>
      <c r="D17" s="176" t="s">
        <v>95</v>
      </c>
      <c r="E17" s="146">
        <f>SUM('SI TB LC'!Q57:Q67)</f>
        <v>0</v>
      </c>
      <c r="F17" s="177">
        <f>SUM(E17)</f>
        <v>0</v>
      </c>
      <c r="G17" s="178">
        <f>F17/A3</f>
        <v>0</v>
      </c>
      <c r="H17" s="179">
        <f>F17/F49*100</f>
        <v>0</v>
      </c>
      <c r="J17" s="159"/>
      <c r="K17" s="159"/>
      <c r="L17" s="174" t="s">
        <v>90</v>
      </c>
      <c r="M17" s="175">
        <f>SUM('S1 TBM 1'!S195:S196)</f>
        <v>2911533.2980271997</v>
      </c>
      <c r="N17" s="159"/>
      <c r="O17" s="159"/>
      <c r="P17" s="161"/>
      <c r="R17" s="162"/>
      <c r="S17" s="162"/>
      <c r="T17" s="174" t="s">
        <v>96</v>
      </c>
      <c r="U17" s="152">
        <f>SUM('S1 TBM 2'!Q206:Q211)</f>
        <v>0</v>
      </c>
      <c r="V17" s="164"/>
      <c r="W17" s="164"/>
      <c r="X17" s="158"/>
      <c r="Z17" s="159"/>
      <c r="AA17" s="159"/>
      <c r="AB17" s="174" t="s">
        <v>90</v>
      </c>
      <c r="AC17" s="175">
        <f>SUM('S1 TBM 3'!Q197:Q198)</f>
        <v>8203399.6408358132</v>
      </c>
      <c r="AD17" s="169"/>
      <c r="AE17" s="169"/>
      <c r="AF17" s="171"/>
    </row>
    <row r="18" spans="2:32" ht="30" customHeight="1" x14ac:dyDescent="0.35">
      <c r="B18" s="159"/>
      <c r="C18" s="168"/>
      <c r="D18" s="180" t="s">
        <v>78</v>
      </c>
      <c r="E18" s="175">
        <f>SUM('SI TB LC'!Q44:Q56)</f>
        <v>16479789.633404996</v>
      </c>
      <c r="F18" s="177">
        <f>SUM(E18)</f>
        <v>16479789.633404996</v>
      </c>
      <c r="G18" s="178">
        <f>F18/A3</f>
        <v>363311.05893749994</v>
      </c>
      <c r="H18" s="179">
        <f>F18/F49*100</f>
        <v>0.43700122181386714</v>
      </c>
      <c r="J18" s="149">
        <v>5</v>
      </c>
      <c r="K18" s="149" t="s">
        <v>92</v>
      </c>
      <c r="L18" s="151" t="s">
        <v>93</v>
      </c>
      <c r="M18" s="152">
        <f>SUM('S1 TBM 1'!S201:S206)</f>
        <v>0</v>
      </c>
      <c r="N18" s="153">
        <f>SUM(M18:M26)</f>
        <v>0</v>
      </c>
      <c r="O18" s="153">
        <f>N18/A3</f>
        <v>0</v>
      </c>
      <c r="P18" s="148">
        <f>N18/N40*100</f>
        <v>0</v>
      </c>
      <c r="R18" s="162"/>
      <c r="S18" s="162"/>
      <c r="T18" s="151" t="s">
        <v>97</v>
      </c>
      <c r="U18" s="152">
        <f>SUM('S1 TBM 2'!Q212:Q217)</f>
        <v>0</v>
      </c>
      <c r="V18" s="164"/>
      <c r="W18" s="164"/>
      <c r="X18" s="158"/>
      <c r="Z18" s="149">
        <v>4</v>
      </c>
      <c r="AA18" s="149" t="s">
        <v>92</v>
      </c>
      <c r="AB18" s="151" t="s">
        <v>93</v>
      </c>
      <c r="AC18" s="152">
        <f>SUM('S1 TBM 3'!Q203:Q208)</f>
        <v>0</v>
      </c>
      <c r="AD18" s="153">
        <f>SUM(AC18:AC26)</f>
        <v>0</v>
      </c>
      <c r="AE18" s="153">
        <f>AD18/$A$3</f>
        <v>0</v>
      </c>
      <c r="AF18" s="157">
        <f>AD18/AD41*100</f>
        <v>0</v>
      </c>
    </row>
    <row r="19" spans="2:32" x14ac:dyDescent="0.35">
      <c r="B19" s="149">
        <v>4</v>
      </c>
      <c r="C19" s="149" t="s">
        <v>98</v>
      </c>
      <c r="D19" s="145" t="s">
        <v>99</v>
      </c>
      <c r="E19" s="152">
        <f>SUM('SI TB LC'!Q123:Q124)</f>
        <v>24309486.14106667</v>
      </c>
      <c r="F19" s="153">
        <f>SUM(E19:E24)</f>
        <v>165149828.00662166</v>
      </c>
      <c r="G19" s="178">
        <f>E19/A2</f>
        <v>535923.4158083481</v>
      </c>
      <c r="H19" s="148">
        <f>F19/F49*100</f>
        <v>4.3793445321020172</v>
      </c>
      <c r="J19" s="162"/>
      <c r="K19" s="162"/>
      <c r="L19" s="151" t="s">
        <v>96</v>
      </c>
      <c r="M19" s="152">
        <f>SUM('S1 TBM 1'!S207:S212)</f>
        <v>0</v>
      </c>
      <c r="N19" s="164"/>
      <c r="O19" s="162"/>
      <c r="P19" s="158"/>
      <c r="R19" s="162"/>
      <c r="S19" s="162"/>
      <c r="T19" s="151" t="s">
        <v>100</v>
      </c>
      <c r="U19" s="152">
        <f>SUM('S1 TBM 2'!Q218:Q223)</f>
        <v>0</v>
      </c>
      <c r="V19" s="164"/>
      <c r="W19" s="164"/>
      <c r="X19" s="158"/>
      <c r="Z19" s="162"/>
      <c r="AA19" s="162"/>
      <c r="AB19" s="174" t="s">
        <v>96</v>
      </c>
      <c r="AC19" s="152">
        <f>SUM('S1 TBM 3'!Q209:Q214)</f>
        <v>0</v>
      </c>
      <c r="AD19" s="164"/>
      <c r="AE19" s="164"/>
      <c r="AF19" s="166"/>
    </row>
    <row r="20" spans="2:32" x14ac:dyDescent="0.35">
      <c r="B20" s="162"/>
      <c r="C20" s="162"/>
      <c r="D20" s="145" t="s">
        <v>101</v>
      </c>
      <c r="E20" s="152">
        <f>SUM('SI TB LC'!Q131:Q132)</f>
        <v>18306668.865800001</v>
      </c>
      <c r="F20" s="164"/>
      <c r="G20" s="178">
        <f>E20/A3</f>
        <v>403586.17429012345</v>
      </c>
      <c r="H20" s="158"/>
      <c r="J20" s="162"/>
      <c r="K20" s="162"/>
      <c r="L20" s="151" t="s">
        <v>97</v>
      </c>
      <c r="M20" s="152">
        <f>SUM('S1 TBM 1'!S213:S218)</f>
        <v>0</v>
      </c>
      <c r="N20" s="164"/>
      <c r="O20" s="162"/>
      <c r="P20" s="158"/>
      <c r="R20" s="162"/>
      <c r="S20" s="162"/>
      <c r="T20" s="151" t="s">
        <v>102</v>
      </c>
      <c r="U20" s="152">
        <f>SUM('S1 TBM 2'!Q224:Q228)</f>
        <v>0</v>
      </c>
      <c r="V20" s="164"/>
      <c r="W20" s="164"/>
      <c r="X20" s="158"/>
      <c r="Z20" s="162"/>
      <c r="AA20" s="162"/>
      <c r="AB20" s="151" t="s">
        <v>97</v>
      </c>
      <c r="AC20" s="152">
        <f>SUM('S1 TBM 3'!Q215:Q220)</f>
        <v>0</v>
      </c>
      <c r="AD20" s="164"/>
      <c r="AE20" s="164"/>
      <c r="AF20" s="166"/>
    </row>
    <row r="21" spans="2:32" x14ac:dyDescent="0.35">
      <c r="B21" s="162"/>
      <c r="C21" s="162"/>
      <c r="D21" s="181" t="s">
        <v>103</v>
      </c>
      <c r="E21" s="152">
        <f>SUM('SI TB LC'!Q105:Q107)</f>
        <v>60119641.231275</v>
      </c>
      <c r="F21" s="164"/>
      <c r="G21" s="178">
        <f>E21/46.36</f>
        <v>1296799.853996441</v>
      </c>
      <c r="H21" s="158"/>
      <c r="J21" s="162"/>
      <c r="K21" s="162"/>
      <c r="L21" s="151" t="s">
        <v>100</v>
      </c>
      <c r="M21" s="152">
        <f>SUM('S1 TBM 1'!S219:S224)</f>
        <v>0</v>
      </c>
      <c r="N21" s="164"/>
      <c r="O21" s="162"/>
      <c r="P21" s="158"/>
      <c r="R21" s="162"/>
      <c r="S21" s="162"/>
      <c r="T21" s="151" t="s">
        <v>104</v>
      </c>
      <c r="U21" s="152">
        <f>SUM('S1 TBM 2'!Q238:Q249)</f>
        <v>0</v>
      </c>
      <c r="V21" s="164"/>
      <c r="W21" s="164"/>
      <c r="X21" s="158"/>
      <c r="Z21" s="162"/>
      <c r="AA21" s="162"/>
      <c r="AB21" s="151" t="s">
        <v>100</v>
      </c>
      <c r="AC21" s="152">
        <f>SUM('S1 TBM 3'!Q221:Q226)</f>
        <v>0</v>
      </c>
      <c r="AD21" s="164"/>
      <c r="AE21" s="164"/>
      <c r="AF21" s="166"/>
    </row>
    <row r="22" spans="2:32" x14ac:dyDescent="0.35">
      <c r="B22" s="162"/>
      <c r="C22" s="162"/>
      <c r="D22" s="145" t="s">
        <v>105</v>
      </c>
      <c r="E22" s="152">
        <v>0</v>
      </c>
      <c r="F22" s="164"/>
      <c r="G22" s="178">
        <f>E22/11.1</f>
        <v>0</v>
      </c>
      <c r="H22" s="158"/>
      <c r="J22" s="162"/>
      <c r="K22" s="162"/>
      <c r="L22" s="151" t="s">
        <v>102</v>
      </c>
      <c r="M22" s="152">
        <f>SUM('S1 TBM 1'!S225:S229)</f>
        <v>0</v>
      </c>
      <c r="N22" s="164"/>
      <c r="O22" s="162"/>
      <c r="P22" s="158"/>
      <c r="R22" s="162"/>
      <c r="S22" s="162"/>
      <c r="T22" s="151" t="s">
        <v>106</v>
      </c>
      <c r="U22" s="152">
        <f>SUM('S1 TBM 2'!Q253:Q255)</f>
        <v>0</v>
      </c>
      <c r="V22" s="164"/>
      <c r="W22" s="164"/>
      <c r="X22" s="158"/>
      <c r="Z22" s="162"/>
      <c r="AA22" s="162"/>
      <c r="AB22" s="151" t="s">
        <v>102</v>
      </c>
      <c r="AC22" s="152">
        <f>SUM('S1 TBM 3'!Q227:Q231)</f>
        <v>0</v>
      </c>
      <c r="AD22" s="164"/>
      <c r="AE22" s="164"/>
      <c r="AF22" s="166"/>
    </row>
    <row r="23" spans="2:32" x14ac:dyDescent="0.35">
      <c r="B23" s="162"/>
      <c r="C23" s="162"/>
      <c r="D23" s="145" t="s">
        <v>107</v>
      </c>
      <c r="E23" s="152">
        <f>SUM('SI TB LC'!Q139:Q147)</f>
        <v>62414031.768479988</v>
      </c>
      <c r="F23" s="164"/>
      <c r="G23" s="178">
        <f>E23/45.36</f>
        <v>1375970.7179999996</v>
      </c>
      <c r="H23" s="158"/>
      <c r="J23" s="162"/>
      <c r="K23" s="162"/>
      <c r="L23" s="151" t="s">
        <v>104</v>
      </c>
      <c r="M23" s="152">
        <f>SUM('S1 TBM 1'!S238:S250)</f>
        <v>0</v>
      </c>
      <c r="N23" s="164"/>
      <c r="O23" s="162"/>
      <c r="P23" s="158"/>
      <c r="R23" s="162"/>
      <c r="S23" s="162"/>
      <c r="T23" s="151" t="s">
        <v>108</v>
      </c>
      <c r="U23" s="152">
        <f>SUM('S1 TBM 2'!Q256:Q258)</f>
        <v>0</v>
      </c>
      <c r="V23" s="164"/>
      <c r="W23" s="164"/>
      <c r="X23" s="158"/>
      <c r="Z23" s="162"/>
      <c r="AA23" s="162"/>
      <c r="AB23" s="151" t="s">
        <v>104</v>
      </c>
      <c r="AC23" s="152">
        <f>SUM('S1 TBM 3'!Q234:Q246)</f>
        <v>0</v>
      </c>
      <c r="AD23" s="164"/>
      <c r="AE23" s="164"/>
      <c r="AF23" s="166"/>
    </row>
    <row r="24" spans="2:32" x14ac:dyDescent="0.35">
      <c r="B24" s="159"/>
      <c r="C24" s="159"/>
      <c r="D24" s="145" t="s">
        <v>109</v>
      </c>
      <c r="E24" s="152">
        <v>0</v>
      </c>
      <c r="F24" s="169"/>
      <c r="G24" s="178">
        <f>E24/51.1</f>
        <v>0</v>
      </c>
      <c r="H24" s="161"/>
      <c r="J24" s="162"/>
      <c r="K24" s="162"/>
      <c r="L24" s="151" t="s">
        <v>106</v>
      </c>
      <c r="M24" s="152">
        <f>SUM('S1 TBM 1'!S254:S256)</f>
        <v>0</v>
      </c>
      <c r="N24" s="164"/>
      <c r="O24" s="162"/>
      <c r="P24" s="158"/>
      <c r="R24" s="159"/>
      <c r="S24" s="159"/>
      <c r="T24" s="151" t="s">
        <v>110</v>
      </c>
      <c r="U24" s="152">
        <f>SUM('S1 TBM 2'!Q259:Q261)</f>
        <v>0</v>
      </c>
      <c r="V24" s="164"/>
      <c r="W24" s="169"/>
      <c r="X24" s="161"/>
      <c r="Z24" s="162"/>
      <c r="AA24" s="162"/>
      <c r="AB24" s="151" t="s">
        <v>106</v>
      </c>
      <c r="AC24" s="152">
        <f>SUM('S1 TBM 3'!Q250:Q252)</f>
        <v>0</v>
      </c>
      <c r="AD24" s="164"/>
      <c r="AE24" s="164"/>
      <c r="AF24" s="166"/>
    </row>
    <row r="25" spans="2:32" x14ac:dyDescent="0.35">
      <c r="B25" s="144">
        <v>5</v>
      </c>
      <c r="C25" s="144" t="s">
        <v>111</v>
      </c>
      <c r="D25" s="182" t="s">
        <v>112</v>
      </c>
      <c r="E25" s="165">
        <f>SUM('SI TB LC'!Q168:Q179)</f>
        <v>140419430.88188398</v>
      </c>
      <c r="F25" s="147">
        <f>SUM(E25:E32)</f>
        <v>361037910.76389861</v>
      </c>
      <c r="G25" s="147">
        <f>F25/A3</f>
        <v>7959389.5671053482</v>
      </c>
      <c r="H25" s="148">
        <f>F25/F49*100</f>
        <v>9.5737877506116504</v>
      </c>
      <c r="J25" s="162"/>
      <c r="K25" s="162"/>
      <c r="L25" s="151" t="s">
        <v>108</v>
      </c>
      <c r="M25" s="152">
        <f>SUM('S1 TBM 1'!S257:S259)</f>
        <v>0</v>
      </c>
      <c r="N25" s="164"/>
      <c r="O25" s="162"/>
      <c r="P25" s="158"/>
      <c r="R25" s="149">
        <v>6</v>
      </c>
      <c r="S25" s="149" t="s">
        <v>107</v>
      </c>
      <c r="T25" s="151" t="s">
        <v>113</v>
      </c>
      <c r="U25" s="183">
        <f>SUM('S1 TBM 2'!Q286)</f>
        <v>0</v>
      </c>
      <c r="V25" s="153">
        <f>SUM(U25:U26)</f>
        <v>0</v>
      </c>
      <c r="W25" s="153">
        <f>V25/$A$3</f>
        <v>0</v>
      </c>
      <c r="X25" s="148">
        <f>V25/V39*100</f>
        <v>0</v>
      </c>
      <c r="Z25" s="162"/>
      <c r="AA25" s="162"/>
      <c r="AB25" s="151" t="s">
        <v>108</v>
      </c>
      <c r="AC25" s="152">
        <f>SUM('S1 TBM 3'!Q253:Q255)</f>
        <v>0</v>
      </c>
      <c r="AD25" s="164"/>
      <c r="AE25" s="164"/>
      <c r="AF25" s="166"/>
    </row>
    <row r="26" spans="2:32" x14ac:dyDescent="0.35">
      <c r="B26" s="144"/>
      <c r="C26" s="144"/>
      <c r="D26" s="182" t="s">
        <v>114</v>
      </c>
      <c r="E26" s="165">
        <f>SUM('SI TB LC'!Q180:Q181)</f>
        <v>5690815.1772387093</v>
      </c>
      <c r="F26" s="147"/>
      <c r="G26" s="147"/>
      <c r="H26" s="158"/>
      <c r="J26" s="159"/>
      <c r="K26" s="159"/>
      <c r="L26" s="151" t="s">
        <v>110</v>
      </c>
      <c r="M26" s="152">
        <f>SUM('S1 TBM 1'!S260:S262)</f>
        <v>0</v>
      </c>
      <c r="N26" s="164"/>
      <c r="O26" s="159"/>
      <c r="P26" s="161"/>
      <c r="R26" s="159"/>
      <c r="S26" s="159"/>
      <c r="T26" s="174" t="s">
        <v>115</v>
      </c>
      <c r="U26" s="183">
        <f>SUM('S1 TBM 2'!Q288)</f>
        <v>0</v>
      </c>
      <c r="V26" s="159"/>
      <c r="W26" s="169"/>
      <c r="X26" s="161"/>
      <c r="Z26" s="159"/>
      <c r="AA26" s="159"/>
      <c r="AB26" s="151" t="s">
        <v>110</v>
      </c>
      <c r="AC26" s="152">
        <f>SUM('S1 TBM 3'!Q256:Q258)</f>
        <v>0</v>
      </c>
      <c r="AD26" s="164"/>
      <c r="AE26" s="169"/>
      <c r="AF26" s="171"/>
    </row>
    <row r="27" spans="2:32" x14ac:dyDescent="0.35">
      <c r="B27" s="144"/>
      <c r="C27" s="144"/>
      <c r="D27" s="182" t="s">
        <v>116</v>
      </c>
      <c r="E27" s="165">
        <f>SUM('SI TB LC'!Q192:Q193)</f>
        <v>5794921.874016</v>
      </c>
      <c r="F27" s="147"/>
      <c r="G27" s="147"/>
      <c r="H27" s="158"/>
      <c r="J27" s="149">
        <v>6</v>
      </c>
      <c r="K27" s="149" t="s">
        <v>107</v>
      </c>
      <c r="L27" s="151" t="s">
        <v>113</v>
      </c>
      <c r="M27" s="183">
        <f>SUM('S1 TBM 1'!S287:S288)</f>
        <v>16327239.795820799</v>
      </c>
      <c r="N27" s="153">
        <f>SUM(M27:M28)</f>
        <v>32654479.591641597</v>
      </c>
      <c r="O27" s="153">
        <f>N27/A3</f>
        <v>719895.93455999997</v>
      </c>
      <c r="P27" s="148">
        <f>N27/N40*100</f>
        <v>6.5203107240422247</v>
      </c>
      <c r="R27" s="149">
        <v>7</v>
      </c>
      <c r="S27" s="154" t="s">
        <v>117</v>
      </c>
      <c r="T27" s="151" t="s">
        <v>118</v>
      </c>
      <c r="U27" s="152">
        <f>SUM('S1 TBM 2'!Q296:Q297)</f>
        <v>12463471.022534277</v>
      </c>
      <c r="V27" s="153">
        <f>SUM(U27:U29)</f>
        <v>63169073.393728495</v>
      </c>
      <c r="W27" s="153">
        <f>V27/$A$3</f>
        <v>1392616.2564754959</v>
      </c>
      <c r="X27" s="148">
        <f>V27/V39*100</f>
        <v>10.70347971792591</v>
      </c>
      <c r="Z27" s="149">
        <v>6</v>
      </c>
      <c r="AA27" s="149" t="s">
        <v>107</v>
      </c>
      <c r="AB27" s="151" t="s">
        <v>113</v>
      </c>
      <c r="AC27" s="183">
        <f>SUM('S1 TBM 3'!Q283)</f>
        <v>0</v>
      </c>
      <c r="AD27" s="153">
        <f>SUM(AC27:AC28)</f>
        <v>0</v>
      </c>
      <c r="AE27" s="153">
        <f>AD27/$A$3</f>
        <v>0</v>
      </c>
      <c r="AF27" s="157">
        <f>AD27/AD41*100</f>
        <v>0</v>
      </c>
    </row>
    <row r="28" spans="2:32" x14ac:dyDescent="0.35">
      <c r="B28" s="144"/>
      <c r="C28" s="144"/>
      <c r="D28" s="182" t="s">
        <v>119</v>
      </c>
      <c r="E28" s="165">
        <f>SUM('SI TB LC'!Q182)</f>
        <v>2029068.74016</v>
      </c>
      <c r="F28" s="147"/>
      <c r="G28" s="147"/>
      <c r="H28" s="158"/>
      <c r="J28" s="159"/>
      <c r="K28" s="159"/>
      <c r="L28" s="174" t="s">
        <v>115</v>
      </c>
      <c r="M28" s="183">
        <f>SUM('S1 TBM 1'!S289:S290)</f>
        <v>16327239.795820799</v>
      </c>
      <c r="N28" s="159"/>
      <c r="O28" s="159"/>
      <c r="P28" s="161"/>
      <c r="R28" s="162"/>
      <c r="S28" s="163"/>
      <c r="T28" s="174" t="s">
        <v>120</v>
      </c>
      <c r="U28" s="175">
        <f>SUM('S1 TBM 2'!Q301:Q310)</f>
        <v>580447.15524517221</v>
      </c>
      <c r="V28" s="162"/>
      <c r="W28" s="164"/>
      <c r="X28" s="158"/>
      <c r="Z28" s="159"/>
      <c r="AA28" s="159"/>
      <c r="AB28" s="174" t="s">
        <v>115</v>
      </c>
      <c r="AC28" s="183">
        <f>SUM('S1 TBM 3'!Q285)</f>
        <v>0</v>
      </c>
      <c r="AD28" s="159"/>
      <c r="AE28" s="169"/>
      <c r="AF28" s="171"/>
    </row>
    <row r="29" spans="2:32" x14ac:dyDescent="0.35">
      <c r="B29" s="144"/>
      <c r="C29" s="144"/>
      <c r="D29" s="182" t="s">
        <v>121</v>
      </c>
      <c r="E29" s="165">
        <f>SUM('SI TB LC'!Q183:Q186)</f>
        <v>2167731.3344399999</v>
      </c>
      <c r="F29" s="147"/>
      <c r="G29" s="147"/>
      <c r="H29" s="158"/>
      <c r="J29" s="149">
        <v>7</v>
      </c>
      <c r="K29" s="149" t="s">
        <v>117</v>
      </c>
      <c r="L29" s="151" t="s">
        <v>118</v>
      </c>
      <c r="M29" s="152">
        <f>SUM('S1 TBM 1'!S297:S298)</f>
        <v>11715618.244679999</v>
      </c>
      <c r="N29" s="153">
        <f>SUM(M29:M31)</f>
        <v>37230635.609691456</v>
      </c>
      <c r="O29" s="153">
        <f>N29/A3</f>
        <v>820781.20832653122</v>
      </c>
      <c r="P29" s="148">
        <f>N29/N40*100</f>
        <v>7.4340585323832986</v>
      </c>
      <c r="R29" s="159"/>
      <c r="S29" s="168"/>
      <c r="T29" s="151" t="s">
        <v>122</v>
      </c>
      <c r="U29" s="152">
        <f>SUM('S1 TBM 2'!Q314:Q327)</f>
        <v>50125155.215949044</v>
      </c>
      <c r="V29" s="159"/>
      <c r="W29" s="169"/>
      <c r="X29" s="161"/>
      <c r="Z29" s="149">
        <v>7</v>
      </c>
      <c r="AA29" s="154" t="s">
        <v>117</v>
      </c>
      <c r="AB29" s="151" t="s">
        <v>118</v>
      </c>
      <c r="AC29" s="152">
        <f>SUM('S1 TBM 3'!Q293:Q295)</f>
        <v>13259251.110546589</v>
      </c>
      <c r="AD29" s="153">
        <f>SUM(AC29:AC31)</f>
        <v>142741740.51850381</v>
      </c>
      <c r="AE29" s="153">
        <f>AD29/$A$3</f>
        <v>3146863.7680446166</v>
      </c>
      <c r="AF29" s="157">
        <f>AD29/AD41*100</f>
        <v>16.805028752851143</v>
      </c>
    </row>
    <row r="30" spans="2:32" x14ac:dyDescent="0.35">
      <c r="B30" s="144"/>
      <c r="C30" s="144"/>
      <c r="D30" s="182" t="s">
        <v>123</v>
      </c>
      <c r="E30" s="165">
        <f>SUM('SI TB LC'!Q187:Q189)</f>
        <v>0</v>
      </c>
      <c r="F30" s="147"/>
      <c r="G30" s="147"/>
      <c r="H30" s="158"/>
      <c r="J30" s="162"/>
      <c r="K30" s="162"/>
      <c r="L30" s="151" t="s">
        <v>120</v>
      </c>
      <c r="M30" s="152">
        <f>SUM('S1 TBM 1'!S303:S311)</f>
        <v>546469.48313826765</v>
      </c>
      <c r="N30" s="162"/>
      <c r="O30" s="162"/>
      <c r="P30" s="158"/>
      <c r="R30" s="149">
        <v>8</v>
      </c>
      <c r="S30" s="149" t="s">
        <v>124</v>
      </c>
      <c r="T30" s="184" t="s">
        <v>125</v>
      </c>
      <c r="U30" s="152">
        <f>SUM('S1 TBM 2'!Q340:Q348)</f>
        <v>0</v>
      </c>
      <c r="V30" s="153">
        <f>SUM(U30:U36)</f>
        <v>313097937.69252449</v>
      </c>
      <c r="W30" s="153">
        <f>V30/$A$3</f>
        <v>6902511.8538916335</v>
      </c>
      <c r="X30" s="148">
        <f>V30/V39*100</f>
        <v>53.051869305226838</v>
      </c>
      <c r="Z30" s="162"/>
      <c r="AA30" s="163"/>
      <c r="AB30" s="174" t="s">
        <v>120</v>
      </c>
      <c r="AC30" s="175">
        <f>SUM('S1 TBM 3'!Q299:Q307)</f>
        <v>616556.23382417136</v>
      </c>
      <c r="AD30" s="162"/>
      <c r="AE30" s="164"/>
      <c r="AF30" s="166"/>
    </row>
    <row r="31" spans="2:32" x14ac:dyDescent="0.35">
      <c r="B31" s="144"/>
      <c r="C31" s="144"/>
      <c r="D31" s="182" t="s">
        <v>126</v>
      </c>
      <c r="E31" s="165">
        <f>SUM('SI TB LC'!Q191)</f>
        <v>2029068.74016</v>
      </c>
      <c r="F31" s="147"/>
      <c r="G31" s="147"/>
      <c r="H31" s="158"/>
      <c r="J31" s="159"/>
      <c r="K31" s="159"/>
      <c r="L31" s="151" t="s">
        <v>122</v>
      </c>
      <c r="M31" s="152">
        <f>SUM('S1 TBM 1'!S316:S327)</f>
        <v>24968547.88187319</v>
      </c>
      <c r="N31" s="159"/>
      <c r="O31" s="159"/>
      <c r="P31" s="161"/>
      <c r="R31" s="162"/>
      <c r="S31" s="162"/>
      <c r="T31" s="151" t="s">
        <v>127</v>
      </c>
      <c r="U31" s="152">
        <f>SUM('S1 TBM 2'!Q360:Q368)</f>
        <v>197356553.999295</v>
      </c>
      <c r="V31" s="164"/>
      <c r="W31" s="164"/>
      <c r="X31" s="158"/>
      <c r="Z31" s="159"/>
      <c r="AA31" s="168"/>
      <c r="AB31" s="151" t="s">
        <v>122</v>
      </c>
      <c r="AC31" s="152">
        <f>SUM('S1 TBM 3'!Q312:Q326)</f>
        <v>128865933.17413306</v>
      </c>
      <c r="AD31" s="159"/>
      <c r="AE31" s="169"/>
      <c r="AF31" s="171"/>
    </row>
    <row r="32" spans="2:32" x14ac:dyDescent="0.35">
      <c r="B32" s="144"/>
      <c r="C32" s="144"/>
      <c r="D32" s="151" t="s">
        <v>128</v>
      </c>
      <c r="E32" s="152">
        <f>SUM('SI TB LC'!Q194)</f>
        <v>202906874.016</v>
      </c>
      <c r="F32" s="144"/>
      <c r="G32" s="147"/>
      <c r="H32" s="161"/>
      <c r="J32" s="149">
        <v>8</v>
      </c>
      <c r="K32" s="149" t="s">
        <v>124</v>
      </c>
      <c r="L32" s="151" t="s">
        <v>127</v>
      </c>
      <c r="M32" s="152">
        <f>SUM('S1 TBM 1'!S341:S349)</f>
        <v>147806242.64468497</v>
      </c>
      <c r="N32" s="153">
        <f>SUM(M32:M37)</f>
        <v>259888239.41135031</v>
      </c>
      <c r="O32" s="153">
        <f>N32/A3</f>
        <v>5729458.5408146009</v>
      </c>
      <c r="P32" s="148">
        <f>N32/N40*100</f>
        <v>51.893403161752616</v>
      </c>
      <c r="R32" s="162"/>
      <c r="S32" s="162"/>
      <c r="T32" s="151" t="s">
        <v>129</v>
      </c>
      <c r="U32" s="152">
        <f>SUM('S1 TBM 2'!Q350:Q358)</f>
        <v>23105569.721819986</v>
      </c>
      <c r="V32" s="164"/>
      <c r="W32" s="164"/>
      <c r="X32" s="158"/>
      <c r="Z32" s="149">
        <v>8</v>
      </c>
      <c r="AA32" s="149" t="s">
        <v>124</v>
      </c>
      <c r="AB32" s="184" t="s">
        <v>125</v>
      </c>
      <c r="AC32" s="152">
        <f>SUM('S1 TBM 3'!Q339:Q347)</f>
        <v>0</v>
      </c>
      <c r="AD32" s="153">
        <f>SUM(AC32:AC38)</f>
        <v>480300997.43942875</v>
      </c>
      <c r="AE32" s="153">
        <f>AD32/$A$3</f>
        <v>10588646.328029735</v>
      </c>
      <c r="AF32" s="157">
        <f>AD32/AD41*100</f>
        <v>56.545983274922776</v>
      </c>
    </row>
    <row r="33" spans="2:32" x14ac:dyDescent="0.35">
      <c r="B33" s="185">
        <v>6</v>
      </c>
      <c r="C33" s="185" t="s">
        <v>130</v>
      </c>
      <c r="D33" s="174" t="s">
        <v>131</v>
      </c>
      <c r="E33" s="175">
        <f>SUM('SI TB LC'!Q219:Q228)</f>
        <v>34542665.72976239</v>
      </c>
      <c r="F33" s="177">
        <f>SUM(E33:E33)</f>
        <v>34542665.72976239</v>
      </c>
      <c r="G33" s="178">
        <f>F33/A3</f>
        <v>761522.61308999977</v>
      </c>
      <c r="H33" s="179">
        <f>F33/F49*100</f>
        <v>0.91598178522957552</v>
      </c>
      <c r="J33" s="162"/>
      <c r="K33" s="162"/>
      <c r="L33" s="151" t="s">
        <v>129</v>
      </c>
      <c r="M33" s="152">
        <f>SUM('S1 TBM 1'!S351:S359)</f>
        <v>24617237.464884959</v>
      </c>
      <c r="N33" s="162"/>
      <c r="O33" s="162"/>
      <c r="P33" s="158"/>
      <c r="R33" s="162"/>
      <c r="S33" s="162"/>
      <c r="T33" s="174" t="s">
        <v>132</v>
      </c>
      <c r="U33" s="175">
        <f>SUM('S1 TBM 2'!Q370:Q378)</f>
        <v>7088488.1528006196</v>
      </c>
      <c r="V33" s="164"/>
      <c r="W33" s="164"/>
      <c r="X33" s="158"/>
      <c r="Z33" s="162"/>
      <c r="AA33" s="162"/>
      <c r="AB33" s="151" t="s">
        <v>127</v>
      </c>
      <c r="AC33" s="152">
        <f>SUM('S1 TBM 3'!Q359:Q367)</f>
        <v>243217510.21557432</v>
      </c>
      <c r="AD33" s="164"/>
      <c r="AE33" s="164"/>
      <c r="AF33" s="166"/>
    </row>
    <row r="34" spans="2:32" x14ac:dyDescent="0.35">
      <c r="B34" s="144">
        <v>7</v>
      </c>
      <c r="C34" s="144" t="s">
        <v>133</v>
      </c>
      <c r="D34" s="151" t="s">
        <v>134</v>
      </c>
      <c r="E34" s="152">
        <f>SUM('SI TB LC'!Q233:Q235)</f>
        <v>422659.92132000002</v>
      </c>
      <c r="F34" s="147">
        <f>SUM(E34:E35)</f>
        <v>1540306.37124</v>
      </c>
      <c r="G34" s="147">
        <f>F34/A3</f>
        <v>33957.371500000001</v>
      </c>
      <c r="H34" s="148">
        <f>F34/F49*100</f>
        <v>4.0844924672772488E-2</v>
      </c>
      <c r="J34" s="162"/>
      <c r="K34" s="162"/>
      <c r="L34" s="174" t="s">
        <v>132</v>
      </c>
      <c r="M34" s="175">
        <f>SUM('S1 TBM 1'!S361:S369)</f>
        <v>4493886.9501758404</v>
      </c>
      <c r="N34" s="162"/>
      <c r="O34" s="162"/>
      <c r="P34" s="158"/>
      <c r="R34" s="162"/>
      <c r="S34" s="162"/>
      <c r="T34" s="174" t="s">
        <v>135</v>
      </c>
      <c r="U34" s="152">
        <f>SUM('S1 TBM 2'!Q381:Q385)</f>
        <v>80649103.410714075</v>
      </c>
      <c r="V34" s="164"/>
      <c r="W34" s="164"/>
      <c r="X34" s="158"/>
      <c r="Z34" s="162"/>
      <c r="AA34" s="162"/>
      <c r="AB34" s="151" t="s">
        <v>129</v>
      </c>
      <c r="AC34" s="152">
        <f>SUM('S1 TBM 3'!Q349:Q357)</f>
        <v>30535772.857530139</v>
      </c>
      <c r="AD34" s="164"/>
      <c r="AE34" s="164"/>
      <c r="AF34" s="166"/>
    </row>
    <row r="35" spans="2:32" x14ac:dyDescent="0.35">
      <c r="B35" s="144"/>
      <c r="C35" s="144"/>
      <c r="D35" s="151" t="s">
        <v>136</v>
      </c>
      <c r="E35" s="152">
        <f>SUM('SI TB LC'!Q236:Q237)</f>
        <v>1117646.44992</v>
      </c>
      <c r="F35" s="144"/>
      <c r="G35" s="147"/>
      <c r="H35" s="161"/>
      <c r="J35" s="162"/>
      <c r="K35" s="162"/>
      <c r="L35" s="151" t="s">
        <v>135</v>
      </c>
      <c r="M35" s="152">
        <f>SUM('S1 TBM 1'!S371:S380)</f>
        <v>79704829.537748858</v>
      </c>
      <c r="N35" s="162"/>
      <c r="O35" s="162"/>
      <c r="P35" s="158"/>
      <c r="R35" s="162"/>
      <c r="S35" s="162"/>
      <c r="T35" s="151" t="s">
        <v>137</v>
      </c>
      <c r="U35" s="152">
        <f>SUM('S1 TBM 2'!Q397:Q399)</f>
        <v>3634398.3288934436</v>
      </c>
      <c r="V35" s="164"/>
      <c r="W35" s="164"/>
      <c r="X35" s="158"/>
      <c r="Z35" s="162"/>
      <c r="AA35" s="162"/>
      <c r="AB35" s="174" t="s">
        <v>132</v>
      </c>
      <c r="AC35" s="175">
        <f>SUM('S1 TBM 3'!Q369:Q377)</f>
        <v>7339625.1091249529</v>
      </c>
      <c r="AD35" s="164"/>
      <c r="AE35" s="164"/>
      <c r="AF35" s="166"/>
    </row>
    <row r="36" spans="2:32" x14ac:dyDescent="0.35">
      <c r="B36" s="149">
        <v>8</v>
      </c>
      <c r="C36" s="149" t="s">
        <v>138</v>
      </c>
      <c r="D36" s="151" t="s">
        <v>139</v>
      </c>
      <c r="E36" s="152">
        <f>SUM('SI TB LC'!Q241:Q242)</f>
        <v>20938428.201599997</v>
      </c>
      <c r="F36" s="153">
        <f>SUM(E36:E39)</f>
        <v>724689246.2654779</v>
      </c>
      <c r="G36" s="153">
        <f>F36/A3</f>
        <v>15976394.318022</v>
      </c>
      <c r="H36" s="148">
        <f>F36/F49*100</f>
        <v>19.216876738004263</v>
      </c>
      <c r="J36" s="162"/>
      <c r="K36" s="162"/>
      <c r="L36" s="151" t="s">
        <v>137</v>
      </c>
      <c r="M36" s="152">
        <f>SUM('S1 TBM 1'!S387:S389)</f>
        <v>2407372.3659913205</v>
      </c>
      <c r="N36" s="162"/>
      <c r="O36" s="162"/>
      <c r="P36" s="158"/>
      <c r="R36" s="159"/>
      <c r="S36" s="159"/>
      <c r="T36" s="151" t="s">
        <v>140</v>
      </c>
      <c r="U36" s="152">
        <f>SUM('S1 TBM 2'!Q400)</f>
        <v>1263824.0790013436</v>
      </c>
      <c r="V36" s="169"/>
      <c r="W36" s="169"/>
      <c r="X36" s="161"/>
      <c r="Z36" s="162"/>
      <c r="AA36" s="162"/>
      <c r="AB36" s="174" t="s">
        <v>135</v>
      </c>
      <c r="AC36" s="152">
        <f>SUM('S1 TBM 3'!Q379:Q383)</f>
        <v>192160747.36076733</v>
      </c>
      <c r="AD36" s="164"/>
      <c r="AE36" s="164"/>
      <c r="AF36" s="166"/>
    </row>
    <row r="37" spans="2:32" x14ac:dyDescent="0.35">
      <c r="B37" s="162"/>
      <c r="C37" s="162"/>
      <c r="D37" s="151" t="s">
        <v>141</v>
      </c>
      <c r="E37" s="152">
        <f>SUM('SI TB LC'!Q245:Q253)</f>
        <v>42936611.257259995</v>
      </c>
      <c r="F37" s="164"/>
      <c r="G37" s="164"/>
      <c r="H37" s="158"/>
      <c r="J37" s="159"/>
      <c r="K37" s="159"/>
      <c r="L37" s="151" t="s">
        <v>140</v>
      </c>
      <c r="M37" s="152">
        <f>SUM('S1 TBM 1'!S390)</f>
        <v>858670.44786432001</v>
      </c>
      <c r="N37" s="159"/>
      <c r="O37" s="159"/>
      <c r="P37" s="161"/>
      <c r="R37" s="149">
        <v>9</v>
      </c>
      <c r="S37" s="149" t="s">
        <v>142</v>
      </c>
      <c r="T37" s="151" t="s">
        <v>143</v>
      </c>
      <c r="U37" s="152">
        <f>SUM('S1 TBM 2'!Q418:Q421)</f>
        <v>19175716.505737007</v>
      </c>
      <c r="V37" s="153">
        <f>SUM(U37:U38)</f>
        <v>24786746.993352957</v>
      </c>
      <c r="W37" s="153">
        <f>V37/$A$3</f>
        <v>546445.039536</v>
      </c>
      <c r="X37" s="148">
        <f>V37/V39*100</f>
        <v>4.1999103273700102</v>
      </c>
      <c r="Z37" s="162"/>
      <c r="AA37" s="162"/>
      <c r="AB37" s="151" t="s">
        <v>137</v>
      </c>
      <c r="AC37" s="152">
        <f>SUM('S1 TBM 3'!Q395:Q397)</f>
        <v>5263293.2501945393</v>
      </c>
      <c r="AD37" s="164"/>
      <c r="AE37" s="164"/>
      <c r="AF37" s="166"/>
    </row>
    <row r="38" spans="2:32" x14ac:dyDescent="0.35">
      <c r="B38" s="162"/>
      <c r="C38" s="162"/>
      <c r="D38" s="151" t="str">
        <f>'SI TB LC'!D243</f>
        <v>Pengawetan Tanah Tanah Titik Tanam</v>
      </c>
      <c r="E38" s="152">
        <f>SUM('SI TB LC'!Q243:Q244)</f>
        <v>281115328.67181796</v>
      </c>
      <c r="F38" s="164"/>
      <c r="G38" s="164"/>
      <c r="H38" s="158"/>
      <c r="J38" s="149">
        <v>9</v>
      </c>
      <c r="K38" s="149" t="s">
        <v>142</v>
      </c>
      <c r="L38" s="151" t="s">
        <v>143</v>
      </c>
      <c r="M38" s="152">
        <f>SUM('S1 TBM 1'!S408:S410)</f>
        <v>18015620.495947197</v>
      </c>
      <c r="N38" s="153">
        <f>SUM(M38:M39)</f>
        <v>23297717.392487995</v>
      </c>
      <c r="O38" s="153">
        <f>N38/A3</f>
        <v>513618.10829999991</v>
      </c>
      <c r="P38" s="148">
        <f>N38/N40*100</f>
        <v>4.6519913488018876</v>
      </c>
      <c r="R38" s="159"/>
      <c r="S38" s="159"/>
      <c r="T38" s="151" t="s">
        <v>144</v>
      </c>
      <c r="U38" s="152">
        <f>SUM('S1 TBM 2'!Q422:Q423)</f>
        <v>5611030.4876159513</v>
      </c>
      <c r="V38" s="159"/>
      <c r="W38" s="169"/>
      <c r="X38" s="161"/>
      <c r="Z38" s="159"/>
      <c r="AA38" s="159"/>
      <c r="AB38" s="151" t="s">
        <v>140</v>
      </c>
      <c r="AC38" s="152">
        <f>SUM('S1 TBM 3'!Q398)</f>
        <v>1784048.646237439</v>
      </c>
      <c r="AD38" s="169"/>
      <c r="AE38" s="169"/>
      <c r="AF38" s="171"/>
    </row>
    <row r="39" spans="2:32" x14ac:dyDescent="0.35">
      <c r="B39" s="159"/>
      <c r="C39" s="159"/>
      <c r="D39" s="151" t="s">
        <v>145</v>
      </c>
      <c r="E39" s="152">
        <f>SUM('SI TB LC'!Q254:Q258)</f>
        <v>379698878.13479996</v>
      </c>
      <c r="F39" s="169"/>
      <c r="G39" s="169"/>
      <c r="H39" s="161"/>
      <c r="J39" s="159"/>
      <c r="K39" s="159"/>
      <c r="L39" s="151" t="s">
        <v>144</v>
      </c>
      <c r="M39" s="152">
        <f>SUM('S1 TBM 1'!S412:S413)</f>
        <v>5282096.8965408001</v>
      </c>
      <c r="N39" s="159"/>
      <c r="O39" s="159"/>
      <c r="P39" s="161"/>
      <c r="R39" s="142" t="s">
        <v>146</v>
      </c>
      <c r="S39" s="186"/>
      <c r="T39" s="186"/>
      <c r="U39" s="143"/>
      <c r="V39" s="187">
        <f>SUM(V5:V38)</f>
        <v>590173243.26718318</v>
      </c>
      <c r="W39" s="188"/>
      <c r="X39" s="188"/>
      <c r="Z39" s="149">
        <v>9</v>
      </c>
      <c r="AA39" s="149" t="s">
        <v>142</v>
      </c>
      <c r="AB39" s="151" t="s">
        <v>143</v>
      </c>
      <c r="AC39" s="152">
        <f>SUM('S1 TBM 3'!Q416:Q419)</f>
        <v>20410672.790040813</v>
      </c>
      <c r="AD39" s="153">
        <f>SUM(AC39:AC40)</f>
        <v>26371297.4167918</v>
      </c>
      <c r="AE39" s="153">
        <f>AD39/$A$3</f>
        <v>581377.80901216494</v>
      </c>
      <c r="AF39" s="157">
        <f>AD39/AD41*100</f>
        <v>3.1047009075928038</v>
      </c>
    </row>
    <row r="40" spans="2:32" x14ac:dyDescent="0.35">
      <c r="B40" s="149">
        <v>9</v>
      </c>
      <c r="C40" s="149" t="s">
        <v>124</v>
      </c>
      <c r="D40" s="174" t="s">
        <v>147</v>
      </c>
      <c r="E40" s="175">
        <f>SUM('SI TB LC'!$Q$285:$Q$293)</f>
        <v>7430390.9751960002</v>
      </c>
      <c r="F40" s="153">
        <f>SUM(E40:E41)</f>
        <v>17093168.48611512</v>
      </c>
      <c r="G40" s="153">
        <f>F40/A3</f>
        <v>376833.52041699999</v>
      </c>
      <c r="H40" s="148">
        <f>F40/F49*100</f>
        <v>0.45326643599632083</v>
      </c>
      <c r="J40" s="142" t="s">
        <v>146</v>
      </c>
      <c r="K40" s="186"/>
      <c r="L40" s="186"/>
      <c r="M40" s="143"/>
      <c r="N40" s="187">
        <f>SUM(N5:N39)</f>
        <v>500811709.34439248</v>
      </c>
      <c r="O40" s="188"/>
      <c r="P40" s="188"/>
      <c r="R40" s="136" t="s">
        <v>148</v>
      </c>
      <c r="S40" s="137"/>
      <c r="T40" s="137"/>
      <c r="U40" s="138"/>
      <c r="V40" s="187">
        <f>V39/$A$3</f>
        <v>13010873.969735079</v>
      </c>
      <c r="W40" s="188"/>
      <c r="X40" s="188"/>
      <c r="Z40" s="159"/>
      <c r="AA40" s="159"/>
      <c r="AB40" s="151" t="s">
        <v>144</v>
      </c>
      <c r="AC40" s="152">
        <f>SUM('S1 TBM 3'!Q420:Q422)</f>
        <v>5960624.626750988</v>
      </c>
      <c r="AD40" s="159"/>
      <c r="AE40" s="169"/>
      <c r="AF40" s="171"/>
    </row>
    <row r="41" spans="2:32" x14ac:dyDescent="0.35">
      <c r="B41" s="159"/>
      <c r="C41" s="159"/>
      <c r="D41" s="174" t="s">
        <v>149</v>
      </c>
      <c r="E41" s="175">
        <f>SUM('SI TB LC'!Q319:Q323)</f>
        <v>9662777.510919122</v>
      </c>
      <c r="F41" s="169"/>
      <c r="G41" s="169"/>
      <c r="H41" s="161"/>
      <c r="J41" s="136" t="s">
        <v>148</v>
      </c>
      <c r="K41" s="137"/>
      <c r="L41" s="137"/>
      <c r="M41" s="138"/>
      <c r="N41" s="187">
        <f>N40/A3</f>
        <v>11040822.51641077</v>
      </c>
      <c r="O41" s="188"/>
      <c r="P41" s="188"/>
      <c r="Z41" s="142" t="s">
        <v>146</v>
      </c>
      <c r="AA41" s="186"/>
      <c r="AB41" s="186"/>
      <c r="AC41" s="143"/>
      <c r="AD41" s="187">
        <f>SUM(AD5:AD40)</f>
        <v>849398966.3319453</v>
      </c>
      <c r="AE41" s="188"/>
      <c r="AF41" s="188"/>
    </row>
    <row r="42" spans="2:32" x14ac:dyDescent="0.35">
      <c r="B42" s="144">
        <v>10</v>
      </c>
      <c r="C42" s="144" t="s">
        <v>150</v>
      </c>
      <c r="D42" s="151" t="s">
        <v>151</v>
      </c>
      <c r="E42" s="152">
        <f>SUM('SI TB LC'!Q265:Q266)</f>
        <v>6764542.7875200007</v>
      </c>
      <c r="F42" s="147">
        <f>SUM(E42:E46)</f>
        <v>20304745.239996001</v>
      </c>
      <c r="G42" s="147">
        <f>F42/A3</f>
        <v>447635.47707222227</v>
      </c>
      <c r="H42" s="148">
        <f>F42/F49*100</f>
        <v>0.53842911080074307</v>
      </c>
      <c r="Z42" s="136" t="s">
        <v>148</v>
      </c>
      <c r="AA42" s="137"/>
      <c r="AB42" s="137"/>
      <c r="AC42" s="138"/>
      <c r="AD42" s="187">
        <f>AD41/$A$3</f>
        <v>18725726.770986449</v>
      </c>
      <c r="AE42" s="188"/>
      <c r="AF42" s="188"/>
    </row>
    <row r="43" spans="2:32" x14ac:dyDescent="0.35">
      <c r="B43" s="144"/>
      <c r="C43" s="144"/>
      <c r="D43" s="151" t="s">
        <v>152</v>
      </c>
      <c r="E43" s="152">
        <f>SUM('SI TB LC'!Q267:Q271)</f>
        <v>8069587.1645759996</v>
      </c>
      <c r="F43" s="147"/>
      <c r="G43" s="147"/>
      <c r="H43" s="158"/>
    </row>
    <row r="44" spans="2:32" x14ac:dyDescent="0.35">
      <c r="B44" s="144"/>
      <c r="C44" s="144"/>
      <c r="D44" s="151" t="s">
        <v>153</v>
      </c>
      <c r="E44" s="152">
        <f>SUM('SI TB LC'!Q280)</f>
        <v>0</v>
      </c>
      <c r="F44" s="147"/>
      <c r="G44" s="147"/>
      <c r="H44" s="158"/>
    </row>
    <row r="45" spans="2:32" x14ac:dyDescent="0.35">
      <c r="B45" s="144"/>
      <c r="C45" s="144"/>
      <c r="D45" s="151" t="s">
        <v>154</v>
      </c>
      <c r="E45" s="152">
        <f>SUM('SI TB LC'!Q272:Q274)</f>
        <v>0</v>
      </c>
      <c r="F45" s="147"/>
      <c r="G45" s="147"/>
      <c r="H45" s="158"/>
    </row>
    <row r="46" spans="2:32" x14ac:dyDescent="0.35">
      <c r="B46" s="144"/>
      <c r="C46" s="144"/>
      <c r="D46" s="151" t="s">
        <v>155</v>
      </c>
      <c r="E46" s="152">
        <f>SUM('SI TB LC'!Q278:Q279)</f>
        <v>5470615.2878999989</v>
      </c>
      <c r="F46" s="147"/>
      <c r="G46" s="147"/>
      <c r="H46" s="161"/>
    </row>
    <row r="47" spans="2:32" x14ac:dyDescent="0.35">
      <c r="B47" s="144">
        <v>11</v>
      </c>
      <c r="C47" s="144" t="s">
        <v>156</v>
      </c>
      <c r="D47" s="151" t="s">
        <v>143</v>
      </c>
      <c r="E47" s="152">
        <f>SUM('SI TB LC'!Q338:Q341)</f>
        <v>89832233.375359982</v>
      </c>
      <c r="F47" s="147">
        <f>SUM(E47:E48)</f>
        <v>106979240.89663999</v>
      </c>
      <c r="G47" s="147">
        <f>F47/A3</f>
        <v>2358448.873382716</v>
      </c>
      <c r="H47" s="148">
        <f>F47/F49*100</f>
        <v>2.8368116353735493</v>
      </c>
    </row>
    <row r="48" spans="2:32" x14ac:dyDescent="0.35">
      <c r="B48" s="144"/>
      <c r="C48" s="144"/>
      <c r="D48" s="151" t="s">
        <v>144</v>
      </c>
      <c r="E48" s="152">
        <f>SUM('SI TB LC'!Q342:Q343)</f>
        <v>17147007.521280002</v>
      </c>
      <c r="F48" s="147"/>
      <c r="G48" s="147"/>
      <c r="H48" s="161"/>
    </row>
    <row r="49" spans="2:8" x14ac:dyDescent="0.35">
      <c r="B49" s="140" t="s">
        <v>146</v>
      </c>
      <c r="C49" s="140"/>
      <c r="D49" s="140"/>
      <c r="E49" s="140"/>
      <c r="F49" s="187">
        <f>SUM(F6:F48)</f>
        <v>3771108365.5560737</v>
      </c>
      <c r="G49" s="188"/>
      <c r="H49" s="188"/>
    </row>
    <row r="50" spans="2:8" x14ac:dyDescent="0.35">
      <c r="B50" s="135" t="s">
        <v>148</v>
      </c>
      <c r="C50" s="135"/>
      <c r="D50" s="135"/>
      <c r="E50" s="135"/>
      <c r="F50" s="187">
        <f>F49/45.36</f>
        <v>83137309.646297917</v>
      </c>
      <c r="G50" s="188"/>
      <c r="H50" s="188"/>
    </row>
    <row r="52" spans="2:8" x14ac:dyDescent="0.35">
      <c r="F52" s="167"/>
    </row>
  </sheetData>
  <mergeCells count="188">
    <mergeCell ref="B50:E50"/>
    <mergeCell ref="B47:B48"/>
    <mergeCell ref="C47:C48"/>
    <mergeCell ref="F47:F48"/>
    <mergeCell ref="G47:G48"/>
    <mergeCell ref="H47:H48"/>
    <mergeCell ref="B49:E49"/>
    <mergeCell ref="J40:M40"/>
    <mergeCell ref="R40:U40"/>
    <mergeCell ref="J41:M41"/>
    <mergeCell ref="Z41:AC41"/>
    <mergeCell ref="B42:B46"/>
    <mergeCell ref="C42:C46"/>
    <mergeCell ref="F42:F46"/>
    <mergeCell ref="G42:G46"/>
    <mergeCell ref="H42:H46"/>
    <mergeCell ref="Z42:AC42"/>
    <mergeCell ref="Z39:Z40"/>
    <mergeCell ref="AA39:AA40"/>
    <mergeCell ref="AD39:AD40"/>
    <mergeCell ref="AE39:AE40"/>
    <mergeCell ref="AF39:AF40"/>
    <mergeCell ref="B40:B41"/>
    <mergeCell ref="C40:C41"/>
    <mergeCell ref="F40:F41"/>
    <mergeCell ref="G40:G41"/>
    <mergeCell ref="H40:H41"/>
    <mergeCell ref="X37:X38"/>
    <mergeCell ref="J38:J39"/>
    <mergeCell ref="K38:K39"/>
    <mergeCell ref="N38:N39"/>
    <mergeCell ref="O38:O39"/>
    <mergeCell ref="P38:P39"/>
    <mergeCell ref="R39:U39"/>
    <mergeCell ref="B34:B35"/>
    <mergeCell ref="C34:C35"/>
    <mergeCell ref="F34:F35"/>
    <mergeCell ref="G34:G35"/>
    <mergeCell ref="H34:H35"/>
    <mergeCell ref="B36:B39"/>
    <mergeCell ref="C36:C39"/>
    <mergeCell ref="F36:F39"/>
    <mergeCell ref="G36:G39"/>
    <mergeCell ref="H36:H39"/>
    <mergeCell ref="P32:P37"/>
    <mergeCell ref="Z32:Z38"/>
    <mergeCell ref="AA32:AA38"/>
    <mergeCell ref="AD32:AD38"/>
    <mergeCell ref="AE32:AE38"/>
    <mergeCell ref="AF32:AF38"/>
    <mergeCell ref="R37:R38"/>
    <mergeCell ref="S37:S38"/>
    <mergeCell ref="V37:V38"/>
    <mergeCell ref="W37:W38"/>
    <mergeCell ref="AF29:AF31"/>
    <mergeCell ref="R30:R36"/>
    <mergeCell ref="S30:S36"/>
    <mergeCell ref="V30:V36"/>
    <mergeCell ref="W30:W36"/>
    <mergeCell ref="X30:X36"/>
    <mergeCell ref="AF27:AF28"/>
    <mergeCell ref="J29:J31"/>
    <mergeCell ref="K29:K31"/>
    <mergeCell ref="N29:N31"/>
    <mergeCell ref="O29:O31"/>
    <mergeCell ref="P29:P31"/>
    <mergeCell ref="Z29:Z31"/>
    <mergeCell ref="AA29:AA31"/>
    <mergeCell ref="AD29:AD31"/>
    <mergeCell ref="AE29:AE31"/>
    <mergeCell ref="W27:W29"/>
    <mergeCell ref="X27:X29"/>
    <mergeCell ref="Z27:Z28"/>
    <mergeCell ref="AA27:AA28"/>
    <mergeCell ref="AD27:AD28"/>
    <mergeCell ref="AE27:AE28"/>
    <mergeCell ref="W25:W26"/>
    <mergeCell ref="X25:X26"/>
    <mergeCell ref="J27:J28"/>
    <mergeCell ref="K27:K28"/>
    <mergeCell ref="N27:N28"/>
    <mergeCell ref="O27:O28"/>
    <mergeCell ref="P27:P28"/>
    <mergeCell ref="R27:R29"/>
    <mergeCell ref="S27:S29"/>
    <mergeCell ref="V27:V29"/>
    <mergeCell ref="F25:F32"/>
    <mergeCell ref="G25:G32"/>
    <mergeCell ref="H25:H32"/>
    <mergeCell ref="R25:R26"/>
    <mergeCell ref="S25:S26"/>
    <mergeCell ref="V25:V26"/>
    <mergeCell ref="J32:J37"/>
    <mergeCell ref="K32:K37"/>
    <mergeCell ref="N32:N37"/>
    <mergeCell ref="O32:O37"/>
    <mergeCell ref="Z18:Z26"/>
    <mergeCell ref="AA18:AA26"/>
    <mergeCell ref="AD18:AD26"/>
    <mergeCell ref="AE18:AE26"/>
    <mergeCell ref="AF18:AF26"/>
    <mergeCell ref="B19:B24"/>
    <mergeCell ref="C19:C24"/>
    <mergeCell ref="F19:F24"/>
    <mergeCell ref="H19:H24"/>
    <mergeCell ref="B25:B32"/>
    <mergeCell ref="W16:W24"/>
    <mergeCell ref="X16:X24"/>
    <mergeCell ref="B17:B18"/>
    <mergeCell ref="C17:C18"/>
    <mergeCell ref="J18:J26"/>
    <mergeCell ref="K18:K26"/>
    <mergeCell ref="N18:N26"/>
    <mergeCell ref="O18:O26"/>
    <mergeCell ref="P18:P26"/>
    <mergeCell ref="C25:C32"/>
    <mergeCell ref="AE14:AE17"/>
    <mergeCell ref="AF14:AF17"/>
    <mergeCell ref="J15:J17"/>
    <mergeCell ref="K15:K17"/>
    <mergeCell ref="N15:N17"/>
    <mergeCell ref="O15:O17"/>
    <mergeCell ref="P15:P17"/>
    <mergeCell ref="R16:R24"/>
    <mergeCell ref="S16:S24"/>
    <mergeCell ref="V16:V24"/>
    <mergeCell ref="AE12:AE13"/>
    <mergeCell ref="AF12:AF13"/>
    <mergeCell ref="R13:R15"/>
    <mergeCell ref="S13:S15"/>
    <mergeCell ref="V13:V15"/>
    <mergeCell ref="W13:W15"/>
    <mergeCell ref="X13:X15"/>
    <mergeCell ref="Z14:Z17"/>
    <mergeCell ref="AA14:AA17"/>
    <mergeCell ref="AD14:AD17"/>
    <mergeCell ref="K12:K14"/>
    <mergeCell ref="N12:N14"/>
    <mergeCell ref="O12:O14"/>
    <mergeCell ref="P12:P14"/>
    <mergeCell ref="Z12:Z13"/>
    <mergeCell ref="AA12:AA13"/>
    <mergeCell ref="B12:B16"/>
    <mergeCell ref="C12:C16"/>
    <mergeCell ref="F12:F16"/>
    <mergeCell ref="G12:G16"/>
    <mergeCell ref="H12:H16"/>
    <mergeCell ref="J12:J14"/>
    <mergeCell ref="AE6:AE11"/>
    <mergeCell ref="AF6:AF11"/>
    <mergeCell ref="J8:J11"/>
    <mergeCell ref="K8:K11"/>
    <mergeCell ref="N8:N11"/>
    <mergeCell ref="O8:O11"/>
    <mergeCell ref="P8:P11"/>
    <mergeCell ref="R10:R12"/>
    <mergeCell ref="S10:S12"/>
    <mergeCell ref="V10:V12"/>
    <mergeCell ref="V6:V9"/>
    <mergeCell ref="W6:W9"/>
    <mergeCell ref="X6:X9"/>
    <mergeCell ref="Z6:Z11"/>
    <mergeCell ref="AA6:AA11"/>
    <mergeCell ref="AD6:AD11"/>
    <mergeCell ref="W10:W12"/>
    <mergeCell ref="X10:X12"/>
    <mergeCell ref="AD12:AD13"/>
    <mergeCell ref="K6:K7"/>
    <mergeCell ref="N6:N7"/>
    <mergeCell ref="O6:O7"/>
    <mergeCell ref="P6:P7"/>
    <mergeCell ref="R6:R9"/>
    <mergeCell ref="S6:S9"/>
    <mergeCell ref="B6:B11"/>
    <mergeCell ref="C6:C11"/>
    <mergeCell ref="F6:F11"/>
    <mergeCell ref="G6:G11"/>
    <mergeCell ref="H6:H11"/>
    <mergeCell ref="J6:J7"/>
    <mergeCell ref="B3:W3"/>
    <mergeCell ref="B4:H4"/>
    <mergeCell ref="J4:P4"/>
    <mergeCell ref="R4:X4"/>
    <mergeCell ref="Z4:AF4"/>
    <mergeCell ref="C5:D5"/>
    <mergeCell ref="K5:L5"/>
    <mergeCell ref="S5:T5"/>
    <mergeCell ref="AA5:AB5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E0460-054D-4F0F-9E0B-06DB55A18961}">
  <sheetPr>
    <tabColor theme="8" tint="0.39997558519241921"/>
  </sheetPr>
  <dimension ref="B1:AE367"/>
  <sheetViews>
    <sheetView showGridLines="0" zoomScaleNormal="100" workbookViewId="0">
      <pane xSplit="6" ySplit="4" topLeftCell="I5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4.5" x14ac:dyDescent="0.35"/>
  <cols>
    <col min="1" max="1" width="2.1796875" customWidth="1"/>
    <col min="2" max="3" width="4.26953125" style="189" customWidth="1"/>
    <col min="4" max="4" width="14.1796875" style="189" customWidth="1"/>
    <col min="5" max="5" width="28.54296875" style="189" customWidth="1"/>
    <col min="6" max="6" width="25.7265625" style="189" customWidth="1"/>
    <col min="7" max="7" width="7.81640625" style="192" bestFit="1" customWidth="1"/>
    <col min="8" max="8" width="6" style="189" customWidth="1"/>
    <col min="9" max="9" width="5.1796875" style="189" customWidth="1"/>
    <col min="10" max="10" width="10.54296875" style="189" customWidth="1"/>
    <col min="11" max="11" width="8.81640625" style="193" customWidth="1"/>
    <col min="12" max="12" width="12" style="193" customWidth="1"/>
    <col min="13" max="13" width="9" style="194" customWidth="1"/>
    <col min="14" max="14" width="8.54296875" customWidth="1"/>
    <col min="15" max="15" width="12" style="195" customWidth="1"/>
    <col min="16" max="16" width="15.54296875" customWidth="1"/>
    <col min="17" max="17" width="21.54296875" customWidth="1"/>
    <col min="18" max="23" width="15.54296875" hidden="1" customWidth="1"/>
    <col min="24" max="24" width="50.54296875" hidden="1" customWidth="1"/>
    <col min="25" max="26" width="13.81640625" hidden="1" customWidth="1"/>
    <col min="27" max="27" width="14.26953125" bestFit="1" customWidth="1"/>
    <col min="28" max="28" width="13.7265625" bestFit="1" customWidth="1"/>
    <col min="29" max="29" width="12.54296875" bestFit="1" customWidth="1"/>
    <col min="30" max="30" width="11.7265625" customWidth="1"/>
  </cols>
  <sheetData>
    <row r="1" spans="2:28" x14ac:dyDescent="0.35">
      <c r="D1" s="190" t="s">
        <v>157</v>
      </c>
      <c r="E1" s="191">
        <v>45.36</v>
      </c>
    </row>
    <row r="2" spans="2:28" ht="15" customHeight="1" x14ac:dyDescent="0.35">
      <c r="B2" s="196" t="s">
        <v>7</v>
      </c>
      <c r="C2" s="197"/>
      <c r="D2" s="197"/>
      <c r="E2" s="198"/>
      <c r="F2" s="199" t="s">
        <v>158</v>
      </c>
      <c r="G2" s="200"/>
      <c r="H2" s="201" t="s">
        <v>159</v>
      </c>
      <c r="I2" s="202"/>
      <c r="J2" s="203" t="s">
        <v>160</v>
      </c>
      <c r="K2" s="204"/>
      <c r="L2" s="204"/>
      <c r="M2" s="204"/>
      <c r="N2" s="204"/>
      <c r="O2" s="205"/>
      <c r="P2" s="206">
        <v>2026</v>
      </c>
      <c r="Q2" s="207"/>
      <c r="R2" s="208">
        <v>2026</v>
      </c>
      <c r="S2" s="209"/>
      <c r="T2" s="210">
        <v>2027</v>
      </c>
      <c r="U2" s="211"/>
      <c r="V2" s="212" t="s">
        <v>161</v>
      </c>
      <c r="W2" s="213"/>
      <c r="X2" s="214" t="s">
        <v>162</v>
      </c>
      <c r="Y2" t="s">
        <v>163</v>
      </c>
      <c r="Z2" t="s">
        <v>164</v>
      </c>
      <c r="AA2" s="215" t="s">
        <v>59</v>
      </c>
      <c r="AB2" s="216" t="s">
        <v>60</v>
      </c>
    </row>
    <row r="3" spans="2:28" x14ac:dyDescent="0.35">
      <c r="B3" s="217"/>
      <c r="C3" s="218"/>
      <c r="D3" s="218"/>
      <c r="E3" s="219"/>
      <c r="F3" s="220" t="s">
        <v>165</v>
      </c>
      <c r="G3" s="220" t="s">
        <v>166</v>
      </c>
      <c r="H3" s="221"/>
      <c r="I3" s="222"/>
      <c r="J3" s="220" t="s">
        <v>166</v>
      </c>
      <c r="K3" s="199" t="s">
        <v>167</v>
      </c>
      <c r="L3" s="200"/>
      <c r="M3" s="223" t="s">
        <v>168</v>
      </c>
      <c r="N3" s="220" t="s">
        <v>169</v>
      </c>
      <c r="O3" s="224" t="s">
        <v>170</v>
      </c>
      <c r="P3" s="225" t="s">
        <v>171</v>
      </c>
      <c r="Q3" s="226" t="s">
        <v>172</v>
      </c>
      <c r="R3" s="227" t="s">
        <v>171</v>
      </c>
      <c r="S3" s="227" t="s">
        <v>172</v>
      </c>
      <c r="T3" s="228" t="s">
        <v>171</v>
      </c>
      <c r="U3" s="228" t="s">
        <v>172</v>
      </c>
      <c r="V3" s="229" t="s">
        <v>171</v>
      </c>
      <c r="W3" s="229" t="s">
        <v>172</v>
      </c>
      <c r="X3" s="230"/>
      <c r="AA3" s="231"/>
      <c r="AB3" s="231"/>
    </row>
    <row r="4" spans="2:28" ht="29" x14ac:dyDescent="0.35">
      <c r="B4" s="232"/>
      <c r="C4" s="233"/>
      <c r="D4" s="233"/>
      <c r="E4" s="234"/>
      <c r="F4" s="235"/>
      <c r="G4" s="235"/>
      <c r="H4" s="236"/>
      <c r="I4" s="237"/>
      <c r="J4" s="235"/>
      <c r="K4" s="238" t="s">
        <v>173</v>
      </c>
      <c r="L4" s="239" t="s">
        <v>174</v>
      </c>
      <c r="M4" s="240"/>
      <c r="N4" s="235"/>
      <c r="O4" s="241"/>
      <c r="P4" s="242"/>
      <c r="Q4" s="243"/>
      <c r="R4" s="244"/>
      <c r="S4" s="244"/>
      <c r="T4" s="245"/>
      <c r="U4" s="245"/>
      <c r="V4" s="246"/>
      <c r="W4" s="246"/>
      <c r="X4" s="247"/>
      <c r="AA4" s="248"/>
      <c r="AB4" s="248"/>
    </row>
    <row r="5" spans="2:28" x14ac:dyDescent="0.35">
      <c r="B5" s="249" t="s">
        <v>175</v>
      </c>
      <c r="C5" s="250"/>
      <c r="D5" s="250"/>
      <c r="E5" s="251"/>
      <c r="F5" s="252"/>
      <c r="G5" s="253"/>
      <c r="H5" s="254"/>
      <c r="I5" s="255"/>
      <c r="J5" s="256"/>
      <c r="K5" s="257"/>
      <c r="L5" s="257"/>
      <c r="M5" s="258"/>
      <c r="N5" s="151"/>
      <c r="O5" s="259"/>
      <c r="P5" s="259"/>
      <c r="Q5" s="259"/>
      <c r="R5" s="259"/>
      <c r="S5" s="259"/>
      <c r="T5" s="259"/>
      <c r="U5" s="259"/>
      <c r="V5" s="259"/>
      <c r="W5" s="259"/>
      <c r="X5" s="151"/>
      <c r="AA5" s="151"/>
      <c r="AB5" s="151"/>
    </row>
    <row r="6" spans="2:28" x14ac:dyDescent="0.35">
      <c r="B6" s="260"/>
      <c r="C6" s="250" t="s">
        <v>176</v>
      </c>
      <c r="D6" s="250"/>
      <c r="E6" s="251"/>
      <c r="F6" s="252"/>
      <c r="G6" s="253"/>
      <c r="H6" s="254"/>
      <c r="I6" s="255"/>
      <c r="J6" s="256"/>
      <c r="K6" s="257"/>
      <c r="L6" s="257"/>
      <c r="M6" s="258"/>
      <c r="N6" s="151"/>
      <c r="O6" s="259"/>
      <c r="P6" s="261"/>
      <c r="Q6" s="259"/>
      <c r="R6" s="259"/>
      <c r="S6" s="259"/>
      <c r="T6" s="259"/>
      <c r="U6" s="259"/>
      <c r="V6" s="259"/>
      <c r="W6" s="259"/>
      <c r="X6" s="151"/>
      <c r="AA6" s="151"/>
      <c r="AB6" s="151"/>
    </row>
    <row r="7" spans="2:28" x14ac:dyDescent="0.35">
      <c r="B7" s="262"/>
      <c r="C7" s="263"/>
      <c r="D7" s="263" t="s">
        <v>62</v>
      </c>
      <c r="E7" s="264"/>
      <c r="F7" s="252" t="s">
        <v>177</v>
      </c>
      <c r="G7" s="253" t="s">
        <v>178</v>
      </c>
      <c r="H7" s="254"/>
      <c r="I7" s="255"/>
      <c r="J7" s="256" t="s">
        <v>179</v>
      </c>
      <c r="K7" s="265">
        <v>1</v>
      </c>
      <c r="L7" s="257">
        <v>45.359999999999992</v>
      </c>
      <c r="M7" s="266">
        <v>0.25</v>
      </c>
      <c r="N7" s="261">
        <v>1</v>
      </c>
      <c r="O7" s="259">
        <f>K7*L7*M7*N7</f>
        <v>11.339999999999998</v>
      </c>
      <c r="P7" s="261">
        <v>149108.51999999999</v>
      </c>
      <c r="Q7" s="261">
        <f>P7*$O7</f>
        <v>1690890.6167999995</v>
      </c>
      <c r="R7" s="259">
        <v>149108.51999999999</v>
      </c>
      <c r="S7" s="259">
        <f>R7*$O7</f>
        <v>1690890.6167999995</v>
      </c>
      <c r="T7" s="259">
        <v>158800.57379999998</v>
      </c>
      <c r="U7" s="259">
        <f>T7*$O7</f>
        <v>1800798.5068919996</v>
      </c>
      <c r="V7" s="259">
        <f>W7/O7</f>
        <v>152339.20459999997</v>
      </c>
      <c r="W7" s="267">
        <f>AVERAGEIF($P$3:$U$3,W$3,$P7:$U7)</f>
        <v>1727526.5801639995</v>
      </c>
      <c r="X7" s="151"/>
      <c r="AA7" s="261">
        <f>Q7/$E$1</f>
        <v>37277.12999999999</v>
      </c>
      <c r="AB7" s="151"/>
    </row>
    <row r="8" spans="2:28" x14ac:dyDescent="0.35">
      <c r="B8" s="268"/>
      <c r="C8" s="269"/>
      <c r="D8" s="269"/>
      <c r="E8" s="270"/>
      <c r="F8" s="252" t="s">
        <v>180</v>
      </c>
      <c r="G8" s="253" t="s">
        <v>181</v>
      </c>
      <c r="H8" s="254"/>
      <c r="I8" s="255"/>
      <c r="J8" s="256"/>
      <c r="K8" s="257"/>
      <c r="L8" s="257"/>
      <c r="M8" s="266"/>
      <c r="N8" s="261">
        <v>1</v>
      </c>
      <c r="O8" s="259"/>
      <c r="P8" s="261"/>
      <c r="Q8" s="261"/>
      <c r="R8" s="259"/>
      <c r="S8" s="259"/>
      <c r="T8" s="259"/>
      <c r="U8" s="259"/>
      <c r="V8" s="259"/>
      <c r="W8" s="259"/>
      <c r="X8" s="151"/>
      <c r="AA8" s="151"/>
      <c r="AB8" s="151"/>
    </row>
    <row r="9" spans="2:28" x14ac:dyDescent="0.35">
      <c r="B9" s="268"/>
      <c r="C9" s="269"/>
      <c r="D9" s="269"/>
      <c r="E9" s="270"/>
      <c r="F9" s="252" t="s">
        <v>182</v>
      </c>
      <c r="G9" s="253" t="s">
        <v>183</v>
      </c>
      <c r="H9" s="254"/>
      <c r="I9" s="255"/>
      <c r="J9" s="256"/>
      <c r="K9" s="257"/>
      <c r="L9" s="257"/>
      <c r="M9" s="266"/>
      <c r="N9" s="261">
        <v>1</v>
      </c>
      <c r="O9" s="259"/>
      <c r="P9" s="261"/>
      <c r="Q9" s="261"/>
      <c r="R9" s="259"/>
      <c r="S9" s="259"/>
      <c r="T9" s="259"/>
      <c r="U9" s="259"/>
      <c r="V9" s="259"/>
      <c r="W9" s="259"/>
      <c r="X9" s="151"/>
      <c r="AA9" s="151"/>
      <c r="AB9" s="151"/>
    </row>
    <row r="10" spans="2:28" x14ac:dyDescent="0.35">
      <c r="B10" s="268"/>
      <c r="C10" s="269"/>
      <c r="D10" s="269"/>
      <c r="E10" s="270"/>
      <c r="F10" s="252" t="s">
        <v>184</v>
      </c>
      <c r="G10" s="253" t="s">
        <v>183</v>
      </c>
      <c r="H10" s="254"/>
      <c r="I10" s="255"/>
      <c r="J10" s="256"/>
      <c r="K10" s="257"/>
      <c r="L10" s="257"/>
      <c r="M10" s="266">
        <v>6.9999999999999999E-4</v>
      </c>
      <c r="N10" s="261">
        <v>1</v>
      </c>
      <c r="O10" s="259"/>
      <c r="P10" s="261"/>
      <c r="Q10" s="261"/>
      <c r="R10" s="259"/>
      <c r="S10" s="259"/>
      <c r="T10" s="259"/>
      <c r="U10" s="259"/>
      <c r="V10" s="259"/>
      <c r="W10" s="259"/>
      <c r="X10" s="151"/>
      <c r="AA10" s="151"/>
      <c r="AB10" s="151"/>
    </row>
    <row r="11" spans="2:28" x14ac:dyDescent="0.35">
      <c r="B11" s="268"/>
      <c r="C11" s="269"/>
      <c r="D11" s="269"/>
      <c r="E11" s="270"/>
      <c r="F11" s="252" t="s">
        <v>185</v>
      </c>
      <c r="G11" s="253" t="s">
        <v>183</v>
      </c>
      <c r="H11" s="254"/>
      <c r="I11" s="255"/>
      <c r="J11" s="256"/>
      <c r="K11" s="257"/>
      <c r="L11" s="257"/>
      <c r="M11" s="266">
        <v>1.2999999999999999E-3</v>
      </c>
      <c r="N11" s="261">
        <v>1</v>
      </c>
      <c r="O11" s="259"/>
      <c r="P11" s="261"/>
      <c r="Q11" s="261"/>
      <c r="R11" s="259"/>
      <c r="S11" s="259"/>
      <c r="T11" s="259"/>
      <c r="U11" s="259"/>
      <c r="V11" s="259"/>
      <c r="W11" s="259"/>
      <c r="X11" s="151"/>
      <c r="AA11" s="151"/>
      <c r="AB11" s="151"/>
    </row>
    <row r="12" spans="2:28" x14ac:dyDescent="0.35">
      <c r="B12" s="271"/>
      <c r="C12" s="176"/>
      <c r="D12" s="176" t="s">
        <v>186</v>
      </c>
      <c r="E12" s="272" t="s">
        <v>187</v>
      </c>
      <c r="F12" s="252" t="s">
        <v>177</v>
      </c>
      <c r="G12" s="253" t="s">
        <v>178</v>
      </c>
      <c r="H12" s="254"/>
      <c r="I12" s="255"/>
      <c r="J12" s="256"/>
      <c r="K12" s="257"/>
      <c r="L12" s="257"/>
      <c r="M12" s="266">
        <v>10</v>
      </c>
      <c r="N12" s="261">
        <v>1</v>
      </c>
      <c r="O12" s="259"/>
      <c r="P12" s="261"/>
      <c r="Q12" s="261"/>
      <c r="R12" s="259"/>
      <c r="S12" s="259"/>
      <c r="T12" s="259"/>
      <c r="U12" s="259"/>
      <c r="V12" s="259"/>
      <c r="W12" s="259"/>
      <c r="X12" s="151" t="s">
        <v>188</v>
      </c>
      <c r="AA12" s="151"/>
      <c r="AB12" s="151"/>
    </row>
    <row r="13" spans="2:28" x14ac:dyDescent="0.35">
      <c r="B13" s="268"/>
      <c r="C13" s="269"/>
      <c r="D13" s="269"/>
      <c r="E13" s="273" t="s">
        <v>189</v>
      </c>
      <c r="F13" s="252" t="s">
        <v>177</v>
      </c>
      <c r="G13" s="253" t="s">
        <v>178</v>
      </c>
      <c r="H13" s="254"/>
      <c r="I13" s="255"/>
      <c r="J13" s="256"/>
      <c r="K13" s="257"/>
      <c r="L13" s="257"/>
      <c r="M13" s="266">
        <v>10</v>
      </c>
      <c r="N13" s="261">
        <v>1</v>
      </c>
      <c r="O13" s="259"/>
      <c r="P13" s="274">
        <v>140008</v>
      </c>
      <c r="Q13" s="261"/>
      <c r="R13" s="259"/>
      <c r="S13" s="259"/>
      <c r="T13" s="259"/>
      <c r="U13" s="259"/>
      <c r="V13" s="259"/>
      <c r="W13" s="259"/>
      <c r="X13" s="151"/>
      <c r="AA13" s="151"/>
      <c r="AB13" s="151"/>
    </row>
    <row r="14" spans="2:28" x14ac:dyDescent="0.35">
      <c r="B14" s="275"/>
      <c r="C14" s="276"/>
      <c r="D14" s="276"/>
      <c r="E14" s="277" t="s">
        <v>190</v>
      </c>
      <c r="F14" s="252" t="s">
        <v>177</v>
      </c>
      <c r="G14" s="253" t="s">
        <v>178</v>
      </c>
      <c r="H14" s="254"/>
      <c r="I14" s="255"/>
      <c r="J14" s="256"/>
      <c r="K14" s="257"/>
      <c r="L14" s="257"/>
      <c r="M14" s="266"/>
      <c r="N14" s="261"/>
      <c r="O14" s="259"/>
      <c r="P14" s="261"/>
      <c r="Q14" s="261"/>
      <c r="R14" s="259"/>
      <c r="S14" s="259"/>
      <c r="T14" s="259"/>
      <c r="U14" s="259"/>
      <c r="V14" s="259"/>
      <c r="W14" s="259"/>
      <c r="X14" s="151"/>
      <c r="AA14" s="151"/>
      <c r="AB14" s="151"/>
    </row>
    <row r="15" spans="2:28" x14ac:dyDescent="0.35">
      <c r="B15" s="271"/>
      <c r="C15" s="176"/>
      <c r="D15" s="176" t="s">
        <v>191</v>
      </c>
      <c r="E15" s="272" t="s">
        <v>187</v>
      </c>
      <c r="F15" s="252" t="s">
        <v>177</v>
      </c>
      <c r="G15" s="253" t="s">
        <v>178</v>
      </c>
      <c r="H15" s="254"/>
      <c r="I15" s="255"/>
      <c r="J15" s="256"/>
      <c r="K15" s="257"/>
      <c r="L15" s="257"/>
      <c r="M15" s="266">
        <v>20</v>
      </c>
      <c r="N15" s="261">
        <v>1</v>
      </c>
      <c r="O15" s="259"/>
      <c r="P15" s="261"/>
      <c r="Q15" s="261"/>
      <c r="R15" s="259"/>
      <c r="S15" s="259"/>
      <c r="T15" s="259"/>
      <c r="U15" s="259"/>
      <c r="V15" s="259"/>
      <c r="W15" s="259"/>
      <c r="X15" s="151" t="s">
        <v>188</v>
      </c>
      <c r="AA15" s="151"/>
      <c r="AB15" s="151"/>
    </row>
    <row r="16" spans="2:28" x14ac:dyDescent="0.35">
      <c r="B16" s="275"/>
      <c r="C16" s="276"/>
      <c r="D16" s="276"/>
      <c r="E16" s="273" t="s">
        <v>189</v>
      </c>
      <c r="F16" s="252" t="s">
        <v>177</v>
      </c>
      <c r="G16" s="253" t="s">
        <v>178</v>
      </c>
      <c r="H16" s="254"/>
      <c r="I16" s="255"/>
      <c r="J16" s="256"/>
      <c r="K16" s="257"/>
      <c r="L16" s="257"/>
      <c r="M16" s="266">
        <v>12</v>
      </c>
      <c r="N16" s="261">
        <v>1</v>
      </c>
      <c r="O16" s="259"/>
      <c r="P16" s="261"/>
      <c r="Q16" s="261"/>
      <c r="R16" s="259"/>
      <c r="S16" s="259"/>
      <c r="T16" s="259"/>
      <c r="U16" s="259"/>
      <c r="V16" s="259"/>
      <c r="W16" s="259"/>
      <c r="X16" s="151"/>
      <c r="AA16" s="151"/>
      <c r="AB16" s="151"/>
    </row>
    <row r="17" spans="2:30" x14ac:dyDescent="0.35">
      <c r="B17" s="268"/>
      <c r="C17" s="269"/>
      <c r="D17" s="176" t="s">
        <v>192</v>
      </c>
      <c r="E17" s="270" t="s">
        <v>187</v>
      </c>
      <c r="F17" s="252" t="s">
        <v>177</v>
      </c>
      <c r="G17" s="253" t="s">
        <v>178</v>
      </c>
      <c r="H17" s="254"/>
      <c r="I17" s="255"/>
      <c r="J17" s="256"/>
      <c r="K17" s="257"/>
      <c r="L17" s="257"/>
      <c r="M17" s="266"/>
      <c r="N17" s="261"/>
      <c r="O17" s="259"/>
      <c r="P17" s="261"/>
      <c r="Q17" s="261"/>
      <c r="R17" s="259"/>
      <c r="S17" s="259"/>
      <c r="T17" s="259"/>
      <c r="U17" s="259"/>
      <c r="V17" s="259"/>
      <c r="W17" s="259"/>
      <c r="X17" s="151"/>
      <c r="AA17" s="151"/>
      <c r="AB17" s="151"/>
    </row>
    <row r="18" spans="2:30" x14ac:dyDescent="0.35">
      <c r="B18" s="275"/>
      <c r="C18" s="276"/>
      <c r="D18" s="276"/>
      <c r="E18" s="273" t="s">
        <v>189</v>
      </c>
      <c r="F18" s="252" t="s">
        <v>177</v>
      </c>
      <c r="G18" s="253" t="s">
        <v>178</v>
      </c>
      <c r="H18" s="254"/>
      <c r="I18" s="255"/>
      <c r="J18" s="256"/>
      <c r="K18" s="257"/>
      <c r="L18" s="257"/>
      <c r="M18" s="266"/>
      <c r="N18" s="261"/>
      <c r="O18" s="259"/>
      <c r="P18" s="261"/>
      <c r="Q18" s="261"/>
      <c r="R18" s="259"/>
      <c r="S18" s="259"/>
      <c r="T18" s="259"/>
      <c r="U18" s="259"/>
      <c r="V18" s="259"/>
      <c r="W18" s="259"/>
      <c r="X18" s="151"/>
      <c r="AA18" s="151"/>
      <c r="AB18" s="151"/>
    </row>
    <row r="19" spans="2:30" x14ac:dyDescent="0.35">
      <c r="B19" s="268"/>
      <c r="C19" s="269"/>
      <c r="D19" s="176" t="s">
        <v>193</v>
      </c>
      <c r="E19" s="270" t="s">
        <v>187</v>
      </c>
      <c r="F19" s="252" t="s">
        <v>194</v>
      </c>
      <c r="G19" s="253" t="s">
        <v>195</v>
      </c>
      <c r="H19" s="254"/>
      <c r="I19" s="255"/>
      <c r="J19" s="256"/>
      <c r="K19" s="257"/>
      <c r="L19" s="257"/>
      <c r="M19" s="266">
        <v>6</v>
      </c>
      <c r="N19" s="261">
        <v>1</v>
      </c>
      <c r="O19" s="259"/>
      <c r="P19" s="261"/>
      <c r="Q19" s="261"/>
      <c r="R19" s="259"/>
      <c r="S19" s="259"/>
      <c r="T19" s="259"/>
      <c r="U19" s="259"/>
      <c r="V19" s="259"/>
      <c r="W19" s="259"/>
      <c r="X19" s="151" t="s">
        <v>188</v>
      </c>
      <c r="AA19" s="151"/>
      <c r="AB19" s="151"/>
    </row>
    <row r="20" spans="2:30" x14ac:dyDescent="0.35">
      <c r="B20" s="268"/>
      <c r="C20" s="269"/>
      <c r="D20" s="269"/>
      <c r="E20" s="273" t="s">
        <v>189</v>
      </c>
      <c r="F20" s="252" t="s">
        <v>194</v>
      </c>
      <c r="G20" s="253" t="s">
        <v>195</v>
      </c>
      <c r="H20" s="254"/>
      <c r="I20" s="255"/>
      <c r="J20" s="256"/>
      <c r="K20" s="257">
        <v>100</v>
      </c>
      <c r="L20" s="257"/>
      <c r="M20" s="266">
        <v>5</v>
      </c>
      <c r="N20" s="261">
        <v>1</v>
      </c>
      <c r="O20" s="274">
        <f>K20*L20*M20*N20</f>
        <v>0</v>
      </c>
      <c r="P20" s="274">
        <v>993170.32971428568</v>
      </c>
      <c r="Q20" s="274">
        <f>P20*$O20</f>
        <v>0</v>
      </c>
      <c r="R20" s="259"/>
      <c r="S20" s="259"/>
      <c r="T20" s="259"/>
      <c r="U20" s="259"/>
      <c r="V20" s="259"/>
      <c r="W20" s="259"/>
      <c r="X20" s="151"/>
      <c r="AA20" s="151"/>
      <c r="AB20" s="151"/>
    </row>
    <row r="21" spans="2:30" x14ac:dyDescent="0.35">
      <c r="B21" s="275"/>
      <c r="C21" s="276"/>
      <c r="D21" s="276"/>
      <c r="E21" s="277" t="s">
        <v>190</v>
      </c>
      <c r="F21" s="252" t="s">
        <v>194</v>
      </c>
      <c r="G21" s="253" t="s">
        <v>195</v>
      </c>
      <c r="H21" s="254"/>
      <c r="I21" s="255"/>
      <c r="J21" s="256"/>
      <c r="K21" s="257"/>
      <c r="L21" s="257"/>
      <c r="M21" s="266">
        <v>4</v>
      </c>
      <c r="N21" s="261">
        <v>1</v>
      </c>
      <c r="O21" s="259"/>
      <c r="P21" s="261"/>
      <c r="Q21" s="261"/>
      <c r="R21" s="259"/>
      <c r="S21" s="259"/>
      <c r="T21" s="259"/>
      <c r="U21" s="259"/>
      <c r="V21" s="259"/>
      <c r="W21" s="259"/>
      <c r="X21" s="151"/>
      <c r="AA21" s="151"/>
      <c r="AB21" s="151"/>
    </row>
    <row r="22" spans="2:30" x14ac:dyDescent="0.35">
      <c r="B22" s="275"/>
      <c r="C22" s="276"/>
      <c r="D22" s="276"/>
      <c r="E22" s="277" t="s">
        <v>69</v>
      </c>
      <c r="F22" s="252" t="s">
        <v>194</v>
      </c>
      <c r="G22" s="253" t="s">
        <v>195</v>
      </c>
      <c r="H22" s="254"/>
      <c r="I22" s="255"/>
      <c r="J22" s="256"/>
      <c r="K22" s="278">
        <v>1</v>
      </c>
      <c r="L22" s="257">
        <v>45.359999999999992</v>
      </c>
      <c r="M22" s="266">
        <v>47.5</v>
      </c>
      <c r="N22" s="261">
        <v>1</v>
      </c>
      <c r="O22" s="274">
        <f>K22*L22*M22*N22</f>
        <v>2154.5999999999995</v>
      </c>
      <c r="P22" s="274">
        <v>1051433.6840914285</v>
      </c>
      <c r="Q22" s="274">
        <f>O22*P22</f>
        <v>2265419015.7433915</v>
      </c>
      <c r="R22" s="259"/>
      <c r="S22" s="259"/>
      <c r="T22" s="259"/>
      <c r="U22" s="259"/>
      <c r="V22" s="259"/>
      <c r="W22" s="259"/>
      <c r="X22" s="151"/>
      <c r="AA22" s="261">
        <f>Q22/$E$1</f>
        <v>49943099.994342849</v>
      </c>
      <c r="AB22" s="151"/>
    </row>
    <row r="23" spans="2:30" ht="29" x14ac:dyDescent="0.35">
      <c r="B23" s="271"/>
      <c r="C23" s="279"/>
      <c r="D23" s="279" t="s">
        <v>84</v>
      </c>
      <c r="E23" s="280"/>
      <c r="F23" s="281" t="s">
        <v>194</v>
      </c>
      <c r="G23" s="282" t="s">
        <v>195</v>
      </c>
      <c r="H23" s="283"/>
      <c r="I23" s="284"/>
      <c r="J23" s="285" t="s">
        <v>196</v>
      </c>
      <c r="K23" s="286">
        <v>0</v>
      </c>
      <c r="L23" s="287">
        <v>140.97999999999999</v>
      </c>
      <c r="M23" s="288">
        <v>2.5</v>
      </c>
      <c r="N23" s="274">
        <v>1</v>
      </c>
      <c r="O23" s="289">
        <f>K23*L23*M23*N23</f>
        <v>0</v>
      </c>
      <c r="P23" s="274">
        <v>993170.32971428568</v>
      </c>
      <c r="Q23" s="274">
        <f>P23*$O23</f>
        <v>0</v>
      </c>
      <c r="R23" s="259">
        <v>1051433.6840914285</v>
      </c>
      <c r="S23" s="259">
        <f>R23*$O23</f>
        <v>0</v>
      </c>
      <c r="T23" s="259">
        <v>1113470.7641787431</v>
      </c>
      <c r="U23" s="259">
        <f>T23*$O23</f>
        <v>0</v>
      </c>
      <c r="V23" s="259" t="e">
        <f>W23/O23</f>
        <v>#DIV/0!</v>
      </c>
      <c r="W23" s="267">
        <f>AVERAGEIF($P$3:$U$3,W$3,$P23:$U23)</f>
        <v>0</v>
      </c>
      <c r="X23" s="290" t="s">
        <v>197</v>
      </c>
      <c r="Y23" s="291">
        <f>Q23/L23</f>
        <v>0</v>
      </c>
      <c r="AA23" s="292">
        <f>(Q23+Q24+Q25)/35.245</f>
        <v>0</v>
      </c>
      <c r="AB23" s="292"/>
      <c r="AD23" s="292">
        <f>92518125/35.245</f>
        <v>2625000</v>
      </c>
    </row>
    <row r="24" spans="2:30" x14ac:dyDescent="0.35">
      <c r="B24" s="268"/>
      <c r="C24" s="293"/>
      <c r="D24" s="293"/>
      <c r="E24" s="294"/>
      <c r="F24" s="295" t="s">
        <v>177</v>
      </c>
      <c r="G24" s="296" t="s">
        <v>178</v>
      </c>
      <c r="H24" s="297"/>
      <c r="I24" s="298"/>
      <c r="J24" s="181" t="s">
        <v>179</v>
      </c>
      <c r="K24" s="278">
        <v>1</v>
      </c>
      <c r="L24" s="299">
        <f>O23/10</f>
        <v>0</v>
      </c>
      <c r="M24" s="300">
        <f>3*2</f>
        <v>6</v>
      </c>
      <c r="N24" s="261">
        <v>1</v>
      </c>
      <c r="O24" s="259">
        <f>K24*L24*M24*N24</f>
        <v>0</v>
      </c>
      <c r="P24" s="261">
        <v>140008</v>
      </c>
      <c r="Q24" s="261">
        <f>P24*$O24</f>
        <v>0</v>
      </c>
      <c r="R24" s="259"/>
      <c r="S24" s="259"/>
      <c r="T24" s="259"/>
      <c r="U24" s="259"/>
      <c r="V24" s="259"/>
      <c r="W24" s="267"/>
      <c r="X24" s="290" t="s">
        <v>198</v>
      </c>
      <c r="Y24" s="291"/>
      <c r="AA24" s="292"/>
      <c r="AB24" s="292"/>
    </row>
    <row r="25" spans="2:30" x14ac:dyDescent="0.35">
      <c r="B25" s="275"/>
      <c r="C25" s="301"/>
      <c r="D25" s="301"/>
      <c r="E25" s="302"/>
      <c r="F25" s="173" t="s">
        <v>199</v>
      </c>
      <c r="G25" s="296" t="s">
        <v>200</v>
      </c>
      <c r="H25" s="297"/>
      <c r="I25" s="298"/>
      <c r="J25" s="181"/>
      <c r="K25" s="278">
        <v>1</v>
      </c>
      <c r="L25" s="299">
        <f>(O23*25)/400</f>
        <v>0</v>
      </c>
      <c r="M25" s="300">
        <v>2</v>
      </c>
      <c r="N25" s="261">
        <v>1</v>
      </c>
      <c r="O25" s="259">
        <f>K25*L25*M25*N25</f>
        <v>0</v>
      </c>
      <c r="P25" s="261">
        <v>198400</v>
      </c>
      <c r="Q25" s="261">
        <f>P25*$O25</f>
        <v>0</v>
      </c>
      <c r="R25" s="259"/>
      <c r="S25" s="259"/>
      <c r="T25" s="259"/>
      <c r="U25" s="259"/>
      <c r="V25" s="259"/>
      <c r="W25" s="267"/>
      <c r="X25" s="290" t="s">
        <v>201</v>
      </c>
      <c r="Y25" s="291"/>
      <c r="AA25" s="292"/>
      <c r="AB25" s="292"/>
    </row>
    <row r="26" spans="2:30" x14ac:dyDescent="0.35">
      <c r="B26" s="297"/>
      <c r="C26" s="298"/>
      <c r="D26" s="298" t="s">
        <v>72</v>
      </c>
      <c r="E26" s="273"/>
      <c r="F26" s="295"/>
      <c r="G26" s="296"/>
      <c r="H26" s="297"/>
      <c r="I26" s="298"/>
      <c r="J26" s="181"/>
      <c r="K26" s="303"/>
      <c r="L26" s="303"/>
      <c r="M26" s="300"/>
      <c r="N26" s="261"/>
      <c r="O26" s="259"/>
      <c r="P26" s="261"/>
      <c r="Q26" s="259"/>
      <c r="R26" s="259"/>
      <c r="S26" s="259"/>
      <c r="T26" s="259"/>
      <c r="U26" s="259"/>
      <c r="V26" s="259"/>
      <c r="W26" s="259"/>
      <c r="X26" s="151"/>
      <c r="Y26" s="291"/>
      <c r="AA26" s="151"/>
      <c r="AB26" s="151"/>
    </row>
    <row r="27" spans="2:30" x14ac:dyDescent="0.35">
      <c r="B27" s="271"/>
      <c r="C27" s="176"/>
      <c r="D27" s="176"/>
      <c r="E27" s="176" t="s">
        <v>202</v>
      </c>
      <c r="F27" s="295" t="s">
        <v>177</v>
      </c>
      <c r="G27" s="296" t="s">
        <v>178</v>
      </c>
      <c r="H27" s="297"/>
      <c r="I27" s="298"/>
      <c r="J27" s="181" t="s">
        <v>179</v>
      </c>
      <c r="K27" s="278">
        <v>1</v>
      </c>
      <c r="L27" s="303">
        <v>0</v>
      </c>
      <c r="M27" s="300">
        <v>1</v>
      </c>
      <c r="N27" s="261">
        <v>1</v>
      </c>
      <c r="O27" s="259">
        <f t="shared" ref="O27:O36" si="0">K27*L27*M27*N27</f>
        <v>0</v>
      </c>
      <c r="P27" s="261">
        <v>140008</v>
      </c>
      <c r="Q27" s="261">
        <f t="shared" ref="Q27:Q67" si="1">P27*$O27</f>
        <v>0</v>
      </c>
      <c r="R27" s="259">
        <v>149108.51999999999</v>
      </c>
      <c r="S27" s="259">
        <f>R27*$O27</f>
        <v>0</v>
      </c>
      <c r="T27" s="259">
        <v>158800.57379999998</v>
      </c>
      <c r="U27" s="259">
        <f>T27*$O27</f>
        <v>0</v>
      </c>
      <c r="V27" s="259" t="e">
        <f>W27/O27</f>
        <v>#DIV/0!</v>
      </c>
      <c r="W27" s="267">
        <f>AVERAGEIF($P$3:$U$3,W$3,$P27:$U27)</f>
        <v>0</v>
      </c>
      <c r="X27" s="151" t="s">
        <v>203</v>
      </c>
      <c r="Y27" s="291"/>
      <c r="AA27" s="261"/>
      <c r="AB27" s="151"/>
    </row>
    <row r="28" spans="2:30" ht="29" x14ac:dyDescent="0.35">
      <c r="B28" s="268"/>
      <c r="C28" s="269"/>
      <c r="D28" s="269"/>
      <c r="E28" s="280" t="s">
        <v>204</v>
      </c>
      <c r="F28" s="281" t="s">
        <v>205</v>
      </c>
      <c r="G28" s="282" t="s">
        <v>195</v>
      </c>
      <c r="H28" s="283"/>
      <c r="I28" s="284"/>
      <c r="J28" s="285" t="s">
        <v>196</v>
      </c>
      <c r="K28" s="286">
        <v>1</v>
      </c>
      <c r="L28" s="304">
        <v>0</v>
      </c>
      <c r="M28" s="288">
        <v>10.8</v>
      </c>
      <c r="N28" s="274">
        <v>1</v>
      </c>
      <c r="O28" s="289">
        <f t="shared" si="0"/>
        <v>0</v>
      </c>
      <c r="P28" s="274">
        <v>681487.17873333325</v>
      </c>
      <c r="Q28" s="274">
        <f t="shared" si="1"/>
        <v>0</v>
      </c>
      <c r="R28" s="259">
        <v>720338.0730320001</v>
      </c>
      <c r="S28" s="259">
        <f>R28*$O28</f>
        <v>0</v>
      </c>
      <c r="T28" s="259">
        <v>761671.70213055995</v>
      </c>
      <c r="U28" s="259">
        <f>T28*$O28</f>
        <v>0</v>
      </c>
      <c r="V28" s="259" t="e">
        <f>W28/O28</f>
        <v>#DIV/0!</v>
      </c>
      <c r="W28" s="267">
        <f>AVERAGEIF($P$3:$U$3,W$3,$P28:$U28)</f>
        <v>0</v>
      </c>
      <c r="X28" s="290" t="s">
        <v>206</v>
      </c>
      <c r="Y28" s="291">
        <f>Q28/192.08</f>
        <v>0</v>
      </c>
      <c r="Z28" s="291">
        <f>Y28/122</f>
        <v>0</v>
      </c>
      <c r="AA28" s="305"/>
      <c r="AB28" s="306"/>
      <c r="AD28" s="306">
        <f>AA28/136</f>
        <v>0</v>
      </c>
    </row>
    <row r="29" spans="2:30" x14ac:dyDescent="0.35">
      <c r="B29" s="268"/>
      <c r="C29" s="269"/>
      <c r="D29" s="269"/>
      <c r="E29" s="294"/>
      <c r="F29" s="295" t="s">
        <v>177</v>
      </c>
      <c r="G29" s="296" t="s">
        <v>178</v>
      </c>
      <c r="H29" s="297"/>
      <c r="I29" s="298"/>
      <c r="J29" s="181" t="s">
        <v>179</v>
      </c>
      <c r="K29" s="278">
        <v>1</v>
      </c>
      <c r="L29" s="299">
        <f>O28/10</f>
        <v>0</v>
      </c>
      <c r="M29" s="300">
        <f>3*4</f>
        <v>12</v>
      </c>
      <c r="N29" s="261">
        <v>1</v>
      </c>
      <c r="O29" s="259">
        <f>K29*L29*M29*N29</f>
        <v>0</v>
      </c>
      <c r="P29" s="261">
        <v>140008</v>
      </c>
      <c r="Q29" s="261">
        <f>P29*$O29</f>
        <v>0</v>
      </c>
      <c r="R29" s="259"/>
      <c r="S29" s="259"/>
      <c r="T29" s="259"/>
      <c r="U29" s="259"/>
      <c r="V29" s="259"/>
      <c r="W29" s="267"/>
      <c r="X29" s="290" t="s">
        <v>207</v>
      </c>
      <c r="Y29" s="291"/>
      <c r="Z29" s="291"/>
      <c r="AA29" s="307"/>
      <c r="AB29" s="306"/>
    </row>
    <row r="30" spans="2:30" x14ac:dyDescent="0.35">
      <c r="B30" s="268"/>
      <c r="C30" s="269"/>
      <c r="D30" s="269"/>
      <c r="E30" s="294"/>
      <c r="F30" s="173" t="s">
        <v>199</v>
      </c>
      <c r="G30" s="296" t="s">
        <v>200</v>
      </c>
      <c r="H30" s="297"/>
      <c r="I30" s="298"/>
      <c r="J30" s="181"/>
      <c r="K30" s="278">
        <v>1</v>
      </c>
      <c r="L30" s="299">
        <f>(O28*18)/400</f>
        <v>0</v>
      </c>
      <c r="M30" s="300">
        <v>2</v>
      </c>
      <c r="N30" s="261">
        <v>1</v>
      </c>
      <c r="O30" s="259">
        <f>K30*L30*M30*N30</f>
        <v>0</v>
      </c>
      <c r="P30" s="261">
        <v>198400</v>
      </c>
      <c r="Q30" s="261">
        <f>P30*$O30</f>
        <v>0</v>
      </c>
      <c r="R30" s="259"/>
      <c r="S30" s="259"/>
      <c r="T30" s="259"/>
      <c r="U30" s="259"/>
      <c r="V30" s="259"/>
      <c r="W30" s="267"/>
      <c r="X30" s="290" t="s">
        <v>208</v>
      </c>
      <c r="Y30" s="291"/>
      <c r="Z30" s="291"/>
      <c r="AA30" s="308"/>
      <c r="AB30" s="306"/>
    </row>
    <row r="31" spans="2:30" x14ac:dyDescent="0.35">
      <c r="B31" s="268"/>
      <c r="C31" s="269"/>
      <c r="D31" s="269"/>
      <c r="E31" s="272" t="s">
        <v>209</v>
      </c>
      <c r="F31" s="295" t="s">
        <v>177</v>
      </c>
      <c r="G31" s="296" t="s">
        <v>178</v>
      </c>
      <c r="H31" s="297"/>
      <c r="I31" s="298"/>
      <c r="J31" s="256" t="s">
        <v>179</v>
      </c>
      <c r="K31" s="265">
        <v>0</v>
      </c>
      <c r="L31" s="303">
        <v>140.97999999999999</v>
      </c>
      <c r="M31" s="309">
        <v>0.5</v>
      </c>
      <c r="N31" s="261">
        <v>1</v>
      </c>
      <c r="O31" s="259">
        <f t="shared" si="0"/>
        <v>0</v>
      </c>
      <c r="P31" s="261">
        <v>140008</v>
      </c>
      <c r="Q31" s="261">
        <f t="shared" si="1"/>
        <v>0</v>
      </c>
      <c r="R31" s="259"/>
      <c r="S31" s="259"/>
      <c r="T31" s="259"/>
      <c r="U31" s="259"/>
      <c r="V31" s="259"/>
      <c r="W31" s="267"/>
      <c r="X31" s="151"/>
      <c r="Y31" s="291"/>
      <c r="Z31" s="291"/>
      <c r="AA31" s="292"/>
      <c r="AB31" s="151"/>
    </row>
    <row r="32" spans="2:30" x14ac:dyDescent="0.35">
      <c r="B32" s="275"/>
      <c r="C32" s="276"/>
      <c r="D32" s="276"/>
      <c r="E32" s="277"/>
      <c r="F32" s="295" t="s">
        <v>210</v>
      </c>
      <c r="G32" s="296" t="s">
        <v>181</v>
      </c>
      <c r="H32" s="297"/>
      <c r="I32" s="298"/>
      <c r="J32" s="181" t="s">
        <v>181</v>
      </c>
      <c r="K32" s="278">
        <v>0</v>
      </c>
      <c r="L32" s="303">
        <v>140.97999999999999</v>
      </c>
      <c r="M32" s="300">
        <v>24</v>
      </c>
      <c r="N32" s="261">
        <v>1</v>
      </c>
      <c r="O32" s="261">
        <f t="shared" si="0"/>
        <v>0</v>
      </c>
      <c r="P32" s="261">
        <v>67000</v>
      </c>
      <c r="Q32" s="261">
        <f t="shared" si="1"/>
        <v>0</v>
      </c>
      <c r="R32" s="259">
        <v>70350</v>
      </c>
      <c r="S32" s="259">
        <f>R32*$O32</f>
        <v>0</v>
      </c>
      <c r="T32" s="259">
        <v>73867.5</v>
      </c>
      <c r="U32" s="259">
        <f>T32*$O32</f>
        <v>0</v>
      </c>
      <c r="V32" s="259" t="e">
        <f>W32/O32</f>
        <v>#DIV/0!</v>
      </c>
      <c r="W32" s="267">
        <f>AVERAGEIF($P$3:$U$3,W$3,$P32:$U32)</f>
        <v>0</v>
      </c>
      <c r="X32" s="151"/>
      <c r="AA32" s="292"/>
      <c r="AB32" s="151"/>
    </row>
    <row r="33" spans="2:31" x14ac:dyDescent="0.35">
      <c r="B33" s="268"/>
      <c r="C33" s="269"/>
      <c r="D33" s="293" t="s">
        <v>74</v>
      </c>
      <c r="E33" s="294"/>
      <c r="F33" s="281" t="s">
        <v>205</v>
      </c>
      <c r="G33" s="282" t="s">
        <v>195</v>
      </c>
      <c r="H33" s="283"/>
      <c r="I33" s="284"/>
      <c r="J33" s="285" t="s">
        <v>196</v>
      </c>
      <c r="K33" s="286">
        <v>1</v>
      </c>
      <c r="L33" s="304">
        <v>0</v>
      </c>
      <c r="M33" s="288">
        <v>8.5</v>
      </c>
      <c r="N33" s="274">
        <v>1</v>
      </c>
      <c r="O33" s="289">
        <f t="shared" si="0"/>
        <v>0</v>
      </c>
      <c r="P33" s="274">
        <v>681487.17873333325</v>
      </c>
      <c r="Q33" s="274">
        <f t="shared" si="1"/>
        <v>0</v>
      </c>
      <c r="R33" s="259"/>
      <c r="S33" s="259"/>
      <c r="T33" s="259"/>
      <c r="U33" s="259"/>
      <c r="V33" s="259"/>
      <c r="W33" s="267"/>
      <c r="X33" s="290" t="s">
        <v>211</v>
      </c>
      <c r="AA33" s="305"/>
      <c r="AB33" s="306"/>
      <c r="AC33" s="195"/>
      <c r="AD33" s="310"/>
      <c r="AE33" s="306">
        <f>AB33/600</f>
        <v>0</v>
      </c>
    </row>
    <row r="34" spans="2:31" x14ac:dyDescent="0.35">
      <c r="B34" s="268"/>
      <c r="C34" s="269"/>
      <c r="D34" s="293"/>
      <c r="E34" s="294"/>
      <c r="F34" s="295" t="s">
        <v>177</v>
      </c>
      <c r="G34" s="296" t="s">
        <v>178</v>
      </c>
      <c r="H34" s="297"/>
      <c r="I34" s="298"/>
      <c r="J34" s="181" t="s">
        <v>179</v>
      </c>
      <c r="K34" s="278">
        <v>1</v>
      </c>
      <c r="L34" s="299">
        <f>O33/10</f>
        <v>0</v>
      </c>
      <c r="M34" s="300">
        <f>3*2</f>
        <v>6</v>
      </c>
      <c r="N34" s="261">
        <v>1</v>
      </c>
      <c r="O34" s="259">
        <f t="shared" si="0"/>
        <v>0</v>
      </c>
      <c r="P34" s="261">
        <v>140008</v>
      </c>
      <c r="Q34" s="261">
        <f t="shared" si="1"/>
        <v>0</v>
      </c>
      <c r="R34" s="259"/>
      <c r="S34" s="259"/>
      <c r="T34" s="259"/>
      <c r="U34" s="259"/>
      <c r="V34" s="259"/>
      <c r="W34" s="267"/>
      <c r="X34" s="290" t="s">
        <v>198</v>
      </c>
      <c r="AA34" s="307"/>
      <c r="AB34" s="306"/>
    </row>
    <row r="35" spans="2:31" x14ac:dyDescent="0.35">
      <c r="B35" s="268"/>
      <c r="C35" s="269"/>
      <c r="D35" s="293"/>
      <c r="E35" s="294"/>
      <c r="F35" s="173" t="s">
        <v>199</v>
      </c>
      <c r="G35" s="296" t="s">
        <v>200</v>
      </c>
      <c r="H35" s="297"/>
      <c r="I35" s="298"/>
      <c r="J35" s="181" t="s">
        <v>200</v>
      </c>
      <c r="K35" s="278">
        <v>1</v>
      </c>
      <c r="L35" s="299">
        <f>(O33*18)/400</f>
        <v>0</v>
      </c>
      <c r="M35" s="300">
        <v>2</v>
      </c>
      <c r="N35" s="261">
        <v>1</v>
      </c>
      <c r="O35" s="259">
        <f t="shared" si="0"/>
        <v>0</v>
      </c>
      <c r="P35" s="261">
        <v>198400</v>
      </c>
      <c r="Q35" s="261">
        <f t="shared" si="1"/>
        <v>0</v>
      </c>
      <c r="R35" s="259"/>
      <c r="S35" s="259"/>
      <c r="T35" s="259"/>
      <c r="U35" s="259"/>
      <c r="V35" s="259"/>
      <c r="W35" s="267"/>
      <c r="X35" s="290" t="s">
        <v>208</v>
      </c>
      <c r="AA35" s="308"/>
      <c r="AB35" s="306"/>
    </row>
    <row r="36" spans="2:31" x14ac:dyDescent="0.35">
      <c r="B36" s="271"/>
      <c r="C36" s="176"/>
      <c r="D36" s="279" t="s">
        <v>212</v>
      </c>
      <c r="E36" s="280"/>
      <c r="F36" s="281" t="s">
        <v>205</v>
      </c>
      <c r="G36" s="282" t="s">
        <v>195</v>
      </c>
      <c r="H36" s="283"/>
      <c r="I36" s="284"/>
      <c r="J36" s="285" t="s">
        <v>196</v>
      </c>
      <c r="K36" s="286">
        <v>1</v>
      </c>
      <c r="L36" s="304">
        <v>0</v>
      </c>
      <c r="M36" s="311">
        <f>600/60</f>
        <v>10</v>
      </c>
      <c r="N36" s="274">
        <v>1</v>
      </c>
      <c r="O36" s="289">
        <f t="shared" si="0"/>
        <v>0</v>
      </c>
      <c r="P36" s="274">
        <v>681487.17873333325</v>
      </c>
      <c r="Q36" s="274">
        <f t="shared" si="1"/>
        <v>0</v>
      </c>
      <c r="R36" s="259">
        <v>720338.0730320001</v>
      </c>
      <c r="S36" s="259">
        <f>R36*$O36</f>
        <v>0</v>
      </c>
      <c r="T36" s="259">
        <v>761671.70213055995</v>
      </c>
      <c r="U36" s="259">
        <f>T36*$O36</f>
        <v>0</v>
      </c>
      <c r="V36" s="259" t="e">
        <f>W36/O36</f>
        <v>#DIV/0!</v>
      </c>
      <c r="W36" s="267">
        <f>AVERAGEIF($P$3:$U$3,W$3,$P36:$U36)</f>
        <v>0</v>
      </c>
      <c r="X36" s="290" t="s">
        <v>211</v>
      </c>
      <c r="AA36" s="305"/>
      <c r="AB36" s="306"/>
      <c r="AC36" s="195"/>
      <c r="AE36" s="306">
        <f>AA36/600</f>
        <v>0</v>
      </c>
    </row>
    <row r="37" spans="2:31" x14ac:dyDescent="0.35">
      <c r="B37" s="268"/>
      <c r="C37" s="269"/>
      <c r="D37" s="293"/>
      <c r="E37" s="294"/>
      <c r="F37" s="295" t="s">
        <v>177</v>
      </c>
      <c r="G37" s="296" t="s">
        <v>178</v>
      </c>
      <c r="H37" s="297"/>
      <c r="I37" s="298"/>
      <c r="J37" s="181" t="s">
        <v>179</v>
      </c>
      <c r="K37" s="278">
        <v>1</v>
      </c>
      <c r="L37" s="299">
        <f>O36/10</f>
        <v>0</v>
      </c>
      <c r="M37" s="300">
        <f>3*2</f>
        <v>6</v>
      </c>
      <c r="N37" s="261">
        <v>1</v>
      </c>
      <c r="O37" s="259">
        <f>K37*L37*M37*N37</f>
        <v>0</v>
      </c>
      <c r="P37" s="261">
        <v>140008</v>
      </c>
      <c r="Q37" s="261">
        <f t="shared" si="1"/>
        <v>0</v>
      </c>
      <c r="R37" s="259"/>
      <c r="S37" s="259"/>
      <c r="T37" s="259"/>
      <c r="U37" s="259"/>
      <c r="V37" s="259"/>
      <c r="W37" s="267"/>
      <c r="X37" s="290" t="s">
        <v>213</v>
      </c>
      <c r="AA37" s="307"/>
      <c r="AB37" s="306"/>
    </row>
    <row r="38" spans="2:31" x14ac:dyDescent="0.35">
      <c r="B38" s="268"/>
      <c r="C38" s="269"/>
      <c r="D38" s="293"/>
      <c r="E38" s="294"/>
      <c r="F38" s="173" t="s">
        <v>199</v>
      </c>
      <c r="G38" s="296" t="s">
        <v>200</v>
      </c>
      <c r="H38" s="297"/>
      <c r="I38" s="298"/>
      <c r="J38" s="181" t="s">
        <v>200</v>
      </c>
      <c r="K38" s="278">
        <v>1</v>
      </c>
      <c r="L38" s="299">
        <f>(O36*18)/400</f>
        <v>0</v>
      </c>
      <c r="M38" s="300">
        <v>2</v>
      </c>
      <c r="N38" s="261">
        <v>1</v>
      </c>
      <c r="O38" s="259">
        <f>K38*L38*M38*N38</f>
        <v>0</v>
      </c>
      <c r="P38" s="261">
        <v>198400</v>
      </c>
      <c r="Q38" s="261">
        <f t="shared" si="1"/>
        <v>0</v>
      </c>
      <c r="R38" s="259"/>
      <c r="S38" s="259"/>
      <c r="T38" s="259"/>
      <c r="U38" s="259"/>
      <c r="V38" s="259"/>
      <c r="W38" s="267"/>
      <c r="X38" s="290" t="s">
        <v>208</v>
      </c>
      <c r="AA38" s="308"/>
      <c r="AB38" s="306"/>
    </row>
    <row r="39" spans="2:31" x14ac:dyDescent="0.35">
      <c r="B39" s="297"/>
      <c r="C39" s="298"/>
      <c r="D39" s="298" t="s">
        <v>214</v>
      </c>
      <c r="E39" s="273"/>
      <c r="F39" s="295"/>
      <c r="G39" s="296"/>
      <c r="H39" s="297"/>
      <c r="I39" s="298"/>
      <c r="J39" s="181"/>
      <c r="K39" s="278"/>
      <c r="L39" s="303"/>
      <c r="M39" s="309"/>
      <c r="N39" s="259"/>
      <c r="O39" s="259"/>
      <c r="P39" s="259"/>
      <c r="Q39" s="259"/>
      <c r="R39" s="259"/>
      <c r="S39" s="259"/>
      <c r="T39" s="259"/>
      <c r="U39" s="259"/>
      <c r="V39" s="259"/>
      <c r="W39" s="267"/>
      <c r="X39" s="151"/>
      <c r="AA39" s="151"/>
      <c r="AB39" s="151"/>
    </row>
    <row r="40" spans="2:31" x14ac:dyDescent="0.35">
      <c r="B40" s="275"/>
      <c r="C40" s="276"/>
      <c r="D40" s="276"/>
      <c r="E40" s="277" t="s">
        <v>215</v>
      </c>
      <c r="F40" s="295" t="s">
        <v>177</v>
      </c>
      <c r="G40" s="296" t="s">
        <v>178</v>
      </c>
      <c r="H40" s="297"/>
      <c r="I40" s="298"/>
      <c r="J40" s="181"/>
      <c r="K40" s="278">
        <v>1</v>
      </c>
      <c r="L40" s="312">
        <v>45.36</v>
      </c>
      <c r="M40" s="309">
        <v>0.25</v>
      </c>
      <c r="N40" s="259">
        <v>1</v>
      </c>
      <c r="O40" s="259">
        <f t="shared" ref="O40:O67" si="2">K40*L40*M40*N40</f>
        <v>11.34</v>
      </c>
      <c r="P40" s="259">
        <v>149108.51999999999</v>
      </c>
      <c r="Q40" s="261">
        <f>P40*$O40</f>
        <v>1690890.6168</v>
      </c>
      <c r="R40" s="259">
        <v>149108.51999999999</v>
      </c>
      <c r="S40" s="259">
        <f>R40*$O40</f>
        <v>1690890.6168</v>
      </c>
      <c r="T40" s="259">
        <v>158800.57379999998</v>
      </c>
      <c r="U40" s="259">
        <f>T40*$O40</f>
        <v>1800798.5068919999</v>
      </c>
      <c r="V40" s="259">
        <f>W40/O40</f>
        <v>152339.20459999997</v>
      </c>
      <c r="W40" s="267">
        <f>AVERAGEIF($P$3:$U$3,W$3,$P40:$U40)</f>
        <v>1727526.5801639997</v>
      </c>
      <c r="X40" s="151" t="s">
        <v>216</v>
      </c>
      <c r="Y40" s="291">
        <f>Q40/L40</f>
        <v>37277.129999999997</v>
      </c>
      <c r="AA40" s="261">
        <f t="shared" ref="AA40:AA56" si="3">Q40/$E$1</f>
        <v>37277.129999999997</v>
      </c>
      <c r="AB40" s="151"/>
    </row>
    <row r="41" spans="2:31" x14ac:dyDescent="0.35">
      <c r="B41" s="297"/>
      <c r="C41" s="298"/>
      <c r="D41" s="298"/>
      <c r="E41" s="298" t="s">
        <v>217</v>
      </c>
      <c r="F41" s="295" t="s">
        <v>205</v>
      </c>
      <c r="G41" s="296" t="s">
        <v>195</v>
      </c>
      <c r="H41" s="297"/>
      <c r="I41" s="298"/>
      <c r="J41" s="181" t="s">
        <v>196</v>
      </c>
      <c r="K41" s="278">
        <v>1</v>
      </c>
      <c r="L41" s="312">
        <v>45.36</v>
      </c>
      <c r="M41" s="309">
        <v>1.45</v>
      </c>
      <c r="N41" s="259">
        <v>1</v>
      </c>
      <c r="O41" s="259">
        <f t="shared" si="2"/>
        <v>65.771999999999991</v>
      </c>
      <c r="P41" s="259">
        <v>720338.0730320001</v>
      </c>
      <c r="Q41" s="261">
        <f t="shared" si="1"/>
        <v>47378075.739460707</v>
      </c>
      <c r="R41" s="259">
        <v>720338.0730320001</v>
      </c>
      <c r="S41" s="259">
        <f>R41*$O41</f>
        <v>47378075.739460707</v>
      </c>
      <c r="T41" s="259">
        <v>761671.70213055995</v>
      </c>
      <c r="U41" s="259">
        <f>T41*$O41</f>
        <v>50096671.192531183</v>
      </c>
      <c r="V41" s="259">
        <f>W41/O41</f>
        <v>734115.94939818664</v>
      </c>
      <c r="W41" s="267">
        <f>AVERAGEIF($P$3:$U$3,W$3,$P41:$U41)</f>
        <v>48284274.223817527</v>
      </c>
      <c r="X41" s="151" t="s">
        <v>218</v>
      </c>
      <c r="Y41" s="291">
        <f>Q41/192.08</f>
        <v>246658.03696095743</v>
      </c>
      <c r="AA41" s="261">
        <f t="shared" si="3"/>
        <v>1044490.2058964</v>
      </c>
      <c r="AB41" s="151"/>
    </row>
    <row r="42" spans="2:31" x14ac:dyDescent="0.35">
      <c r="B42" s="271"/>
      <c r="C42" s="176"/>
      <c r="D42" s="176"/>
      <c r="E42" s="176"/>
      <c r="F42" s="295" t="s">
        <v>177</v>
      </c>
      <c r="G42" s="296" t="s">
        <v>178</v>
      </c>
      <c r="H42" s="297"/>
      <c r="I42" s="298"/>
      <c r="J42" s="181" t="s">
        <v>179</v>
      </c>
      <c r="K42" s="278">
        <v>1</v>
      </c>
      <c r="L42" s="299">
        <f>O41/10</f>
        <v>6.5771999999999995</v>
      </c>
      <c r="M42" s="300">
        <f>3*2</f>
        <v>6</v>
      </c>
      <c r="N42" s="261">
        <v>1</v>
      </c>
      <c r="O42" s="259">
        <f t="shared" si="2"/>
        <v>39.463200000000001</v>
      </c>
      <c r="P42" s="259">
        <v>149108.51999999999</v>
      </c>
      <c r="Q42" s="261">
        <f t="shared" si="1"/>
        <v>5884299.3464639997</v>
      </c>
      <c r="R42" s="259"/>
      <c r="S42" s="259"/>
      <c r="T42" s="259"/>
      <c r="U42" s="259"/>
      <c r="V42" s="259"/>
      <c r="W42" s="267"/>
      <c r="X42" s="290" t="s">
        <v>213</v>
      </c>
      <c r="Y42" s="291"/>
      <c r="AA42" s="261">
        <f t="shared" si="3"/>
        <v>129724.4124</v>
      </c>
      <c r="AB42" s="151"/>
    </row>
    <row r="43" spans="2:31" x14ac:dyDescent="0.35">
      <c r="B43" s="271"/>
      <c r="C43" s="176"/>
      <c r="D43" s="176"/>
      <c r="E43" s="176"/>
      <c r="F43" s="173" t="s">
        <v>199</v>
      </c>
      <c r="G43" s="296" t="s">
        <v>200</v>
      </c>
      <c r="H43" s="297"/>
      <c r="I43" s="298"/>
      <c r="J43" s="181" t="s">
        <v>200</v>
      </c>
      <c r="K43" s="278">
        <v>1</v>
      </c>
      <c r="L43" s="299">
        <f>(O41*18)/400</f>
        <v>2.9597399999999991</v>
      </c>
      <c r="M43" s="300">
        <v>2</v>
      </c>
      <c r="N43" s="261">
        <v>1</v>
      </c>
      <c r="O43" s="259">
        <f t="shared" si="2"/>
        <v>5.9194799999999983</v>
      </c>
      <c r="P43" s="259">
        <v>207500</v>
      </c>
      <c r="Q43" s="261">
        <f t="shared" si="1"/>
        <v>1228292.0999999996</v>
      </c>
      <c r="R43" s="259"/>
      <c r="S43" s="259"/>
      <c r="T43" s="259"/>
      <c r="U43" s="259"/>
      <c r="V43" s="259"/>
      <c r="W43" s="267"/>
      <c r="X43" s="290" t="s">
        <v>208</v>
      </c>
      <c r="Y43" s="291"/>
      <c r="AA43" s="261">
        <f t="shared" si="3"/>
        <v>27078.749999999993</v>
      </c>
      <c r="AB43" s="151"/>
    </row>
    <row r="44" spans="2:31" x14ac:dyDescent="0.35">
      <c r="B44" s="271"/>
      <c r="C44" s="176"/>
      <c r="D44" s="176" t="s">
        <v>219</v>
      </c>
      <c r="E44" s="272"/>
      <c r="F44" s="295" t="s">
        <v>177</v>
      </c>
      <c r="G44" s="296" t="s">
        <v>178</v>
      </c>
      <c r="H44" s="297"/>
      <c r="I44" s="298"/>
      <c r="J44" s="181" t="s">
        <v>179</v>
      </c>
      <c r="K44" s="278">
        <v>1</v>
      </c>
      <c r="L44" s="312">
        <v>45.36</v>
      </c>
      <c r="M44" s="309">
        <v>1.5</v>
      </c>
      <c r="N44" s="259">
        <v>1</v>
      </c>
      <c r="O44" s="259">
        <f t="shared" si="2"/>
        <v>68.039999999999992</v>
      </c>
      <c r="P44" s="259">
        <v>149108.51999999999</v>
      </c>
      <c r="Q44" s="261">
        <f t="shared" si="1"/>
        <v>10145343.700799998</v>
      </c>
      <c r="R44" s="259">
        <v>149108.51999999999</v>
      </c>
      <c r="S44" s="259">
        <f>R44*$O44</f>
        <v>10145343.700799998</v>
      </c>
      <c r="T44" s="259">
        <v>158800.57379999998</v>
      </c>
      <c r="U44" s="259">
        <f>T44*$O44</f>
        <v>10804791.041351998</v>
      </c>
      <c r="V44" s="259">
        <f>W44/O44</f>
        <v>152339.20459999997</v>
      </c>
      <c r="W44" s="267">
        <f>AVERAGEIF($P$3:$U$3,W$3,$P44:$U44)</f>
        <v>10365159.480983997</v>
      </c>
      <c r="X44" s="151"/>
      <c r="AA44" s="261">
        <f t="shared" si="3"/>
        <v>223662.77999999997</v>
      </c>
      <c r="AB44" s="151"/>
    </row>
    <row r="45" spans="2:31" x14ac:dyDescent="0.35">
      <c r="B45" s="268"/>
      <c r="C45" s="269"/>
      <c r="D45" s="269"/>
      <c r="E45" s="270"/>
      <c r="F45" s="295" t="s">
        <v>220</v>
      </c>
      <c r="G45" s="296" t="s">
        <v>183</v>
      </c>
      <c r="H45" s="297"/>
      <c r="I45" s="298"/>
      <c r="J45" s="181" t="s">
        <v>179</v>
      </c>
      <c r="K45" s="278">
        <v>1</v>
      </c>
      <c r="L45" s="312">
        <v>45.36</v>
      </c>
      <c r="M45" s="309">
        <v>3.1E-2</v>
      </c>
      <c r="N45" s="259">
        <v>1</v>
      </c>
      <c r="O45" s="259">
        <f t="shared" si="2"/>
        <v>1.4061600000000001</v>
      </c>
      <c r="P45" s="259">
        <v>1434791.925</v>
      </c>
      <c r="Q45" s="261">
        <f t="shared" si="1"/>
        <v>2017547.0132580001</v>
      </c>
      <c r="R45" s="259">
        <v>1434791.925</v>
      </c>
      <c r="S45" s="259">
        <f>R45*$O45</f>
        <v>2017547.0132580001</v>
      </c>
      <c r="T45" s="259">
        <v>1506531.5212500002</v>
      </c>
      <c r="U45" s="259">
        <f>T45*$O45</f>
        <v>2118424.3639209005</v>
      </c>
      <c r="V45" s="259">
        <f>W45/O45</f>
        <v>1458705.1237500003</v>
      </c>
      <c r="W45" s="267">
        <f>AVERAGEIF($P$3:$U$3,W$3,$P45:$U45)</f>
        <v>2051172.7968123003</v>
      </c>
      <c r="X45" s="151"/>
      <c r="AA45" s="261">
        <f t="shared" si="3"/>
        <v>44478.549675000002</v>
      </c>
      <c r="AB45" s="151"/>
    </row>
    <row r="46" spans="2:31" x14ac:dyDescent="0.35">
      <c r="B46" s="313"/>
      <c r="C46" s="314"/>
      <c r="D46" s="314"/>
      <c r="E46" s="315"/>
      <c r="F46" s="252" t="s">
        <v>221</v>
      </c>
      <c r="G46" s="253" t="s">
        <v>222</v>
      </c>
      <c r="H46" s="254"/>
      <c r="I46" s="255"/>
      <c r="J46" s="256" t="s">
        <v>179</v>
      </c>
      <c r="K46" s="265">
        <v>0.23499999999999999</v>
      </c>
      <c r="L46" s="312">
        <v>45.36</v>
      </c>
      <c r="M46" s="309">
        <v>0.9</v>
      </c>
      <c r="N46" s="259">
        <v>1</v>
      </c>
      <c r="O46" s="259">
        <f t="shared" si="2"/>
        <v>9.5936399999999988</v>
      </c>
      <c r="P46" s="259">
        <v>35343</v>
      </c>
      <c r="Q46" s="261">
        <f t="shared" si="1"/>
        <v>339068.01851999998</v>
      </c>
      <c r="R46" s="259"/>
      <c r="S46" s="259"/>
      <c r="T46" s="259"/>
      <c r="U46" s="259"/>
      <c r="V46" s="259"/>
      <c r="W46" s="259"/>
      <c r="X46" s="151"/>
      <c r="AA46" s="261">
        <f t="shared" si="3"/>
        <v>7475.0445</v>
      </c>
      <c r="AB46" s="151"/>
    </row>
    <row r="47" spans="2:31" x14ac:dyDescent="0.35">
      <c r="B47" s="313"/>
      <c r="C47" s="314"/>
      <c r="D47" s="314"/>
      <c r="E47" s="315"/>
      <c r="F47" s="252" t="s">
        <v>223</v>
      </c>
      <c r="G47" s="253" t="s">
        <v>181</v>
      </c>
      <c r="H47" s="254"/>
      <c r="I47" s="255"/>
      <c r="J47" s="256" t="s">
        <v>179</v>
      </c>
      <c r="K47" s="265">
        <v>0.74</v>
      </c>
      <c r="L47" s="312">
        <v>45.36</v>
      </c>
      <c r="M47" s="309">
        <v>3.5999999999999997E-2</v>
      </c>
      <c r="N47" s="259">
        <v>1</v>
      </c>
      <c r="O47" s="259">
        <f t="shared" si="2"/>
        <v>1.2083903999999999</v>
      </c>
      <c r="P47" s="259">
        <v>96390</v>
      </c>
      <c r="Q47" s="261">
        <f t="shared" si="1"/>
        <v>116476.75065599999</v>
      </c>
      <c r="R47" s="259">
        <v>96390</v>
      </c>
      <c r="S47" s="259">
        <f t="shared" ref="S47:S56" si="4">R47*$O47</f>
        <v>116476.75065599999</v>
      </c>
      <c r="T47" s="259">
        <v>101209.5</v>
      </c>
      <c r="U47" s="259">
        <f t="shared" ref="U47:U56" si="5">T47*$O47</f>
        <v>122300.58818879999</v>
      </c>
      <c r="V47" s="259">
        <f t="shared" ref="V47:V55" si="6">W47/O47</f>
        <v>97996.5</v>
      </c>
      <c r="W47" s="267">
        <f t="shared" ref="W47:W56" si="7">AVERAGEIF($P$3:$U$3,W$3,$P47:$U47)</f>
        <v>118418.02983359998</v>
      </c>
      <c r="X47" s="151"/>
      <c r="AA47" s="261">
        <f t="shared" si="3"/>
        <v>2567.8295999999996</v>
      </c>
      <c r="AB47" s="151"/>
    </row>
    <row r="48" spans="2:31" x14ac:dyDescent="0.35">
      <c r="B48" s="313"/>
      <c r="C48" s="314"/>
      <c r="D48" s="314"/>
      <c r="E48" s="315"/>
      <c r="F48" s="252" t="s">
        <v>224</v>
      </c>
      <c r="G48" s="253" t="s">
        <v>222</v>
      </c>
      <c r="H48" s="254"/>
      <c r="I48" s="255"/>
      <c r="J48" s="256" t="s">
        <v>179</v>
      </c>
      <c r="K48" s="265">
        <v>0.5</v>
      </c>
      <c r="L48" s="312">
        <v>45.36</v>
      </c>
      <c r="M48" s="309">
        <v>0.9</v>
      </c>
      <c r="N48" s="259">
        <v>1</v>
      </c>
      <c r="O48" s="259">
        <f t="shared" si="2"/>
        <v>20.411999999999999</v>
      </c>
      <c r="P48" s="259">
        <v>28381.5</v>
      </c>
      <c r="Q48" s="261">
        <f t="shared" si="1"/>
        <v>579323.17799999996</v>
      </c>
      <c r="R48" s="259">
        <v>28381.5</v>
      </c>
      <c r="S48" s="259">
        <f t="shared" si="4"/>
        <v>579323.17799999996</v>
      </c>
      <c r="T48" s="259">
        <v>29800.575000000001</v>
      </c>
      <c r="U48" s="259">
        <f t="shared" si="5"/>
        <v>608289.33689999999</v>
      </c>
      <c r="V48" s="259">
        <f t="shared" si="6"/>
        <v>28854.525000000001</v>
      </c>
      <c r="W48" s="267">
        <f t="shared" si="7"/>
        <v>588978.56429999997</v>
      </c>
      <c r="X48" s="151"/>
      <c r="AA48" s="261">
        <f t="shared" si="3"/>
        <v>12771.674999999999</v>
      </c>
      <c r="AB48" s="151"/>
    </row>
    <row r="49" spans="2:28" x14ac:dyDescent="0.35">
      <c r="B49" s="313"/>
      <c r="C49" s="314"/>
      <c r="D49" s="314"/>
      <c r="E49" s="315"/>
      <c r="F49" s="252" t="s">
        <v>225</v>
      </c>
      <c r="G49" s="253" t="s">
        <v>222</v>
      </c>
      <c r="H49" s="254"/>
      <c r="I49" s="255"/>
      <c r="J49" s="256" t="s">
        <v>179</v>
      </c>
      <c r="K49" s="265">
        <v>0.74</v>
      </c>
      <c r="L49" s="312">
        <v>45.36</v>
      </c>
      <c r="M49" s="309">
        <v>0.27</v>
      </c>
      <c r="N49" s="259">
        <v>1</v>
      </c>
      <c r="O49" s="259">
        <f t="shared" si="2"/>
        <v>9.0629280000000012</v>
      </c>
      <c r="P49" s="259">
        <v>44982</v>
      </c>
      <c r="Q49" s="261">
        <f t="shared" si="1"/>
        <v>407668.62729600008</v>
      </c>
      <c r="R49" s="259">
        <v>44982</v>
      </c>
      <c r="S49" s="259">
        <f t="shared" si="4"/>
        <v>407668.62729600008</v>
      </c>
      <c r="T49" s="259">
        <v>47231.1</v>
      </c>
      <c r="U49" s="259">
        <f t="shared" si="5"/>
        <v>428052.05866080004</v>
      </c>
      <c r="V49" s="259">
        <f t="shared" si="6"/>
        <v>45731.7</v>
      </c>
      <c r="W49" s="267">
        <f t="shared" si="7"/>
        <v>414463.10441760003</v>
      </c>
      <c r="X49" s="151"/>
      <c r="AA49" s="261">
        <f t="shared" si="3"/>
        <v>8987.4036000000015</v>
      </c>
      <c r="AB49" s="151"/>
    </row>
    <row r="50" spans="2:28" x14ac:dyDescent="0.35">
      <c r="B50" s="313"/>
      <c r="C50" s="314"/>
      <c r="D50" s="314"/>
      <c r="E50" s="315"/>
      <c r="F50" s="252" t="s">
        <v>226</v>
      </c>
      <c r="G50" s="253" t="s">
        <v>178</v>
      </c>
      <c r="H50" s="254"/>
      <c r="I50" s="255"/>
      <c r="J50" s="256" t="s">
        <v>179</v>
      </c>
      <c r="K50" s="265">
        <v>1</v>
      </c>
      <c r="L50" s="312">
        <v>45.36</v>
      </c>
      <c r="M50" s="309">
        <f>M44</f>
        <v>1.5</v>
      </c>
      <c r="N50" s="259">
        <v>1</v>
      </c>
      <c r="O50" s="259">
        <f t="shared" si="2"/>
        <v>68.039999999999992</v>
      </c>
      <c r="P50" s="259">
        <v>3940.5</v>
      </c>
      <c r="Q50" s="261">
        <f t="shared" si="1"/>
        <v>268111.62</v>
      </c>
      <c r="R50" s="259">
        <v>3940.5</v>
      </c>
      <c r="S50" s="259">
        <f t="shared" si="4"/>
        <v>268111.62</v>
      </c>
      <c r="T50" s="259">
        <v>4196.6324999999997</v>
      </c>
      <c r="U50" s="259">
        <f t="shared" si="5"/>
        <v>285538.87529999996</v>
      </c>
      <c r="V50" s="259">
        <f t="shared" si="6"/>
        <v>4025.8775000000001</v>
      </c>
      <c r="W50" s="267">
        <f t="shared" si="7"/>
        <v>273920.70509999996</v>
      </c>
      <c r="X50" s="151"/>
      <c r="AA50" s="261">
        <f t="shared" si="3"/>
        <v>5910.75</v>
      </c>
      <c r="AB50" s="151"/>
    </row>
    <row r="51" spans="2:28" x14ac:dyDescent="0.35">
      <c r="B51" s="313"/>
      <c r="C51" s="314"/>
      <c r="D51" s="314"/>
      <c r="E51" s="315"/>
      <c r="F51" s="151" t="s">
        <v>227</v>
      </c>
      <c r="G51" s="316" t="s">
        <v>183</v>
      </c>
      <c r="H51" s="317">
        <v>4</v>
      </c>
      <c r="I51" s="318" t="s">
        <v>228</v>
      </c>
      <c r="J51" s="256" t="s">
        <v>179</v>
      </c>
      <c r="K51" s="265">
        <v>1</v>
      </c>
      <c r="L51" s="312">
        <v>45.36</v>
      </c>
      <c r="M51" s="319">
        <f>((M$44*N$44)/240*($H51/N51))</f>
        <v>2.5000000000000001E-2</v>
      </c>
      <c r="N51" s="259">
        <v>1</v>
      </c>
      <c r="O51" s="259">
        <f t="shared" si="2"/>
        <v>1.1340000000000001</v>
      </c>
      <c r="P51" s="259">
        <v>44982</v>
      </c>
      <c r="Q51" s="261">
        <f t="shared" si="1"/>
        <v>51009.588000000003</v>
      </c>
      <c r="R51" s="259">
        <v>44982</v>
      </c>
      <c r="S51" s="259">
        <f t="shared" si="4"/>
        <v>51009.588000000003</v>
      </c>
      <c r="T51" s="259">
        <v>47231.1</v>
      </c>
      <c r="U51" s="259">
        <f t="shared" si="5"/>
        <v>53560.067400000007</v>
      </c>
      <c r="V51" s="259">
        <f t="shared" si="6"/>
        <v>45731.7</v>
      </c>
      <c r="W51" s="267">
        <f t="shared" si="7"/>
        <v>51859.747800000005</v>
      </c>
      <c r="X51" s="151"/>
      <c r="AA51" s="261">
        <f t="shared" si="3"/>
        <v>1124.5500000000002</v>
      </c>
      <c r="AB51" s="151"/>
    </row>
    <row r="52" spans="2:28" x14ac:dyDescent="0.35">
      <c r="B52" s="313"/>
      <c r="C52" s="314"/>
      <c r="D52" s="314"/>
      <c r="E52" s="315"/>
      <c r="F52" s="151" t="s">
        <v>229</v>
      </c>
      <c r="G52" s="316" t="s">
        <v>183</v>
      </c>
      <c r="H52" s="317">
        <v>12</v>
      </c>
      <c r="I52" s="318" t="s">
        <v>228</v>
      </c>
      <c r="J52" s="256" t="s">
        <v>179</v>
      </c>
      <c r="K52" s="265">
        <v>1</v>
      </c>
      <c r="L52" s="312">
        <v>45.36</v>
      </c>
      <c r="M52" s="319">
        <f>((M$44*N$44)/240*($H52/N52))</f>
        <v>7.5000000000000011E-2</v>
      </c>
      <c r="N52" s="259">
        <v>1</v>
      </c>
      <c r="O52" s="259">
        <f t="shared" si="2"/>
        <v>3.4020000000000006</v>
      </c>
      <c r="P52" s="259">
        <v>14700</v>
      </c>
      <c r="Q52" s="261">
        <f t="shared" si="1"/>
        <v>50009.400000000009</v>
      </c>
      <c r="R52" s="259">
        <v>14700</v>
      </c>
      <c r="S52" s="259">
        <f t="shared" si="4"/>
        <v>50009.400000000009</v>
      </c>
      <c r="T52" s="259">
        <v>15435</v>
      </c>
      <c r="U52" s="259">
        <f t="shared" si="5"/>
        <v>52509.87000000001</v>
      </c>
      <c r="V52" s="259">
        <f t="shared" si="6"/>
        <v>14945.000000000002</v>
      </c>
      <c r="W52" s="267">
        <f t="shared" si="7"/>
        <v>50842.890000000014</v>
      </c>
      <c r="X52" s="151"/>
      <c r="AA52" s="261">
        <f t="shared" si="3"/>
        <v>1102.5000000000002</v>
      </c>
      <c r="AB52" s="151"/>
    </row>
    <row r="53" spans="2:28" x14ac:dyDescent="0.35">
      <c r="B53" s="313"/>
      <c r="C53" s="314"/>
      <c r="D53" s="314"/>
      <c r="E53" s="315"/>
      <c r="F53" s="151" t="s">
        <v>230</v>
      </c>
      <c r="G53" s="316" t="s">
        <v>183</v>
      </c>
      <c r="H53" s="317">
        <v>1</v>
      </c>
      <c r="I53" s="318" t="s">
        <v>228</v>
      </c>
      <c r="J53" s="256" t="s">
        <v>179</v>
      </c>
      <c r="K53" s="265">
        <v>1</v>
      </c>
      <c r="L53" s="312">
        <v>45.36</v>
      </c>
      <c r="M53" s="319">
        <f>((M$44*N$44)/240*($H53/N53))</f>
        <v>6.2500000000000003E-3</v>
      </c>
      <c r="N53" s="259">
        <v>1</v>
      </c>
      <c r="O53" s="259">
        <f t="shared" si="2"/>
        <v>0.28350000000000003</v>
      </c>
      <c r="P53" s="259">
        <v>39359.25</v>
      </c>
      <c r="Q53" s="261">
        <f t="shared" si="1"/>
        <v>11158.347375000001</v>
      </c>
      <c r="R53" s="259">
        <v>39359.25</v>
      </c>
      <c r="S53" s="259">
        <f t="shared" si="4"/>
        <v>11158.347375000001</v>
      </c>
      <c r="T53" s="259">
        <v>41327.212500000001</v>
      </c>
      <c r="U53" s="259">
        <f t="shared" si="5"/>
        <v>11716.264743750002</v>
      </c>
      <c r="V53" s="259">
        <f t="shared" si="6"/>
        <v>40015.237500000003</v>
      </c>
      <c r="W53" s="267">
        <f t="shared" si="7"/>
        <v>11344.319831250003</v>
      </c>
      <c r="X53" s="151"/>
      <c r="AA53" s="261">
        <f t="shared" si="3"/>
        <v>245.99531250000004</v>
      </c>
      <c r="AB53" s="151"/>
    </row>
    <row r="54" spans="2:28" x14ac:dyDescent="0.35">
      <c r="B54" s="313"/>
      <c r="C54" s="314"/>
      <c r="D54" s="314"/>
      <c r="E54" s="315"/>
      <c r="F54" s="151" t="s">
        <v>231</v>
      </c>
      <c r="G54" s="316" t="s">
        <v>183</v>
      </c>
      <c r="H54" s="317">
        <v>2</v>
      </c>
      <c r="I54" s="318" t="s">
        <v>228</v>
      </c>
      <c r="J54" s="256" t="s">
        <v>179</v>
      </c>
      <c r="K54" s="265">
        <v>1</v>
      </c>
      <c r="L54" s="312">
        <v>45.36</v>
      </c>
      <c r="M54" s="319">
        <f>((M$44*N$44)/240*($H54/N54))</f>
        <v>1.2500000000000001E-2</v>
      </c>
      <c r="N54" s="259">
        <v>1</v>
      </c>
      <c r="O54" s="259">
        <f t="shared" si="2"/>
        <v>0.56700000000000006</v>
      </c>
      <c r="P54" s="259">
        <v>33736.5</v>
      </c>
      <c r="Q54" s="261">
        <f t="shared" si="1"/>
        <v>19128.595500000003</v>
      </c>
      <c r="R54" s="259">
        <v>33736.5</v>
      </c>
      <c r="S54" s="259">
        <f t="shared" si="4"/>
        <v>19128.595500000003</v>
      </c>
      <c r="T54" s="259">
        <v>35423.325000000004</v>
      </c>
      <c r="U54" s="259">
        <f t="shared" si="5"/>
        <v>20085.025275000004</v>
      </c>
      <c r="V54" s="259">
        <f t="shared" si="6"/>
        <v>34298.775000000001</v>
      </c>
      <c r="W54" s="267">
        <f t="shared" si="7"/>
        <v>19447.405425000004</v>
      </c>
      <c r="X54" s="151"/>
      <c r="AA54" s="261">
        <f t="shared" si="3"/>
        <v>421.70625000000007</v>
      </c>
      <c r="AB54" s="151"/>
    </row>
    <row r="55" spans="2:28" x14ac:dyDescent="0.35">
      <c r="B55" s="313"/>
      <c r="C55" s="314"/>
      <c r="D55" s="314"/>
      <c r="E55" s="315"/>
      <c r="F55" s="151" t="s">
        <v>232</v>
      </c>
      <c r="G55" s="316" t="s">
        <v>183</v>
      </c>
      <c r="H55" s="317">
        <v>1</v>
      </c>
      <c r="I55" s="318" t="s">
        <v>228</v>
      </c>
      <c r="J55" s="256" t="s">
        <v>179</v>
      </c>
      <c r="K55" s="265">
        <v>1</v>
      </c>
      <c r="L55" s="312">
        <v>45.36</v>
      </c>
      <c r="M55" s="319">
        <f>((M$44*N$44)/240*($H55/N55))</f>
        <v>6.2500000000000003E-3</v>
      </c>
      <c r="N55" s="259">
        <v>1</v>
      </c>
      <c r="O55" s="259">
        <f t="shared" si="2"/>
        <v>0.28350000000000003</v>
      </c>
      <c r="P55" s="259">
        <v>89964</v>
      </c>
      <c r="Q55" s="261">
        <f t="shared" si="1"/>
        <v>25504.794000000002</v>
      </c>
      <c r="R55" s="259">
        <v>89964</v>
      </c>
      <c r="S55" s="259">
        <f t="shared" si="4"/>
        <v>25504.794000000002</v>
      </c>
      <c r="T55" s="259">
        <v>94462.2</v>
      </c>
      <c r="U55" s="259">
        <f t="shared" si="5"/>
        <v>26780.033700000004</v>
      </c>
      <c r="V55" s="259">
        <f t="shared" si="6"/>
        <v>91463.4</v>
      </c>
      <c r="W55" s="267">
        <f t="shared" si="7"/>
        <v>25929.873900000002</v>
      </c>
      <c r="X55" s="151"/>
      <c r="AA55" s="261">
        <f t="shared" si="3"/>
        <v>562.27500000000009</v>
      </c>
      <c r="AB55" s="151"/>
    </row>
    <row r="56" spans="2:28" x14ac:dyDescent="0.35">
      <c r="B56" s="320"/>
      <c r="C56" s="321"/>
      <c r="D56" s="314"/>
      <c r="E56" s="322" t="s">
        <v>233</v>
      </c>
      <c r="F56" s="323" t="s">
        <v>234</v>
      </c>
      <c r="G56" s="316" t="s">
        <v>200</v>
      </c>
      <c r="H56" s="317"/>
      <c r="I56" s="318"/>
      <c r="J56" s="256" t="s">
        <v>179</v>
      </c>
      <c r="K56" s="265">
        <v>1</v>
      </c>
      <c r="L56" s="312">
        <v>45.36</v>
      </c>
      <c r="M56" s="324">
        <v>0.27</v>
      </c>
      <c r="N56" s="259">
        <v>1</v>
      </c>
      <c r="O56" s="259">
        <f t="shared" si="2"/>
        <v>12.247200000000001</v>
      </c>
      <c r="P56" s="261">
        <f>200000</f>
        <v>200000</v>
      </c>
      <c r="Q56" s="261">
        <f t="shared" si="1"/>
        <v>2449440.0000000005</v>
      </c>
      <c r="R56" s="259">
        <v>69295.8</v>
      </c>
      <c r="S56" s="259">
        <f t="shared" si="4"/>
        <v>848679.52176000015</v>
      </c>
      <c r="T56" s="259">
        <v>72760.590000000011</v>
      </c>
      <c r="U56" s="259">
        <f t="shared" si="5"/>
        <v>891113.49784800026</v>
      </c>
      <c r="V56" s="259">
        <f>W56/O56</f>
        <v>114018.79666666669</v>
      </c>
      <c r="W56" s="267">
        <f t="shared" si="7"/>
        <v>1396411.0065360004</v>
      </c>
      <c r="X56" s="151"/>
      <c r="AA56" s="261">
        <f t="shared" si="3"/>
        <v>54000.000000000015</v>
      </c>
      <c r="AB56" s="151"/>
    </row>
    <row r="57" spans="2:28" x14ac:dyDescent="0.35">
      <c r="B57" s="313"/>
      <c r="C57" s="176" t="s">
        <v>95</v>
      </c>
      <c r="D57" s="263"/>
      <c r="E57" s="325"/>
      <c r="F57" s="295" t="s">
        <v>177</v>
      </c>
      <c r="G57" s="316" t="s">
        <v>178</v>
      </c>
      <c r="H57" s="317"/>
      <c r="I57" s="318"/>
      <c r="J57" s="181" t="s">
        <v>179</v>
      </c>
      <c r="K57" s="265">
        <v>1</v>
      </c>
      <c r="L57" s="303">
        <v>0</v>
      </c>
      <c r="M57" s="319">
        <v>0.25</v>
      </c>
      <c r="N57" s="261">
        <v>1</v>
      </c>
      <c r="O57" s="259">
        <f t="shared" si="2"/>
        <v>0</v>
      </c>
      <c r="P57" s="259">
        <v>149108.51999999999</v>
      </c>
      <c r="Q57" s="261">
        <f t="shared" si="1"/>
        <v>0</v>
      </c>
      <c r="R57" s="259"/>
      <c r="S57" s="259"/>
      <c r="T57" s="259"/>
      <c r="U57" s="259"/>
      <c r="V57" s="259"/>
      <c r="W57" s="267"/>
      <c r="X57" s="151"/>
      <c r="AA57" s="306"/>
      <c r="AB57" s="151"/>
    </row>
    <row r="58" spans="2:28" x14ac:dyDescent="0.35">
      <c r="B58" s="313"/>
      <c r="C58" s="314"/>
      <c r="D58" s="314"/>
      <c r="E58" s="326"/>
      <c r="F58" s="252" t="s">
        <v>226</v>
      </c>
      <c r="G58" s="316" t="s">
        <v>178</v>
      </c>
      <c r="H58" s="317"/>
      <c r="I58" s="318"/>
      <c r="J58" s="181" t="s">
        <v>179</v>
      </c>
      <c r="K58" s="265">
        <v>1</v>
      </c>
      <c r="L58" s="303">
        <v>0</v>
      </c>
      <c r="M58" s="319">
        <v>0.25</v>
      </c>
      <c r="N58" s="261">
        <v>1</v>
      </c>
      <c r="O58" s="259">
        <f t="shared" si="2"/>
        <v>0</v>
      </c>
      <c r="P58" s="259">
        <v>3940.5</v>
      </c>
      <c r="Q58" s="261">
        <f t="shared" si="1"/>
        <v>0</v>
      </c>
      <c r="R58" s="259"/>
      <c r="S58" s="259"/>
      <c r="T58" s="259"/>
      <c r="U58" s="259"/>
      <c r="V58" s="259"/>
      <c r="W58" s="267"/>
      <c r="X58" s="151"/>
      <c r="AA58" s="306"/>
      <c r="AB58" s="151"/>
    </row>
    <row r="59" spans="2:28" x14ac:dyDescent="0.35">
      <c r="B59" s="313"/>
      <c r="C59" s="314"/>
      <c r="D59" s="314"/>
      <c r="E59" s="326"/>
      <c r="F59" s="252" t="s">
        <v>225</v>
      </c>
      <c r="G59" s="316" t="s">
        <v>222</v>
      </c>
      <c r="H59" s="317"/>
      <c r="I59" s="318"/>
      <c r="J59" s="256" t="s">
        <v>179</v>
      </c>
      <c r="K59" s="265">
        <v>1</v>
      </c>
      <c r="L59" s="303">
        <v>0</v>
      </c>
      <c r="M59" s="327">
        <v>5.0000000000000001E-3</v>
      </c>
      <c r="N59" s="261">
        <v>1</v>
      </c>
      <c r="O59" s="259">
        <f t="shared" si="2"/>
        <v>0</v>
      </c>
      <c r="P59" s="259">
        <v>44982</v>
      </c>
      <c r="Q59" s="261">
        <f t="shared" si="1"/>
        <v>0</v>
      </c>
      <c r="R59" s="259"/>
      <c r="S59" s="259"/>
      <c r="T59" s="259"/>
      <c r="U59" s="259"/>
      <c r="V59" s="259"/>
      <c r="W59" s="267"/>
      <c r="X59" s="151"/>
      <c r="AA59" s="306"/>
      <c r="AB59" s="151"/>
    </row>
    <row r="60" spans="2:28" x14ac:dyDescent="0.35">
      <c r="B60" s="313"/>
      <c r="C60" s="314"/>
      <c r="D60" s="314"/>
      <c r="E60" s="326"/>
      <c r="F60" s="295" t="s">
        <v>235</v>
      </c>
      <c r="G60" s="316" t="s">
        <v>222</v>
      </c>
      <c r="H60" s="317"/>
      <c r="I60" s="318"/>
      <c r="J60" s="256" t="s">
        <v>179</v>
      </c>
      <c r="K60" s="265">
        <v>1</v>
      </c>
      <c r="L60" s="303">
        <v>0</v>
      </c>
      <c r="M60" s="327">
        <v>1.2E-2</v>
      </c>
      <c r="N60" s="261">
        <v>1</v>
      </c>
      <c r="O60" s="259">
        <f t="shared" si="2"/>
        <v>0</v>
      </c>
      <c r="P60" s="259">
        <v>1606500</v>
      </c>
      <c r="Q60" s="261">
        <f t="shared" si="1"/>
        <v>0</v>
      </c>
      <c r="R60" s="259"/>
      <c r="S60" s="259"/>
      <c r="T60" s="259"/>
      <c r="U60" s="259"/>
      <c r="V60" s="259"/>
      <c r="W60" s="267"/>
      <c r="X60" s="151"/>
      <c r="AA60" s="306"/>
      <c r="AB60" s="151"/>
    </row>
    <row r="61" spans="2:28" x14ac:dyDescent="0.35">
      <c r="B61" s="313"/>
      <c r="C61" s="314"/>
      <c r="D61" s="314"/>
      <c r="E61" s="326"/>
      <c r="F61" s="295" t="s">
        <v>220</v>
      </c>
      <c r="G61" s="316" t="s">
        <v>183</v>
      </c>
      <c r="H61" s="317"/>
      <c r="I61" s="318"/>
      <c r="J61" s="256" t="s">
        <v>179</v>
      </c>
      <c r="K61" s="265">
        <v>1</v>
      </c>
      <c r="L61" s="303">
        <v>0</v>
      </c>
      <c r="M61" s="327">
        <v>1E-3</v>
      </c>
      <c r="N61" s="261">
        <v>1</v>
      </c>
      <c r="O61" s="259">
        <f t="shared" si="2"/>
        <v>0</v>
      </c>
      <c r="P61" s="259">
        <v>1434791.925</v>
      </c>
      <c r="Q61" s="261">
        <f t="shared" si="1"/>
        <v>0</v>
      </c>
      <c r="R61" s="259"/>
      <c r="S61" s="259"/>
      <c r="T61" s="259"/>
      <c r="U61" s="259"/>
      <c r="V61" s="259"/>
      <c r="W61" s="267"/>
      <c r="X61" s="151"/>
      <c r="AA61" s="306"/>
      <c r="AB61" s="151"/>
    </row>
    <row r="62" spans="2:28" x14ac:dyDescent="0.35">
      <c r="B62" s="313"/>
      <c r="C62" s="314"/>
      <c r="D62" s="314"/>
      <c r="E62" s="326"/>
      <c r="F62" s="151" t="s">
        <v>227</v>
      </c>
      <c r="G62" s="316" t="s">
        <v>183</v>
      </c>
      <c r="H62" s="317"/>
      <c r="I62" s="318"/>
      <c r="J62" s="256" t="s">
        <v>179</v>
      </c>
      <c r="K62" s="265">
        <v>1</v>
      </c>
      <c r="L62" s="303">
        <v>0</v>
      </c>
      <c r="M62" s="328">
        <v>4.1999999999999997E-3</v>
      </c>
      <c r="N62" s="261">
        <v>1</v>
      </c>
      <c r="O62" s="259">
        <f t="shared" si="2"/>
        <v>0</v>
      </c>
      <c r="P62" s="259">
        <v>44982</v>
      </c>
      <c r="Q62" s="261">
        <f t="shared" si="1"/>
        <v>0</v>
      </c>
      <c r="R62" s="259"/>
      <c r="S62" s="259"/>
      <c r="T62" s="259"/>
      <c r="U62" s="259"/>
      <c r="V62" s="259"/>
      <c r="W62" s="267"/>
      <c r="X62" s="151"/>
      <c r="AA62" s="306"/>
      <c r="AB62" s="151"/>
    </row>
    <row r="63" spans="2:28" x14ac:dyDescent="0.35">
      <c r="B63" s="313"/>
      <c r="C63" s="314"/>
      <c r="D63" s="314"/>
      <c r="E63" s="326"/>
      <c r="F63" s="151" t="s">
        <v>229</v>
      </c>
      <c r="G63" s="316" t="s">
        <v>183</v>
      </c>
      <c r="H63" s="317"/>
      <c r="I63" s="318"/>
      <c r="J63" s="256" t="s">
        <v>179</v>
      </c>
      <c r="K63" s="265">
        <v>1</v>
      </c>
      <c r="L63" s="303">
        <v>0</v>
      </c>
      <c r="M63" s="328">
        <v>1.2500000000000001E-2</v>
      </c>
      <c r="N63" s="261">
        <v>1</v>
      </c>
      <c r="O63" s="259">
        <f t="shared" si="2"/>
        <v>0</v>
      </c>
      <c r="P63" s="259">
        <v>14700</v>
      </c>
      <c r="Q63" s="261">
        <f t="shared" si="1"/>
        <v>0</v>
      </c>
      <c r="R63" s="259"/>
      <c r="S63" s="259"/>
      <c r="T63" s="259"/>
      <c r="U63" s="259"/>
      <c r="V63" s="259"/>
      <c r="W63" s="267"/>
      <c r="X63" s="151"/>
      <c r="AA63" s="306"/>
      <c r="AB63" s="151"/>
    </row>
    <row r="64" spans="2:28" x14ac:dyDescent="0.35">
      <c r="B64" s="313"/>
      <c r="C64" s="314"/>
      <c r="D64" s="314"/>
      <c r="E64" s="326"/>
      <c r="F64" s="151" t="s">
        <v>230</v>
      </c>
      <c r="G64" s="316" t="s">
        <v>183</v>
      </c>
      <c r="H64" s="317"/>
      <c r="I64" s="318"/>
      <c r="J64" s="256" t="s">
        <v>179</v>
      </c>
      <c r="K64" s="265">
        <v>1</v>
      </c>
      <c r="L64" s="303">
        <v>0</v>
      </c>
      <c r="M64" s="328">
        <v>1E-3</v>
      </c>
      <c r="N64" s="261">
        <v>1</v>
      </c>
      <c r="O64" s="259">
        <f t="shared" si="2"/>
        <v>0</v>
      </c>
      <c r="P64" s="259">
        <v>39359.25</v>
      </c>
      <c r="Q64" s="261">
        <f t="shared" si="1"/>
        <v>0</v>
      </c>
      <c r="R64" s="259"/>
      <c r="S64" s="259"/>
      <c r="T64" s="259"/>
      <c r="U64" s="259"/>
      <c r="V64" s="259"/>
      <c r="W64" s="267"/>
      <c r="X64" s="151"/>
      <c r="AA64" s="306"/>
      <c r="AB64" s="151"/>
    </row>
    <row r="65" spans="2:28" x14ac:dyDescent="0.35">
      <c r="B65" s="313"/>
      <c r="C65" s="314"/>
      <c r="D65" s="314"/>
      <c r="E65" s="326"/>
      <c r="F65" s="151" t="s">
        <v>231</v>
      </c>
      <c r="G65" s="316" t="s">
        <v>183</v>
      </c>
      <c r="H65" s="317"/>
      <c r="I65" s="318"/>
      <c r="J65" s="256" t="s">
        <v>179</v>
      </c>
      <c r="K65" s="265">
        <v>1</v>
      </c>
      <c r="L65" s="303">
        <v>0</v>
      </c>
      <c r="M65" s="328">
        <v>2.0999999999999999E-3</v>
      </c>
      <c r="N65" s="261">
        <v>1</v>
      </c>
      <c r="O65" s="259">
        <f t="shared" si="2"/>
        <v>0</v>
      </c>
      <c r="P65" s="259">
        <v>33736.5</v>
      </c>
      <c r="Q65" s="261">
        <f t="shared" si="1"/>
        <v>0</v>
      </c>
      <c r="R65" s="259"/>
      <c r="S65" s="259"/>
      <c r="T65" s="259"/>
      <c r="U65" s="259"/>
      <c r="V65" s="259"/>
      <c r="W65" s="267"/>
      <c r="X65" s="151"/>
      <c r="AA65" s="306"/>
      <c r="AB65" s="151"/>
    </row>
    <row r="66" spans="2:28" x14ac:dyDescent="0.35">
      <c r="B66" s="313"/>
      <c r="C66" s="314"/>
      <c r="D66" s="314"/>
      <c r="E66" s="326"/>
      <c r="F66" s="151" t="s">
        <v>232</v>
      </c>
      <c r="G66" s="316" t="s">
        <v>236</v>
      </c>
      <c r="H66" s="317"/>
      <c r="I66" s="318"/>
      <c r="J66" s="256" t="s">
        <v>179</v>
      </c>
      <c r="K66" s="265">
        <v>1</v>
      </c>
      <c r="L66" s="303">
        <v>0</v>
      </c>
      <c r="M66" s="328">
        <v>1E-3</v>
      </c>
      <c r="N66" s="261">
        <v>1</v>
      </c>
      <c r="O66" s="259">
        <f t="shared" si="2"/>
        <v>0</v>
      </c>
      <c r="P66" s="259">
        <v>89964</v>
      </c>
      <c r="Q66" s="261">
        <f t="shared" si="1"/>
        <v>0</v>
      </c>
      <c r="R66" s="259"/>
      <c r="S66" s="259"/>
      <c r="T66" s="259"/>
      <c r="U66" s="259"/>
      <c r="V66" s="259"/>
      <c r="W66" s="267"/>
      <c r="X66" s="151"/>
      <c r="AA66" s="306"/>
      <c r="AB66" s="151"/>
    </row>
    <row r="67" spans="2:28" x14ac:dyDescent="0.35">
      <c r="B67" s="313"/>
      <c r="C67" s="314"/>
      <c r="D67" s="314"/>
      <c r="E67" s="326"/>
      <c r="F67" s="323" t="s">
        <v>234</v>
      </c>
      <c r="G67" s="316" t="s">
        <v>200</v>
      </c>
      <c r="H67" s="317"/>
      <c r="I67" s="318"/>
      <c r="J67" s="256" t="s">
        <v>179</v>
      </c>
      <c r="K67" s="265">
        <v>1</v>
      </c>
      <c r="L67" s="303">
        <v>0</v>
      </c>
      <c r="M67" s="324">
        <v>0.27</v>
      </c>
      <c r="N67" s="329">
        <v>1</v>
      </c>
      <c r="O67" s="259">
        <f t="shared" si="2"/>
        <v>0</v>
      </c>
      <c r="P67" s="259">
        <v>69295.8</v>
      </c>
      <c r="Q67" s="261">
        <f t="shared" si="1"/>
        <v>0</v>
      </c>
      <c r="R67" s="259"/>
      <c r="S67" s="259"/>
      <c r="T67" s="259"/>
      <c r="U67" s="259"/>
      <c r="V67" s="259"/>
      <c r="W67" s="267"/>
      <c r="X67" s="151"/>
      <c r="AA67" s="306"/>
      <c r="AB67" s="151"/>
    </row>
    <row r="68" spans="2:28" x14ac:dyDescent="0.35">
      <c r="B68" s="313"/>
      <c r="C68" s="314"/>
      <c r="D68" s="314"/>
      <c r="E68" s="330"/>
      <c r="F68" s="331"/>
      <c r="G68" s="316"/>
      <c r="H68" s="317"/>
      <c r="I68" s="318"/>
      <c r="J68" s="256"/>
      <c r="K68" s="265"/>
      <c r="L68" s="303"/>
      <c r="M68" s="324"/>
      <c r="N68" s="259"/>
      <c r="O68" s="259"/>
      <c r="P68" s="261"/>
      <c r="Q68" s="261"/>
      <c r="R68" s="259"/>
      <c r="S68" s="259"/>
      <c r="T68" s="259"/>
      <c r="U68" s="259"/>
      <c r="V68" s="259"/>
      <c r="W68" s="267"/>
      <c r="X68" s="151"/>
      <c r="AA68" s="306"/>
      <c r="AB68" s="151"/>
    </row>
    <row r="69" spans="2:28" x14ac:dyDescent="0.35">
      <c r="B69" s="262"/>
      <c r="C69" s="263"/>
      <c r="D69" s="263" t="s">
        <v>237</v>
      </c>
      <c r="E69" s="264"/>
      <c r="F69" s="252" t="s">
        <v>177</v>
      </c>
      <c r="G69" s="253" t="s">
        <v>178</v>
      </c>
      <c r="H69" s="254"/>
      <c r="I69" s="255"/>
      <c r="J69" s="256"/>
      <c r="K69" s="257"/>
      <c r="L69" s="257"/>
      <c r="M69" s="258"/>
      <c r="N69" s="259"/>
      <c r="O69" s="259"/>
      <c r="P69" s="259"/>
      <c r="Q69" s="259"/>
      <c r="R69" s="259"/>
      <c r="S69" s="259"/>
      <c r="T69" s="259"/>
      <c r="U69" s="259"/>
      <c r="V69" s="259"/>
      <c r="W69" s="259"/>
      <c r="X69" s="151"/>
      <c r="AA69" s="151"/>
      <c r="AB69" s="151"/>
    </row>
    <row r="70" spans="2:28" x14ac:dyDescent="0.35">
      <c r="B70" s="320"/>
      <c r="C70" s="321"/>
      <c r="D70" s="321"/>
      <c r="E70" s="332"/>
      <c r="F70" s="252" t="s">
        <v>205</v>
      </c>
      <c r="G70" s="253" t="s">
        <v>195</v>
      </c>
      <c r="H70" s="254"/>
      <c r="I70" s="255"/>
      <c r="J70" s="256"/>
      <c r="K70" s="257"/>
      <c r="L70" s="257"/>
      <c r="M70" s="258"/>
      <c r="N70" s="259"/>
      <c r="O70" s="259"/>
      <c r="P70" s="259"/>
      <c r="Q70" s="259"/>
      <c r="R70" s="259"/>
      <c r="S70" s="259"/>
      <c r="T70" s="259"/>
      <c r="U70" s="259"/>
      <c r="V70" s="259"/>
      <c r="W70" s="259"/>
      <c r="X70" s="151"/>
      <c r="AA70" s="151"/>
      <c r="AB70" s="151"/>
    </row>
    <row r="71" spans="2:28" x14ac:dyDescent="0.35">
      <c r="B71" s="262"/>
      <c r="C71" s="263"/>
      <c r="D71" s="263" t="s">
        <v>238</v>
      </c>
      <c r="E71" s="264"/>
      <c r="F71" s="252" t="s">
        <v>177</v>
      </c>
      <c r="G71" s="253" t="s">
        <v>178</v>
      </c>
      <c r="H71" s="254"/>
      <c r="I71" s="255"/>
      <c r="J71" s="256"/>
      <c r="K71" s="257"/>
      <c r="L71" s="257"/>
      <c r="M71" s="258"/>
      <c r="N71" s="259"/>
      <c r="O71" s="259"/>
      <c r="P71" s="259"/>
      <c r="Q71" s="259"/>
      <c r="R71" s="259"/>
      <c r="S71" s="259"/>
      <c r="T71" s="259"/>
      <c r="U71" s="259"/>
      <c r="V71" s="259"/>
      <c r="W71" s="259"/>
      <c r="X71" s="151"/>
      <c r="AA71" s="151"/>
      <c r="AB71" s="151"/>
    </row>
    <row r="72" spans="2:28" x14ac:dyDescent="0.35">
      <c r="B72" s="320"/>
      <c r="C72" s="321"/>
      <c r="D72" s="321"/>
      <c r="E72" s="332"/>
      <c r="F72" s="252" t="s">
        <v>205</v>
      </c>
      <c r="G72" s="253" t="s">
        <v>195</v>
      </c>
      <c r="H72" s="254"/>
      <c r="I72" s="255"/>
      <c r="J72" s="256"/>
      <c r="K72" s="257"/>
      <c r="L72" s="257"/>
      <c r="M72" s="258"/>
      <c r="N72" s="259"/>
      <c r="O72" s="259"/>
      <c r="P72" s="259"/>
      <c r="Q72" s="259"/>
      <c r="R72" s="259"/>
      <c r="S72" s="259"/>
      <c r="T72" s="259"/>
      <c r="U72" s="259"/>
      <c r="V72" s="259"/>
      <c r="W72" s="259"/>
      <c r="X72" s="151"/>
      <c r="AA72" s="151"/>
      <c r="AB72" s="151"/>
    </row>
    <row r="73" spans="2:28" x14ac:dyDescent="0.35">
      <c r="B73" s="262"/>
      <c r="C73" s="263"/>
      <c r="D73" s="263" t="s">
        <v>239</v>
      </c>
      <c r="E73" s="264"/>
      <c r="F73" s="252" t="s">
        <v>177</v>
      </c>
      <c r="G73" s="253" t="s">
        <v>178</v>
      </c>
      <c r="H73" s="254"/>
      <c r="I73" s="255"/>
      <c r="J73" s="256"/>
      <c r="K73" s="257"/>
      <c r="L73" s="257"/>
      <c r="M73" s="258">
        <v>0.5</v>
      </c>
      <c r="N73" s="259">
        <v>1</v>
      </c>
      <c r="O73" s="259"/>
      <c r="P73" s="259"/>
      <c r="Q73" s="259"/>
      <c r="R73" s="259"/>
      <c r="S73" s="259"/>
      <c r="T73" s="259"/>
      <c r="U73" s="259"/>
      <c r="V73" s="259"/>
      <c r="W73" s="259"/>
      <c r="X73" s="151"/>
      <c r="AA73" s="151"/>
      <c r="AB73" s="151"/>
    </row>
    <row r="74" spans="2:28" x14ac:dyDescent="0.35">
      <c r="B74" s="313"/>
      <c r="C74" s="314"/>
      <c r="D74" s="314"/>
      <c r="E74" s="315"/>
      <c r="F74" s="252" t="s">
        <v>240</v>
      </c>
      <c r="G74" s="253" t="s">
        <v>183</v>
      </c>
      <c r="H74" s="254"/>
      <c r="I74" s="255"/>
      <c r="J74" s="256"/>
      <c r="K74" s="257"/>
      <c r="L74" s="257"/>
      <c r="M74" s="258">
        <v>4.0000000000000001E-3</v>
      </c>
      <c r="N74" s="259">
        <v>1</v>
      </c>
      <c r="O74" s="259"/>
      <c r="P74" s="259"/>
      <c r="Q74" s="259"/>
      <c r="R74" s="259"/>
      <c r="S74" s="259"/>
      <c r="T74" s="259"/>
      <c r="U74" s="259"/>
      <c r="V74" s="259"/>
      <c r="W74" s="259"/>
      <c r="X74" s="151"/>
      <c r="AA74" s="151"/>
      <c r="AB74" s="151"/>
    </row>
    <row r="75" spans="2:28" x14ac:dyDescent="0.35">
      <c r="B75" s="320"/>
      <c r="C75" s="321"/>
      <c r="D75" s="321"/>
      <c r="E75" s="332"/>
      <c r="F75" s="252" t="s">
        <v>185</v>
      </c>
      <c r="G75" s="253" t="s">
        <v>183</v>
      </c>
      <c r="H75" s="254"/>
      <c r="I75" s="255"/>
      <c r="J75" s="256"/>
      <c r="K75" s="257"/>
      <c r="L75" s="257"/>
      <c r="M75" s="258"/>
      <c r="N75" s="259"/>
      <c r="O75" s="259"/>
      <c r="P75" s="259"/>
      <c r="Q75" s="259"/>
      <c r="R75" s="259"/>
      <c r="S75" s="259"/>
      <c r="T75" s="259"/>
      <c r="U75" s="259"/>
      <c r="V75" s="259"/>
      <c r="W75" s="259"/>
      <c r="X75" s="151"/>
      <c r="AA75" s="151"/>
      <c r="AB75" s="151"/>
    </row>
    <row r="76" spans="2:28" x14ac:dyDescent="0.35">
      <c r="B76" s="333"/>
      <c r="C76" s="334"/>
      <c r="D76" s="335" t="s">
        <v>241</v>
      </c>
      <c r="E76" s="336"/>
      <c r="F76" s="337"/>
      <c r="G76" s="338"/>
      <c r="H76" s="339"/>
      <c r="I76" s="340"/>
      <c r="J76" s="341"/>
      <c r="K76" s="342"/>
      <c r="L76" s="342"/>
      <c r="M76" s="343"/>
      <c r="N76" s="344"/>
      <c r="O76" s="344"/>
      <c r="P76" s="344"/>
      <c r="Q76" s="345">
        <f>SUM(Q7:Q75)</f>
        <v>2339771253.7963204</v>
      </c>
      <c r="R76" s="344"/>
      <c r="S76" s="344"/>
      <c r="T76" s="344"/>
      <c r="U76" s="344"/>
      <c r="V76" s="344"/>
      <c r="W76" s="344"/>
      <c r="X76" s="346"/>
      <c r="Y76" s="347"/>
      <c r="Z76" s="347"/>
      <c r="AA76" s="348">
        <f>Q76/$E$1</f>
        <v>51582258.681576729</v>
      </c>
      <c r="AB76" s="346">
        <f>Q76/$Q$346*100</f>
        <v>62.044657087209089</v>
      </c>
    </row>
    <row r="77" spans="2:28" x14ac:dyDescent="0.35">
      <c r="B77" s="249" t="s">
        <v>242</v>
      </c>
      <c r="C77" s="250"/>
      <c r="D77" s="255"/>
      <c r="E77" s="349"/>
      <c r="F77" s="252"/>
      <c r="G77" s="253"/>
      <c r="H77" s="254"/>
      <c r="I77" s="255"/>
      <c r="J77" s="256"/>
      <c r="K77" s="257"/>
      <c r="L77" s="257"/>
      <c r="M77" s="258"/>
      <c r="N77" s="259"/>
      <c r="O77" s="259"/>
      <c r="P77" s="259"/>
      <c r="Q77" s="259"/>
      <c r="R77" s="259"/>
      <c r="S77" s="259"/>
      <c r="T77" s="259"/>
      <c r="U77" s="259"/>
      <c r="V77" s="259"/>
      <c r="W77" s="259"/>
      <c r="X77" s="151"/>
      <c r="AA77" s="151"/>
      <c r="AB77" s="151"/>
    </row>
    <row r="78" spans="2:28" x14ac:dyDescent="0.35">
      <c r="B78" s="260"/>
      <c r="C78" s="250" t="s">
        <v>243</v>
      </c>
      <c r="D78" s="250"/>
      <c r="E78" s="349"/>
      <c r="F78" s="252"/>
      <c r="G78" s="253"/>
      <c r="H78" s="254"/>
      <c r="I78" s="255"/>
      <c r="J78" s="256"/>
      <c r="K78" s="257"/>
      <c r="L78" s="257"/>
      <c r="M78" s="258"/>
      <c r="N78" s="259"/>
      <c r="O78" s="259"/>
      <c r="P78" s="259"/>
      <c r="Q78" s="259"/>
      <c r="R78" s="259"/>
      <c r="S78" s="259"/>
      <c r="T78" s="259"/>
      <c r="U78" s="259"/>
      <c r="V78" s="259"/>
      <c r="W78" s="259"/>
      <c r="X78" s="151"/>
      <c r="AA78" s="151"/>
      <c r="AB78" s="151"/>
    </row>
    <row r="79" spans="2:28" x14ac:dyDescent="0.35">
      <c r="B79" s="262"/>
      <c r="C79" s="263"/>
      <c r="D79" s="263" t="s">
        <v>244</v>
      </c>
      <c r="E79" s="264"/>
      <c r="F79" s="252" t="s">
        <v>177</v>
      </c>
      <c r="G79" s="253" t="s">
        <v>178</v>
      </c>
      <c r="H79" s="254"/>
      <c r="I79" s="255"/>
      <c r="J79" s="256"/>
      <c r="K79" s="257"/>
      <c r="L79" s="257"/>
      <c r="M79" s="258"/>
      <c r="N79" s="259"/>
      <c r="O79" s="259"/>
      <c r="P79" s="259"/>
      <c r="Q79" s="259"/>
      <c r="R79" s="259"/>
      <c r="S79" s="259"/>
      <c r="T79" s="259"/>
      <c r="U79" s="259"/>
      <c r="V79" s="259"/>
      <c r="W79" s="259"/>
      <c r="X79" s="151"/>
      <c r="AA79" s="151"/>
      <c r="AB79" s="151"/>
    </row>
    <row r="80" spans="2:28" x14ac:dyDescent="0.35">
      <c r="B80" s="350"/>
      <c r="C80" s="351"/>
      <c r="D80" s="351"/>
      <c r="E80" s="352"/>
      <c r="F80" s="252" t="s">
        <v>194</v>
      </c>
      <c r="G80" s="253" t="s">
        <v>195</v>
      </c>
      <c r="H80" s="254"/>
      <c r="I80" s="255"/>
      <c r="J80" s="256"/>
      <c r="K80" s="257"/>
      <c r="L80" s="257"/>
      <c r="M80" s="328">
        <f>30/1000</f>
        <v>0.03</v>
      </c>
      <c r="N80" s="259">
        <v>1</v>
      </c>
      <c r="O80" s="259"/>
      <c r="P80" s="259"/>
      <c r="Q80" s="259"/>
      <c r="R80" s="259"/>
      <c r="S80" s="259"/>
      <c r="T80" s="259"/>
      <c r="U80" s="259"/>
      <c r="V80" s="259"/>
      <c r="W80" s="259"/>
      <c r="X80" s="151"/>
      <c r="AA80" s="151"/>
      <c r="AB80" s="151"/>
    </row>
    <row r="81" spans="2:28" x14ac:dyDescent="0.35">
      <c r="B81" s="353"/>
      <c r="C81" s="354"/>
      <c r="D81" s="354"/>
      <c r="E81" s="355"/>
      <c r="F81" s="252" t="s">
        <v>245</v>
      </c>
      <c r="G81" s="253" t="s">
        <v>195</v>
      </c>
      <c r="H81" s="254"/>
      <c r="I81" s="255"/>
      <c r="J81" s="256"/>
      <c r="K81" s="257"/>
      <c r="L81" s="257"/>
      <c r="M81" s="328">
        <f>12/1000</f>
        <v>1.2E-2</v>
      </c>
      <c r="N81" s="259">
        <v>1</v>
      </c>
      <c r="O81" s="259"/>
      <c r="P81" s="259"/>
      <c r="Q81" s="259"/>
      <c r="R81" s="259"/>
      <c r="S81" s="259"/>
      <c r="T81" s="259"/>
      <c r="U81" s="259"/>
      <c r="V81" s="259"/>
      <c r="W81" s="259"/>
      <c r="X81" s="151"/>
      <c r="AA81" s="151"/>
      <c r="AB81" s="151"/>
    </row>
    <row r="82" spans="2:28" x14ac:dyDescent="0.35">
      <c r="B82" s="262"/>
      <c r="C82" s="263"/>
      <c r="D82" s="263" t="s">
        <v>246</v>
      </c>
      <c r="E82" s="264"/>
      <c r="F82" s="252" t="s">
        <v>177</v>
      </c>
      <c r="G82" s="253" t="s">
        <v>178</v>
      </c>
      <c r="H82" s="254"/>
      <c r="I82" s="255"/>
      <c r="J82" s="256"/>
      <c r="K82" s="257"/>
      <c r="L82" s="257"/>
      <c r="M82" s="258"/>
      <c r="N82" s="259"/>
      <c r="O82" s="259"/>
      <c r="P82" s="259"/>
      <c r="Q82" s="259"/>
      <c r="R82" s="259"/>
      <c r="S82" s="259"/>
      <c r="T82" s="259"/>
      <c r="U82" s="259"/>
      <c r="V82" s="259"/>
      <c r="W82" s="259"/>
      <c r="X82" s="151"/>
      <c r="AA82" s="151"/>
      <c r="AB82" s="151"/>
    </row>
    <row r="83" spans="2:28" x14ac:dyDescent="0.35">
      <c r="B83" s="313"/>
      <c r="C83" s="314"/>
      <c r="D83" s="314"/>
      <c r="E83" s="315"/>
      <c r="F83" s="252" t="s">
        <v>194</v>
      </c>
      <c r="G83" s="253" t="s">
        <v>195</v>
      </c>
      <c r="H83" s="254"/>
      <c r="I83" s="255"/>
      <c r="J83" s="256"/>
      <c r="K83" s="257"/>
      <c r="L83" s="257"/>
      <c r="M83" s="258">
        <v>2.4E-2</v>
      </c>
      <c r="N83" s="259">
        <v>1</v>
      </c>
      <c r="O83" s="259"/>
      <c r="P83" s="259"/>
      <c r="Q83" s="259"/>
      <c r="R83" s="259"/>
      <c r="S83" s="259"/>
      <c r="T83" s="259"/>
      <c r="U83" s="259"/>
      <c r="V83" s="259"/>
      <c r="W83" s="259"/>
      <c r="X83" s="151"/>
      <c r="AA83" s="151"/>
      <c r="AB83" s="151"/>
    </row>
    <row r="84" spans="2:28" x14ac:dyDescent="0.35">
      <c r="B84" s="320"/>
      <c r="C84" s="321"/>
      <c r="D84" s="321"/>
      <c r="E84" s="332"/>
      <c r="F84" s="252" t="s">
        <v>245</v>
      </c>
      <c r="G84" s="253" t="s">
        <v>195</v>
      </c>
      <c r="H84" s="254"/>
      <c r="I84" s="255"/>
      <c r="J84" s="256"/>
      <c r="K84" s="257"/>
      <c r="L84" s="257"/>
      <c r="M84" s="258">
        <v>8.9999999999999993E-3</v>
      </c>
      <c r="N84" s="259">
        <v>1</v>
      </c>
      <c r="O84" s="259"/>
      <c r="P84" s="259"/>
      <c r="Q84" s="259"/>
      <c r="R84" s="259"/>
      <c r="S84" s="259"/>
      <c r="T84" s="259"/>
      <c r="U84" s="259"/>
      <c r="V84" s="259"/>
      <c r="W84" s="259"/>
      <c r="X84" s="151"/>
      <c r="AA84" s="151"/>
      <c r="AB84" s="151"/>
    </row>
    <row r="85" spans="2:28" x14ac:dyDescent="0.35">
      <c r="B85" s="262"/>
      <c r="C85" s="263"/>
      <c r="D85" s="263" t="s">
        <v>247</v>
      </c>
      <c r="E85" s="264"/>
      <c r="F85" s="252" t="s">
        <v>177</v>
      </c>
      <c r="G85" s="253" t="s">
        <v>178</v>
      </c>
      <c r="H85" s="254"/>
      <c r="I85" s="255"/>
      <c r="J85" s="256"/>
      <c r="K85" s="257"/>
      <c r="L85" s="257"/>
      <c r="M85" s="258"/>
      <c r="N85" s="259"/>
      <c r="O85" s="259"/>
      <c r="P85" s="259"/>
      <c r="Q85" s="259"/>
      <c r="R85" s="259"/>
      <c r="S85" s="259"/>
      <c r="T85" s="259"/>
      <c r="U85" s="259"/>
      <c r="V85" s="259"/>
      <c r="W85" s="259"/>
      <c r="X85" s="151"/>
      <c r="AA85" s="151"/>
      <c r="AB85" s="151"/>
    </row>
    <row r="86" spans="2:28" x14ac:dyDescent="0.35">
      <c r="B86" s="356"/>
      <c r="C86" s="357"/>
      <c r="D86" s="357"/>
      <c r="E86" s="358"/>
      <c r="F86" s="359" t="s">
        <v>194</v>
      </c>
      <c r="G86" s="360" t="s">
        <v>195</v>
      </c>
      <c r="H86" s="361"/>
      <c r="I86" s="362"/>
      <c r="J86" s="363"/>
      <c r="K86" s="364"/>
      <c r="L86" s="364"/>
      <c r="M86" s="328">
        <v>0.02</v>
      </c>
      <c r="N86" s="365">
        <v>1</v>
      </c>
      <c r="O86" s="365"/>
      <c r="P86" s="365"/>
      <c r="Q86" s="365"/>
      <c r="R86" s="365"/>
      <c r="S86" s="365"/>
      <c r="T86" s="365"/>
      <c r="U86" s="365"/>
      <c r="V86" s="365"/>
      <c r="W86" s="365"/>
      <c r="X86" s="151"/>
      <c r="AA86" s="151"/>
      <c r="AB86" s="151"/>
    </row>
    <row r="87" spans="2:28" x14ac:dyDescent="0.35">
      <c r="B87" s="366"/>
      <c r="C87" s="367"/>
      <c r="D87" s="367"/>
      <c r="E87" s="368"/>
      <c r="F87" s="359" t="s">
        <v>245</v>
      </c>
      <c r="G87" s="360" t="s">
        <v>195</v>
      </c>
      <c r="H87" s="361"/>
      <c r="I87" s="362"/>
      <c r="J87" s="363"/>
      <c r="K87" s="364"/>
      <c r="L87" s="364"/>
      <c r="M87" s="328">
        <v>7.0000000000000007E-2</v>
      </c>
      <c r="N87" s="365">
        <v>1</v>
      </c>
      <c r="O87" s="365"/>
      <c r="P87" s="365"/>
      <c r="Q87" s="365"/>
      <c r="R87" s="365"/>
      <c r="S87" s="365"/>
      <c r="T87" s="365"/>
      <c r="U87" s="365"/>
      <c r="V87" s="365"/>
      <c r="W87" s="365"/>
      <c r="X87" s="151"/>
      <c r="AA87" s="151"/>
      <c r="AB87" s="151"/>
    </row>
    <row r="88" spans="2:28" x14ac:dyDescent="0.35">
      <c r="B88" s="262"/>
      <c r="C88" s="263"/>
      <c r="D88" s="263" t="s">
        <v>248</v>
      </c>
      <c r="E88" s="264"/>
      <c r="F88" s="252" t="s">
        <v>177</v>
      </c>
      <c r="G88" s="253" t="s">
        <v>178</v>
      </c>
      <c r="H88" s="254"/>
      <c r="I88" s="255"/>
      <c r="J88" s="256"/>
      <c r="K88" s="257"/>
      <c r="L88" s="257"/>
      <c r="M88" s="258"/>
      <c r="N88" s="259"/>
      <c r="O88" s="259"/>
      <c r="P88" s="259"/>
      <c r="Q88" s="259"/>
      <c r="R88" s="259"/>
      <c r="S88" s="259"/>
      <c r="T88" s="259"/>
      <c r="U88" s="259"/>
      <c r="V88" s="259"/>
      <c r="W88" s="259"/>
      <c r="X88" s="151"/>
      <c r="AA88" s="151"/>
      <c r="AB88" s="151"/>
    </row>
    <row r="89" spans="2:28" x14ac:dyDescent="0.35">
      <c r="B89" s="313"/>
      <c r="C89" s="314"/>
      <c r="D89" s="314"/>
      <c r="E89" s="315"/>
      <c r="F89" s="252" t="s">
        <v>194</v>
      </c>
      <c r="G89" s="253" t="s">
        <v>195</v>
      </c>
      <c r="H89" s="254"/>
      <c r="I89" s="255"/>
      <c r="J89" s="256"/>
      <c r="K89" s="257"/>
      <c r="L89" s="257"/>
      <c r="M89" s="258">
        <v>0.02</v>
      </c>
      <c r="N89" s="259">
        <v>1</v>
      </c>
      <c r="O89" s="259"/>
      <c r="P89" s="259"/>
      <c r="Q89" s="259"/>
      <c r="R89" s="259"/>
      <c r="S89" s="259"/>
      <c r="T89" s="259"/>
      <c r="U89" s="259"/>
      <c r="V89" s="259"/>
      <c r="W89" s="259"/>
      <c r="X89" s="151"/>
      <c r="AA89" s="151"/>
      <c r="AB89" s="151"/>
    </row>
    <row r="90" spans="2:28" x14ac:dyDescent="0.35">
      <c r="B90" s="320"/>
      <c r="C90" s="321"/>
      <c r="D90" s="321"/>
      <c r="E90" s="332"/>
      <c r="F90" s="252" t="s">
        <v>245</v>
      </c>
      <c r="G90" s="253" t="s">
        <v>195</v>
      </c>
      <c r="H90" s="254"/>
      <c r="I90" s="255"/>
      <c r="J90" s="256"/>
      <c r="K90" s="257"/>
      <c r="L90" s="257"/>
      <c r="M90" s="258">
        <v>7.0000000000000001E-3</v>
      </c>
      <c r="N90" s="259">
        <v>1</v>
      </c>
      <c r="O90" s="259"/>
      <c r="P90" s="259"/>
      <c r="Q90" s="259"/>
      <c r="R90" s="259"/>
      <c r="S90" s="259"/>
      <c r="T90" s="259"/>
      <c r="U90" s="259"/>
      <c r="V90" s="259"/>
      <c r="W90" s="259"/>
      <c r="X90" s="151"/>
      <c r="AA90" s="151"/>
      <c r="AB90" s="151"/>
    </row>
    <row r="91" spans="2:28" x14ac:dyDescent="0.35">
      <c r="B91" s="369" t="s">
        <v>249</v>
      </c>
      <c r="C91" s="370"/>
      <c r="D91" s="370"/>
      <c r="E91" s="371"/>
      <c r="F91" s="337"/>
      <c r="G91" s="338"/>
      <c r="H91" s="339"/>
      <c r="I91" s="340"/>
      <c r="J91" s="341"/>
      <c r="K91" s="342"/>
      <c r="L91" s="342"/>
      <c r="M91" s="343"/>
      <c r="N91" s="344"/>
      <c r="O91" s="344"/>
      <c r="P91" s="344"/>
      <c r="Q91" s="344">
        <f>SUM(Q79:Q90)</f>
        <v>0</v>
      </c>
      <c r="R91" s="344"/>
      <c r="S91" s="344"/>
      <c r="T91" s="344"/>
      <c r="U91" s="344"/>
      <c r="V91" s="344"/>
      <c r="W91" s="344"/>
      <c r="X91" s="372"/>
      <c r="Y91" s="373"/>
      <c r="Z91" s="373"/>
      <c r="AA91" s="372"/>
      <c r="AB91" s="372"/>
    </row>
    <row r="92" spans="2:28" x14ac:dyDescent="0.35">
      <c r="B92" s="320"/>
      <c r="C92" s="250" t="s">
        <v>250</v>
      </c>
      <c r="D92" s="321"/>
      <c r="E92" s="332"/>
      <c r="F92" s="252"/>
      <c r="G92" s="253"/>
      <c r="H92" s="254"/>
      <c r="I92" s="255"/>
      <c r="J92" s="256"/>
      <c r="K92" s="257"/>
      <c r="L92" s="257"/>
      <c r="M92" s="258"/>
      <c r="N92" s="259"/>
      <c r="O92" s="259"/>
      <c r="P92" s="259"/>
      <c r="Q92" s="259"/>
      <c r="R92" s="259"/>
      <c r="S92" s="259"/>
      <c r="T92" s="259"/>
      <c r="U92" s="259"/>
      <c r="V92" s="259"/>
      <c r="W92" s="259"/>
      <c r="X92" s="151"/>
      <c r="AA92" s="151"/>
      <c r="AB92" s="151"/>
    </row>
    <row r="93" spans="2:28" x14ac:dyDescent="0.35">
      <c r="B93" s="262"/>
      <c r="C93" s="263"/>
      <c r="D93" s="263" t="s">
        <v>251</v>
      </c>
      <c r="E93" s="264"/>
      <c r="F93" s="252" t="s">
        <v>177</v>
      </c>
      <c r="G93" s="253" t="s">
        <v>178</v>
      </c>
      <c r="H93" s="254"/>
      <c r="I93" s="255"/>
      <c r="J93" s="256"/>
      <c r="K93" s="257"/>
      <c r="L93" s="257"/>
      <c r="M93" s="258"/>
      <c r="N93" s="259"/>
      <c r="O93" s="259"/>
      <c r="P93" s="259"/>
      <c r="Q93" s="259"/>
      <c r="R93" s="259"/>
      <c r="S93" s="259"/>
      <c r="T93" s="259"/>
      <c r="U93" s="259"/>
      <c r="V93" s="259"/>
      <c r="W93" s="259"/>
      <c r="X93" s="151"/>
      <c r="AA93" s="151"/>
      <c r="AB93" s="151"/>
    </row>
    <row r="94" spans="2:28" x14ac:dyDescent="0.35">
      <c r="B94" s="313"/>
      <c r="C94" s="314"/>
      <c r="D94" s="314"/>
      <c r="E94" s="315"/>
      <c r="F94" s="252" t="s">
        <v>252</v>
      </c>
      <c r="G94" s="253" t="s">
        <v>253</v>
      </c>
      <c r="H94" s="254"/>
      <c r="I94" s="255"/>
      <c r="J94" s="256"/>
      <c r="K94" s="257"/>
      <c r="L94" s="257"/>
      <c r="M94" s="258"/>
      <c r="N94" s="259"/>
      <c r="O94" s="259"/>
      <c r="P94" s="259"/>
      <c r="Q94" s="259"/>
      <c r="R94" s="259"/>
      <c r="S94" s="259"/>
      <c r="T94" s="259"/>
      <c r="U94" s="259"/>
      <c r="V94" s="259"/>
      <c r="W94" s="259"/>
      <c r="X94" s="151"/>
      <c r="AA94" s="151"/>
      <c r="AB94" s="151"/>
    </row>
    <row r="95" spans="2:28" x14ac:dyDescent="0.35">
      <c r="B95" s="320"/>
      <c r="C95" s="321"/>
      <c r="D95" s="321"/>
      <c r="E95" s="332"/>
      <c r="F95" s="252" t="s">
        <v>254</v>
      </c>
      <c r="G95" s="253" t="s">
        <v>195</v>
      </c>
      <c r="H95" s="254"/>
      <c r="I95" s="255"/>
      <c r="J95" s="256"/>
      <c r="K95" s="257"/>
      <c r="L95" s="257"/>
      <c r="M95" s="258"/>
      <c r="N95" s="259"/>
      <c r="O95" s="259"/>
      <c r="P95" s="259"/>
      <c r="Q95" s="259"/>
      <c r="R95" s="259"/>
      <c r="S95" s="259"/>
      <c r="T95" s="259"/>
      <c r="U95" s="259"/>
      <c r="V95" s="259"/>
      <c r="W95" s="259"/>
      <c r="X95" s="151"/>
      <c r="AA95" s="151"/>
      <c r="AB95" s="151"/>
    </row>
    <row r="96" spans="2:28" x14ac:dyDescent="0.35">
      <c r="B96" s="262"/>
      <c r="C96" s="263"/>
      <c r="D96" s="263" t="s">
        <v>255</v>
      </c>
      <c r="E96" s="264"/>
      <c r="F96" s="252" t="s">
        <v>177</v>
      </c>
      <c r="G96" s="253" t="s">
        <v>178</v>
      </c>
      <c r="H96" s="254"/>
      <c r="I96" s="255"/>
      <c r="J96" s="256"/>
      <c r="K96" s="257"/>
      <c r="L96" s="257"/>
      <c r="M96" s="258"/>
      <c r="N96" s="259"/>
      <c r="O96" s="259"/>
      <c r="P96" s="259"/>
      <c r="Q96" s="259"/>
      <c r="R96" s="259"/>
      <c r="S96" s="259"/>
      <c r="T96" s="259"/>
      <c r="U96" s="259"/>
      <c r="V96" s="259"/>
      <c r="W96" s="259"/>
      <c r="X96" s="151"/>
      <c r="AA96" s="151"/>
      <c r="AB96" s="151"/>
    </row>
    <row r="97" spans="2:28" x14ac:dyDescent="0.35">
      <c r="B97" s="313"/>
      <c r="C97" s="314"/>
      <c r="D97" s="314"/>
      <c r="E97" s="315"/>
      <c r="F97" s="252" t="s">
        <v>256</v>
      </c>
      <c r="G97" s="253" t="s">
        <v>253</v>
      </c>
      <c r="H97" s="254"/>
      <c r="I97" s="255"/>
      <c r="J97" s="256"/>
      <c r="K97" s="257"/>
      <c r="L97" s="257"/>
      <c r="M97" s="258"/>
      <c r="N97" s="259"/>
      <c r="O97" s="259"/>
      <c r="P97" s="259"/>
      <c r="Q97" s="259"/>
      <c r="R97" s="259"/>
      <c r="S97" s="259"/>
      <c r="T97" s="259"/>
      <c r="U97" s="259"/>
      <c r="V97" s="259"/>
      <c r="W97" s="259"/>
      <c r="X97" s="151"/>
      <c r="AA97" s="151"/>
      <c r="AB97" s="151"/>
    </row>
    <row r="98" spans="2:28" x14ac:dyDescent="0.35">
      <c r="B98" s="320"/>
      <c r="C98" s="321"/>
      <c r="D98" s="321"/>
      <c r="E98" s="332"/>
      <c r="F98" s="252" t="s">
        <v>254</v>
      </c>
      <c r="G98" s="253" t="s">
        <v>195</v>
      </c>
      <c r="H98" s="254"/>
      <c r="I98" s="255"/>
      <c r="J98" s="256"/>
      <c r="K98" s="257"/>
      <c r="L98" s="257"/>
      <c r="M98" s="258"/>
      <c r="N98" s="259"/>
      <c r="O98" s="259"/>
      <c r="P98" s="259"/>
      <c r="Q98" s="259"/>
      <c r="R98" s="259"/>
      <c r="S98" s="259"/>
      <c r="T98" s="259"/>
      <c r="U98" s="259"/>
      <c r="V98" s="259"/>
      <c r="W98" s="259"/>
      <c r="X98" s="151"/>
      <c r="AA98" s="151"/>
      <c r="AB98" s="151"/>
    </row>
    <row r="99" spans="2:28" x14ac:dyDescent="0.35">
      <c r="B99" s="262"/>
      <c r="C99" s="263"/>
      <c r="D99" s="263" t="s">
        <v>257</v>
      </c>
      <c r="E99" s="264"/>
      <c r="F99" s="252" t="s">
        <v>177</v>
      </c>
      <c r="G99" s="253" t="s">
        <v>178</v>
      </c>
      <c r="H99" s="254"/>
      <c r="I99" s="255"/>
      <c r="J99" s="256"/>
      <c r="K99" s="257"/>
      <c r="L99" s="257"/>
      <c r="M99" s="258"/>
      <c r="N99" s="259"/>
      <c r="O99" s="259"/>
      <c r="P99" s="259"/>
      <c r="Q99" s="259"/>
      <c r="R99" s="259"/>
      <c r="S99" s="259"/>
      <c r="T99" s="259"/>
      <c r="U99" s="259"/>
      <c r="V99" s="259"/>
      <c r="W99" s="259"/>
      <c r="X99" s="151"/>
      <c r="AA99" s="151"/>
      <c r="AB99" s="151"/>
    </row>
    <row r="100" spans="2:28" x14ac:dyDescent="0.35">
      <c r="B100" s="313"/>
      <c r="C100" s="314"/>
      <c r="D100" s="314"/>
      <c r="E100" s="315"/>
      <c r="F100" s="252" t="s">
        <v>258</v>
      </c>
      <c r="G100" s="253" t="s">
        <v>253</v>
      </c>
      <c r="H100" s="254"/>
      <c r="I100" s="255"/>
      <c r="J100" s="256"/>
      <c r="K100" s="257"/>
      <c r="L100" s="257"/>
      <c r="M100" s="258"/>
      <c r="N100" s="259"/>
      <c r="O100" s="259"/>
      <c r="P100" s="259"/>
      <c r="Q100" s="259"/>
      <c r="R100" s="259"/>
      <c r="S100" s="259"/>
      <c r="T100" s="259"/>
      <c r="U100" s="259"/>
      <c r="V100" s="259"/>
      <c r="W100" s="259"/>
      <c r="X100" s="151"/>
      <c r="AA100" s="151"/>
      <c r="AB100" s="151"/>
    </row>
    <row r="101" spans="2:28" x14ac:dyDescent="0.35">
      <c r="B101" s="320"/>
      <c r="C101" s="321"/>
      <c r="D101" s="321"/>
      <c r="E101" s="332"/>
      <c r="F101" s="252" t="s">
        <v>254</v>
      </c>
      <c r="G101" s="253" t="s">
        <v>195</v>
      </c>
      <c r="H101" s="254"/>
      <c r="I101" s="255"/>
      <c r="J101" s="256"/>
      <c r="K101" s="257"/>
      <c r="L101" s="257"/>
      <c r="M101" s="258"/>
      <c r="N101" s="259"/>
      <c r="O101" s="259"/>
      <c r="P101" s="259"/>
      <c r="Q101" s="259"/>
      <c r="R101" s="259"/>
      <c r="S101" s="259"/>
      <c r="T101" s="259"/>
      <c r="U101" s="259"/>
      <c r="V101" s="259"/>
      <c r="W101" s="259"/>
      <c r="X101" s="151"/>
      <c r="AA101" s="151"/>
      <c r="AB101" s="151"/>
    </row>
    <row r="102" spans="2:28" x14ac:dyDescent="0.35">
      <c r="B102" s="262"/>
      <c r="C102" s="263"/>
      <c r="D102" s="263" t="s">
        <v>259</v>
      </c>
      <c r="E102" s="264"/>
      <c r="F102" s="252" t="s">
        <v>177</v>
      </c>
      <c r="G102" s="253" t="s">
        <v>178</v>
      </c>
      <c r="H102" s="254"/>
      <c r="I102" s="255"/>
      <c r="J102" s="256"/>
      <c r="K102" s="257"/>
      <c r="L102" s="257"/>
      <c r="M102" s="258"/>
      <c r="N102" s="259"/>
      <c r="O102" s="259"/>
      <c r="P102" s="259"/>
      <c r="Q102" s="259"/>
      <c r="R102" s="259"/>
      <c r="S102" s="259"/>
      <c r="T102" s="259"/>
      <c r="U102" s="259"/>
      <c r="V102" s="259"/>
      <c r="W102" s="259"/>
      <c r="X102" s="151"/>
      <c r="AA102" s="151"/>
      <c r="AB102" s="151"/>
    </row>
    <row r="103" spans="2:28" x14ac:dyDescent="0.35">
      <c r="B103" s="313"/>
      <c r="C103" s="314"/>
      <c r="D103" s="314"/>
      <c r="E103" s="315"/>
      <c r="F103" s="252" t="s">
        <v>260</v>
      </c>
      <c r="G103" s="253" t="s">
        <v>253</v>
      </c>
      <c r="H103" s="254"/>
      <c r="I103" s="255"/>
      <c r="J103" s="256"/>
      <c r="K103" s="257"/>
      <c r="L103" s="257"/>
      <c r="M103" s="258">
        <v>1</v>
      </c>
      <c r="N103" s="259"/>
      <c r="O103" s="259"/>
      <c r="P103" s="259"/>
      <c r="Q103" s="259"/>
      <c r="R103" s="259"/>
      <c r="S103" s="259"/>
      <c r="T103" s="259"/>
      <c r="U103" s="259"/>
      <c r="V103" s="259"/>
      <c r="W103" s="259"/>
      <c r="X103" s="151"/>
      <c r="AA103" s="151"/>
      <c r="AB103" s="151"/>
    </row>
    <row r="104" spans="2:28" x14ac:dyDescent="0.35">
      <c r="B104" s="320"/>
      <c r="C104" s="321"/>
      <c r="D104" s="321"/>
      <c r="E104" s="332"/>
      <c r="F104" s="252" t="s">
        <v>205</v>
      </c>
      <c r="G104" s="253" t="s">
        <v>195</v>
      </c>
      <c r="H104" s="254"/>
      <c r="I104" s="255"/>
      <c r="J104" s="256"/>
      <c r="K104" s="257"/>
      <c r="L104" s="257"/>
      <c r="M104" s="258">
        <v>4</v>
      </c>
      <c r="N104" s="259"/>
      <c r="O104" s="259"/>
      <c r="P104" s="259"/>
      <c r="Q104" s="259"/>
      <c r="R104" s="259"/>
      <c r="S104" s="259"/>
      <c r="T104" s="259"/>
      <c r="U104" s="259"/>
      <c r="V104" s="259"/>
      <c r="W104" s="259"/>
      <c r="X104" s="151"/>
      <c r="AA104" s="151"/>
      <c r="AB104" s="151"/>
    </row>
    <row r="105" spans="2:28" ht="29" x14ac:dyDescent="0.35">
      <c r="B105" s="313"/>
      <c r="C105" s="269"/>
      <c r="D105" s="293"/>
      <c r="E105" s="294"/>
      <c r="F105" s="281" t="s">
        <v>177</v>
      </c>
      <c r="G105" s="282" t="s">
        <v>178</v>
      </c>
      <c r="H105" s="283"/>
      <c r="I105" s="284"/>
      <c r="J105" s="285"/>
      <c r="K105" s="374">
        <v>1</v>
      </c>
      <c r="L105" s="304">
        <v>1</v>
      </c>
      <c r="M105" s="375">
        <v>4</v>
      </c>
      <c r="N105" s="376">
        <v>1</v>
      </c>
      <c r="O105" s="289">
        <f>K105*L105*M105*N105</f>
        <v>4</v>
      </c>
      <c r="P105" s="289">
        <v>149108.51999999999</v>
      </c>
      <c r="Q105" s="274">
        <f>O105*P105</f>
        <v>596434.07999999996</v>
      </c>
      <c r="R105" s="289"/>
      <c r="S105" s="289"/>
      <c r="T105" s="289"/>
      <c r="U105" s="289"/>
      <c r="V105" s="289"/>
      <c r="W105" s="289"/>
      <c r="X105" s="377" t="s">
        <v>261</v>
      </c>
      <c r="AA105" s="274">
        <f t="shared" ref="AA105:AA107" si="8">Q105/$E$1</f>
        <v>13148.899470899471</v>
      </c>
      <c r="AB105" s="151"/>
    </row>
    <row r="106" spans="2:28" x14ac:dyDescent="0.35">
      <c r="B106" s="313"/>
      <c r="C106" s="269"/>
      <c r="D106" s="173" t="s">
        <v>104</v>
      </c>
      <c r="E106" s="270"/>
      <c r="F106" s="252" t="s">
        <v>254</v>
      </c>
      <c r="G106" s="253"/>
      <c r="H106" s="254"/>
      <c r="I106" s="255"/>
      <c r="J106" s="256"/>
      <c r="K106" s="265">
        <v>1</v>
      </c>
      <c r="L106" s="378">
        <v>45.36</v>
      </c>
      <c r="M106" s="379">
        <v>0.25</v>
      </c>
      <c r="N106" s="380">
        <v>1</v>
      </c>
      <c r="O106" s="259">
        <f>K106*L106*M106*N106</f>
        <v>11.34</v>
      </c>
      <c r="P106" s="289">
        <v>680210.06624999992</v>
      </c>
      <c r="Q106" s="261">
        <f>O106*P106</f>
        <v>7713582.1512749987</v>
      </c>
      <c r="R106" s="259"/>
      <c r="S106" s="259"/>
      <c r="T106" s="259"/>
      <c r="U106" s="259"/>
      <c r="V106" s="259"/>
      <c r="W106" s="259"/>
      <c r="X106" s="151"/>
      <c r="AA106" s="261">
        <f t="shared" si="8"/>
        <v>170052.51656249998</v>
      </c>
      <c r="AB106" s="151"/>
    </row>
    <row r="107" spans="2:28" x14ac:dyDescent="0.35">
      <c r="B107" s="313"/>
      <c r="C107" s="269"/>
      <c r="D107" s="269"/>
      <c r="E107" s="270"/>
      <c r="F107" s="381" t="s">
        <v>262</v>
      </c>
      <c r="G107" s="253"/>
      <c r="H107" s="254"/>
      <c r="I107" s="255"/>
      <c r="J107" s="256"/>
      <c r="K107" s="265">
        <v>1</v>
      </c>
      <c r="L107" s="257">
        <v>1</v>
      </c>
      <c r="M107" s="258">
        <v>1</v>
      </c>
      <c r="N107" s="259">
        <v>1</v>
      </c>
      <c r="O107" s="259">
        <f>K107*L107*M107*N107</f>
        <v>1</v>
      </c>
      <c r="P107" s="261">
        <v>51809625</v>
      </c>
      <c r="Q107" s="261">
        <f>O107*P107</f>
        <v>51809625</v>
      </c>
      <c r="R107" s="259"/>
      <c r="S107" s="259"/>
      <c r="T107" s="259"/>
      <c r="U107" s="259"/>
      <c r="V107" s="259"/>
      <c r="W107" s="259"/>
      <c r="X107" s="151"/>
      <c r="AA107" s="261">
        <f t="shared" si="8"/>
        <v>1142187.5</v>
      </c>
      <c r="AB107" s="151"/>
    </row>
    <row r="108" spans="2:28" s="173" customFormat="1" x14ac:dyDescent="0.35">
      <c r="B108" s="271"/>
      <c r="C108" s="176"/>
      <c r="D108" s="176" t="s">
        <v>263</v>
      </c>
      <c r="E108" s="272"/>
      <c r="F108" s="295" t="s">
        <v>177</v>
      </c>
      <c r="G108" s="296" t="s">
        <v>178</v>
      </c>
      <c r="H108" s="297"/>
      <c r="I108" s="298"/>
      <c r="J108" s="181"/>
      <c r="K108" s="303"/>
      <c r="L108" s="303"/>
      <c r="M108" s="379">
        <v>1</v>
      </c>
      <c r="N108" s="380">
        <v>1</v>
      </c>
      <c r="O108" s="380"/>
      <c r="P108" s="380"/>
      <c r="Q108" s="380"/>
      <c r="R108" s="380"/>
      <c r="S108" s="380"/>
      <c r="T108" s="380"/>
      <c r="U108" s="380"/>
      <c r="V108" s="380"/>
      <c r="W108" s="380"/>
      <c r="X108" s="381"/>
      <c r="AA108" s="381"/>
      <c r="AB108" s="381"/>
    </row>
    <row r="109" spans="2:28" s="173" customFormat="1" x14ac:dyDescent="0.35">
      <c r="B109" s="268"/>
      <c r="C109" s="269"/>
      <c r="D109" s="269"/>
      <c r="E109" s="270"/>
      <c r="F109" s="295" t="s">
        <v>263</v>
      </c>
      <c r="G109" s="296" t="s">
        <v>253</v>
      </c>
      <c r="H109" s="297"/>
      <c r="I109" s="298"/>
      <c r="J109" s="181"/>
      <c r="K109" s="303"/>
      <c r="L109" s="303"/>
      <c r="M109" s="379">
        <v>7</v>
      </c>
      <c r="N109" s="380">
        <v>1</v>
      </c>
      <c r="O109" s="380"/>
      <c r="P109" s="380"/>
      <c r="Q109" s="380"/>
      <c r="R109" s="380"/>
      <c r="S109" s="380"/>
      <c r="T109" s="380"/>
      <c r="U109" s="380"/>
      <c r="V109" s="380"/>
      <c r="W109" s="380"/>
      <c r="X109" s="381"/>
      <c r="AA109" s="381"/>
      <c r="AB109" s="381"/>
    </row>
    <row r="110" spans="2:28" s="173" customFormat="1" x14ac:dyDescent="0.35">
      <c r="B110" s="275"/>
      <c r="C110" s="276"/>
      <c r="D110" s="276"/>
      <c r="E110" s="277"/>
      <c r="F110" s="295" t="s">
        <v>254</v>
      </c>
      <c r="G110" s="296" t="s">
        <v>195</v>
      </c>
      <c r="H110" s="297"/>
      <c r="I110" s="298"/>
      <c r="J110" s="181"/>
      <c r="K110" s="303"/>
      <c r="L110" s="303"/>
      <c r="M110" s="379">
        <v>3</v>
      </c>
      <c r="N110" s="380">
        <v>1</v>
      </c>
      <c r="O110" s="380"/>
      <c r="P110" s="380"/>
      <c r="Q110" s="380"/>
      <c r="R110" s="380"/>
      <c r="S110" s="380"/>
      <c r="T110" s="380"/>
      <c r="U110" s="380"/>
      <c r="V110" s="380"/>
      <c r="W110" s="380"/>
      <c r="X110" s="381"/>
      <c r="AA110" s="381"/>
      <c r="AB110" s="381"/>
    </row>
    <row r="111" spans="2:28" s="173" customFormat="1" x14ac:dyDescent="0.35">
      <c r="B111" s="271"/>
      <c r="C111" s="176"/>
      <c r="D111" s="176" t="s">
        <v>264</v>
      </c>
      <c r="E111" s="272"/>
      <c r="F111" s="295" t="s">
        <v>177</v>
      </c>
      <c r="G111" s="296" t="s">
        <v>178</v>
      </c>
      <c r="H111" s="297"/>
      <c r="I111" s="298"/>
      <c r="J111" s="181"/>
      <c r="K111" s="303"/>
      <c r="L111" s="303"/>
      <c r="M111" s="379">
        <v>1</v>
      </c>
      <c r="N111" s="380">
        <v>1</v>
      </c>
      <c r="O111" s="380"/>
      <c r="P111" s="380"/>
      <c r="Q111" s="380"/>
      <c r="R111" s="380"/>
      <c r="S111" s="380"/>
      <c r="T111" s="380"/>
      <c r="U111" s="380"/>
      <c r="V111" s="380"/>
      <c r="W111" s="380"/>
      <c r="X111" s="381"/>
      <c r="AA111" s="381"/>
      <c r="AB111" s="381"/>
    </row>
    <row r="112" spans="2:28" s="173" customFormat="1" x14ac:dyDescent="0.35">
      <c r="B112" s="268"/>
      <c r="C112" s="269"/>
      <c r="D112" s="269"/>
      <c r="E112" s="270"/>
      <c r="F112" s="295" t="s">
        <v>264</v>
      </c>
      <c r="G112" s="296" t="s">
        <v>253</v>
      </c>
      <c r="H112" s="297"/>
      <c r="I112" s="298"/>
      <c r="J112" s="181"/>
      <c r="K112" s="303"/>
      <c r="L112" s="303"/>
      <c r="M112" s="379">
        <v>7</v>
      </c>
      <c r="N112" s="380">
        <v>1</v>
      </c>
      <c r="O112" s="380"/>
      <c r="P112" s="380"/>
      <c r="Q112" s="380"/>
      <c r="R112" s="380"/>
      <c r="S112" s="380"/>
      <c r="T112" s="380"/>
      <c r="U112" s="380"/>
      <c r="V112" s="380"/>
      <c r="W112" s="380"/>
      <c r="X112" s="381"/>
      <c r="AA112" s="381"/>
      <c r="AB112" s="381"/>
    </row>
    <row r="113" spans="2:28" s="173" customFormat="1" x14ac:dyDescent="0.35">
      <c r="B113" s="275"/>
      <c r="C113" s="276"/>
      <c r="D113" s="276"/>
      <c r="E113" s="277"/>
      <c r="F113" s="295" t="s">
        <v>254</v>
      </c>
      <c r="G113" s="296" t="s">
        <v>195</v>
      </c>
      <c r="H113" s="297"/>
      <c r="I113" s="298"/>
      <c r="J113" s="181"/>
      <c r="K113" s="303"/>
      <c r="L113" s="303"/>
      <c r="M113" s="379">
        <v>3</v>
      </c>
      <c r="N113" s="380">
        <v>1</v>
      </c>
      <c r="O113" s="380"/>
      <c r="P113" s="380"/>
      <c r="Q113" s="380"/>
      <c r="R113" s="380"/>
      <c r="S113" s="380"/>
      <c r="T113" s="380"/>
      <c r="U113" s="380"/>
      <c r="V113" s="380"/>
      <c r="W113" s="380"/>
      <c r="X113" s="381"/>
      <c r="AA113" s="381"/>
      <c r="AB113" s="381"/>
    </row>
    <row r="114" spans="2:28" s="173" customFormat="1" x14ac:dyDescent="0.35">
      <c r="B114" s="271"/>
      <c r="C114" s="176"/>
      <c r="D114" s="176" t="s">
        <v>265</v>
      </c>
      <c r="E114" s="272"/>
      <c r="F114" s="295" t="s">
        <v>177</v>
      </c>
      <c r="G114" s="296" t="s">
        <v>178</v>
      </c>
      <c r="H114" s="297"/>
      <c r="I114" s="298"/>
      <c r="J114" s="181"/>
      <c r="K114" s="303"/>
      <c r="L114" s="303"/>
      <c r="M114" s="379">
        <v>1</v>
      </c>
      <c r="N114" s="380">
        <v>1</v>
      </c>
      <c r="O114" s="380"/>
      <c r="P114" s="380"/>
      <c r="Q114" s="380"/>
      <c r="R114" s="380"/>
      <c r="S114" s="380"/>
      <c r="T114" s="380"/>
      <c r="U114" s="380"/>
      <c r="V114" s="380"/>
      <c r="W114" s="380"/>
      <c r="X114" s="381"/>
      <c r="AA114" s="381"/>
      <c r="AB114" s="381"/>
    </row>
    <row r="115" spans="2:28" s="173" customFormat="1" x14ac:dyDescent="0.35">
      <c r="B115" s="268"/>
      <c r="C115" s="269"/>
      <c r="D115" s="269"/>
      <c r="E115" s="270"/>
      <c r="F115" s="295" t="s">
        <v>265</v>
      </c>
      <c r="G115" s="296" t="s">
        <v>253</v>
      </c>
      <c r="H115" s="297"/>
      <c r="I115" s="298"/>
      <c r="J115" s="181"/>
      <c r="K115" s="303"/>
      <c r="L115" s="303"/>
      <c r="M115" s="379">
        <v>7</v>
      </c>
      <c r="N115" s="380">
        <v>1</v>
      </c>
      <c r="O115" s="380"/>
      <c r="P115" s="380"/>
      <c r="Q115" s="380"/>
      <c r="R115" s="380"/>
      <c r="S115" s="380"/>
      <c r="T115" s="380"/>
      <c r="U115" s="380"/>
      <c r="V115" s="380"/>
      <c r="W115" s="380"/>
      <c r="X115" s="381"/>
      <c r="AA115" s="381"/>
      <c r="AB115" s="381"/>
    </row>
    <row r="116" spans="2:28" s="173" customFormat="1" x14ac:dyDescent="0.35">
      <c r="B116" s="275"/>
      <c r="C116" s="276"/>
      <c r="D116" s="276"/>
      <c r="E116" s="277"/>
      <c r="F116" s="295" t="s">
        <v>254</v>
      </c>
      <c r="G116" s="296" t="s">
        <v>195</v>
      </c>
      <c r="H116" s="297"/>
      <c r="I116" s="298"/>
      <c r="J116" s="181"/>
      <c r="K116" s="303"/>
      <c r="L116" s="303"/>
      <c r="M116" s="379">
        <v>3</v>
      </c>
      <c r="N116" s="380">
        <v>1</v>
      </c>
      <c r="O116" s="380"/>
      <c r="P116" s="380"/>
      <c r="Q116" s="380"/>
      <c r="R116" s="380"/>
      <c r="S116" s="380"/>
      <c r="T116" s="380"/>
      <c r="U116" s="380"/>
      <c r="V116" s="380"/>
      <c r="W116" s="380"/>
      <c r="X116" s="381"/>
      <c r="AA116" s="381"/>
      <c r="AB116" s="381"/>
    </row>
    <row r="117" spans="2:28" s="173" customFormat="1" x14ac:dyDescent="0.35">
      <c r="B117" s="333"/>
      <c r="C117" s="334"/>
      <c r="D117" s="335" t="s">
        <v>266</v>
      </c>
      <c r="E117" s="336"/>
      <c r="F117" s="337"/>
      <c r="G117" s="338"/>
      <c r="H117" s="339"/>
      <c r="I117" s="340"/>
      <c r="J117" s="341"/>
      <c r="K117" s="342"/>
      <c r="L117" s="342"/>
      <c r="M117" s="343"/>
      <c r="N117" s="344"/>
      <c r="O117" s="344"/>
      <c r="P117" s="344"/>
      <c r="Q117" s="345">
        <f>SUM(Q93:Q116)</f>
        <v>60119641.231275</v>
      </c>
      <c r="R117" s="382"/>
      <c r="S117" s="382"/>
      <c r="T117" s="382"/>
      <c r="U117" s="382"/>
      <c r="V117" s="382"/>
      <c r="W117" s="382"/>
      <c r="X117" s="383"/>
      <c r="Y117" s="347"/>
      <c r="Z117" s="347"/>
      <c r="AA117" s="345">
        <f t="shared" ref="AA117" si="9">Q117/$E$1</f>
        <v>1325388.9160333995</v>
      </c>
      <c r="AB117" s="346">
        <f>Q117/$Q$346*100</f>
        <v>1.5942167501837357</v>
      </c>
    </row>
    <row r="118" spans="2:28" s="173" customFormat="1" x14ac:dyDescent="0.35">
      <c r="B118" s="297"/>
      <c r="C118" s="384" t="s">
        <v>267</v>
      </c>
      <c r="D118" s="298"/>
      <c r="E118" s="273"/>
      <c r="F118" s="295"/>
      <c r="G118" s="296"/>
      <c r="H118" s="297"/>
      <c r="I118" s="298"/>
      <c r="J118" s="181"/>
      <c r="K118" s="303"/>
      <c r="L118" s="303"/>
      <c r="M118" s="379"/>
      <c r="N118" s="380"/>
      <c r="O118" s="380"/>
      <c r="P118" s="380"/>
      <c r="Q118" s="380"/>
      <c r="R118" s="380"/>
      <c r="S118" s="380"/>
      <c r="T118" s="380"/>
      <c r="U118" s="380"/>
      <c r="V118" s="380"/>
      <c r="W118" s="380"/>
      <c r="X118" s="381"/>
      <c r="AA118" s="381"/>
      <c r="AB118" s="381"/>
    </row>
    <row r="119" spans="2:28" x14ac:dyDescent="0.35">
      <c r="B119" s="262"/>
      <c r="C119" s="263"/>
      <c r="D119" s="263" t="s">
        <v>268</v>
      </c>
      <c r="E119" s="264"/>
      <c r="F119" s="252" t="s">
        <v>177</v>
      </c>
      <c r="G119" s="253" t="s">
        <v>178</v>
      </c>
      <c r="H119" s="254"/>
      <c r="I119" s="255"/>
      <c r="J119" s="256"/>
      <c r="K119" s="257"/>
      <c r="L119" s="257"/>
      <c r="M119" s="258"/>
      <c r="N119" s="259">
        <v>1</v>
      </c>
      <c r="O119" s="259"/>
      <c r="P119" s="259"/>
      <c r="Q119" s="259"/>
      <c r="R119" s="259"/>
      <c r="S119" s="259"/>
      <c r="T119" s="259"/>
      <c r="U119" s="259"/>
      <c r="V119" s="259"/>
      <c r="W119" s="259"/>
      <c r="X119" s="151"/>
      <c r="AA119" s="151"/>
      <c r="AB119" s="151"/>
    </row>
    <row r="120" spans="2:28" x14ac:dyDescent="0.35">
      <c r="B120" s="320"/>
      <c r="C120" s="321"/>
      <c r="D120" s="321"/>
      <c r="E120" s="332"/>
      <c r="F120" s="252" t="s">
        <v>205</v>
      </c>
      <c r="G120" s="253" t="s">
        <v>195</v>
      </c>
      <c r="H120" s="254"/>
      <c r="I120" s="255"/>
      <c r="J120" s="256"/>
      <c r="K120" s="257"/>
      <c r="L120" s="257"/>
      <c r="M120" s="258">
        <f>1/10</f>
        <v>0.1</v>
      </c>
      <c r="N120" s="259">
        <v>1</v>
      </c>
      <c r="O120" s="259"/>
      <c r="P120" s="259"/>
      <c r="Q120" s="259"/>
      <c r="R120" s="259"/>
      <c r="S120" s="259"/>
      <c r="T120" s="259"/>
      <c r="U120" s="259"/>
      <c r="V120" s="259"/>
      <c r="W120" s="259"/>
      <c r="X120" s="151"/>
      <c r="AA120" s="151"/>
      <c r="AB120" s="151"/>
    </row>
    <row r="121" spans="2:28" x14ac:dyDescent="0.35">
      <c r="B121" s="262"/>
      <c r="C121" s="263"/>
      <c r="D121" s="263" t="s">
        <v>269</v>
      </c>
      <c r="E121" s="264"/>
      <c r="F121" s="252" t="s">
        <v>177</v>
      </c>
      <c r="G121" s="253" t="s">
        <v>178</v>
      </c>
      <c r="H121" s="254"/>
      <c r="I121" s="255"/>
      <c r="J121" s="256"/>
      <c r="K121" s="257"/>
      <c r="L121" s="257"/>
      <c r="M121" s="258"/>
      <c r="N121" s="259">
        <v>1</v>
      </c>
      <c r="O121" s="259"/>
      <c r="P121" s="259"/>
      <c r="Q121" s="259"/>
      <c r="R121" s="259"/>
      <c r="S121" s="259"/>
      <c r="T121" s="259"/>
      <c r="U121" s="259"/>
      <c r="V121" s="259"/>
      <c r="W121" s="259"/>
      <c r="X121" s="151"/>
      <c r="AA121" s="151"/>
      <c r="AB121" s="151"/>
    </row>
    <row r="122" spans="2:28" x14ac:dyDescent="0.35">
      <c r="B122" s="320"/>
      <c r="C122" s="321"/>
      <c r="D122" s="321" t="s">
        <v>270</v>
      </c>
      <c r="E122" s="332"/>
      <c r="F122" s="252" t="s">
        <v>205</v>
      </c>
      <c r="G122" s="253" t="s">
        <v>195</v>
      </c>
      <c r="H122" s="254"/>
      <c r="I122" s="255"/>
      <c r="J122" s="256"/>
      <c r="K122" s="265">
        <v>1</v>
      </c>
      <c r="L122" s="257"/>
      <c r="M122" s="258">
        <f>1/30</f>
        <v>3.3333333333333333E-2</v>
      </c>
      <c r="N122" s="259">
        <v>1</v>
      </c>
      <c r="O122" s="259">
        <f>K122*L122*M122*N122</f>
        <v>0</v>
      </c>
      <c r="P122" s="261">
        <v>681487.17873333325</v>
      </c>
      <c r="Q122" s="259">
        <f>P122*$O122</f>
        <v>0</v>
      </c>
      <c r="R122" s="259"/>
      <c r="S122" s="259"/>
      <c r="T122" s="259"/>
      <c r="U122" s="259"/>
      <c r="V122" s="259"/>
      <c r="W122" s="259"/>
      <c r="X122" s="151"/>
      <c r="AA122" s="151"/>
      <c r="AB122" s="151"/>
    </row>
    <row r="123" spans="2:28" ht="29" x14ac:dyDescent="0.35">
      <c r="B123" s="262"/>
      <c r="C123" s="176"/>
      <c r="D123" s="279" t="s">
        <v>99</v>
      </c>
      <c r="E123" s="280"/>
      <c r="F123" s="281" t="s">
        <v>177</v>
      </c>
      <c r="G123" s="282" t="s">
        <v>178</v>
      </c>
      <c r="H123" s="283"/>
      <c r="I123" s="284"/>
      <c r="J123" s="285"/>
      <c r="K123" s="286">
        <v>1</v>
      </c>
      <c r="L123" s="304">
        <v>2</v>
      </c>
      <c r="M123" s="385">
        <v>1</v>
      </c>
      <c r="N123" s="289">
        <v>1</v>
      </c>
      <c r="O123" s="386">
        <f>K123*L123*M123*N123</f>
        <v>2</v>
      </c>
      <c r="P123" s="289">
        <v>149108.51999999999</v>
      </c>
      <c r="Q123" s="274">
        <f>P123*$O123</f>
        <v>298217.03999999998</v>
      </c>
      <c r="R123" s="289"/>
      <c r="S123" s="289"/>
      <c r="T123" s="289"/>
      <c r="U123" s="289"/>
      <c r="V123" s="289"/>
      <c r="W123" s="289"/>
      <c r="X123" s="377" t="s">
        <v>271</v>
      </c>
      <c r="AA123" s="274">
        <f t="shared" ref="AA123:AA124" si="10">Q123/$E$1</f>
        <v>6574.4497354497353</v>
      </c>
      <c r="AB123" s="151"/>
    </row>
    <row r="124" spans="2:28" x14ac:dyDescent="0.35">
      <c r="B124" s="320"/>
      <c r="C124" s="321"/>
      <c r="D124" s="276"/>
      <c r="E124" s="277"/>
      <c r="F124" s="295" t="s">
        <v>205</v>
      </c>
      <c r="G124" s="296" t="s">
        <v>195</v>
      </c>
      <c r="H124" s="297"/>
      <c r="I124" s="298"/>
      <c r="J124" s="181" t="s">
        <v>272</v>
      </c>
      <c r="K124" s="278">
        <v>1</v>
      </c>
      <c r="L124" s="303">
        <v>2000</v>
      </c>
      <c r="M124" s="258">
        <f>1/60</f>
        <v>1.6666666666666666E-2</v>
      </c>
      <c r="N124" s="259">
        <v>1</v>
      </c>
      <c r="O124" s="261">
        <f>K124*L124*M124*N124</f>
        <v>33.333333333333336</v>
      </c>
      <c r="P124" s="289">
        <v>720338.0730320001</v>
      </c>
      <c r="Q124" s="261">
        <f>P124*$O124</f>
        <v>24011269.101066671</v>
      </c>
      <c r="R124" s="259">
        <v>720338.0730320001</v>
      </c>
      <c r="S124" s="259">
        <f>R124*$O124</f>
        <v>24011269.101066671</v>
      </c>
      <c r="T124" s="259">
        <v>761671.70213055995</v>
      </c>
      <c r="U124" s="259">
        <f>T124*$O124</f>
        <v>25389056.737685334</v>
      </c>
      <c r="V124" s="259">
        <f>W124/O124</f>
        <v>734115.94939818676</v>
      </c>
      <c r="W124" s="267">
        <f>AVERAGEIF($P$3:$U$3,W$3,$P124:$U124)</f>
        <v>24470531.646606226</v>
      </c>
      <c r="X124" s="151"/>
      <c r="AA124" s="274">
        <f t="shared" si="10"/>
        <v>529348.96607289836</v>
      </c>
      <c r="AB124" s="151"/>
    </row>
    <row r="125" spans="2:28" x14ac:dyDescent="0.35">
      <c r="B125" s="369" t="s">
        <v>273</v>
      </c>
      <c r="C125" s="370"/>
      <c r="D125" s="370"/>
      <c r="E125" s="371"/>
      <c r="F125" s="337"/>
      <c r="G125" s="338"/>
      <c r="H125" s="339"/>
      <c r="I125" s="340"/>
      <c r="J125" s="341"/>
      <c r="K125" s="387"/>
      <c r="L125" s="342"/>
      <c r="M125" s="343"/>
      <c r="N125" s="344"/>
      <c r="O125" s="388"/>
      <c r="P125" s="388"/>
      <c r="Q125" s="345">
        <f>SUM(Q122:Q124)</f>
        <v>24309486.14106667</v>
      </c>
      <c r="R125" s="344"/>
      <c r="S125" s="344"/>
      <c r="T125" s="344"/>
      <c r="U125" s="344"/>
      <c r="V125" s="344"/>
      <c r="W125" s="389"/>
      <c r="X125" s="372"/>
      <c r="AA125" s="348">
        <f>Q125/$E$1</f>
        <v>535923.4158083481</v>
      </c>
      <c r="AB125" s="346">
        <f>Q125/$Q$346*100</f>
        <v>0.64462443888116938</v>
      </c>
    </row>
    <row r="126" spans="2:28" x14ac:dyDescent="0.35">
      <c r="B126" s="297"/>
      <c r="C126" s="384" t="s">
        <v>274</v>
      </c>
      <c r="D126" s="298"/>
      <c r="E126" s="273"/>
      <c r="F126" s="295"/>
      <c r="G126" s="296"/>
      <c r="H126" s="297"/>
      <c r="I126" s="298"/>
      <c r="J126" s="181"/>
      <c r="K126" s="303"/>
      <c r="L126" s="303"/>
      <c r="M126" s="258"/>
      <c r="N126" s="259"/>
      <c r="O126" s="259"/>
      <c r="P126" s="259"/>
      <c r="Q126" s="259"/>
      <c r="R126" s="259"/>
      <c r="S126" s="259"/>
      <c r="T126" s="259"/>
      <c r="U126" s="259"/>
      <c r="V126" s="259"/>
      <c r="W126" s="259"/>
      <c r="X126" s="151"/>
      <c r="AA126" s="151"/>
      <c r="AB126" s="151"/>
    </row>
    <row r="127" spans="2:28" x14ac:dyDescent="0.35">
      <c r="B127" s="271"/>
      <c r="C127" s="176"/>
      <c r="D127" s="176" t="s">
        <v>275</v>
      </c>
      <c r="E127" s="272"/>
      <c r="F127" s="295" t="s">
        <v>177</v>
      </c>
      <c r="G127" s="296" t="s">
        <v>178</v>
      </c>
      <c r="H127" s="297"/>
      <c r="I127" s="298"/>
      <c r="J127" s="181"/>
      <c r="K127" s="303"/>
      <c r="L127" s="303"/>
      <c r="M127" s="258"/>
      <c r="N127" s="259">
        <v>1</v>
      </c>
      <c r="O127" s="259"/>
      <c r="P127" s="259"/>
      <c r="Q127" s="259"/>
      <c r="R127" s="259"/>
      <c r="S127" s="259"/>
      <c r="T127" s="259"/>
      <c r="U127" s="259"/>
      <c r="V127" s="259"/>
      <c r="W127" s="259"/>
      <c r="X127" s="151"/>
      <c r="AA127" s="151"/>
      <c r="AB127" s="151"/>
    </row>
    <row r="128" spans="2:28" x14ac:dyDescent="0.35">
      <c r="B128" s="275"/>
      <c r="C128" s="276"/>
      <c r="D128" s="276"/>
      <c r="E128" s="277"/>
      <c r="F128" s="295" t="s">
        <v>205</v>
      </c>
      <c r="G128" s="296" t="s">
        <v>195</v>
      </c>
      <c r="H128" s="297"/>
      <c r="I128" s="298"/>
      <c r="J128" s="181" t="s">
        <v>272</v>
      </c>
      <c r="K128" s="278">
        <v>1</v>
      </c>
      <c r="L128" s="303"/>
      <c r="M128" s="258">
        <f>1/10</f>
        <v>0.1</v>
      </c>
      <c r="N128" s="259">
        <v>1</v>
      </c>
      <c r="O128" s="380">
        <f>K128*L128*M128*N128</f>
        <v>0</v>
      </c>
      <c r="P128" s="261">
        <v>681487.17873333325</v>
      </c>
      <c r="Q128" s="259">
        <f>P128*$O128</f>
        <v>0</v>
      </c>
      <c r="R128" s="259">
        <v>720338.0730320001</v>
      </c>
      <c r="S128" s="259">
        <f>R128*$O128</f>
        <v>0</v>
      </c>
      <c r="T128" s="259">
        <v>761671.70213055995</v>
      </c>
      <c r="U128" s="259">
        <f>T128*$O128</f>
        <v>0</v>
      </c>
      <c r="V128" s="259" t="e">
        <f>W128/O128</f>
        <v>#DIV/0!</v>
      </c>
      <c r="W128" s="267">
        <f>AVERAGEIF($P$3:$U$3,W$3,$P128:$U128)</f>
        <v>0</v>
      </c>
      <c r="X128" s="390"/>
      <c r="AA128" s="151"/>
      <c r="AB128" s="151"/>
    </row>
    <row r="129" spans="2:28" x14ac:dyDescent="0.35">
      <c r="B129" s="271"/>
      <c r="C129" s="176"/>
      <c r="D129" s="176" t="s">
        <v>276</v>
      </c>
      <c r="E129" s="272"/>
      <c r="F129" s="295" t="s">
        <v>177</v>
      </c>
      <c r="G129" s="296" t="s">
        <v>178</v>
      </c>
      <c r="H129" s="297"/>
      <c r="I129" s="298"/>
      <c r="J129" s="181"/>
      <c r="K129" s="278">
        <v>0</v>
      </c>
      <c r="L129" s="303">
        <v>8</v>
      </c>
      <c r="M129" s="258">
        <v>1</v>
      </c>
      <c r="N129" s="259">
        <v>1</v>
      </c>
      <c r="O129" s="380">
        <f>K129*L129*M129*N129</f>
        <v>0</v>
      </c>
      <c r="P129" s="261">
        <v>140008</v>
      </c>
      <c r="Q129" s="259">
        <f>P129*$O129</f>
        <v>0</v>
      </c>
      <c r="R129" s="259"/>
      <c r="S129" s="259"/>
      <c r="T129" s="259"/>
      <c r="U129" s="259"/>
      <c r="V129" s="259"/>
      <c r="W129" s="259"/>
      <c r="X129" s="151"/>
      <c r="AA129" s="306">
        <f>Q129/46.1</f>
        <v>0</v>
      </c>
      <c r="AB129" s="151"/>
    </row>
    <row r="130" spans="2:28" x14ac:dyDescent="0.35">
      <c r="B130" s="275"/>
      <c r="C130" s="276"/>
      <c r="D130" s="276"/>
      <c r="E130" s="277"/>
      <c r="F130" s="295" t="s">
        <v>205</v>
      </c>
      <c r="G130" s="296" t="s">
        <v>195</v>
      </c>
      <c r="H130" s="297"/>
      <c r="I130" s="298"/>
      <c r="J130" s="181" t="s">
        <v>272</v>
      </c>
      <c r="K130" s="278">
        <v>0</v>
      </c>
      <c r="L130" s="391">
        <v>2675</v>
      </c>
      <c r="M130" s="379">
        <f>1/33</f>
        <v>3.0303030303030304E-2</v>
      </c>
      <c r="N130" s="259">
        <v>1</v>
      </c>
      <c r="O130" s="380">
        <f>K130*L130*M130*N130</f>
        <v>0</v>
      </c>
      <c r="P130" s="261">
        <v>681487.17873333325</v>
      </c>
      <c r="Q130" s="259">
        <f>P130*$O130</f>
        <v>0</v>
      </c>
      <c r="R130" s="259">
        <v>720338.0730320001</v>
      </c>
      <c r="S130" s="259">
        <f>R130*$O130</f>
        <v>0</v>
      </c>
      <c r="T130" s="259">
        <v>761671.70213055995</v>
      </c>
      <c r="U130" s="259">
        <f>T130*$O130</f>
        <v>0</v>
      </c>
      <c r="V130" s="259" t="e">
        <f>W130/O130</f>
        <v>#DIV/0!</v>
      </c>
      <c r="W130" s="267">
        <f>AVERAGEIF($P$3:$U$3,W$3,$P130:$U130)</f>
        <v>0</v>
      </c>
      <c r="X130" s="259"/>
      <c r="AA130" s="306">
        <f>Q130/46.1</f>
        <v>0</v>
      </c>
      <c r="AB130" s="151"/>
    </row>
    <row r="131" spans="2:28" ht="29" x14ac:dyDescent="0.35">
      <c r="B131" s="271"/>
      <c r="C131" s="176"/>
      <c r="D131" s="176" t="s">
        <v>277</v>
      </c>
      <c r="E131" s="280"/>
      <c r="F131" s="281" t="s">
        <v>177</v>
      </c>
      <c r="G131" s="282" t="s">
        <v>178</v>
      </c>
      <c r="H131" s="283"/>
      <c r="I131" s="284"/>
      <c r="J131" s="285"/>
      <c r="K131" s="286">
        <v>1</v>
      </c>
      <c r="L131" s="304">
        <v>2</v>
      </c>
      <c r="M131" s="288">
        <v>1</v>
      </c>
      <c r="N131" s="289">
        <v>1</v>
      </c>
      <c r="O131" s="376">
        <f>K131*L131*M131*N131</f>
        <v>2</v>
      </c>
      <c r="P131" s="289">
        <v>149108.51999999999</v>
      </c>
      <c r="Q131" s="274">
        <f>P131*$O131</f>
        <v>298217.03999999998</v>
      </c>
      <c r="R131" s="289"/>
      <c r="S131" s="289"/>
      <c r="T131" s="289"/>
      <c r="U131" s="289"/>
      <c r="V131" s="289"/>
      <c r="W131" s="289"/>
      <c r="X131" s="377" t="s">
        <v>278</v>
      </c>
      <c r="AA131" s="274">
        <f t="shared" ref="AA131:AA132" si="11">Q131/$E$1</f>
        <v>6574.4497354497353</v>
      </c>
      <c r="AB131" s="151"/>
    </row>
    <row r="132" spans="2:28" x14ac:dyDescent="0.35">
      <c r="B132" s="275"/>
      <c r="C132" s="276"/>
      <c r="D132" s="276"/>
      <c r="E132" s="277"/>
      <c r="F132" s="295" t="s">
        <v>205</v>
      </c>
      <c r="G132" s="296" t="s">
        <v>195</v>
      </c>
      <c r="H132" s="297"/>
      <c r="I132" s="298"/>
      <c r="J132" s="181" t="s">
        <v>272</v>
      </c>
      <c r="K132" s="278">
        <v>1</v>
      </c>
      <c r="L132" s="391">
        <v>1500</v>
      </c>
      <c r="M132" s="392">
        <f>1/60</f>
        <v>1.6666666666666666E-2</v>
      </c>
      <c r="N132" s="259">
        <v>1</v>
      </c>
      <c r="O132" s="393">
        <f>K132*L132*M132*N132</f>
        <v>25</v>
      </c>
      <c r="P132" s="289">
        <v>720338.0730320001</v>
      </c>
      <c r="Q132" s="261">
        <f>P132*$O132</f>
        <v>18008451.825800002</v>
      </c>
      <c r="R132" s="259">
        <v>720338.0730320001</v>
      </c>
      <c r="S132" s="259">
        <f>R132*$O132</f>
        <v>18008451.825800002</v>
      </c>
      <c r="T132" s="259">
        <v>761671.70213055995</v>
      </c>
      <c r="U132" s="259">
        <f>T132*$O132</f>
        <v>19041792.553264</v>
      </c>
      <c r="V132" s="259">
        <f>W132/O132</f>
        <v>734115.94939818664</v>
      </c>
      <c r="W132" s="267">
        <f>AVERAGEIF($P$3:$U$3,W$3,$P132:$U132)</f>
        <v>18352898.734954666</v>
      </c>
      <c r="X132" s="151" t="s">
        <v>279</v>
      </c>
      <c r="AA132" s="274">
        <f t="shared" si="11"/>
        <v>397011.72455467377</v>
      </c>
      <c r="AB132" s="151"/>
    </row>
    <row r="133" spans="2:28" x14ac:dyDescent="0.35">
      <c r="B133" s="369" t="s">
        <v>280</v>
      </c>
      <c r="C133" s="370"/>
      <c r="D133" s="370"/>
      <c r="E133" s="371"/>
      <c r="F133" s="337"/>
      <c r="G133" s="338"/>
      <c r="H133" s="339"/>
      <c r="I133" s="340"/>
      <c r="J133" s="341"/>
      <c r="K133" s="387"/>
      <c r="L133" s="394"/>
      <c r="M133" s="395"/>
      <c r="N133" s="344"/>
      <c r="O133" s="344"/>
      <c r="P133" s="388"/>
      <c r="Q133" s="345">
        <f>SUM(Q127:Q132)</f>
        <v>18306668.865800001</v>
      </c>
      <c r="R133" s="344"/>
      <c r="S133" s="344"/>
      <c r="T133" s="344"/>
      <c r="U133" s="344"/>
      <c r="V133" s="344"/>
      <c r="W133" s="389"/>
      <c r="X133" s="372"/>
      <c r="AA133" s="348">
        <f>Q133/E1</f>
        <v>403586.17429012345</v>
      </c>
      <c r="AB133" s="346">
        <f>Q133/$Q$346*100</f>
        <v>0.48544531451300721</v>
      </c>
    </row>
    <row r="134" spans="2:28" x14ac:dyDescent="0.35">
      <c r="B134" s="268"/>
      <c r="C134" s="396" t="s">
        <v>281</v>
      </c>
      <c r="D134" s="269"/>
      <c r="E134" s="270"/>
      <c r="F134" s="295" t="s">
        <v>177</v>
      </c>
      <c r="G134" s="296" t="s">
        <v>178</v>
      </c>
      <c r="H134" s="297"/>
      <c r="I134" s="298"/>
      <c r="J134" s="181" t="s">
        <v>253</v>
      </c>
      <c r="K134" s="303"/>
      <c r="L134" s="303"/>
      <c r="M134" s="258">
        <v>3</v>
      </c>
      <c r="N134" s="259">
        <v>1</v>
      </c>
      <c r="O134" s="259"/>
      <c r="P134" s="259"/>
      <c r="Q134" s="259"/>
      <c r="R134" s="259"/>
      <c r="S134" s="259"/>
      <c r="T134" s="259"/>
      <c r="U134" s="259"/>
      <c r="V134" s="259"/>
      <c r="W134" s="259"/>
      <c r="X134" s="151"/>
      <c r="AA134" s="151"/>
      <c r="AB134" s="151"/>
    </row>
    <row r="135" spans="2:28" x14ac:dyDescent="0.35">
      <c r="B135" s="268"/>
      <c r="C135" s="269"/>
      <c r="D135" s="269"/>
      <c r="E135" s="270"/>
      <c r="F135" s="295" t="s">
        <v>282</v>
      </c>
      <c r="G135" s="296" t="s">
        <v>253</v>
      </c>
      <c r="H135" s="297"/>
      <c r="I135" s="298"/>
      <c r="J135" s="181"/>
      <c r="K135" s="303"/>
      <c r="L135" s="303"/>
      <c r="M135" s="258"/>
      <c r="N135" s="259">
        <v>1</v>
      </c>
      <c r="O135" s="259"/>
      <c r="P135" s="259"/>
      <c r="Q135" s="259"/>
      <c r="R135" s="259"/>
      <c r="S135" s="259"/>
      <c r="T135" s="259"/>
      <c r="U135" s="259"/>
      <c r="V135" s="259"/>
      <c r="W135" s="259"/>
      <c r="X135" s="151"/>
      <c r="AA135" s="151"/>
      <c r="AB135" s="151"/>
    </row>
    <row r="136" spans="2:28" x14ac:dyDescent="0.35">
      <c r="B136" s="275"/>
      <c r="C136" s="276"/>
      <c r="D136" s="276"/>
      <c r="E136" s="277"/>
      <c r="F136" s="295" t="s">
        <v>205</v>
      </c>
      <c r="G136" s="296" t="s">
        <v>195</v>
      </c>
      <c r="H136" s="297"/>
      <c r="I136" s="298"/>
      <c r="J136" s="181"/>
      <c r="K136" s="303"/>
      <c r="L136" s="303"/>
      <c r="M136" s="258">
        <v>3</v>
      </c>
      <c r="N136" s="259">
        <v>1</v>
      </c>
      <c r="O136" s="259"/>
      <c r="P136" s="259"/>
      <c r="Q136" s="259"/>
      <c r="R136" s="259"/>
      <c r="S136" s="259"/>
      <c r="T136" s="259"/>
      <c r="U136" s="259"/>
      <c r="V136" s="259"/>
      <c r="W136" s="259"/>
      <c r="X136" s="151"/>
      <c r="AA136" s="151"/>
      <c r="AB136" s="151"/>
    </row>
    <row r="137" spans="2:28" x14ac:dyDescent="0.35">
      <c r="B137" s="369" t="s">
        <v>283</v>
      </c>
      <c r="C137" s="370"/>
      <c r="D137" s="370"/>
      <c r="E137" s="371"/>
      <c r="F137" s="337"/>
      <c r="G137" s="338"/>
      <c r="H137" s="339"/>
      <c r="I137" s="340"/>
      <c r="J137" s="341"/>
      <c r="K137" s="342"/>
      <c r="L137" s="342"/>
      <c r="M137" s="343"/>
      <c r="N137" s="344"/>
      <c r="O137" s="344"/>
      <c r="P137" s="344"/>
      <c r="Q137" s="344">
        <f>SUM(Q134:Q136)</f>
        <v>0</v>
      </c>
      <c r="R137" s="344"/>
      <c r="S137" s="344"/>
      <c r="T137" s="344"/>
      <c r="U137" s="344"/>
      <c r="V137" s="344"/>
      <c r="W137" s="344"/>
      <c r="X137" s="372"/>
      <c r="AA137" s="372"/>
      <c r="AB137" s="372"/>
    </row>
    <row r="138" spans="2:28" x14ac:dyDescent="0.35">
      <c r="B138" s="297"/>
      <c r="C138" s="384" t="s">
        <v>284</v>
      </c>
      <c r="D138" s="298"/>
      <c r="E138" s="273"/>
      <c r="F138" s="295"/>
      <c r="G138" s="296"/>
      <c r="H138" s="297"/>
      <c r="I138" s="298"/>
      <c r="J138" s="181"/>
      <c r="K138" s="303"/>
      <c r="L138" s="303"/>
      <c r="M138" s="258"/>
      <c r="N138" s="259"/>
      <c r="O138" s="259"/>
      <c r="P138" s="259"/>
      <c r="Q138" s="259"/>
      <c r="R138" s="259"/>
      <c r="S138" s="259"/>
      <c r="T138" s="259"/>
      <c r="U138" s="259"/>
      <c r="V138" s="259"/>
      <c r="W138" s="259"/>
      <c r="X138" s="151"/>
      <c r="AA138" s="151"/>
      <c r="AB138" s="151"/>
    </row>
    <row r="139" spans="2:28" x14ac:dyDescent="0.35">
      <c r="B139" s="271"/>
      <c r="C139" s="176"/>
      <c r="D139" s="176" t="s">
        <v>113</v>
      </c>
      <c r="E139" s="272"/>
      <c r="F139" s="295" t="s">
        <v>177</v>
      </c>
      <c r="G139" s="296" t="s">
        <v>178</v>
      </c>
      <c r="H139" s="297"/>
      <c r="I139" s="298"/>
      <c r="J139" s="181"/>
      <c r="K139" s="397">
        <v>0.1</v>
      </c>
      <c r="L139" s="398">
        <f>45.36*136</f>
        <v>6168.96</v>
      </c>
      <c r="M139" s="258">
        <f>1/3</f>
        <v>0.33333333333333331</v>
      </c>
      <c r="N139" s="259">
        <v>1</v>
      </c>
      <c r="O139" s="261">
        <f>K139*L139*M139*N139</f>
        <v>205.63200000000001</v>
      </c>
      <c r="P139" s="289">
        <v>149108.51999999999</v>
      </c>
      <c r="Q139" s="261">
        <f>O139*P139</f>
        <v>30661483.184639998</v>
      </c>
      <c r="R139" s="259"/>
      <c r="S139" s="259"/>
      <c r="T139" s="259"/>
      <c r="U139" s="259"/>
      <c r="V139" s="259"/>
      <c r="W139" s="259"/>
      <c r="X139" s="151"/>
      <c r="AA139" s="274">
        <f t="shared" ref="AA139:AA140" si="12">Q139/$E$1</f>
        <v>675958.62399999995</v>
      </c>
      <c r="AB139" s="151"/>
    </row>
    <row r="140" spans="2:28" x14ac:dyDescent="0.35">
      <c r="B140" s="275"/>
      <c r="C140" s="276"/>
      <c r="D140" s="276"/>
      <c r="E140" s="277"/>
      <c r="F140" s="295" t="s">
        <v>285</v>
      </c>
      <c r="G140" s="296" t="s">
        <v>183</v>
      </c>
      <c r="H140" s="297"/>
      <c r="I140" s="298"/>
      <c r="J140" s="181"/>
      <c r="K140" s="397">
        <v>1</v>
      </c>
      <c r="L140" s="398">
        <f>L139/300</f>
        <v>20.563199999999998</v>
      </c>
      <c r="M140" s="258">
        <f>1/3</f>
        <v>0.33333333333333331</v>
      </c>
      <c r="N140" s="259">
        <v>1</v>
      </c>
      <c r="O140" s="261">
        <f>K140*L140*M140*N140</f>
        <v>6.8543999999999992</v>
      </c>
      <c r="P140" s="289">
        <v>79588.6875</v>
      </c>
      <c r="Q140" s="261">
        <f>O140*P140</f>
        <v>545532.69959999993</v>
      </c>
      <c r="R140" s="259"/>
      <c r="S140" s="259"/>
      <c r="T140" s="259"/>
      <c r="U140" s="259"/>
      <c r="V140" s="259"/>
      <c r="W140" s="259"/>
      <c r="X140" s="151"/>
      <c r="AA140" s="274">
        <f t="shared" si="12"/>
        <v>12026.734999999999</v>
      </c>
      <c r="AB140" s="151"/>
    </row>
    <row r="141" spans="2:28" x14ac:dyDescent="0.35">
      <c r="B141" s="271"/>
      <c r="C141" s="176"/>
      <c r="D141" s="176" t="s">
        <v>286</v>
      </c>
      <c r="E141" s="272"/>
      <c r="F141" s="295" t="s">
        <v>177</v>
      </c>
      <c r="G141" s="296" t="s">
        <v>178</v>
      </c>
      <c r="H141" s="297"/>
      <c r="I141" s="298"/>
      <c r="J141" s="181"/>
      <c r="K141" s="303"/>
      <c r="L141" s="303"/>
      <c r="M141" s="258"/>
      <c r="N141" s="259"/>
      <c r="O141" s="259"/>
      <c r="P141" s="259"/>
      <c r="Q141" s="261"/>
      <c r="R141" s="259"/>
      <c r="S141" s="259"/>
      <c r="T141" s="259"/>
      <c r="U141" s="259"/>
      <c r="V141" s="259"/>
      <c r="W141" s="259"/>
      <c r="X141" s="151"/>
      <c r="AA141" s="151"/>
      <c r="AB141" s="151"/>
    </row>
    <row r="142" spans="2:28" x14ac:dyDescent="0.35">
      <c r="B142" s="275"/>
      <c r="C142" s="276"/>
      <c r="D142" s="276"/>
      <c r="E142" s="277"/>
      <c r="F142" s="295" t="s">
        <v>285</v>
      </c>
      <c r="G142" s="296" t="s">
        <v>183</v>
      </c>
      <c r="H142" s="297"/>
      <c r="I142" s="298"/>
      <c r="J142" s="181"/>
      <c r="K142" s="303"/>
      <c r="L142" s="303"/>
      <c r="M142" s="258"/>
      <c r="N142" s="259"/>
      <c r="O142" s="259"/>
      <c r="P142" s="259"/>
      <c r="Q142" s="261"/>
      <c r="R142" s="259"/>
      <c r="S142" s="259"/>
      <c r="T142" s="259"/>
      <c r="U142" s="259"/>
      <c r="V142" s="259"/>
      <c r="W142" s="259"/>
      <c r="X142" s="151"/>
      <c r="AA142" s="151"/>
      <c r="AB142" s="151"/>
    </row>
    <row r="143" spans="2:28" x14ac:dyDescent="0.35">
      <c r="B143" s="271"/>
      <c r="C143" s="176"/>
      <c r="D143" s="176" t="s">
        <v>287</v>
      </c>
      <c r="E143" s="272"/>
      <c r="F143" s="295" t="s">
        <v>177</v>
      </c>
      <c r="G143" s="296" t="s">
        <v>178</v>
      </c>
      <c r="H143" s="297"/>
      <c r="I143" s="298"/>
      <c r="J143" s="181" t="s">
        <v>179</v>
      </c>
      <c r="K143" s="397">
        <v>1</v>
      </c>
      <c r="L143" s="312"/>
      <c r="M143" s="266">
        <v>0.2</v>
      </c>
      <c r="N143" s="259">
        <v>1</v>
      </c>
      <c r="O143" s="261">
        <f>K143*L143*M143*N143</f>
        <v>0</v>
      </c>
      <c r="P143" s="261">
        <v>140008</v>
      </c>
      <c r="Q143" s="261">
        <f>O143*P143</f>
        <v>0</v>
      </c>
      <c r="R143" s="259"/>
      <c r="S143" s="259"/>
      <c r="T143" s="259"/>
      <c r="U143" s="259"/>
      <c r="V143" s="259"/>
      <c r="W143" s="259"/>
      <c r="X143" s="151" t="s">
        <v>288</v>
      </c>
      <c r="AA143" s="151"/>
      <c r="AB143" s="151"/>
    </row>
    <row r="144" spans="2:28" x14ac:dyDescent="0.35">
      <c r="B144" s="268"/>
      <c r="C144" s="269"/>
      <c r="D144" s="269"/>
      <c r="E144" s="270"/>
      <c r="F144" s="295" t="s">
        <v>205</v>
      </c>
      <c r="G144" s="296" t="s">
        <v>195</v>
      </c>
      <c r="H144" s="297"/>
      <c r="I144" s="298"/>
      <c r="J144" s="181" t="s">
        <v>179</v>
      </c>
      <c r="K144" s="397">
        <v>1</v>
      </c>
      <c r="L144" s="312"/>
      <c r="M144" s="300">
        <v>20</v>
      </c>
      <c r="N144" s="259">
        <v>1</v>
      </c>
      <c r="O144" s="261">
        <f>K144*L144*M144*N144</f>
        <v>0</v>
      </c>
      <c r="P144" s="261">
        <v>681487.17873333325</v>
      </c>
      <c r="Q144" s="261">
        <f>O144*P144</f>
        <v>0</v>
      </c>
      <c r="R144" s="259"/>
      <c r="S144" s="259"/>
      <c r="T144" s="259"/>
      <c r="U144" s="259"/>
      <c r="V144" s="259"/>
      <c r="W144" s="259"/>
      <c r="X144" s="151"/>
      <c r="AA144" s="151"/>
      <c r="AB144" s="151"/>
    </row>
    <row r="145" spans="2:28" x14ac:dyDescent="0.35">
      <c r="B145" s="275"/>
      <c r="C145" s="276"/>
      <c r="D145" s="276" t="s">
        <v>289</v>
      </c>
      <c r="E145" s="277"/>
      <c r="F145" s="295" t="s">
        <v>205</v>
      </c>
      <c r="G145" s="296" t="s">
        <v>195</v>
      </c>
      <c r="H145" s="297"/>
      <c r="I145" s="298"/>
      <c r="J145" s="181" t="s">
        <v>290</v>
      </c>
      <c r="K145" s="397">
        <v>1</v>
      </c>
      <c r="L145" s="399"/>
      <c r="M145" s="400">
        <f>1/26</f>
        <v>3.8461538461538464E-2</v>
      </c>
      <c r="N145" s="259">
        <v>1</v>
      </c>
      <c r="O145" s="261">
        <f>K145*L145*M145*N145</f>
        <v>0</v>
      </c>
      <c r="P145" s="261">
        <v>659360</v>
      </c>
      <c r="Q145" s="261">
        <f>O145*P145</f>
        <v>0</v>
      </c>
      <c r="R145" s="259"/>
      <c r="S145" s="259"/>
      <c r="T145" s="259"/>
      <c r="U145" s="259"/>
      <c r="V145" s="259"/>
      <c r="W145" s="259"/>
      <c r="X145" s="259"/>
      <c r="AA145" s="151"/>
      <c r="AB145" s="151"/>
    </row>
    <row r="146" spans="2:28" x14ac:dyDescent="0.35">
      <c r="B146" s="271"/>
      <c r="C146" s="176"/>
      <c r="D146" s="176" t="s">
        <v>115</v>
      </c>
      <c r="E146" s="272"/>
      <c r="F146" s="295" t="s">
        <v>177</v>
      </c>
      <c r="G146" s="296" t="s">
        <v>178</v>
      </c>
      <c r="H146" s="297"/>
      <c r="I146" s="298"/>
      <c r="J146" s="181"/>
      <c r="K146" s="397">
        <v>0.1</v>
      </c>
      <c r="L146" s="398">
        <f>45.36*136</f>
        <v>6168.96</v>
      </c>
      <c r="M146" s="258">
        <f>1/3</f>
        <v>0.33333333333333331</v>
      </c>
      <c r="N146" s="259">
        <v>1</v>
      </c>
      <c r="O146" s="261">
        <f>K146*L146*M146*N146</f>
        <v>205.63200000000001</v>
      </c>
      <c r="P146" s="289">
        <v>149108.51999999999</v>
      </c>
      <c r="Q146" s="261">
        <f>O146*P146</f>
        <v>30661483.184639998</v>
      </c>
      <c r="R146" s="259"/>
      <c r="S146" s="259"/>
      <c r="T146" s="259"/>
      <c r="U146" s="259"/>
      <c r="V146" s="259"/>
      <c r="W146" s="259"/>
      <c r="X146" s="151"/>
      <c r="AA146" s="274">
        <f t="shared" ref="AA146:AA148" si="13">Q146/$E$1</f>
        <v>675958.62399999995</v>
      </c>
      <c r="AB146" s="151"/>
    </row>
    <row r="147" spans="2:28" x14ac:dyDescent="0.35">
      <c r="B147" s="275"/>
      <c r="C147" s="276"/>
      <c r="D147" s="276"/>
      <c r="E147" s="277"/>
      <c r="F147" s="295" t="s">
        <v>285</v>
      </c>
      <c r="G147" s="296" t="s">
        <v>183</v>
      </c>
      <c r="H147" s="297"/>
      <c r="I147" s="298"/>
      <c r="J147" s="181"/>
      <c r="K147" s="397">
        <v>1</v>
      </c>
      <c r="L147" s="398">
        <f>L146/300</f>
        <v>20.563199999999998</v>
      </c>
      <c r="M147" s="258">
        <f>1/3</f>
        <v>0.33333333333333331</v>
      </c>
      <c r="N147" s="259">
        <v>1</v>
      </c>
      <c r="O147" s="261">
        <f>K147*L147*M147*N147</f>
        <v>6.8543999999999992</v>
      </c>
      <c r="P147" s="289">
        <v>79588.6875</v>
      </c>
      <c r="Q147" s="261">
        <f>O147*P147</f>
        <v>545532.69959999993</v>
      </c>
      <c r="R147" s="259"/>
      <c r="S147" s="259"/>
      <c r="T147" s="259"/>
      <c r="U147" s="259"/>
      <c r="V147" s="259"/>
      <c r="W147" s="259"/>
      <c r="X147" s="151"/>
      <c r="AA147" s="274">
        <f t="shared" si="13"/>
        <v>12026.734999999999</v>
      </c>
      <c r="AB147" s="151"/>
    </row>
    <row r="148" spans="2:28" x14ac:dyDescent="0.35">
      <c r="B148" s="369" t="s">
        <v>291</v>
      </c>
      <c r="C148" s="370"/>
      <c r="D148" s="370"/>
      <c r="E148" s="371"/>
      <c r="F148" s="337"/>
      <c r="G148" s="338"/>
      <c r="H148" s="339"/>
      <c r="I148" s="340"/>
      <c r="J148" s="341"/>
      <c r="K148" s="342"/>
      <c r="L148" s="342"/>
      <c r="M148" s="343"/>
      <c r="N148" s="344"/>
      <c r="O148" s="344"/>
      <c r="P148" s="344"/>
      <c r="Q148" s="345">
        <f>SUM(Q139:Q147)</f>
        <v>62414031.768479988</v>
      </c>
      <c r="R148" s="344"/>
      <c r="S148" s="344"/>
      <c r="T148" s="344"/>
      <c r="U148" s="344"/>
      <c r="V148" s="344"/>
      <c r="W148" s="344"/>
      <c r="X148" s="372"/>
      <c r="Y148" s="373"/>
      <c r="Z148" s="373"/>
      <c r="AA148" s="401">
        <f t="shared" si="13"/>
        <v>1375970.7179999996</v>
      </c>
      <c r="AB148" s="346">
        <f>Q148/$Q$346*100</f>
        <v>1.6550580285241066</v>
      </c>
    </row>
    <row r="149" spans="2:28" x14ac:dyDescent="0.35">
      <c r="B149" s="297"/>
      <c r="C149" s="384" t="s">
        <v>292</v>
      </c>
      <c r="D149" s="298"/>
      <c r="E149" s="273"/>
      <c r="F149" s="295"/>
      <c r="G149" s="296"/>
      <c r="H149" s="297"/>
      <c r="I149" s="298"/>
      <c r="J149" s="181"/>
      <c r="K149" s="303"/>
      <c r="L149" s="303"/>
      <c r="M149" s="258"/>
      <c r="N149" s="259"/>
      <c r="O149" s="259"/>
      <c r="P149" s="259"/>
      <c r="Q149" s="259"/>
      <c r="R149" s="259"/>
      <c r="S149" s="259"/>
      <c r="T149" s="259"/>
      <c r="U149" s="259"/>
      <c r="V149" s="259"/>
      <c r="W149" s="259"/>
      <c r="X149" s="151"/>
      <c r="AA149" s="151"/>
      <c r="AB149" s="151"/>
    </row>
    <row r="150" spans="2:28" x14ac:dyDescent="0.35">
      <c r="B150" s="271"/>
      <c r="C150" s="176"/>
      <c r="D150" s="176" t="s">
        <v>293</v>
      </c>
      <c r="E150" s="272"/>
      <c r="F150" s="295" t="s">
        <v>177</v>
      </c>
      <c r="G150" s="296" t="s">
        <v>178</v>
      </c>
      <c r="H150" s="297"/>
      <c r="I150" s="298"/>
      <c r="J150" s="181"/>
      <c r="K150" s="303"/>
      <c r="L150" s="303"/>
      <c r="M150" s="258"/>
      <c r="N150" s="259">
        <v>1</v>
      </c>
      <c r="O150" s="259"/>
      <c r="P150" s="259"/>
      <c r="Q150" s="259"/>
      <c r="R150" s="259"/>
      <c r="S150" s="259"/>
      <c r="T150" s="259"/>
      <c r="U150" s="259"/>
      <c r="V150" s="259"/>
      <c r="W150" s="259"/>
      <c r="X150" s="151"/>
      <c r="AA150" s="151"/>
      <c r="AB150" s="151"/>
    </row>
    <row r="151" spans="2:28" x14ac:dyDescent="0.35">
      <c r="B151" s="275"/>
      <c r="C151" s="276"/>
      <c r="D151" s="276"/>
      <c r="E151" s="277"/>
      <c r="F151" s="295" t="s">
        <v>294</v>
      </c>
      <c r="G151" s="296" t="s">
        <v>253</v>
      </c>
      <c r="H151" s="297"/>
      <c r="I151" s="298"/>
      <c r="J151" s="181"/>
      <c r="K151" s="303"/>
      <c r="L151" s="303"/>
      <c r="M151" s="258"/>
      <c r="N151" s="259"/>
      <c r="O151" s="259"/>
      <c r="P151" s="259"/>
      <c r="Q151" s="259"/>
      <c r="R151" s="259"/>
      <c r="S151" s="259"/>
      <c r="T151" s="259"/>
      <c r="U151" s="259"/>
      <c r="V151" s="259"/>
      <c r="W151" s="259"/>
      <c r="X151" s="151"/>
      <c r="AA151" s="151"/>
      <c r="AB151" s="151"/>
    </row>
    <row r="152" spans="2:28" x14ac:dyDescent="0.35">
      <c r="B152" s="271"/>
      <c r="C152" s="176"/>
      <c r="D152" s="176" t="s">
        <v>295</v>
      </c>
      <c r="E152" s="272"/>
      <c r="F152" s="295" t="s">
        <v>177</v>
      </c>
      <c r="G152" s="296" t="s">
        <v>178</v>
      </c>
      <c r="H152" s="297"/>
      <c r="I152" s="298"/>
      <c r="J152" s="181"/>
      <c r="K152" s="303"/>
      <c r="L152" s="303"/>
      <c r="M152" s="258"/>
      <c r="N152" s="259"/>
      <c r="O152" s="259"/>
      <c r="P152" s="259"/>
      <c r="Q152" s="259"/>
      <c r="R152" s="259"/>
      <c r="S152" s="259"/>
      <c r="T152" s="259"/>
      <c r="U152" s="259"/>
      <c r="V152" s="259"/>
      <c r="W152" s="259"/>
      <c r="X152" s="151"/>
      <c r="AA152" s="151"/>
      <c r="AB152" s="151"/>
    </row>
    <row r="153" spans="2:28" x14ac:dyDescent="0.35">
      <c r="B153" s="275"/>
      <c r="C153" s="276"/>
      <c r="D153" s="276"/>
      <c r="E153" s="277"/>
      <c r="F153" s="295" t="s">
        <v>296</v>
      </c>
      <c r="G153" s="296" t="s">
        <v>253</v>
      </c>
      <c r="H153" s="297"/>
      <c r="I153" s="298"/>
      <c r="J153" s="181"/>
      <c r="K153" s="303"/>
      <c r="L153" s="303"/>
      <c r="M153" s="258"/>
      <c r="N153" s="259"/>
      <c r="O153" s="259"/>
      <c r="P153" s="259"/>
      <c r="Q153" s="259"/>
      <c r="R153" s="259"/>
      <c r="S153" s="259"/>
      <c r="T153" s="259"/>
      <c r="U153" s="259"/>
      <c r="V153" s="259"/>
      <c r="W153" s="259"/>
      <c r="X153" s="151"/>
      <c r="AA153" s="151"/>
      <c r="AB153" s="151"/>
    </row>
    <row r="154" spans="2:28" x14ac:dyDescent="0.35">
      <c r="B154" s="271"/>
      <c r="C154" s="176"/>
      <c r="D154" s="176" t="s">
        <v>297</v>
      </c>
      <c r="E154" s="272"/>
      <c r="F154" s="295" t="s">
        <v>177</v>
      </c>
      <c r="G154" s="296" t="s">
        <v>178</v>
      </c>
      <c r="H154" s="297"/>
      <c r="I154" s="298"/>
      <c r="J154" s="181"/>
      <c r="K154" s="303"/>
      <c r="L154" s="303"/>
      <c r="M154" s="258"/>
      <c r="N154" s="259"/>
      <c r="O154" s="259"/>
      <c r="P154" s="259"/>
      <c r="Q154" s="259"/>
      <c r="R154" s="259"/>
      <c r="S154" s="259"/>
      <c r="T154" s="259"/>
      <c r="U154" s="259"/>
      <c r="V154" s="259"/>
      <c r="W154" s="259"/>
      <c r="X154" s="151"/>
      <c r="AA154" s="151"/>
      <c r="AB154" s="151"/>
    </row>
    <row r="155" spans="2:28" x14ac:dyDescent="0.35">
      <c r="B155" s="275"/>
      <c r="C155" s="276"/>
      <c r="D155" s="276"/>
      <c r="E155" s="277"/>
      <c r="F155" s="295" t="s">
        <v>298</v>
      </c>
      <c r="G155" s="296" t="s">
        <v>253</v>
      </c>
      <c r="H155" s="297"/>
      <c r="I155" s="298"/>
      <c r="J155" s="181"/>
      <c r="K155" s="303"/>
      <c r="L155" s="303"/>
      <c r="M155" s="258"/>
      <c r="N155" s="259"/>
      <c r="O155" s="259"/>
      <c r="P155" s="259"/>
      <c r="Q155" s="259"/>
      <c r="R155" s="259"/>
      <c r="S155" s="259"/>
      <c r="T155" s="259"/>
      <c r="U155" s="259"/>
      <c r="V155" s="259"/>
      <c r="W155" s="259"/>
      <c r="X155" s="151"/>
      <c r="AA155" s="151"/>
      <c r="AB155" s="151"/>
    </row>
    <row r="156" spans="2:28" x14ac:dyDescent="0.35">
      <c r="B156" s="369" t="s">
        <v>299</v>
      </c>
      <c r="C156" s="370"/>
      <c r="D156" s="370"/>
      <c r="E156" s="371"/>
      <c r="F156" s="402"/>
      <c r="G156" s="403"/>
      <c r="H156" s="404"/>
      <c r="I156" s="405"/>
      <c r="J156" s="406"/>
      <c r="K156" s="407"/>
      <c r="L156" s="407"/>
      <c r="M156" s="408"/>
      <c r="N156" s="382"/>
      <c r="O156" s="382"/>
      <c r="P156" s="382"/>
      <c r="Q156" s="382">
        <f>SUM(Q150:Q155)</f>
        <v>0</v>
      </c>
      <c r="R156" s="382"/>
      <c r="S156" s="382"/>
      <c r="T156" s="382"/>
      <c r="U156" s="382"/>
      <c r="V156" s="382"/>
      <c r="W156" s="382"/>
      <c r="X156" s="383"/>
      <c r="Y156" s="373"/>
      <c r="Z156" s="373"/>
      <c r="AA156" s="372"/>
      <c r="AB156" s="372"/>
    </row>
    <row r="157" spans="2:28" x14ac:dyDescent="0.35">
      <c r="B157" s="268"/>
      <c r="C157" s="396" t="s">
        <v>300</v>
      </c>
      <c r="D157" s="269"/>
      <c r="E157" s="270"/>
      <c r="F157" s="295" t="s">
        <v>177</v>
      </c>
      <c r="G157" s="296" t="s">
        <v>178</v>
      </c>
      <c r="H157" s="297"/>
      <c r="I157" s="298"/>
      <c r="J157" s="181"/>
      <c r="K157" s="303"/>
      <c r="L157" s="303"/>
      <c r="M157" s="258"/>
      <c r="N157" s="259">
        <v>1</v>
      </c>
      <c r="O157" s="259"/>
      <c r="P157" s="259"/>
      <c r="Q157" s="259"/>
      <c r="R157" s="259"/>
      <c r="S157" s="259"/>
      <c r="T157" s="259"/>
      <c r="U157" s="259"/>
      <c r="V157" s="259"/>
      <c r="W157" s="259"/>
      <c r="X157" s="151"/>
      <c r="AA157" s="151"/>
      <c r="AB157" s="151"/>
    </row>
    <row r="158" spans="2:28" x14ac:dyDescent="0.35">
      <c r="B158" s="268"/>
      <c r="C158" s="269"/>
      <c r="D158" s="269"/>
      <c r="E158" s="270"/>
      <c r="F158" s="295" t="s">
        <v>301</v>
      </c>
      <c r="G158" s="296" t="s">
        <v>253</v>
      </c>
      <c r="H158" s="297"/>
      <c r="I158" s="298"/>
      <c r="J158" s="181"/>
      <c r="K158" s="303"/>
      <c r="L158" s="303"/>
      <c r="M158" s="258"/>
      <c r="N158" s="259">
        <v>1</v>
      </c>
      <c r="O158" s="259"/>
      <c r="P158" s="259"/>
      <c r="Q158" s="259"/>
      <c r="R158" s="259"/>
      <c r="S158" s="259"/>
      <c r="T158" s="259"/>
      <c r="U158" s="259"/>
      <c r="V158" s="259"/>
      <c r="W158" s="259"/>
      <c r="X158" s="151"/>
      <c r="AA158" s="151"/>
      <c r="AB158" s="151"/>
    </row>
    <row r="159" spans="2:28" x14ac:dyDescent="0.35">
      <c r="B159" s="275"/>
      <c r="C159" s="276"/>
      <c r="D159" s="276"/>
      <c r="E159" s="277"/>
      <c r="F159" s="295" t="s">
        <v>254</v>
      </c>
      <c r="G159" s="296" t="s">
        <v>195</v>
      </c>
      <c r="H159" s="297"/>
      <c r="I159" s="298"/>
      <c r="J159" s="181"/>
      <c r="K159" s="303"/>
      <c r="L159" s="303"/>
      <c r="M159" s="258"/>
      <c r="N159" s="259">
        <v>1</v>
      </c>
      <c r="O159" s="259"/>
      <c r="P159" s="259"/>
      <c r="Q159" s="259"/>
      <c r="R159" s="259"/>
      <c r="S159" s="259"/>
      <c r="T159" s="259"/>
      <c r="U159" s="259"/>
      <c r="V159" s="259"/>
      <c r="W159" s="259"/>
      <c r="X159" s="151"/>
      <c r="AA159" s="151"/>
      <c r="AB159" s="151"/>
    </row>
    <row r="160" spans="2:28" x14ac:dyDescent="0.35">
      <c r="B160" s="275"/>
      <c r="C160" s="409" t="s">
        <v>302</v>
      </c>
      <c r="D160" s="276"/>
      <c r="E160" s="277"/>
      <c r="F160" s="295" t="s">
        <v>205</v>
      </c>
      <c r="G160" s="296"/>
      <c r="H160" s="297"/>
      <c r="I160" s="298"/>
      <c r="J160" s="181"/>
      <c r="K160" s="278"/>
      <c r="L160" s="303">
        <v>600</v>
      </c>
      <c r="M160" s="258">
        <f>1/120</f>
        <v>8.3333333333333332E-3</v>
      </c>
      <c r="N160" s="259">
        <v>1</v>
      </c>
      <c r="O160" s="259">
        <f>K160*M160*N160</f>
        <v>0</v>
      </c>
      <c r="P160" s="261">
        <v>681487.17873333325</v>
      </c>
      <c r="Q160" s="259">
        <f>P160*$O160</f>
        <v>0</v>
      </c>
      <c r="R160" s="259">
        <v>720338.0730320001</v>
      </c>
      <c r="S160" s="259">
        <f>R160*$O160</f>
        <v>0</v>
      </c>
      <c r="T160" s="259">
        <v>761671.70213055995</v>
      </c>
      <c r="U160" s="259">
        <f>T160*$O160</f>
        <v>0</v>
      </c>
      <c r="V160" s="259" t="e">
        <f>W160/O160</f>
        <v>#DIV/0!</v>
      </c>
      <c r="W160" s="267">
        <f>AVERAGEIF($P$3:$U$3,W$3,$P160:$U160)</f>
        <v>0</v>
      </c>
      <c r="X160" s="151"/>
      <c r="AA160" s="151"/>
      <c r="AB160" s="151"/>
    </row>
    <row r="161" spans="2:28" x14ac:dyDescent="0.35">
      <c r="B161" s="275"/>
      <c r="C161" s="409" t="s">
        <v>303</v>
      </c>
      <c r="D161" s="276"/>
      <c r="E161" s="277"/>
      <c r="F161" s="295" t="s">
        <v>205</v>
      </c>
      <c r="G161" s="296"/>
      <c r="H161" s="297"/>
      <c r="I161" s="298"/>
      <c r="J161" s="181"/>
      <c r="K161" s="278"/>
      <c r="L161" s="303">
        <v>192.08</v>
      </c>
      <c r="M161" s="258">
        <v>28</v>
      </c>
      <c r="N161" s="259">
        <v>1</v>
      </c>
      <c r="O161" s="259">
        <f>K161*M161*N161</f>
        <v>0</v>
      </c>
      <c r="P161" s="259">
        <v>681487.17873333325</v>
      </c>
      <c r="Q161" s="261">
        <f>P161*$O161</f>
        <v>0</v>
      </c>
      <c r="R161" s="259">
        <v>720338.0730320001</v>
      </c>
      <c r="S161" s="259">
        <f>R161*$O161</f>
        <v>0</v>
      </c>
      <c r="T161" s="259">
        <v>761671.70213055995</v>
      </c>
      <c r="U161" s="259">
        <f>T161*$O161</f>
        <v>0</v>
      </c>
      <c r="V161" s="259" t="e">
        <f>W161/O161</f>
        <v>#DIV/0!</v>
      </c>
      <c r="W161" s="267">
        <f>AVERAGEIF($P$3:$U$3,W$3,$P161:$U161)</f>
        <v>0</v>
      </c>
      <c r="X161" s="151"/>
      <c r="AA161" s="151"/>
      <c r="AB161" s="151"/>
    </row>
    <row r="162" spans="2:28" x14ac:dyDescent="0.35">
      <c r="B162" s="275"/>
      <c r="C162" s="409"/>
      <c r="D162" s="276"/>
      <c r="E162" s="277"/>
      <c r="F162" s="295"/>
      <c r="G162" s="296"/>
      <c r="H162" s="297"/>
      <c r="I162" s="298"/>
      <c r="J162" s="181"/>
      <c r="K162" s="278"/>
      <c r="L162" s="303"/>
      <c r="M162" s="258"/>
      <c r="N162" s="259"/>
      <c r="O162" s="259"/>
      <c r="P162" s="259"/>
      <c r="Q162" s="261"/>
      <c r="R162" s="259"/>
      <c r="S162" s="259"/>
      <c r="T162" s="259"/>
      <c r="U162" s="259"/>
      <c r="V162" s="259"/>
      <c r="W162" s="267"/>
      <c r="X162" s="151"/>
      <c r="AA162" s="151"/>
      <c r="AB162" s="151"/>
    </row>
    <row r="163" spans="2:28" x14ac:dyDescent="0.35">
      <c r="B163" s="369" t="s">
        <v>304</v>
      </c>
      <c r="C163" s="370"/>
      <c r="D163" s="370"/>
      <c r="E163" s="371"/>
      <c r="F163" s="337"/>
      <c r="G163" s="338"/>
      <c r="H163" s="339"/>
      <c r="I163" s="340"/>
      <c r="J163" s="341"/>
      <c r="K163" s="342"/>
      <c r="L163" s="342"/>
      <c r="M163" s="343"/>
      <c r="N163" s="344"/>
      <c r="O163" s="344"/>
      <c r="P163" s="344"/>
      <c r="Q163" s="345">
        <f>Q156+Q148+Q137+Q133+Q125+Q117+Q91</f>
        <v>165149828.00662166</v>
      </c>
      <c r="R163" s="344"/>
      <c r="S163" s="344"/>
      <c r="T163" s="344"/>
      <c r="U163" s="344"/>
      <c r="V163" s="344"/>
      <c r="W163" s="344"/>
      <c r="X163" s="410"/>
      <c r="Y163" s="373"/>
      <c r="Z163" s="373"/>
      <c r="AA163" s="348">
        <f>Q163/E1</f>
        <v>3640869.224131871</v>
      </c>
      <c r="AB163" s="346">
        <f>Q163/$Q$346*100</f>
        <v>4.379344532102019</v>
      </c>
    </row>
    <row r="164" spans="2:28" s="424" customFormat="1" x14ac:dyDescent="0.35">
      <c r="B164" s="411" t="s">
        <v>305</v>
      </c>
      <c r="C164" s="412"/>
      <c r="D164" s="412"/>
      <c r="E164" s="413"/>
      <c r="F164" s="414"/>
      <c r="G164" s="415"/>
      <c r="H164" s="416"/>
      <c r="I164" s="417"/>
      <c r="J164" s="418"/>
      <c r="K164" s="419"/>
      <c r="L164" s="419"/>
      <c r="M164" s="420"/>
      <c r="N164" s="421"/>
      <c r="O164" s="421"/>
      <c r="P164" s="421"/>
      <c r="Q164" s="422">
        <f>Q76+Q163</f>
        <v>2504921081.8029423</v>
      </c>
      <c r="R164" s="421"/>
      <c r="S164" s="421">
        <f>SUM(S5:S161)-S161-S160-S124</f>
        <v>83308269.935505688</v>
      </c>
      <c r="T164" s="421"/>
      <c r="U164" s="421">
        <f>SUM(U5:U161)-U161-U160-U124</f>
        <v>88163221.78286843</v>
      </c>
      <c r="V164" s="421"/>
      <c r="W164" s="421">
        <f>SUM(W5:W161)-W161-W160-W124</f>
        <v>85460174.04403995</v>
      </c>
      <c r="X164" s="423"/>
      <c r="AA164" s="425">
        <f>Q164/E1</f>
        <v>55223127.905708604</v>
      </c>
      <c r="AB164" s="426">
        <f>Q164/$Q$346*100</f>
        <v>66.424001619311113</v>
      </c>
    </row>
    <row r="165" spans="2:28" s="424" customFormat="1" x14ac:dyDescent="0.35">
      <c r="B165" s="411" t="s">
        <v>306</v>
      </c>
      <c r="C165" s="412"/>
      <c r="D165" s="412"/>
      <c r="E165" s="413"/>
      <c r="F165" s="414"/>
      <c r="G165" s="415"/>
      <c r="H165" s="416"/>
      <c r="I165" s="417"/>
      <c r="J165" s="418"/>
      <c r="K165" s="419"/>
      <c r="L165" s="419"/>
      <c r="M165" s="420"/>
      <c r="N165" s="421"/>
      <c r="O165" s="421"/>
      <c r="P165" s="421"/>
      <c r="Q165" s="421"/>
      <c r="R165" s="421"/>
      <c r="S165" s="421" t="e">
        <f>SUM(S5:S163)-S27-S28-S32-S23-S40-S41-#REF!</f>
        <v>#REF!</v>
      </c>
      <c r="T165" s="421"/>
      <c r="U165" s="421" t="e">
        <f>SUM(U5:U163)-U27-U28-U32-U23-U40-U41-#REF!</f>
        <v>#REF!</v>
      </c>
      <c r="V165" s="421"/>
      <c r="W165" s="421" t="e">
        <f>SUM(W5:W163)-W27-W28-W32-W23-W40-W41-#REF!</f>
        <v>#REF!</v>
      </c>
      <c r="X165" s="423"/>
      <c r="AA165" s="427"/>
      <c r="AB165" s="428"/>
    </row>
    <row r="166" spans="2:28" x14ac:dyDescent="0.35">
      <c r="B166" s="249" t="s">
        <v>307</v>
      </c>
      <c r="C166" s="255"/>
      <c r="D166" s="255"/>
      <c r="E166" s="349"/>
      <c r="F166" s="252"/>
      <c r="G166" s="253"/>
      <c r="H166" s="254"/>
      <c r="I166" s="255"/>
      <c r="J166" s="256"/>
      <c r="K166" s="257"/>
      <c r="L166" s="257"/>
      <c r="M166" s="258"/>
      <c r="N166" s="259"/>
      <c r="O166" s="259"/>
      <c r="P166" s="259"/>
      <c r="Q166" s="380"/>
      <c r="R166" s="259"/>
      <c r="S166" s="259"/>
      <c r="T166" s="259"/>
      <c r="U166" s="259"/>
      <c r="V166" s="259"/>
      <c r="W166" s="259"/>
      <c r="X166" s="151"/>
      <c r="AA166" s="151"/>
      <c r="AB166" s="151"/>
    </row>
    <row r="167" spans="2:28" x14ac:dyDescent="0.35">
      <c r="B167" s="254"/>
      <c r="C167" s="250" t="s">
        <v>308</v>
      </c>
      <c r="D167" s="255"/>
      <c r="E167" s="349"/>
      <c r="F167" s="252"/>
      <c r="G167" s="253"/>
      <c r="H167" s="254"/>
      <c r="I167" s="255"/>
      <c r="J167" s="256"/>
      <c r="K167" s="257"/>
      <c r="L167" s="257"/>
      <c r="M167" s="258"/>
      <c r="N167" s="259"/>
      <c r="O167" s="259"/>
      <c r="P167" s="259"/>
      <c r="Q167" s="380"/>
      <c r="R167" s="259"/>
      <c r="S167" s="259"/>
      <c r="T167" s="259"/>
      <c r="U167" s="259"/>
      <c r="V167" s="259"/>
      <c r="W167" s="259"/>
      <c r="X167" s="151"/>
      <c r="AA167" s="151"/>
      <c r="AB167" s="151"/>
    </row>
    <row r="168" spans="2:28" x14ac:dyDescent="0.35">
      <c r="B168" s="262"/>
      <c r="C168" s="263"/>
      <c r="D168" s="263" t="s">
        <v>112</v>
      </c>
      <c r="E168" s="264"/>
      <c r="F168" s="252" t="s">
        <v>177</v>
      </c>
      <c r="G168" s="253" t="s">
        <v>178</v>
      </c>
      <c r="H168" s="254"/>
      <c r="I168" s="255"/>
      <c r="J168" s="256" t="s">
        <v>179</v>
      </c>
      <c r="K168" s="265">
        <v>1</v>
      </c>
      <c r="L168" s="312">
        <v>45.36</v>
      </c>
      <c r="M168" s="266">
        <v>6</v>
      </c>
      <c r="N168" s="259">
        <v>1</v>
      </c>
      <c r="O168" s="259">
        <f>K168*L168*M168*N168</f>
        <v>272.15999999999997</v>
      </c>
      <c r="P168" s="289">
        <v>149108.51999999999</v>
      </c>
      <c r="Q168" s="393">
        <f>P168*$O168</f>
        <v>40581374.803199992</v>
      </c>
      <c r="R168" s="259">
        <v>149108.51999999999</v>
      </c>
      <c r="S168" s="259">
        <f>R168*$O168</f>
        <v>40581374.803199992</v>
      </c>
      <c r="T168" s="259">
        <v>158800.57379999998</v>
      </c>
      <c r="U168" s="259">
        <f>T168*$O168</f>
        <v>43219164.165407993</v>
      </c>
      <c r="V168" s="259">
        <f>W168/O168</f>
        <v>152339.20459999997</v>
      </c>
      <c r="W168" s="267">
        <f>AVERAGEIF($P$3:$U$3,W$3,$P168:$U168)</f>
        <v>41460637.923935987</v>
      </c>
      <c r="X168" s="151" t="s">
        <v>309</v>
      </c>
      <c r="Z168" s="429">
        <f>W168+W194+W219</f>
        <v>279859305.98656797</v>
      </c>
      <c r="AA168" s="390">
        <f>Q168/$E$1</f>
        <v>894651.11999999988</v>
      </c>
      <c r="AB168" s="151"/>
    </row>
    <row r="169" spans="2:28" x14ac:dyDescent="0.35">
      <c r="B169" s="313"/>
      <c r="C169" s="314"/>
      <c r="D169" s="314"/>
      <c r="E169" s="315"/>
      <c r="F169" s="252" t="s">
        <v>310</v>
      </c>
      <c r="G169" s="253" t="s">
        <v>181</v>
      </c>
      <c r="H169" s="254"/>
      <c r="I169" s="255"/>
      <c r="J169" s="256"/>
      <c r="K169" s="257"/>
      <c r="L169" s="257"/>
      <c r="M169" s="430">
        <v>3</v>
      </c>
      <c r="N169" s="380">
        <v>1</v>
      </c>
      <c r="O169" s="380"/>
      <c r="P169" s="259"/>
      <c r="Q169" s="380"/>
      <c r="R169" s="259"/>
      <c r="S169" s="259"/>
      <c r="T169" s="259"/>
      <c r="U169" s="259"/>
      <c r="V169" s="259"/>
      <c r="W169" s="259"/>
      <c r="X169" s="151"/>
      <c r="AA169" s="390">
        <f t="shared" ref="AA169:AA189" si="14">Q169/192.08</f>
        <v>0</v>
      </c>
      <c r="AB169" s="151"/>
    </row>
    <row r="170" spans="2:28" x14ac:dyDescent="0.35">
      <c r="B170" s="313"/>
      <c r="C170" s="314"/>
      <c r="D170" s="314"/>
      <c r="E170" s="315"/>
      <c r="F170" s="252" t="s">
        <v>311</v>
      </c>
      <c r="G170" s="253" t="s">
        <v>181</v>
      </c>
      <c r="H170" s="254"/>
      <c r="I170" s="255"/>
      <c r="J170" s="256"/>
      <c r="K170" s="257"/>
      <c r="L170" s="257"/>
      <c r="M170" s="430">
        <v>6</v>
      </c>
      <c r="N170" s="380">
        <v>1</v>
      </c>
      <c r="O170" s="380"/>
      <c r="P170" s="259"/>
      <c r="Q170" s="380"/>
      <c r="R170" s="259"/>
      <c r="S170" s="259"/>
      <c r="T170" s="259"/>
      <c r="U170" s="259"/>
      <c r="V170" s="259"/>
      <c r="W170" s="259"/>
      <c r="X170" s="151"/>
      <c r="AA170" s="390">
        <f t="shared" si="14"/>
        <v>0</v>
      </c>
      <c r="AB170" s="151"/>
    </row>
    <row r="171" spans="2:28" x14ac:dyDescent="0.35">
      <c r="B171" s="313"/>
      <c r="C171" s="314"/>
      <c r="D171" s="314"/>
      <c r="E171" s="315"/>
      <c r="F171" s="252" t="s">
        <v>312</v>
      </c>
      <c r="G171" s="253" t="s">
        <v>178</v>
      </c>
      <c r="H171" s="254"/>
      <c r="I171" s="255"/>
      <c r="J171" s="256"/>
      <c r="K171" s="265">
        <v>1</v>
      </c>
      <c r="L171" s="431">
        <f>O174*5000</f>
        <v>68040</v>
      </c>
      <c r="M171" s="379">
        <f>1/2000</f>
        <v>5.0000000000000001E-4</v>
      </c>
      <c r="N171" s="380">
        <v>1</v>
      </c>
      <c r="O171" s="259">
        <f>K171*L171*M171*N171</f>
        <v>34.020000000000003</v>
      </c>
      <c r="P171" s="259">
        <f>P168</f>
        <v>149108.51999999999</v>
      </c>
      <c r="Q171" s="393">
        <f>P171*$O171</f>
        <v>5072671.8503999999</v>
      </c>
      <c r="R171" s="259"/>
      <c r="S171" s="259"/>
      <c r="T171" s="259"/>
      <c r="U171" s="259"/>
      <c r="V171" s="259"/>
      <c r="W171" s="432"/>
      <c r="X171" s="151" t="s">
        <v>313</v>
      </c>
      <c r="AA171" s="390">
        <f t="shared" ref="AA171:AA178" si="15">Q171/$E$1</f>
        <v>111831.39</v>
      </c>
      <c r="AB171" s="151"/>
    </row>
    <row r="172" spans="2:28" x14ac:dyDescent="0.35">
      <c r="B172" s="313"/>
      <c r="C172" s="314"/>
      <c r="D172" s="314"/>
      <c r="E172" s="315"/>
      <c r="F172" s="252" t="s">
        <v>314</v>
      </c>
      <c r="G172" s="253" t="s">
        <v>183</v>
      </c>
      <c r="H172" s="254"/>
      <c r="I172" s="255"/>
      <c r="J172" s="256"/>
      <c r="K172" s="433">
        <v>1</v>
      </c>
      <c r="L172" s="431">
        <f>L171</f>
        <v>68040</v>
      </c>
      <c r="M172" s="430">
        <v>1</v>
      </c>
      <c r="N172" s="380">
        <v>1</v>
      </c>
      <c r="O172" s="393">
        <f>K172*L172*M172*N172</f>
        <v>68040</v>
      </c>
      <c r="P172" s="261">
        <v>500</v>
      </c>
      <c r="Q172" s="393">
        <f t="shared" ref="Q172:Q194" si="16">P172*$O172</f>
        <v>34020000</v>
      </c>
      <c r="R172" s="259"/>
      <c r="S172" s="259"/>
      <c r="T172" s="259"/>
      <c r="U172" s="259"/>
      <c r="V172" s="259"/>
      <c r="W172" s="432"/>
      <c r="X172" s="151" t="s">
        <v>315</v>
      </c>
      <c r="Y172" s="434"/>
      <c r="AA172" s="390">
        <f t="shared" si="15"/>
        <v>750000</v>
      </c>
      <c r="AB172" s="151"/>
    </row>
    <row r="173" spans="2:28" x14ac:dyDescent="0.35">
      <c r="B173" s="313"/>
      <c r="C173" s="314"/>
      <c r="D173" s="314"/>
      <c r="E173" s="315"/>
      <c r="F173" s="151" t="s">
        <v>316</v>
      </c>
      <c r="G173" s="316" t="s">
        <v>181</v>
      </c>
      <c r="H173" s="317"/>
      <c r="I173" s="318"/>
      <c r="J173" s="151"/>
      <c r="K173" s="433">
        <v>1</v>
      </c>
      <c r="L173" s="431">
        <f>L171</f>
        <v>68040</v>
      </c>
      <c r="M173" s="435">
        <f>50/1000</f>
        <v>0.05</v>
      </c>
      <c r="N173" s="309">
        <v>1</v>
      </c>
      <c r="O173" s="300">
        <f t="shared" ref="O173:O194" si="17">K173*L173*M173*N173</f>
        <v>3402</v>
      </c>
      <c r="P173" s="289">
        <v>2415</v>
      </c>
      <c r="Q173" s="393">
        <f t="shared" si="16"/>
        <v>8215830</v>
      </c>
      <c r="R173" s="259"/>
      <c r="S173" s="259"/>
      <c r="T173" s="259"/>
      <c r="U173" s="259"/>
      <c r="V173" s="259"/>
      <c r="W173" s="432"/>
      <c r="X173" s="151" t="s">
        <v>317</v>
      </c>
      <c r="Y173" s="434"/>
      <c r="AA173" s="390">
        <f t="shared" si="15"/>
        <v>181125</v>
      </c>
      <c r="AB173" s="151"/>
    </row>
    <row r="174" spans="2:28" x14ac:dyDescent="0.35">
      <c r="B174" s="313"/>
      <c r="C174" s="314"/>
      <c r="D174" s="314"/>
      <c r="E174" s="315"/>
      <c r="F174" s="252" t="s">
        <v>318</v>
      </c>
      <c r="G174" s="253" t="s">
        <v>181</v>
      </c>
      <c r="H174" s="254"/>
      <c r="I174" s="255"/>
      <c r="J174" s="256" t="s">
        <v>319</v>
      </c>
      <c r="K174" s="265">
        <v>1</v>
      </c>
      <c r="L174" s="312">
        <v>45.36</v>
      </c>
      <c r="M174" s="430">
        <v>0.3</v>
      </c>
      <c r="N174" s="380">
        <v>1</v>
      </c>
      <c r="O174" s="380">
        <f t="shared" si="17"/>
        <v>13.607999999999999</v>
      </c>
      <c r="P174" s="289">
        <v>562275</v>
      </c>
      <c r="Q174" s="393">
        <f t="shared" si="16"/>
        <v>7651438.1999999993</v>
      </c>
      <c r="R174" s="259">
        <v>562275</v>
      </c>
      <c r="S174" s="259">
        <f>R174*$O174</f>
        <v>7651438.1999999993</v>
      </c>
      <c r="T174" s="259">
        <v>590388.75</v>
      </c>
      <c r="U174" s="259">
        <f>T174*$O174</f>
        <v>8034010.1099999994</v>
      </c>
      <c r="V174" s="259">
        <f>W174/O174</f>
        <v>571646.25</v>
      </c>
      <c r="W174" s="267">
        <f>AVERAGEIF($P$3:$U$3,W$3,$P174:$U174)</f>
        <v>7778962.169999999</v>
      </c>
      <c r="X174" s="151" t="s">
        <v>320</v>
      </c>
      <c r="Z174" s="429">
        <f>W174</f>
        <v>7778962.169999999</v>
      </c>
      <c r="AA174" s="390">
        <f t="shared" si="15"/>
        <v>168682.5</v>
      </c>
      <c r="AB174" s="151"/>
    </row>
    <row r="175" spans="2:28" x14ac:dyDescent="0.35">
      <c r="B175" s="313"/>
      <c r="C175" s="314"/>
      <c r="D175" s="314"/>
      <c r="E175" s="315"/>
      <c r="F175" s="252" t="s">
        <v>321</v>
      </c>
      <c r="G175" s="253" t="s">
        <v>322</v>
      </c>
      <c r="H175" s="254"/>
      <c r="I175" s="255"/>
      <c r="J175" s="256"/>
      <c r="K175" s="265">
        <v>1</v>
      </c>
      <c r="L175" s="393">
        <f>O174*5000</f>
        <v>68040</v>
      </c>
      <c r="M175" s="430">
        <v>1</v>
      </c>
      <c r="N175" s="380">
        <v>1</v>
      </c>
      <c r="O175" s="393">
        <f t="shared" si="17"/>
        <v>68040</v>
      </c>
      <c r="P175" s="261">
        <v>100</v>
      </c>
      <c r="Q175" s="393">
        <f t="shared" si="16"/>
        <v>6804000</v>
      </c>
      <c r="R175" s="259"/>
      <c r="S175" s="259"/>
      <c r="T175" s="259"/>
      <c r="U175" s="259"/>
      <c r="V175" s="259"/>
      <c r="W175" s="259"/>
      <c r="X175" s="151" t="s">
        <v>323</v>
      </c>
      <c r="AA175" s="390">
        <f t="shared" si="15"/>
        <v>150000</v>
      </c>
      <c r="AB175" s="151"/>
    </row>
    <row r="176" spans="2:28" x14ac:dyDescent="0.35">
      <c r="B176" s="313"/>
      <c r="C176" s="314"/>
      <c r="D176" s="314"/>
      <c r="E176" s="315"/>
      <c r="F176" s="252" t="s">
        <v>324</v>
      </c>
      <c r="G176" s="253" t="s">
        <v>325</v>
      </c>
      <c r="H176" s="254"/>
      <c r="I176" s="255"/>
      <c r="J176" s="256"/>
      <c r="K176" s="265">
        <v>1</v>
      </c>
      <c r="L176" s="393">
        <f>L171</f>
        <v>68040</v>
      </c>
      <c r="M176" s="379">
        <f>1/3000</f>
        <v>3.3333333333333332E-4</v>
      </c>
      <c r="N176" s="380">
        <v>1</v>
      </c>
      <c r="O176" s="393">
        <f t="shared" si="17"/>
        <v>22.68</v>
      </c>
      <c r="P176" s="261">
        <v>200000</v>
      </c>
      <c r="Q176" s="393">
        <f t="shared" si="16"/>
        <v>4536000</v>
      </c>
      <c r="R176" s="259"/>
      <c r="S176" s="259"/>
      <c r="T176" s="259"/>
      <c r="U176" s="259"/>
      <c r="V176" s="259"/>
      <c r="W176" s="432"/>
      <c r="X176" s="151" t="s">
        <v>326</v>
      </c>
      <c r="AA176" s="390">
        <f t="shared" si="15"/>
        <v>100000</v>
      </c>
      <c r="AB176" s="151"/>
    </row>
    <row r="177" spans="2:28" x14ac:dyDescent="0.35">
      <c r="B177" s="313"/>
      <c r="C177" s="314"/>
      <c r="D177" s="314"/>
      <c r="E177" s="315"/>
      <c r="F177" s="252" t="s">
        <v>327</v>
      </c>
      <c r="G177" s="253" t="s">
        <v>325</v>
      </c>
      <c r="H177" s="254"/>
      <c r="I177" s="255"/>
      <c r="J177" s="256" t="s">
        <v>328</v>
      </c>
      <c r="K177" s="265">
        <v>1</v>
      </c>
      <c r="L177" s="380">
        <f>(L176*2/1000)*1.4</f>
        <v>190.512</v>
      </c>
      <c r="M177" s="436">
        <f>1/5</f>
        <v>0.2</v>
      </c>
      <c r="N177" s="380">
        <v>1</v>
      </c>
      <c r="O177" s="437">
        <f t="shared" si="17"/>
        <v>38.102400000000003</v>
      </c>
      <c r="P177" s="261">
        <v>200000</v>
      </c>
      <c r="Q177" s="393">
        <f t="shared" si="16"/>
        <v>7620480.0000000009</v>
      </c>
      <c r="R177" s="259"/>
      <c r="S177" s="259"/>
      <c r="T177" s="259"/>
      <c r="U177" s="259"/>
      <c r="V177" s="259"/>
      <c r="W177" s="432"/>
      <c r="X177" s="151" t="s">
        <v>329</v>
      </c>
      <c r="AA177" s="390">
        <f t="shared" si="15"/>
        <v>168000.00000000003</v>
      </c>
      <c r="AB177" s="151"/>
    </row>
    <row r="178" spans="2:28" x14ac:dyDescent="0.35">
      <c r="B178" s="313"/>
      <c r="C178" s="314"/>
      <c r="D178" s="314"/>
      <c r="E178" s="315"/>
      <c r="F178" s="252" t="s">
        <v>254</v>
      </c>
      <c r="G178" s="253" t="s">
        <v>195</v>
      </c>
      <c r="H178" s="254"/>
      <c r="I178" s="255"/>
      <c r="J178" s="256"/>
      <c r="K178" s="265">
        <v>1</v>
      </c>
      <c r="L178" s="393">
        <f>L173</f>
        <v>68040</v>
      </c>
      <c r="M178" s="379">
        <v>5.5999999999999995E-4</v>
      </c>
      <c r="N178" s="380">
        <v>1</v>
      </c>
      <c r="O178" s="437">
        <f t="shared" si="17"/>
        <v>38.102399999999996</v>
      </c>
      <c r="P178" s="289">
        <v>680210.06624999992</v>
      </c>
      <c r="Q178" s="393">
        <f t="shared" si="16"/>
        <v>25917636.028283995</v>
      </c>
      <c r="R178" s="259"/>
      <c r="S178" s="259"/>
      <c r="T178" s="259"/>
      <c r="U178" s="259"/>
      <c r="V178" s="259"/>
      <c r="W178" s="432"/>
      <c r="X178" s="151" t="s">
        <v>330</v>
      </c>
      <c r="AA178" s="390">
        <f t="shared" si="15"/>
        <v>571376.4556499999</v>
      </c>
      <c r="AB178" s="151"/>
    </row>
    <row r="179" spans="2:28" x14ac:dyDescent="0.35">
      <c r="B179" s="320"/>
      <c r="C179" s="314"/>
      <c r="D179" s="321"/>
      <c r="E179" s="332"/>
      <c r="F179" s="252"/>
      <c r="G179" s="253"/>
      <c r="H179" s="254"/>
      <c r="I179" s="255"/>
      <c r="J179" s="256"/>
      <c r="K179" s="265"/>
      <c r="L179" s="257"/>
      <c r="M179" s="430">
        <v>3.4</v>
      </c>
      <c r="N179" s="380">
        <v>1</v>
      </c>
      <c r="O179" s="380">
        <f t="shared" si="17"/>
        <v>0</v>
      </c>
      <c r="P179" s="259"/>
      <c r="Q179" s="380">
        <f t="shared" si="16"/>
        <v>0</v>
      </c>
      <c r="R179" s="259" t="e">
        <v>#N/A</v>
      </c>
      <c r="S179" s="259" t="e">
        <f>R179*$O179</f>
        <v>#N/A</v>
      </c>
      <c r="T179" s="259" t="e">
        <v>#N/A</v>
      </c>
      <c r="U179" s="259" t="e">
        <f>T179*$O179</f>
        <v>#N/A</v>
      </c>
      <c r="V179" s="259" t="e">
        <f>W179/O179</f>
        <v>#N/A</v>
      </c>
      <c r="W179" s="267" t="e">
        <f>AVERAGEIF($P$3:$U$3,W$3,$P179:$U179)</f>
        <v>#N/A</v>
      </c>
      <c r="X179" s="381"/>
      <c r="AA179" s="390">
        <f t="shared" si="14"/>
        <v>0</v>
      </c>
      <c r="AB179" s="151"/>
    </row>
    <row r="180" spans="2:28" x14ac:dyDescent="0.35">
      <c r="B180" s="438"/>
      <c r="C180" s="439"/>
      <c r="D180" s="439" t="s">
        <v>114</v>
      </c>
      <c r="E180" s="440"/>
      <c r="F180" s="252" t="s">
        <v>177</v>
      </c>
      <c r="G180" s="253" t="s">
        <v>178</v>
      </c>
      <c r="H180" s="254"/>
      <c r="I180" s="255"/>
      <c r="J180" s="256"/>
      <c r="K180" s="265">
        <v>1</v>
      </c>
      <c r="L180" s="393">
        <f>L175</f>
        <v>68040</v>
      </c>
      <c r="M180" s="379">
        <f>1/4500</f>
        <v>2.2222222222222223E-4</v>
      </c>
      <c r="N180" s="380">
        <v>1</v>
      </c>
      <c r="O180" s="259">
        <f t="shared" si="17"/>
        <v>15.120000000000001</v>
      </c>
      <c r="P180" s="289">
        <v>149108.51999999999</v>
      </c>
      <c r="Q180" s="393">
        <f t="shared" si="16"/>
        <v>2254520.8223999999</v>
      </c>
      <c r="R180" s="259"/>
      <c r="S180" s="259"/>
      <c r="T180" s="259"/>
      <c r="U180" s="259"/>
      <c r="V180" s="259"/>
      <c r="W180" s="267"/>
      <c r="X180" s="381"/>
      <c r="AA180" s="390">
        <f t="shared" ref="AA180:AA186" si="18">Q180/$E$1</f>
        <v>49702.84</v>
      </c>
      <c r="AB180" s="151"/>
    </row>
    <row r="181" spans="2:28" x14ac:dyDescent="0.35">
      <c r="B181" s="441"/>
      <c r="C181" s="442"/>
      <c r="D181" s="442"/>
      <c r="E181" s="443"/>
      <c r="F181" s="252" t="s">
        <v>331</v>
      </c>
      <c r="G181" s="253" t="s">
        <v>328</v>
      </c>
      <c r="H181" s="254"/>
      <c r="I181" s="255"/>
      <c r="J181" s="256" t="s">
        <v>332</v>
      </c>
      <c r="K181" s="265">
        <v>1</v>
      </c>
      <c r="L181" s="257">
        <v>16.7</v>
      </c>
      <c r="M181" s="392">
        <f>6/62</f>
        <v>9.6774193548387094E-2</v>
      </c>
      <c r="N181" s="380">
        <v>1</v>
      </c>
      <c r="O181" s="259">
        <f t="shared" si="17"/>
        <v>1.6161290322580644</v>
      </c>
      <c r="P181" s="289">
        <v>2126250</v>
      </c>
      <c r="Q181" s="393">
        <f t="shared" si="16"/>
        <v>3436294.3548387093</v>
      </c>
      <c r="R181" s="259"/>
      <c r="S181" s="259"/>
      <c r="T181" s="259"/>
      <c r="U181" s="259"/>
      <c r="V181" s="259"/>
      <c r="W181" s="267"/>
      <c r="X181" s="381"/>
      <c r="AA181" s="390">
        <f t="shared" si="18"/>
        <v>75756.048387096773</v>
      </c>
      <c r="AB181" s="151"/>
    </row>
    <row r="182" spans="2:28" x14ac:dyDescent="0.35">
      <c r="B182" s="441" t="s">
        <v>119</v>
      </c>
      <c r="C182" s="442"/>
      <c r="D182" s="442"/>
      <c r="E182" s="442"/>
      <c r="F182" s="252" t="s">
        <v>177</v>
      </c>
      <c r="G182" s="253" t="s">
        <v>178</v>
      </c>
      <c r="H182" s="254"/>
      <c r="I182" s="255"/>
      <c r="J182" s="256"/>
      <c r="K182" s="265">
        <v>1</v>
      </c>
      <c r="L182" s="393">
        <v>68040</v>
      </c>
      <c r="M182" s="379">
        <f>1/5000</f>
        <v>2.0000000000000001E-4</v>
      </c>
      <c r="N182" s="380">
        <v>1</v>
      </c>
      <c r="O182" s="259">
        <f t="shared" si="17"/>
        <v>13.608000000000001</v>
      </c>
      <c r="P182" s="289">
        <v>149108.51999999999</v>
      </c>
      <c r="Q182" s="393">
        <f t="shared" si="16"/>
        <v>2029068.74016</v>
      </c>
      <c r="R182" s="259"/>
      <c r="S182" s="259"/>
      <c r="T182" s="259"/>
      <c r="U182" s="259"/>
      <c r="V182" s="259"/>
      <c r="W182" s="267"/>
      <c r="X182" s="381"/>
      <c r="AA182" s="390">
        <f t="shared" si="18"/>
        <v>44732.556000000004</v>
      </c>
      <c r="AB182" s="151"/>
    </row>
    <row r="183" spans="2:28" x14ac:dyDescent="0.35">
      <c r="B183" s="444" t="s">
        <v>333</v>
      </c>
      <c r="C183" s="445"/>
      <c r="D183" s="445"/>
      <c r="E183" s="446"/>
      <c r="F183" s="252" t="s">
        <v>177</v>
      </c>
      <c r="G183" s="253" t="s">
        <v>178</v>
      </c>
      <c r="H183" s="254"/>
      <c r="I183" s="255"/>
      <c r="J183" s="256"/>
      <c r="K183" s="265">
        <v>1</v>
      </c>
      <c r="L183" s="393">
        <v>68040</v>
      </c>
      <c r="M183" s="379">
        <v>1E-4</v>
      </c>
      <c r="N183" s="380">
        <v>2</v>
      </c>
      <c r="O183" s="259">
        <f t="shared" si="17"/>
        <v>13.608000000000001</v>
      </c>
      <c r="P183" s="289">
        <v>149108.51999999999</v>
      </c>
      <c r="Q183" s="393">
        <f t="shared" si="16"/>
        <v>2029068.74016</v>
      </c>
      <c r="R183" s="259"/>
      <c r="S183" s="259"/>
      <c r="T183" s="259"/>
      <c r="U183" s="259"/>
      <c r="V183" s="259"/>
      <c r="W183" s="267"/>
      <c r="X183" s="381"/>
      <c r="AA183" s="390">
        <f t="shared" si="18"/>
        <v>44732.556000000004</v>
      </c>
      <c r="AB183" s="151"/>
    </row>
    <row r="184" spans="2:28" x14ac:dyDescent="0.35">
      <c r="B184" s="447"/>
      <c r="C184" s="448"/>
      <c r="D184" s="448"/>
      <c r="E184" s="449"/>
      <c r="F184" s="173" t="s">
        <v>334</v>
      </c>
      <c r="G184" s="253" t="s">
        <v>222</v>
      </c>
      <c r="H184" s="254"/>
      <c r="I184" s="255"/>
      <c r="J184" s="256"/>
      <c r="K184" s="265">
        <v>1</v>
      </c>
      <c r="L184" s="393">
        <v>68040</v>
      </c>
      <c r="M184" s="450">
        <f>0.01/1000</f>
        <v>1.0000000000000001E-5</v>
      </c>
      <c r="N184" s="380">
        <v>2</v>
      </c>
      <c r="O184" s="259">
        <f t="shared" si="17"/>
        <v>1.3608</v>
      </c>
      <c r="P184" s="289">
        <v>53496.45</v>
      </c>
      <c r="Q184" s="393">
        <f t="shared" si="16"/>
        <v>72797.969159999993</v>
      </c>
      <c r="R184" s="259"/>
      <c r="S184" s="259"/>
      <c r="T184" s="259"/>
      <c r="U184" s="259"/>
      <c r="V184" s="259"/>
      <c r="W184" s="267"/>
      <c r="X184" s="381" t="s">
        <v>335</v>
      </c>
      <c r="AA184" s="390">
        <f t="shared" si="18"/>
        <v>1604.8934999999999</v>
      </c>
      <c r="AB184" s="151"/>
    </row>
    <row r="185" spans="2:28" x14ac:dyDescent="0.35">
      <c r="B185" s="447"/>
      <c r="C185" s="448"/>
      <c r="D185" s="448"/>
      <c r="E185" s="449"/>
      <c r="F185" s="295" t="s">
        <v>225</v>
      </c>
      <c r="G185" s="253" t="s">
        <v>222</v>
      </c>
      <c r="H185" s="254"/>
      <c r="I185" s="255"/>
      <c r="J185" s="256"/>
      <c r="K185" s="265">
        <v>1</v>
      </c>
      <c r="L185" s="393">
        <v>68040</v>
      </c>
      <c r="M185" s="450">
        <f>0.002/1000</f>
        <v>1.9999999999999999E-6</v>
      </c>
      <c r="N185" s="380">
        <v>2</v>
      </c>
      <c r="O185" s="259">
        <f t="shared" si="17"/>
        <v>0.27216000000000001</v>
      </c>
      <c r="P185" s="289">
        <v>44982</v>
      </c>
      <c r="Q185" s="393">
        <f t="shared" si="16"/>
        <v>12242.30112</v>
      </c>
      <c r="R185" s="259"/>
      <c r="S185" s="259"/>
      <c r="T185" s="259"/>
      <c r="U185" s="259"/>
      <c r="V185" s="259"/>
      <c r="W185" s="267"/>
      <c r="X185" s="381" t="s">
        <v>336</v>
      </c>
      <c r="AA185" s="390">
        <f t="shared" si="18"/>
        <v>269.892</v>
      </c>
      <c r="AB185" s="151"/>
    </row>
    <row r="186" spans="2:28" x14ac:dyDescent="0.35">
      <c r="B186" s="451"/>
      <c r="C186" s="452"/>
      <c r="D186" s="452"/>
      <c r="E186" s="453"/>
      <c r="F186" s="295" t="s">
        <v>226</v>
      </c>
      <c r="G186" s="253" t="s">
        <v>178</v>
      </c>
      <c r="H186" s="254"/>
      <c r="I186" s="255"/>
      <c r="J186" s="256" t="s">
        <v>337</v>
      </c>
      <c r="K186" s="265">
        <v>1</v>
      </c>
      <c r="L186" s="393">
        <v>68040</v>
      </c>
      <c r="M186" s="379">
        <v>1E-4</v>
      </c>
      <c r="N186" s="259">
        <v>2</v>
      </c>
      <c r="O186" s="259">
        <f t="shared" si="17"/>
        <v>13.608000000000001</v>
      </c>
      <c r="P186" s="289">
        <v>3940.5</v>
      </c>
      <c r="Q186" s="393">
        <f t="shared" si="16"/>
        <v>53622.324000000001</v>
      </c>
      <c r="R186" s="259"/>
      <c r="S186" s="259"/>
      <c r="T186" s="259"/>
      <c r="U186" s="259"/>
      <c r="V186" s="259"/>
      <c r="W186" s="267"/>
      <c r="X186" s="381"/>
      <c r="AA186" s="390">
        <f t="shared" si="18"/>
        <v>1182.1500000000001</v>
      </c>
      <c r="AB186" s="151"/>
    </row>
    <row r="187" spans="2:28" x14ac:dyDescent="0.35">
      <c r="B187" s="444" t="s">
        <v>338</v>
      </c>
      <c r="C187" s="445"/>
      <c r="D187" s="445"/>
      <c r="E187" s="446"/>
      <c r="F187" s="295" t="s">
        <v>339</v>
      </c>
      <c r="G187" s="253" t="s">
        <v>178</v>
      </c>
      <c r="H187" s="254"/>
      <c r="I187" s="255"/>
      <c r="J187" s="256"/>
      <c r="K187" s="265">
        <v>0</v>
      </c>
      <c r="L187" s="393">
        <v>68040</v>
      </c>
      <c r="M187" s="379">
        <v>1E-4</v>
      </c>
      <c r="N187" s="380">
        <v>2</v>
      </c>
      <c r="O187" s="259">
        <f t="shared" si="17"/>
        <v>0</v>
      </c>
      <c r="P187" s="259">
        <v>140008</v>
      </c>
      <c r="Q187" s="393">
        <f t="shared" si="16"/>
        <v>0</v>
      </c>
      <c r="R187" s="259"/>
      <c r="S187" s="259"/>
      <c r="T187" s="259"/>
      <c r="U187" s="259"/>
      <c r="V187" s="259"/>
      <c r="W187" s="267"/>
      <c r="X187" s="381"/>
      <c r="AA187" s="390">
        <f t="shared" si="14"/>
        <v>0</v>
      </c>
      <c r="AB187" s="151"/>
    </row>
    <row r="188" spans="2:28" x14ac:dyDescent="0.35">
      <c r="B188" s="447"/>
      <c r="C188" s="448"/>
      <c r="D188" s="448"/>
      <c r="E188" s="449"/>
      <c r="F188" s="295" t="s">
        <v>340</v>
      </c>
      <c r="G188" s="253" t="s">
        <v>181</v>
      </c>
      <c r="H188" s="254"/>
      <c r="I188" s="255"/>
      <c r="J188" s="256"/>
      <c r="K188" s="265">
        <v>0</v>
      </c>
      <c r="L188" s="393">
        <v>68040</v>
      </c>
      <c r="M188" s="450">
        <f>0.02/1000</f>
        <v>2.0000000000000002E-5</v>
      </c>
      <c r="N188" s="259">
        <v>2</v>
      </c>
      <c r="O188" s="259">
        <f t="shared" si="17"/>
        <v>0</v>
      </c>
      <c r="P188" s="259">
        <v>134807</v>
      </c>
      <c r="Q188" s="393">
        <f t="shared" si="16"/>
        <v>0</v>
      </c>
      <c r="R188" s="259"/>
      <c r="S188" s="259"/>
      <c r="T188" s="259"/>
      <c r="U188" s="259"/>
      <c r="V188" s="259"/>
      <c r="W188" s="267"/>
      <c r="X188" s="381" t="s">
        <v>341</v>
      </c>
      <c r="AA188" s="390">
        <f t="shared" si="14"/>
        <v>0</v>
      </c>
      <c r="AB188" s="151"/>
    </row>
    <row r="189" spans="2:28" x14ac:dyDescent="0.35">
      <c r="B189" s="451"/>
      <c r="C189" s="452"/>
      <c r="D189" s="452"/>
      <c r="E189" s="453"/>
      <c r="F189" s="295" t="s">
        <v>226</v>
      </c>
      <c r="G189" s="253" t="s">
        <v>178</v>
      </c>
      <c r="H189" s="254"/>
      <c r="I189" s="255"/>
      <c r="J189" s="256" t="s">
        <v>337</v>
      </c>
      <c r="K189" s="265">
        <v>0</v>
      </c>
      <c r="L189" s="393">
        <v>68040</v>
      </c>
      <c r="M189" s="379">
        <v>1E-4</v>
      </c>
      <c r="N189" s="259">
        <v>2</v>
      </c>
      <c r="O189" s="259">
        <f t="shared" si="17"/>
        <v>0</v>
      </c>
      <c r="P189" s="259">
        <v>3700</v>
      </c>
      <c r="Q189" s="393">
        <f t="shared" si="16"/>
        <v>0</v>
      </c>
      <c r="R189" s="259"/>
      <c r="S189" s="259"/>
      <c r="T189" s="259"/>
      <c r="U189" s="259"/>
      <c r="V189" s="259"/>
      <c r="W189" s="267"/>
      <c r="X189" s="381"/>
      <c r="AA189" s="390">
        <f t="shared" si="14"/>
        <v>0</v>
      </c>
      <c r="AB189" s="151"/>
    </row>
    <row r="190" spans="2:28" x14ac:dyDescent="0.35">
      <c r="B190" s="441"/>
      <c r="C190" s="442"/>
      <c r="D190" s="442"/>
      <c r="E190" s="442"/>
      <c r="F190" s="252"/>
      <c r="G190" s="253"/>
      <c r="H190" s="254"/>
      <c r="I190" s="255"/>
      <c r="J190" s="256"/>
      <c r="K190" s="265"/>
      <c r="L190" s="431"/>
      <c r="M190" s="379"/>
      <c r="N190" s="380"/>
      <c r="O190" s="259"/>
      <c r="P190" s="259"/>
      <c r="Q190" s="393"/>
      <c r="R190" s="259"/>
      <c r="S190" s="259"/>
      <c r="T190" s="259"/>
      <c r="U190" s="259"/>
      <c r="V190" s="259"/>
      <c r="W190" s="267"/>
      <c r="X190" s="381"/>
      <c r="AA190" s="151"/>
      <c r="AB190" s="151"/>
    </row>
    <row r="191" spans="2:28" x14ac:dyDescent="0.35">
      <c r="B191" s="441" t="s">
        <v>126</v>
      </c>
      <c r="C191" s="442"/>
      <c r="D191" s="442"/>
      <c r="E191" s="442"/>
      <c r="F191" s="252" t="s">
        <v>177</v>
      </c>
      <c r="G191" s="253" t="s">
        <v>178</v>
      </c>
      <c r="H191" s="254"/>
      <c r="I191" s="255"/>
      <c r="J191" s="256"/>
      <c r="K191" s="265">
        <v>1</v>
      </c>
      <c r="L191" s="393">
        <v>68040</v>
      </c>
      <c r="M191" s="379">
        <f>1/5000</f>
        <v>2.0000000000000001E-4</v>
      </c>
      <c r="N191" s="380">
        <v>1</v>
      </c>
      <c r="O191" s="259">
        <f t="shared" si="17"/>
        <v>13.608000000000001</v>
      </c>
      <c r="P191" s="289">
        <v>149108.51999999999</v>
      </c>
      <c r="Q191" s="393">
        <f t="shared" si="16"/>
        <v>2029068.74016</v>
      </c>
      <c r="R191" s="259"/>
      <c r="S191" s="259"/>
      <c r="T191" s="259"/>
      <c r="U191" s="259"/>
      <c r="V191" s="259"/>
      <c r="W191" s="267"/>
      <c r="X191" s="381" t="s">
        <v>342</v>
      </c>
      <c r="AA191" s="390">
        <f t="shared" ref="AA191:AA192" si="19">Q191/$E$1</f>
        <v>44732.556000000004</v>
      </c>
      <c r="AB191" s="151"/>
    </row>
    <row r="192" spans="2:28" x14ac:dyDescent="0.35">
      <c r="B192" s="454" t="s">
        <v>343</v>
      </c>
      <c r="C192" s="455"/>
      <c r="D192" s="455"/>
      <c r="E192" s="455"/>
      <c r="F192" s="252" t="s">
        <v>177</v>
      </c>
      <c r="G192" s="253" t="s">
        <v>178</v>
      </c>
      <c r="H192" s="254"/>
      <c r="I192" s="255"/>
      <c r="J192" s="256"/>
      <c r="K192" s="265">
        <v>1</v>
      </c>
      <c r="L192" s="393">
        <v>68040</v>
      </c>
      <c r="M192" s="450">
        <f>1/50000</f>
        <v>2.0000000000000002E-5</v>
      </c>
      <c r="N192" s="380">
        <v>1</v>
      </c>
      <c r="O192" s="259">
        <f t="shared" si="17"/>
        <v>1.3608</v>
      </c>
      <c r="P192" s="289">
        <v>149108.51999999999</v>
      </c>
      <c r="Q192" s="393">
        <f t="shared" si="16"/>
        <v>202906.87401599999</v>
      </c>
      <c r="R192" s="259"/>
      <c r="S192" s="259"/>
      <c r="T192" s="259"/>
      <c r="U192" s="259"/>
      <c r="V192" s="259"/>
      <c r="W192" s="267"/>
      <c r="X192" s="381"/>
      <c r="AA192" s="390">
        <f t="shared" si="19"/>
        <v>4473.2555999999995</v>
      </c>
      <c r="AB192" s="151"/>
    </row>
    <row r="193" spans="2:28" ht="43.5" x14ac:dyDescent="0.35">
      <c r="B193" s="441"/>
      <c r="C193" s="442"/>
      <c r="D193" s="442"/>
      <c r="E193" s="443"/>
      <c r="F193" s="456" t="s">
        <v>344</v>
      </c>
      <c r="G193" s="457" t="s">
        <v>345</v>
      </c>
      <c r="H193" s="458"/>
      <c r="I193" s="459"/>
      <c r="J193" s="460"/>
      <c r="K193" s="374">
        <v>1</v>
      </c>
      <c r="L193" s="461">
        <v>1</v>
      </c>
      <c r="M193" s="462">
        <v>1</v>
      </c>
      <c r="N193" s="376">
        <v>1</v>
      </c>
      <c r="O193" s="289">
        <f t="shared" si="17"/>
        <v>1</v>
      </c>
      <c r="P193" s="289">
        <v>5592015</v>
      </c>
      <c r="Q193" s="386">
        <f t="shared" si="16"/>
        <v>5592015</v>
      </c>
      <c r="R193" s="289"/>
      <c r="S193" s="289"/>
      <c r="T193" s="289"/>
      <c r="U193" s="289"/>
      <c r="V193" s="289"/>
      <c r="W193" s="267"/>
      <c r="X193" s="463" t="s">
        <v>346</v>
      </c>
      <c r="AA193" s="464">
        <f>Q193/$E$1</f>
        <v>123280.75396825396</v>
      </c>
      <c r="AB193" s="151"/>
    </row>
    <row r="194" spans="2:28" x14ac:dyDescent="0.35">
      <c r="B194" s="254"/>
      <c r="C194" s="255"/>
      <c r="D194" s="255" t="s">
        <v>128</v>
      </c>
      <c r="E194" s="349"/>
      <c r="F194" s="252" t="s">
        <v>177</v>
      </c>
      <c r="G194" s="253" t="s">
        <v>178</v>
      </c>
      <c r="H194" s="254"/>
      <c r="I194" s="255"/>
      <c r="J194" s="256" t="s">
        <v>179</v>
      </c>
      <c r="K194" s="265">
        <v>1</v>
      </c>
      <c r="L194" s="257">
        <v>45.36</v>
      </c>
      <c r="M194" s="430">
        <v>5</v>
      </c>
      <c r="N194" s="380">
        <v>6</v>
      </c>
      <c r="O194" s="380">
        <f t="shared" si="17"/>
        <v>1360.8000000000002</v>
      </c>
      <c r="P194" s="289">
        <v>149108.51999999999</v>
      </c>
      <c r="Q194" s="261">
        <f t="shared" si="16"/>
        <v>202906874.016</v>
      </c>
      <c r="R194" s="259">
        <v>149108.51999999999</v>
      </c>
      <c r="S194" s="259">
        <f>R194*$O194</f>
        <v>202906874.016</v>
      </c>
      <c r="T194" s="259">
        <v>158800.57379999998</v>
      </c>
      <c r="U194" s="259">
        <f>T194*$O194</f>
        <v>216095820.82704002</v>
      </c>
      <c r="V194" s="259">
        <f>W194/O194</f>
        <v>152339.2046</v>
      </c>
      <c r="W194" s="267">
        <f>AVERAGEIF($P$3:$U$3,W$3,$P194:$U194)</f>
        <v>207303189.61968002</v>
      </c>
      <c r="X194" s="151" t="s">
        <v>347</v>
      </c>
      <c r="AA194" s="464">
        <f>Q194/$E$1</f>
        <v>4473255.6000000006</v>
      </c>
      <c r="AB194" s="151"/>
    </row>
    <row r="195" spans="2:28" hidden="1" x14ac:dyDescent="0.35">
      <c r="B195" s="262"/>
      <c r="C195" s="263"/>
      <c r="D195" s="263" t="s">
        <v>348</v>
      </c>
      <c r="E195" s="264"/>
      <c r="F195" s="252" t="s">
        <v>177</v>
      </c>
      <c r="G195" s="253" t="s">
        <v>178</v>
      </c>
      <c r="H195" s="254"/>
      <c r="I195" s="255"/>
      <c r="J195" s="256"/>
      <c r="K195" s="257"/>
      <c r="L195" s="257"/>
      <c r="M195" s="258">
        <v>1</v>
      </c>
      <c r="N195" s="259">
        <v>1</v>
      </c>
      <c r="O195" s="259"/>
      <c r="P195" s="259"/>
      <c r="Q195" s="261"/>
      <c r="R195" s="259"/>
      <c r="S195" s="259"/>
      <c r="T195" s="259"/>
      <c r="U195" s="259"/>
      <c r="V195" s="259"/>
      <c r="W195" s="259"/>
      <c r="X195" s="151"/>
      <c r="AA195" s="151"/>
      <c r="AB195" s="151"/>
    </row>
    <row r="196" spans="2:28" hidden="1" x14ac:dyDescent="0.35">
      <c r="B196" s="313"/>
      <c r="C196" s="314"/>
      <c r="D196" s="314"/>
      <c r="E196" s="315"/>
      <c r="F196" s="252" t="s">
        <v>221</v>
      </c>
      <c r="G196" s="253" t="s">
        <v>222</v>
      </c>
      <c r="H196" s="254"/>
      <c r="I196" s="255"/>
      <c r="J196" s="256"/>
      <c r="K196" s="257"/>
      <c r="L196" s="257"/>
      <c r="M196" s="258">
        <v>0.6</v>
      </c>
      <c r="N196" s="259">
        <v>1</v>
      </c>
      <c r="O196" s="259"/>
      <c r="P196" s="259"/>
      <c r="Q196" s="261"/>
      <c r="R196" s="259"/>
      <c r="S196" s="259"/>
      <c r="T196" s="259"/>
      <c r="U196" s="259"/>
      <c r="V196" s="259"/>
      <c r="W196" s="259"/>
      <c r="X196" s="151"/>
      <c r="AA196" s="151"/>
      <c r="AB196" s="151"/>
    </row>
    <row r="197" spans="2:28" hidden="1" x14ac:dyDescent="0.35">
      <c r="B197" s="313"/>
      <c r="C197" s="314"/>
      <c r="D197" s="314"/>
      <c r="E197" s="315"/>
      <c r="F197" s="252" t="s">
        <v>223</v>
      </c>
      <c r="G197" s="253" t="s">
        <v>181</v>
      </c>
      <c r="H197" s="254"/>
      <c r="I197" s="255"/>
      <c r="J197" s="256"/>
      <c r="K197" s="257"/>
      <c r="L197" s="257"/>
      <c r="M197" s="258">
        <f>24/1000</f>
        <v>2.4E-2</v>
      </c>
      <c r="N197" s="259">
        <v>1</v>
      </c>
      <c r="O197" s="259"/>
      <c r="P197" s="259"/>
      <c r="Q197" s="261"/>
      <c r="R197" s="259"/>
      <c r="S197" s="259"/>
      <c r="T197" s="259"/>
      <c r="U197" s="259"/>
      <c r="V197" s="259"/>
      <c r="W197" s="259"/>
      <c r="X197" s="151"/>
      <c r="AA197" s="151"/>
      <c r="AB197" s="151"/>
    </row>
    <row r="198" spans="2:28" hidden="1" x14ac:dyDescent="0.35">
      <c r="B198" s="313"/>
      <c r="C198" s="314"/>
      <c r="D198" s="314"/>
      <c r="E198" s="315"/>
      <c r="F198" s="252" t="s">
        <v>225</v>
      </c>
      <c r="G198" s="253" t="s">
        <v>222</v>
      </c>
      <c r="H198" s="254"/>
      <c r="I198" s="255"/>
      <c r="J198" s="256"/>
      <c r="K198" s="257"/>
      <c r="L198" s="257"/>
      <c r="M198" s="258">
        <v>0.18</v>
      </c>
      <c r="N198" s="259">
        <v>1</v>
      </c>
      <c r="O198" s="259"/>
      <c r="P198" s="259"/>
      <c r="Q198" s="261"/>
      <c r="R198" s="259"/>
      <c r="S198" s="259"/>
      <c r="T198" s="259"/>
      <c r="U198" s="259"/>
      <c r="V198" s="259"/>
      <c r="W198" s="259"/>
      <c r="X198" s="151"/>
      <c r="AA198" s="151"/>
      <c r="AB198" s="151"/>
    </row>
    <row r="199" spans="2:28" hidden="1" x14ac:dyDescent="0.35">
      <c r="B199" s="313"/>
      <c r="C199" s="314"/>
      <c r="D199" s="314"/>
      <c r="E199" s="315"/>
      <c r="F199" s="252" t="s">
        <v>220</v>
      </c>
      <c r="G199" s="253" t="s">
        <v>183</v>
      </c>
      <c r="H199" s="254"/>
      <c r="I199" s="255"/>
      <c r="J199" s="256"/>
      <c r="K199" s="257"/>
      <c r="L199" s="257"/>
      <c r="M199" s="258">
        <v>0.01</v>
      </c>
      <c r="N199" s="259">
        <v>1</v>
      </c>
      <c r="O199" s="259"/>
      <c r="P199" s="259"/>
      <c r="Q199" s="261"/>
      <c r="R199" s="259"/>
      <c r="S199" s="259"/>
      <c r="T199" s="259"/>
      <c r="U199" s="259"/>
      <c r="V199" s="259"/>
      <c r="W199" s="259"/>
      <c r="X199" s="151"/>
      <c r="AA199" s="151"/>
      <c r="AB199" s="151"/>
    </row>
    <row r="200" spans="2:28" hidden="1" x14ac:dyDescent="0.35">
      <c r="B200" s="313"/>
      <c r="C200" s="314"/>
      <c r="D200" s="314"/>
      <c r="E200" s="315"/>
      <c r="F200" s="252" t="s">
        <v>226</v>
      </c>
      <c r="G200" s="253" t="s">
        <v>178</v>
      </c>
      <c r="H200" s="254"/>
      <c r="I200" s="255"/>
      <c r="J200" s="256"/>
      <c r="K200" s="257"/>
      <c r="L200" s="257"/>
      <c r="M200" s="258">
        <v>1</v>
      </c>
      <c r="N200" s="259">
        <v>1</v>
      </c>
      <c r="O200" s="259"/>
      <c r="P200" s="259"/>
      <c r="Q200" s="261"/>
      <c r="R200" s="259"/>
      <c r="S200" s="259"/>
      <c r="T200" s="259"/>
      <c r="U200" s="259"/>
      <c r="V200" s="259"/>
      <c r="W200" s="259"/>
      <c r="X200" s="151"/>
      <c r="AA200" s="151"/>
      <c r="AB200" s="151"/>
    </row>
    <row r="201" spans="2:28" hidden="1" x14ac:dyDescent="0.35">
      <c r="B201" s="313"/>
      <c r="C201" s="314"/>
      <c r="D201" s="314"/>
      <c r="E201" s="315"/>
      <c r="F201" s="151" t="s">
        <v>227</v>
      </c>
      <c r="G201" s="316" t="s">
        <v>183</v>
      </c>
      <c r="H201" s="317">
        <v>4</v>
      </c>
      <c r="I201" s="318" t="s">
        <v>228</v>
      </c>
      <c r="J201" s="151"/>
      <c r="K201" s="465"/>
      <c r="L201" s="465"/>
      <c r="M201" s="343">
        <f>((M$195*N$195)/240*($H201/N201))</f>
        <v>1.6666666666666666E-2</v>
      </c>
      <c r="N201" s="259">
        <v>1</v>
      </c>
      <c r="O201" s="259"/>
      <c r="P201" s="259"/>
      <c r="Q201" s="261"/>
      <c r="R201" s="259"/>
      <c r="S201" s="259"/>
      <c r="T201" s="259"/>
      <c r="U201" s="259"/>
      <c r="V201" s="259"/>
      <c r="W201" s="259"/>
      <c r="X201" s="151"/>
      <c r="AA201" s="151"/>
      <c r="AB201" s="151"/>
    </row>
    <row r="202" spans="2:28" hidden="1" x14ac:dyDescent="0.35">
      <c r="B202" s="313"/>
      <c r="C202" s="314"/>
      <c r="D202" s="314"/>
      <c r="E202" s="315"/>
      <c r="F202" s="151" t="s">
        <v>229</v>
      </c>
      <c r="G202" s="316" t="s">
        <v>183</v>
      </c>
      <c r="H202" s="317">
        <v>12</v>
      </c>
      <c r="I202" s="318" t="s">
        <v>228</v>
      </c>
      <c r="J202" s="151"/>
      <c r="K202" s="465"/>
      <c r="L202" s="465"/>
      <c r="M202" s="343">
        <f>((M$195*N$195)/240*($H202/N202))</f>
        <v>0.05</v>
      </c>
      <c r="N202" s="259">
        <v>1</v>
      </c>
      <c r="O202" s="259"/>
      <c r="P202" s="259"/>
      <c r="Q202" s="261"/>
      <c r="R202" s="259"/>
      <c r="S202" s="259"/>
      <c r="T202" s="259"/>
      <c r="U202" s="259"/>
      <c r="V202" s="259"/>
      <c r="W202" s="259"/>
      <c r="X202" s="151"/>
      <c r="AA202" s="151"/>
      <c r="AB202" s="151"/>
    </row>
    <row r="203" spans="2:28" hidden="1" x14ac:dyDescent="0.35">
      <c r="B203" s="313"/>
      <c r="C203" s="314"/>
      <c r="D203" s="314"/>
      <c r="E203" s="315"/>
      <c r="F203" s="151" t="s">
        <v>230</v>
      </c>
      <c r="G203" s="316" t="s">
        <v>183</v>
      </c>
      <c r="H203" s="317">
        <v>1</v>
      </c>
      <c r="I203" s="318" t="s">
        <v>228</v>
      </c>
      <c r="J203" s="151"/>
      <c r="K203" s="465"/>
      <c r="L203" s="465"/>
      <c r="M203" s="343">
        <f>((M$195*N$195)/240*($H203/N203))</f>
        <v>4.1666666666666666E-3</v>
      </c>
      <c r="N203" s="259">
        <v>1</v>
      </c>
      <c r="O203" s="259"/>
      <c r="P203" s="259"/>
      <c r="Q203" s="261"/>
      <c r="R203" s="259"/>
      <c r="S203" s="259"/>
      <c r="T203" s="259"/>
      <c r="U203" s="259"/>
      <c r="V203" s="259"/>
      <c r="W203" s="259"/>
      <c r="X203" s="151"/>
      <c r="AA203" s="151"/>
      <c r="AB203" s="151"/>
    </row>
    <row r="204" spans="2:28" hidden="1" x14ac:dyDescent="0.35">
      <c r="B204" s="313"/>
      <c r="C204" s="314"/>
      <c r="D204" s="314"/>
      <c r="E204" s="315"/>
      <c r="F204" s="151" t="s">
        <v>231</v>
      </c>
      <c r="G204" s="316" t="s">
        <v>183</v>
      </c>
      <c r="H204" s="317">
        <v>2</v>
      </c>
      <c r="I204" s="318" t="s">
        <v>228</v>
      </c>
      <c r="J204" s="151"/>
      <c r="K204" s="465"/>
      <c r="L204" s="465"/>
      <c r="M204" s="343">
        <f>((M$195*N$195)/240*($H204/N204))</f>
        <v>8.3333333333333332E-3</v>
      </c>
      <c r="N204" s="259">
        <v>1</v>
      </c>
      <c r="O204" s="259"/>
      <c r="P204" s="259"/>
      <c r="Q204" s="261"/>
      <c r="R204" s="259"/>
      <c r="S204" s="259"/>
      <c r="T204" s="259"/>
      <c r="U204" s="259"/>
      <c r="V204" s="259"/>
      <c r="W204" s="259"/>
      <c r="X204" s="151"/>
      <c r="AA204" s="151"/>
      <c r="AB204" s="151"/>
    </row>
    <row r="205" spans="2:28" hidden="1" x14ac:dyDescent="0.35">
      <c r="B205" s="320"/>
      <c r="C205" s="321"/>
      <c r="D205" s="321"/>
      <c r="E205" s="332"/>
      <c r="F205" s="151" t="s">
        <v>232</v>
      </c>
      <c r="G205" s="316" t="s">
        <v>183</v>
      </c>
      <c r="H205" s="317">
        <v>1</v>
      </c>
      <c r="I205" s="318" t="s">
        <v>228</v>
      </c>
      <c r="J205" s="151"/>
      <c r="K205" s="465"/>
      <c r="L205" s="465"/>
      <c r="M205" s="343">
        <f>((M$195*N$195)/240*($H205/N205))</f>
        <v>4.1666666666666666E-3</v>
      </c>
      <c r="N205" s="259">
        <v>1</v>
      </c>
      <c r="O205" s="259"/>
      <c r="P205" s="259"/>
      <c r="Q205" s="261"/>
      <c r="R205" s="259"/>
      <c r="S205" s="259"/>
      <c r="T205" s="259"/>
      <c r="U205" s="259"/>
      <c r="V205" s="259"/>
      <c r="W205" s="259"/>
      <c r="X205" s="151"/>
      <c r="AA205" s="151"/>
      <c r="AB205" s="151"/>
    </row>
    <row r="206" spans="2:28" hidden="1" x14ac:dyDescent="0.35">
      <c r="B206" s="262"/>
      <c r="C206" s="263"/>
      <c r="D206" s="263" t="s">
        <v>78</v>
      </c>
      <c r="E206" s="264"/>
      <c r="F206" s="252" t="s">
        <v>177</v>
      </c>
      <c r="G206" s="253" t="s">
        <v>178</v>
      </c>
      <c r="H206" s="254"/>
      <c r="I206" s="255"/>
      <c r="J206" s="256"/>
      <c r="K206" s="265"/>
      <c r="L206" s="257">
        <v>1</v>
      </c>
      <c r="M206" s="258">
        <v>1.5</v>
      </c>
      <c r="N206" s="259">
        <v>1</v>
      </c>
      <c r="O206" s="259">
        <f>K206*L206*M206*N206</f>
        <v>0</v>
      </c>
      <c r="P206" s="259">
        <v>140008</v>
      </c>
      <c r="Q206" s="261">
        <f>P206*$O206</f>
        <v>0</v>
      </c>
      <c r="R206" s="259">
        <v>149108.51999999999</v>
      </c>
      <c r="S206" s="259">
        <f>R206*$O206</f>
        <v>0</v>
      </c>
      <c r="T206" s="259">
        <v>158800.57379999998</v>
      </c>
      <c r="U206" s="259">
        <f>T206*$O206</f>
        <v>0</v>
      </c>
      <c r="V206" s="259" t="e">
        <f>W206/O206</f>
        <v>#DIV/0!</v>
      </c>
      <c r="W206" s="267">
        <f>AVERAGEIF($P$3:$U$3,W$3,$P206:$U206)</f>
        <v>0</v>
      </c>
      <c r="X206" s="151"/>
      <c r="AA206" s="151"/>
      <c r="AB206" s="151"/>
    </row>
    <row r="207" spans="2:28" hidden="1" x14ac:dyDescent="0.35">
      <c r="B207" s="313"/>
      <c r="C207" s="314"/>
      <c r="D207" s="314"/>
      <c r="E207" s="315"/>
      <c r="F207" s="252" t="s">
        <v>221</v>
      </c>
      <c r="G207" s="253" t="s">
        <v>222</v>
      </c>
      <c r="H207" s="254"/>
      <c r="I207" s="255"/>
      <c r="J207" s="256"/>
      <c r="K207" s="265"/>
      <c r="L207" s="257">
        <v>1</v>
      </c>
      <c r="M207" s="258">
        <v>1.5</v>
      </c>
      <c r="N207" s="259">
        <v>2</v>
      </c>
      <c r="O207" s="259">
        <f t="shared" ref="O207:O215" si="20">K207*L207*M207*N207</f>
        <v>0</v>
      </c>
      <c r="P207" s="259">
        <v>36352.800000000003</v>
      </c>
      <c r="Q207" s="261">
        <f t="shared" ref="Q207:Q215" si="21">P207*$O207</f>
        <v>0</v>
      </c>
      <c r="R207" s="259">
        <v>35343</v>
      </c>
      <c r="S207" s="259">
        <f t="shared" ref="S207:S215" si="22">R207*$O207</f>
        <v>0</v>
      </c>
      <c r="T207" s="259">
        <v>37110.15</v>
      </c>
      <c r="U207" s="259">
        <f t="shared" ref="U207:U215" si="23">T207*$O207</f>
        <v>0</v>
      </c>
      <c r="V207" s="259" t="e">
        <f t="shared" ref="V207:V215" si="24">W207/O207</f>
        <v>#DIV/0!</v>
      </c>
      <c r="W207" s="267">
        <f t="shared" ref="W207:W215" si="25">AVERAGEIF($P$3:$U$3,W$3,$P207:$U207)</f>
        <v>0</v>
      </c>
      <c r="X207" s="151"/>
      <c r="AA207" s="151"/>
      <c r="AB207" s="151"/>
    </row>
    <row r="208" spans="2:28" hidden="1" x14ac:dyDescent="0.35">
      <c r="B208" s="313"/>
      <c r="C208" s="314"/>
      <c r="D208" s="314"/>
      <c r="E208" s="315"/>
      <c r="F208" s="252" t="s">
        <v>225</v>
      </c>
      <c r="G208" s="253" t="s">
        <v>222</v>
      </c>
      <c r="H208" s="254"/>
      <c r="I208" s="255"/>
      <c r="J208" s="256"/>
      <c r="K208" s="265"/>
      <c r="L208" s="257">
        <v>1</v>
      </c>
      <c r="M208" s="258">
        <v>2.7E-2</v>
      </c>
      <c r="N208" s="259">
        <v>2</v>
      </c>
      <c r="O208" s="259">
        <f t="shared" si="20"/>
        <v>0</v>
      </c>
      <c r="P208" s="259">
        <v>46267.199999999997</v>
      </c>
      <c r="Q208" s="261">
        <f t="shared" si="21"/>
        <v>0</v>
      </c>
      <c r="R208" s="259">
        <v>44982</v>
      </c>
      <c r="S208" s="259">
        <f t="shared" si="22"/>
        <v>0</v>
      </c>
      <c r="T208" s="259">
        <v>47231.1</v>
      </c>
      <c r="U208" s="259">
        <f t="shared" si="23"/>
        <v>0</v>
      </c>
      <c r="V208" s="259" t="e">
        <f t="shared" si="24"/>
        <v>#DIV/0!</v>
      </c>
      <c r="W208" s="267">
        <f t="shared" si="25"/>
        <v>0</v>
      </c>
      <c r="X208" s="151"/>
      <c r="AA208" s="151"/>
      <c r="AB208" s="151"/>
    </row>
    <row r="209" spans="2:28" hidden="1" x14ac:dyDescent="0.35">
      <c r="B209" s="313"/>
      <c r="C209" s="314"/>
      <c r="D209" s="314"/>
      <c r="E209" s="315"/>
      <c r="F209" s="252" t="s">
        <v>220</v>
      </c>
      <c r="G209" s="253" t="s">
        <v>183</v>
      </c>
      <c r="H209" s="254"/>
      <c r="I209" s="255"/>
      <c r="J209" s="256"/>
      <c r="K209" s="265"/>
      <c r="L209" s="257">
        <v>1</v>
      </c>
      <c r="M209" s="258">
        <v>0.01</v>
      </c>
      <c r="N209" s="259">
        <v>1</v>
      </c>
      <c r="O209" s="259">
        <f t="shared" si="20"/>
        <v>0</v>
      </c>
      <c r="P209" s="259">
        <v>1366468.5</v>
      </c>
      <c r="Q209" s="261">
        <f t="shared" si="21"/>
        <v>0</v>
      </c>
      <c r="R209" s="259">
        <v>1434791.925</v>
      </c>
      <c r="S209" s="259">
        <f t="shared" si="22"/>
        <v>0</v>
      </c>
      <c r="T209" s="259">
        <v>1506531.5212500002</v>
      </c>
      <c r="U209" s="259">
        <f t="shared" si="23"/>
        <v>0</v>
      </c>
      <c r="V209" s="259" t="e">
        <f t="shared" si="24"/>
        <v>#DIV/0!</v>
      </c>
      <c r="W209" s="267">
        <f t="shared" si="25"/>
        <v>0</v>
      </c>
      <c r="X209" s="151"/>
      <c r="AA209" s="151"/>
      <c r="AB209" s="151"/>
    </row>
    <row r="210" spans="2:28" hidden="1" x14ac:dyDescent="0.35">
      <c r="B210" s="313"/>
      <c r="C210" s="314"/>
      <c r="D210" s="314"/>
      <c r="E210" s="315"/>
      <c r="F210" s="252" t="s">
        <v>226</v>
      </c>
      <c r="G210" s="253" t="s">
        <v>178</v>
      </c>
      <c r="H210" s="254"/>
      <c r="I210" s="255"/>
      <c r="J210" s="256"/>
      <c r="K210" s="265"/>
      <c r="L210" s="257">
        <v>1</v>
      </c>
      <c r="M210" s="258">
        <v>1</v>
      </c>
      <c r="N210" s="259">
        <v>2</v>
      </c>
      <c r="O210" s="259">
        <f t="shared" si="20"/>
        <v>0</v>
      </c>
      <c r="P210" s="259">
        <v>3700</v>
      </c>
      <c r="Q210" s="261">
        <f t="shared" si="21"/>
        <v>0</v>
      </c>
      <c r="R210" s="259">
        <v>3940.5</v>
      </c>
      <c r="S210" s="259">
        <f t="shared" si="22"/>
        <v>0</v>
      </c>
      <c r="T210" s="259">
        <v>4196.6324999999997</v>
      </c>
      <c r="U210" s="259">
        <f t="shared" si="23"/>
        <v>0</v>
      </c>
      <c r="V210" s="259" t="e">
        <f t="shared" si="24"/>
        <v>#DIV/0!</v>
      </c>
      <c r="W210" s="267">
        <f t="shared" si="25"/>
        <v>0</v>
      </c>
      <c r="X210" s="151"/>
      <c r="AA210" s="151"/>
      <c r="AB210" s="151"/>
    </row>
    <row r="211" spans="2:28" hidden="1" x14ac:dyDescent="0.35">
      <c r="B211" s="313"/>
      <c r="C211" s="314"/>
      <c r="D211" s="314"/>
      <c r="E211" s="315"/>
      <c r="F211" s="151" t="s">
        <v>227</v>
      </c>
      <c r="G211" s="316" t="s">
        <v>183</v>
      </c>
      <c r="H211" s="317">
        <v>4</v>
      </c>
      <c r="I211" s="318" t="s">
        <v>228</v>
      </c>
      <c r="J211" s="151"/>
      <c r="K211" s="265"/>
      <c r="L211" s="257">
        <v>1</v>
      </c>
      <c r="M211" s="343">
        <f>((M$206*N$206)/240*($H211/N211))</f>
        <v>2.5000000000000001E-2</v>
      </c>
      <c r="N211" s="259">
        <v>1</v>
      </c>
      <c r="O211" s="259">
        <f t="shared" si="20"/>
        <v>0</v>
      </c>
      <c r="P211" s="259">
        <v>42840</v>
      </c>
      <c r="Q211" s="261">
        <f t="shared" si="21"/>
        <v>0</v>
      </c>
      <c r="R211" s="259">
        <v>44982</v>
      </c>
      <c r="S211" s="259">
        <f t="shared" si="22"/>
        <v>0</v>
      </c>
      <c r="T211" s="259">
        <v>47231.1</v>
      </c>
      <c r="U211" s="259">
        <f t="shared" si="23"/>
        <v>0</v>
      </c>
      <c r="V211" s="259" t="e">
        <f t="shared" si="24"/>
        <v>#DIV/0!</v>
      </c>
      <c r="W211" s="267">
        <f t="shared" si="25"/>
        <v>0</v>
      </c>
      <c r="X211" s="151"/>
      <c r="AA211" s="151"/>
      <c r="AB211" s="151"/>
    </row>
    <row r="212" spans="2:28" hidden="1" x14ac:dyDescent="0.35">
      <c r="B212" s="313"/>
      <c r="C212" s="314"/>
      <c r="D212" s="314"/>
      <c r="E212" s="315"/>
      <c r="F212" s="151" t="s">
        <v>229</v>
      </c>
      <c r="G212" s="316" t="s">
        <v>183</v>
      </c>
      <c r="H212" s="317">
        <v>12</v>
      </c>
      <c r="I212" s="318" t="s">
        <v>228</v>
      </c>
      <c r="J212" s="151"/>
      <c r="K212" s="265"/>
      <c r="L212" s="257">
        <v>1</v>
      </c>
      <c r="M212" s="343">
        <f>((M$206*N$206)/240*($H212/N212))</f>
        <v>7.5000000000000011E-2</v>
      </c>
      <c r="N212" s="259">
        <v>1</v>
      </c>
      <c r="O212" s="259">
        <f t="shared" si="20"/>
        <v>0</v>
      </c>
      <c r="P212" s="259">
        <v>14000</v>
      </c>
      <c r="Q212" s="261">
        <f t="shared" si="21"/>
        <v>0</v>
      </c>
      <c r="R212" s="259">
        <v>14700</v>
      </c>
      <c r="S212" s="259">
        <f t="shared" si="22"/>
        <v>0</v>
      </c>
      <c r="T212" s="259">
        <v>15435</v>
      </c>
      <c r="U212" s="259">
        <f t="shared" si="23"/>
        <v>0</v>
      </c>
      <c r="V212" s="259" t="e">
        <f t="shared" si="24"/>
        <v>#DIV/0!</v>
      </c>
      <c r="W212" s="267">
        <f t="shared" si="25"/>
        <v>0</v>
      </c>
      <c r="X212" s="151"/>
      <c r="AA212" s="151"/>
      <c r="AB212" s="151"/>
    </row>
    <row r="213" spans="2:28" hidden="1" x14ac:dyDescent="0.35">
      <c r="B213" s="313"/>
      <c r="C213" s="314"/>
      <c r="D213" s="314"/>
      <c r="E213" s="315"/>
      <c r="F213" s="151" t="s">
        <v>230</v>
      </c>
      <c r="G213" s="316" t="s">
        <v>183</v>
      </c>
      <c r="H213" s="317">
        <v>1</v>
      </c>
      <c r="I213" s="318" t="s">
        <v>228</v>
      </c>
      <c r="J213" s="151"/>
      <c r="K213" s="265"/>
      <c r="L213" s="257">
        <v>1</v>
      </c>
      <c r="M213" s="343">
        <f>((M$206*N$206)/240*($H213/N213))</f>
        <v>6.2500000000000003E-3</v>
      </c>
      <c r="N213" s="259">
        <v>1</v>
      </c>
      <c r="O213" s="259">
        <f t="shared" si="20"/>
        <v>0</v>
      </c>
      <c r="P213" s="259">
        <v>37485</v>
      </c>
      <c r="Q213" s="261">
        <f t="shared" si="21"/>
        <v>0</v>
      </c>
      <c r="R213" s="259">
        <v>39359.25</v>
      </c>
      <c r="S213" s="259">
        <f t="shared" si="22"/>
        <v>0</v>
      </c>
      <c r="T213" s="259">
        <v>41327.212500000001</v>
      </c>
      <c r="U213" s="259">
        <f t="shared" si="23"/>
        <v>0</v>
      </c>
      <c r="V213" s="259" t="e">
        <f t="shared" si="24"/>
        <v>#DIV/0!</v>
      </c>
      <c r="W213" s="267">
        <f t="shared" si="25"/>
        <v>0</v>
      </c>
      <c r="X213" s="151"/>
      <c r="AA213" s="151"/>
      <c r="AB213" s="151"/>
    </row>
    <row r="214" spans="2:28" hidden="1" x14ac:dyDescent="0.35">
      <c r="B214" s="313"/>
      <c r="C214" s="314"/>
      <c r="D214" s="314"/>
      <c r="E214" s="315"/>
      <c r="F214" s="151" t="s">
        <v>231</v>
      </c>
      <c r="G214" s="316" t="s">
        <v>183</v>
      </c>
      <c r="H214" s="317">
        <v>2</v>
      </c>
      <c r="I214" s="318" t="s">
        <v>228</v>
      </c>
      <c r="J214" s="151"/>
      <c r="K214" s="265"/>
      <c r="L214" s="257">
        <v>1</v>
      </c>
      <c r="M214" s="343">
        <f>((M$206*N$206)/240*($H214/N214))</f>
        <v>1.2500000000000001E-2</v>
      </c>
      <c r="N214" s="259">
        <v>1</v>
      </c>
      <c r="O214" s="259">
        <f t="shared" si="20"/>
        <v>0</v>
      </c>
      <c r="P214" s="259">
        <v>32130</v>
      </c>
      <c r="Q214" s="261">
        <f t="shared" si="21"/>
        <v>0</v>
      </c>
      <c r="R214" s="259">
        <v>33736.5</v>
      </c>
      <c r="S214" s="259">
        <f t="shared" si="22"/>
        <v>0</v>
      </c>
      <c r="T214" s="259">
        <v>35423.325000000004</v>
      </c>
      <c r="U214" s="259">
        <f t="shared" si="23"/>
        <v>0</v>
      </c>
      <c r="V214" s="259" t="e">
        <f t="shared" si="24"/>
        <v>#DIV/0!</v>
      </c>
      <c r="W214" s="267">
        <f t="shared" si="25"/>
        <v>0</v>
      </c>
      <c r="X214" s="151"/>
      <c r="AA214" s="151"/>
      <c r="AB214" s="151"/>
    </row>
    <row r="215" spans="2:28" hidden="1" x14ac:dyDescent="0.35">
      <c r="B215" s="320"/>
      <c r="C215" s="321"/>
      <c r="D215" s="321"/>
      <c r="E215" s="332"/>
      <c r="F215" s="151" t="s">
        <v>232</v>
      </c>
      <c r="G215" s="316" t="s">
        <v>183</v>
      </c>
      <c r="H215" s="317">
        <v>1</v>
      </c>
      <c r="I215" s="318" t="s">
        <v>228</v>
      </c>
      <c r="J215" s="151"/>
      <c r="K215" s="265"/>
      <c r="L215" s="257">
        <v>1</v>
      </c>
      <c r="M215" s="343">
        <f>((M$206*N$206)/240*($H215/N215))</f>
        <v>6.2500000000000003E-3</v>
      </c>
      <c r="N215" s="259">
        <v>1</v>
      </c>
      <c r="O215" s="259">
        <f t="shared" si="20"/>
        <v>0</v>
      </c>
      <c r="P215" s="259">
        <v>85680</v>
      </c>
      <c r="Q215" s="261">
        <f t="shared" si="21"/>
        <v>0</v>
      </c>
      <c r="R215" s="259">
        <v>89964</v>
      </c>
      <c r="S215" s="259">
        <f t="shared" si="22"/>
        <v>0</v>
      </c>
      <c r="T215" s="259">
        <v>94462.2</v>
      </c>
      <c r="U215" s="259">
        <f t="shared" si="23"/>
        <v>0</v>
      </c>
      <c r="V215" s="259" t="e">
        <f t="shared" si="24"/>
        <v>#DIV/0!</v>
      </c>
      <c r="W215" s="267">
        <f t="shared" si="25"/>
        <v>0</v>
      </c>
      <c r="X215" s="151"/>
      <c r="AA215" s="151"/>
      <c r="AB215" s="151"/>
    </row>
    <row r="216" spans="2:28" x14ac:dyDescent="0.35">
      <c r="B216" s="369" t="s">
        <v>349</v>
      </c>
      <c r="C216" s="370"/>
      <c r="D216" s="370"/>
      <c r="E216" s="371"/>
      <c r="F216" s="372"/>
      <c r="G216" s="466"/>
      <c r="H216" s="467"/>
      <c r="I216" s="468"/>
      <c r="J216" s="372"/>
      <c r="K216" s="387"/>
      <c r="L216" s="342"/>
      <c r="M216" s="343"/>
      <c r="N216" s="344"/>
      <c r="O216" s="344"/>
      <c r="P216" s="344"/>
      <c r="Q216" s="345">
        <f>SUM(Q168:Q194)</f>
        <v>361037910.76389861</v>
      </c>
      <c r="R216" s="344"/>
      <c r="S216" s="344"/>
      <c r="T216" s="344"/>
      <c r="U216" s="344"/>
      <c r="V216" s="344"/>
      <c r="W216" s="389"/>
      <c r="X216" s="469"/>
      <c r="Y216" s="470"/>
      <c r="Z216" s="470"/>
      <c r="AA216" s="471">
        <f>Q216/$E$1</f>
        <v>7959389.5671053482</v>
      </c>
      <c r="AB216" s="346">
        <f>Q216/$Q$346*100</f>
        <v>9.573787750611654</v>
      </c>
    </row>
    <row r="217" spans="2:28" x14ac:dyDescent="0.35">
      <c r="B217" s="254"/>
      <c r="C217" s="250" t="s">
        <v>350</v>
      </c>
      <c r="D217" s="255"/>
      <c r="E217" s="349"/>
      <c r="F217" s="252"/>
      <c r="G217" s="253"/>
      <c r="H217" s="254"/>
      <c r="I217" s="255"/>
      <c r="J217" s="256"/>
      <c r="K217" s="257"/>
      <c r="L217" s="257"/>
      <c r="M217" s="258"/>
      <c r="N217" s="259"/>
      <c r="O217" s="259"/>
      <c r="P217" s="259"/>
      <c r="Q217" s="259"/>
      <c r="R217" s="259"/>
      <c r="S217" s="259"/>
      <c r="T217" s="259"/>
      <c r="U217" s="259"/>
      <c r="V217" s="259"/>
      <c r="W217" s="259"/>
      <c r="X217" s="151"/>
      <c r="AA217" s="151"/>
      <c r="AB217" s="151"/>
    </row>
    <row r="218" spans="2:28" x14ac:dyDescent="0.35">
      <c r="B218" s="254"/>
      <c r="C218" s="255"/>
      <c r="D218" s="255" t="s">
        <v>351</v>
      </c>
      <c r="E218" s="349"/>
      <c r="F218" s="252"/>
      <c r="G218" s="253"/>
      <c r="H218" s="254"/>
      <c r="I218" s="255"/>
      <c r="J218" s="256"/>
      <c r="K218" s="257"/>
      <c r="L218" s="257"/>
      <c r="M218" s="258"/>
      <c r="N218" s="259"/>
      <c r="O218" s="259"/>
      <c r="P218" s="259"/>
      <c r="Q218" s="259"/>
      <c r="R218" s="259"/>
      <c r="S218" s="259"/>
      <c r="T218" s="259"/>
      <c r="U218" s="259"/>
      <c r="V218" s="259"/>
      <c r="W218" s="259"/>
      <c r="X218" s="151"/>
      <c r="AA218" s="151"/>
      <c r="AB218" s="151"/>
    </row>
    <row r="219" spans="2:28" x14ac:dyDescent="0.35">
      <c r="B219" s="472"/>
      <c r="C219" s="473"/>
      <c r="D219" s="473"/>
      <c r="E219" s="474" t="s">
        <v>352</v>
      </c>
      <c r="F219" s="151" t="s">
        <v>177</v>
      </c>
      <c r="G219" s="316" t="s">
        <v>178</v>
      </c>
      <c r="H219" s="317"/>
      <c r="I219" s="318"/>
      <c r="J219" s="151" t="s">
        <v>179</v>
      </c>
      <c r="K219" s="433">
        <v>1</v>
      </c>
      <c r="L219" s="257">
        <v>45.36</v>
      </c>
      <c r="M219" s="435">
        <v>1.5</v>
      </c>
      <c r="N219" s="300">
        <v>3</v>
      </c>
      <c r="O219" s="309">
        <f>K219*L219*M219*N219</f>
        <v>204.11999999999998</v>
      </c>
      <c r="P219" s="274">
        <v>149108.51999999999</v>
      </c>
      <c r="Q219" s="261">
        <f>P219*$O219</f>
        <v>30436031.102399994</v>
      </c>
      <c r="R219" s="259">
        <v>149108.51999999999</v>
      </c>
      <c r="S219" s="259">
        <f>R219*$O219</f>
        <v>30436031.102399994</v>
      </c>
      <c r="T219" s="259">
        <v>158800.57379999998</v>
      </c>
      <c r="U219" s="259">
        <f>T219*$O219</f>
        <v>32414373.124055993</v>
      </c>
      <c r="V219" s="259">
        <f>W219/O219</f>
        <v>152339.20459999997</v>
      </c>
      <c r="W219" s="267">
        <f>AVERAGEIF($P$3:$U$3,W$3,$P219:$U219)</f>
        <v>31095478.442951992</v>
      </c>
      <c r="X219" s="151"/>
      <c r="AA219" s="464">
        <f t="shared" ref="AA219:AA228" si="26">Q219/$E$1</f>
        <v>670988.33999999985</v>
      </c>
      <c r="AB219" s="151"/>
    </row>
    <row r="220" spans="2:28" x14ac:dyDescent="0.35">
      <c r="B220" s="313"/>
      <c r="C220" s="314"/>
      <c r="D220" s="314"/>
      <c r="E220" s="315"/>
      <c r="F220" s="151" t="s">
        <v>353</v>
      </c>
      <c r="G220" s="316" t="s">
        <v>178</v>
      </c>
      <c r="H220" s="317"/>
      <c r="I220" s="318"/>
      <c r="J220" s="151"/>
      <c r="K220" s="433">
        <v>0.3</v>
      </c>
      <c r="L220" s="257">
        <v>45.36</v>
      </c>
      <c r="M220" s="435">
        <v>0.18</v>
      </c>
      <c r="N220" s="300">
        <f>N219</f>
        <v>3</v>
      </c>
      <c r="O220" s="309">
        <f>K220*L220*M220*N220</f>
        <v>7.3483199999999993</v>
      </c>
      <c r="P220" s="274">
        <v>149108.51999999999</v>
      </c>
      <c r="Q220" s="261">
        <f>P220*$O220</f>
        <v>1095697.1196863998</v>
      </c>
      <c r="R220" s="309"/>
      <c r="S220" s="309"/>
      <c r="T220" s="309"/>
      <c r="U220" s="309"/>
      <c r="V220" s="309"/>
      <c r="W220" s="309"/>
      <c r="X220" s="151"/>
      <c r="Y220" s="475"/>
      <c r="Z220" s="475"/>
      <c r="AA220" s="464">
        <f t="shared" si="26"/>
        <v>24155.580239999996</v>
      </c>
      <c r="AB220" s="151"/>
    </row>
    <row r="221" spans="2:28" x14ac:dyDescent="0.35">
      <c r="B221" s="313"/>
      <c r="C221" s="314"/>
      <c r="D221" s="314"/>
      <c r="E221" s="315"/>
      <c r="F221" s="151" t="s">
        <v>226</v>
      </c>
      <c r="G221" s="316" t="s">
        <v>178</v>
      </c>
      <c r="H221" s="317"/>
      <c r="I221" s="318"/>
      <c r="J221" s="151"/>
      <c r="K221" s="433">
        <v>1</v>
      </c>
      <c r="L221" s="257">
        <v>45.36</v>
      </c>
      <c r="M221" s="435">
        <v>0.5</v>
      </c>
      <c r="N221" s="300">
        <f>N220</f>
        <v>3</v>
      </c>
      <c r="O221" s="309">
        <f t="shared" ref="O221:O227" si="27">K221*L221*M221*N221</f>
        <v>68.039999999999992</v>
      </c>
      <c r="P221" s="274">
        <v>3940.5</v>
      </c>
      <c r="Q221" s="261">
        <f t="shared" ref="Q221:Q227" si="28">P221*$O221</f>
        <v>268111.62</v>
      </c>
      <c r="R221" s="309"/>
      <c r="S221" s="309"/>
      <c r="T221" s="309"/>
      <c r="U221" s="309"/>
      <c r="V221" s="309"/>
      <c r="W221" s="309"/>
      <c r="X221" s="151"/>
      <c r="Y221" s="475"/>
      <c r="AA221" s="464">
        <f t="shared" si="26"/>
        <v>5910.75</v>
      </c>
      <c r="AB221" s="151"/>
    </row>
    <row r="222" spans="2:28" x14ac:dyDescent="0.35">
      <c r="B222" s="313"/>
      <c r="C222" s="314"/>
      <c r="D222" s="314"/>
      <c r="E222" s="315"/>
      <c r="F222" s="151" t="s">
        <v>354</v>
      </c>
      <c r="G222" s="316" t="s">
        <v>183</v>
      </c>
      <c r="H222" s="317">
        <v>1</v>
      </c>
      <c r="I222" s="318" t="s">
        <v>228</v>
      </c>
      <c r="J222" s="151"/>
      <c r="K222" s="433">
        <v>1</v>
      </c>
      <c r="L222" s="257">
        <v>45.36</v>
      </c>
      <c r="M222" s="476">
        <f>((M$219*N$219)/240)*($H222/N222)</f>
        <v>6.2499999999999995E-3</v>
      </c>
      <c r="N222" s="300">
        <v>3</v>
      </c>
      <c r="O222" s="309">
        <f t="shared" si="27"/>
        <v>0.85049999999999992</v>
      </c>
      <c r="P222" s="274">
        <v>5250</v>
      </c>
      <c r="Q222" s="261">
        <f t="shared" si="28"/>
        <v>4465.125</v>
      </c>
      <c r="R222" s="309"/>
      <c r="S222" s="309"/>
      <c r="T222" s="309"/>
      <c r="U222" s="309"/>
      <c r="V222" s="309"/>
      <c r="W222" s="309"/>
      <c r="X222" s="151"/>
      <c r="AA222" s="464">
        <f t="shared" si="26"/>
        <v>98.4375</v>
      </c>
      <c r="AB222" s="151"/>
    </row>
    <row r="223" spans="2:28" x14ac:dyDescent="0.35">
      <c r="B223" s="313"/>
      <c r="C223" s="314"/>
      <c r="D223" s="314"/>
      <c r="E223" s="315"/>
      <c r="F223" s="151" t="s">
        <v>227</v>
      </c>
      <c r="G223" s="316" t="s">
        <v>183</v>
      </c>
      <c r="H223" s="317">
        <v>4</v>
      </c>
      <c r="I223" s="318" t="s">
        <v>228</v>
      </c>
      <c r="J223" s="151"/>
      <c r="K223" s="433">
        <v>1</v>
      </c>
      <c r="L223" s="257">
        <v>45.36</v>
      </c>
      <c r="M223" s="476">
        <f>((M$219*N$219)/240)*($H223/N223)</f>
        <v>2.4999999999999998E-2</v>
      </c>
      <c r="N223" s="300">
        <v>3</v>
      </c>
      <c r="O223" s="309">
        <f t="shared" si="27"/>
        <v>3.4019999999999997</v>
      </c>
      <c r="P223" s="274">
        <v>44982</v>
      </c>
      <c r="Q223" s="261">
        <f t="shared" si="28"/>
        <v>153028.764</v>
      </c>
      <c r="R223" s="309"/>
      <c r="S223" s="309"/>
      <c r="T223" s="309"/>
      <c r="U223" s="309"/>
      <c r="V223" s="309"/>
      <c r="W223" s="309"/>
      <c r="X223" s="151"/>
      <c r="AA223" s="464">
        <f t="shared" si="26"/>
        <v>3373.65</v>
      </c>
      <c r="AB223" s="151"/>
    </row>
    <row r="224" spans="2:28" x14ac:dyDescent="0.35">
      <c r="B224" s="313"/>
      <c r="C224" s="314"/>
      <c r="D224" s="314"/>
      <c r="E224" s="315"/>
      <c r="F224" s="151" t="s">
        <v>229</v>
      </c>
      <c r="G224" s="316" t="s">
        <v>183</v>
      </c>
      <c r="H224" s="317">
        <v>12</v>
      </c>
      <c r="I224" s="318" t="s">
        <v>228</v>
      </c>
      <c r="J224" s="151"/>
      <c r="K224" s="433">
        <v>1</v>
      </c>
      <c r="L224" s="257">
        <v>45.36</v>
      </c>
      <c r="M224" s="476">
        <f>((M$219*N$219)/240)*($H224/N224)</f>
        <v>7.4999999999999997E-2</v>
      </c>
      <c r="N224" s="300">
        <v>3</v>
      </c>
      <c r="O224" s="309">
        <f t="shared" si="27"/>
        <v>10.206</v>
      </c>
      <c r="P224" s="274">
        <v>14700</v>
      </c>
      <c r="Q224" s="261">
        <f t="shared" si="28"/>
        <v>150028.19999999998</v>
      </c>
      <c r="R224" s="309"/>
      <c r="S224" s="309"/>
      <c r="T224" s="309"/>
      <c r="U224" s="309"/>
      <c r="V224" s="309"/>
      <c r="W224" s="309"/>
      <c r="X224" s="151"/>
      <c r="AA224" s="464">
        <f t="shared" si="26"/>
        <v>3307.4999999999995</v>
      </c>
      <c r="AB224" s="151"/>
    </row>
    <row r="225" spans="2:28" x14ac:dyDescent="0.35">
      <c r="B225" s="313"/>
      <c r="C225" s="314"/>
      <c r="D225" s="314"/>
      <c r="E225" s="315"/>
      <c r="F225" s="151" t="s">
        <v>231</v>
      </c>
      <c r="G225" s="316" t="s">
        <v>183</v>
      </c>
      <c r="H225" s="317">
        <v>2</v>
      </c>
      <c r="I225" s="318" t="s">
        <v>228</v>
      </c>
      <c r="J225" s="151"/>
      <c r="K225" s="433">
        <v>1</v>
      </c>
      <c r="L225" s="257">
        <v>45.36</v>
      </c>
      <c r="M225" s="476">
        <f>((M$219*N$219)/240)*($H225/N225)</f>
        <v>1.2499999999999999E-2</v>
      </c>
      <c r="N225" s="300">
        <v>3</v>
      </c>
      <c r="O225" s="309">
        <f t="shared" si="27"/>
        <v>1.7009999999999998</v>
      </c>
      <c r="P225" s="274">
        <v>33736.5</v>
      </c>
      <c r="Q225" s="261">
        <f t="shared" si="28"/>
        <v>57385.786499999995</v>
      </c>
      <c r="R225" s="309"/>
      <c r="S225" s="309"/>
      <c r="T225" s="309"/>
      <c r="U225" s="309"/>
      <c r="V225" s="309"/>
      <c r="W225" s="309"/>
      <c r="X225" s="151"/>
      <c r="AA225" s="464">
        <f t="shared" si="26"/>
        <v>1265.1187499999999</v>
      </c>
      <c r="AB225" s="151"/>
    </row>
    <row r="226" spans="2:28" x14ac:dyDescent="0.35">
      <c r="B226" s="313"/>
      <c r="C226" s="314"/>
      <c r="D226" s="314"/>
      <c r="E226" s="315"/>
      <c r="F226" s="151" t="s">
        <v>232</v>
      </c>
      <c r="G226" s="316" t="s">
        <v>183</v>
      </c>
      <c r="H226" s="317">
        <v>1</v>
      </c>
      <c r="I226" s="318" t="s">
        <v>228</v>
      </c>
      <c r="J226" s="151"/>
      <c r="K226" s="433">
        <v>1</v>
      </c>
      <c r="L226" s="257">
        <v>45.36</v>
      </c>
      <c r="M226" s="476">
        <f>((M$219*N$219)/240)*($H226/N226)</f>
        <v>6.2499999999999995E-3</v>
      </c>
      <c r="N226" s="300">
        <v>3</v>
      </c>
      <c r="O226" s="309">
        <f t="shared" si="27"/>
        <v>0.85049999999999992</v>
      </c>
      <c r="P226" s="274">
        <v>89964</v>
      </c>
      <c r="Q226" s="261">
        <f t="shared" si="28"/>
        <v>76514.381999999998</v>
      </c>
      <c r="R226" s="309"/>
      <c r="S226" s="309"/>
      <c r="T226" s="309"/>
      <c r="U226" s="309"/>
      <c r="V226" s="309"/>
      <c r="W226" s="309"/>
      <c r="X226" s="151"/>
      <c r="AA226" s="464">
        <f t="shared" si="26"/>
        <v>1686.825</v>
      </c>
      <c r="AB226" s="151"/>
    </row>
    <row r="227" spans="2:28" x14ac:dyDescent="0.35">
      <c r="B227" s="313"/>
      <c r="C227" s="314"/>
      <c r="D227" s="314"/>
      <c r="E227" s="315"/>
      <c r="F227" s="151" t="s">
        <v>316</v>
      </c>
      <c r="G227" s="316" t="s">
        <v>181</v>
      </c>
      <c r="H227" s="317"/>
      <c r="I227" s="318"/>
      <c r="J227" s="151" t="s">
        <v>319</v>
      </c>
      <c r="K227" s="433">
        <v>1</v>
      </c>
      <c r="L227" s="257">
        <v>45.36</v>
      </c>
      <c r="M227" s="477">
        <f>(5*680)/1000</f>
        <v>3.4</v>
      </c>
      <c r="N227" s="300">
        <v>1</v>
      </c>
      <c r="O227" s="258">
        <f t="shared" si="27"/>
        <v>154.22399999999999</v>
      </c>
      <c r="P227" s="274">
        <v>2415</v>
      </c>
      <c r="Q227" s="261">
        <f t="shared" si="28"/>
        <v>372450.95999999996</v>
      </c>
      <c r="R227" s="309"/>
      <c r="S227" s="309"/>
      <c r="T227" s="309"/>
      <c r="U227" s="309"/>
      <c r="V227" s="309"/>
      <c r="W227" s="478"/>
      <c r="X227" s="151" t="s">
        <v>355</v>
      </c>
      <c r="AA227" s="464">
        <f t="shared" si="26"/>
        <v>8211</v>
      </c>
      <c r="AB227" s="151"/>
    </row>
    <row r="228" spans="2:28" x14ac:dyDescent="0.35">
      <c r="B228" s="320"/>
      <c r="C228" s="321"/>
      <c r="D228" s="321"/>
      <c r="E228" s="332"/>
      <c r="F228" s="428" t="s">
        <v>356</v>
      </c>
      <c r="G228" s="316" t="s">
        <v>181</v>
      </c>
      <c r="H228" s="317"/>
      <c r="I228" s="318"/>
      <c r="J228" s="151" t="s">
        <v>319</v>
      </c>
      <c r="K228" s="433">
        <v>1</v>
      </c>
      <c r="L228" s="257">
        <v>45.36</v>
      </c>
      <c r="M228" s="477">
        <f>(5*680)/1000</f>
        <v>3.4</v>
      </c>
      <c r="N228" s="300">
        <v>2</v>
      </c>
      <c r="O228" s="309">
        <f>K228*L228*M228*N228</f>
        <v>308.44799999999998</v>
      </c>
      <c r="P228" s="274">
        <v>6253.7370000000001</v>
      </c>
      <c r="Q228" s="261">
        <f>P228*$O228</f>
        <v>1928952.6701759999</v>
      </c>
      <c r="R228" s="259">
        <v>6253.7370000000001</v>
      </c>
      <c r="S228" s="259">
        <f>R228*$O228</f>
        <v>1928952.6701759999</v>
      </c>
      <c r="T228" s="259">
        <v>6566.4238500000001</v>
      </c>
      <c r="U228" s="259">
        <f>T228*$O228</f>
        <v>2025400.3036847999</v>
      </c>
      <c r="V228" s="259">
        <f>W228/O228</f>
        <v>6357.9659499999998</v>
      </c>
      <c r="W228" s="267">
        <f>AVERAGEIF($P$3:$U$3,W$3,$P228:$U228)</f>
        <v>1961101.8813455999</v>
      </c>
      <c r="X228" s="151" t="s">
        <v>355</v>
      </c>
      <c r="Z228" s="429">
        <f>W228</f>
        <v>1961101.8813455999</v>
      </c>
      <c r="AA228" s="464">
        <f t="shared" si="26"/>
        <v>42525.411599999999</v>
      </c>
      <c r="AB228" s="151"/>
    </row>
    <row r="229" spans="2:28" x14ac:dyDescent="0.35">
      <c r="B229" s="262"/>
      <c r="C229" s="263"/>
      <c r="D229" s="263" t="s">
        <v>357</v>
      </c>
      <c r="E229" s="264"/>
      <c r="F229" s="252" t="s">
        <v>177</v>
      </c>
      <c r="G229" s="253" t="s">
        <v>178</v>
      </c>
      <c r="H229" s="254"/>
      <c r="I229" s="255"/>
      <c r="J229" s="256"/>
      <c r="K229" s="465"/>
      <c r="L229" s="465"/>
      <c r="M229" s="258"/>
      <c r="N229" s="259"/>
      <c r="O229" s="259"/>
      <c r="P229" s="259"/>
      <c r="Q229" s="261"/>
      <c r="R229" s="259"/>
      <c r="S229" s="259"/>
      <c r="T229" s="259"/>
      <c r="U229" s="259"/>
      <c r="V229" s="259"/>
      <c r="W229" s="259"/>
      <c r="X229" s="151"/>
      <c r="AA229" s="151"/>
      <c r="AB229" s="151"/>
    </row>
    <row r="230" spans="2:28" x14ac:dyDescent="0.35">
      <c r="B230" s="313"/>
      <c r="C230" s="314"/>
      <c r="D230" s="314"/>
      <c r="E230" s="315"/>
      <c r="F230" s="252" t="s">
        <v>358</v>
      </c>
      <c r="G230" s="253"/>
      <c r="H230" s="254"/>
      <c r="I230" s="255"/>
      <c r="J230" s="256"/>
      <c r="K230" s="257"/>
      <c r="L230" s="257"/>
      <c r="M230" s="258"/>
      <c r="N230" s="259"/>
      <c r="O230" s="259"/>
      <c r="P230" s="259"/>
      <c r="Q230" s="261"/>
      <c r="R230" s="259"/>
      <c r="S230" s="259"/>
      <c r="T230" s="259"/>
      <c r="U230" s="259"/>
      <c r="V230" s="259"/>
      <c r="W230" s="259"/>
      <c r="X230" s="151"/>
      <c r="AA230" s="151"/>
      <c r="AB230" s="151"/>
    </row>
    <row r="231" spans="2:28" x14ac:dyDescent="0.35">
      <c r="B231" s="320"/>
      <c r="C231" s="321"/>
      <c r="D231" s="321"/>
      <c r="E231" s="332"/>
      <c r="F231" s="252" t="s">
        <v>359</v>
      </c>
      <c r="G231" s="253" t="s">
        <v>195</v>
      </c>
      <c r="H231" s="254"/>
      <c r="I231" s="255"/>
      <c r="J231" s="256"/>
      <c r="K231" s="257"/>
      <c r="L231" s="257"/>
      <c r="M231" s="258"/>
      <c r="N231" s="259"/>
      <c r="O231" s="259"/>
      <c r="P231" s="259"/>
      <c r="Q231" s="261"/>
      <c r="R231" s="259"/>
      <c r="S231" s="259"/>
      <c r="T231" s="259"/>
      <c r="U231" s="259"/>
      <c r="V231" s="259"/>
      <c r="W231" s="259"/>
      <c r="X231" s="151"/>
      <c r="AA231" s="151"/>
      <c r="AB231" s="151"/>
    </row>
    <row r="232" spans="2:28" x14ac:dyDescent="0.35">
      <c r="B232" s="254"/>
      <c r="C232" s="255"/>
      <c r="D232" s="255" t="s">
        <v>360</v>
      </c>
      <c r="E232" s="349"/>
      <c r="F232" s="252"/>
      <c r="G232" s="253" t="s">
        <v>361</v>
      </c>
      <c r="H232" s="254"/>
      <c r="I232" s="255"/>
      <c r="J232" s="256"/>
      <c r="K232" s="257"/>
      <c r="L232" s="257"/>
      <c r="M232" s="258"/>
      <c r="N232" s="259"/>
      <c r="O232" s="259"/>
      <c r="P232" s="259"/>
      <c r="Q232" s="261"/>
      <c r="R232" s="259"/>
      <c r="S232" s="259"/>
      <c r="T232" s="259"/>
      <c r="U232" s="259"/>
      <c r="V232" s="259"/>
      <c r="W232" s="259"/>
      <c r="X232" s="151"/>
      <c r="AA232" s="151"/>
      <c r="AB232" s="151"/>
    </row>
    <row r="233" spans="2:28" x14ac:dyDescent="0.35">
      <c r="B233" s="262"/>
      <c r="C233" s="263"/>
      <c r="D233" s="263"/>
      <c r="E233" s="264" t="s">
        <v>134</v>
      </c>
      <c r="F233" s="151" t="s">
        <v>362</v>
      </c>
      <c r="G233" s="253" t="s">
        <v>178</v>
      </c>
      <c r="H233" s="254"/>
      <c r="I233" s="255"/>
      <c r="J233" s="256" t="s">
        <v>361</v>
      </c>
      <c r="K233" s="265">
        <v>1</v>
      </c>
      <c r="L233" s="479">
        <f>(O228+O227+O173+O248+O250+O252+O293)/1000</f>
        <v>10.496304</v>
      </c>
      <c r="M233" s="258">
        <v>1</v>
      </c>
      <c r="N233" s="259">
        <v>1</v>
      </c>
      <c r="O233" s="309">
        <f>K233*L233*M233*N233</f>
        <v>10.496304</v>
      </c>
      <c r="P233" s="274">
        <v>20767.5</v>
      </c>
      <c r="Q233" s="261">
        <f>P233*$O233</f>
        <v>217981.99332000001</v>
      </c>
      <c r="R233" s="259">
        <v>20767.5</v>
      </c>
      <c r="S233" s="259">
        <f>R233*$O233</f>
        <v>217981.99332000001</v>
      </c>
      <c r="T233" s="259">
        <v>22117.387499999997</v>
      </c>
      <c r="U233" s="259">
        <f>T233*$O233</f>
        <v>232150.82288579998</v>
      </c>
      <c r="V233" s="259">
        <f>W233/O233</f>
        <v>21217.462499999998</v>
      </c>
      <c r="W233" s="267">
        <f>AVERAGEIF($P$3:$U$3,W$3,$P233:$U233)</f>
        <v>222704.93650859999</v>
      </c>
      <c r="X233" s="151"/>
      <c r="Z233" s="429">
        <f>W233</f>
        <v>222704.93650859999</v>
      </c>
      <c r="AA233" s="464">
        <f t="shared" ref="AA233:AA234" si="29">Q233/$E$1</f>
        <v>4805.5995000000003</v>
      </c>
      <c r="AB233" s="151"/>
    </row>
    <row r="234" spans="2:28" x14ac:dyDescent="0.35">
      <c r="B234" s="313"/>
      <c r="C234" s="314"/>
      <c r="D234" s="314"/>
      <c r="E234" s="315"/>
      <c r="F234" s="151" t="s">
        <v>363</v>
      </c>
      <c r="G234" s="253"/>
      <c r="H234" s="254"/>
      <c r="I234" s="255"/>
      <c r="J234" s="256" t="s">
        <v>361</v>
      </c>
      <c r="K234" s="265">
        <v>1</v>
      </c>
      <c r="L234" s="479">
        <f>L233</f>
        <v>10.496304</v>
      </c>
      <c r="M234" s="258">
        <v>1</v>
      </c>
      <c r="N234" s="259">
        <v>1</v>
      </c>
      <c r="O234" s="309">
        <f>K234*L234*M234*N234</f>
        <v>10.496304</v>
      </c>
      <c r="P234" s="259">
        <v>19500</v>
      </c>
      <c r="Q234" s="261">
        <f>P234*$O234</f>
        <v>204677.92800000001</v>
      </c>
      <c r="R234" s="259"/>
      <c r="S234" s="259"/>
      <c r="T234" s="259"/>
      <c r="U234" s="259"/>
      <c r="V234" s="259"/>
      <c r="W234" s="267"/>
      <c r="X234" s="151"/>
      <c r="Z234" s="429"/>
      <c r="AA234" s="464">
        <f t="shared" si="29"/>
        <v>4512.3</v>
      </c>
      <c r="AB234" s="151"/>
    </row>
    <row r="235" spans="2:28" x14ac:dyDescent="0.35">
      <c r="B235" s="313"/>
      <c r="C235" s="314"/>
      <c r="D235" s="314"/>
      <c r="E235" s="315"/>
      <c r="F235" s="252" t="s">
        <v>359</v>
      </c>
      <c r="G235" s="253" t="s">
        <v>195</v>
      </c>
      <c r="H235" s="254"/>
      <c r="I235" s="255"/>
      <c r="J235" s="256"/>
      <c r="K235" s="257"/>
      <c r="L235" s="257"/>
      <c r="M235" s="258">
        <f>2/4</f>
        <v>0.5</v>
      </c>
      <c r="N235" s="259">
        <v>1</v>
      </c>
      <c r="O235" s="259"/>
      <c r="P235" s="259"/>
      <c r="Q235" s="261"/>
      <c r="R235" s="259"/>
      <c r="S235" s="259"/>
      <c r="T235" s="259"/>
      <c r="U235" s="259"/>
      <c r="V235" s="259"/>
      <c r="W235" s="259"/>
      <c r="X235" s="151"/>
      <c r="AA235" s="151"/>
      <c r="AB235" s="151"/>
    </row>
    <row r="236" spans="2:28" x14ac:dyDescent="0.35">
      <c r="B236" s="320"/>
      <c r="C236" s="321"/>
      <c r="D236" s="321"/>
      <c r="E236" s="332"/>
      <c r="F236" s="252" t="s">
        <v>364</v>
      </c>
      <c r="G236" s="253" t="s">
        <v>195</v>
      </c>
      <c r="H236" s="254"/>
      <c r="I236" s="255"/>
      <c r="J236" s="256" t="s">
        <v>361</v>
      </c>
      <c r="K236" s="265">
        <v>1</v>
      </c>
      <c r="L236" s="257">
        <f>L233</f>
        <v>10.496304</v>
      </c>
      <c r="M236" s="258">
        <v>1</v>
      </c>
      <c r="N236" s="259">
        <v>1</v>
      </c>
      <c r="O236" s="309">
        <f>K236*L236*M236*N236</f>
        <v>10.496304</v>
      </c>
      <c r="P236" s="274">
        <v>72400</v>
      </c>
      <c r="Q236" s="261">
        <f>P236*$O236</f>
        <v>759932.40960000001</v>
      </c>
      <c r="R236" s="259">
        <v>72400</v>
      </c>
      <c r="S236" s="259">
        <f>R236*$O236</f>
        <v>759932.40960000001</v>
      </c>
      <c r="T236" s="259">
        <v>79640</v>
      </c>
      <c r="U236" s="259">
        <f>T236*$O236</f>
        <v>835925.65055999998</v>
      </c>
      <c r="V236" s="259">
        <f>W236/O236</f>
        <v>74813.333333333328</v>
      </c>
      <c r="W236" s="267">
        <f>AVERAGEIF($P$3:$U$3,W$3,$P236:$U236)</f>
        <v>785263.48991999996</v>
      </c>
      <c r="X236" s="151"/>
      <c r="Z236" s="429">
        <f>W236</f>
        <v>785263.48991999996</v>
      </c>
      <c r="AA236" s="464">
        <f t="shared" ref="AA236:AA237" si="30">Q236/$E$1</f>
        <v>16753.36</v>
      </c>
      <c r="AB236" s="151"/>
    </row>
    <row r="237" spans="2:28" x14ac:dyDescent="0.35">
      <c r="B237" s="262"/>
      <c r="C237" s="263"/>
      <c r="D237" s="263"/>
      <c r="E237" s="264" t="s">
        <v>136</v>
      </c>
      <c r="F237" s="151" t="s">
        <v>365</v>
      </c>
      <c r="G237" s="253" t="s">
        <v>178</v>
      </c>
      <c r="H237" s="254"/>
      <c r="I237" s="255"/>
      <c r="J237" s="256" t="s">
        <v>361</v>
      </c>
      <c r="K237" s="265">
        <v>1</v>
      </c>
      <c r="L237" s="479">
        <f>L236</f>
        <v>10.496304</v>
      </c>
      <c r="M237" s="258">
        <v>1</v>
      </c>
      <c r="N237" s="259">
        <v>1</v>
      </c>
      <c r="O237" s="309">
        <f>K237*L237*M237*N237</f>
        <v>10.496304</v>
      </c>
      <c r="P237" s="274">
        <v>34080</v>
      </c>
      <c r="Q237" s="261">
        <f>P237*$O237</f>
        <v>357714.04032000003</v>
      </c>
      <c r="R237" s="259">
        <v>34080</v>
      </c>
      <c r="S237" s="259">
        <f>R237*$O237</f>
        <v>357714.04032000003</v>
      </c>
      <c r="T237" s="259">
        <v>36295.199999999997</v>
      </c>
      <c r="U237" s="259">
        <f>T237*$O237</f>
        <v>380965.45294079999</v>
      </c>
      <c r="V237" s="259">
        <f>W237/O237</f>
        <v>34818.400000000001</v>
      </c>
      <c r="W237" s="267">
        <f>AVERAGEIF($P$3:$U$3,W$3,$P237:$U237)</f>
        <v>365464.51119360002</v>
      </c>
      <c r="X237" s="151"/>
      <c r="Z237" s="429">
        <f>W237</f>
        <v>365464.51119360002</v>
      </c>
      <c r="AA237" s="464">
        <f t="shared" si="30"/>
        <v>7886.112000000001</v>
      </c>
      <c r="AB237" s="151"/>
    </row>
    <row r="238" spans="2:28" x14ac:dyDescent="0.35">
      <c r="B238" s="320"/>
      <c r="C238" s="321"/>
      <c r="D238" s="321"/>
      <c r="E238" s="332"/>
      <c r="F238" s="252" t="s">
        <v>364</v>
      </c>
      <c r="G238" s="253" t="s">
        <v>181</v>
      </c>
      <c r="H238" s="254"/>
      <c r="I238" s="255"/>
      <c r="J238" s="256"/>
      <c r="K238" s="257"/>
      <c r="L238" s="257"/>
      <c r="M238" s="258">
        <v>1</v>
      </c>
      <c r="N238" s="259">
        <v>1</v>
      </c>
      <c r="O238" s="259"/>
      <c r="P238" s="259"/>
      <c r="Q238" s="261"/>
      <c r="R238" s="259"/>
      <c r="S238" s="259"/>
      <c r="T238" s="259"/>
      <c r="U238" s="259"/>
      <c r="V238" s="259"/>
      <c r="W238" s="259"/>
      <c r="X238" s="151"/>
      <c r="AA238" s="151"/>
      <c r="AB238" s="151"/>
    </row>
    <row r="239" spans="2:28" s="424" customFormat="1" x14ac:dyDescent="0.35">
      <c r="B239" s="369" t="s">
        <v>366</v>
      </c>
      <c r="C239" s="370"/>
      <c r="D239" s="370"/>
      <c r="E239" s="371"/>
      <c r="F239" s="402"/>
      <c r="G239" s="403"/>
      <c r="H239" s="404"/>
      <c r="I239" s="405"/>
      <c r="J239" s="406"/>
      <c r="K239" s="407"/>
      <c r="L239" s="407"/>
      <c r="M239" s="408"/>
      <c r="N239" s="382"/>
      <c r="O239" s="382"/>
      <c r="P239" s="382"/>
      <c r="Q239" s="345">
        <f>SUM(Q219:Q238)</f>
        <v>36082972.101002395</v>
      </c>
      <c r="R239" s="382"/>
      <c r="S239" s="382" t="e">
        <f>SUM(S166:S238)</f>
        <v>#N/A</v>
      </c>
      <c r="T239" s="382"/>
      <c r="U239" s="382" t="e">
        <f>SUM(U166:U238)</f>
        <v>#N/A</v>
      </c>
      <c r="V239" s="382"/>
      <c r="W239" s="382" t="e">
        <f>SUM(W166:W238)</f>
        <v>#N/A</v>
      </c>
      <c r="X239" s="480"/>
      <c r="Y239" s="481"/>
      <c r="Z239" s="481"/>
      <c r="AA239" s="482">
        <f>Q239/$E$1</f>
        <v>795479.98458999989</v>
      </c>
      <c r="AB239" s="346">
        <f>Q239/$Q$346*100</f>
        <v>0.95682670990234853</v>
      </c>
    </row>
    <row r="240" spans="2:28" x14ac:dyDescent="0.35">
      <c r="B240" s="254"/>
      <c r="C240" s="250" t="s">
        <v>367</v>
      </c>
      <c r="D240" s="255"/>
      <c r="E240" s="349"/>
      <c r="F240" s="252"/>
      <c r="G240" s="253"/>
      <c r="H240" s="254"/>
      <c r="I240" s="255"/>
      <c r="J240" s="256"/>
      <c r="K240" s="257"/>
      <c r="L240" s="257"/>
      <c r="M240" s="258"/>
      <c r="N240" s="259"/>
      <c r="O240" s="259"/>
      <c r="P240" s="259"/>
      <c r="Q240" s="259"/>
      <c r="R240" s="259"/>
      <c r="S240" s="259"/>
      <c r="T240" s="259"/>
      <c r="U240" s="259"/>
      <c r="V240" s="259"/>
      <c r="W240" s="259"/>
      <c r="X240" s="151"/>
      <c r="AA240" s="151"/>
      <c r="AB240" s="151"/>
    </row>
    <row r="241" spans="2:29" x14ac:dyDescent="0.35">
      <c r="B241" s="262"/>
      <c r="C241" s="263"/>
      <c r="D241" s="263" t="s">
        <v>139</v>
      </c>
      <c r="E241" s="264"/>
      <c r="F241" s="252" t="s">
        <v>177</v>
      </c>
      <c r="G241" s="253" t="s">
        <v>178</v>
      </c>
      <c r="H241" s="254"/>
      <c r="I241" s="255"/>
      <c r="J241" s="256"/>
      <c r="K241" s="265">
        <v>1</v>
      </c>
      <c r="L241" s="257">
        <v>45.36</v>
      </c>
      <c r="M241" s="300">
        <v>3</v>
      </c>
      <c r="N241" s="259">
        <v>1</v>
      </c>
      <c r="O241" s="309">
        <f t="shared" ref="O241:O253" si="31">K241*L241*M241*N241</f>
        <v>136.07999999999998</v>
      </c>
      <c r="P241" s="274">
        <v>149108.51999999999</v>
      </c>
      <c r="Q241" s="261">
        <f t="shared" ref="Q241:Q257" si="32">P241*$O241</f>
        <v>20290687.401599996</v>
      </c>
      <c r="R241" s="259">
        <v>149108.51999999999</v>
      </c>
      <c r="S241" s="259">
        <f>R241*$O241</f>
        <v>20290687.401599996</v>
      </c>
      <c r="T241" s="259">
        <v>158800.57379999998</v>
      </c>
      <c r="U241" s="259">
        <f>T241*$O241</f>
        <v>21609582.082703996</v>
      </c>
      <c r="V241" s="259">
        <f>W241/O241</f>
        <v>152339.20459999997</v>
      </c>
      <c r="W241" s="267">
        <f>AVERAGEIF($P$3:$U$3,W$3,$P241:$U241)</f>
        <v>20730318.961967994</v>
      </c>
      <c r="X241" s="483"/>
      <c r="Y241" s="475">
        <f>Q241/L241</f>
        <v>447325.55999999994</v>
      </c>
      <c r="Z241" s="475">
        <f>Y241/136</f>
        <v>3289.1585294117644</v>
      </c>
      <c r="AA241" s="464">
        <f t="shared" ref="AA241:AA258" si="33">Q241/$E$1</f>
        <v>447325.55999999994</v>
      </c>
      <c r="AB241" s="151"/>
      <c r="AC241" s="484">
        <v>468313.92</v>
      </c>
    </row>
    <row r="242" spans="2:29" x14ac:dyDescent="0.35">
      <c r="B242" s="320"/>
      <c r="C242" s="321"/>
      <c r="D242" s="321"/>
      <c r="E242" s="332"/>
      <c r="F242" s="252" t="s">
        <v>368</v>
      </c>
      <c r="G242" s="253" t="s">
        <v>183</v>
      </c>
      <c r="H242" s="254"/>
      <c r="I242" s="255"/>
      <c r="J242" s="256"/>
      <c r="K242" s="265">
        <v>1</v>
      </c>
      <c r="L242" s="257">
        <v>45.36</v>
      </c>
      <c r="M242" s="300">
        <v>136</v>
      </c>
      <c r="N242" s="259">
        <v>1</v>
      </c>
      <c r="O242" s="309">
        <f t="shared" si="31"/>
        <v>6168.96</v>
      </c>
      <c r="P242" s="274">
        <v>105</v>
      </c>
      <c r="Q242" s="261">
        <f t="shared" si="32"/>
        <v>647740.80000000005</v>
      </c>
      <c r="R242" s="259">
        <v>105</v>
      </c>
      <c r="S242" s="259">
        <f>R242*$O242</f>
        <v>647740.80000000005</v>
      </c>
      <c r="T242" s="259">
        <v>110.25</v>
      </c>
      <c r="U242" s="259">
        <f>T242*$O242</f>
        <v>680127.84</v>
      </c>
      <c r="V242" s="259">
        <f>W242/O242</f>
        <v>106.75</v>
      </c>
      <c r="W242" s="267">
        <f>AVERAGEIF($P$3:$U$3,W$3,$P242:$U242)</f>
        <v>658536.48</v>
      </c>
      <c r="X242" s="485"/>
      <c r="Y242" s="475">
        <f>Q242/L242</f>
        <v>14280.000000000002</v>
      </c>
      <c r="Z242" s="475">
        <f>Y242/136</f>
        <v>105.00000000000001</v>
      </c>
      <c r="AA242" s="464">
        <f t="shared" si="33"/>
        <v>14280.000000000002</v>
      </c>
      <c r="AB242" s="151"/>
      <c r="AC242" s="195">
        <f>AC241/136</f>
        <v>3443.484705882353</v>
      </c>
    </row>
    <row r="243" spans="2:29" ht="27.65" customHeight="1" x14ac:dyDescent="0.35">
      <c r="B243" s="268"/>
      <c r="C243" s="269"/>
      <c r="D243" s="293" t="s">
        <v>369</v>
      </c>
      <c r="E243" s="294"/>
      <c r="F243" s="252" t="s">
        <v>177</v>
      </c>
      <c r="G243" s="253" t="s">
        <v>178</v>
      </c>
      <c r="H243" s="254"/>
      <c r="I243" s="255"/>
      <c r="J243" s="256"/>
      <c r="K243" s="265">
        <v>1</v>
      </c>
      <c r="L243" s="257">
        <v>45.36</v>
      </c>
      <c r="M243" s="309">
        <v>0.5</v>
      </c>
      <c r="N243" s="259">
        <v>1</v>
      </c>
      <c r="O243" s="309">
        <f t="shared" si="31"/>
        <v>22.68</v>
      </c>
      <c r="P243" s="259">
        <v>149108.51999999999</v>
      </c>
      <c r="Q243" s="261">
        <f t="shared" si="32"/>
        <v>3381781.2335999999</v>
      </c>
      <c r="R243" s="259"/>
      <c r="S243" s="259"/>
      <c r="T243" s="259"/>
      <c r="U243" s="259"/>
      <c r="V243" s="259"/>
      <c r="W243" s="267"/>
      <c r="X243" s="486" t="s">
        <v>370</v>
      </c>
      <c r="Y243" s="475"/>
      <c r="Z243" s="475"/>
      <c r="AA243" s="464">
        <f t="shared" si="33"/>
        <v>74554.259999999995</v>
      </c>
      <c r="AB243" s="151"/>
      <c r="AC243" s="195"/>
    </row>
    <row r="244" spans="2:29" x14ac:dyDescent="0.35">
      <c r="B244" s="313"/>
      <c r="C244" s="314"/>
      <c r="D244" s="314"/>
      <c r="E244" s="315"/>
      <c r="F244" s="252" t="s">
        <v>205</v>
      </c>
      <c r="G244" s="253" t="s">
        <v>195</v>
      </c>
      <c r="H244" s="254"/>
      <c r="I244" s="255"/>
      <c r="J244" s="256"/>
      <c r="K244" s="265">
        <v>0.25</v>
      </c>
      <c r="L244" s="487">
        <f>45.36*136</f>
        <v>6168.96</v>
      </c>
      <c r="M244" s="400">
        <v>0.25</v>
      </c>
      <c r="N244" s="259">
        <v>1</v>
      </c>
      <c r="O244" s="309">
        <f t="shared" si="31"/>
        <v>385.56</v>
      </c>
      <c r="P244" s="259">
        <v>720338.0730320001</v>
      </c>
      <c r="Q244" s="261">
        <f t="shared" si="32"/>
        <v>277733547.43821794</v>
      </c>
      <c r="R244" s="259"/>
      <c r="S244" s="259"/>
      <c r="T244" s="259"/>
      <c r="U244" s="259"/>
      <c r="V244" s="259"/>
      <c r="W244" s="267"/>
      <c r="X244" s="485"/>
      <c r="Y244" s="475"/>
      <c r="Z244" s="475"/>
      <c r="AA244" s="292">
        <f>Q244/($E$1*K244)</f>
        <v>24491494.483088002</v>
      </c>
      <c r="AB244" s="151"/>
      <c r="AC244" s="195"/>
    </row>
    <row r="245" spans="2:29" x14ac:dyDescent="0.35">
      <c r="B245" s="262"/>
      <c r="C245" s="263"/>
      <c r="D245" s="176" t="s">
        <v>141</v>
      </c>
      <c r="E245" s="272"/>
      <c r="F245" s="252" t="s">
        <v>177</v>
      </c>
      <c r="G245" s="253" t="s">
        <v>178</v>
      </c>
      <c r="H245" s="254"/>
      <c r="I245" s="255"/>
      <c r="J245" s="256"/>
      <c r="K245" s="265">
        <v>1</v>
      </c>
      <c r="L245" s="257">
        <v>45.36</v>
      </c>
      <c r="M245" s="300">
        <v>3</v>
      </c>
      <c r="N245" s="259">
        <v>1</v>
      </c>
      <c r="O245" s="309">
        <f t="shared" si="31"/>
        <v>136.07999999999998</v>
      </c>
      <c r="P245" s="261">
        <v>149108.51999999999</v>
      </c>
      <c r="Q245" s="261">
        <f t="shared" si="32"/>
        <v>20290687.401599996</v>
      </c>
      <c r="R245" s="259">
        <v>149108.51999999999</v>
      </c>
      <c r="S245" s="259">
        <f>R245*$O245</f>
        <v>20290687.401599996</v>
      </c>
      <c r="T245" s="259">
        <v>158800.57379999998</v>
      </c>
      <c r="U245" s="259">
        <f>T245*$O245</f>
        <v>21609582.082703996</v>
      </c>
      <c r="V245" s="259">
        <f>W245/O245</f>
        <v>152339.20459999997</v>
      </c>
      <c r="W245" s="267">
        <f>AVERAGEIF($P$3:$U$3,W$3,$P245:$U245)</f>
        <v>20730318.961967994</v>
      </c>
      <c r="X245" s="151"/>
      <c r="Y245" s="475">
        <f>Q245/L245</f>
        <v>447325.55999999994</v>
      </c>
      <c r="Z245" s="475">
        <f>Y245/136</f>
        <v>3289.1585294117644</v>
      </c>
      <c r="AA245" s="464">
        <f t="shared" si="33"/>
        <v>447325.55999999994</v>
      </c>
      <c r="AB245" s="151"/>
      <c r="AC245" s="475">
        <f>AA245/136</f>
        <v>3289.1585294117644</v>
      </c>
    </row>
    <row r="246" spans="2:29" x14ac:dyDescent="0.35">
      <c r="B246" s="313"/>
      <c r="C246" s="314"/>
      <c r="D246" s="269"/>
      <c r="E246" s="270"/>
      <c r="F246" s="151" t="s">
        <v>353</v>
      </c>
      <c r="G246" s="316" t="s">
        <v>361</v>
      </c>
      <c r="H246" s="317"/>
      <c r="I246" s="318"/>
      <c r="J246" s="151"/>
      <c r="K246" s="433">
        <v>1</v>
      </c>
      <c r="L246" s="488">
        <f>(O248+O250+O252)/1000</f>
        <v>6.1689600000000002</v>
      </c>
      <c r="M246" s="489">
        <v>1</v>
      </c>
      <c r="N246" s="490">
        <f>N245</f>
        <v>1</v>
      </c>
      <c r="O246" s="309">
        <f>K246*L246*M246*N246</f>
        <v>6.1689600000000002</v>
      </c>
      <c r="P246" s="261">
        <v>500000</v>
      </c>
      <c r="Q246" s="261">
        <f t="shared" si="32"/>
        <v>3084480</v>
      </c>
      <c r="R246" s="259"/>
      <c r="S246" s="259"/>
      <c r="T246" s="259"/>
      <c r="U246" s="259"/>
      <c r="V246" s="259"/>
      <c r="W246" s="267"/>
      <c r="X246" s="151"/>
      <c r="Y246" s="475">
        <f>Q246/L246</f>
        <v>500000</v>
      </c>
      <c r="Z246" s="475"/>
      <c r="AA246" s="464">
        <f t="shared" si="33"/>
        <v>68000</v>
      </c>
      <c r="AB246" s="151"/>
    </row>
    <row r="247" spans="2:29" x14ac:dyDescent="0.35">
      <c r="B247" s="313"/>
      <c r="C247" s="314"/>
      <c r="D247" s="269"/>
      <c r="E247" s="270"/>
      <c r="F247" s="151" t="s">
        <v>371</v>
      </c>
      <c r="G247" s="316" t="s">
        <v>181</v>
      </c>
      <c r="H247" s="317"/>
      <c r="I247" s="318"/>
      <c r="J247" s="151"/>
      <c r="K247" s="433">
        <v>1</v>
      </c>
      <c r="L247" s="491">
        <f>((O248+O250+O252)*2/100)</f>
        <v>123.3792</v>
      </c>
      <c r="M247" s="489">
        <v>1</v>
      </c>
      <c r="N247" s="490">
        <f>N246</f>
        <v>1</v>
      </c>
      <c r="O247" s="309">
        <f>K247*L247*M247*N247</f>
        <v>123.3792</v>
      </c>
      <c r="P247" s="261">
        <v>10000</v>
      </c>
      <c r="Q247" s="261">
        <f t="shared" si="32"/>
        <v>1233792</v>
      </c>
      <c r="R247" s="259"/>
      <c r="S247" s="259"/>
      <c r="T247" s="259"/>
      <c r="U247" s="259"/>
      <c r="V247" s="259"/>
      <c r="W247" s="267"/>
      <c r="X247" s="151" t="s">
        <v>372</v>
      </c>
      <c r="Y247" s="475"/>
      <c r="Z247" s="475"/>
      <c r="AA247" s="464">
        <f t="shared" si="33"/>
        <v>27200</v>
      </c>
      <c r="AB247" s="151"/>
    </row>
    <row r="248" spans="2:29" x14ac:dyDescent="0.35">
      <c r="B248" s="313"/>
      <c r="C248" s="314"/>
      <c r="D248" s="314"/>
      <c r="E248" s="315"/>
      <c r="F248" s="252" t="s">
        <v>316</v>
      </c>
      <c r="G248" s="253" t="s">
        <v>181</v>
      </c>
      <c r="H248" s="254"/>
      <c r="I248" s="255"/>
      <c r="J248" s="256"/>
      <c r="K248" s="265">
        <v>1</v>
      </c>
      <c r="L248" s="257">
        <v>45.36</v>
      </c>
      <c r="M248" s="300">
        <f>0.5*136</f>
        <v>68</v>
      </c>
      <c r="N248" s="261">
        <v>1</v>
      </c>
      <c r="O248" s="309">
        <f t="shared" si="31"/>
        <v>3084.48</v>
      </c>
      <c r="P248" s="261">
        <v>2415</v>
      </c>
      <c r="Q248" s="261">
        <f t="shared" si="32"/>
        <v>7449019.2000000002</v>
      </c>
      <c r="R248" s="259">
        <v>2415</v>
      </c>
      <c r="S248" s="259">
        <f t="shared" ref="S248:S257" si="34">R248*$O248</f>
        <v>7449019.2000000002</v>
      </c>
      <c r="T248" s="259">
        <v>2535.75</v>
      </c>
      <c r="U248" s="259">
        <f t="shared" ref="U248:U257" si="35">T248*$O248</f>
        <v>7821470.1600000001</v>
      </c>
      <c r="V248" s="259">
        <f t="shared" ref="V248:V258" si="36">W248/O248</f>
        <v>2455.25</v>
      </c>
      <c r="W248" s="267">
        <f t="shared" ref="W248:W258" si="37">AVERAGEIF($P$3:$U$3,W$3,$P248:$U248)</f>
        <v>7573169.5200000005</v>
      </c>
      <c r="X248" s="151" t="s">
        <v>373</v>
      </c>
      <c r="AA248" s="464">
        <f t="shared" si="33"/>
        <v>164220</v>
      </c>
      <c r="AB248" s="151"/>
    </row>
    <row r="249" spans="2:29" x14ac:dyDescent="0.35">
      <c r="B249" s="313"/>
      <c r="C249" s="314"/>
      <c r="D249" s="314"/>
      <c r="E249" s="315"/>
      <c r="F249" s="252" t="s">
        <v>374</v>
      </c>
      <c r="G249" s="253" t="s">
        <v>181</v>
      </c>
      <c r="H249" s="254"/>
      <c r="I249" s="255"/>
      <c r="J249" s="256"/>
      <c r="K249" s="265">
        <v>1</v>
      </c>
      <c r="L249" s="479"/>
      <c r="M249" s="300">
        <f>0.25*136</f>
        <v>34</v>
      </c>
      <c r="N249" s="261">
        <v>1</v>
      </c>
      <c r="O249" s="309">
        <f t="shared" si="31"/>
        <v>0</v>
      </c>
      <c r="P249" s="261">
        <v>24097.5</v>
      </c>
      <c r="Q249" s="261">
        <f>P249*$O249</f>
        <v>0</v>
      </c>
      <c r="R249" s="259">
        <v>24097.5</v>
      </c>
      <c r="S249" s="259">
        <f>R249*$O249</f>
        <v>0</v>
      </c>
      <c r="T249" s="259">
        <v>25302.375</v>
      </c>
      <c r="U249" s="259">
        <f>T249*$O249</f>
        <v>0</v>
      </c>
      <c r="V249" s="259" t="e">
        <f t="shared" si="36"/>
        <v>#DIV/0!</v>
      </c>
      <c r="W249" s="267">
        <f t="shared" si="37"/>
        <v>0</v>
      </c>
      <c r="X249" s="151" t="s">
        <v>375</v>
      </c>
      <c r="AA249" s="492">
        <f t="shared" ref="AA249:AA253" si="38">Q249/192.08</f>
        <v>0</v>
      </c>
      <c r="AB249" s="259"/>
      <c r="AC249" s="475">
        <f>AA249+AB249</f>
        <v>0</v>
      </c>
    </row>
    <row r="250" spans="2:29" x14ac:dyDescent="0.35">
      <c r="B250" s="313"/>
      <c r="C250" s="314"/>
      <c r="D250" s="314"/>
      <c r="E250" s="315"/>
      <c r="F250" s="252" t="s">
        <v>376</v>
      </c>
      <c r="G250" s="253" t="s">
        <v>181</v>
      </c>
      <c r="H250" s="254"/>
      <c r="I250" s="255"/>
      <c r="J250" s="256"/>
      <c r="K250" s="265">
        <v>1</v>
      </c>
      <c r="L250" s="257">
        <v>45.36</v>
      </c>
      <c r="M250" s="300">
        <f>0.25*136</f>
        <v>34</v>
      </c>
      <c r="N250" s="261">
        <v>1</v>
      </c>
      <c r="O250" s="309">
        <f>K250*L250*M250*N250</f>
        <v>1542.24</v>
      </c>
      <c r="P250" s="261">
        <v>5040</v>
      </c>
      <c r="Q250" s="261">
        <f>P250*$O250</f>
        <v>7772889.5999999996</v>
      </c>
      <c r="R250" s="259"/>
      <c r="S250" s="259"/>
      <c r="T250" s="259"/>
      <c r="U250" s="259"/>
      <c r="V250" s="259"/>
      <c r="W250" s="267"/>
      <c r="X250" s="151" t="s">
        <v>375</v>
      </c>
      <c r="AA250" s="464">
        <f t="shared" si="33"/>
        <v>171360</v>
      </c>
      <c r="AB250" s="151"/>
    </row>
    <row r="251" spans="2:29" x14ac:dyDescent="0.35">
      <c r="B251" s="313"/>
      <c r="C251" s="314"/>
      <c r="D251" s="314"/>
      <c r="E251" s="315"/>
      <c r="F251" s="493" t="s">
        <v>377</v>
      </c>
      <c r="G251" s="253" t="s">
        <v>181</v>
      </c>
      <c r="H251" s="254"/>
      <c r="I251" s="255"/>
      <c r="J251" s="256"/>
      <c r="K251" s="265">
        <v>1</v>
      </c>
      <c r="L251" s="479"/>
      <c r="M251" s="300">
        <f>0.15*136</f>
        <v>20.399999999999999</v>
      </c>
      <c r="N251" s="261">
        <v>1</v>
      </c>
      <c r="O251" s="309">
        <f>K251*L251*M251*N251</f>
        <v>0</v>
      </c>
      <c r="P251" s="261">
        <v>44331</v>
      </c>
      <c r="Q251" s="261">
        <f>P251*$O251</f>
        <v>0</v>
      </c>
      <c r="R251" s="259"/>
      <c r="S251" s="259"/>
      <c r="T251" s="259"/>
      <c r="U251" s="259"/>
      <c r="V251" s="259"/>
      <c r="W251" s="267"/>
      <c r="X251" s="151" t="s">
        <v>378</v>
      </c>
      <c r="AA251" s="492">
        <f t="shared" si="38"/>
        <v>0</v>
      </c>
      <c r="AB251" s="151"/>
    </row>
    <row r="252" spans="2:29" x14ac:dyDescent="0.35">
      <c r="B252" s="313"/>
      <c r="C252" s="314"/>
      <c r="D252" s="314"/>
      <c r="E252" s="315"/>
      <c r="F252" s="252" t="s">
        <v>379</v>
      </c>
      <c r="G252" s="253" t="s">
        <v>181</v>
      </c>
      <c r="H252" s="254"/>
      <c r="I252" s="255"/>
      <c r="J252" s="256"/>
      <c r="K252" s="265">
        <v>1</v>
      </c>
      <c r="L252" s="257">
        <v>45.36</v>
      </c>
      <c r="M252" s="300">
        <f>0.25*136</f>
        <v>34</v>
      </c>
      <c r="N252" s="261">
        <v>1</v>
      </c>
      <c r="O252" s="309">
        <f t="shared" si="31"/>
        <v>1542.24</v>
      </c>
      <c r="P252" s="261">
        <v>913.5</v>
      </c>
      <c r="Q252" s="261">
        <f>P252*$O252</f>
        <v>1408836.24</v>
      </c>
      <c r="R252" s="259">
        <v>913.5</v>
      </c>
      <c r="S252" s="259">
        <f>R252*$O252</f>
        <v>1408836.24</v>
      </c>
      <c r="T252" s="259">
        <v>959.17500000000007</v>
      </c>
      <c r="U252" s="259">
        <f>T252*$O252</f>
        <v>1479278.0520000001</v>
      </c>
      <c r="V252" s="259">
        <f>W252/O252</f>
        <v>928.72499999999991</v>
      </c>
      <c r="W252" s="267">
        <f t="shared" si="37"/>
        <v>1432316.8439999998</v>
      </c>
      <c r="X252" s="151" t="s">
        <v>375</v>
      </c>
      <c r="AA252" s="464">
        <f t="shared" si="33"/>
        <v>31059</v>
      </c>
      <c r="AB252" s="151"/>
    </row>
    <row r="253" spans="2:29" x14ac:dyDescent="0.35">
      <c r="B253" s="320"/>
      <c r="C253" s="321"/>
      <c r="D253" s="321"/>
      <c r="E253" s="332"/>
      <c r="F253" s="252" t="s">
        <v>359</v>
      </c>
      <c r="G253" s="253" t="s">
        <v>195</v>
      </c>
      <c r="H253" s="254"/>
      <c r="I253" s="255"/>
      <c r="J253" s="256"/>
      <c r="K253" s="265">
        <v>1</v>
      </c>
      <c r="L253" s="257">
        <f>L245</f>
        <v>45.36</v>
      </c>
      <c r="M253" s="309">
        <v>0.255</v>
      </c>
      <c r="N253" s="261">
        <v>1</v>
      </c>
      <c r="O253" s="309">
        <f t="shared" si="31"/>
        <v>11.566800000000001</v>
      </c>
      <c r="P253" s="261">
        <v>146704.95000000001</v>
      </c>
      <c r="Q253" s="261">
        <f>P253*$O253</f>
        <v>1696906.8156600003</v>
      </c>
      <c r="R253" s="259">
        <v>146704.95000000001</v>
      </c>
      <c r="S253" s="259">
        <f t="shared" si="34"/>
        <v>1696906.8156600003</v>
      </c>
      <c r="T253" s="259">
        <v>154040.19750000001</v>
      </c>
      <c r="U253" s="259">
        <f t="shared" si="35"/>
        <v>1781752.1564430003</v>
      </c>
      <c r="V253" s="259">
        <f t="shared" si="36"/>
        <v>149150.03250000003</v>
      </c>
      <c r="W253" s="267">
        <f t="shared" si="37"/>
        <v>1725188.5959210005</v>
      </c>
      <c r="X253" s="151"/>
      <c r="AA253" s="492">
        <f t="shared" si="38"/>
        <v>8834.375341836736</v>
      </c>
      <c r="AB253" s="151"/>
    </row>
    <row r="254" spans="2:29" x14ac:dyDescent="0.35">
      <c r="B254" s="262"/>
      <c r="C254" s="263"/>
      <c r="D254" s="263" t="s">
        <v>145</v>
      </c>
      <c r="E254" s="264"/>
      <c r="F254" s="252" t="s">
        <v>177</v>
      </c>
      <c r="G254" s="253" t="s">
        <v>178</v>
      </c>
      <c r="H254" s="254"/>
      <c r="I254" s="255"/>
      <c r="J254" s="256"/>
      <c r="K254" s="265">
        <v>1</v>
      </c>
      <c r="L254" s="257">
        <v>45.36</v>
      </c>
      <c r="M254" s="300">
        <v>4</v>
      </c>
      <c r="N254" s="259">
        <v>1</v>
      </c>
      <c r="O254" s="309">
        <f>K254*L254*M254*N254</f>
        <v>181.44</v>
      </c>
      <c r="P254" s="274">
        <v>149108.51999999999</v>
      </c>
      <c r="Q254" s="261">
        <f t="shared" si="32"/>
        <v>27054249.868799999</v>
      </c>
      <c r="R254" s="259">
        <v>149108.51999999999</v>
      </c>
      <c r="S254" s="259">
        <f t="shared" si="34"/>
        <v>27054249.868799999</v>
      </c>
      <c r="T254" s="259">
        <v>158800.57379999998</v>
      </c>
      <c r="U254" s="259">
        <f t="shared" si="35"/>
        <v>28812776.110271998</v>
      </c>
      <c r="V254" s="259">
        <f t="shared" si="36"/>
        <v>152339.20459999997</v>
      </c>
      <c r="W254" s="267">
        <f t="shared" si="37"/>
        <v>27640425.282623995</v>
      </c>
      <c r="X254" s="306"/>
      <c r="Y254" s="475">
        <f>Q254/L254</f>
        <v>596434.07999999996</v>
      </c>
      <c r="Z254" s="475">
        <f>Y254/136</f>
        <v>4385.5447058823529</v>
      </c>
      <c r="AA254" s="464">
        <f t="shared" si="33"/>
        <v>596434.07999999996</v>
      </c>
      <c r="AB254" s="390"/>
      <c r="AC254" s="475">
        <f>AA254/136</f>
        <v>4385.5447058823529</v>
      </c>
    </row>
    <row r="255" spans="2:29" x14ac:dyDescent="0.35">
      <c r="B255" s="313"/>
      <c r="C255" s="314"/>
      <c r="D255" s="314"/>
      <c r="E255" s="315"/>
      <c r="F255" s="252" t="s">
        <v>380</v>
      </c>
      <c r="G255" s="253" t="s">
        <v>381</v>
      </c>
      <c r="H255" s="254"/>
      <c r="I255" s="255"/>
      <c r="J255" s="256"/>
      <c r="K255" s="265">
        <v>1</v>
      </c>
      <c r="L255" s="257">
        <v>45.36</v>
      </c>
      <c r="M255" s="300">
        <v>136</v>
      </c>
      <c r="N255" s="259">
        <v>1</v>
      </c>
      <c r="O255" s="489">
        <f>K255*L255*M255*N255</f>
        <v>6168.96</v>
      </c>
      <c r="P255" s="261">
        <v>1500</v>
      </c>
      <c r="Q255" s="261">
        <f t="shared" si="32"/>
        <v>9253440</v>
      </c>
      <c r="R255" s="259"/>
      <c r="S255" s="259"/>
      <c r="T255" s="259"/>
      <c r="U255" s="259"/>
      <c r="V255" s="259"/>
      <c r="W255" s="267"/>
      <c r="X255" s="151"/>
      <c r="Y255" s="475"/>
      <c r="Z255" s="475"/>
      <c r="AA255" s="464">
        <f t="shared" si="33"/>
        <v>204000</v>
      </c>
      <c r="AB255" s="390"/>
    </row>
    <row r="256" spans="2:29" x14ac:dyDescent="0.35">
      <c r="B256" s="313"/>
      <c r="C256" s="314"/>
      <c r="D256" s="314"/>
      <c r="E256" s="315"/>
      <c r="F256" s="252" t="s">
        <v>382</v>
      </c>
      <c r="G256" s="253" t="s">
        <v>381</v>
      </c>
      <c r="H256" s="254"/>
      <c r="I256" s="255"/>
      <c r="J256" s="256"/>
      <c r="K256" s="265">
        <v>1</v>
      </c>
      <c r="L256" s="257">
        <v>45.36</v>
      </c>
      <c r="M256" s="300">
        <v>136</v>
      </c>
      <c r="N256" s="259">
        <v>1</v>
      </c>
      <c r="O256" s="309">
        <f>K256*L256*M256*N256</f>
        <v>6168.96</v>
      </c>
      <c r="P256" s="274">
        <v>50400</v>
      </c>
      <c r="Q256" s="261">
        <f t="shared" si="32"/>
        <v>310915584</v>
      </c>
      <c r="R256" s="259">
        <v>50400</v>
      </c>
      <c r="S256" s="259">
        <f t="shared" si="34"/>
        <v>310915584</v>
      </c>
      <c r="T256" s="259">
        <v>52920</v>
      </c>
      <c r="U256" s="259">
        <f t="shared" si="35"/>
        <v>326461363.19999999</v>
      </c>
      <c r="V256" s="259">
        <f t="shared" si="36"/>
        <v>51240.000000000007</v>
      </c>
      <c r="W256" s="267">
        <f t="shared" si="37"/>
        <v>316097510.40000004</v>
      </c>
      <c r="X256" s="151"/>
      <c r="AA256" s="464">
        <f t="shared" si="33"/>
        <v>6854400</v>
      </c>
      <c r="AB256" s="151"/>
    </row>
    <row r="257" spans="2:28" x14ac:dyDescent="0.35">
      <c r="B257" s="313"/>
      <c r="C257" s="314"/>
      <c r="D257" s="314"/>
      <c r="E257" s="315"/>
      <c r="F257" s="252" t="s">
        <v>383</v>
      </c>
      <c r="G257" s="253" t="s">
        <v>381</v>
      </c>
      <c r="H257" s="254"/>
      <c r="I257" s="255"/>
      <c r="J257" s="256"/>
      <c r="K257" s="265">
        <v>1</v>
      </c>
      <c r="L257" s="257">
        <v>45.36</v>
      </c>
      <c r="M257" s="300">
        <v>136</v>
      </c>
      <c r="N257" s="259">
        <v>1</v>
      </c>
      <c r="O257" s="309">
        <f>K257*L257*M257*N257</f>
        <v>6168.96</v>
      </c>
      <c r="P257" s="274">
        <v>4725</v>
      </c>
      <c r="Q257" s="261">
        <f t="shared" si="32"/>
        <v>29148336</v>
      </c>
      <c r="R257" s="259">
        <v>4725</v>
      </c>
      <c r="S257" s="259">
        <f t="shared" si="34"/>
        <v>29148336</v>
      </c>
      <c r="T257" s="259">
        <v>4961.25</v>
      </c>
      <c r="U257" s="259">
        <f t="shared" si="35"/>
        <v>30605752.800000001</v>
      </c>
      <c r="V257" s="259">
        <f t="shared" si="36"/>
        <v>4803.75</v>
      </c>
      <c r="W257" s="267">
        <f t="shared" si="37"/>
        <v>29634141.599999998</v>
      </c>
      <c r="X257" s="151"/>
      <c r="Y257" s="475">
        <f>Q257/L257</f>
        <v>642600</v>
      </c>
      <c r="Z257" s="475">
        <f>Y257/136</f>
        <v>4725</v>
      </c>
      <c r="AA257" s="464">
        <f t="shared" si="33"/>
        <v>642600</v>
      </c>
      <c r="AB257" s="151"/>
    </row>
    <row r="258" spans="2:28" x14ac:dyDescent="0.35">
      <c r="B258" s="320"/>
      <c r="C258" s="321"/>
      <c r="D258" s="321"/>
      <c r="E258" s="332"/>
      <c r="F258" s="252" t="s">
        <v>359</v>
      </c>
      <c r="G258" s="253" t="s">
        <v>195</v>
      </c>
      <c r="H258" s="254"/>
      <c r="I258" s="255"/>
      <c r="J258" s="256"/>
      <c r="K258" s="265">
        <v>0.25</v>
      </c>
      <c r="L258" s="257">
        <v>45.36</v>
      </c>
      <c r="M258" s="300">
        <v>2</v>
      </c>
      <c r="N258" s="259">
        <v>1</v>
      </c>
      <c r="O258" s="259">
        <f>K258*M258*N258*L258</f>
        <v>22.68</v>
      </c>
      <c r="P258" s="274">
        <v>146704.95000000001</v>
      </c>
      <c r="Q258" s="261">
        <f>P258*$O258</f>
        <v>3327268.2660000003</v>
      </c>
      <c r="R258" s="259">
        <v>146704.95000000001</v>
      </c>
      <c r="S258" s="259">
        <f>R258*$O258</f>
        <v>3327268.2660000003</v>
      </c>
      <c r="T258" s="259">
        <v>154040.19750000001</v>
      </c>
      <c r="U258" s="259">
        <f>T258*$O258</f>
        <v>3493631.6793</v>
      </c>
      <c r="V258" s="259">
        <f t="shared" si="36"/>
        <v>149150.0325</v>
      </c>
      <c r="W258" s="267">
        <f t="shared" si="37"/>
        <v>3382722.7371</v>
      </c>
      <c r="X258" s="151"/>
      <c r="AA258" s="464">
        <f t="shared" si="33"/>
        <v>73352.475000000006</v>
      </c>
      <c r="AB258" s="151"/>
    </row>
    <row r="259" spans="2:28" s="424" customFormat="1" x14ac:dyDescent="0.35">
      <c r="B259" s="369" t="s">
        <v>384</v>
      </c>
      <c r="C259" s="370"/>
      <c r="D259" s="370"/>
      <c r="E259" s="371"/>
      <c r="F259" s="402"/>
      <c r="G259" s="403"/>
      <c r="H259" s="404"/>
      <c r="I259" s="405"/>
      <c r="J259" s="406"/>
      <c r="K259" s="407"/>
      <c r="L259" s="407"/>
      <c r="M259" s="408"/>
      <c r="N259" s="382"/>
      <c r="O259" s="382"/>
      <c r="P259" s="382"/>
      <c r="Q259" s="345">
        <f>SUM(Q241:Q258)</f>
        <v>724689246.2654779</v>
      </c>
      <c r="R259" s="382"/>
      <c r="S259" s="382" t="e">
        <f>SUM(S184:S258)</f>
        <v>#N/A</v>
      </c>
      <c r="T259" s="382"/>
      <c r="U259" s="382" t="e">
        <f>SUM(U184:U258)</f>
        <v>#N/A</v>
      </c>
      <c r="V259" s="382"/>
      <c r="W259" s="382" t="e">
        <f>SUM(W184:W258)</f>
        <v>#N/A</v>
      </c>
      <c r="X259" s="480"/>
      <c r="Y259" s="481"/>
      <c r="Z259" s="481"/>
      <c r="AA259" s="482">
        <f>Q259/$E$1</f>
        <v>15976394.318022</v>
      </c>
      <c r="AB259" s="346">
        <f>Q259/$Q$346*100</f>
        <v>19.21687673800427</v>
      </c>
    </row>
    <row r="260" spans="2:28" x14ac:dyDescent="0.35">
      <c r="B260" s="254"/>
      <c r="C260" s="250" t="s">
        <v>385</v>
      </c>
      <c r="D260" s="255"/>
      <c r="E260" s="349"/>
      <c r="F260" s="252"/>
      <c r="G260" s="253"/>
      <c r="H260" s="254"/>
      <c r="I260" s="255"/>
      <c r="J260" s="256"/>
      <c r="K260" s="257"/>
      <c r="L260" s="257"/>
      <c r="M260" s="258"/>
      <c r="N260" s="259"/>
      <c r="O260" s="259"/>
      <c r="P260" s="259"/>
      <c r="Q260" s="259"/>
      <c r="R260" s="259"/>
      <c r="S260" s="259"/>
      <c r="T260" s="259"/>
      <c r="U260" s="259"/>
      <c r="V260" s="259"/>
      <c r="W260" s="259"/>
      <c r="X260" s="151"/>
      <c r="AA260" s="151"/>
      <c r="AB260" s="151"/>
    </row>
    <row r="261" spans="2:28" x14ac:dyDescent="0.35">
      <c r="B261" s="254"/>
      <c r="C261" s="250"/>
      <c r="D261" s="255" t="s">
        <v>386</v>
      </c>
      <c r="E261" s="349"/>
      <c r="F261" s="252"/>
      <c r="G261" s="253"/>
      <c r="H261" s="254"/>
      <c r="I261" s="255"/>
      <c r="J261" s="256"/>
      <c r="K261" s="257"/>
      <c r="L261" s="257"/>
      <c r="M261" s="258"/>
      <c r="N261" s="259"/>
      <c r="O261" s="259"/>
      <c r="P261" s="259"/>
      <c r="Q261" s="259"/>
      <c r="R261" s="259"/>
      <c r="S261" s="259"/>
      <c r="T261" s="259"/>
      <c r="U261" s="259"/>
      <c r="V261" s="259"/>
      <c r="W261" s="259"/>
      <c r="X261" s="151"/>
      <c r="AA261" s="151"/>
      <c r="AB261" s="151"/>
    </row>
    <row r="262" spans="2:28" x14ac:dyDescent="0.35">
      <c r="B262" s="262"/>
      <c r="C262" s="263"/>
      <c r="D262" s="263"/>
      <c r="E262" s="264" t="s">
        <v>387</v>
      </c>
      <c r="F262" s="252" t="s">
        <v>177</v>
      </c>
      <c r="G262" s="253" t="s">
        <v>178</v>
      </c>
      <c r="H262" s="254"/>
      <c r="I262" s="255"/>
      <c r="J262" s="256"/>
      <c r="K262" s="257"/>
      <c r="L262" s="257"/>
      <c r="M262" s="258"/>
      <c r="N262" s="259"/>
      <c r="O262" s="259"/>
      <c r="P262" s="259"/>
      <c r="Q262" s="259"/>
      <c r="R262" s="259"/>
      <c r="S262" s="259"/>
      <c r="T262" s="259"/>
      <c r="U262" s="259"/>
      <c r="V262" s="259"/>
      <c r="W262" s="259"/>
      <c r="X262" s="151"/>
      <c r="AA262" s="151"/>
      <c r="AB262" s="151"/>
    </row>
    <row r="263" spans="2:28" x14ac:dyDescent="0.35">
      <c r="B263" s="313"/>
      <c r="C263" s="314"/>
      <c r="D263" s="314"/>
      <c r="E263" s="315"/>
      <c r="F263" s="252" t="s">
        <v>388</v>
      </c>
      <c r="G263" s="253" t="s">
        <v>222</v>
      </c>
      <c r="H263" s="254"/>
      <c r="I263" s="255"/>
      <c r="J263" s="256"/>
      <c r="K263" s="257"/>
      <c r="L263" s="257"/>
      <c r="M263" s="258"/>
      <c r="N263" s="259"/>
      <c r="O263" s="259"/>
      <c r="P263" s="259"/>
      <c r="Q263" s="259"/>
      <c r="R263" s="259"/>
      <c r="S263" s="259"/>
      <c r="T263" s="259"/>
      <c r="U263" s="259"/>
      <c r="V263" s="259"/>
      <c r="W263" s="259"/>
      <c r="X263" s="151"/>
      <c r="AA263" s="151"/>
      <c r="AB263" s="151"/>
    </row>
    <row r="264" spans="2:28" x14ac:dyDescent="0.35">
      <c r="B264" s="320"/>
      <c r="C264" s="321"/>
      <c r="D264" s="321"/>
      <c r="E264" s="332"/>
      <c r="F264" s="252" t="s">
        <v>389</v>
      </c>
      <c r="G264" s="253" t="s">
        <v>183</v>
      </c>
      <c r="H264" s="254"/>
      <c r="I264" s="255"/>
      <c r="J264" s="256"/>
      <c r="K264" s="257"/>
      <c r="L264" s="257"/>
      <c r="M264" s="258"/>
      <c r="N264" s="259"/>
      <c r="O264" s="259"/>
      <c r="P264" s="259"/>
      <c r="Q264" s="259"/>
      <c r="R264" s="259"/>
      <c r="S264" s="259"/>
      <c r="T264" s="259"/>
      <c r="U264" s="259"/>
      <c r="V264" s="259"/>
      <c r="W264" s="259"/>
      <c r="X264" s="151"/>
      <c r="AA264" s="151"/>
      <c r="AB264" s="151"/>
    </row>
    <row r="265" spans="2:28" x14ac:dyDescent="0.35">
      <c r="B265" s="262"/>
      <c r="C265" s="263"/>
      <c r="D265" s="263"/>
      <c r="E265" s="264" t="s">
        <v>390</v>
      </c>
      <c r="F265" s="252" t="s">
        <v>177</v>
      </c>
      <c r="G265" s="253" t="s">
        <v>178</v>
      </c>
      <c r="H265" s="254"/>
      <c r="I265" s="255"/>
      <c r="J265" s="256"/>
      <c r="K265" s="265">
        <v>1</v>
      </c>
      <c r="L265" s="257">
        <v>45.36</v>
      </c>
      <c r="M265" s="309">
        <v>0.25</v>
      </c>
      <c r="N265" s="259">
        <v>2</v>
      </c>
      <c r="O265" s="309">
        <f>K265*L265*M265*N265</f>
        <v>22.68</v>
      </c>
      <c r="P265" s="274">
        <v>149108.51999999999</v>
      </c>
      <c r="Q265" s="261">
        <f>P265*$O265</f>
        <v>3381781.2335999999</v>
      </c>
      <c r="R265" s="259">
        <v>149108.51999999999</v>
      </c>
      <c r="S265" s="259">
        <f>R265*$O265</f>
        <v>3381781.2335999999</v>
      </c>
      <c r="T265" s="259">
        <v>158800.57379999998</v>
      </c>
      <c r="U265" s="259">
        <f>T265*$O265</f>
        <v>3601597.0137839997</v>
      </c>
      <c r="V265" s="259">
        <f>W265/O265</f>
        <v>152339.20459999997</v>
      </c>
      <c r="W265" s="267">
        <f>AVERAGEIF($P$3:$U$3,W$3,$P265:$U265)</f>
        <v>3455053.1603279994</v>
      </c>
      <c r="X265" s="151"/>
      <c r="AA265" s="464">
        <f t="shared" ref="AA265:AA268" si="39">Q265/$E$1</f>
        <v>74554.259999999995</v>
      </c>
      <c r="AB265" s="151"/>
    </row>
    <row r="266" spans="2:28" x14ac:dyDescent="0.35">
      <c r="B266" s="320"/>
      <c r="C266" s="321"/>
      <c r="D266" s="321"/>
      <c r="E266" s="332"/>
      <c r="F266" s="252" t="s">
        <v>391</v>
      </c>
      <c r="G266" s="253" t="s">
        <v>181</v>
      </c>
      <c r="H266" s="254"/>
      <c r="I266" s="255"/>
      <c r="J266" s="256"/>
      <c r="K266" s="265">
        <v>1</v>
      </c>
      <c r="L266" s="257">
        <v>45.36</v>
      </c>
      <c r="M266" s="400">
        <v>1.0880000000000001</v>
      </c>
      <c r="N266" s="259">
        <v>2</v>
      </c>
      <c r="O266" s="309">
        <f>K266*L266*M266*N266</f>
        <v>98.703360000000004</v>
      </c>
      <c r="P266" s="274">
        <v>34272</v>
      </c>
      <c r="Q266" s="261">
        <f>P266*$O266</f>
        <v>3382761.5539200003</v>
      </c>
      <c r="R266" s="259">
        <v>34272</v>
      </c>
      <c r="S266" s="259">
        <f>R266*$O266</f>
        <v>3382761.5539200003</v>
      </c>
      <c r="T266" s="259">
        <v>35985.599999999999</v>
      </c>
      <c r="U266" s="259">
        <f>T266*$O266</f>
        <v>3551899.6316160001</v>
      </c>
      <c r="V266" s="259">
        <f>W266/O266</f>
        <v>34843.200000000004</v>
      </c>
      <c r="W266" s="267">
        <f>AVERAGEIF($P$3:$U$3,W$3,$P266:$U266)</f>
        <v>3439140.9131520004</v>
      </c>
      <c r="X266" s="151"/>
      <c r="AA266" s="464">
        <f t="shared" si="39"/>
        <v>74575.872000000003</v>
      </c>
      <c r="AB266" s="151"/>
    </row>
    <row r="267" spans="2:28" x14ac:dyDescent="0.35">
      <c r="B267" s="262"/>
      <c r="C267" s="263"/>
      <c r="D267" s="176"/>
      <c r="E267" s="272" t="s">
        <v>392</v>
      </c>
      <c r="F267" s="252" t="s">
        <v>177</v>
      </c>
      <c r="G267" s="253" t="s">
        <v>178</v>
      </c>
      <c r="H267" s="254"/>
      <c r="I267" s="255"/>
      <c r="J267" s="256"/>
      <c r="K267" s="265">
        <v>1</v>
      </c>
      <c r="L267" s="257">
        <v>45.36</v>
      </c>
      <c r="M267" s="309">
        <v>0.25</v>
      </c>
      <c r="N267" s="259">
        <v>3</v>
      </c>
      <c r="O267" s="309">
        <f>K267*L267*M267*N267</f>
        <v>34.019999999999996</v>
      </c>
      <c r="P267" s="274">
        <v>149108.51999999999</v>
      </c>
      <c r="Q267" s="261">
        <f>P267*$O267</f>
        <v>5072671.8503999989</v>
      </c>
      <c r="R267" s="259"/>
      <c r="S267" s="259"/>
      <c r="T267" s="259"/>
      <c r="U267" s="259"/>
      <c r="V267" s="259"/>
      <c r="W267" s="259"/>
      <c r="X267" s="151"/>
      <c r="AA267" s="464">
        <f t="shared" si="39"/>
        <v>111831.38999999998</v>
      </c>
      <c r="AB267" s="151"/>
    </row>
    <row r="268" spans="2:28" x14ac:dyDescent="0.35">
      <c r="B268" s="313"/>
      <c r="C268" s="314"/>
      <c r="D268" s="314"/>
      <c r="E268" s="315"/>
      <c r="F268" s="252" t="s">
        <v>393</v>
      </c>
      <c r="G268" s="253" t="s">
        <v>394</v>
      </c>
      <c r="H268" s="254"/>
      <c r="I268" s="255"/>
      <c r="J268" s="256"/>
      <c r="K268" s="265">
        <v>1</v>
      </c>
      <c r="L268" s="257">
        <v>45.36</v>
      </c>
      <c r="M268" s="309">
        <f>5*136/1000</f>
        <v>0.68</v>
      </c>
      <c r="N268" s="259">
        <v>3</v>
      </c>
      <c r="O268" s="309">
        <f>K268*L268*M268*N268</f>
        <v>92.534400000000005</v>
      </c>
      <c r="P268" s="274">
        <v>32387.040000000001</v>
      </c>
      <c r="Q268" s="261">
        <f>P268*$O268</f>
        <v>2996915.3141760002</v>
      </c>
      <c r="R268" s="259"/>
      <c r="S268" s="259"/>
      <c r="T268" s="259"/>
      <c r="U268" s="259"/>
      <c r="V268" s="259"/>
      <c r="W268" s="259"/>
      <c r="X268" s="151" t="s">
        <v>355</v>
      </c>
      <c r="AA268" s="464">
        <f t="shared" si="39"/>
        <v>66069.561600000001</v>
      </c>
      <c r="AB268" s="151"/>
    </row>
    <row r="269" spans="2:28" x14ac:dyDescent="0.35">
      <c r="B269" s="313"/>
      <c r="C269" s="314"/>
      <c r="D269" s="314"/>
      <c r="E269" s="315"/>
      <c r="F269" s="252" t="s">
        <v>395</v>
      </c>
      <c r="G269" s="253" t="s">
        <v>396</v>
      </c>
      <c r="H269" s="254"/>
      <c r="I269" s="255"/>
      <c r="J269" s="256"/>
      <c r="K269" s="257"/>
      <c r="L269" s="257"/>
      <c r="M269" s="258"/>
      <c r="N269" s="259"/>
      <c r="O269" s="259"/>
      <c r="P269" s="259"/>
      <c r="Q269" s="259"/>
      <c r="R269" s="259"/>
      <c r="S269" s="259"/>
      <c r="T269" s="259"/>
      <c r="U269" s="259"/>
      <c r="V269" s="259"/>
      <c r="W269" s="259"/>
      <c r="X269" s="151"/>
      <c r="AA269" s="151"/>
      <c r="AB269" s="151"/>
    </row>
    <row r="270" spans="2:28" x14ac:dyDescent="0.35">
      <c r="B270" s="313"/>
      <c r="C270" s="314"/>
      <c r="D270" s="314"/>
      <c r="E270" s="315"/>
      <c r="F270" s="252" t="s">
        <v>397</v>
      </c>
      <c r="G270" s="253" t="s">
        <v>181</v>
      </c>
      <c r="H270" s="254"/>
      <c r="I270" s="255"/>
      <c r="J270" s="256"/>
      <c r="K270" s="257"/>
      <c r="L270" s="257"/>
      <c r="M270" s="258"/>
      <c r="N270" s="259"/>
      <c r="O270" s="259"/>
      <c r="P270" s="259"/>
      <c r="Q270" s="259"/>
      <c r="R270" s="259"/>
      <c r="S270" s="259"/>
      <c r="T270" s="259"/>
      <c r="U270" s="259"/>
      <c r="V270" s="259"/>
      <c r="W270" s="259"/>
      <c r="X270" s="151"/>
      <c r="AA270" s="151"/>
      <c r="AB270" s="151"/>
    </row>
    <row r="271" spans="2:28" x14ac:dyDescent="0.35">
      <c r="B271" s="320"/>
      <c r="C271" s="321"/>
      <c r="D271" s="321"/>
      <c r="E271" s="332"/>
      <c r="F271" s="252" t="s">
        <v>398</v>
      </c>
      <c r="G271" s="253" t="s">
        <v>183</v>
      </c>
      <c r="H271" s="254"/>
      <c r="I271" s="255"/>
      <c r="J271" s="256"/>
      <c r="K271" s="265">
        <v>0</v>
      </c>
      <c r="L271" s="257">
        <v>20</v>
      </c>
      <c r="M271" s="309">
        <v>1</v>
      </c>
      <c r="N271" s="259">
        <v>1</v>
      </c>
      <c r="O271" s="300">
        <f>K271*L271*M271*N271</f>
        <v>0</v>
      </c>
      <c r="P271" s="261">
        <v>25000</v>
      </c>
      <c r="Q271" s="261">
        <f>P271*$O271</f>
        <v>0</v>
      </c>
      <c r="R271" s="259"/>
      <c r="S271" s="259"/>
      <c r="T271" s="259"/>
      <c r="U271" s="259"/>
      <c r="V271" s="259"/>
      <c r="W271" s="259"/>
      <c r="X271" s="151"/>
      <c r="AA271" s="151"/>
      <c r="AB271" s="151"/>
    </row>
    <row r="272" spans="2:28" x14ac:dyDescent="0.35">
      <c r="B272" s="262"/>
      <c r="C272" s="263"/>
      <c r="D272" s="263"/>
      <c r="E272" s="264" t="s">
        <v>154</v>
      </c>
      <c r="F272" s="252" t="s">
        <v>177</v>
      </c>
      <c r="G272" s="253" t="s">
        <v>178</v>
      </c>
      <c r="H272" s="254"/>
      <c r="I272" s="255"/>
      <c r="J272" s="256" t="s">
        <v>179</v>
      </c>
      <c r="K272" s="265">
        <v>0</v>
      </c>
      <c r="L272" s="479">
        <f>208/136</f>
        <v>1.5294117647058822</v>
      </c>
      <c r="M272" s="266">
        <v>3</v>
      </c>
      <c r="N272" s="259">
        <v>1</v>
      </c>
      <c r="O272" s="309">
        <f>K272*L272*M272*N272</f>
        <v>0</v>
      </c>
      <c r="P272" s="259">
        <v>140008</v>
      </c>
      <c r="Q272" s="261">
        <f>P272*$O272</f>
        <v>0</v>
      </c>
      <c r="R272" s="259"/>
      <c r="S272" s="259"/>
      <c r="T272" s="259"/>
      <c r="U272" s="259"/>
      <c r="V272" s="259"/>
      <c r="W272" s="259"/>
      <c r="X272" s="151" t="s">
        <v>399</v>
      </c>
      <c r="AA272" s="300">
        <f>Q272/L272</f>
        <v>0</v>
      </c>
      <c r="AB272" s="151"/>
    </row>
    <row r="273" spans="2:29" x14ac:dyDescent="0.35">
      <c r="B273" s="313"/>
      <c r="C273" s="314"/>
      <c r="D273" s="314"/>
      <c r="E273" s="315"/>
      <c r="F273" s="252" t="s">
        <v>374</v>
      </c>
      <c r="G273" s="253" t="s">
        <v>181</v>
      </c>
      <c r="H273" s="254"/>
      <c r="I273" s="255"/>
      <c r="J273" s="256"/>
      <c r="K273" s="265">
        <v>0</v>
      </c>
      <c r="L273" s="479">
        <f>208/136</f>
        <v>1.5294117647058822</v>
      </c>
      <c r="M273" s="300">
        <f>0.5*136</f>
        <v>68</v>
      </c>
      <c r="N273" s="261">
        <v>1</v>
      </c>
      <c r="O273" s="309">
        <f>K273*L273*M273*N273</f>
        <v>0</v>
      </c>
      <c r="P273" s="261">
        <v>24786</v>
      </c>
      <c r="Q273" s="259">
        <f>P273*$O273</f>
        <v>0</v>
      </c>
      <c r="R273" s="259"/>
      <c r="S273" s="259"/>
      <c r="T273" s="259"/>
      <c r="U273" s="259"/>
      <c r="V273" s="259"/>
      <c r="W273" s="259"/>
      <c r="X273" s="151" t="s">
        <v>400</v>
      </c>
      <c r="AA273" s="300">
        <f>Q273/L273</f>
        <v>0</v>
      </c>
      <c r="AB273" s="151"/>
    </row>
    <row r="274" spans="2:29" x14ac:dyDescent="0.35">
      <c r="B274" s="320"/>
      <c r="C274" s="321"/>
      <c r="D274" s="321"/>
      <c r="E274" s="332"/>
      <c r="F274" s="252" t="s">
        <v>377</v>
      </c>
      <c r="G274" s="253" t="s">
        <v>181</v>
      </c>
      <c r="H274" s="254"/>
      <c r="I274" s="255"/>
      <c r="J274" s="256"/>
      <c r="K274" s="265">
        <v>0</v>
      </c>
      <c r="L274" s="479">
        <f>208/136</f>
        <v>1.5294117647058822</v>
      </c>
      <c r="M274" s="300">
        <f>0.2*136</f>
        <v>27.200000000000003</v>
      </c>
      <c r="N274" s="261">
        <v>1</v>
      </c>
      <c r="O274" s="309">
        <f>K274*L274*M274*N274</f>
        <v>0</v>
      </c>
      <c r="P274" s="261">
        <v>42220</v>
      </c>
      <c r="Q274" s="259">
        <f>P274*$O274</f>
        <v>0</v>
      </c>
      <c r="R274" s="259"/>
      <c r="S274" s="259"/>
      <c r="T274" s="259"/>
      <c r="U274" s="259"/>
      <c r="V274" s="259"/>
      <c r="W274" s="259"/>
      <c r="X274" s="151" t="s">
        <v>401</v>
      </c>
      <c r="AA274" s="300">
        <f>Q274/L274</f>
        <v>0</v>
      </c>
      <c r="AB274" s="151"/>
    </row>
    <row r="275" spans="2:29" x14ac:dyDescent="0.35">
      <c r="B275" s="262"/>
      <c r="C275" s="263"/>
      <c r="D275" s="263"/>
      <c r="E275" s="264" t="s">
        <v>402</v>
      </c>
      <c r="F275" s="252" t="s">
        <v>177</v>
      </c>
      <c r="G275" s="253" t="s">
        <v>178</v>
      </c>
      <c r="H275" s="254"/>
      <c r="I275" s="255"/>
      <c r="J275" s="256"/>
      <c r="K275" s="257"/>
      <c r="L275" s="257"/>
      <c r="M275" s="266">
        <v>22.5</v>
      </c>
      <c r="N275" s="494">
        <v>1</v>
      </c>
      <c r="O275" s="259"/>
      <c r="P275" s="259"/>
      <c r="Q275" s="259"/>
      <c r="R275" s="259"/>
      <c r="S275" s="259"/>
      <c r="T275" s="259"/>
      <c r="U275" s="259"/>
      <c r="V275" s="259"/>
      <c r="W275" s="259"/>
      <c r="X275" s="151"/>
      <c r="AA275" s="151"/>
      <c r="AB275" s="151"/>
    </row>
    <row r="276" spans="2:29" x14ac:dyDescent="0.35">
      <c r="B276" s="313"/>
      <c r="C276" s="314"/>
      <c r="D276" s="314"/>
      <c r="E276" s="315"/>
      <c r="F276" s="252" t="s">
        <v>403</v>
      </c>
      <c r="G276" s="253" t="s">
        <v>404</v>
      </c>
      <c r="H276" s="254"/>
      <c r="I276" s="255"/>
      <c r="J276" s="256"/>
      <c r="K276" s="257"/>
      <c r="L276" s="257"/>
      <c r="M276" s="266">
        <v>0.27200000000000002</v>
      </c>
      <c r="N276" s="494">
        <v>1</v>
      </c>
      <c r="O276" s="259"/>
      <c r="P276" s="259"/>
      <c r="Q276" s="259"/>
      <c r="R276" s="259"/>
      <c r="S276" s="259"/>
      <c r="T276" s="259"/>
      <c r="U276" s="259"/>
      <c r="V276" s="259"/>
      <c r="W276" s="432"/>
      <c r="X276" s="317"/>
      <c r="AA276" s="151"/>
      <c r="AB276" s="151"/>
    </row>
    <row r="277" spans="2:29" x14ac:dyDescent="0.35">
      <c r="B277" s="313"/>
      <c r="C277" s="314"/>
      <c r="D277" s="314"/>
      <c r="E277" s="315"/>
      <c r="F277" s="252" t="s">
        <v>405</v>
      </c>
      <c r="G277" s="253" t="s">
        <v>181</v>
      </c>
      <c r="H277" s="254"/>
      <c r="I277" s="255"/>
      <c r="J277" s="256"/>
      <c r="K277" s="257"/>
      <c r="L277" s="257"/>
      <c r="M277" s="266">
        <v>0.13600000000000001</v>
      </c>
      <c r="N277" s="494">
        <v>1</v>
      </c>
      <c r="O277" s="259"/>
      <c r="P277" s="259"/>
      <c r="Q277" s="261"/>
      <c r="R277" s="259"/>
      <c r="S277" s="259"/>
      <c r="T277" s="259"/>
      <c r="U277" s="259"/>
      <c r="V277" s="259"/>
      <c r="W277" s="432"/>
      <c r="X277" s="317"/>
      <c r="AA277" s="151"/>
      <c r="AB277" s="151"/>
    </row>
    <row r="278" spans="2:29" x14ac:dyDescent="0.35">
      <c r="B278" s="262"/>
      <c r="C278" s="263"/>
      <c r="D278" s="263" t="s">
        <v>155</v>
      </c>
      <c r="E278" s="264"/>
      <c r="F278" s="252" t="s">
        <v>177</v>
      </c>
      <c r="G278" s="253" t="s">
        <v>178</v>
      </c>
      <c r="H278" s="254"/>
      <c r="I278" s="255"/>
      <c r="J278" s="256"/>
      <c r="K278" s="265">
        <v>0.15</v>
      </c>
      <c r="L278" s="257">
        <v>45.36</v>
      </c>
      <c r="M278" s="300">
        <v>5</v>
      </c>
      <c r="N278" s="261">
        <v>1</v>
      </c>
      <c r="O278" s="261">
        <f>K278*L278*M278*N278</f>
        <v>34.019999999999996</v>
      </c>
      <c r="P278" s="274">
        <v>149108.51999999999</v>
      </c>
      <c r="Q278" s="261">
        <f>P278*$O278</f>
        <v>5072671.8503999989</v>
      </c>
      <c r="R278" s="259">
        <v>149108.51999999999</v>
      </c>
      <c r="S278" s="259">
        <f>R278*$O278</f>
        <v>5072671.8503999989</v>
      </c>
      <c r="T278" s="259">
        <v>158800.57379999998</v>
      </c>
      <c r="U278" s="259">
        <f>T278*$O278</f>
        <v>5402395.5206759991</v>
      </c>
      <c r="V278" s="259">
        <f>W278/O278</f>
        <v>152339.20459999997</v>
      </c>
      <c r="W278" s="267">
        <f>AVERAGEIF($P$3:$U$3,W$3,$P278:$U278)</f>
        <v>5182579.7404919984</v>
      </c>
      <c r="X278" s="495"/>
      <c r="AA278" s="292">
        <f t="shared" ref="AA278:AA279" si="40">Q278/$E$1</f>
        <v>111831.38999999998</v>
      </c>
      <c r="AB278" s="151"/>
      <c r="AC278" s="434">
        <f>AA278/136</f>
        <v>822.28963235294111</v>
      </c>
    </row>
    <row r="279" spans="2:29" x14ac:dyDescent="0.35">
      <c r="B279" s="320"/>
      <c r="C279" s="321"/>
      <c r="D279" s="321"/>
      <c r="E279" s="332"/>
      <c r="F279" s="252" t="s">
        <v>285</v>
      </c>
      <c r="G279" s="253" t="s">
        <v>183</v>
      </c>
      <c r="H279" s="254"/>
      <c r="I279" s="255"/>
      <c r="J279" s="256"/>
      <c r="K279" s="265">
        <v>1</v>
      </c>
      <c r="L279" s="257">
        <v>5</v>
      </c>
      <c r="M279" s="300">
        <v>1</v>
      </c>
      <c r="N279" s="261">
        <v>1</v>
      </c>
      <c r="O279" s="261">
        <f>K279*L279*M279*N279</f>
        <v>5</v>
      </c>
      <c r="P279" s="274">
        <v>79588.6875</v>
      </c>
      <c r="Q279" s="261">
        <f>P279*$O279</f>
        <v>397943.4375</v>
      </c>
      <c r="R279" s="496"/>
      <c r="S279" s="496"/>
      <c r="T279" s="496"/>
      <c r="U279" s="496"/>
      <c r="V279" s="496"/>
      <c r="W279" s="496"/>
      <c r="X279" s="495"/>
      <c r="AA279" s="292">
        <f t="shared" si="40"/>
        <v>8773.0034722222226</v>
      </c>
      <c r="AB279" s="151"/>
    </row>
    <row r="280" spans="2:29" x14ac:dyDescent="0.35">
      <c r="B280" s="262"/>
      <c r="C280" s="263"/>
      <c r="D280" s="263" t="s">
        <v>153</v>
      </c>
      <c r="E280" s="264"/>
      <c r="F280" s="252" t="s">
        <v>177</v>
      </c>
      <c r="G280" s="253" t="s">
        <v>178</v>
      </c>
      <c r="H280" s="254"/>
      <c r="I280" s="255"/>
      <c r="J280" s="256"/>
      <c r="K280" s="265"/>
      <c r="L280" s="257">
        <v>192.08</v>
      </c>
      <c r="M280" s="300">
        <v>4</v>
      </c>
      <c r="N280" s="261">
        <v>1</v>
      </c>
      <c r="O280" s="261">
        <f>K280*L280*M280*N280</f>
        <v>0</v>
      </c>
      <c r="P280" s="261">
        <v>140008</v>
      </c>
      <c r="Q280" s="259">
        <f>P280*$O280</f>
        <v>0</v>
      </c>
      <c r="R280" s="259"/>
      <c r="S280" s="259"/>
      <c r="T280" s="259"/>
      <c r="U280" s="259"/>
      <c r="V280" s="259"/>
      <c r="W280" s="259"/>
      <c r="X280" s="151" t="s">
        <v>406</v>
      </c>
      <c r="AA280" s="151"/>
      <c r="AB280" s="151"/>
    </row>
    <row r="281" spans="2:29" x14ac:dyDescent="0.35">
      <c r="B281" s="320"/>
      <c r="C281" s="321"/>
      <c r="D281" s="321"/>
      <c r="E281" s="332"/>
      <c r="F281" s="252" t="s">
        <v>285</v>
      </c>
      <c r="G281" s="253" t="s">
        <v>183</v>
      </c>
      <c r="H281" s="254"/>
      <c r="I281" s="255"/>
      <c r="J281" s="256"/>
      <c r="K281" s="257"/>
      <c r="L281" s="257"/>
      <c r="M281" s="258"/>
      <c r="N281" s="259"/>
      <c r="O281" s="259"/>
      <c r="P281" s="259"/>
      <c r="Q281" s="259"/>
      <c r="R281" s="259"/>
      <c r="S281" s="259"/>
      <c r="T281" s="259"/>
      <c r="U281" s="259"/>
      <c r="V281" s="259"/>
      <c r="W281" s="259"/>
      <c r="X281" s="151"/>
      <c r="AA281" s="151"/>
      <c r="AB281" s="151"/>
    </row>
    <row r="282" spans="2:29" s="424" customFormat="1" x14ac:dyDescent="0.35">
      <c r="B282" s="369" t="s">
        <v>407</v>
      </c>
      <c r="C282" s="370"/>
      <c r="D282" s="370"/>
      <c r="E282" s="371"/>
      <c r="F282" s="402"/>
      <c r="G282" s="403"/>
      <c r="H282" s="404"/>
      <c r="I282" s="405"/>
      <c r="J282" s="406"/>
      <c r="K282" s="407"/>
      <c r="L282" s="407"/>
      <c r="M282" s="408"/>
      <c r="N282" s="382"/>
      <c r="O282" s="382"/>
      <c r="P282" s="382"/>
      <c r="Q282" s="345">
        <f>SUM(Q262:Q281)</f>
        <v>20304745.239996001</v>
      </c>
      <c r="R282" s="382"/>
      <c r="S282" s="382" t="e">
        <f>SUM(S207:S281)</f>
        <v>#N/A</v>
      </c>
      <c r="T282" s="382"/>
      <c r="U282" s="382" t="e">
        <f>SUM(U207:U281)</f>
        <v>#N/A</v>
      </c>
      <c r="V282" s="382"/>
      <c r="W282" s="382" t="e">
        <f>SUM(W207:W281)</f>
        <v>#N/A</v>
      </c>
      <c r="X282" s="469"/>
      <c r="Y282" s="470"/>
      <c r="Z282" s="470"/>
      <c r="AA282" s="497">
        <f>Q282/$E$1</f>
        <v>447635.47707222227</v>
      </c>
      <c r="AB282" s="346">
        <f>Q282/$Q$346*100</f>
        <v>0.53842911080074318</v>
      </c>
    </row>
    <row r="283" spans="2:29" x14ac:dyDescent="0.35">
      <c r="B283" s="254"/>
      <c r="C283" s="250" t="s">
        <v>408</v>
      </c>
      <c r="D283" s="255"/>
      <c r="E283" s="349"/>
      <c r="F283" s="252"/>
      <c r="G283" s="253"/>
      <c r="H283" s="254"/>
      <c r="I283" s="255"/>
      <c r="J283" s="256"/>
      <c r="K283" s="257"/>
      <c r="L283" s="303"/>
      <c r="M283" s="379"/>
      <c r="N283" s="380"/>
      <c r="O283" s="380"/>
      <c r="P283" s="259"/>
      <c r="Q283" s="259"/>
      <c r="R283" s="259"/>
      <c r="S283" s="259"/>
      <c r="T283" s="259"/>
      <c r="U283" s="259"/>
      <c r="V283" s="259"/>
      <c r="W283" s="259"/>
      <c r="X283" s="151"/>
      <c r="AA283" s="151"/>
      <c r="AB283" s="151"/>
    </row>
    <row r="284" spans="2:29" x14ac:dyDescent="0.35">
      <c r="B284" s="262"/>
      <c r="C284" s="498"/>
      <c r="D284" s="263" t="s">
        <v>351</v>
      </c>
      <c r="E284" s="264"/>
      <c r="F284" s="252"/>
      <c r="G284" s="253"/>
      <c r="H284" s="254"/>
      <c r="I284" s="255"/>
      <c r="J284" s="256"/>
      <c r="K284" s="257"/>
      <c r="L284" s="303"/>
      <c r="M284" s="379"/>
      <c r="N284" s="380"/>
      <c r="O284" s="380"/>
      <c r="P284" s="259"/>
      <c r="Q284" s="259"/>
      <c r="R284" s="259"/>
      <c r="S284" s="259"/>
      <c r="T284" s="259"/>
      <c r="U284" s="259"/>
      <c r="V284" s="259"/>
      <c r="W284" s="259"/>
      <c r="X284" s="151"/>
      <c r="AA284" s="151"/>
      <c r="AB284" s="151"/>
    </row>
    <row r="285" spans="2:29" x14ac:dyDescent="0.35">
      <c r="B285" s="313"/>
      <c r="C285" s="499"/>
      <c r="D285" s="314"/>
      <c r="E285" s="473" t="s">
        <v>147</v>
      </c>
      <c r="F285" s="151" t="s">
        <v>177</v>
      </c>
      <c r="G285" s="316" t="s">
        <v>178</v>
      </c>
      <c r="H285" s="317"/>
      <c r="I285" s="318"/>
      <c r="J285" s="316" t="s">
        <v>179</v>
      </c>
      <c r="K285" s="433">
        <v>1</v>
      </c>
      <c r="L285" s="257">
        <v>45.36</v>
      </c>
      <c r="M285" s="476">
        <v>0.5</v>
      </c>
      <c r="N285" s="436">
        <v>1</v>
      </c>
      <c r="O285" s="500">
        <f t="shared" ref="O285:O293" si="41">K285*L285*M285*N285</f>
        <v>22.68</v>
      </c>
      <c r="P285" s="274">
        <v>149108.51999999999</v>
      </c>
      <c r="Q285" s="261">
        <f t="shared" ref="Q285:Q293" si="42">P285*$O285</f>
        <v>3381781.2335999999</v>
      </c>
      <c r="R285" s="259">
        <v>149108.51999999999</v>
      </c>
      <c r="S285" s="259">
        <f t="shared" ref="S285:S293" si="43">R285*$O285</f>
        <v>3381781.2335999999</v>
      </c>
      <c r="T285" s="259">
        <v>158800.57379999998</v>
      </c>
      <c r="U285" s="259">
        <f t="shared" ref="U285:U293" si="44">T285*$O285</f>
        <v>3601597.0137839997</v>
      </c>
      <c r="V285" s="259">
        <f t="shared" ref="V285:V293" si="45">W285/O285</f>
        <v>152339.20459999997</v>
      </c>
      <c r="W285" s="267">
        <f t="shared" ref="W285:W293" si="46">AVERAGEIF($P$3:$U$3,W$3,$P285:$U285)</f>
        <v>3455053.1603279994</v>
      </c>
      <c r="X285" s="151"/>
      <c r="AA285" s="292">
        <f t="shared" ref="AA285:AA293" si="47">Q285/$E$1</f>
        <v>74554.259999999995</v>
      </c>
      <c r="AB285" s="151"/>
    </row>
    <row r="286" spans="2:29" x14ac:dyDescent="0.35">
      <c r="B286" s="313"/>
      <c r="C286" s="499"/>
      <c r="D286" s="314"/>
      <c r="E286"/>
      <c r="F286" s="151" t="s">
        <v>353</v>
      </c>
      <c r="G286" s="316" t="s">
        <v>178</v>
      </c>
      <c r="H286" s="317"/>
      <c r="I286" s="318"/>
      <c r="J286" s="316" t="s">
        <v>179</v>
      </c>
      <c r="K286" s="433">
        <v>1</v>
      </c>
      <c r="L286" s="257">
        <v>45.36</v>
      </c>
      <c r="M286" s="476">
        <v>0.18</v>
      </c>
      <c r="N286" s="436">
        <f>N285</f>
        <v>1</v>
      </c>
      <c r="O286" s="500">
        <f t="shared" si="41"/>
        <v>8.1647999999999996</v>
      </c>
      <c r="P286" s="274">
        <v>149108.51999999999</v>
      </c>
      <c r="Q286" s="261">
        <f t="shared" si="42"/>
        <v>1217441.2440959997</v>
      </c>
      <c r="R286" s="259">
        <v>149108.51999999999</v>
      </c>
      <c r="S286" s="259">
        <f t="shared" si="43"/>
        <v>1217441.2440959997</v>
      </c>
      <c r="T286" s="259">
        <v>158800.57379999998</v>
      </c>
      <c r="U286" s="259">
        <f t="shared" si="44"/>
        <v>1296574.9249622398</v>
      </c>
      <c r="V286" s="259">
        <f t="shared" si="45"/>
        <v>152339.2046</v>
      </c>
      <c r="W286" s="267">
        <f t="shared" si="46"/>
        <v>1243819.1377180798</v>
      </c>
      <c r="X286" s="151"/>
      <c r="AA286" s="292">
        <f t="shared" si="47"/>
        <v>26839.533599999995</v>
      </c>
      <c r="AB286" s="151"/>
    </row>
    <row r="287" spans="2:29" x14ac:dyDescent="0.35">
      <c r="B287" s="313"/>
      <c r="C287" s="499"/>
      <c r="D287" s="314" t="s">
        <v>409</v>
      </c>
      <c r="E287"/>
      <c r="F287" s="151" t="s">
        <v>226</v>
      </c>
      <c r="G287" s="316" t="s">
        <v>178</v>
      </c>
      <c r="H287" s="317"/>
      <c r="I287" s="318"/>
      <c r="J287" s="316" t="s">
        <v>179</v>
      </c>
      <c r="K287" s="433">
        <v>1</v>
      </c>
      <c r="L287" s="257">
        <v>45.36</v>
      </c>
      <c r="M287" s="476">
        <f>M285</f>
        <v>0.5</v>
      </c>
      <c r="N287" s="436">
        <f t="shared" ref="N287:N293" si="48">N286</f>
        <v>1</v>
      </c>
      <c r="O287" s="500">
        <f t="shared" si="41"/>
        <v>22.68</v>
      </c>
      <c r="P287" s="274">
        <v>3940.5</v>
      </c>
      <c r="Q287" s="261">
        <f t="shared" si="42"/>
        <v>89370.54</v>
      </c>
      <c r="R287" s="259">
        <v>3940.5</v>
      </c>
      <c r="S287" s="259">
        <f t="shared" si="43"/>
        <v>89370.54</v>
      </c>
      <c r="T287" s="259">
        <v>4196.6324999999997</v>
      </c>
      <c r="U287" s="259">
        <f t="shared" si="44"/>
        <v>95179.62509999999</v>
      </c>
      <c r="V287" s="259">
        <f t="shared" si="45"/>
        <v>4025.8774999999996</v>
      </c>
      <c r="W287" s="267">
        <f t="shared" si="46"/>
        <v>91306.901699999988</v>
      </c>
      <c r="X287" s="151"/>
      <c r="AA287" s="292">
        <f t="shared" si="47"/>
        <v>1970.2499999999998</v>
      </c>
      <c r="AB287" s="151"/>
    </row>
    <row r="288" spans="2:29" x14ac:dyDescent="0.35">
      <c r="B288" s="313"/>
      <c r="C288" s="499"/>
      <c r="D288" s="314"/>
      <c r="E288"/>
      <c r="F288" s="151" t="s">
        <v>354</v>
      </c>
      <c r="G288" s="316" t="s">
        <v>183</v>
      </c>
      <c r="H288" s="317">
        <v>1</v>
      </c>
      <c r="I288" s="318" t="s">
        <v>228</v>
      </c>
      <c r="J288" s="316" t="s">
        <v>179</v>
      </c>
      <c r="K288" s="433">
        <v>1</v>
      </c>
      <c r="L288" s="257">
        <v>45.36</v>
      </c>
      <c r="M288" s="476">
        <f>((M$285*N$285)/240)*($H288/N288)</f>
        <v>2.0833333333333333E-3</v>
      </c>
      <c r="N288" s="436">
        <f t="shared" si="48"/>
        <v>1</v>
      </c>
      <c r="O288" s="500">
        <f t="shared" si="41"/>
        <v>9.4500000000000001E-2</v>
      </c>
      <c r="P288" s="274">
        <v>5250</v>
      </c>
      <c r="Q288" s="261">
        <f t="shared" si="42"/>
        <v>496.125</v>
      </c>
      <c r="R288" s="259">
        <v>5250</v>
      </c>
      <c r="S288" s="259">
        <f t="shared" si="43"/>
        <v>496.125</v>
      </c>
      <c r="T288" s="259">
        <v>5512.5</v>
      </c>
      <c r="U288" s="259">
        <f t="shared" si="44"/>
        <v>520.93124999999998</v>
      </c>
      <c r="V288" s="259">
        <f t="shared" si="45"/>
        <v>5337.5</v>
      </c>
      <c r="W288" s="267">
        <f t="shared" si="46"/>
        <v>504.39375000000001</v>
      </c>
      <c r="X288" s="151"/>
      <c r="AA288" s="292">
        <f t="shared" si="47"/>
        <v>10.9375</v>
      </c>
      <c r="AB288" s="151"/>
    </row>
    <row r="289" spans="2:28" x14ac:dyDescent="0.35">
      <c r="B289" s="313"/>
      <c r="C289" s="499"/>
      <c r="D289" s="314"/>
      <c r="E289"/>
      <c r="F289" s="151" t="s">
        <v>227</v>
      </c>
      <c r="G289" s="316" t="s">
        <v>183</v>
      </c>
      <c r="H289" s="317">
        <v>4</v>
      </c>
      <c r="I289" s="318" t="s">
        <v>228</v>
      </c>
      <c r="J289" s="316" t="s">
        <v>179</v>
      </c>
      <c r="K289" s="433">
        <v>1</v>
      </c>
      <c r="L289" s="257">
        <v>45.36</v>
      </c>
      <c r="M289" s="476">
        <f>((M$285*N$285)/240)*($H289/N289)</f>
        <v>8.3333333333333332E-3</v>
      </c>
      <c r="N289" s="436">
        <f t="shared" si="48"/>
        <v>1</v>
      </c>
      <c r="O289" s="500">
        <f t="shared" si="41"/>
        <v>0.378</v>
      </c>
      <c r="P289" s="274">
        <v>44982</v>
      </c>
      <c r="Q289" s="261">
        <f t="shared" si="42"/>
        <v>17003.196</v>
      </c>
      <c r="R289" s="259">
        <v>44982</v>
      </c>
      <c r="S289" s="259">
        <f t="shared" si="43"/>
        <v>17003.196</v>
      </c>
      <c r="T289" s="259">
        <v>47231.1</v>
      </c>
      <c r="U289" s="259">
        <f t="shared" si="44"/>
        <v>17853.355800000001</v>
      </c>
      <c r="V289" s="259">
        <f t="shared" si="45"/>
        <v>45731.7</v>
      </c>
      <c r="W289" s="267">
        <f t="shared" si="46"/>
        <v>17286.582599999998</v>
      </c>
      <c r="X289" s="151"/>
      <c r="AA289" s="292">
        <f t="shared" si="47"/>
        <v>374.85</v>
      </c>
      <c r="AB289" s="151"/>
    </row>
    <row r="290" spans="2:28" x14ac:dyDescent="0.35">
      <c r="B290" s="313"/>
      <c r="C290" s="499"/>
      <c r="D290" s="314"/>
      <c r="E290"/>
      <c r="F290" s="151" t="s">
        <v>229</v>
      </c>
      <c r="G290" s="316" t="s">
        <v>183</v>
      </c>
      <c r="H290" s="317">
        <v>12</v>
      </c>
      <c r="I290" s="318" t="s">
        <v>228</v>
      </c>
      <c r="J290" s="316" t="s">
        <v>179</v>
      </c>
      <c r="K290" s="433">
        <v>1</v>
      </c>
      <c r="L290" s="257">
        <v>45.36</v>
      </c>
      <c r="M290" s="476">
        <f>((M$285*N$285)/240)*($H290/N290)</f>
        <v>2.5000000000000001E-2</v>
      </c>
      <c r="N290" s="436">
        <f t="shared" si="48"/>
        <v>1</v>
      </c>
      <c r="O290" s="500">
        <f t="shared" si="41"/>
        <v>1.1340000000000001</v>
      </c>
      <c r="P290" s="274">
        <v>14700</v>
      </c>
      <c r="Q290" s="261">
        <f t="shared" si="42"/>
        <v>16669.800000000003</v>
      </c>
      <c r="R290" s="259">
        <v>14700</v>
      </c>
      <c r="S290" s="259">
        <f t="shared" si="43"/>
        <v>16669.800000000003</v>
      </c>
      <c r="T290" s="259">
        <v>15435</v>
      </c>
      <c r="U290" s="259">
        <f t="shared" si="44"/>
        <v>17503.29</v>
      </c>
      <c r="V290" s="259">
        <f t="shared" si="45"/>
        <v>14945</v>
      </c>
      <c r="W290" s="267">
        <f t="shared" si="46"/>
        <v>16947.63</v>
      </c>
      <c r="X290" s="151"/>
      <c r="AA290" s="292">
        <f t="shared" si="47"/>
        <v>367.50000000000006</v>
      </c>
      <c r="AB290" s="151"/>
    </row>
    <row r="291" spans="2:28" x14ac:dyDescent="0.35">
      <c r="B291" s="313"/>
      <c r="C291" s="499"/>
      <c r="D291" s="314"/>
      <c r="E291"/>
      <c r="F291" s="151" t="s">
        <v>231</v>
      </c>
      <c r="G291" s="316" t="s">
        <v>183</v>
      </c>
      <c r="H291" s="317">
        <v>2</v>
      </c>
      <c r="I291" s="318" t="s">
        <v>228</v>
      </c>
      <c r="J291" s="316" t="s">
        <v>179</v>
      </c>
      <c r="K291" s="433">
        <v>1</v>
      </c>
      <c r="L291" s="257">
        <v>45.36</v>
      </c>
      <c r="M291" s="476">
        <f>((M$285*N$285)/240)*($H291/N291)</f>
        <v>4.1666666666666666E-3</v>
      </c>
      <c r="N291" s="436">
        <f t="shared" si="48"/>
        <v>1</v>
      </c>
      <c r="O291" s="500">
        <f t="shared" si="41"/>
        <v>0.189</v>
      </c>
      <c r="P291" s="274">
        <v>33736.5</v>
      </c>
      <c r="Q291" s="261">
        <f t="shared" si="42"/>
        <v>6376.1985000000004</v>
      </c>
      <c r="R291" s="259">
        <v>33736.5</v>
      </c>
      <c r="S291" s="259">
        <f t="shared" si="43"/>
        <v>6376.1985000000004</v>
      </c>
      <c r="T291" s="259">
        <v>35423.325000000004</v>
      </c>
      <c r="U291" s="259">
        <f t="shared" si="44"/>
        <v>6695.0084250000009</v>
      </c>
      <c r="V291" s="259">
        <f t="shared" si="45"/>
        <v>34298.775000000001</v>
      </c>
      <c r="W291" s="267">
        <f t="shared" si="46"/>
        <v>6482.4684750000006</v>
      </c>
      <c r="X291" s="151"/>
      <c r="AA291" s="292">
        <f t="shared" si="47"/>
        <v>140.56875000000002</v>
      </c>
      <c r="AB291" s="151"/>
    </row>
    <row r="292" spans="2:28" x14ac:dyDescent="0.35">
      <c r="B292" s="313"/>
      <c r="C292" s="499"/>
      <c r="D292" s="314"/>
      <c r="E292"/>
      <c r="F292" s="151" t="s">
        <v>232</v>
      </c>
      <c r="G292" s="316" t="s">
        <v>183</v>
      </c>
      <c r="H292" s="317">
        <v>1</v>
      </c>
      <c r="I292" s="318" t="s">
        <v>228</v>
      </c>
      <c r="J292" s="316" t="s">
        <v>179</v>
      </c>
      <c r="K292" s="433">
        <v>1</v>
      </c>
      <c r="L292" s="257">
        <v>45.36</v>
      </c>
      <c r="M292" s="476">
        <f>((M$285*N$285)/240)*($H292/N292)</f>
        <v>2.0833333333333333E-3</v>
      </c>
      <c r="N292" s="436">
        <f t="shared" si="48"/>
        <v>1</v>
      </c>
      <c r="O292" s="500">
        <f t="shared" si="41"/>
        <v>9.4500000000000001E-2</v>
      </c>
      <c r="P292" s="274">
        <v>89964</v>
      </c>
      <c r="Q292" s="261">
        <f t="shared" si="42"/>
        <v>8501.598</v>
      </c>
      <c r="R292" s="259">
        <v>89964</v>
      </c>
      <c r="S292" s="259">
        <f t="shared" si="43"/>
        <v>8501.598</v>
      </c>
      <c r="T292" s="259">
        <v>94462.2</v>
      </c>
      <c r="U292" s="259">
        <f t="shared" si="44"/>
        <v>8926.6779000000006</v>
      </c>
      <c r="V292" s="259">
        <f t="shared" si="45"/>
        <v>91463.4</v>
      </c>
      <c r="W292" s="267">
        <f t="shared" si="46"/>
        <v>8643.291299999999</v>
      </c>
      <c r="X292" s="151"/>
      <c r="AA292" s="292">
        <f t="shared" si="47"/>
        <v>187.42500000000001</v>
      </c>
      <c r="AB292" s="151"/>
    </row>
    <row r="293" spans="2:28" x14ac:dyDescent="0.35">
      <c r="B293" s="313"/>
      <c r="C293" s="499"/>
      <c r="D293" s="314"/>
      <c r="E293"/>
      <c r="F293" s="428" t="s">
        <v>410</v>
      </c>
      <c r="G293" s="316" t="s">
        <v>181</v>
      </c>
      <c r="H293" s="317"/>
      <c r="I293" s="318"/>
      <c r="J293" s="316" t="s">
        <v>319</v>
      </c>
      <c r="K293" s="433">
        <v>1</v>
      </c>
      <c r="L293" s="257">
        <v>45.36</v>
      </c>
      <c r="M293" s="501">
        <f>(75/1000)*136</f>
        <v>10.199999999999999</v>
      </c>
      <c r="N293" s="436">
        <f t="shared" si="48"/>
        <v>1</v>
      </c>
      <c r="O293" s="500">
        <f t="shared" si="41"/>
        <v>462.67199999999997</v>
      </c>
      <c r="P293" s="274">
        <v>5820</v>
      </c>
      <c r="Q293" s="261">
        <f t="shared" si="42"/>
        <v>2692751.04</v>
      </c>
      <c r="R293" s="259">
        <v>5820</v>
      </c>
      <c r="S293" s="259">
        <f t="shared" si="43"/>
        <v>2692751.04</v>
      </c>
      <c r="T293" s="259">
        <v>6111</v>
      </c>
      <c r="U293" s="259">
        <f t="shared" si="44"/>
        <v>2827388.5919999997</v>
      </c>
      <c r="V293" s="259">
        <f t="shared" si="45"/>
        <v>5917</v>
      </c>
      <c r="W293" s="267">
        <f t="shared" si="46"/>
        <v>2737630.2239999999</v>
      </c>
      <c r="X293" s="151"/>
      <c r="AA293" s="292">
        <f t="shared" si="47"/>
        <v>59364</v>
      </c>
      <c r="AB293" s="151"/>
    </row>
    <row r="294" spans="2:28" x14ac:dyDescent="0.35">
      <c r="B294" s="313"/>
      <c r="C294" s="499"/>
      <c r="D294" s="314"/>
      <c r="E294" s="315"/>
      <c r="F294" s="252"/>
      <c r="G294" s="253"/>
      <c r="H294" s="254"/>
      <c r="I294" s="255"/>
      <c r="J294" s="256"/>
      <c r="K294" s="257"/>
      <c r="L294" s="257"/>
      <c r="M294" s="258"/>
      <c r="N294" s="259"/>
      <c r="O294" s="259"/>
      <c r="P294" s="259"/>
      <c r="Q294" s="259"/>
      <c r="R294" s="259"/>
      <c r="S294" s="259"/>
      <c r="T294" s="259"/>
      <c r="U294" s="259"/>
      <c r="V294" s="259"/>
      <c r="W294" s="259"/>
      <c r="X294" s="151"/>
      <c r="AA294" s="151"/>
      <c r="AB294" s="151"/>
    </row>
    <row r="295" spans="2:28" x14ac:dyDescent="0.35">
      <c r="B295" s="262"/>
      <c r="C295" s="263"/>
      <c r="D295" s="263"/>
      <c r="E295" s="264" t="s">
        <v>411</v>
      </c>
      <c r="F295" s="252" t="s">
        <v>177</v>
      </c>
      <c r="G295" s="253" t="s">
        <v>178</v>
      </c>
      <c r="H295" s="254"/>
      <c r="I295" s="255"/>
      <c r="J295" s="256"/>
      <c r="K295" s="257"/>
      <c r="L295" s="257"/>
      <c r="M295" s="258"/>
      <c r="N295" s="259"/>
      <c r="O295" s="259"/>
      <c r="P295" s="259"/>
      <c r="Q295" s="259"/>
      <c r="R295" s="259"/>
      <c r="S295" s="259"/>
      <c r="T295" s="259"/>
      <c r="U295" s="259"/>
      <c r="V295" s="259"/>
      <c r="W295" s="259"/>
      <c r="X295" s="151"/>
      <c r="AA295" s="151"/>
      <c r="AB295" s="151"/>
    </row>
    <row r="296" spans="2:28" x14ac:dyDescent="0.35">
      <c r="B296" s="313"/>
      <c r="C296" s="314"/>
      <c r="D296" s="314"/>
      <c r="E296" s="315"/>
      <c r="F296" s="252" t="s">
        <v>410</v>
      </c>
      <c r="G296" s="253" t="s">
        <v>181</v>
      </c>
      <c r="H296" s="254"/>
      <c r="I296" s="255"/>
      <c r="J296" s="256"/>
      <c r="K296" s="257"/>
      <c r="L296" s="257"/>
      <c r="M296" s="258"/>
      <c r="N296" s="259"/>
      <c r="O296" s="259"/>
      <c r="P296" s="259"/>
      <c r="Q296" s="259"/>
      <c r="R296" s="259"/>
      <c r="S296" s="259"/>
      <c r="T296" s="259"/>
      <c r="U296" s="259"/>
      <c r="V296" s="259"/>
      <c r="W296" s="259"/>
      <c r="X296" s="151"/>
      <c r="AA296" s="151"/>
      <c r="AB296" s="151"/>
    </row>
    <row r="297" spans="2:28" x14ac:dyDescent="0.35">
      <c r="B297" s="320"/>
      <c r="C297" s="321"/>
      <c r="D297" s="321"/>
      <c r="E297" s="332"/>
      <c r="F297" s="252" t="s">
        <v>359</v>
      </c>
      <c r="G297" s="253" t="s">
        <v>195</v>
      </c>
      <c r="H297" s="254"/>
      <c r="I297" s="255"/>
      <c r="J297" s="256"/>
      <c r="K297" s="257"/>
      <c r="L297" s="257"/>
      <c r="M297" s="258"/>
      <c r="N297" s="259"/>
      <c r="O297" s="259"/>
      <c r="P297" s="259"/>
      <c r="Q297" s="259"/>
      <c r="R297" s="259"/>
      <c r="S297" s="259"/>
      <c r="T297" s="259"/>
      <c r="U297" s="259"/>
      <c r="V297" s="259"/>
      <c r="W297" s="259"/>
      <c r="X297" s="151"/>
      <c r="AA297" s="151"/>
      <c r="AB297" s="151"/>
    </row>
    <row r="298" spans="2:28" x14ac:dyDescent="0.35">
      <c r="B298" s="262"/>
      <c r="C298" s="263"/>
      <c r="D298" s="263"/>
      <c r="E298" s="264" t="s">
        <v>412</v>
      </c>
      <c r="F298" s="252" t="s">
        <v>177</v>
      </c>
      <c r="G298" s="253" t="s">
        <v>178</v>
      </c>
      <c r="H298" s="254"/>
      <c r="I298" s="255"/>
      <c r="J298" s="256"/>
      <c r="K298" s="257"/>
      <c r="L298" s="257"/>
      <c r="M298" s="258"/>
      <c r="N298" s="259"/>
      <c r="O298" s="259"/>
      <c r="P298" s="259"/>
      <c r="Q298" s="259"/>
      <c r="R298" s="259"/>
      <c r="S298" s="259"/>
      <c r="T298" s="259"/>
      <c r="U298" s="259"/>
      <c r="V298" s="259"/>
      <c r="W298" s="259"/>
      <c r="X298" s="151"/>
      <c r="AA298" s="151"/>
      <c r="AB298" s="151"/>
    </row>
    <row r="299" spans="2:28" x14ac:dyDescent="0.35">
      <c r="B299" s="313"/>
      <c r="C299" s="314"/>
      <c r="D299" s="314"/>
      <c r="E299" s="315"/>
      <c r="F299" s="252" t="s">
        <v>316</v>
      </c>
      <c r="G299" s="253" t="s">
        <v>181</v>
      </c>
      <c r="H299" s="254"/>
      <c r="I299" s="255"/>
      <c r="J299" s="256"/>
      <c r="K299" s="257"/>
      <c r="L299" s="257"/>
      <c r="M299" s="258"/>
      <c r="N299" s="259"/>
      <c r="O299" s="259"/>
      <c r="P299" s="259"/>
      <c r="Q299" s="259"/>
      <c r="R299" s="259"/>
      <c r="S299" s="259"/>
      <c r="T299" s="259"/>
      <c r="U299" s="259"/>
      <c r="V299" s="259"/>
      <c r="W299" s="259"/>
      <c r="X299" s="151"/>
      <c r="AA299" s="151"/>
      <c r="AB299" s="151"/>
    </row>
    <row r="300" spans="2:28" x14ac:dyDescent="0.35">
      <c r="B300" s="320"/>
      <c r="C300" s="321"/>
      <c r="D300" s="321"/>
      <c r="E300" s="332"/>
      <c r="F300" s="252" t="s">
        <v>359</v>
      </c>
      <c r="G300" s="253" t="s">
        <v>195</v>
      </c>
      <c r="H300" s="254"/>
      <c r="I300" s="255"/>
      <c r="J300" s="256"/>
      <c r="K300" s="257"/>
      <c r="L300" s="257"/>
      <c r="M300" s="258"/>
      <c r="N300" s="259"/>
      <c r="O300" s="259"/>
      <c r="P300" s="259"/>
      <c r="Q300" s="259"/>
      <c r="R300" s="259"/>
      <c r="S300" s="259"/>
      <c r="T300" s="259"/>
      <c r="U300" s="259"/>
      <c r="V300" s="259"/>
      <c r="W300" s="259"/>
      <c r="X300" s="151"/>
      <c r="AA300" s="151"/>
      <c r="AB300" s="151"/>
    </row>
    <row r="301" spans="2:28" x14ac:dyDescent="0.35">
      <c r="B301" s="262"/>
      <c r="C301" s="263"/>
      <c r="D301" s="263"/>
      <c r="E301" s="264" t="s">
        <v>413</v>
      </c>
      <c r="F301" s="252" t="s">
        <v>177</v>
      </c>
      <c r="G301" s="253" t="s">
        <v>178</v>
      </c>
      <c r="H301" s="254"/>
      <c r="I301" s="255"/>
      <c r="J301" s="256"/>
      <c r="K301" s="257"/>
      <c r="L301" s="257"/>
      <c r="M301" s="258"/>
      <c r="N301" s="259"/>
      <c r="O301" s="259"/>
      <c r="P301" s="259"/>
      <c r="Q301" s="259"/>
      <c r="R301" s="259"/>
      <c r="S301" s="259"/>
      <c r="T301" s="259"/>
      <c r="U301" s="259"/>
      <c r="V301" s="259"/>
      <c r="W301" s="259"/>
      <c r="X301" s="151"/>
      <c r="AA301" s="151"/>
      <c r="AB301" s="151"/>
    </row>
    <row r="302" spans="2:28" x14ac:dyDescent="0.35">
      <c r="B302" s="313"/>
      <c r="C302" s="314"/>
      <c r="D302" s="314"/>
      <c r="E302" s="315"/>
      <c r="F302" s="252" t="s">
        <v>414</v>
      </c>
      <c r="G302" s="253" t="s">
        <v>181</v>
      </c>
      <c r="H302" s="254"/>
      <c r="I302" s="255"/>
      <c r="J302" s="256"/>
      <c r="K302" s="257"/>
      <c r="L302" s="257"/>
      <c r="M302" s="258"/>
      <c r="N302" s="259"/>
      <c r="O302" s="259"/>
      <c r="P302" s="259"/>
      <c r="Q302" s="259"/>
      <c r="R302" s="259"/>
      <c r="S302" s="259"/>
      <c r="T302" s="259"/>
      <c r="U302" s="259"/>
      <c r="V302" s="259"/>
      <c r="W302" s="259"/>
      <c r="X302" s="151"/>
      <c r="AA302" s="151"/>
      <c r="AB302" s="151"/>
    </row>
    <row r="303" spans="2:28" x14ac:dyDescent="0.35">
      <c r="B303" s="320"/>
      <c r="C303" s="321"/>
      <c r="D303" s="321"/>
      <c r="E303" s="332"/>
      <c r="F303" s="252" t="s">
        <v>359</v>
      </c>
      <c r="G303" s="253" t="s">
        <v>195</v>
      </c>
      <c r="H303" s="254"/>
      <c r="I303" s="255"/>
      <c r="J303" s="256"/>
      <c r="K303" s="257"/>
      <c r="L303" s="257"/>
      <c r="M303" s="258"/>
      <c r="N303" s="259"/>
      <c r="O303" s="259"/>
      <c r="P303" s="259"/>
      <c r="Q303" s="259"/>
      <c r="R303" s="259"/>
      <c r="S303" s="259"/>
      <c r="T303" s="259"/>
      <c r="U303" s="259"/>
      <c r="V303" s="259"/>
      <c r="W303" s="259"/>
      <c r="X303" s="151"/>
      <c r="AA303" s="151"/>
      <c r="AB303" s="151"/>
    </row>
    <row r="304" spans="2:28" x14ac:dyDescent="0.35">
      <c r="B304" s="262"/>
      <c r="C304" s="263"/>
      <c r="D304" s="263"/>
      <c r="E304" s="264" t="s">
        <v>415</v>
      </c>
      <c r="F304" s="252" t="s">
        <v>177</v>
      </c>
      <c r="G304" s="253" t="s">
        <v>178</v>
      </c>
      <c r="H304" s="254"/>
      <c r="I304" s="255"/>
      <c r="J304" s="256"/>
      <c r="K304" s="257"/>
      <c r="L304" s="257"/>
      <c r="M304" s="258"/>
      <c r="N304" s="259"/>
      <c r="O304" s="259"/>
      <c r="P304" s="259"/>
      <c r="Q304" s="259"/>
      <c r="R304" s="259"/>
      <c r="S304" s="259"/>
      <c r="T304" s="259"/>
      <c r="U304" s="259"/>
      <c r="V304" s="259"/>
      <c r="W304" s="259"/>
      <c r="X304" s="151"/>
      <c r="AA304" s="151"/>
      <c r="AB304" s="151"/>
    </row>
    <row r="305" spans="2:28" x14ac:dyDescent="0.35">
      <c r="B305" s="313"/>
      <c r="C305" s="314"/>
      <c r="D305" s="314"/>
      <c r="E305" s="315"/>
      <c r="F305" s="252" t="s">
        <v>416</v>
      </c>
      <c r="G305" s="253" t="s">
        <v>181</v>
      </c>
      <c r="H305" s="254"/>
      <c r="I305" s="255"/>
      <c r="J305" s="256"/>
      <c r="K305" s="257"/>
      <c r="L305" s="257"/>
      <c r="M305" s="258"/>
      <c r="N305" s="259"/>
      <c r="O305" s="259"/>
      <c r="P305" s="259"/>
      <c r="Q305" s="259"/>
      <c r="R305" s="259"/>
      <c r="S305" s="259"/>
      <c r="T305" s="259"/>
      <c r="U305" s="259"/>
      <c r="V305" s="259"/>
      <c r="W305" s="259"/>
      <c r="X305" s="151"/>
      <c r="AA305" s="151"/>
      <c r="AB305" s="151"/>
    </row>
    <row r="306" spans="2:28" x14ac:dyDescent="0.35">
      <c r="B306" s="320"/>
      <c r="C306" s="321"/>
      <c r="D306" s="321"/>
      <c r="E306" s="332"/>
      <c r="F306" s="252" t="s">
        <v>359</v>
      </c>
      <c r="G306" s="253" t="s">
        <v>195</v>
      </c>
      <c r="H306" s="254"/>
      <c r="I306" s="255"/>
      <c r="J306" s="256"/>
      <c r="K306" s="257"/>
      <c r="L306" s="257"/>
      <c r="M306" s="258"/>
      <c r="N306" s="259"/>
      <c r="O306" s="259"/>
      <c r="P306" s="259"/>
      <c r="Q306" s="259"/>
      <c r="R306" s="259"/>
      <c r="S306" s="259"/>
      <c r="T306" s="259"/>
      <c r="U306" s="259"/>
      <c r="V306" s="259"/>
      <c r="W306" s="259"/>
      <c r="X306" s="151"/>
      <c r="AA306" s="151"/>
      <c r="AB306" s="151"/>
    </row>
    <row r="307" spans="2:28" x14ac:dyDescent="0.35">
      <c r="B307" s="262"/>
      <c r="C307" s="263"/>
      <c r="D307" s="263"/>
      <c r="E307" s="264" t="s">
        <v>417</v>
      </c>
      <c r="F307" s="252" t="s">
        <v>177</v>
      </c>
      <c r="G307" s="253" t="s">
        <v>178</v>
      </c>
      <c r="H307" s="254"/>
      <c r="I307" s="255"/>
      <c r="J307" s="256"/>
      <c r="K307" s="257"/>
      <c r="L307" s="257"/>
      <c r="M307" s="258"/>
      <c r="N307" s="259"/>
      <c r="O307" s="259"/>
      <c r="P307" s="259"/>
      <c r="Q307" s="259"/>
      <c r="R307" s="259"/>
      <c r="S307" s="259"/>
      <c r="T307" s="259"/>
      <c r="U307" s="259"/>
      <c r="V307" s="259"/>
      <c r="W307" s="259"/>
      <c r="X307" s="151"/>
      <c r="AA307" s="151"/>
      <c r="AB307" s="151"/>
    </row>
    <row r="308" spans="2:28" x14ac:dyDescent="0.35">
      <c r="B308" s="313"/>
      <c r="C308" s="314"/>
      <c r="D308" s="314"/>
      <c r="E308" s="315"/>
      <c r="F308" s="252" t="s">
        <v>418</v>
      </c>
      <c r="G308" s="253" t="s">
        <v>181</v>
      </c>
      <c r="H308" s="254"/>
      <c r="I308" s="255"/>
      <c r="J308" s="256"/>
      <c r="K308" s="257"/>
      <c r="L308" s="257"/>
      <c r="M308" s="258"/>
      <c r="N308" s="259"/>
      <c r="O308" s="259"/>
      <c r="P308" s="259"/>
      <c r="Q308" s="259"/>
      <c r="R308" s="259"/>
      <c r="S308" s="259"/>
      <c r="T308" s="259"/>
      <c r="U308" s="259"/>
      <c r="V308" s="259"/>
      <c r="W308" s="259"/>
      <c r="X308" s="151"/>
      <c r="AA308" s="151"/>
      <c r="AB308" s="151"/>
    </row>
    <row r="309" spans="2:28" x14ac:dyDescent="0.35">
      <c r="B309" s="320"/>
      <c r="C309" s="321"/>
      <c r="D309" s="321"/>
      <c r="E309" s="332"/>
      <c r="F309" s="252" t="s">
        <v>359</v>
      </c>
      <c r="G309" s="253" t="s">
        <v>195</v>
      </c>
      <c r="H309" s="254"/>
      <c r="I309" s="255"/>
      <c r="J309" s="256"/>
      <c r="K309" s="257"/>
      <c r="L309" s="257"/>
      <c r="M309" s="258"/>
      <c r="N309" s="259"/>
      <c r="O309" s="259"/>
      <c r="P309" s="259"/>
      <c r="Q309" s="259"/>
      <c r="R309" s="259"/>
      <c r="S309" s="259"/>
      <c r="T309" s="259"/>
      <c r="U309" s="259"/>
      <c r="V309" s="259"/>
      <c r="W309" s="259"/>
      <c r="X309" s="151"/>
      <c r="AA309" s="151"/>
      <c r="AB309" s="151"/>
    </row>
    <row r="310" spans="2:28" x14ac:dyDescent="0.35">
      <c r="B310" s="262"/>
      <c r="C310" s="263"/>
      <c r="D310" s="263"/>
      <c r="E310" s="264" t="s">
        <v>419</v>
      </c>
      <c r="F310" s="151" t="s">
        <v>177</v>
      </c>
      <c r="G310" s="502" t="s">
        <v>178</v>
      </c>
      <c r="H310" s="317"/>
      <c r="I310" s="318"/>
      <c r="J310" s="151"/>
      <c r="K310" s="502"/>
      <c r="L310" s="502"/>
      <c r="M310" s="503"/>
      <c r="N310" s="319"/>
      <c r="O310" s="309"/>
      <c r="P310" s="309"/>
      <c r="Q310" s="309"/>
      <c r="R310" s="309"/>
      <c r="S310" s="309"/>
      <c r="T310" s="309"/>
      <c r="U310" s="309"/>
      <c r="V310" s="309"/>
      <c r="W310" s="309"/>
      <c r="X310" s="151"/>
      <c r="AA310" s="151"/>
      <c r="AB310" s="151"/>
    </row>
    <row r="311" spans="2:28" x14ac:dyDescent="0.35">
      <c r="B311" s="313"/>
      <c r="C311" s="314"/>
      <c r="D311" s="314"/>
      <c r="E311" s="315"/>
      <c r="F311" s="151" t="s">
        <v>353</v>
      </c>
      <c r="G311" s="502" t="s">
        <v>178</v>
      </c>
      <c r="H311" s="317"/>
      <c r="I311" s="318"/>
      <c r="J311" s="151"/>
      <c r="K311" s="502"/>
      <c r="L311" s="502"/>
      <c r="M311" s="503"/>
      <c r="N311" s="319"/>
      <c r="O311" s="309"/>
      <c r="P311" s="309"/>
      <c r="Q311" s="309"/>
      <c r="R311" s="309"/>
      <c r="S311" s="309"/>
      <c r="T311" s="309"/>
      <c r="U311" s="309"/>
      <c r="V311" s="309"/>
      <c r="W311" s="309"/>
      <c r="X311" s="151"/>
      <c r="AA311" s="151"/>
      <c r="AB311" s="151"/>
    </row>
    <row r="312" spans="2:28" x14ac:dyDescent="0.35">
      <c r="B312" s="313"/>
      <c r="C312" s="314"/>
      <c r="D312" s="314"/>
      <c r="E312" s="315"/>
      <c r="F312" s="151" t="s">
        <v>226</v>
      </c>
      <c r="G312" s="502" t="s">
        <v>178</v>
      </c>
      <c r="H312" s="317"/>
      <c r="I312" s="318"/>
      <c r="J312" s="151"/>
      <c r="K312" s="502"/>
      <c r="L312" s="502"/>
      <c r="M312" s="503"/>
      <c r="N312" s="319"/>
      <c r="O312" s="309"/>
      <c r="P312" s="309"/>
      <c r="Q312" s="309"/>
      <c r="R312" s="309"/>
      <c r="S312" s="309"/>
      <c r="T312" s="309"/>
      <c r="U312" s="309"/>
      <c r="V312" s="309"/>
      <c r="W312" s="309"/>
      <c r="X312" s="151"/>
      <c r="AA312" s="151"/>
      <c r="AB312" s="151"/>
    </row>
    <row r="313" spans="2:28" x14ac:dyDescent="0.35">
      <c r="B313" s="313"/>
      <c r="C313" s="314"/>
      <c r="D313" s="314"/>
      <c r="E313" s="315"/>
      <c r="F313" s="151" t="s">
        <v>354</v>
      </c>
      <c r="G313" s="502" t="s">
        <v>183</v>
      </c>
      <c r="H313" s="317">
        <v>1</v>
      </c>
      <c r="I313" s="318" t="s">
        <v>228</v>
      </c>
      <c r="J313" s="151"/>
      <c r="K313" s="502"/>
      <c r="L313" s="502"/>
      <c r="M313" s="503"/>
      <c r="N313" s="319"/>
      <c r="O313" s="309"/>
      <c r="P313" s="309"/>
      <c r="Q313" s="309"/>
      <c r="R313" s="309"/>
      <c r="S313" s="309"/>
      <c r="T313" s="309"/>
      <c r="U313" s="309"/>
      <c r="V313" s="309"/>
      <c r="W313" s="309"/>
      <c r="X313" s="151"/>
      <c r="AA313" s="151"/>
      <c r="AB313" s="151"/>
    </row>
    <row r="314" spans="2:28" x14ac:dyDescent="0.35">
      <c r="B314" s="313"/>
      <c r="C314" s="314"/>
      <c r="D314" s="314"/>
      <c r="E314" s="315"/>
      <c r="F314" s="151" t="s">
        <v>227</v>
      </c>
      <c r="G314" s="502" t="s">
        <v>183</v>
      </c>
      <c r="H314" s="317">
        <v>4</v>
      </c>
      <c r="I314" s="318" t="s">
        <v>228</v>
      </c>
      <c r="J314" s="151"/>
      <c r="K314" s="502"/>
      <c r="L314" s="502"/>
      <c r="M314" s="503"/>
      <c r="N314" s="319"/>
      <c r="O314" s="309"/>
      <c r="P314" s="309"/>
      <c r="Q314" s="309"/>
      <c r="R314" s="309"/>
      <c r="S314" s="309"/>
      <c r="T314" s="309"/>
      <c r="U314" s="309"/>
      <c r="V314" s="309"/>
      <c r="W314" s="309"/>
      <c r="X314" s="151"/>
      <c r="AA314" s="151"/>
      <c r="AB314" s="151"/>
    </row>
    <row r="315" spans="2:28" x14ac:dyDescent="0.35">
      <c r="B315" s="313"/>
      <c r="C315" s="314"/>
      <c r="D315" s="314"/>
      <c r="E315" s="315"/>
      <c r="F315" s="151" t="s">
        <v>229</v>
      </c>
      <c r="G315" s="502" t="s">
        <v>183</v>
      </c>
      <c r="H315" s="317">
        <v>12</v>
      </c>
      <c r="I315" s="318" t="s">
        <v>228</v>
      </c>
      <c r="J315" s="151"/>
      <c r="K315" s="502"/>
      <c r="L315" s="502"/>
      <c r="M315" s="503"/>
      <c r="N315" s="319"/>
      <c r="O315" s="309"/>
      <c r="P315" s="309"/>
      <c r="Q315" s="309"/>
      <c r="R315" s="309"/>
      <c r="S315" s="309"/>
      <c r="T315" s="309"/>
      <c r="U315" s="309"/>
      <c r="V315" s="309"/>
      <c r="W315" s="309"/>
      <c r="X315" s="151"/>
      <c r="AA315" s="151"/>
      <c r="AB315" s="151"/>
    </row>
    <row r="316" spans="2:28" x14ac:dyDescent="0.35">
      <c r="B316" s="313"/>
      <c r="C316" s="314"/>
      <c r="D316" s="314"/>
      <c r="E316" s="315"/>
      <c r="F316" s="151" t="s">
        <v>231</v>
      </c>
      <c r="G316" s="502" t="s">
        <v>183</v>
      </c>
      <c r="H316" s="317">
        <v>2</v>
      </c>
      <c r="I316" s="318" t="s">
        <v>228</v>
      </c>
      <c r="J316" s="151"/>
      <c r="K316" s="502"/>
      <c r="L316" s="502"/>
      <c r="M316" s="503"/>
      <c r="N316" s="319"/>
      <c r="O316" s="309"/>
      <c r="P316" s="309"/>
      <c r="Q316" s="309"/>
      <c r="R316" s="309"/>
      <c r="S316" s="309"/>
      <c r="T316" s="309"/>
      <c r="U316" s="309"/>
      <c r="V316" s="309"/>
      <c r="W316" s="309"/>
      <c r="X316" s="151"/>
      <c r="AA316" s="151"/>
      <c r="AB316" s="151"/>
    </row>
    <row r="317" spans="2:28" x14ac:dyDescent="0.35">
      <c r="B317" s="313"/>
      <c r="C317" s="314"/>
      <c r="D317" s="314"/>
      <c r="E317" s="315"/>
      <c r="F317" s="151" t="s">
        <v>232</v>
      </c>
      <c r="G317" s="502" t="s">
        <v>183</v>
      </c>
      <c r="H317" s="317">
        <v>1</v>
      </c>
      <c r="I317" s="318" t="s">
        <v>228</v>
      </c>
      <c r="J317" s="151"/>
      <c r="K317" s="502"/>
      <c r="L317" s="502"/>
      <c r="M317" s="503"/>
      <c r="N317" s="319"/>
      <c r="O317" s="309"/>
      <c r="P317" s="309"/>
      <c r="Q317" s="309"/>
      <c r="R317" s="309"/>
      <c r="S317" s="309"/>
      <c r="T317" s="309"/>
      <c r="U317" s="309"/>
      <c r="V317" s="309"/>
      <c r="W317" s="309"/>
      <c r="X317" s="151"/>
      <c r="AA317" s="151"/>
      <c r="AB317" s="151"/>
    </row>
    <row r="318" spans="2:28" x14ac:dyDescent="0.35">
      <c r="B318" s="320"/>
      <c r="C318" s="321"/>
      <c r="D318" s="321"/>
      <c r="E318" s="332"/>
      <c r="F318" s="428" t="s">
        <v>420</v>
      </c>
      <c r="G318" s="502" t="s">
        <v>181</v>
      </c>
      <c r="H318" s="317"/>
      <c r="I318" s="318"/>
      <c r="J318" s="151"/>
      <c r="K318" s="502"/>
      <c r="L318" s="502"/>
      <c r="M318" s="503"/>
      <c r="N318" s="319"/>
      <c r="O318" s="309"/>
      <c r="P318" s="309"/>
      <c r="Q318" s="309"/>
      <c r="R318" s="309"/>
      <c r="S318" s="309"/>
      <c r="T318" s="309"/>
      <c r="U318" s="309"/>
      <c r="V318" s="309"/>
      <c r="W318" s="309"/>
      <c r="X318" s="151"/>
      <c r="AA318" s="151"/>
      <c r="AB318" s="151"/>
    </row>
    <row r="319" spans="2:28" ht="42.65" customHeight="1" x14ac:dyDescent="0.35">
      <c r="B319" s="504"/>
      <c r="C319" s="505" t="s">
        <v>149</v>
      </c>
      <c r="D319" s="505"/>
      <c r="E319" s="506"/>
      <c r="F319" s="174" t="s">
        <v>177</v>
      </c>
      <c r="G319" s="507" t="s">
        <v>178</v>
      </c>
      <c r="H319" s="508"/>
      <c r="I319" s="509"/>
      <c r="J319" s="507"/>
      <c r="K319" s="510">
        <v>0.25</v>
      </c>
      <c r="L319" s="511">
        <v>45.36</v>
      </c>
      <c r="M319" s="512">
        <v>5</v>
      </c>
      <c r="N319" s="513">
        <v>1</v>
      </c>
      <c r="O319" s="514">
        <f>K319*L319*M319*N319</f>
        <v>56.7</v>
      </c>
      <c r="P319" s="274">
        <v>149108.51999999999</v>
      </c>
      <c r="Q319" s="515">
        <f>P319*$O319</f>
        <v>8454453.0840000007</v>
      </c>
      <c r="R319" s="274">
        <v>158800.57379999998</v>
      </c>
      <c r="S319" s="516">
        <f>R319*$O319</f>
        <v>9003992.5344599988</v>
      </c>
      <c r="T319" s="259">
        <v>163305.33120000002</v>
      </c>
      <c r="U319" s="517">
        <f>$O319*T319</f>
        <v>9259412.2790400013</v>
      </c>
      <c r="V319" s="259">
        <f>W319/O319</f>
        <v>157071.47500000001</v>
      </c>
      <c r="W319" s="267">
        <f>AVERAGEIF($P$3:$U$3,W$3,$P319:$U319)</f>
        <v>8905952.6325000003</v>
      </c>
      <c r="X319" s="463"/>
      <c r="Y319" s="492">
        <f>SUM(S319:S323)/L319</f>
        <v>227690.09009534999</v>
      </c>
      <c r="Z319" s="492"/>
      <c r="AA319" s="292">
        <f t="shared" ref="AA319:AA323" si="49">Q319/$E$1</f>
        <v>186385.65000000002</v>
      </c>
      <c r="AB319" s="151"/>
    </row>
    <row r="320" spans="2:28" x14ac:dyDescent="0.35">
      <c r="B320" s="518"/>
      <c r="C320"/>
      <c r="D320"/>
      <c r="E320" s="519"/>
      <c r="F320" s="151" t="s">
        <v>421</v>
      </c>
      <c r="G320" s="316" t="s">
        <v>361</v>
      </c>
      <c r="H320" s="317"/>
      <c r="I320" s="318"/>
      <c r="J320" s="316"/>
      <c r="K320" s="433">
        <v>0.25</v>
      </c>
      <c r="L320" s="511">
        <f>L319</f>
        <v>45.36</v>
      </c>
      <c r="M320" s="400">
        <f>10*136/1000</f>
        <v>1.36</v>
      </c>
      <c r="N320" s="494">
        <v>1</v>
      </c>
      <c r="O320" s="520">
        <f>K320*L320*M320*N320</f>
        <v>15.422400000000001</v>
      </c>
      <c r="P320" s="274">
        <v>71700</v>
      </c>
      <c r="Q320" s="521">
        <f>P320*$O320</f>
        <v>1105786.08</v>
      </c>
      <c r="R320" s="274">
        <v>78870</v>
      </c>
      <c r="S320" s="496">
        <f>R320*$O320</f>
        <v>1216364.6880000001</v>
      </c>
      <c r="T320" s="259">
        <v>52349.440000000002</v>
      </c>
      <c r="U320" s="517">
        <f>$O320*T320</f>
        <v>807354.00345600012</v>
      </c>
      <c r="V320" s="259">
        <f>W320/O320</f>
        <v>67639.813333333339</v>
      </c>
      <c r="W320" s="267">
        <f>AVERAGEIF($P$3:$U$3,W$3,$P320:$U320)</f>
        <v>1043168.2571520001</v>
      </c>
      <c r="X320" s="381"/>
      <c r="Y320" s="492"/>
      <c r="Z320" s="151"/>
      <c r="AA320" s="292">
        <f t="shared" si="49"/>
        <v>24378.000000000004</v>
      </c>
      <c r="AB320" s="151"/>
    </row>
    <row r="321" spans="2:28" x14ac:dyDescent="0.35">
      <c r="B321" s="518"/>
      <c r="C321"/>
      <c r="D321"/>
      <c r="E321" s="519"/>
      <c r="F321" s="151" t="s">
        <v>422</v>
      </c>
      <c r="G321" s="316" t="s">
        <v>183</v>
      </c>
      <c r="H321" s="317"/>
      <c r="I321" s="318"/>
      <c r="J321" s="316"/>
      <c r="K321" s="433">
        <v>0.2</v>
      </c>
      <c r="L321" s="511">
        <f>L319</f>
        <v>45.36</v>
      </c>
      <c r="M321" s="400">
        <v>1.67E-2</v>
      </c>
      <c r="N321" s="494">
        <v>1</v>
      </c>
      <c r="O321" s="520">
        <f>K321*L321*M321*N321</f>
        <v>0.15150240000000001</v>
      </c>
      <c r="P321" s="274">
        <v>564355.05000000005</v>
      </c>
      <c r="Q321" s="521">
        <f>P321*$O321</f>
        <v>85501.144527120006</v>
      </c>
      <c r="R321" s="274">
        <v>592572.80250000011</v>
      </c>
      <c r="S321" s="496">
        <f>R321*$O321</f>
        <v>89776.201753476023</v>
      </c>
      <c r="T321" s="259">
        <v>626917.83840000001</v>
      </c>
      <c r="U321" s="517">
        <f>$O321*T321</f>
        <v>94979.557120412166</v>
      </c>
      <c r="V321" s="259">
        <f>W321/O321</f>
        <v>594615.23030000017</v>
      </c>
      <c r="W321" s="267">
        <f>AVERAGEIF($P$3:$U$3,W$3,$P321:$U321)</f>
        <v>90085.634467002747</v>
      </c>
      <c r="X321" s="151"/>
      <c r="Y321" s="492"/>
      <c r="Z321" s="492"/>
      <c r="AA321" s="292">
        <f t="shared" si="49"/>
        <v>1884.9458670000001</v>
      </c>
      <c r="AB321" s="151"/>
    </row>
    <row r="322" spans="2:28" x14ac:dyDescent="0.35">
      <c r="B322" s="518"/>
      <c r="C322"/>
      <c r="D322"/>
      <c r="E322" s="519"/>
      <c r="F322" s="151" t="s">
        <v>423</v>
      </c>
      <c r="G322" s="316" t="s">
        <v>183</v>
      </c>
      <c r="H322" s="317"/>
      <c r="I322" s="318"/>
      <c r="J322" s="316"/>
      <c r="K322" s="433">
        <v>0</v>
      </c>
      <c r="L322" s="511"/>
      <c r="M322" s="400">
        <v>1.67E-2</v>
      </c>
      <c r="N322" s="494">
        <v>1</v>
      </c>
      <c r="O322" s="520">
        <f>K322*L322*M322*N322</f>
        <v>0</v>
      </c>
      <c r="P322" s="274">
        <v>0</v>
      </c>
      <c r="Q322" s="521">
        <f>P322*$O322</f>
        <v>0</v>
      </c>
      <c r="R322" s="274">
        <v>0</v>
      </c>
      <c r="S322" s="496">
        <f>R322*$O322</f>
        <v>0</v>
      </c>
      <c r="T322" s="259">
        <v>0</v>
      </c>
      <c r="U322" s="517">
        <f>$O322*T322</f>
        <v>0</v>
      </c>
      <c r="V322" s="259" t="e">
        <f>W322/O322</f>
        <v>#DIV/0!</v>
      </c>
      <c r="W322" s="267">
        <f>AVERAGEIF($P$3:$U$3,W$3,$P322:$U322)</f>
        <v>0</v>
      </c>
      <c r="X322" s="151"/>
      <c r="Y322" s="492">
        <f>S322/192.08</f>
        <v>0</v>
      </c>
      <c r="Z322" s="151"/>
      <c r="AA322" s="292">
        <f t="shared" si="49"/>
        <v>0</v>
      </c>
      <c r="AB322" s="151"/>
    </row>
    <row r="323" spans="2:28" x14ac:dyDescent="0.35">
      <c r="B323" s="518"/>
      <c r="C323"/>
      <c r="D323"/>
      <c r="E323" s="519"/>
      <c r="F323" s="151" t="s">
        <v>232</v>
      </c>
      <c r="G323" s="316" t="s">
        <v>183</v>
      </c>
      <c r="H323" s="317"/>
      <c r="I323" s="318"/>
      <c r="J323" s="316"/>
      <c r="K323" s="433">
        <v>0.25</v>
      </c>
      <c r="L323" s="511">
        <f>L319</f>
        <v>45.36</v>
      </c>
      <c r="M323" s="400">
        <v>1.67E-2</v>
      </c>
      <c r="N323" s="494">
        <v>1</v>
      </c>
      <c r="O323" s="520">
        <f>K323*L323*M323*N323</f>
        <v>0.18937799999999999</v>
      </c>
      <c r="P323" s="274">
        <v>89964</v>
      </c>
      <c r="Q323" s="521">
        <f>P323*$O323</f>
        <v>17037.202391999999</v>
      </c>
      <c r="R323" s="274">
        <v>94462.2</v>
      </c>
      <c r="S323" s="496">
        <f>R323*$O323</f>
        <v>17889.062511599997</v>
      </c>
      <c r="T323" s="259">
        <v>99937.152000000016</v>
      </c>
      <c r="U323" s="517">
        <f>$O323*T323</f>
        <v>18925.897971456001</v>
      </c>
      <c r="V323" s="259">
        <f>W323/O323</f>
        <v>94787.784</v>
      </c>
      <c r="W323" s="267">
        <f>AVERAGEIF($P$3:$U$3,W$3,$P323:$U323)</f>
        <v>17950.720958351998</v>
      </c>
      <c r="X323" s="381"/>
      <c r="Y323" s="492">
        <f>S323/45.36</f>
        <v>394.37968499999994</v>
      </c>
      <c r="Z323" s="151"/>
      <c r="AA323" s="292">
        <f t="shared" si="49"/>
        <v>375.59969999999998</v>
      </c>
      <c r="AB323" s="151"/>
    </row>
    <row r="324" spans="2:28" x14ac:dyDescent="0.35">
      <c r="B324" s="262"/>
      <c r="C324" s="263"/>
      <c r="D324" s="263" t="s">
        <v>424</v>
      </c>
      <c r="E324" s="264"/>
      <c r="F324" s="252" t="s">
        <v>177</v>
      </c>
      <c r="G324" s="253" t="s">
        <v>178</v>
      </c>
      <c r="H324" s="254"/>
      <c r="I324" s="255"/>
      <c r="J324" s="256"/>
      <c r="K324" s="257"/>
      <c r="L324" s="257">
        <v>1</v>
      </c>
      <c r="M324" s="258">
        <v>6</v>
      </c>
      <c r="N324" s="259">
        <v>1</v>
      </c>
      <c r="O324" s="259"/>
      <c r="P324" s="259"/>
      <c r="Q324" s="259"/>
      <c r="R324" s="259"/>
      <c r="S324" s="259"/>
      <c r="T324" s="259"/>
      <c r="U324" s="259"/>
      <c r="V324" s="259"/>
      <c r="W324" s="259"/>
      <c r="X324" s="151" t="s">
        <v>425</v>
      </c>
      <c r="AA324" s="151"/>
      <c r="AB324" s="151"/>
    </row>
    <row r="325" spans="2:28" x14ac:dyDescent="0.35">
      <c r="B325" s="320"/>
      <c r="C325" s="321"/>
      <c r="D325" s="321"/>
      <c r="E325" s="332"/>
      <c r="F325" s="252" t="s">
        <v>421</v>
      </c>
      <c r="G325" s="253" t="s">
        <v>361</v>
      </c>
      <c r="H325" s="254"/>
      <c r="I325" s="255"/>
      <c r="J325" s="256"/>
      <c r="K325" s="257"/>
      <c r="L325" s="257">
        <v>1</v>
      </c>
      <c r="M325" s="258">
        <v>40</v>
      </c>
      <c r="N325" s="259">
        <v>1</v>
      </c>
      <c r="O325" s="259"/>
      <c r="P325" s="259"/>
      <c r="Q325" s="259"/>
      <c r="R325" s="259"/>
      <c r="S325" s="259"/>
      <c r="T325" s="259"/>
      <c r="U325" s="259"/>
      <c r="V325" s="259"/>
      <c r="W325" s="259"/>
      <c r="X325" s="151"/>
      <c r="AA325" s="151"/>
      <c r="AB325" s="151"/>
    </row>
    <row r="326" spans="2:28" x14ac:dyDescent="0.35">
      <c r="B326" s="262"/>
      <c r="C326" s="263"/>
      <c r="D326" s="263" t="s">
        <v>357</v>
      </c>
      <c r="E326" s="264"/>
      <c r="F326" s="252" t="s">
        <v>177</v>
      </c>
      <c r="G326" s="253" t="s">
        <v>178</v>
      </c>
      <c r="H326" s="254"/>
      <c r="I326" s="255"/>
      <c r="J326" s="256"/>
      <c r="K326" s="257"/>
      <c r="L326" s="257"/>
      <c r="M326" s="258"/>
      <c r="N326" s="259"/>
      <c r="O326" s="259"/>
      <c r="P326" s="259"/>
      <c r="Q326" s="259"/>
      <c r="R326" s="259"/>
      <c r="S326" s="259"/>
      <c r="T326" s="259"/>
      <c r="U326" s="259"/>
      <c r="V326" s="259"/>
      <c r="W326" s="259"/>
      <c r="X326" s="151"/>
      <c r="AA326" s="151"/>
      <c r="AB326" s="151"/>
    </row>
    <row r="327" spans="2:28" x14ac:dyDescent="0.35">
      <c r="B327" s="313"/>
      <c r="C327" s="314"/>
      <c r="D327" s="314"/>
      <c r="E327" s="315"/>
      <c r="F327" s="252" t="s">
        <v>426</v>
      </c>
      <c r="G327" s="253" t="s">
        <v>181</v>
      </c>
      <c r="H327" s="254"/>
      <c r="I327" s="255"/>
      <c r="J327" s="256"/>
      <c r="K327" s="257"/>
      <c r="L327" s="257"/>
      <c r="M327" s="258"/>
      <c r="N327" s="259"/>
      <c r="O327" s="259"/>
      <c r="P327" s="259"/>
      <c r="Q327" s="259"/>
      <c r="R327" s="259"/>
      <c r="S327" s="259"/>
      <c r="T327" s="259"/>
      <c r="U327" s="259"/>
      <c r="V327" s="259"/>
      <c r="W327" s="259"/>
      <c r="X327" s="151"/>
      <c r="AA327" s="151"/>
      <c r="AB327" s="151"/>
    </row>
    <row r="328" spans="2:28" x14ac:dyDescent="0.35">
      <c r="B328" s="320"/>
      <c r="C328" s="321"/>
      <c r="D328" s="321"/>
      <c r="E328" s="332"/>
      <c r="F328" s="252" t="s">
        <v>359</v>
      </c>
      <c r="G328" s="253" t="s">
        <v>195</v>
      </c>
      <c r="H328" s="254"/>
      <c r="I328" s="255"/>
      <c r="J328" s="256"/>
      <c r="K328" s="257"/>
      <c r="L328" s="257"/>
      <c r="M328" s="258"/>
      <c r="N328" s="259"/>
      <c r="O328" s="259"/>
      <c r="P328" s="259"/>
      <c r="Q328" s="259"/>
      <c r="R328" s="259"/>
      <c r="S328" s="259"/>
      <c r="T328" s="259"/>
      <c r="U328" s="259"/>
      <c r="V328" s="259"/>
      <c r="W328" s="259"/>
      <c r="X328" s="151"/>
      <c r="AA328" s="151"/>
      <c r="AB328" s="151"/>
    </row>
    <row r="329" spans="2:28" x14ac:dyDescent="0.35">
      <c r="B329" s="254"/>
      <c r="C329" s="255"/>
      <c r="D329" s="255" t="s">
        <v>360</v>
      </c>
      <c r="E329" s="349"/>
      <c r="F329" s="252"/>
      <c r="G329" s="253"/>
      <c r="H329" s="254"/>
      <c r="I329" s="255"/>
      <c r="J329" s="256"/>
      <c r="K329" s="257"/>
      <c r="L329" s="257"/>
      <c r="M329" s="258"/>
      <c r="N329" s="259"/>
      <c r="O329" s="259"/>
      <c r="P329" s="259"/>
      <c r="Q329" s="259"/>
      <c r="R329" s="259"/>
      <c r="S329" s="259"/>
      <c r="T329" s="259"/>
      <c r="U329" s="259"/>
      <c r="V329" s="259"/>
      <c r="W329" s="259"/>
      <c r="X329" s="151"/>
      <c r="AA329" s="151"/>
      <c r="AB329" s="151"/>
    </row>
    <row r="330" spans="2:28" x14ac:dyDescent="0.35">
      <c r="B330" s="262"/>
      <c r="C330" s="263"/>
      <c r="D330" s="263"/>
      <c r="E330" s="264" t="s">
        <v>134</v>
      </c>
      <c r="F330" s="252" t="s">
        <v>362</v>
      </c>
      <c r="G330" s="253" t="s">
        <v>361</v>
      </c>
      <c r="H330" s="254"/>
      <c r="I330" s="255"/>
      <c r="J330" s="256"/>
      <c r="K330" s="364"/>
      <c r="L330" s="364"/>
      <c r="M330" s="328">
        <v>1</v>
      </c>
      <c r="N330" s="365">
        <v>1</v>
      </c>
      <c r="O330" s="380"/>
      <c r="P330" s="380"/>
      <c r="Q330" s="380"/>
      <c r="R330" s="380"/>
      <c r="S330" s="380"/>
      <c r="T330" s="380"/>
      <c r="U330" s="380"/>
      <c r="V330" s="380"/>
      <c r="W330" s="380"/>
      <c r="X330" s="151"/>
      <c r="AA330" s="151"/>
      <c r="AB330" s="151"/>
    </row>
    <row r="331" spans="2:28" x14ac:dyDescent="0.35">
      <c r="B331" s="313"/>
      <c r="C331" s="314"/>
      <c r="D331" s="314"/>
      <c r="E331" s="315"/>
      <c r="F331" s="252" t="s">
        <v>359</v>
      </c>
      <c r="G331" s="253" t="s">
        <v>195</v>
      </c>
      <c r="H331" s="254"/>
      <c r="I331" s="255"/>
      <c r="J331" s="256"/>
      <c r="K331" s="364"/>
      <c r="L331" s="364"/>
      <c r="M331" s="328">
        <v>5.0000000000000001E-3</v>
      </c>
      <c r="N331" s="365">
        <v>1</v>
      </c>
      <c r="O331" s="259"/>
      <c r="P331" s="259"/>
      <c r="Q331" s="259"/>
      <c r="R331" s="259"/>
      <c r="S331" s="259"/>
      <c r="T331" s="259"/>
      <c r="U331" s="259"/>
      <c r="V331" s="259"/>
      <c r="W331" s="259"/>
      <c r="X331" s="151"/>
      <c r="AA331" s="151"/>
      <c r="AB331" s="151"/>
    </row>
    <row r="332" spans="2:28" x14ac:dyDescent="0.35">
      <c r="B332" s="320"/>
      <c r="C332" s="321"/>
      <c r="D332" s="321"/>
      <c r="E332" s="332"/>
      <c r="F332" s="151" t="s">
        <v>364</v>
      </c>
      <c r="G332" s="502" t="s">
        <v>361</v>
      </c>
      <c r="H332" s="317"/>
      <c r="I332" s="318"/>
      <c r="J332" s="151"/>
      <c r="K332" s="364"/>
      <c r="L332" s="364"/>
      <c r="M332" s="328">
        <v>1</v>
      </c>
      <c r="N332" s="365">
        <v>1</v>
      </c>
      <c r="O332" s="259"/>
      <c r="P332" s="259"/>
      <c r="Q332" s="259"/>
      <c r="R332" s="259"/>
      <c r="S332" s="259"/>
      <c r="T332" s="259"/>
      <c r="U332" s="259"/>
      <c r="V332" s="259"/>
      <c r="W332" s="259"/>
      <c r="X332" s="151"/>
      <c r="AA332" s="151"/>
      <c r="AB332" s="151"/>
    </row>
    <row r="333" spans="2:28" x14ac:dyDescent="0.35">
      <c r="B333" s="262"/>
      <c r="C333" s="263"/>
      <c r="D333" s="263"/>
      <c r="E333" s="264" t="s">
        <v>136</v>
      </c>
      <c r="F333" s="252" t="s">
        <v>365</v>
      </c>
      <c r="G333" s="253" t="s">
        <v>361</v>
      </c>
      <c r="H333" s="254"/>
      <c r="I333" s="255"/>
      <c r="J333" s="256"/>
      <c r="K333" s="364"/>
      <c r="L333" s="364"/>
      <c r="M333" s="328">
        <v>1</v>
      </c>
      <c r="N333" s="365">
        <v>1</v>
      </c>
      <c r="O333" s="259"/>
      <c r="P333" s="259"/>
      <c r="Q333" s="259"/>
      <c r="R333" s="259"/>
      <c r="S333" s="259"/>
      <c r="T333" s="259"/>
      <c r="U333" s="259"/>
      <c r="V333" s="259"/>
      <c r="W333" s="259"/>
      <c r="X333" s="151"/>
      <c r="AA333" s="151"/>
      <c r="AB333" s="151"/>
    </row>
    <row r="334" spans="2:28" x14ac:dyDescent="0.35">
      <c r="B334" s="320"/>
      <c r="C334" s="321"/>
      <c r="D334" s="321"/>
      <c r="E334" s="332"/>
      <c r="F334" s="252" t="s">
        <v>427</v>
      </c>
      <c r="G334" s="253" t="s">
        <v>181</v>
      </c>
      <c r="H334" s="254"/>
      <c r="I334" s="255"/>
      <c r="J334" s="256"/>
      <c r="K334" s="364"/>
      <c r="L334" s="364"/>
      <c r="M334" s="328">
        <v>1</v>
      </c>
      <c r="N334" s="365">
        <v>1</v>
      </c>
      <c r="O334" s="259"/>
      <c r="P334" s="259"/>
      <c r="Q334" s="259"/>
      <c r="R334" s="259"/>
      <c r="S334" s="259"/>
      <c r="T334" s="259"/>
      <c r="U334" s="259"/>
      <c r="V334" s="259"/>
      <c r="W334" s="259"/>
      <c r="X334" s="151"/>
      <c r="AA334" s="151"/>
      <c r="AB334" s="151"/>
    </row>
    <row r="335" spans="2:28" s="424" customFormat="1" x14ac:dyDescent="0.35">
      <c r="B335" s="369" t="s">
        <v>428</v>
      </c>
      <c r="C335" s="370"/>
      <c r="D335" s="370"/>
      <c r="E335" s="371"/>
      <c r="F335" s="402"/>
      <c r="G335" s="403"/>
      <c r="H335" s="404"/>
      <c r="I335" s="405"/>
      <c r="J335" s="406"/>
      <c r="K335" s="407"/>
      <c r="L335" s="407"/>
      <c r="M335" s="408"/>
      <c r="N335" s="382"/>
      <c r="O335" s="382"/>
      <c r="P335" s="382"/>
      <c r="Q335" s="345">
        <f>SUM(Q284:Q334)</f>
        <v>17093168.48611512</v>
      </c>
      <c r="R335" s="382"/>
      <c r="S335" s="382" t="e">
        <f>SUM(S257:S334)</f>
        <v>#N/A</v>
      </c>
      <c r="T335" s="382"/>
      <c r="U335" s="382" t="e">
        <f>SUM(U257:U334)</f>
        <v>#N/A</v>
      </c>
      <c r="V335" s="382"/>
      <c r="W335" s="382" t="e">
        <f>SUM(W257:W334)</f>
        <v>#N/A</v>
      </c>
      <c r="X335" s="383"/>
      <c r="AA335" s="345">
        <f>Q335/E1</f>
        <v>376833.52041699999</v>
      </c>
      <c r="AB335" s="346">
        <f>Q335/$Q$346*100</f>
        <v>0.45326643599632099</v>
      </c>
    </row>
    <row r="336" spans="2:28" s="424" customFormat="1" x14ac:dyDescent="0.35">
      <c r="B336" s="411" t="s">
        <v>429</v>
      </c>
      <c r="C336" s="412"/>
      <c r="D336" s="412"/>
      <c r="E336" s="413"/>
      <c r="F336" s="414"/>
      <c r="G336" s="415"/>
      <c r="H336" s="416"/>
      <c r="I336" s="417"/>
      <c r="J336" s="418"/>
      <c r="K336" s="419"/>
      <c r="L336" s="419"/>
      <c r="M336" s="420"/>
      <c r="N336" s="421"/>
      <c r="O336" s="421"/>
      <c r="P336" s="421"/>
      <c r="Q336" s="422">
        <f>Q216+Q239+Q259+Q282+Q335</f>
        <v>1159208042.8564901</v>
      </c>
      <c r="R336" s="421"/>
      <c r="S336" s="421" t="e">
        <f>SUM(S241:S334)</f>
        <v>#N/A</v>
      </c>
      <c r="T336" s="421"/>
      <c r="U336" s="421" t="e">
        <f>SUM(U241:U334)</f>
        <v>#N/A</v>
      </c>
      <c r="V336" s="421"/>
      <c r="W336" s="421" t="e">
        <f>SUM(W241:W334)</f>
        <v>#N/A</v>
      </c>
      <c r="X336" s="427"/>
      <c r="Y336" s="522"/>
      <c r="Z336" s="522"/>
      <c r="AA336" s="523">
        <f>Q336/E1</f>
        <v>25555732.867206573</v>
      </c>
      <c r="AB336" s="426">
        <f>Q336/$Q$346*100</f>
        <v>30.73918674531534</v>
      </c>
    </row>
    <row r="337" spans="2:28" x14ac:dyDescent="0.35">
      <c r="B337" s="254"/>
      <c r="C337" s="250" t="s">
        <v>430</v>
      </c>
      <c r="D337" s="255"/>
      <c r="E337" s="349"/>
      <c r="F337" s="252"/>
      <c r="G337" s="253" t="s">
        <v>179</v>
      </c>
      <c r="H337" s="254"/>
      <c r="I337" s="255"/>
      <c r="J337" s="256"/>
      <c r="K337" s="257"/>
      <c r="L337" s="257"/>
      <c r="M337" s="258"/>
      <c r="N337" s="259"/>
      <c r="O337" s="259"/>
      <c r="P337" s="259"/>
      <c r="Q337" s="261"/>
      <c r="R337" s="259"/>
      <c r="S337" s="259"/>
      <c r="T337" s="259"/>
      <c r="U337" s="259"/>
      <c r="V337" s="259"/>
      <c r="W337" s="259"/>
      <c r="X337" s="151"/>
      <c r="AA337" s="151"/>
      <c r="AB337" s="151"/>
    </row>
    <row r="338" spans="2:28" x14ac:dyDescent="0.35">
      <c r="B338" s="262"/>
      <c r="C338" s="263"/>
      <c r="D338" s="263" t="s">
        <v>143</v>
      </c>
      <c r="E338" s="272"/>
      <c r="F338" s="295" t="s">
        <v>177</v>
      </c>
      <c r="G338" s="296" t="s">
        <v>178</v>
      </c>
      <c r="H338" s="297"/>
      <c r="I338" s="298"/>
      <c r="J338" s="181"/>
      <c r="K338" s="278">
        <v>1</v>
      </c>
      <c r="L338" s="257">
        <v>45.36</v>
      </c>
      <c r="M338" s="300">
        <v>1</v>
      </c>
      <c r="N338" s="261">
        <v>12</v>
      </c>
      <c r="O338" s="309">
        <f>K338*M338*L338*N338</f>
        <v>544.31999999999994</v>
      </c>
      <c r="P338" s="274">
        <v>149108.51999999999</v>
      </c>
      <c r="Q338" s="300">
        <f>O338*P338</f>
        <v>81162749.606399983</v>
      </c>
      <c r="R338" s="259">
        <v>149108.51999999999</v>
      </c>
      <c r="S338" s="259">
        <f>R338*O338</f>
        <v>81162749.606399983</v>
      </c>
      <c r="T338" s="259">
        <v>158800.57379999998</v>
      </c>
      <c r="U338" s="259">
        <f>T338*O338</f>
        <v>86438328.330815986</v>
      </c>
      <c r="V338" s="259">
        <f>W338/O338</f>
        <v>152339.20459999997</v>
      </c>
      <c r="W338" s="259">
        <f>(Q338+S338+U338)/3</f>
        <v>82921275.847871974</v>
      </c>
      <c r="X338" s="152"/>
      <c r="Z338" s="429">
        <f>W338*1000</f>
        <v>82921275847.871979</v>
      </c>
      <c r="AA338" s="292">
        <f t="shared" ref="AA338:AA343" si="50">Q338/$E$1</f>
        <v>1789302.2399999998</v>
      </c>
      <c r="AB338" s="151"/>
    </row>
    <row r="339" spans="2:28" x14ac:dyDescent="0.35">
      <c r="B339" s="313"/>
      <c r="C339" s="314"/>
      <c r="D339" s="314"/>
      <c r="E339" s="270"/>
      <c r="F339" s="295" t="s">
        <v>431</v>
      </c>
      <c r="G339" s="296" t="s">
        <v>432</v>
      </c>
      <c r="H339" s="297"/>
      <c r="I339" s="298"/>
      <c r="J339" s="181"/>
      <c r="K339" s="278"/>
      <c r="L339" s="257">
        <v>140.97999999999999</v>
      </c>
      <c r="M339" s="300">
        <v>1</v>
      </c>
      <c r="N339" s="261">
        <v>12</v>
      </c>
      <c r="O339" s="309">
        <f>K339*M339*L339*N339</f>
        <v>0</v>
      </c>
      <c r="P339" s="274">
        <v>2623.2570000000001</v>
      </c>
      <c r="Q339" s="300">
        <f>O339*P339</f>
        <v>0</v>
      </c>
      <c r="R339" s="259">
        <v>2623.2570000000001</v>
      </c>
      <c r="S339" s="259">
        <f>R339*O339</f>
        <v>0</v>
      </c>
      <c r="T339" s="259">
        <v>2754.4198500000002</v>
      </c>
      <c r="U339" s="259">
        <f>T339*O339</f>
        <v>0</v>
      </c>
      <c r="V339" s="259" t="e">
        <f>W339/O339</f>
        <v>#DIV/0!</v>
      </c>
      <c r="W339" s="259">
        <f>(Q339+S339+U339)/3</f>
        <v>0</v>
      </c>
      <c r="X339" s="151"/>
      <c r="AA339" s="292">
        <f t="shared" si="50"/>
        <v>0</v>
      </c>
      <c r="AB339" s="151"/>
    </row>
    <row r="340" spans="2:28" x14ac:dyDescent="0.35">
      <c r="B340" s="313"/>
      <c r="C340" s="314"/>
      <c r="D340" s="314"/>
      <c r="E340" s="270"/>
      <c r="F340" s="295" t="s">
        <v>433</v>
      </c>
      <c r="G340" s="296"/>
      <c r="H340" s="297"/>
      <c r="I340" s="298"/>
      <c r="J340" s="181"/>
      <c r="K340" s="278">
        <v>1</v>
      </c>
      <c r="L340" s="257">
        <v>1</v>
      </c>
      <c r="M340" s="300">
        <v>1</v>
      </c>
      <c r="N340" s="261">
        <v>1</v>
      </c>
      <c r="O340" s="309">
        <f>K340*M340*L340*N340</f>
        <v>1</v>
      </c>
      <c r="P340" s="274">
        <v>350000</v>
      </c>
      <c r="Q340" s="300">
        <f>O340*P340</f>
        <v>350000</v>
      </c>
      <c r="R340" s="259"/>
      <c r="S340" s="259"/>
      <c r="T340" s="259"/>
      <c r="U340" s="259"/>
      <c r="V340" s="259"/>
      <c r="W340" s="259"/>
      <c r="X340" s="151"/>
      <c r="AA340" s="292">
        <f t="shared" si="50"/>
        <v>7716.0493827160499</v>
      </c>
      <c r="AB340" s="151"/>
    </row>
    <row r="341" spans="2:28" x14ac:dyDescent="0.35">
      <c r="B341" s="320"/>
      <c r="C341" s="321"/>
      <c r="D341" s="321"/>
      <c r="E341" s="277"/>
      <c r="F341" s="295" t="s">
        <v>434</v>
      </c>
      <c r="G341" s="296" t="s">
        <v>432</v>
      </c>
      <c r="H341" s="297"/>
      <c r="I341" s="298"/>
      <c r="J341" s="181"/>
      <c r="K341" s="278">
        <v>1</v>
      </c>
      <c r="L341" s="257">
        <v>45.36</v>
      </c>
      <c r="M341" s="300">
        <v>12</v>
      </c>
      <c r="N341" s="261">
        <v>12</v>
      </c>
      <c r="O341" s="309">
        <f>K341*M341*L341*N341</f>
        <v>6531.8399999999992</v>
      </c>
      <c r="P341" s="274">
        <v>1273.6814999999999</v>
      </c>
      <c r="Q341" s="300">
        <f>O341*P341</f>
        <v>8319483.7689599982</v>
      </c>
      <c r="R341" s="259">
        <v>1273.6814999999999</v>
      </c>
      <c r="S341" s="259">
        <f>R341*O341</f>
        <v>8319483.7689599982</v>
      </c>
      <c r="T341" s="259">
        <v>1337.365575</v>
      </c>
      <c r="U341" s="259">
        <f>T341*O341</f>
        <v>8735457.9574079998</v>
      </c>
      <c r="V341" s="259">
        <f>W341/O341</f>
        <v>1294.909525</v>
      </c>
      <c r="W341" s="259">
        <f>(Q341+S341+U341)/3</f>
        <v>8458141.8317759987</v>
      </c>
      <c r="X341" s="151"/>
      <c r="AA341" s="292">
        <f t="shared" si="50"/>
        <v>183410.13599999997</v>
      </c>
      <c r="AB341" s="151"/>
    </row>
    <row r="342" spans="2:28" x14ac:dyDescent="0.35">
      <c r="B342" s="262"/>
      <c r="C342" s="263"/>
      <c r="D342" s="263" t="s">
        <v>435</v>
      </c>
      <c r="E342" s="272"/>
      <c r="F342" s="151" t="s">
        <v>177</v>
      </c>
      <c r="G342" s="316" t="s">
        <v>178</v>
      </c>
      <c r="H342" s="317"/>
      <c r="I342" s="318"/>
      <c r="J342" s="316" t="s">
        <v>179</v>
      </c>
      <c r="K342" s="433">
        <v>1</v>
      </c>
      <c r="L342" s="257">
        <v>45.36</v>
      </c>
      <c r="M342" s="258">
        <v>0.2</v>
      </c>
      <c r="N342" s="380">
        <v>12</v>
      </c>
      <c r="O342" s="520">
        <f>K342*L342*M342*N342</f>
        <v>108.864</v>
      </c>
      <c r="P342" s="274">
        <v>149108.51999999999</v>
      </c>
      <c r="Q342" s="521">
        <f>P342*$O342</f>
        <v>16232549.92128</v>
      </c>
      <c r="R342" s="261">
        <v>149108.51999999999</v>
      </c>
      <c r="S342" s="496">
        <f>R342*$O342</f>
        <v>16232549.92128</v>
      </c>
      <c r="T342" s="259"/>
      <c r="U342" s="259"/>
      <c r="V342" s="259"/>
      <c r="W342" s="259"/>
      <c r="X342" s="151"/>
      <c r="AA342" s="292">
        <f t="shared" si="50"/>
        <v>357860.44800000003</v>
      </c>
      <c r="AB342" s="151"/>
    </row>
    <row r="343" spans="2:28" x14ac:dyDescent="0.35">
      <c r="B343" s="320"/>
      <c r="C343" s="321"/>
      <c r="D343" s="321"/>
      <c r="E343" s="332"/>
      <c r="F343" s="151" t="s">
        <v>436</v>
      </c>
      <c r="G343" s="316" t="s">
        <v>345</v>
      </c>
      <c r="H343" s="317"/>
      <c r="I343" s="318"/>
      <c r="J343" s="316" t="s">
        <v>179</v>
      </c>
      <c r="K343" s="433">
        <v>1</v>
      </c>
      <c r="L343" s="257">
        <v>45.36</v>
      </c>
      <c r="M343" s="476">
        <v>0.08</v>
      </c>
      <c r="N343" s="380">
        <v>12</v>
      </c>
      <c r="O343" s="520">
        <f>K343*L343*M343*N343</f>
        <v>43.5456</v>
      </c>
      <c r="P343" s="274">
        <v>21000</v>
      </c>
      <c r="Q343" s="521">
        <f>P343*$O343</f>
        <v>914457.59999999998</v>
      </c>
      <c r="R343" s="261">
        <v>21000</v>
      </c>
      <c r="S343" s="496">
        <f>R343*$O343</f>
        <v>914457.59999999998</v>
      </c>
      <c r="T343" s="259"/>
      <c r="U343" s="259"/>
      <c r="V343" s="259"/>
      <c r="W343" s="259"/>
      <c r="X343" s="151"/>
      <c r="AA343" s="292">
        <f t="shared" si="50"/>
        <v>20160</v>
      </c>
      <c r="AB343" s="151"/>
    </row>
    <row r="344" spans="2:28" x14ac:dyDescent="0.35">
      <c r="B344" s="254"/>
      <c r="C344" s="255"/>
      <c r="D344" s="255" t="s">
        <v>437</v>
      </c>
      <c r="E344" s="349"/>
      <c r="F344" s="252" t="s">
        <v>177</v>
      </c>
      <c r="G344" s="253" t="s">
        <v>178</v>
      </c>
      <c r="H344" s="254"/>
      <c r="I344" s="255"/>
      <c r="J344" s="256"/>
      <c r="K344" s="265"/>
      <c r="L344" s="257"/>
      <c r="M344" s="258"/>
      <c r="N344" s="259"/>
      <c r="O344" s="309"/>
      <c r="P344" s="259"/>
      <c r="Q344" s="300"/>
      <c r="R344" s="259"/>
      <c r="S344" s="259"/>
      <c r="T344" s="259"/>
      <c r="U344" s="259"/>
      <c r="V344" s="259"/>
      <c r="W344" s="259"/>
      <c r="X344" s="151"/>
      <c r="AA344" s="151"/>
      <c r="AB344" s="151"/>
    </row>
    <row r="345" spans="2:28" x14ac:dyDescent="0.35">
      <c r="B345" s="411" t="s">
        <v>438</v>
      </c>
      <c r="C345" s="412"/>
      <c r="D345" s="412"/>
      <c r="E345" s="413"/>
      <c r="F345" s="524"/>
      <c r="G345" s="525"/>
      <c r="H345" s="526"/>
      <c r="I345" s="527"/>
      <c r="J345" s="528"/>
      <c r="K345" s="529"/>
      <c r="L345" s="529"/>
      <c r="M345" s="530"/>
      <c r="N345" s="531"/>
      <c r="O345" s="531"/>
      <c r="P345" s="531"/>
      <c r="Q345" s="422">
        <f>SUM(Q338:Q344)</f>
        <v>106979240.89663997</v>
      </c>
      <c r="R345" s="531"/>
      <c r="S345" s="421">
        <f>SUM(S338:S344)</f>
        <v>106629240.89663997</v>
      </c>
      <c r="T345" s="531"/>
      <c r="U345" s="421">
        <f>SUM(U338:U344)</f>
        <v>95173786.288223982</v>
      </c>
      <c r="V345" s="531"/>
      <c r="W345" s="421">
        <f>SUM(W338:W344)</f>
        <v>91379417.679647967</v>
      </c>
      <c r="X345" s="532"/>
      <c r="Y345" s="533"/>
      <c r="Z345" s="533"/>
      <c r="AA345" s="426">
        <f>Q345/E1</f>
        <v>2358448.8733827155</v>
      </c>
      <c r="AB345" s="426">
        <f>Q345/$Q$346*100</f>
        <v>2.8368116353735502</v>
      </c>
    </row>
    <row r="346" spans="2:28" ht="14.25" customHeight="1" x14ac:dyDescent="0.35">
      <c r="B346" s="534" t="s">
        <v>439</v>
      </c>
      <c r="C346" s="535"/>
      <c r="D346" s="535"/>
      <c r="E346" s="536"/>
      <c r="F346" s="537"/>
      <c r="G346" s="538"/>
      <c r="H346" s="539"/>
      <c r="I346" s="540"/>
      <c r="J346" s="541"/>
      <c r="K346" s="542"/>
      <c r="L346" s="542"/>
      <c r="M346" s="543"/>
      <c r="N346" s="544"/>
      <c r="O346" s="544"/>
      <c r="P346" s="544"/>
      <c r="Q346" s="545">
        <f>Q164+Q336+Q345</f>
        <v>3771108365.5560722</v>
      </c>
      <c r="R346" s="259"/>
      <c r="S346" s="546" t="e">
        <f>S164+S239+S336+S345</f>
        <v>#N/A</v>
      </c>
      <c r="T346" s="259"/>
      <c r="U346" s="546" t="e">
        <f>U164+U239+U336+U345</f>
        <v>#N/A</v>
      </c>
      <c r="V346" s="259"/>
      <c r="W346" s="546" t="e">
        <f>W164+W239+W336+W345</f>
        <v>#N/A</v>
      </c>
      <c r="X346" s="532"/>
      <c r="Y346" s="533"/>
      <c r="Z346" s="533"/>
      <c r="AA346" s="426">
        <f>Q346/E1</f>
        <v>83137309.646297887</v>
      </c>
      <c r="AB346" s="523">
        <f>Q346/Q346*100</f>
        <v>100</v>
      </c>
    </row>
    <row r="347" spans="2:28" ht="14.25" customHeight="1" x14ac:dyDescent="0.35">
      <c r="B347" s="254"/>
      <c r="C347" s="255"/>
      <c r="D347" s="255"/>
      <c r="E347" s="251" t="s">
        <v>440</v>
      </c>
      <c r="F347" s="252"/>
      <c r="G347" s="253"/>
      <c r="H347" s="254"/>
      <c r="I347" s="255"/>
      <c r="J347" s="256"/>
      <c r="K347" s="257"/>
      <c r="L347" s="257"/>
      <c r="M347" s="258"/>
      <c r="N347" s="259"/>
      <c r="O347" s="259"/>
      <c r="P347" s="259"/>
      <c r="Q347" s="546"/>
      <c r="R347" s="259"/>
      <c r="S347" s="546" t="e">
        <f>S165+S239+S336+S345</f>
        <v>#REF!</v>
      </c>
      <c r="T347" s="259"/>
      <c r="U347" s="546" t="e">
        <f>U165+U239+U336+U345</f>
        <v>#REF!</v>
      </c>
      <c r="V347" s="259"/>
      <c r="W347" s="546" t="e">
        <f>W165+W239+W336+W345</f>
        <v>#REF!</v>
      </c>
      <c r="X347" s="151"/>
      <c r="AA347" s="151"/>
      <c r="AB347" s="151"/>
    </row>
    <row r="349" spans="2:28" hidden="1" x14ac:dyDescent="0.35">
      <c r="B349" s="189" t="s">
        <v>441</v>
      </c>
      <c r="E349" s="189" t="s">
        <v>442</v>
      </c>
      <c r="Q349" s="429">
        <f>Q164</f>
        <v>2504921081.8029423</v>
      </c>
      <c r="S349" s="429">
        <f>S164</f>
        <v>83308269.935505688</v>
      </c>
      <c r="U349" s="429">
        <f>U164</f>
        <v>88163221.78286843</v>
      </c>
      <c r="W349" s="429">
        <f>W164</f>
        <v>85460174.04403995</v>
      </c>
      <c r="X349" s="547">
        <v>4403451913</v>
      </c>
    </row>
    <row r="350" spans="2:28" hidden="1" x14ac:dyDescent="0.35">
      <c r="E350" s="189" t="s">
        <v>443</v>
      </c>
      <c r="Q350" s="429">
        <f>Q239</f>
        <v>36082972.101002395</v>
      </c>
      <c r="S350" s="429" t="e">
        <f>S239</f>
        <v>#N/A</v>
      </c>
      <c r="U350" s="429" t="e">
        <f>U239</f>
        <v>#N/A</v>
      </c>
      <c r="W350" s="429" t="e">
        <f>W239</f>
        <v>#N/A</v>
      </c>
      <c r="X350">
        <v>192.08</v>
      </c>
    </row>
    <row r="351" spans="2:28" hidden="1" x14ac:dyDescent="0.35">
      <c r="E351" s="189" t="s">
        <v>52</v>
      </c>
      <c r="Q351" s="429">
        <f>Q336+Q345</f>
        <v>1266187283.7531302</v>
      </c>
      <c r="S351" s="429" t="e">
        <f>S336+S345</f>
        <v>#N/A</v>
      </c>
      <c r="U351" s="429" t="e">
        <f>U336+U345</f>
        <v>#N/A</v>
      </c>
      <c r="W351" s="429" t="e">
        <f>W336+W345</f>
        <v>#N/A</v>
      </c>
      <c r="X351" s="167">
        <f>X349/X350</f>
        <v>22925093.258017492</v>
      </c>
    </row>
    <row r="352" spans="2:28" hidden="1" x14ac:dyDescent="0.35">
      <c r="D352" s="548"/>
      <c r="E352" s="548" t="s">
        <v>444</v>
      </c>
      <c r="Q352" s="549">
        <f>SUM(Q349:Q351)</f>
        <v>3807191337.6570749</v>
      </c>
      <c r="S352" s="549" t="e">
        <f>SUM(S349:S351)</f>
        <v>#N/A</v>
      </c>
      <c r="U352" s="549" t="e">
        <f>SUM(U349:U351)</f>
        <v>#N/A</v>
      </c>
      <c r="W352" s="549" t="e">
        <f>SUM(W349:W351)</f>
        <v>#N/A</v>
      </c>
    </row>
    <row r="353" spans="2:23" hidden="1" x14ac:dyDescent="0.35">
      <c r="E353" s="189" t="s">
        <v>445</v>
      </c>
      <c r="Q353" s="429">
        <v>8312350.2295139572</v>
      </c>
      <c r="S353" s="429">
        <v>8851720.1358242761</v>
      </c>
      <c r="U353" s="429">
        <v>9408386.9256416019</v>
      </c>
      <c r="W353" s="429">
        <v>8857485.7636599429</v>
      </c>
    </row>
    <row r="354" spans="2:23" hidden="1" x14ac:dyDescent="0.35">
      <c r="E354" s="189" t="s">
        <v>446</v>
      </c>
      <c r="Q354" s="429">
        <v>9193355.7098226659</v>
      </c>
      <c r="S354" s="429">
        <v>9743523.1088375002</v>
      </c>
      <c r="U354" s="429">
        <v>10327704.198023777</v>
      </c>
      <c r="W354" s="429">
        <v>9754861.0055613145</v>
      </c>
    </row>
    <row r="355" spans="2:23" hidden="1" x14ac:dyDescent="0.35">
      <c r="E355" s="189" t="s">
        <v>447</v>
      </c>
      <c r="Q355" s="429">
        <v>10357291.554240417</v>
      </c>
      <c r="S355" s="429">
        <v>10987426.655994633</v>
      </c>
      <c r="U355" s="429">
        <v>11657512.764754416</v>
      </c>
      <c r="W355" s="429">
        <v>11000743.65832982</v>
      </c>
    </row>
    <row r="356" spans="2:23" hidden="1" x14ac:dyDescent="0.35">
      <c r="Q356" s="549">
        <f>SUM(Q353:Q355)</f>
        <v>27862997.493577041</v>
      </c>
      <c r="S356" s="549">
        <f>SUM(S353:S355)</f>
        <v>29582669.90065641</v>
      </c>
      <c r="U356" s="549">
        <f>SUM(U353:U355)</f>
        <v>31393603.888419792</v>
      </c>
      <c r="W356" s="549">
        <f>SUM(W353:W355)</f>
        <v>29613090.427551076</v>
      </c>
    </row>
    <row r="357" spans="2:23" hidden="1" x14ac:dyDescent="0.35">
      <c r="E357" s="548" t="s">
        <v>448</v>
      </c>
      <c r="Q357" s="549">
        <f>Q356+Q352</f>
        <v>3835054335.1506519</v>
      </c>
      <c r="S357" s="549" t="e">
        <f>S356+S352</f>
        <v>#N/A</v>
      </c>
      <c r="U357" s="549" t="e">
        <f>U356+U352</f>
        <v>#N/A</v>
      </c>
      <c r="W357" s="549" t="e">
        <f>W356+W352</f>
        <v>#N/A</v>
      </c>
    </row>
    <row r="358" spans="2:23" hidden="1" x14ac:dyDescent="0.35"/>
    <row r="359" spans="2:23" hidden="1" x14ac:dyDescent="0.35">
      <c r="B359" s="189" t="s">
        <v>449</v>
      </c>
      <c r="E359" s="189" t="s">
        <v>442</v>
      </c>
      <c r="Q359" s="429">
        <f>Q165</f>
        <v>0</v>
      </c>
      <c r="S359" s="429" t="e">
        <f>S165</f>
        <v>#REF!</v>
      </c>
      <c r="U359" s="429" t="e">
        <f>U165</f>
        <v>#REF!</v>
      </c>
      <c r="W359" s="429" t="e">
        <f>W165</f>
        <v>#REF!</v>
      </c>
    </row>
    <row r="360" spans="2:23" hidden="1" x14ac:dyDescent="0.35">
      <c r="E360" s="189" t="s">
        <v>443</v>
      </c>
      <c r="Q360" s="429">
        <f>Q239</f>
        <v>36082972.101002395</v>
      </c>
      <c r="S360" s="429" t="e">
        <f>S239</f>
        <v>#N/A</v>
      </c>
      <c r="U360" s="429" t="e">
        <f>U239</f>
        <v>#N/A</v>
      </c>
      <c r="W360" s="429" t="e">
        <f>W239</f>
        <v>#N/A</v>
      </c>
    </row>
    <row r="361" spans="2:23" hidden="1" x14ac:dyDescent="0.35">
      <c r="E361" s="189" t="s">
        <v>52</v>
      </c>
      <c r="Q361" s="429">
        <f>Q336+Q345</f>
        <v>1266187283.7531302</v>
      </c>
      <c r="S361" s="429" t="e">
        <f>S336+S345</f>
        <v>#N/A</v>
      </c>
      <c r="U361" s="429" t="e">
        <f>U336+U345</f>
        <v>#N/A</v>
      </c>
      <c r="W361" s="429" t="e">
        <f>W336+W345</f>
        <v>#N/A</v>
      </c>
    </row>
    <row r="362" spans="2:23" hidden="1" x14ac:dyDescent="0.35">
      <c r="E362" s="548" t="s">
        <v>444</v>
      </c>
      <c r="Q362" s="549">
        <f>SUM(Q359:Q361)</f>
        <v>1302270255.8541327</v>
      </c>
      <c r="S362" s="549" t="e">
        <f>SUM(S359:S361)</f>
        <v>#REF!</v>
      </c>
      <c r="U362" s="549" t="e">
        <f>SUM(U359:U361)</f>
        <v>#REF!</v>
      </c>
      <c r="W362" s="549" t="e">
        <f>SUM(W359:W361)</f>
        <v>#REF!</v>
      </c>
    </row>
    <row r="363" spans="2:23" hidden="1" x14ac:dyDescent="0.35">
      <c r="E363" s="189" t="s">
        <v>445</v>
      </c>
      <c r="Q363" s="429">
        <f>Q353</f>
        <v>8312350.2295139572</v>
      </c>
      <c r="S363" s="429">
        <f>S353</f>
        <v>8851720.1358242761</v>
      </c>
      <c r="U363" s="429">
        <f>U353</f>
        <v>9408386.9256416019</v>
      </c>
      <c r="W363" s="429">
        <f>W353</f>
        <v>8857485.7636599429</v>
      </c>
    </row>
    <row r="364" spans="2:23" hidden="1" x14ac:dyDescent="0.35">
      <c r="E364" s="189" t="s">
        <v>446</v>
      </c>
      <c r="Q364" s="429">
        <f>Q354</f>
        <v>9193355.7098226659</v>
      </c>
      <c r="S364" s="429">
        <f>S354</f>
        <v>9743523.1088375002</v>
      </c>
      <c r="U364" s="429">
        <f t="shared" ref="U364:W365" si="51">U354</f>
        <v>10327704.198023777</v>
      </c>
      <c r="W364" s="429">
        <f t="shared" si="51"/>
        <v>9754861.0055613145</v>
      </c>
    </row>
    <row r="365" spans="2:23" hidden="1" x14ac:dyDescent="0.35">
      <c r="E365" s="189" t="s">
        <v>447</v>
      </c>
      <c r="Q365" s="429">
        <f>Q355</f>
        <v>10357291.554240417</v>
      </c>
      <c r="S365" s="429">
        <f>S355</f>
        <v>10987426.655994633</v>
      </c>
      <c r="U365" s="429">
        <f t="shared" si="51"/>
        <v>11657512.764754416</v>
      </c>
      <c r="W365" s="429">
        <f t="shared" si="51"/>
        <v>11000743.65832982</v>
      </c>
    </row>
    <row r="366" spans="2:23" hidden="1" x14ac:dyDescent="0.35">
      <c r="Q366" s="549">
        <f>SUM(Q363:Q365)</f>
        <v>27862997.493577041</v>
      </c>
      <c r="S366" s="549">
        <f>SUM(S363:S365)</f>
        <v>29582669.90065641</v>
      </c>
      <c r="U366" s="549">
        <f>SUM(U363:U365)</f>
        <v>31393603.888419792</v>
      </c>
      <c r="W366" s="549">
        <f>SUM(W363:W365)</f>
        <v>29613090.427551076</v>
      </c>
    </row>
    <row r="367" spans="2:23" hidden="1" x14ac:dyDescent="0.35">
      <c r="E367" s="548" t="s">
        <v>450</v>
      </c>
      <c r="Q367" s="549">
        <f>Q366+Q362</f>
        <v>1330133253.3477097</v>
      </c>
      <c r="S367" s="549" t="e">
        <f>S366+S362</f>
        <v>#REF!</v>
      </c>
      <c r="U367" s="549" t="e">
        <f>U366+U362</f>
        <v>#REF!</v>
      </c>
      <c r="W367" s="549" t="e">
        <f>W366+W362</f>
        <v>#REF!</v>
      </c>
    </row>
  </sheetData>
  <mergeCells count="48">
    <mergeCell ref="B335:E335"/>
    <mergeCell ref="B336:E336"/>
    <mergeCell ref="B345:E345"/>
    <mergeCell ref="B346:E346"/>
    <mergeCell ref="B183:E186"/>
    <mergeCell ref="B187:E189"/>
    <mergeCell ref="B216:E216"/>
    <mergeCell ref="B239:E239"/>
    <mergeCell ref="B259:E259"/>
    <mergeCell ref="B282:E282"/>
    <mergeCell ref="B137:E137"/>
    <mergeCell ref="B148:E148"/>
    <mergeCell ref="B156:E156"/>
    <mergeCell ref="B163:E163"/>
    <mergeCell ref="B164:E164"/>
    <mergeCell ref="B165:E165"/>
    <mergeCell ref="AA28:AA30"/>
    <mergeCell ref="AA33:AA35"/>
    <mergeCell ref="AA36:AA38"/>
    <mergeCell ref="B91:E91"/>
    <mergeCell ref="B125:E125"/>
    <mergeCell ref="B133:E133"/>
    <mergeCell ref="R3:R4"/>
    <mergeCell ref="S3:S4"/>
    <mergeCell ref="T3:T4"/>
    <mergeCell ref="U3:U4"/>
    <mergeCell ref="V3:V4"/>
    <mergeCell ref="W3:W4"/>
    <mergeCell ref="T2:U2"/>
    <mergeCell ref="V2:W2"/>
    <mergeCell ref="X2:X4"/>
    <mergeCell ref="AA2:AA4"/>
    <mergeCell ref="AB2:AB4"/>
    <mergeCell ref="F3:F4"/>
    <mergeCell ref="G3:G4"/>
    <mergeCell ref="J3:J4"/>
    <mergeCell ref="K3:L3"/>
    <mergeCell ref="M3:M4"/>
    <mergeCell ref="B2:E4"/>
    <mergeCell ref="F2:G2"/>
    <mergeCell ref="H2:I4"/>
    <mergeCell ref="J2:O2"/>
    <mergeCell ref="P2:Q2"/>
    <mergeCell ref="R2:S2"/>
    <mergeCell ref="N3:N4"/>
    <mergeCell ref="O3:O4"/>
    <mergeCell ref="P3:P4"/>
    <mergeCell ref="Q3:Q4"/>
  </mergeCells>
  <printOptions horizontalCentered="1"/>
  <pageMargins left="0.19685039370078741" right="0.19685039370078741" top="0.74803149606299213" bottom="0.74803149606299213" header="0.31496062992125984" footer="0.31496062992125984"/>
  <pageSetup paperSize="9" scale="90" orientation="landscape" r:id="rId1"/>
  <rowBreaks count="2" manualBreakCount="2">
    <brk id="72" max="16383" man="1"/>
    <brk id="323" min="1" max="7" man="1"/>
  </row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051B1-2770-4297-8DC1-E3DE4FB58298}">
  <sheetPr>
    <tabColor theme="9" tint="-0.249977111117893"/>
  </sheetPr>
  <dimension ref="A1:AB420"/>
  <sheetViews>
    <sheetView view="pageBreakPreview" zoomScale="70" zoomScaleNormal="70" zoomScaleSheetLayoutView="70" workbookViewId="0">
      <pane xSplit="6" ySplit="4" topLeftCell="G5" activePane="bottomRight" state="frozen"/>
      <selection activeCell="F14" sqref="F14"/>
      <selection pane="topRight" activeCell="F14" sqref="F14"/>
      <selection pane="bottomLeft" activeCell="F14" sqref="F14"/>
      <selection pane="bottomRight"/>
    </sheetView>
  </sheetViews>
  <sheetFormatPr defaultRowHeight="14.5" x14ac:dyDescent="0.35"/>
  <cols>
    <col min="1" max="1" width="2.1796875" customWidth="1"/>
    <col min="2" max="2" width="5.81640625" customWidth="1"/>
    <col min="3" max="3" width="8.81640625" customWidth="1"/>
    <col min="4" max="4" width="39.81640625" customWidth="1"/>
    <col min="5" max="5" width="6.7265625" hidden="1" customWidth="1"/>
    <col min="6" max="6" width="26.54296875" customWidth="1"/>
    <col min="7" max="7" width="7.54296875" style="550" bestFit="1" customWidth="1"/>
    <col min="8" max="8" width="7.54296875" customWidth="1"/>
    <col min="9" max="9" width="6" customWidth="1"/>
    <col min="10" max="10" width="6" style="550" customWidth="1"/>
    <col min="11" max="11" width="8.36328125" style="550" customWidth="1"/>
    <col min="12" max="12" width="11" style="550" customWidth="1"/>
    <col min="13" max="13" width="10.1796875" style="194" customWidth="1"/>
    <col min="14" max="14" width="7.26953125" style="195" bestFit="1" customWidth="1"/>
    <col min="15" max="15" width="11.81640625" customWidth="1"/>
    <col min="16" max="16" width="15.26953125" hidden="1" customWidth="1"/>
    <col min="17" max="17" width="21.81640625" hidden="1" customWidth="1"/>
    <col min="18" max="18" width="13.36328125" customWidth="1"/>
    <col min="19" max="19" width="18.54296875" customWidth="1"/>
    <col min="20" max="20" width="13.81640625" hidden="1" customWidth="1"/>
    <col min="21" max="21" width="18.1796875" hidden="1" customWidth="1"/>
    <col min="22" max="22" width="13.81640625" hidden="1" customWidth="1"/>
    <col min="23" max="23" width="20" hidden="1" customWidth="1"/>
    <col min="24" max="24" width="30.36328125" hidden="1" customWidth="1"/>
    <col min="25" max="25" width="19.26953125" customWidth="1"/>
    <col min="26" max="26" width="10.81640625" bestFit="1" customWidth="1"/>
  </cols>
  <sheetData>
    <row r="1" spans="2:26" x14ac:dyDescent="0.35">
      <c r="C1" s="190" t="s">
        <v>157</v>
      </c>
      <c r="D1" s="191">
        <v>45.36</v>
      </c>
    </row>
    <row r="2" spans="2:26" ht="15" customHeight="1" x14ac:dyDescent="0.35">
      <c r="B2" s="201" t="s">
        <v>7</v>
      </c>
      <c r="C2" s="551"/>
      <c r="D2" s="551"/>
      <c r="E2" s="202"/>
      <c r="F2" s="199" t="s">
        <v>158</v>
      </c>
      <c r="G2" s="200"/>
      <c r="H2" s="201" t="s">
        <v>159</v>
      </c>
      <c r="I2" s="202"/>
      <c r="J2" s="199" t="s">
        <v>53</v>
      </c>
      <c r="K2" s="552"/>
      <c r="L2" s="552"/>
      <c r="M2" s="552"/>
      <c r="N2" s="552"/>
      <c r="O2" s="200"/>
      <c r="P2" s="206">
        <v>2025</v>
      </c>
      <c r="Q2" s="207"/>
      <c r="R2" s="206">
        <v>2027</v>
      </c>
      <c r="S2" s="207"/>
      <c r="T2" s="208">
        <v>2027</v>
      </c>
      <c r="U2" s="209"/>
      <c r="V2" s="212" t="s">
        <v>161</v>
      </c>
      <c r="W2" s="213"/>
      <c r="X2" s="553"/>
      <c r="Y2" s="215" t="s">
        <v>59</v>
      </c>
      <c r="Z2" s="554" t="s">
        <v>60</v>
      </c>
    </row>
    <row r="3" spans="2:26" s="550" customFormat="1" x14ac:dyDescent="0.35">
      <c r="B3" s="221"/>
      <c r="C3" s="555"/>
      <c r="D3" s="555"/>
      <c r="E3" s="222"/>
      <c r="F3" s="220" t="s">
        <v>165</v>
      </c>
      <c r="G3" s="220" t="s">
        <v>166</v>
      </c>
      <c r="H3" s="221"/>
      <c r="I3" s="222"/>
      <c r="J3" s="220" t="s">
        <v>166</v>
      </c>
      <c r="K3" s="199" t="s">
        <v>167</v>
      </c>
      <c r="L3" s="200"/>
      <c r="M3" s="223" t="s">
        <v>168</v>
      </c>
      <c r="N3" s="556" t="s">
        <v>169</v>
      </c>
      <c r="O3" s="557" t="s">
        <v>170</v>
      </c>
      <c r="P3" s="225" t="s">
        <v>171</v>
      </c>
      <c r="Q3" s="225" t="s">
        <v>172</v>
      </c>
      <c r="R3" s="225" t="s">
        <v>171</v>
      </c>
      <c r="S3" s="225" t="s">
        <v>172</v>
      </c>
      <c r="T3" s="227" t="s">
        <v>171</v>
      </c>
      <c r="U3" s="227" t="s">
        <v>172</v>
      </c>
      <c r="V3" s="229" t="s">
        <v>171</v>
      </c>
      <c r="W3" s="229" t="s">
        <v>172</v>
      </c>
      <c r="X3" s="214" t="s">
        <v>162</v>
      </c>
      <c r="Y3" s="231"/>
      <c r="Z3" s="558"/>
    </row>
    <row r="4" spans="2:26" s="550" customFormat="1" ht="29" x14ac:dyDescent="0.35">
      <c r="B4" s="221"/>
      <c r="C4" s="555"/>
      <c r="D4" s="555"/>
      <c r="E4" s="222"/>
      <c r="F4" s="235"/>
      <c r="G4" s="235"/>
      <c r="H4" s="236"/>
      <c r="I4" s="237"/>
      <c r="J4" s="235"/>
      <c r="K4" s="238" t="s">
        <v>173</v>
      </c>
      <c r="L4" s="239" t="s">
        <v>174</v>
      </c>
      <c r="M4" s="240"/>
      <c r="N4" s="559"/>
      <c r="O4" s="560"/>
      <c r="P4" s="242"/>
      <c r="Q4" s="242"/>
      <c r="R4" s="242"/>
      <c r="S4" s="242"/>
      <c r="T4" s="244"/>
      <c r="U4" s="244"/>
      <c r="V4" s="246"/>
      <c r="W4" s="246"/>
      <c r="X4" s="247"/>
      <c r="Y4" s="248"/>
      <c r="Z4" s="558"/>
    </row>
    <row r="5" spans="2:26" s="576" customFormat="1" x14ac:dyDescent="0.35">
      <c r="B5" s="561" t="s">
        <v>308</v>
      </c>
      <c r="C5" s="562"/>
      <c r="D5" s="563"/>
      <c r="E5" s="564"/>
      <c r="F5" s="565"/>
      <c r="G5" s="566"/>
      <c r="H5" s="566"/>
      <c r="I5" s="567"/>
      <c r="J5" s="566"/>
      <c r="K5" s="568"/>
      <c r="L5" s="569"/>
      <c r="M5" s="570"/>
      <c r="N5" s="571"/>
      <c r="O5" s="572"/>
      <c r="P5" s="573"/>
      <c r="Q5" s="573"/>
      <c r="R5" s="573"/>
      <c r="S5" s="573"/>
      <c r="T5" s="267"/>
      <c r="U5" s="267"/>
      <c r="V5" s="267"/>
      <c r="W5" s="267"/>
      <c r="X5" s="574"/>
      <c r="Y5" s="575"/>
      <c r="Z5" s="575"/>
    </row>
    <row r="6" spans="2:26" x14ac:dyDescent="0.35">
      <c r="B6" s="504"/>
      <c r="C6" s="172" t="s">
        <v>111</v>
      </c>
      <c r="D6" s="172"/>
      <c r="E6" s="506"/>
      <c r="F6" s="151" t="s">
        <v>177</v>
      </c>
      <c r="G6" s="316" t="s">
        <v>178</v>
      </c>
      <c r="H6" s="317"/>
      <c r="I6" s="318"/>
      <c r="J6" s="316"/>
      <c r="K6" s="502"/>
      <c r="L6" s="577"/>
      <c r="M6" s="258">
        <v>6.5</v>
      </c>
      <c r="N6" s="259">
        <v>1</v>
      </c>
      <c r="O6" s="317"/>
      <c r="P6" s="496"/>
      <c r="Q6" s="496"/>
      <c r="R6" s="496"/>
      <c r="S6" s="521"/>
      <c r="T6" s="517"/>
      <c r="U6" s="517"/>
      <c r="V6" s="517"/>
      <c r="W6" s="517"/>
      <c r="X6" s="578"/>
      <c r="Y6" s="151"/>
      <c r="Z6" s="151"/>
    </row>
    <row r="7" spans="2:26" x14ac:dyDescent="0.35">
      <c r="B7" s="518"/>
      <c r="E7" s="519"/>
      <c r="F7" s="151" t="s">
        <v>310</v>
      </c>
      <c r="G7" s="316" t="s">
        <v>181</v>
      </c>
      <c r="H7" s="317"/>
      <c r="I7" s="318"/>
      <c r="J7" s="316"/>
      <c r="K7" s="502"/>
      <c r="L7" s="577"/>
      <c r="M7" s="379">
        <v>3</v>
      </c>
      <c r="N7" s="259">
        <v>1</v>
      </c>
      <c r="O7" s="317"/>
      <c r="P7" s="496"/>
      <c r="Q7" s="496"/>
      <c r="R7" s="496"/>
      <c r="S7" s="521"/>
      <c r="T7" s="517"/>
      <c r="U7" s="517"/>
      <c r="V7" s="517"/>
      <c r="W7" s="517"/>
      <c r="X7" s="578"/>
      <c r="Y7" s="151"/>
      <c r="Z7" s="151"/>
    </row>
    <row r="8" spans="2:26" x14ac:dyDescent="0.35">
      <c r="B8" s="518"/>
      <c r="E8" s="519"/>
      <c r="F8" s="151" t="s">
        <v>311</v>
      </c>
      <c r="G8" s="316" t="s">
        <v>181</v>
      </c>
      <c r="H8" s="317"/>
      <c r="I8" s="318"/>
      <c r="J8" s="316"/>
      <c r="K8" s="502"/>
      <c r="L8" s="577"/>
      <c r="M8" s="379">
        <v>6</v>
      </c>
      <c r="N8" s="259">
        <v>1</v>
      </c>
      <c r="O8" s="317"/>
      <c r="P8" s="496"/>
      <c r="Q8" s="496"/>
      <c r="R8" s="496"/>
      <c r="S8" s="521"/>
      <c r="T8" s="517"/>
      <c r="U8" s="517"/>
      <c r="V8" s="517"/>
      <c r="W8" s="517"/>
      <c r="X8" s="578"/>
      <c r="Y8" s="151"/>
      <c r="Z8" s="151"/>
    </row>
    <row r="9" spans="2:26" x14ac:dyDescent="0.35">
      <c r="B9" s="518"/>
      <c r="E9" s="519"/>
      <c r="F9" s="151" t="s">
        <v>318</v>
      </c>
      <c r="G9" s="316" t="s">
        <v>181</v>
      </c>
      <c r="H9" s="317"/>
      <c r="I9" s="318"/>
      <c r="J9" s="316"/>
      <c r="K9" s="502"/>
      <c r="L9" s="577"/>
      <c r="M9" s="379">
        <v>0.25</v>
      </c>
      <c r="N9" s="259">
        <v>1</v>
      </c>
      <c r="O9" s="317"/>
      <c r="P9" s="496"/>
      <c r="Q9" s="496"/>
      <c r="R9" s="496"/>
      <c r="S9" s="521"/>
      <c r="T9" s="517"/>
      <c r="U9" s="517"/>
      <c r="V9" s="517"/>
      <c r="W9" s="517"/>
      <c r="X9" s="578"/>
      <c r="Y9" s="151"/>
      <c r="Z9" s="151"/>
    </row>
    <row r="10" spans="2:26" x14ac:dyDescent="0.35">
      <c r="B10" s="518"/>
      <c r="E10" s="519"/>
      <c r="F10" s="151" t="s">
        <v>451</v>
      </c>
      <c r="G10" s="316" t="s">
        <v>181</v>
      </c>
      <c r="H10" s="317"/>
      <c r="I10" s="318"/>
      <c r="J10" s="316"/>
      <c r="K10" s="502"/>
      <c r="L10" s="577"/>
      <c r="M10" s="379">
        <v>0.01</v>
      </c>
      <c r="N10" s="259">
        <v>1</v>
      </c>
      <c r="O10" s="317"/>
      <c r="P10" s="496"/>
      <c r="Q10" s="496"/>
      <c r="R10" s="496"/>
      <c r="S10" s="521"/>
      <c r="T10" s="517"/>
      <c r="U10" s="517"/>
      <c r="V10" s="517"/>
      <c r="W10" s="517"/>
      <c r="X10" s="578"/>
      <c r="Y10" s="151"/>
      <c r="Z10" s="151"/>
    </row>
    <row r="11" spans="2:26" x14ac:dyDescent="0.35">
      <c r="B11" s="518"/>
      <c r="E11" s="519"/>
      <c r="F11" s="151" t="s">
        <v>316</v>
      </c>
      <c r="G11" s="316" t="s">
        <v>181</v>
      </c>
      <c r="H11" s="317"/>
      <c r="I11" s="318"/>
      <c r="J11" s="316"/>
      <c r="K11" s="502"/>
      <c r="L11" s="577"/>
      <c r="M11" s="379">
        <v>2</v>
      </c>
      <c r="N11" s="259">
        <v>1</v>
      </c>
      <c r="O11" s="317"/>
      <c r="P11" s="496"/>
      <c r="Q11" s="496"/>
      <c r="R11" s="496"/>
      <c r="S11" s="521"/>
      <c r="T11" s="517"/>
      <c r="U11" s="517"/>
      <c r="V11" s="517"/>
      <c r="W11" s="517"/>
      <c r="X11" s="578"/>
      <c r="Y11" s="151"/>
      <c r="Z11" s="151"/>
    </row>
    <row r="12" spans="2:26" x14ac:dyDescent="0.35">
      <c r="B12" s="579"/>
      <c r="C12" s="580"/>
      <c r="D12" s="580"/>
      <c r="E12" s="581"/>
      <c r="F12" s="151" t="s">
        <v>232</v>
      </c>
      <c r="G12" s="316" t="s">
        <v>183</v>
      </c>
      <c r="H12" s="317">
        <v>1</v>
      </c>
      <c r="I12" s="318" t="s">
        <v>228</v>
      </c>
      <c r="J12" s="316"/>
      <c r="K12" s="502"/>
      <c r="L12" s="577"/>
      <c r="M12" s="379">
        <f>((M$6*N$6)/240*($H12/N12))</f>
        <v>2.7083333333333334E-2</v>
      </c>
      <c r="N12" s="259">
        <v>1</v>
      </c>
      <c r="O12" s="317"/>
      <c r="P12" s="496"/>
      <c r="Q12" s="496"/>
      <c r="R12" s="496"/>
      <c r="S12" s="521"/>
      <c r="T12" s="517"/>
      <c r="U12" s="517"/>
      <c r="V12" s="517"/>
      <c r="W12" s="517"/>
      <c r="X12" s="578"/>
      <c r="Y12" s="151"/>
      <c r="Z12" s="151"/>
    </row>
    <row r="13" spans="2:26" x14ac:dyDescent="0.35">
      <c r="B13" s="317"/>
      <c r="C13" s="318" t="s">
        <v>128</v>
      </c>
      <c r="D13" s="318"/>
      <c r="E13" s="582"/>
      <c r="F13" s="151" t="s">
        <v>177</v>
      </c>
      <c r="G13" s="316" t="s">
        <v>178</v>
      </c>
      <c r="H13" s="317"/>
      <c r="I13" s="318"/>
      <c r="J13" s="316"/>
      <c r="K13" s="502"/>
      <c r="L13" s="577"/>
      <c r="M13" s="379">
        <v>4</v>
      </c>
      <c r="N13" s="259">
        <v>3</v>
      </c>
      <c r="O13" s="317"/>
      <c r="P13" s="496"/>
      <c r="Q13" s="496"/>
      <c r="R13" s="496"/>
      <c r="S13" s="521"/>
      <c r="T13" s="517"/>
      <c r="U13" s="517"/>
      <c r="V13" s="517"/>
      <c r="W13" s="517"/>
      <c r="X13" s="578"/>
      <c r="Y13" s="151"/>
      <c r="Z13" s="151"/>
    </row>
    <row r="14" spans="2:26" x14ac:dyDescent="0.35">
      <c r="B14" s="504"/>
      <c r="C14" s="172" t="s">
        <v>452</v>
      </c>
      <c r="D14" s="172"/>
      <c r="E14" s="506"/>
      <c r="F14" s="151" t="s">
        <v>177</v>
      </c>
      <c r="G14" s="316" t="s">
        <v>178</v>
      </c>
      <c r="H14" s="317"/>
      <c r="I14" s="318"/>
      <c r="J14" s="316"/>
      <c r="K14" s="502"/>
      <c r="L14" s="577"/>
      <c r="M14" s="379">
        <v>2</v>
      </c>
      <c r="N14" s="259">
        <v>1</v>
      </c>
      <c r="O14" s="317"/>
      <c r="P14" s="496"/>
      <c r="Q14" s="496"/>
      <c r="R14" s="496"/>
      <c r="S14" s="521"/>
      <c r="T14" s="517"/>
      <c r="U14" s="517"/>
      <c r="V14" s="517"/>
      <c r="W14" s="517"/>
      <c r="X14" s="583"/>
      <c r="Y14" s="151"/>
      <c r="Z14" s="151"/>
    </row>
    <row r="15" spans="2:26" x14ac:dyDescent="0.35">
      <c r="B15" s="518"/>
      <c r="E15" s="519"/>
      <c r="F15" s="151" t="s">
        <v>221</v>
      </c>
      <c r="G15" s="316" t="s">
        <v>222</v>
      </c>
      <c r="H15" s="317"/>
      <c r="I15" s="318"/>
      <c r="J15" s="316"/>
      <c r="K15" s="502"/>
      <c r="L15" s="577"/>
      <c r="M15" s="379">
        <v>1.2000000000000002</v>
      </c>
      <c r="N15" s="259">
        <v>1</v>
      </c>
      <c r="O15" s="317"/>
      <c r="P15" s="496"/>
      <c r="Q15" s="496"/>
      <c r="R15" s="496"/>
      <c r="S15" s="521"/>
      <c r="T15" s="517"/>
      <c r="U15" s="517"/>
      <c r="V15" s="517"/>
      <c r="W15" s="517"/>
      <c r="X15" s="578"/>
      <c r="Y15" s="151"/>
      <c r="Z15" s="151"/>
    </row>
    <row r="16" spans="2:26" x14ac:dyDescent="0.35">
      <c r="B16" s="518"/>
      <c r="E16" s="519"/>
      <c r="F16" s="151" t="s">
        <v>223</v>
      </c>
      <c r="G16" s="316" t="s">
        <v>181</v>
      </c>
      <c r="H16" s="317"/>
      <c r="I16" s="318"/>
      <c r="J16" s="316"/>
      <c r="K16" s="502"/>
      <c r="L16" s="577"/>
      <c r="M16" s="379">
        <f>48/1000</f>
        <v>4.8000000000000001E-2</v>
      </c>
      <c r="N16" s="259">
        <v>1</v>
      </c>
      <c r="O16" s="317"/>
      <c r="P16" s="496"/>
      <c r="Q16" s="496"/>
      <c r="R16" s="496"/>
      <c r="S16" s="521"/>
      <c r="T16" s="517"/>
      <c r="U16" s="517"/>
      <c r="V16" s="517"/>
      <c r="W16" s="517"/>
      <c r="X16" s="578"/>
      <c r="Y16" s="151"/>
      <c r="Z16" s="151"/>
    </row>
    <row r="17" spans="2:26" x14ac:dyDescent="0.35">
      <c r="B17" s="518"/>
      <c r="E17" s="519"/>
      <c r="F17" s="151" t="s">
        <v>225</v>
      </c>
      <c r="G17" s="316" t="s">
        <v>222</v>
      </c>
      <c r="H17" s="317"/>
      <c r="I17" s="318"/>
      <c r="J17" s="316"/>
      <c r="K17" s="502"/>
      <c r="L17" s="577"/>
      <c r="M17" s="379">
        <v>0.28799999999999998</v>
      </c>
      <c r="N17" s="259">
        <v>1</v>
      </c>
      <c r="O17" s="317"/>
      <c r="P17" s="496"/>
      <c r="Q17" s="496"/>
      <c r="R17" s="496"/>
      <c r="S17" s="521"/>
      <c r="T17" s="517"/>
      <c r="U17" s="517"/>
      <c r="V17" s="517"/>
      <c r="W17" s="517"/>
      <c r="X17" s="578"/>
      <c r="Y17" s="151"/>
      <c r="Z17" s="151"/>
    </row>
    <row r="18" spans="2:26" x14ac:dyDescent="0.35">
      <c r="B18" s="518"/>
      <c r="E18" s="519"/>
      <c r="F18" s="151" t="s">
        <v>389</v>
      </c>
      <c r="G18" s="316" t="s">
        <v>183</v>
      </c>
      <c r="H18" s="317"/>
      <c r="I18" s="318"/>
      <c r="J18" s="316"/>
      <c r="K18" s="502"/>
      <c r="L18" s="577"/>
      <c r="M18" s="379">
        <v>7.0000000000000001E-3</v>
      </c>
      <c r="N18" s="259">
        <v>1</v>
      </c>
      <c r="O18" s="317"/>
      <c r="P18" s="496"/>
      <c r="Q18" s="496"/>
      <c r="R18" s="496"/>
      <c r="S18" s="521"/>
      <c r="T18" s="517"/>
      <c r="U18" s="517"/>
      <c r="V18" s="517"/>
      <c r="W18" s="517"/>
      <c r="X18" s="578"/>
      <c r="Y18" s="151"/>
      <c r="Z18" s="151"/>
    </row>
    <row r="19" spans="2:26" x14ac:dyDescent="0.35">
      <c r="B19" s="518"/>
      <c r="E19" s="519"/>
      <c r="F19" s="151" t="s">
        <v>226</v>
      </c>
      <c r="G19" s="316" t="s">
        <v>178</v>
      </c>
      <c r="H19" s="317"/>
      <c r="I19" s="318"/>
      <c r="J19" s="316"/>
      <c r="K19" s="502"/>
      <c r="L19" s="577"/>
      <c r="M19" s="379">
        <v>2</v>
      </c>
      <c r="N19" s="259">
        <v>1</v>
      </c>
      <c r="O19" s="317"/>
      <c r="P19" s="496"/>
      <c r="Q19" s="496"/>
      <c r="R19" s="496"/>
      <c r="S19" s="521"/>
      <c r="T19" s="517"/>
      <c r="U19" s="517"/>
      <c r="V19" s="517"/>
      <c r="W19" s="517"/>
      <c r="X19" s="578"/>
      <c r="Y19" s="151"/>
      <c r="Z19" s="151"/>
    </row>
    <row r="20" spans="2:26" x14ac:dyDescent="0.35">
      <c r="B20" s="518"/>
      <c r="E20" s="519"/>
      <c r="F20" s="151" t="s">
        <v>227</v>
      </c>
      <c r="G20" s="316" t="s">
        <v>183</v>
      </c>
      <c r="H20" s="317">
        <v>4</v>
      </c>
      <c r="I20" s="318" t="s">
        <v>228</v>
      </c>
      <c r="J20" s="316"/>
      <c r="K20" s="502"/>
      <c r="L20" s="577"/>
      <c r="M20" s="379">
        <f>((M$14*N$14)/240*($H20/N20))</f>
        <v>3.3333333333333333E-2</v>
      </c>
      <c r="N20" s="259">
        <v>1</v>
      </c>
      <c r="O20" s="317"/>
      <c r="P20" s="496"/>
      <c r="Q20" s="496"/>
      <c r="R20" s="496"/>
      <c r="S20" s="521"/>
      <c r="T20" s="517"/>
      <c r="U20" s="517"/>
      <c r="V20" s="517"/>
      <c r="W20" s="517"/>
      <c r="X20" s="578"/>
      <c r="Y20" s="151"/>
      <c r="Z20" s="151"/>
    </row>
    <row r="21" spans="2:26" x14ac:dyDescent="0.35">
      <c r="B21" s="518"/>
      <c r="E21" s="519"/>
      <c r="F21" s="151" t="s">
        <v>229</v>
      </c>
      <c r="G21" s="316" t="s">
        <v>183</v>
      </c>
      <c r="H21" s="317">
        <v>12</v>
      </c>
      <c r="I21" s="318" t="s">
        <v>228</v>
      </c>
      <c r="J21" s="316"/>
      <c r="K21" s="502"/>
      <c r="L21" s="577"/>
      <c r="M21" s="379">
        <f>((M$14*N$14)/240*($H21/N21))</f>
        <v>0.1</v>
      </c>
      <c r="N21" s="259">
        <v>1</v>
      </c>
      <c r="O21" s="317"/>
      <c r="P21" s="496"/>
      <c r="Q21" s="496"/>
      <c r="R21" s="496"/>
      <c r="S21" s="521"/>
      <c r="T21" s="517"/>
      <c r="U21" s="517"/>
      <c r="V21" s="517"/>
      <c r="W21" s="517"/>
      <c r="X21" s="578"/>
      <c r="Y21" s="151"/>
      <c r="Z21" s="151"/>
    </row>
    <row r="22" spans="2:26" x14ac:dyDescent="0.35">
      <c r="B22" s="518"/>
      <c r="E22" s="519"/>
      <c r="F22" s="151" t="s">
        <v>230</v>
      </c>
      <c r="G22" s="316" t="s">
        <v>183</v>
      </c>
      <c r="H22" s="317">
        <v>1</v>
      </c>
      <c r="I22" s="318" t="s">
        <v>228</v>
      </c>
      <c r="J22" s="316"/>
      <c r="K22" s="502"/>
      <c r="L22" s="577"/>
      <c r="M22" s="379">
        <f>((M$14*N$14)/240*($H22/N22))</f>
        <v>8.3333333333333332E-3</v>
      </c>
      <c r="N22" s="259">
        <v>1</v>
      </c>
      <c r="O22" s="317"/>
      <c r="P22" s="496"/>
      <c r="Q22" s="496"/>
      <c r="R22" s="496"/>
      <c r="S22" s="521"/>
      <c r="T22" s="517"/>
      <c r="U22" s="517"/>
      <c r="V22" s="517"/>
      <c r="W22" s="517"/>
      <c r="X22" s="578"/>
      <c r="Y22" s="151"/>
      <c r="Z22" s="151"/>
    </row>
    <row r="23" spans="2:26" x14ac:dyDescent="0.35">
      <c r="B23" s="518"/>
      <c r="E23" s="519"/>
      <c r="F23" s="151" t="s">
        <v>231</v>
      </c>
      <c r="G23" s="316" t="s">
        <v>183</v>
      </c>
      <c r="H23" s="317">
        <v>2</v>
      </c>
      <c r="I23" s="318" t="s">
        <v>228</v>
      </c>
      <c r="J23" s="316"/>
      <c r="K23" s="502"/>
      <c r="L23" s="577"/>
      <c r="M23" s="379">
        <f>((M$14*N$14)/240*($H23/N23))</f>
        <v>1.6666666666666666E-2</v>
      </c>
      <c r="N23" s="259">
        <v>1</v>
      </c>
      <c r="O23" s="317"/>
      <c r="P23" s="496"/>
      <c r="Q23" s="496"/>
      <c r="R23" s="496"/>
      <c r="S23" s="521"/>
      <c r="T23" s="517"/>
      <c r="U23" s="517"/>
      <c r="V23" s="517"/>
      <c r="W23" s="517"/>
      <c r="X23" s="578"/>
      <c r="Y23" s="151"/>
      <c r="Z23" s="151"/>
    </row>
    <row r="24" spans="2:26" x14ac:dyDescent="0.35">
      <c r="B24" s="579"/>
      <c r="C24" s="580"/>
      <c r="D24" s="580"/>
      <c r="E24" s="581"/>
      <c r="F24" s="151" t="s">
        <v>232</v>
      </c>
      <c r="G24" s="316" t="s">
        <v>183</v>
      </c>
      <c r="H24" s="317">
        <v>1</v>
      </c>
      <c r="I24" s="318" t="s">
        <v>228</v>
      </c>
      <c r="J24" s="316"/>
      <c r="K24" s="502"/>
      <c r="L24" s="577"/>
      <c r="M24" s="379">
        <f>((M$14*N$14)/240*($H24/N24))</f>
        <v>8.3333333333333332E-3</v>
      </c>
      <c r="N24" s="259">
        <v>1</v>
      </c>
      <c r="O24" s="317"/>
      <c r="P24" s="496"/>
      <c r="Q24" s="496"/>
      <c r="R24" s="496"/>
      <c r="S24" s="521"/>
      <c r="T24" s="517"/>
      <c r="U24" s="517"/>
      <c r="V24" s="517"/>
      <c r="W24" s="517"/>
      <c r="X24" s="578"/>
      <c r="Y24" s="151"/>
      <c r="Z24" s="151"/>
    </row>
    <row r="25" spans="2:26" x14ac:dyDescent="0.35">
      <c r="B25" s="504"/>
      <c r="C25" s="172" t="s">
        <v>78</v>
      </c>
      <c r="D25" s="172"/>
      <c r="E25" s="506"/>
      <c r="F25" s="151" t="s">
        <v>177</v>
      </c>
      <c r="G25" s="316" t="s">
        <v>178</v>
      </c>
      <c r="H25" s="317"/>
      <c r="I25" s="318"/>
      <c r="J25" s="316"/>
      <c r="K25" s="502"/>
      <c r="L25" s="577"/>
      <c r="M25" s="379">
        <v>1</v>
      </c>
      <c r="N25" s="259">
        <v>1</v>
      </c>
      <c r="O25" s="317"/>
      <c r="P25" s="496"/>
      <c r="Q25" s="496"/>
      <c r="R25" s="496"/>
      <c r="S25" s="521"/>
      <c r="T25" s="517"/>
      <c r="U25" s="517"/>
      <c r="V25" s="517"/>
      <c r="W25" s="517"/>
      <c r="X25" s="578"/>
      <c r="Y25" s="151"/>
      <c r="Z25" s="151"/>
    </row>
    <row r="26" spans="2:26" x14ac:dyDescent="0.35">
      <c r="B26" s="518"/>
      <c r="E26" s="519"/>
      <c r="F26" s="151" t="s">
        <v>221</v>
      </c>
      <c r="G26" s="316" t="s">
        <v>222</v>
      </c>
      <c r="H26" s="317"/>
      <c r="I26" s="318"/>
      <c r="J26" s="316"/>
      <c r="K26" s="502"/>
      <c r="L26" s="577"/>
      <c r="M26" s="379">
        <v>1.08</v>
      </c>
      <c r="N26" s="259">
        <v>1</v>
      </c>
      <c r="O26" s="317"/>
      <c r="P26" s="496"/>
      <c r="Q26" s="496"/>
      <c r="R26" s="496"/>
      <c r="S26" s="521"/>
      <c r="T26" s="517"/>
      <c r="U26" s="517"/>
      <c r="V26" s="517"/>
      <c r="W26" s="517"/>
      <c r="X26" s="578"/>
      <c r="Y26" s="151"/>
      <c r="Z26" s="151"/>
    </row>
    <row r="27" spans="2:26" x14ac:dyDescent="0.35">
      <c r="B27" s="518"/>
      <c r="E27" s="519"/>
      <c r="F27" s="151" t="s">
        <v>225</v>
      </c>
      <c r="G27" s="316" t="s">
        <v>222</v>
      </c>
      <c r="H27" s="317"/>
      <c r="I27" s="318"/>
      <c r="J27" s="316"/>
      <c r="K27" s="502"/>
      <c r="L27" s="577"/>
      <c r="M27" s="379">
        <v>0.18</v>
      </c>
      <c r="N27" s="259">
        <v>1</v>
      </c>
      <c r="O27" s="317"/>
      <c r="P27" s="496"/>
      <c r="Q27" s="496"/>
      <c r="R27" s="496"/>
      <c r="S27" s="521"/>
      <c r="T27" s="517"/>
      <c r="U27" s="517"/>
      <c r="V27" s="517"/>
      <c r="W27" s="517"/>
      <c r="X27" s="578"/>
      <c r="Y27" s="151"/>
      <c r="Z27" s="151"/>
    </row>
    <row r="28" spans="2:26" x14ac:dyDescent="0.35">
      <c r="B28" s="518"/>
      <c r="E28" s="519"/>
      <c r="F28" s="151" t="s">
        <v>389</v>
      </c>
      <c r="G28" s="316" t="s">
        <v>183</v>
      </c>
      <c r="H28" s="317"/>
      <c r="I28" s="318"/>
      <c r="J28" s="316"/>
      <c r="K28" s="502"/>
      <c r="L28" s="577"/>
      <c r="M28" s="379">
        <v>4.0000000000000001E-3</v>
      </c>
      <c r="N28" s="259">
        <v>1</v>
      </c>
      <c r="O28" s="317"/>
      <c r="P28" s="496"/>
      <c r="Q28" s="496"/>
      <c r="R28" s="496"/>
      <c r="S28" s="521"/>
      <c r="T28" s="517"/>
      <c r="U28" s="517"/>
      <c r="V28" s="517"/>
      <c r="W28" s="517"/>
      <c r="X28" s="578"/>
      <c r="Y28" s="151"/>
      <c r="Z28" s="151"/>
    </row>
    <row r="29" spans="2:26" x14ac:dyDescent="0.35">
      <c r="B29" s="518"/>
      <c r="E29" s="519"/>
      <c r="F29" s="151" t="s">
        <v>226</v>
      </c>
      <c r="G29" s="316" t="s">
        <v>178</v>
      </c>
      <c r="H29" s="317"/>
      <c r="I29" s="318"/>
      <c r="J29" s="316"/>
      <c r="K29" s="502"/>
      <c r="L29" s="577"/>
      <c r="M29" s="379">
        <v>1</v>
      </c>
      <c r="N29" s="259">
        <v>1</v>
      </c>
      <c r="O29" s="317"/>
      <c r="P29" s="496"/>
      <c r="Q29" s="496"/>
      <c r="R29" s="496"/>
      <c r="S29" s="521"/>
      <c r="T29" s="517"/>
      <c r="U29" s="517"/>
      <c r="V29" s="517"/>
      <c r="W29" s="517"/>
      <c r="X29" s="578"/>
      <c r="Y29" s="151"/>
      <c r="Z29" s="151"/>
    </row>
    <row r="30" spans="2:26" x14ac:dyDescent="0.35">
      <c r="B30" s="518"/>
      <c r="E30" s="519"/>
      <c r="F30" s="151" t="s">
        <v>227</v>
      </c>
      <c r="G30" s="316" t="s">
        <v>183</v>
      </c>
      <c r="H30" s="317">
        <v>4</v>
      </c>
      <c r="I30" s="318" t="s">
        <v>228</v>
      </c>
      <c r="J30" s="316"/>
      <c r="K30" s="502"/>
      <c r="L30" s="577"/>
      <c r="M30" s="379">
        <f>((M$25*N$25)/240*($H30/N30))</f>
        <v>1.6666666666666666E-2</v>
      </c>
      <c r="N30" s="259">
        <v>1</v>
      </c>
      <c r="O30" s="317"/>
      <c r="P30" s="496"/>
      <c r="Q30" s="496"/>
      <c r="R30" s="496"/>
      <c r="S30" s="521"/>
      <c r="T30" s="517"/>
      <c r="U30" s="517"/>
      <c r="V30" s="517"/>
      <c r="W30" s="517"/>
      <c r="X30" s="578"/>
      <c r="Y30" s="151"/>
      <c r="Z30" s="151"/>
    </row>
    <row r="31" spans="2:26" x14ac:dyDescent="0.35">
      <c r="B31" s="518"/>
      <c r="E31" s="519"/>
      <c r="F31" s="151" t="s">
        <v>453</v>
      </c>
      <c r="G31" s="316" t="s">
        <v>183</v>
      </c>
      <c r="H31" s="317">
        <v>12</v>
      </c>
      <c r="I31" s="318" t="s">
        <v>228</v>
      </c>
      <c r="J31" s="316"/>
      <c r="K31" s="502"/>
      <c r="L31" s="577"/>
      <c r="M31" s="379">
        <f>((M$25*N$25)/240*($H31/N31))</f>
        <v>0.05</v>
      </c>
      <c r="N31" s="259">
        <v>1</v>
      </c>
      <c r="O31" s="317"/>
      <c r="P31" s="496"/>
      <c r="Q31" s="496"/>
      <c r="R31" s="496"/>
      <c r="S31" s="521"/>
      <c r="T31" s="517"/>
      <c r="U31" s="517"/>
      <c r="V31" s="517"/>
      <c r="W31" s="517"/>
      <c r="X31" s="578"/>
      <c r="Y31" s="151"/>
      <c r="Z31" s="151"/>
    </row>
    <row r="32" spans="2:26" x14ac:dyDescent="0.35">
      <c r="B32" s="518"/>
      <c r="E32" s="519"/>
      <c r="F32" s="151" t="s">
        <v>230</v>
      </c>
      <c r="G32" s="316" t="s">
        <v>183</v>
      </c>
      <c r="H32" s="317">
        <v>1</v>
      </c>
      <c r="I32" s="318" t="s">
        <v>228</v>
      </c>
      <c r="J32" s="316"/>
      <c r="K32" s="502"/>
      <c r="L32" s="577"/>
      <c r="M32" s="379">
        <f>((M$25*N$25)/240*($H32/N32))</f>
        <v>4.1666666666666666E-3</v>
      </c>
      <c r="N32" s="259">
        <v>1</v>
      </c>
      <c r="O32" s="317"/>
      <c r="P32" s="496"/>
      <c r="Q32" s="496"/>
      <c r="R32" s="496"/>
      <c r="S32" s="521"/>
      <c r="T32" s="517"/>
      <c r="U32" s="517"/>
      <c r="V32" s="517"/>
      <c r="W32" s="517"/>
      <c r="X32" s="578"/>
      <c r="Y32" s="151"/>
      <c r="Z32" s="151"/>
    </row>
    <row r="33" spans="2:26" x14ac:dyDescent="0.35">
      <c r="B33" s="518"/>
      <c r="E33" s="519"/>
      <c r="F33" s="151" t="s">
        <v>231</v>
      </c>
      <c r="G33" s="316" t="s">
        <v>183</v>
      </c>
      <c r="H33" s="317">
        <v>2</v>
      </c>
      <c r="I33" s="318" t="s">
        <v>228</v>
      </c>
      <c r="J33" s="316"/>
      <c r="K33" s="502"/>
      <c r="L33" s="577"/>
      <c r="M33" s="379">
        <f>((M$25*N$25)/240*($H33/N33))</f>
        <v>8.3333333333333332E-3</v>
      </c>
      <c r="N33" s="259">
        <v>1</v>
      </c>
      <c r="O33" s="317"/>
      <c r="P33" s="496"/>
      <c r="Q33" s="496"/>
      <c r="S33" s="521"/>
      <c r="T33" s="517"/>
      <c r="U33" s="517"/>
      <c r="V33" s="517"/>
      <c r="W33" s="517"/>
      <c r="X33" s="578"/>
      <c r="Y33" s="151"/>
      <c r="Z33" s="151"/>
    </row>
    <row r="34" spans="2:26" x14ac:dyDescent="0.35">
      <c r="B34" s="579"/>
      <c r="C34" s="580"/>
      <c r="D34" s="580"/>
      <c r="E34" s="581"/>
      <c r="F34" s="151" t="s">
        <v>232</v>
      </c>
      <c r="G34" s="316" t="s">
        <v>183</v>
      </c>
      <c r="H34" s="317">
        <v>1</v>
      </c>
      <c r="I34" s="318" t="s">
        <v>228</v>
      </c>
      <c r="J34" s="316"/>
      <c r="K34" s="502"/>
      <c r="L34" s="577"/>
      <c r="M34" s="379">
        <f>((M$25*N$25)/240*($H34/N34))</f>
        <v>4.1666666666666666E-3</v>
      </c>
      <c r="N34" s="259">
        <v>1</v>
      </c>
      <c r="O34" s="317"/>
      <c r="P34" s="496"/>
      <c r="Q34" s="496"/>
      <c r="R34" s="496"/>
      <c r="S34" s="521"/>
      <c r="T34" s="517"/>
      <c r="U34" s="517"/>
      <c r="V34" s="517"/>
      <c r="W34" s="517"/>
      <c r="X34" s="578"/>
      <c r="Y34" s="151"/>
      <c r="Z34" s="151"/>
    </row>
    <row r="35" spans="2:26" x14ac:dyDescent="0.35">
      <c r="B35" s="584" t="s">
        <v>454</v>
      </c>
      <c r="C35" s="585"/>
      <c r="D35" s="585"/>
      <c r="E35" s="586"/>
      <c r="F35" s="532"/>
      <c r="G35" s="587"/>
      <c r="H35" s="588"/>
      <c r="I35" s="589"/>
      <c r="J35" s="587"/>
      <c r="K35" s="590"/>
      <c r="L35" s="591"/>
      <c r="M35" s="543"/>
      <c r="N35" s="544"/>
      <c r="O35" s="588"/>
      <c r="P35" s="592"/>
      <c r="Q35" s="592"/>
      <c r="R35" s="592"/>
      <c r="S35" s="593">
        <f>SUM(S6:S34)</f>
        <v>0</v>
      </c>
      <c r="T35" s="594"/>
      <c r="U35" s="594"/>
      <c r="V35" s="594"/>
      <c r="W35" s="594"/>
      <c r="X35" s="588"/>
      <c r="Y35" s="532"/>
      <c r="Z35" s="532"/>
    </row>
    <row r="36" spans="2:26" x14ac:dyDescent="0.35">
      <c r="B36" s="595" t="s">
        <v>455</v>
      </c>
      <c r="C36" s="318"/>
      <c r="D36" s="318"/>
      <c r="E36" s="582"/>
      <c r="F36" s="151"/>
      <c r="G36" s="316"/>
      <c r="H36" s="317"/>
      <c r="I36" s="318"/>
      <c r="J36" s="316"/>
      <c r="K36" s="502"/>
      <c r="L36" s="577"/>
      <c r="M36" s="379"/>
      <c r="N36" s="259"/>
      <c r="O36" s="317"/>
      <c r="P36" s="496"/>
      <c r="Q36" s="496"/>
      <c r="R36" s="496"/>
      <c r="S36" s="521"/>
      <c r="T36" s="517"/>
      <c r="U36" s="517"/>
      <c r="V36" s="517"/>
      <c r="W36" s="517"/>
      <c r="X36" s="578"/>
      <c r="Y36" s="151"/>
      <c r="Z36" s="151"/>
    </row>
    <row r="37" spans="2:26" x14ac:dyDescent="0.35">
      <c r="B37" s="596" t="s">
        <v>456</v>
      </c>
      <c r="E37" s="519"/>
      <c r="F37" s="151"/>
      <c r="G37" s="316"/>
      <c r="H37" s="317"/>
      <c r="I37" s="318"/>
      <c r="J37" s="316"/>
      <c r="K37" s="502"/>
      <c r="L37" s="577"/>
      <c r="M37" s="379"/>
      <c r="N37" s="259"/>
      <c r="O37" s="317"/>
      <c r="P37" s="496"/>
      <c r="Q37" s="496"/>
      <c r="R37" s="496"/>
      <c r="S37" s="521"/>
      <c r="T37" s="517"/>
      <c r="U37" s="517"/>
      <c r="V37" s="517"/>
      <c r="W37" s="517"/>
      <c r="X37" s="578"/>
      <c r="Y37" s="151"/>
      <c r="Z37" s="151"/>
    </row>
    <row r="38" spans="2:26" x14ac:dyDescent="0.35">
      <c r="B38" s="504"/>
      <c r="C38" s="172" t="s">
        <v>64</v>
      </c>
      <c r="D38" s="172"/>
      <c r="E38" s="506"/>
      <c r="F38" s="151" t="s">
        <v>177</v>
      </c>
      <c r="G38" s="316" t="s">
        <v>178</v>
      </c>
      <c r="H38" s="317"/>
      <c r="I38" s="318"/>
      <c r="J38" s="316" t="s">
        <v>179</v>
      </c>
      <c r="K38" s="433">
        <v>1</v>
      </c>
      <c r="L38" s="257">
        <v>45.36</v>
      </c>
      <c r="M38" s="266">
        <v>2.5</v>
      </c>
      <c r="N38" s="259">
        <v>1</v>
      </c>
      <c r="O38" s="520">
        <f>K38*L38*M38*N38</f>
        <v>113.4</v>
      </c>
      <c r="P38" s="261">
        <v>140008</v>
      </c>
      <c r="Q38" s="496">
        <f>P38*$O38</f>
        <v>15876907.200000001</v>
      </c>
      <c r="R38" s="261">
        <v>158800.57379999998</v>
      </c>
      <c r="S38" s="521">
        <f>R38*$O38</f>
        <v>18007985.068919998</v>
      </c>
      <c r="T38" s="259">
        <v>163305.33120000002</v>
      </c>
      <c r="U38" s="517">
        <f>$O38*T38</f>
        <v>18518824.558080003</v>
      </c>
      <c r="V38" s="259">
        <f>W38/O38</f>
        <v>154037.96833333332</v>
      </c>
      <c r="W38" s="267">
        <f>AVERAGEIF($P$3:$U$3,W$3,$P38:$U38)</f>
        <v>17467905.609000001</v>
      </c>
      <c r="X38" s="578"/>
      <c r="Y38" s="492">
        <f>S38/$D$1</f>
        <v>397001.43449999997</v>
      </c>
      <c r="Z38" s="390"/>
    </row>
    <row r="39" spans="2:26" x14ac:dyDescent="0.35">
      <c r="B39" s="518"/>
      <c r="E39" s="519"/>
      <c r="F39" s="151" t="s">
        <v>285</v>
      </c>
      <c r="G39" s="316" t="s">
        <v>183</v>
      </c>
      <c r="H39" s="317"/>
      <c r="I39" s="318"/>
      <c r="J39" s="316"/>
      <c r="K39" s="433">
        <v>1</v>
      </c>
      <c r="L39" s="257">
        <v>45.36</v>
      </c>
      <c r="M39" s="258">
        <v>0.01</v>
      </c>
      <c r="N39" s="259">
        <v>1</v>
      </c>
      <c r="O39" s="520">
        <f>K39*L39*M39*N39</f>
        <v>0.4536</v>
      </c>
      <c r="P39" s="496"/>
      <c r="Q39" s="496"/>
      <c r="R39" s="261">
        <v>83568.121874999997</v>
      </c>
      <c r="S39" s="521">
        <f>R39*$O39</f>
        <v>37906.500082500002</v>
      </c>
      <c r="T39" s="517"/>
      <c r="U39" s="517"/>
      <c r="V39" s="517"/>
      <c r="W39" s="517"/>
      <c r="X39" s="578"/>
      <c r="Y39" s="492">
        <f t="shared" ref="Y39:Y40" si="0">S39/$D$1</f>
        <v>835.68121875000008</v>
      </c>
      <c r="Z39" s="151"/>
    </row>
    <row r="40" spans="2:26" s="173" customFormat="1" x14ac:dyDescent="0.35">
      <c r="B40" s="597"/>
      <c r="C40" s="598"/>
      <c r="D40" s="598"/>
      <c r="E40" s="599"/>
      <c r="F40" s="381" t="s">
        <v>232</v>
      </c>
      <c r="G40" s="600" t="s">
        <v>183</v>
      </c>
      <c r="H40" s="578"/>
      <c r="I40" s="601"/>
      <c r="J40" s="600"/>
      <c r="K40" s="602">
        <v>1</v>
      </c>
      <c r="L40" s="257">
        <v>45.36</v>
      </c>
      <c r="M40" s="379">
        <v>0.01</v>
      </c>
      <c r="N40" s="380">
        <v>1</v>
      </c>
      <c r="O40" s="500">
        <f>K40*L40*M40*N40</f>
        <v>0.4536</v>
      </c>
      <c r="P40" s="603"/>
      <c r="Q40" s="603"/>
      <c r="R40" s="261">
        <v>94462.2</v>
      </c>
      <c r="S40" s="604">
        <f>R40*$O40</f>
        <v>42848.053919999998</v>
      </c>
      <c r="T40" s="605"/>
      <c r="U40" s="605"/>
      <c r="V40" s="605"/>
      <c r="W40" s="605"/>
      <c r="X40" s="578"/>
      <c r="Y40" s="492">
        <f t="shared" si="0"/>
        <v>944.62199999999996</v>
      </c>
      <c r="Z40" s="381"/>
    </row>
    <row r="41" spans="2:26" x14ac:dyDescent="0.35">
      <c r="B41" s="606" t="s">
        <v>457</v>
      </c>
      <c r="C41" s="607"/>
      <c r="D41" s="607"/>
      <c r="E41" s="608"/>
      <c r="F41" s="609"/>
      <c r="G41" s="610"/>
      <c r="H41" s="611"/>
      <c r="I41" s="612"/>
      <c r="J41" s="610"/>
      <c r="K41" s="613"/>
      <c r="L41" s="614"/>
      <c r="M41" s="615"/>
      <c r="N41" s="616"/>
      <c r="O41" s="611"/>
      <c r="P41" s="617"/>
      <c r="Q41" s="617"/>
      <c r="R41" s="617"/>
      <c r="S41" s="618">
        <f>SUM(S38:S40)</f>
        <v>18088739.622922499</v>
      </c>
      <c r="T41" s="605"/>
      <c r="U41" s="605"/>
      <c r="V41" s="605"/>
      <c r="W41" s="605"/>
      <c r="X41" s="611"/>
      <c r="Y41" s="619">
        <f>S41/D1</f>
        <v>398781.73771874997</v>
      </c>
      <c r="Z41" s="620">
        <f>S41/$S$415*100</f>
        <v>3.6118843240710734</v>
      </c>
    </row>
    <row r="42" spans="2:26" x14ac:dyDescent="0.35">
      <c r="B42" s="504"/>
      <c r="C42" s="172" t="s">
        <v>458</v>
      </c>
      <c r="D42" s="172"/>
      <c r="E42" s="506"/>
      <c r="F42" s="151" t="s">
        <v>177</v>
      </c>
      <c r="G42" s="316" t="s">
        <v>178</v>
      </c>
      <c r="H42" s="317"/>
      <c r="I42" s="318"/>
      <c r="J42" s="316"/>
      <c r="K42" s="502">
        <v>100</v>
      </c>
      <c r="L42" s="577"/>
      <c r="M42" s="258">
        <v>1</v>
      </c>
      <c r="N42" s="259">
        <v>1</v>
      </c>
      <c r="O42" s="317"/>
      <c r="P42" s="496"/>
      <c r="Q42" s="496"/>
      <c r="R42" s="496"/>
      <c r="S42" s="521"/>
      <c r="T42" s="517"/>
      <c r="U42" s="517"/>
      <c r="V42" s="517"/>
      <c r="W42" s="517"/>
      <c r="X42" s="578"/>
      <c r="Y42" s="151"/>
      <c r="Z42" s="151"/>
    </row>
    <row r="43" spans="2:26" x14ac:dyDescent="0.35">
      <c r="B43" s="518"/>
      <c r="E43" s="519"/>
      <c r="F43" s="151" t="s">
        <v>285</v>
      </c>
      <c r="G43" s="316" t="s">
        <v>183</v>
      </c>
      <c r="H43" s="317"/>
      <c r="I43" s="318"/>
      <c r="J43" s="316"/>
      <c r="K43" s="502">
        <v>100</v>
      </c>
      <c r="L43" s="577"/>
      <c r="M43" s="258">
        <v>3.3E-3</v>
      </c>
      <c r="N43" s="259">
        <v>1</v>
      </c>
      <c r="O43" s="317"/>
      <c r="P43" s="496"/>
      <c r="Q43" s="496"/>
      <c r="R43" s="496"/>
      <c r="S43" s="521"/>
      <c r="T43" s="517"/>
      <c r="U43" s="517"/>
      <c r="V43" s="517"/>
      <c r="W43" s="517"/>
      <c r="X43" s="578"/>
      <c r="Y43" s="151"/>
      <c r="Z43" s="151"/>
    </row>
    <row r="44" spans="2:26" s="173" customFormat="1" x14ac:dyDescent="0.35">
      <c r="B44" s="597"/>
      <c r="C44" s="598"/>
      <c r="D44" s="598"/>
      <c r="E44" s="599"/>
      <c r="F44" s="381" t="s">
        <v>232</v>
      </c>
      <c r="G44" s="600" t="s">
        <v>183</v>
      </c>
      <c r="H44" s="578"/>
      <c r="I44" s="601"/>
      <c r="J44" s="600"/>
      <c r="K44" s="575">
        <v>100</v>
      </c>
      <c r="L44" s="621"/>
      <c r="M44" s="379">
        <v>3.3E-3</v>
      </c>
      <c r="N44" s="380">
        <v>1</v>
      </c>
      <c r="O44" s="578"/>
      <c r="P44" s="603"/>
      <c r="Q44" s="603"/>
      <c r="R44" s="603"/>
      <c r="S44" s="604"/>
      <c r="T44" s="605"/>
      <c r="U44" s="605"/>
      <c r="V44" s="605"/>
      <c r="W44" s="605"/>
      <c r="X44" s="578"/>
      <c r="Y44" s="381"/>
      <c r="Z44" s="381"/>
    </row>
    <row r="45" spans="2:26" s="173" customFormat="1" x14ac:dyDescent="0.35">
      <c r="B45" s="622"/>
      <c r="C45" s="173" t="s">
        <v>68</v>
      </c>
      <c r="E45" s="623"/>
      <c r="F45" s="151" t="s">
        <v>177</v>
      </c>
      <c r="G45" s="316" t="s">
        <v>178</v>
      </c>
      <c r="H45" s="578"/>
      <c r="I45" s="601"/>
      <c r="J45" s="600"/>
      <c r="K45" s="575"/>
      <c r="L45" s="621"/>
      <c r="M45" s="379"/>
      <c r="N45" s="380"/>
      <c r="O45" s="578"/>
      <c r="P45" s="603"/>
      <c r="Q45" s="603"/>
      <c r="R45" s="603"/>
      <c r="S45" s="604"/>
      <c r="T45" s="605"/>
      <c r="U45" s="605"/>
      <c r="V45" s="605"/>
      <c r="W45" s="605"/>
      <c r="X45" s="578"/>
      <c r="Y45" s="381"/>
      <c r="Z45" s="381"/>
    </row>
    <row r="46" spans="2:26" s="173" customFormat="1" x14ac:dyDescent="0.35">
      <c r="B46" s="622"/>
      <c r="E46" s="623"/>
      <c r="F46" s="151" t="s">
        <v>285</v>
      </c>
      <c r="G46" s="316" t="s">
        <v>183</v>
      </c>
      <c r="H46" s="578"/>
      <c r="I46" s="601"/>
      <c r="J46" s="600"/>
      <c r="K46" s="575"/>
      <c r="L46" s="621"/>
      <c r="M46" s="379"/>
      <c r="N46" s="380"/>
      <c r="O46" s="578"/>
      <c r="P46" s="603"/>
      <c r="Q46" s="603"/>
      <c r="R46" s="603"/>
      <c r="S46" s="604"/>
      <c r="T46" s="605"/>
      <c r="U46" s="605"/>
      <c r="V46" s="605"/>
      <c r="W46" s="605"/>
      <c r="X46" s="578"/>
      <c r="Y46" s="381"/>
      <c r="Z46" s="381"/>
    </row>
    <row r="47" spans="2:26" s="173" customFormat="1" x14ac:dyDescent="0.35">
      <c r="B47" s="622"/>
      <c r="E47" s="623"/>
      <c r="F47" s="381" t="s">
        <v>232</v>
      </c>
      <c r="G47" s="600"/>
      <c r="H47" s="578"/>
      <c r="I47" s="601"/>
      <c r="J47" s="600"/>
      <c r="K47" s="575"/>
      <c r="L47" s="621"/>
      <c r="M47" s="379"/>
      <c r="N47" s="380"/>
      <c r="O47" s="578"/>
      <c r="P47" s="603"/>
      <c r="Q47" s="603"/>
      <c r="R47" s="603"/>
      <c r="S47" s="604"/>
      <c r="T47" s="605"/>
      <c r="U47" s="605"/>
      <c r="V47" s="605"/>
      <c r="W47" s="605"/>
      <c r="X47" s="578"/>
      <c r="Y47" s="381"/>
      <c r="Z47" s="381"/>
    </row>
    <row r="48" spans="2:26" x14ac:dyDescent="0.35">
      <c r="B48" s="504"/>
      <c r="C48" s="172" t="s">
        <v>70</v>
      </c>
      <c r="D48" s="172"/>
      <c r="E48" s="506"/>
      <c r="F48" s="151" t="s">
        <v>177</v>
      </c>
      <c r="G48" s="316" t="s">
        <v>178</v>
      </c>
      <c r="H48" s="317"/>
      <c r="I48" s="318"/>
      <c r="J48" s="316" t="s">
        <v>253</v>
      </c>
      <c r="K48" s="433">
        <v>1</v>
      </c>
      <c r="L48" s="257">
        <v>45.36</v>
      </c>
      <c r="M48" s="436">
        <v>0.5</v>
      </c>
      <c r="N48" s="259">
        <v>1</v>
      </c>
      <c r="O48" s="520">
        <f>K48*L48*M48*N48</f>
        <v>22.68</v>
      </c>
      <c r="P48" s="261">
        <v>140008</v>
      </c>
      <c r="Q48" s="496">
        <f>P48*$O48</f>
        <v>3175381.44</v>
      </c>
      <c r="R48" s="261">
        <v>158800.57379999998</v>
      </c>
      <c r="S48" s="521">
        <f>R48*$O48</f>
        <v>3601597.0137839997</v>
      </c>
      <c r="T48" s="259">
        <v>163305.33120000002</v>
      </c>
      <c r="U48" s="517">
        <f>$O48*T48</f>
        <v>3703764.9116160003</v>
      </c>
      <c r="V48" s="259">
        <f>W48/O48</f>
        <v>154037.96833333335</v>
      </c>
      <c r="W48" s="267">
        <f>AVERAGEIF($P$3:$U$3,W$3,$P48:$U48)</f>
        <v>3493581.1218000003</v>
      </c>
      <c r="X48" s="578"/>
      <c r="Y48" s="492">
        <f t="shared" ref="Y48:Y50" si="1">S48/$D$1</f>
        <v>79400.286899999992</v>
      </c>
      <c r="Z48" s="151"/>
    </row>
    <row r="49" spans="2:26" x14ac:dyDescent="0.35">
      <c r="B49" s="518"/>
      <c r="E49" s="519"/>
      <c r="F49" s="151" t="s">
        <v>459</v>
      </c>
      <c r="G49" s="316" t="s">
        <v>183</v>
      </c>
      <c r="H49" s="317"/>
      <c r="I49" s="318"/>
      <c r="J49" s="316" t="s">
        <v>253</v>
      </c>
      <c r="K49" s="433">
        <v>1</v>
      </c>
      <c r="L49" s="257">
        <v>45.36</v>
      </c>
      <c r="M49" s="436">
        <v>0.25</v>
      </c>
      <c r="N49" s="259">
        <v>1</v>
      </c>
      <c r="O49" s="520">
        <f>K49*L49*M49*N49</f>
        <v>11.34</v>
      </c>
      <c r="P49" s="261">
        <v>450000</v>
      </c>
      <c r="Q49" s="496">
        <f>P49*$O49</f>
        <v>5103000</v>
      </c>
      <c r="R49" s="261">
        <v>496125</v>
      </c>
      <c r="S49" s="521">
        <f>R49*$O49</f>
        <v>5626057.5</v>
      </c>
      <c r="T49" s="259">
        <v>544500.00000000012</v>
      </c>
      <c r="U49" s="517">
        <f>$O49*T49</f>
        <v>6174630.0000000009</v>
      </c>
      <c r="V49" s="259">
        <f>W49/O49</f>
        <v>496875</v>
      </c>
      <c r="W49" s="267">
        <f>AVERAGEIF($P$3:$U$3,W$3,$P49:$U49)</f>
        <v>5634562.5</v>
      </c>
      <c r="X49" s="578"/>
      <c r="Y49" s="492">
        <f t="shared" si="1"/>
        <v>124031.25</v>
      </c>
      <c r="Z49" s="151"/>
    </row>
    <row r="50" spans="2:26" s="173" customFormat="1" x14ac:dyDescent="0.35">
      <c r="B50" s="597"/>
      <c r="C50" s="598"/>
      <c r="D50" s="598"/>
      <c r="E50" s="599"/>
      <c r="F50" s="381" t="s">
        <v>232</v>
      </c>
      <c r="G50" s="600" t="s">
        <v>183</v>
      </c>
      <c r="H50" s="578"/>
      <c r="I50" s="601"/>
      <c r="J50" s="600"/>
      <c r="K50" s="602">
        <v>1</v>
      </c>
      <c r="L50" s="257">
        <v>45.36</v>
      </c>
      <c r="M50" s="436">
        <v>0.01</v>
      </c>
      <c r="N50" s="380">
        <v>1</v>
      </c>
      <c r="O50" s="500">
        <f>K50*L50*M50*N50</f>
        <v>0.4536</v>
      </c>
      <c r="P50" s="603"/>
      <c r="Q50" s="603"/>
      <c r="R50" s="261">
        <v>94462.2</v>
      </c>
      <c r="S50" s="604">
        <f>R50*$O50</f>
        <v>42848.053919999998</v>
      </c>
      <c r="T50" s="605"/>
      <c r="U50" s="605"/>
      <c r="V50" s="605"/>
      <c r="W50" s="605"/>
      <c r="X50" s="578"/>
      <c r="Y50" s="492">
        <f t="shared" si="1"/>
        <v>944.62199999999996</v>
      </c>
      <c r="Z50" s="381"/>
    </row>
    <row r="51" spans="2:26" x14ac:dyDescent="0.35">
      <c r="B51" s="606" t="s">
        <v>460</v>
      </c>
      <c r="C51" s="607"/>
      <c r="D51" s="607"/>
      <c r="E51" s="608"/>
      <c r="F51" s="609"/>
      <c r="G51" s="610"/>
      <c r="H51" s="611"/>
      <c r="I51" s="612"/>
      <c r="J51" s="610"/>
      <c r="K51" s="613"/>
      <c r="L51" s="614"/>
      <c r="M51" s="615"/>
      <c r="N51" s="616"/>
      <c r="O51" s="611"/>
      <c r="P51" s="617"/>
      <c r="Q51" s="617"/>
      <c r="R51" s="617"/>
      <c r="S51" s="618">
        <f>SUM(S48:S50)</f>
        <v>9270502.5677039996</v>
      </c>
      <c r="T51" s="605"/>
      <c r="U51" s="605"/>
      <c r="V51" s="605"/>
      <c r="W51" s="605"/>
      <c r="X51" s="611"/>
      <c r="Y51" s="619">
        <f>S51/D1</f>
        <v>204376.15889999998</v>
      </c>
      <c r="Z51" s="620">
        <f>S51/$S$415*100</f>
        <v>1.8510954106564164</v>
      </c>
    </row>
    <row r="52" spans="2:26" x14ac:dyDescent="0.35">
      <c r="B52" s="624"/>
      <c r="C52" s="170" t="s">
        <v>461</v>
      </c>
      <c r="D52" s="170"/>
      <c r="E52" s="625"/>
      <c r="F52" s="151" t="s">
        <v>177</v>
      </c>
      <c r="G52" s="316" t="s">
        <v>178</v>
      </c>
      <c r="H52" s="317"/>
      <c r="I52" s="318"/>
      <c r="J52" s="316"/>
      <c r="K52" s="502">
        <v>100</v>
      </c>
      <c r="L52" s="577"/>
      <c r="M52" s="258">
        <v>0.15</v>
      </c>
      <c r="N52" s="259">
        <v>1</v>
      </c>
      <c r="O52" s="317"/>
      <c r="P52" s="496"/>
      <c r="Q52" s="496"/>
      <c r="R52" s="496"/>
      <c r="S52" s="521"/>
      <c r="T52" s="517"/>
      <c r="U52" s="517"/>
      <c r="V52" s="517"/>
      <c r="W52" s="517"/>
      <c r="X52" s="578"/>
      <c r="Y52" s="151"/>
      <c r="Z52" s="151"/>
    </row>
    <row r="53" spans="2:26" x14ac:dyDescent="0.35">
      <c r="B53" s="622"/>
      <c r="C53" s="173"/>
      <c r="D53" s="173"/>
      <c r="E53" s="626"/>
      <c r="F53" s="151" t="s">
        <v>462</v>
      </c>
      <c r="G53" s="316" t="s">
        <v>183</v>
      </c>
      <c r="H53" s="317"/>
      <c r="I53" s="318"/>
      <c r="J53" s="316"/>
      <c r="K53" s="502">
        <v>100</v>
      </c>
      <c r="L53" s="577"/>
      <c r="M53" s="258">
        <v>5.0000000000000001E-4</v>
      </c>
      <c r="N53" s="259">
        <v>1</v>
      </c>
      <c r="O53" s="317"/>
      <c r="P53" s="496"/>
      <c r="Q53" s="496"/>
      <c r="R53" s="496"/>
      <c r="S53" s="521"/>
      <c r="T53" s="517"/>
      <c r="U53" s="517"/>
      <c r="V53" s="517"/>
      <c r="W53" s="517"/>
      <c r="X53" s="578"/>
      <c r="Y53" s="151"/>
      <c r="Z53" s="151"/>
    </row>
    <row r="54" spans="2:26" x14ac:dyDescent="0.35">
      <c r="B54" s="597"/>
      <c r="C54" s="598"/>
      <c r="D54" s="598"/>
      <c r="E54" s="627"/>
      <c r="F54" s="381" t="s">
        <v>232</v>
      </c>
      <c r="G54" s="600" t="s">
        <v>183</v>
      </c>
      <c r="H54" s="578">
        <v>1</v>
      </c>
      <c r="I54" s="601" t="s">
        <v>228</v>
      </c>
      <c r="J54" s="600"/>
      <c r="K54" s="575">
        <v>100</v>
      </c>
      <c r="L54" s="621"/>
      <c r="M54" s="379">
        <f>((M$52*N$52)/240*($H54/N54))</f>
        <v>6.2500000000000001E-4</v>
      </c>
      <c r="N54" s="380">
        <v>1</v>
      </c>
      <c r="O54" s="578"/>
      <c r="P54" s="603"/>
      <c r="Q54" s="603"/>
      <c r="R54" s="603"/>
      <c r="S54" s="604"/>
      <c r="T54" s="628"/>
      <c r="U54" s="628"/>
      <c r="V54" s="628"/>
      <c r="W54" s="628"/>
      <c r="X54" s="578"/>
      <c r="Y54" s="151"/>
      <c r="Z54" s="151"/>
    </row>
    <row r="55" spans="2:26" x14ac:dyDescent="0.35">
      <c r="B55" s="622"/>
      <c r="C55" s="396" t="s">
        <v>300</v>
      </c>
      <c r="D55" s="269"/>
      <c r="E55" s="629"/>
      <c r="F55" s="252" t="s">
        <v>177</v>
      </c>
      <c r="G55" s="253" t="s">
        <v>178</v>
      </c>
      <c r="H55" s="254"/>
      <c r="I55" s="255"/>
      <c r="J55" s="256"/>
      <c r="K55" s="257"/>
      <c r="L55" s="257"/>
      <c r="M55" s="258"/>
      <c r="N55" s="259">
        <v>1</v>
      </c>
      <c r="O55" s="259"/>
      <c r="P55" s="630"/>
      <c r="Q55" s="630"/>
      <c r="R55" s="630"/>
      <c r="S55" s="631"/>
      <c r="T55" s="632"/>
      <c r="U55" s="632"/>
      <c r="V55" s="632"/>
      <c r="W55" s="632"/>
      <c r="X55" s="317"/>
      <c r="Y55" s="151"/>
      <c r="Z55" s="151"/>
    </row>
    <row r="56" spans="2:26" x14ac:dyDescent="0.35">
      <c r="B56" s="622"/>
      <c r="C56" s="269"/>
      <c r="D56" s="269"/>
      <c r="E56" s="629"/>
      <c r="F56" s="151" t="s">
        <v>459</v>
      </c>
      <c r="G56" s="253" t="s">
        <v>253</v>
      </c>
      <c r="H56" s="254"/>
      <c r="I56" s="255"/>
      <c r="J56" s="256"/>
      <c r="K56" s="257"/>
      <c r="L56" s="257"/>
      <c r="M56" s="258"/>
      <c r="N56" s="259">
        <v>1</v>
      </c>
      <c r="O56" s="259"/>
      <c r="P56" s="630"/>
      <c r="Q56" s="630"/>
      <c r="R56" s="630"/>
      <c r="S56" s="631"/>
      <c r="T56" s="632"/>
      <c r="U56" s="632"/>
      <c r="V56" s="632"/>
      <c r="W56" s="632"/>
      <c r="X56" s="317"/>
      <c r="Y56" s="151"/>
      <c r="Z56" s="151"/>
    </row>
    <row r="57" spans="2:26" x14ac:dyDescent="0.35">
      <c r="B57" s="597"/>
      <c r="C57" s="276"/>
      <c r="D57" s="276"/>
      <c r="E57" s="633"/>
      <c r="F57" s="252" t="s">
        <v>254</v>
      </c>
      <c r="G57" s="253" t="s">
        <v>195</v>
      </c>
      <c r="H57" s="254"/>
      <c r="I57" s="255"/>
      <c r="J57" s="256"/>
      <c r="K57" s="257"/>
      <c r="L57" s="257"/>
      <c r="M57" s="258"/>
      <c r="N57" s="259">
        <v>1</v>
      </c>
      <c r="O57" s="259"/>
      <c r="P57" s="630"/>
      <c r="Q57" s="630"/>
      <c r="R57" s="630"/>
      <c r="S57" s="631"/>
      <c r="T57" s="632"/>
      <c r="U57" s="632"/>
      <c r="V57" s="632"/>
      <c r="W57" s="632"/>
      <c r="X57" s="317"/>
      <c r="Y57" s="151"/>
      <c r="Z57" s="151"/>
    </row>
    <row r="58" spans="2:26" ht="34.5" customHeight="1" x14ac:dyDescent="0.35">
      <c r="B58" s="634" t="s">
        <v>463</v>
      </c>
      <c r="C58" s="635"/>
      <c r="D58" s="635"/>
      <c r="E58" s="636"/>
      <c r="F58" s="537"/>
      <c r="G58" s="538"/>
      <c r="H58" s="541"/>
      <c r="I58" s="541"/>
      <c r="J58" s="541"/>
      <c r="K58" s="637"/>
      <c r="L58" s="637"/>
      <c r="M58" s="543"/>
      <c r="N58" s="544"/>
      <c r="O58" s="544"/>
      <c r="P58" s="544"/>
      <c r="Q58" s="544"/>
      <c r="R58" s="544"/>
      <c r="S58" s="638">
        <f>SUM(S51+S41)</f>
        <v>27359242.190626498</v>
      </c>
      <c r="T58" s="594"/>
      <c r="U58" s="594"/>
      <c r="V58" s="594"/>
      <c r="W58" s="594"/>
      <c r="X58" s="588"/>
      <c r="Y58" s="639">
        <f>S58/D1</f>
        <v>603157.89661874995</v>
      </c>
      <c r="Z58" s="640">
        <f>S58/$S$415*100</f>
        <v>5.4629797347274893</v>
      </c>
    </row>
    <row r="59" spans="2:26" s="173" customFormat="1" x14ac:dyDescent="0.35">
      <c r="B59" s="641" t="s">
        <v>464</v>
      </c>
      <c r="C59" s="601"/>
      <c r="D59" s="601"/>
      <c r="E59" s="642"/>
      <c r="F59" s="381"/>
      <c r="G59" s="600"/>
      <c r="H59" s="578"/>
      <c r="I59" s="601"/>
      <c r="J59" s="600"/>
      <c r="K59" s="575"/>
      <c r="L59" s="621"/>
      <c r="M59" s="379"/>
      <c r="N59" s="380"/>
      <c r="O59" s="578"/>
      <c r="P59" s="603"/>
      <c r="Q59" s="603"/>
      <c r="R59" s="603"/>
      <c r="S59" s="604"/>
      <c r="T59" s="605"/>
      <c r="U59" s="605"/>
      <c r="V59" s="605"/>
      <c r="W59" s="605"/>
      <c r="X59" s="578"/>
      <c r="Y59" s="381"/>
      <c r="Z59" s="381"/>
    </row>
    <row r="60" spans="2:26" s="173" customFormat="1" x14ac:dyDescent="0.35">
      <c r="B60" s="643"/>
      <c r="C60" s="173" t="s">
        <v>465</v>
      </c>
      <c r="E60" s="623"/>
      <c r="F60" s="381"/>
      <c r="G60" s="600"/>
      <c r="H60" s="578"/>
      <c r="I60" s="601"/>
      <c r="J60" s="600"/>
      <c r="K60" s="575"/>
      <c r="L60" s="621"/>
      <c r="M60" s="379"/>
      <c r="N60" s="380"/>
      <c r="O60" s="578"/>
      <c r="P60" s="603"/>
      <c r="Q60" s="603"/>
      <c r="R60" s="603"/>
      <c r="S60" s="604"/>
      <c r="T60" s="605"/>
      <c r="U60" s="605"/>
      <c r="V60" s="605"/>
      <c r="W60" s="605"/>
      <c r="X60" s="578"/>
      <c r="Y60" s="381"/>
      <c r="Z60" s="381"/>
    </row>
    <row r="61" spans="2:26" x14ac:dyDescent="0.35">
      <c r="B61" s="504"/>
      <c r="C61" s="172"/>
      <c r="D61" s="172" t="s">
        <v>66</v>
      </c>
      <c r="E61" s="506"/>
      <c r="F61" s="151" t="s">
        <v>177</v>
      </c>
      <c r="G61" s="600" t="s">
        <v>178</v>
      </c>
      <c r="H61" s="578"/>
      <c r="I61" s="601"/>
      <c r="J61" s="600" t="s">
        <v>179</v>
      </c>
      <c r="K61" s="433">
        <v>1</v>
      </c>
      <c r="L61" s="257">
        <v>45.36</v>
      </c>
      <c r="M61" s="379">
        <v>2.5</v>
      </c>
      <c r="N61" s="259">
        <v>1</v>
      </c>
      <c r="O61" s="520">
        <f>K61*L61*M61*N61</f>
        <v>113.4</v>
      </c>
      <c r="P61" s="261">
        <v>140008</v>
      </c>
      <c r="Q61" s="496">
        <f>P61*$O61</f>
        <v>15876907.200000001</v>
      </c>
      <c r="R61" s="261">
        <v>158800.57379999998</v>
      </c>
      <c r="S61" s="521">
        <f>R61*$O61</f>
        <v>18007985.068919998</v>
      </c>
      <c r="T61" s="259">
        <v>163305.33120000002</v>
      </c>
      <c r="U61" s="517">
        <f>$O61*T61</f>
        <v>18518824.558080003</v>
      </c>
      <c r="V61" s="259">
        <f>W61/O61</f>
        <v>154037.96833333332</v>
      </c>
      <c r="W61" s="267">
        <f>AVERAGEIF($P$3:$U$3,W$3,$P61:$U61)</f>
        <v>17467905.609000001</v>
      </c>
      <c r="X61" s="578"/>
      <c r="Y61" s="492">
        <f t="shared" ref="Y61:Y63" si="2">S61/$D$1</f>
        <v>397001.43449999997</v>
      </c>
      <c r="Z61" s="151"/>
    </row>
    <row r="62" spans="2:26" x14ac:dyDescent="0.35">
      <c r="B62" s="518"/>
      <c r="E62" s="519"/>
      <c r="F62" s="151" t="s">
        <v>285</v>
      </c>
      <c r="G62" s="600" t="s">
        <v>183</v>
      </c>
      <c r="H62" s="578"/>
      <c r="I62" s="601"/>
      <c r="J62" s="600" t="s">
        <v>179</v>
      </c>
      <c r="K62" s="433">
        <v>1</v>
      </c>
      <c r="L62" s="257">
        <v>45.36</v>
      </c>
      <c r="M62" s="379">
        <v>8.3000000000000001E-3</v>
      </c>
      <c r="N62" s="259">
        <v>1</v>
      </c>
      <c r="O62" s="520">
        <f>K62*L62*M62*N62</f>
        <v>0.37648799999999999</v>
      </c>
      <c r="P62" s="261">
        <v>75798.75</v>
      </c>
      <c r="Q62" s="496">
        <f>P62*$O62</f>
        <v>28537.319789999998</v>
      </c>
      <c r="R62" s="261">
        <v>83568.121874999997</v>
      </c>
      <c r="S62" s="521">
        <f>R62*$O62</f>
        <v>31462.395068474998</v>
      </c>
      <c r="T62" s="517"/>
      <c r="U62" s="517"/>
      <c r="V62" s="517"/>
      <c r="W62" s="517"/>
      <c r="X62" s="578"/>
      <c r="Y62" s="492">
        <f t="shared" si="2"/>
        <v>693.61541156249996</v>
      </c>
      <c r="Z62" s="151"/>
    </row>
    <row r="63" spans="2:26" x14ac:dyDescent="0.35">
      <c r="B63" s="518"/>
      <c r="D63" s="580"/>
      <c r="E63" s="581"/>
      <c r="F63" s="381" t="s">
        <v>232</v>
      </c>
      <c r="G63" s="600" t="s">
        <v>183</v>
      </c>
      <c r="H63" s="578">
        <v>1</v>
      </c>
      <c r="I63" s="601" t="s">
        <v>228</v>
      </c>
      <c r="J63" s="600"/>
      <c r="K63" s="602">
        <v>1</v>
      </c>
      <c r="L63" s="257">
        <v>45.36</v>
      </c>
      <c r="M63" s="379">
        <f>((M$61*N$61)/240*($H63/N63))</f>
        <v>1.0416666666666666E-2</v>
      </c>
      <c r="N63" s="380">
        <v>1</v>
      </c>
      <c r="O63" s="500">
        <f>K63*L63*M63*N63</f>
        <v>0.47249999999999998</v>
      </c>
      <c r="P63" s="393">
        <v>85680</v>
      </c>
      <c r="Q63" s="603">
        <f>P63*$O63</f>
        <v>40483.799999999996</v>
      </c>
      <c r="R63" s="261">
        <v>94462.2</v>
      </c>
      <c r="S63" s="604">
        <f>R63*$O63</f>
        <v>44633.389499999997</v>
      </c>
      <c r="T63" s="628"/>
      <c r="U63" s="628"/>
      <c r="V63" s="628"/>
      <c r="W63" s="628"/>
      <c r="X63" s="578"/>
      <c r="Y63" s="492">
        <f t="shared" si="2"/>
        <v>983.98124999999993</v>
      </c>
      <c r="Z63" s="151"/>
    </row>
    <row r="64" spans="2:26" x14ac:dyDescent="0.35">
      <c r="B64" s="518"/>
      <c r="D64" s="172" t="s">
        <v>466</v>
      </c>
      <c r="E64" s="506"/>
      <c r="F64" s="381" t="s">
        <v>177</v>
      </c>
      <c r="G64" s="600" t="s">
        <v>178</v>
      </c>
      <c r="H64" s="578"/>
      <c r="I64" s="601"/>
      <c r="J64" s="600"/>
      <c r="K64" s="575"/>
      <c r="L64" s="621"/>
      <c r="M64" s="379"/>
      <c r="N64" s="380"/>
      <c r="O64" s="578"/>
      <c r="P64" s="603"/>
      <c r="Q64" s="603"/>
      <c r="R64" s="603"/>
      <c r="S64" s="604"/>
      <c r="T64" s="605"/>
      <c r="U64" s="605"/>
      <c r="V64" s="605"/>
      <c r="W64" s="605"/>
      <c r="X64" s="578"/>
      <c r="Y64" s="151"/>
      <c r="Z64" s="151"/>
    </row>
    <row r="65" spans="2:26" x14ac:dyDescent="0.35">
      <c r="B65" s="518"/>
      <c r="E65" s="519"/>
      <c r="F65" s="381" t="s">
        <v>285</v>
      </c>
      <c r="G65" s="600" t="s">
        <v>183</v>
      </c>
      <c r="H65" s="578"/>
      <c r="I65" s="601"/>
      <c r="J65" s="600"/>
      <c r="K65" s="575"/>
      <c r="L65" s="621"/>
      <c r="M65" s="379"/>
      <c r="N65" s="380"/>
      <c r="O65" s="578"/>
      <c r="P65" s="603"/>
      <c r="Q65" s="603"/>
      <c r="R65" s="603"/>
      <c r="S65" s="604"/>
      <c r="T65" s="605"/>
      <c r="U65" s="605"/>
      <c r="V65" s="605"/>
      <c r="W65" s="605"/>
      <c r="X65" s="578"/>
      <c r="Y65" s="151"/>
      <c r="Z65" s="151"/>
    </row>
    <row r="66" spans="2:26" x14ac:dyDescent="0.35">
      <c r="B66" s="518"/>
      <c r="D66" s="580"/>
      <c r="E66" s="581"/>
      <c r="F66" s="381" t="s">
        <v>232</v>
      </c>
      <c r="G66" s="600" t="s">
        <v>183</v>
      </c>
      <c r="H66" s="578"/>
      <c r="I66" s="601"/>
      <c r="J66" s="600"/>
      <c r="K66" s="575"/>
      <c r="L66" s="621"/>
      <c r="M66" s="379"/>
      <c r="N66" s="380"/>
      <c r="O66" s="578"/>
      <c r="P66" s="603"/>
      <c r="Q66" s="603"/>
      <c r="R66" s="603"/>
      <c r="S66" s="604"/>
      <c r="T66" s="628"/>
      <c r="U66" s="628"/>
      <c r="V66" s="628"/>
      <c r="W66" s="628"/>
      <c r="X66" s="578"/>
      <c r="Y66" s="151"/>
      <c r="Z66" s="151"/>
    </row>
    <row r="67" spans="2:26" x14ac:dyDescent="0.35">
      <c r="B67" s="518"/>
      <c r="D67" s="172" t="s">
        <v>76</v>
      </c>
      <c r="E67" s="506"/>
      <c r="F67" s="381" t="s">
        <v>177</v>
      </c>
      <c r="G67" s="600" t="s">
        <v>178</v>
      </c>
      <c r="H67" s="578"/>
      <c r="I67" s="601"/>
      <c r="J67" s="600"/>
      <c r="K67" s="575">
        <v>100</v>
      </c>
      <c r="L67" s="621"/>
      <c r="M67" s="379">
        <v>2</v>
      </c>
      <c r="N67" s="380">
        <v>1</v>
      </c>
      <c r="O67" s="578"/>
      <c r="P67" s="603"/>
      <c r="Q67" s="603"/>
      <c r="R67" s="603"/>
      <c r="S67" s="604"/>
      <c r="T67" s="605"/>
      <c r="U67" s="605"/>
      <c r="V67" s="605"/>
      <c r="W67" s="605"/>
      <c r="X67" s="578"/>
      <c r="Y67" s="151"/>
      <c r="Z67" s="151"/>
    </row>
    <row r="68" spans="2:26" x14ac:dyDescent="0.35">
      <c r="B68" s="518"/>
      <c r="E68" s="519"/>
      <c r="F68" s="381" t="s">
        <v>462</v>
      </c>
      <c r="G68" s="600" t="s">
        <v>183</v>
      </c>
      <c r="H68" s="578"/>
      <c r="I68" s="601"/>
      <c r="J68" s="600"/>
      <c r="K68" s="575">
        <v>100</v>
      </c>
      <c r="L68" s="621"/>
      <c r="M68" s="379">
        <v>5.0000000000000001E-3</v>
      </c>
      <c r="N68" s="380">
        <v>1</v>
      </c>
      <c r="O68" s="578"/>
      <c r="P68" s="603"/>
      <c r="Q68" s="603"/>
      <c r="R68" s="603"/>
      <c r="S68" s="604"/>
      <c r="T68" s="605"/>
      <c r="U68" s="605"/>
      <c r="V68" s="605"/>
      <c r="W68" s="605"/>
      <c r="X68" s="578"/>
      <c r="Y68" s="151"/>
      <c r="Z68" s="151"/>
    </row>
    <row r="69" spans="2:26" x14ac:dyDescent="0.35">
      <c r="B69" s="518"/>
      <c r="E69" s="519"/>
      <c r="F69" s="381" t="s">
        <v>232</v>
      </c>
      <c r="G69" s="600" t="s">
        <v>183</v>
      </c>
      <c r="H69" s="578">
        <v>1</v>
      </c>
      <c r="I69" s="601" t="s">
        <v>228</v>
      </c>
      <c r="J69" s="600"/>
      <c r="K69" s="575">
        <v>100</v>
      </c>
      <c r="L69" s="621"/>
      <c r="M69" s="379">
        <f>((M$67*N$67)/240*($H69/N69))</f>
        <v>8.3333333333333332E-3</v>
      </c>
      <c r="N69" s="380">
        <v>1</v>
      </c>
      <c r="O69" s="578"/>
      <c r="P69" s="603"/>
      <c r="Q69" s="603"/>
      <c r="R69" s="603"/>
      <c r="S69" s="604"/>
      <c r="T69" s="628"/>
      <c r="U69" s="628"/>
      <c r="V69" s="628"/>
      <c r="W69" s="628"/>
      <c r="X69" s="578"/>
      <c r="Y69" s="151"/>
      <c r="Z69" s="151"/>
    </row>
    <row r="70" spans="2:26" x14ac:dyDescent="0.35">
      <c r="B70" s="579"/>
      <c r="C70" s="580"/>
      <c r="D70" s="580"/>
      <c r="E70" s="581"/>
      <c r="F70" s="151"/>
      <c r="G70" s="316"/>
      <c r="H70" s="317"/>
      <c r="I70" s="318"/>
      <c r="J70" s="316"/>
      <c r="K70" s="575"/>
      <c r="L70" s="621"/>
      <c r="M70" s="379"/>
      <c r="N70" s="380"/>
      <c r="O70" s="578"/>
      <c r="P70" s="603"/>
      <c r="Q70" s="603"/>
      <c r="R70" s="603"/>
      <c r="S70" s="604"/>
      <c r="T70" s="605"/>
      <c r="U70" s="605"/>
      <c r="V70" s="605"/>
      <c r="W70" s="605"/>
      <c r="X70" s="578"/>
      <c r="Y70" s="151"/>
      <c r="Z70" s="151"/>
    </row>
    <row r="71" spans="2:26" ht="29.25" customHeight="1" x14ac:dyDescent="0.35">
      <c r="B71" s="606" t="s">
        <v>467</v>
      </c>
      <c r="C71" s="607"/>
      <c r="D71" s="607"/>
      <c r="E71" s="608"/>
      <c r="F71" s="609"/>
      <c r="G71" s="610"/>
      <c r="H71" s="611"/>
      <c r="I71" s="612"/>
      <c r="J71" s="610"/>
      <c r="K71" s="613"/>
      <c r="L71" s="614"/>
      <c r="M71" s="615"/>
      <c r="N71" s="616"/>
      <c r="O71" s="611"/>
      <c r="P71" s="617"/>
      <c r="Q71" s="617"/>
      <c r="R71" s="617"/>
      <c r="S71" s="618">
        <f>SUM(S60:S70)</f>
        <v>18084080.853488471</v>
      </c>
      <c r="T71" s="605"/>
      <c r="U71" s="605"/>
      <c r="V71" s="605"/>
      <c r="W71" s="605"/>
      <c r="X71" s="644"/>
      <c r="Y71" s="645">
        <f>S71/D1</f>
        <v>398679.03116156242</v>
      </c>
      <c r="Z71" s="620">
        <f>S71/$S$415*100</f>
        <v>3.6109540803592943</v>
      </c>
    </row>
    <row r="72" spans="2:26" x14ac:dyDescent="0.35">
      <c r="B72" s="518"/>
      <c r="C72" s="173" t="s">
        <v>468</v>
      </c>
      <c r="D72" s="173"/>
      <c r="E72" s="623"/>
      <c r="F72" s="381"/>
      <c r="G72" s="316"/>
      <c r="H72" s="317"/>
      <c r="I72" s="318"/>
      <c r="J72" s="316"/>
      <c r="K72" s="575"/>
      <c r="L72" s="621"/>
      <c r="M72" s="379"/>
      <c r="N72" s="380"/>
      <c r="O72" s="578"/>
      <c r="P72" s="603"/>
      <c r="Q72" s="603"/>
      <c r="R72" s="603"/>
      <c r="S72" s="604"/>
      <c r="T72" s="605"/>
      <c r="U72" s="605"/>
      <c r="V72" s="605"/>
      <c r="W72" s="605"/>
      <c r="X72" s="578"/>
      <c r="Y72" s="151"/>
      <c r="Z72" s="151"/>
    </row>
    <row r="73" spans="2:26" x14ac:dyDescent="0.35">
      <c r="B73" s="504"/>
      <c r="C73" s="170"/>
      <c r="D73" s="170" t="s">
        <v>71</v>
      </c>
      <c r="E73" s="646"/>
      <c r="F73" s="381" t="s">
        <v>177</v>
      </c>
      <c r="G73" s="600" t="s">
        <v>178</v>
      </c>
      <c r="H73" s="578"/>
      <c r="I73" s="601"/>
      <c r="J73" s="600" t="s">
        <v>179</v>
      </c>
      <c r="K73" s="433">
        <v>1</v>
      </c>
      <c r="L73" s="257">
        <v>45.36</v>
      </c>
      <c r="M73" s="379">
        <v>0.75</v>
      </c>
      <c r="N73" s="380">
        <v>1</v>
      </c>
      <c r="O73" s="520">
        <f t="shared" ref="O73:O83" si="3">K73*L73*M73*N73</f>
        <v>34.019999999999996</v>
      </c>
      <c r="P73" s="261">
        <v>140008</v>
      </c>
      <c r="Q73" s="496">
        <f t="shared" ref="Q73:Q83" si="4">P73*$O73</f>
        <v>4763072.1599999992</v>
      </c>
      <c r="R73" s="261">
        <v>158800.57379999998</v>
      </c>
      <c r="S73" s="521">
        <f t="shared" ref="S73:S83" si="5">R73*$O73</f>
        <v>5402395.5206759991</v>
      </c>
      <c r="T73" s="259">
        <v>163305.33120000002</v>
      </c>
      <c r="U73" s="517">
        <f t="shared" ref="U73:U83" si="6">$O73*T73</f>
        <v>5555647.3674240001</v>
      </c>
      <c r="V73" s="259">
        <f t="shared" ref="V73:V83" si="7">W73/O73</f>
        <v>154037.96833333335</v>
      </c>
      <c r="W73" s="267">
        <f t="shared" ref="W73:W83" si="8">AVERAGEIF($P$3:$U$3,W$3,$P73:$U73)</f>
        <v>5240371.6826999998</v>
      </c>
      <c r="X73" s="578" t="s">
        <v>469</v>
      </c>
      <c r="Y73" s="492">
        <f t="shared" ref="Y73:Y83" si="9">S73/$D$1</f>
        <v>119100.43034999998</v>
      </c>
      <c r="Z73" s="151"/>
    </row>
    <row r="74" spans="2:26" x14ac:dyDescent="0.35">
      <c r="B74" s="518"/>
      <c r="C74" s="173"/>
      <c r="D74" s="173"/>
      <c r="E74" s="623"/>
      <c r="F74" s="381" t="s">
        <v>221</v>
      </c>
      <c r="G74" s="600" t="s">
        <v>222</v>
      </c>
      <c r="H74" s="578"/>
      <c r="I74" s="601"/>
      <c r="J74" s="600" t="s">
        <v>179</v>
      </c>
      <c r="K74" s="433">
        <v>1</v>
      </c>
      <c r="L74" s="257">
        <v>45.36</v>
      </c>
      <c r="M74" s="379">
        <v>0.45</v>
      </c>
      <c r="N74" s="380">
        <v>1</v>
      </c>
      <c r="O74" s="520">
        <f t="shared" si="3"/>
        <v>20.411999999999999</v>
      </c>
      <c r="P74" s="261">
        <v>36352.800000000003</v>
      </c>
      <c r="Q74" s="496">
        <f t="shared" si="4"/>
        <v>742033.35360000003</v>
      </c>
      <c r="R74" s="261">
        <v>37110.15</v>
      </c>
      <c r="S74" s="521">
        <f t="shared" si="5"/>
        <v>757492.38179999997</v>
      </c>
      <c r="T74" s="259">
        <v>41620.320720000011</v>
      </c>
      <c r="U74" s="517">
        <f t="shared" si="6"/>
        <v>849553.98653664021</v>
      </c>
      <c r="V74" s="259">
        <f t="shared" si="7"/>
        <v>38361.090240000005</v>
      </c>
      <c r="W74" s="267">
        <f t="shared" si="8"/>
        <v>783026.57397888007</v>
      </c>
      <c r="X74" s="578"/>
      <c r="Y74" s="492">
        <f t="shared" si="9"/>
        <v>16699.567500000001</v>
      </c>
      <c r="Z74" s="390"/>
    </row>
    <row r="75" spans="2:26" x14ac:dyDescent="0.35">
      <c r="B75" s="518"/>
      <c r="C75" s="173"/>
      <c r="D75" s="173"/>
      <c r="E75" s="623"/>
      <c r="F75" s="381" t="s">
        <v>223</v>
      </c>
      <c r="G75" s="600" t="s">
        <v>181</v>
      </c>
      <c r="H75" s="578"/>
      <c r="I75" s="601"/>
      <c r="J75" s="600" t="s">
        <v>179</v>
      </c>
      <c r="K75" s="433">
        <v>1</v>
      </c>
      <c r="L75" s="257">
        <v>45.36</v>
      </c>
      <c r="M75" s="379">
        <f>18/1000</f>
        <v>1.7999999999999999E-2</v>
      </c>
      <c r="N75" s="380">
        <v>1</v>
      </c>
      <c r="O75" s="520">
        <f t="shared" si="3"/>
        <v>0.81647999999999998</v>
      </c>
      <c r="P75" s="261">
        <v>99144</v>
      </c>
      <c r="Q75" s="496">
        <f t="shared" si="4"/>
        <v>80949.093120000005</v>
      </c>
      <c r="R75" s="261">
        <v>101209.5</v>
      </c>
      <c r="S75" s="521">
        <f t="shared" si="5"/>
        <v>82635.532559999992</v>
      </c>
      <c r="T75" s="259">
        <v>113509.96560000001</v>
      </c>
      <c r="U75" s="517">
        <f t="shared" si="6"/>
        <v>92678.616713088006</v>
      </c>
      <c r="V75" s="259">
        <f t="shared" si="7"/>
        <v>104621.15520000001</v>
      </c>
      <c r="W75" s="267">
        <f t="shared" si="8"/>
        <v>85421.080797696006</v>
      </c>
      <c r="Y75" s="492">
        <f t="shared" si="9"/>
        <v>1821.771</v>
      </c>
      <c r="Z75" s="390"/>
    </row>
    <row r="76" spans="2:26" x14ac:dyDescent="0.35">
      <c r="B76" s="518"/>
      <c r="C76" s="173"/>
      <c r="D76" s="173"/>
      <c r="E76" s="623"/>
      <c r="F76" s="381" t="s">
        <v>225</v>
      </c>
      <c r="G76" s="316" t="s">
        <v>222</v>
      </c>
      <c r="H76" s="317"/>
      <c r="I76" s="318"/>
      <c r="J76" s="600" t="s">
        <v>179</v>
      </c>
      <c r="K76" s="433">
        <v>1</v>
      </c>
      <c r="L76" s="257">
        <v>45.36</v>
      </c>
      <c r="M76" s="379">
        <v>0.13500000000000001</v>
      </c>
      <c r="N76" s="380">
        <v>1</v>
      </c>
      <c r="O76" s="520">
        <f t="shared" si="3"/>
        <v>6.1236000000000006</v>
      </c>
      <c r="P76" s="261">
        <v>46267.199999999997</v>
      </c>
      <c r="Q76" s="496">
        <f t="shared" si="4"/>
        <v>283321.82592000003</v>
      </c>
      <c r="R76" s="261">
        <v>47231.1</v>
      </c>
      <c r="S76" s="521">
        <f t="shared" si="5"/>
        <v>289224.36396000005</v>
      </c>
      <c r="T76" s="259">
        <v>52971.317280000003</v>
      </c>
      <c r="U76" s="517">
        <f t="shared" si="6"/>
        <v>324375.15849580808</v>
      </c>
      <c r="V76" s="259">
        <f t="shared" si="7"/>
        <v>48823.205760000004</v>
      </c>
      <c r="W76" s="267">
        <f t="shared" si="8"/>
        <v>298973.78279193607</v>
      </c>
      <c r="X76" s="578"/>
      <c r="Y76" s="492">
        <f t="shared" si="9"/>
        <v>6376.1985000000013</v>
      </c>
      <c r="Z76" s="151"/>
    </row>
    <row r="77" spans="2:26" x14ac:dyDescent="0.35">
      <c r="B77" s="518"/>
      <c r="C77" s="173"/>
      <c r="D77" s="173"/>
      <c r="E77" s="623"/>
      <c r="F77" s="381" t="s">
        <v>226</v>
      </c>
      <c r="G77" s="316" t="s">
        <v>178</v>
      </c>
      <c r="H77" s="317"/>
      <c r="I77" s="318"/>
      <c r="J77" s="600" t="s">
        <v>179</v>
      </c>
      <c r="K77" s="433">
        <v>1</v>
      </c>
      <c r="L77" s="257">
        <v>45.36</v>
      </c>
      <c r="M77" s="379">
        <v>0.75</v>
      </c>
      <c r="N77" s="380">
        <v>1</v>
      </c>
      <c r="O77" s="520">
        <f t="shared" si="3"/>
        <v>34.019999999999996</v>
      </c>
      <c r="P77" s="261">
        <v>3700</v>
      </c>
      <c r="Q77" s="496">
        <f t="shared" si="4"/>
        <v>125873.99999999999</v>
      </c>
      <c r="R77" s="261">
        <v>4196.6324999999997</v>
      </c>
      <c r="S77" s="521">
        <f t="shared" si="5"/>
        <v>142769.43764999998</v>
      </c>
      <c r="T77" s="259">
        <v>4490.6400000000003</v>
      </c>
      <c r="U77" s="517">
        <f t="shared" si="6"/>
        <v>152771.57279999999</v>
      </c>
      <c r="V77" s="259">
        <f t="shared" si="7"/>
        <v>4129.0908333333336</v>
      </c>
      <c r="W77" s="267">
        <f t="shared" si="8"/>
        <v>140471.67014999999</v>
      </c>
      <c r="X77" s="578"/>
      <c r="Y77" s="492">
        <f t="shared" si="9"/>
        <v>3147.4743749999998</v>
      </c>
      <c r="Z77" s="390"/>
    </row>
    <row r="78" spans="2:26" x14ac:dyDescent="0.35">
      <c r="B78" s="518"/>
      <c r="C78" s="173"/>
      <c r="D78" s="173"/>
      <c r="E78" s="623"/>
      <c r="F78" s="381" t="s">
        <v>220</v>
      </c>
      <c r="G78" s="316" t="s">
        <v>183</v>
      </c>
      <c r="H78" s="317"/>
      <c r="I78" s="318"/>
      <c r="J78" s="600" t="s">
        <v>179</v>
      </c>
      <c r="K78" s="433">
        <v>1</v>
      </c>
      <c r="L78" s="257">
        <v>45.36</v>
      </c>
      <c r="M78" s="379">
        <f>0.00625*(1/2)</f>
        <v>3.1250000000000002E-3</v>
      </c>
      <c r="N78" s="380">
        <v>1</v>
      </c>
      <c r="O78" s="520">
        <f t="shared" si="3"/>
        <v>0.14175000000000001</v>
      </c>
      <c r="P78" s="261">
        <v>1366468.5</v>
      </c>
      <c r="Q78" s="496">
        <f t="shared" si="4"/>
        <v>193696.90987500001</v>
      </c>
      <c r="R78" s="261">
        <v>1506531.5212500002</v>
      </c>
      <c r="S78" s="521">
        <f t="shared" si="5"/>
        <v>213550.84313718756</v>
      </c>
      <c r="T78" s="259">
        <v>1593848.8584</v>
      </c>
      <c r="U78" s="517">
        <f t="shared" si="6"/>
        <v>225928.07567820002</v>
      </c>
      <c r="V78" s="259">
        <f t="shared" si="7"/>
        <v>1488949.6265499999</v>
      </c>
      <c r="W78" s="267">
        <f t="shared" si="8"/>
        <v>211058.60956346252</v>
      </c>
      <c r="X78" s="578"/>
      <c r="Y78" s="492">
        <f t="shared" si="9"/>
        <v>4707.9110039062516</v>
      </c>
      <c r="Z78" s="390"/>
    </row>
    <row r="79" spans="2:26" x14ac:dyDescent="0.35">
      <c r="B79" s="518"/>
      <c r="C79" s="173"/>
      <c r="D79" s="173"/>
      <c r="E79" s="623"/>
      <c r="F79" s="381" t="s">
        <v>227</v>
      </c>
      <c r="G79" s="316" t="s">
        <v>183</v>
      </c>
      <c r="H79" s="317">
        <v>4</v>
      </c>
      <c r="I79" s="318" t="s">
        <v>228</v>
      </c>
      <c r="J79" s="600" t="s">
        <v>179</v>
      </c>
      <c r="K79" s="433">
        <v>1</v>
      </c>
      <c r="L79" s="257">
        <v>45.36</v>
      </c>
      <c r="M79" s="379">
        <f>((M$73*N$73)/240*($H79/N79))</f>
        <v>1.2500000000000001E-2</v>
      </c>
      <c r="N79" s="380">
        <v>1</v>
      </c>
      <c r="O79" s="520">
        <f t="shared" si="3"/>
        <v>0.56700000000000006</v>
      </c>
      <c r="P79" s="261">
        <v>42840</v>
      </c>
      <c r="Q79" s="496">
        <f t="shared" si="4"/>
        <v>24290.280000000002</v>
      </c>
      <c r="R79" s="261">
        <v>47231.1</v>
      </c>
      <c r="S79" s="521">
        <f t="shared" si="5"/>
        <v>26780.033700000004</v>
      </c>
      <c r="T79" s="259">
        <v>49968.576000000008</v>
      </c>
      <c r="U79" s="517">
        <f t="shared" si="6"/>
        <v>28332.182592000008</v>
      </c>
      <c r="V79" s="259">
        <f t="shared" si="7"/>
        <v>46679.892</v>
      </c>
      <c r="W79" s="267">
        <f t="shared" si="8"/>
        <v>26467.498764000004</v>
      </c>
      <c r="X79" s="647"/>
      <c r="Y79" s="492">
        <f t="shared" si="9"/>
        <v>590.38875000000007</v>
      </c>
      <c r="Z79" s="390"/>
    </row>
    <row r="80" spans="2:26" x14ac:dyDescent="0.35">
      <c r="B80" s="518"/>
      <c r="C80" s="173"/>
      <c r="D80" s="173"/>
      <c r="E80" s="623"/>
      <c r="F80" s="381" t="s">
        <v>229</v>
      </c>
      <c r="G80" s="316" t="s">
        <v>183</v>
      </c>
      <c r="H80" s="317">
        <v>12</v>
      </c>
      <c r="I80" s="318" t="s">
        <v>228</v>
      </c>
      <c r="J80" s="600" t="s">
        <v>179</v>
      </c>
      <c r="K80" s="433">
        <v>1</v>
      </c>
      <c r="L80" s="257">
        <v>45.36</v>
      </c>
      <c r="M80" s="379">
        <f>((M$73*N$73)/240*($H80/N80))</f>
        <v>3.7500000000000006E-2</v>
      </c>
      <c r="N80" s="380">
        <v>1</v>
      </c>
      <c r="O80" s="520">
        <f t="shared" si="3"/>
        <v>1.7010000000000003</v>
      </c>
      <c r="P80" s="261">
        <v>14000</v>
      </c>
      <c r="Q80" s="496">
        <f t="shared" si="4"/>
        <v>23814.000000000004</v>
      </c>
      <c r="R80" s="261">
        <v>15435</v>
      </c>
      <c r="S80" s="521">
        <f t="shared" si="5"/>
        <v>26254.935000000005</v>
      </c>
      <c r="T80" s="259">
        <v>16329.600000000002</v>
      </c>
      <c r="U80" s="517">
        <f t="shared" si="6"/>
        <v>27776.649600000008</v>
      </c>
      <c r="V80" s="259">
        <f t="shared" si="7"/>
        <v>15254.866666666667</v>
      </c>
      <c r="W80" s="267">
        <f t="shared" si="8"/>
        <v>25948.528200000004</v>
      </c>
      <c r="X80" s="647"/>
      <c r="Y80" s="492">
        <f t="shared" si="9"/>
        <v>578.81250000000011</v>
      </c>
      <c r="Z80" s="390"/>
    </row>
    <row r="81" spans="2:26" x14ac:dyDescent="0.35">
      <c r="B81" s="518"/>
      <c r="C81" s="173"/>
      <c r="D81" s="173"/>
      <c r="E81" s="623"/>
      <c r="F81" s="381" t="s">
        <v>230</v>
      </c>
      <c r="G81" s="316" t="s">
        <v>183</v>
      </c>
      <c r="H81" s="317">
        <v>1</v>
      </c>
      <c r="I81" s="318" t="s">
        <v>228</v>
      </c>
      <c r="J81" s="600" t="s">
        <v>179</v>
      </c>
      <c r="K81" s="433">
        <v>1</v>
      </c>
      <c r="L81" s="257">
        <v>45.36</v>
      </c>
      <c r="M81" s="379">
        <f>((M$73*N$73)/240*($H81/N81))</f>
        <v>3.1250000000000002E-3</v>
      </c>
      <c r="N81" s="380">
        <v>1</v>
      </c>
      <c r="O81" s="520">
        <f t="shared" si="3"/>
        <v>0.14175000000000001</v>
      </c>
      <c r="P81" s="261">
        <v>37485</v>
      </c>
      <c r="Q81" s="496">
        <f t="shared" si="4"/>
        <v>5313.4987500000007</v>
      </c>
      <c r="R81" s="261">
        <v>41327.212500000001</v>
      </c>
      <c r="S81" s="521">
        <f t="shared" si="5"/>
        <v>5858.1323718750009</v>
      </c>
      <c r="T81" s="259">
        <v>43722.504000000008</v>
      </c>
      <c r="U81" s="517">
        <f t="shared" si="6"/>
        <v>6197.6649420000022</v>
      </c>
      <c r="V81" s="259">
        <f t="shared" si="7"/>
        <v>40844.905500000008</v>
      </c>
      <c r="W81" s="267">
        <f t="shared" si="8"/>
        <v>5789.7653546250012</v>
      </c>
      <c r="X81" s="647"/>
      <c r="Y81" s="492">
        <f t="shared" si="9"/>
        <v>129.14753906250002</v>
      </c>
      <c r="Z81" s="390"/>
    </row>
    <row r="82" spans="2:26" x14ac:dyDescent="0.35">
      <c r="B82" s="518"/>
      <c r="C82" s="173"/>
      <c r="D82" s="173"/>
      <c r="E82" s="623"/>
      <c r="F82" s="381" t="s">
        <v>231</v>
      </c>
      <c r="G82" s="316" t="s">
        <v>183</v>
      </c>
      <c r="H82" s="317">
        <v>2</v>
      </c>
      <c r="I82" s="318" t="s">
        <v>228</v>
      </c>
      <c r="J82" s="600" t="s">
        <v>179</v>
      </c>
      <c r="K82" s="433">
        <v>1</v>
      </c>
      <c r="L82" s="257">
        <v>45.36</v>
      </c>
      <c r="M82" s="379">
        <f>((M$73*N$73)/240*($H82/N82))</f>
        <v>6.2500000000000003E-3</v>
      </c>
      <c r="N82" s="380">
        <v>1</v>
      </c>
      <c r="O82" s="520">
        <f t="shared" si="3"/>
        <v>0.28350000000000003</v>
      </c>
      <c r="P82" s="261">
        <v>32130</v>
      </c>
      <c r="Q82" s="496">
        <f t="shared" si="4"/>
        <v>9108.8550000000014</v>
      </c>
      <c r="R82" s="261">
        <v>35423.325000000004</v>
      </c>
      <c r="S82" s="521">
        <f t="shared" si="5"/>
        <v>10042.512637500002</v>
      </c>
      <c r="T82" s="259">
        <v>37476.432000000001</v>
      </c>
      <c r="U82" s="517">
        <f t="shared" si="6"/>
        <v>10624.568472000001</v>
      </c>
      <c r="V82" s="259">
        <f t="shared" si="7"/>
        <v>35009.919000000002</v>
      </c>
      <c r="W82" s="267">
        <f t="shared" si="8"/>
        <v>9925.3120365000013</v>
      </c>
      <c r="X82" s="647"/>
      <c r="Y82" s="492">
        <f t="shared" si="9"/>
        <v>221.39578125000006</v>
      </c>
      <c r="Z82" s="390"/>
    </row>
    <row r="83" spans="2:26" x14ac:dyDescent="0.35">
      <c r="B83" s="518"/>
      <c r="C83" s="173"/>
      <c r="D83" s="173"/>
      <c r="E83" s="599"/>
      <c r="F83" s="381" t="s">
        <v>232</v>
      </c>
      <c r="G83" s="316" t="s">
        <v>183</v>
      </c>
      <c r="H83" s="317">
        <v>1</v>
      </c>
      <c r="I83" s="318" t="s">
        <v>228</v>
      </c>
      <c r="J83" s="600" t="s">
        <v>179</v>
      </c>
      <c r="K83" s="433">
        <v>1</v>
      </c>
      <c r="L83" s="257">
        <v>45.36</v>
      </c>
      <c r="M83" s="379">
        <f>((M$73*N$73)/240*($H83/N83))</f>
        <v>3.1250000000000002E-3</v>
      </c>
      <c r="N83" s="380">
        <v>1</v>
      </c>
      <c r="O83" s="520">
        <f t="shared" si="3"/>
        <v>0.14175000000000001</v>
      </c>
      <c r="P83" s="261">
        <v>85680</v>
      </c>
      <c r="Q83" s="496">
        <f t="shared" si="4"/>
        <v>12145.140000000001</v>
      </c>
      <c r="R83" s="261">
        <v>94462.2</v>
      </c>
      <c r="S83" s="521">
        <f t="shared" si="5"/>
        <v>13390.016850000002</v>
      </c>
      <c r="T83" s="259">
        <v>99937.152000000016</v>
      </c>
      <c r="U83" s="517">
        <f t="shared" si="6"/>
        <v>14166.091296000004</v>
      </c>
      <c r="V83" s="259">
        <f t="shared" si="7"/>
        <v>93359.784</v>
      </c>
      <c r="W83" s="267">
        <f t="shared" si="8"/>
        <v>13233.749382000002</v>
      </c>
      <c r="X83" s="647"/>
      <c r="Y83" s="492">
        <f t="shared" si="9"/>
        <v>295.19437500000004</v>
      </c>
      <c r="Z83" s="390"/>
    </row>
    <row r="84" spans="2:26" x14ac:dyDescent="0.35">
      <c r="B84" s="606" t="s">
        <v>467</v>
      </c>
      <c r="C84" s="607"/>
      <c r="D84" s="607"/>
      <c r="E84" s="608"/>
      <c r="F84" s="609"/>
      <c r="G84" s="610"/>
      <c r="H84" s="611"/>
      <c r="I84" s="612"/>
      <c r="J84" s="610"/>
      <c r="K84" s="613"/>
      <c r="L84" s="614"/>
      <c r="M84" s="615"/>
      <c r="N84" s="616"/>
      <c r="O84" s="611"/>
      <c r="P84" s="617"/>
      <c r="Q84" s="617"/>
      <c r="R84" s="617"/>
      <c r="S84" s="618">
        <f>SUM(S73:S83)</f>
        <v>6970393.7103425609</v>
      </c>
      <c r="T84" s="605"/>
      <c r="U84" s="605"/>
      <c r="V84" s="605"/>
      <c r="W84" s="605"/>
      <c r="X84" s="644"/>
      <c r="Y84" s="645">
        <f>S84/D1</f>
        <v>153668.29167421872</v>
      </c>
      <c r="Z84" s="648">
        <f>S84/$S$415*100</f>
        <v>1.3918192367082296</v>
      </c>
    </row>
    <row r="85" spans="2:26" x14ac:dyDescent="0.35">
      <c r="B85" s="518"/>
      <c r="D85" t="s">
        <v>470</v>
      </c>
      <c r="E85" s="506"/>
      <c r="F85" s="151" t="s">
        <v>177</v>
      </c>
      <c r="G85" s="316" t="s">
        <v>178</v>
      </c>
      <c r="H85" s="317"/>
      <c r="I85" s="318"/>
      <c r="J85" s="316"/>
      <c r="K85" s="502"/>
      <c r="L85" s="577"/>
      <c r="M85" s="258"/>
      <c r="N85" s="259"/>
      <c r="O85" s="317"/>
      <c r="P85" s="496"/>
      <c r="Q85" s="496"/>
      <c r="R85" s="496"/>
      <c r="S85" s="521"/>
      <c r="T85" s="517"/>
      <c r="U85" s="517"/>
      <c r="V85" s="517"/>
      <c r="W85" s="517"/>
      <c r="X85" s="578"/>
      <c r="Y85" s="151"/>
      <c r="Z85" s="151"/>
    </row>
    <row r="86" spans="2:26" x14ac:dyDescent="0.35">
      <c r="B86" s="518"/>
      <c r="E86" s="519"/>
      <c r="F86" s="151" t="s">
        <v>221</v>
      </c>
      <c r="G86" s="316" t="s">
        <v>222</v>
      </c>
      <c r="H86" s="317"/>
      <c r="I86" s="318"/>
      <c r="J86" s="316"/>
      <c r="K86" s="502"/>
      <c r="L86" s="577"/>
      <c r="M86" s="258"/>
      <c r="N86" s="259"/>
      <c r="O86" s="317"/>
      <c r="P86" s="496"/>
      <c r="Q86" s="496"/>
      <c r="R86" s="496"/>
      <c r="S86" s="521"/>
      <c r="T86" s="517"/>
      <c r="U86" s="517"/>
      <c r="V86" s="517"/>
      <c r="W86" s="517"/>
      <c r="X86" s="578"/>
      <c r="Y86" s="151"/>
      <c r="Z86" s="151"/>
    </row>
    <row r="87" spans="2:26" x14ac:dyDescent="0.35">
      <c r="B87" s="518"/>
      <c r="E87" s="519"/>
      <c r="F87" s="151" t="s">
        <v>223</v>
      </c>
      <c r="G87" s="316" t="s">
        <v>181</v>
      </c>
      <c r="H87" s="317"/>
      <c r="I87" s="318"/>
      <c r="J87" s="316"/>
      <c r="K87" s="502"/>
      <c r="L87" s="577"/>
      <c r="M87" s="258"/>
      <c r="N87" s="259"/>
      <c r="O87" s="317"/>
      <c r="P87" s="496"/>
      <c r="Q87" s="496"/>
      <c r="R87" s="496"/>
      <c r="S87" s="521"/>
      <c r="T87" s="517"/>
      <c r="U87" s="517"/>
      <c r="V87" s="517"/>
      <c r="W87" s="517"/>
      <c r="X87" s="578"/>
      <c r="Y87" s="151"/>
      <c r="Z87" s="151"/>
    </row>
    <row r="88" spans="2:26" x14ac:dyDescent="0.35">
      <c r="B88" s="518"/>
      <c r="E88" s="519"/>
      <c r="F88" s="151" t="s">
        <v>225</v>
      </c>
      <c r="G88" s="316" t="s">
        <v>222</v>
      </c>
      <c r="H88" s="317"/>
      <c r="I88" s="318"/>
      <c r="J88" s="316"/>
      <c r="K88" s="502"/>
      <c r="L88" s="577"/>
      <c r="M88" s="258"/>
      <c r="N88" s="259"/>
      <c r="O88" s="317"/>
      <c r="P88" s="496"/>
      <c r="Q88" s="496"/>
      <c r="R88" s="496"/>
      <c r="S88" s="521"/>
      <c r="T88" s="517"/>
      <c r="U88" s="517"/>
      <c r="V88" s="517"/>
      <c r="W88" s="517"/>
      <c r="X88" s="578"/>
      <c r="Y88" s="151"/>
      <c r="Z88" s="151"/>
    </row>
    <row r="89" spans="2:26" x14ac:dyDescent="0.35">
      <c r="B89" s="518"/>
      <c r="E89" s="519"/>
      <c r="F89" s="151" t="s">
        <v>226</v>
      </c>
      <c r="G89" s="316" t="s">
        <v>178</v>
      </c>
      <c r="H89" s="317"/>
      <c r="I89" s="318"/>
      <c r="J89" s="316"/>
      <c r="K89" s="502"/>
      <c r="L89" s="577"/>
      <c r="M89" s="258"/>
      <c r="N89" s="259"/>
      <c r="O89" s="317"/>
      <c r="P89" s="496"/>
      <c r="Q89" s="496"/>
      <c r="R89" s="496"/>
      <c r="S89" s="521"/>
      <c r="T89" s="517"/>
      <c r="U89" s="517"/>
      <c r="V89" s="517"/>
      <c r="W89" s="517"/>
      <c r="X89" s="578"/>
      <c r="Y89" s="151"/>
      <c r="Z89" s="151"/>
    </row>
    <row r="90" spans="2:26" x14ac:dyDescent="0.35">
      <c r="B90" s="518"/>
      <c r="E90" s="519"/>
      <c r="F90" s="151" t="s">
        <v>220</v>
      </c>
      <c r="G90" s="316" t="s">
        <v>183</v>
      </c>
      <c r="H90" s="317"/>
      <c r="I90" s="318"/>
      <c r="J90" s="316"/>
      <c r="K90" s="502"/>
      <c r="L90" s="577"/>
      <c r="M90" s="258"/>
      <c r="N90" s="259"/>
      <c r="O90" s="317"/>
      <c r="P90" s="496"/>
      <c r="Q90" s="496"/>
      <c r="R90" s="496"/>
      <c r="S90" s="521"/>
      <c r="T90" s="517"/>
      <c r="U90" s="517"/>
      <c r="V90" s="517"/>
      <c r="W90" s="517"/>
      <c r="X90" s="578"/>
      <c r="Y90" s="151"/>
      <c r="Z90" s="151"/>
    </row>
    <row r="91" spans="2:26" x14ac:dyDescent="0.35">
      <c r="B91" s="518"/>
      <c r="E91" s="519"/>
      <c r="F91" s="151" t="s">
        <v>227</v>
      </c>
      <c r="G91" s="316" t="s">
        <v>183</v>
      </c>
      <c r="H91" s="317"/>
      <c r="I91" s="318"/>
      <c r="J91" s="316"/>
      <c r="K91" s="502"/>
      <c r="L91" s="577"/>
      <c r="M91" s="258"/>
      <c r="N91" s="259"/>
      <c r="O91" s="317"/>
      <c r="P91" s="496"/>
      <c r="Q91" s="496"/>
      <c r="R91" s="496"/>
      <c r="S91" s="521"/>
      <c r="T91" s="517"/>
      <c r="U91" s="517"/>
      <c r="V91" s="517"/>
      <c r="W91" s="517"/>
      <c r="X91" s="578"/>
      <c r="Y91" s="151"/>
      <c r="Z91" s="151"/>
    </row>
    <row r="92" spans="2:26" x14ac:dyDescent="0.35">
      <c r="B92" s="518"/>
      <c r="E92" s="519"/>
      <c r="F92" s="151" t="s">
        <v>453</v>
      </c>
      <c r="G92" s="316" t="s">
        <v>183</v>
      </c>
      <c r="H92" s="317"/>
      <c r="I92" s="318"/>
      <c r="J92" s="316"/>
      <c r="K92" s="502"/>
      <c r="L92" s="577"/>
      <c r="M92" s="258"/>
      <c r="N92" s="259"/>
      <c r="O92" s="317"/>
      <c r="P92" s="496"/>
      <c r="Q92" s="496"/>
      <c r="R92" s="496"/>
      <c r="S92" s="521"/>
      <c r="T92" s="517"/>
      <c r="U92" s="517"/>
      <c r="V92" s="517"/>
      <c r="W92" s="517"/>
      <c r="X92" s="578"/>
      <c r="Y92" s="151"/>
      <c r="Z92" s="151"/>
    </row>
    <row r="93" spans="2:26" x14ac:dyDescent="0.35">
      <c r="B93" s="518"/>
      <c r="E93" s="519"/>
      <c r="F93" s="151" t="s">
        <v>230</v>
      </c>
      <c r="G93" s="316" t="s">
        <v>183</v>
      </c>
      <c r="H93" s="317"/>
      <c r="I93" s="318"/>
      <c r="J93" s="316"/>
      <c r="K93" s="502"/>
      <c r="L93" s="577"/>
      <c r="M93" s="258"/>
      <c r="N93" s="259"/>
      <c r="O93" s="317"/>
      <c r="P93" s="496"/>
      <c r="Q93" s="496"/>
      <c r="R93" s="496"/>
      <c r="S93" s="521"/>
      <c r="T93" s="517"/>
      <c r="U93" s="517"/>
      <c r="V93" s="517"/>
      <c r="W93" s="517"/>
      <c r="X93" s="578"/>
      <c r="Y93" s="151"/>
      <c r="Z93" s="151"/>
    </row>
    <row r="94" spans="2:26" x14ac:dyDescent="0.35">
      <c r="B94" s="518"/>
      <c r="E94" s="519"/>
      <c r="F94" s="151" t="s">
        <v>231</v>
      </c>
      <c r="G94" s="316" t="s">
        <v>183</v>
      </c>
      <c r="H94" s="317"/>
      <c r="I94" s="318"/>
      <c r="J94" s="316"/>
      <c r="K94" s="502"/>
      <c r="L94" s="577"/>
      <c r="M94" s="258"/>
      <c r="N94" s="259"/>
      <c r="O94" s="317"/>
      <c r="P94" s="496"/>
      <c r="Q94" s="496"/>
      <c r="R94" s="496"/>
      <c r="S94" s="521"/>
      <c r="T94" s="517"/>
      <c r="U94" s="517"/>
      <c r="V94" s="517"/>
      <c r="W94" s="517"/>
      <c r="X94" s="578"/>
      <c r="Y94" s="151"/>
      <c r="Z94" s="151"/>
    </row>
    <row r="95" spans="2:26" x14ac:dyDescent="0.35">
      <c r="B95" s="518"/>
      <c r="D95" s="580"/>
      <c r="E95" s="581"/>
      <c r="F95" s="151" t="s">
        <v>232</v>
      </c>
      <c r="G95" s="316" t="s">
        <v>183</v>
      </c>
      <c r="H95" s="317"/>
      <c r="I95" s="318"/>
      <c r="J95" s="316"/>
      <c r="K95" s="502"/>
      <c r="L95" s="577"/>
      <c r="M95" s="258"/>
      <c r="N95" s="259"/>
      <c r="O95" s="317"/>
      <c r="P95" s="496"/>
      <c r="Q95" s="496"/>
      <c r="R95" s="496"/>
      <c r="S95" s="521"/>
      <c r="T95" s="517"/>
      <c r="U95" s="517"/>
      <c r="V95" s="517"/>
      <c r="W95" s="517"/>
      <c r="X95" s="578"/>
      <c r="Y95" s="151"/>
      <c r="Z95" s="151"/>
    </row>
    <row r="96" spans="2:26" x14ac:dyDescent="0.35">
      <c r="B96" s="518"/>
      <c r="D96" s="172" t="s">
        <v>471</v>
      </c>
      <c r="E96" s="506"/>
      <c r="F96" s="151" t="s">
        <v>177</v>
      </c>
      <c r="G96" s="316" t="s">
        <v>178</v>
      </c>
      <c r="H96" s="317"/>
      <c r="I96" s="318"/>
      <c r="J96" s="316"/>
      <c r="K96" s="502"/>
      <c r="L96" s="577"/>
      <c r="M96" s="258"/>
      <c r="N96" s="259"/>
      <c r="O96" s="317"/>
      <c r="P96" s="496"/>
      <c r="Q96" s="496"/>
      <c r="R96" s="496"/>
      <c r="S96" s="521"/>
      <c r="T96" s="517"/>
      <c r="U96" s="517"/>
      <c r="V96" s="517"/>
      <c r="W96" s="517"/>
      <c r="X96" s="578"/>
      <c r="Y96" s="151"/>
      <c r="Z96" s="151"/>
    </row>
    <row r="97" spans="2:26" x14ac:dyDescent="0.35">
      <c r="B97" s="518"/>
      <c r="E97" s="519"/>
      <c r="F97" s="151" t="s">
        <v>221</v>
      </c>
      <c r="G97" s="316" t="s">
        <v>222</v>
      </c>
      <c r="H97" s="317"/>
      <c r="I97" s="318"/>
      <c r="J97" s="316"/>
      <c r="K97" s="502"/>
      <c r="L97" s="577"/>
      <c r="M97" s="258"/>
      <c r="N97" s="259"/>
      <c r="O97" s="317"/>
      <c r="P97" s="496"/>
      <c r="Q97" s="496"/>
      <c r="R97" s="496"/>
      <c r="S97" s="521"/>
      <c r="T97" s="517"/>
      <c r="U97" s="517"/>
      <c r="V97" s="517"/>
      <c r="W97" s="517"/>
      <c r="X97" s="578"/>
      <c r="Y97" s="151"/>
      <c r="Z97" s="151"/>
    </row>
    <row r="98" spans="2:26" x14ac:dyDescent="0.35">
      <c r="B98" s="518"/>
      <c r="E98" s="519"/>
      <c r="F98" s="151" t="s">
        <v>223</v>
      </c>
      <c r="G98" s="316" t="s">
        <v>181</v>
      </c>
      <c r="H98" s="317"/>
      <c r="I98" s="318"/>
      <c r="J98" s="316"/>
      <c r="K98" s="502"/>
      <c r="L98" s="577"/>
      <c r="M98" s="258"/>
      <c r="N98" s="259"/>
      <c r="O98" s="317"/>
      <c r="P98" s="496"/>
      <c r="Q98" s="496"/>
      <c r="R98" s="496"/>
      <c r="S98" s="521"/>
      <c r="T98" s="517"/>
      <c r="U98" s="517"/>
      <c r="V98" s="517"/>
      <c r="W98" s="517"/>
      <c r="X98" s="578"/>
      <c r="Y98" s="151"/>
      <c r="Z98" s="151"/>
    </row>
    <row r="99" spans="2:26" x14ac:dyDescent="0.35">
      <c r="B99" s="518"/>
      <c r="E99" s="519"/>
      <c r="F99" s="151" t="s">
        <v>225</v>
      </c>
      <c r="G99" s="316" t="s">
        <v>222</v>
      </c>
      <c r="H99" s="317"/>
      <c r="I99" s="318"/>
      <c r="J99" s="316"/>
      <c r="K99" s="502"/>
      <c r="L99" s="577"/>
      <c r="M99" s="258"/>
      <c r="N99" s="259"/>
      <c r="O99" s="317"/>
      <c r="P99" s="496"/>
      <c r="Q99" s="496"/>
      <c r="R99" s="496"/>
      <c r="S99" s="521"/>
      <c r="T99" s="517"/>
      <c r="U99" s="517"/>
      <c r="V99" s="517"/>
      <c r="W99" s="517"/>
      <c r="X99" s="578"/>
      <c r="Y99" s="151"/>
      <c r="Z99" s="151"/>
    </row>
    <row r="100" spans="2:26" x14ac:dyDescent="0.35">
      <c r="B100" s="518"/>
      <c r="E100" s="519"/>
      <c r="F100" s="151" t="s">
        <v>226</v>
      </c>
      <c r="G100" s="316" t="s">
        <v>178</v>
      </c>
      <c r="H100" s="317"/>
      <c r="I100" s="318"/>
      <c r="J100" s="316"/>
      <c r="K100" s="502"/>
      <c r="L100" s="577"/>
      <c r="M100" s="258"/>
      <c r="N100" s="259"/>
      <c r="O100" s="317"/>
      <c r="P100" s="496"/>
      <c r="Q100" s="496"/>
      <c r="R100" s="496"/>
      <c r="S100" s="521"/>
      <c r="T100" s="517"/>
      <c r="U100" s="517"/>
      <c r="V100" s="517"/>
      <c r="W100" s="517"/>
      <c r="X100" s="578"/>
      <c r="Y100" s="151"/>
      <c r="Z100" s="151"/>
    </row>
    <row r="101" spans="2:26" x14ac:dyDescent="0.35">
      <c r="B101" s="518"/>
      <c r="E101" s="519"/>
      <c r="F101" s="151" t="s">
        <v>220</v>
      </c>
      <c r="G101" s="316" t="s">
        <v>183</v>
      </c>
      <c r="H101" s="317"/>
      <c r="I101" s="318"/>
      <c r="J101" s="316"/>
      <c r="K101" s="502"/>
      <c r="L101" s="577"/>
      <c r="M101" s="258"/>
      <c r="N101" s="259"/>
      <c r="O101" s="317"/>
      <c r="P101" s="496"/>
      <c r="Q101" s="496"/>
      <c r="R101" s="496"/>
      <c r="S101" s="521"/>
      <c r="T101" s="517"/>
      <c r="U101" s="517"/>
      <c r="V101" s="517"/>
      <c r="W101" s="517"/>
      <c r="X101" s="578"/>
      <c r="Y101" s="151"/>
      <c r="Z101" s="151"/>
    </row>
    <row r="102" spans="2:26" x14ac:dyDescent="0.35">
      <c r="B102" s="518"/>
      <c r="E102" s="519"/>
      <c r="F102" s="151" t="s">
        <v>227</v>
      </c>
      <c r="G102" s="316" t="s">
        <v>183</v>
      </c>
      <c r="H102" s="317"/>
      <c r="I102" s="318"/>
      <c r="J102" s="316"/>
      <c r="K102" s="502"/>
      <c r="L102" s="577"/>
      <c r="M102" s="258"/>
      <c r="N102" s="259"/>
      <c r="O102" s="317"/>
      <c r="P102" s="496"/>
      <c r="Q102" s="496"/>
      <c r="R102" s="496"/>
      <c r="S102" s="521"/>
      <c r="T102" s="517"/>
      <c r="U102" s="517"/>
      <c r="V102" s="517"/>
      <c r="W102" s="517"/>
      <c r="X102" s="578"/>
      <c r="Y102" s="151"/>
      <c r="Z102" s="151"/>
    </row>
    <row r="103" spans="2:26" x14ac:dyDescent="0.35">
      <c r="B103" s="518"/>
      <c r="E103" s="519"/>
      <c r="F103" s="151" t="s">
        <v>453</v>
      </c>
      <c r="G103" s="316" t="s">
        <v>183</v>
      </c>
      <c r="H103" s="317"/>
      <c r="I103" s="318"/>
      <c r="J103" s="316"/>
      <c r="K103" s="502"/>
      <c r="L103" s="577"/>
      <c r="M103" s="258"/>
      <c r="N103" s="259"/>
      <c r="O103" s="317"/>
      <c r="P103" s="496"/>
      <c r="Q103" s="496"/>
      <c r="R103" s="496"/>
      <c r="S103" s="521"/>
      <c r="T103" s="517"/>
      <c r="U103" s="517"/>
      <c r="V103" s="517"/>
      <c r="W103" s="517"/>
      <c r="X103" s="578"/>
      <c r="Y103" s="151"/>
      <c r="Z103" s="151"/>
    </row>
    <row r="104" spans="2:26" x14ac:dyDescent="0.35">
      <c r="B104" s="518"/>
      <c r="E104" s="519"/>
      <c r="F104" s="151" t="s">
        <v>230</v>
      </c>
      <c r="G104" s="316" t="s">
        <v>183</v>
      </c>
      <c r="H104" s="317"/>
      <c r="I104" s="318"/>
      <c r="J104" s="316"/>
      <c r="K104" s="502"/>
      <c r="L104" s="577"/>
      <c r="M104" s="258"/>
      <c r="N104" s="259"/>
      <c r="O104" s="317"/>
      <c r="P104" s="496"/>
      <c r="Q104" s="496"/>
      <c r="R104" s="496"/>
      <c r="S104" s="521"/>
      <c r="T104" s="517"/>
      <c r="U104" s="517"/>
      <c r="V104" s="517"/>
      <c r="W104" s="517"/>
      <c r="X104" s="578"/>
      <c r="Y104" s="151"/>
      <c r="Z104" s="151"/>
    </row>
    <row r="105" spans="2:26" x14ac:dyDescent="0.35">
      <c r="B105" s="518"/>
      <c r="E105" s="519"/>
      <c r="F105" s="151" t="s">
        <v>231</v>
      </c>
      <c r="G105" s="316" t="s">
        <v>183</v>
      </c>
      <c r="H105" s="317"/>
      <c r="I105" s="318"/>
      <c r="J105" s="316"/>
      <c r="K105" s="502"/>
      <c r="L105" s="577"/>
      <c r="M105" s="258"/>
      <c r="N105" s="259"/>
      <c r="O105" s="317"/>
      <c r="P105" s="496"/>
      <c r="Q105" s="496"/>
      <c r="R105" s="496"/>
      <c r="S105" s="521"/>
      <c r="T105" s="517"/>
      <c r="U105" s="517"/>
      <c r="V105" s="517"/>
      <c r="W105" s="517"/>
      <c r="X105" s="578"/>
      <c r="Y105" s="151"/>
      <c r="Z105" s="151"/>
    </row>
    <row r="106" spans="2:26" x14ac:dyDescent="0.35">
      <c r="B106" s="579"/>
      <c r="C106" s="580"/>
      <c r="D106" s="580"/>
      <c r="E106" s="581"/>
      <c r="F106" s="151" t="s">
        <v>232</v>
      </c>
      <c r="G106" s="316" t="s">
        <v>183</v>
      </c>
      <c r="H106" s="317"/>
      <c r="I106" s="318"/>
      <c r="J106" s="316"/>
      <c r="K106" s="502"/>
      <c r="L106" s="577"/>
      <c r="M106" s="258"/>
      <c r="N106" s="259"/>
      <c r="O106" s="317"/>
      <c r="P106" s="496"/>
      <c r="Q106" s="496"/>
      <c r="R106" s="496"/>
      <c r="S106" s="521"/>
      <c r="T106" s="517"/>
      <c r="U106" s="517"/>
      <c r="V106" s="517"/>
      <c r="W106" s="517"/>
      <c r="X106" s="578"/>
      <c r="Y106" s="151"/>
      <c r="Z106" s="151"/>
    </row>
    <row r="107" spans="2:26" x14ac:dyDescent="0.35">
      <c r="B107" s="504"/>
      <c r="C107" s="172" t="s">
        <v>73</v>
      </c>
      <c r="D107" s="172"/>
      <c r="E107" s="506"/>
      <c r="F107" s="151" t="s">
        <v>177</v>
      </c>
      <c r="G107" s="316" t="s">
        <v>178</v>
      </c>
      <c r="H107" s="317"/>
      <c r="I107" s="318"/>
      <c r="J107" s="316" t="s">
        <v>179</v>
      </c>
      <c r="K107" s="433">
        <v>1</v>
      </c>
      <c r="L107" s="257">
        <v>45.36</v>
      </c>
      <c r="M107" s="258">
        <v>2.5</v>
      </c>
      <c r="N107" s="261">
        <v>2</v>
      </c>
      <c r="O107" s="520">
        <f>K107*L107*M107*N107</f>
        <v>226.8</v>
      </c>
      <c r="P107" s="261">
        <v>140008</v>
      </c>
      <c r="Q107" s="496">
        <f>P107*$O107</f>
        <v>31753814.400000002</v>
      </c>
      <c r="R107" s="261">
        <v>158800.57379999998</v>
      </c>
      <c r="S107" s="521">
        <f>R107*$O107</f>
        <v>36015970.137839995</v>
      </c>
      <c r="T107" s="259">
        <v>163305.33120000002</v>
      </c>
      <c r="U107" s="517">
        <f>$O107*T107</f>
        <v>37037649.116160005</v>
      </c>
      <c r="V107" s="259">
        <f>W107/O107</f>
        <v>154037.96833333332</v>
      </c>
      <c r="W107" s="267">
        <f>AVERAGEIF($P$3:$U$3,W$3,$P107:$U107)</f>
        <v>34935811.218000002</v>
      </c>
      <c r="X107" s="578"/>
      <c r="Y107" s="492">
        <f t="shared" ref="Y107:Y109" si="10">S107/$D$1</f>
        <v>794002.86899999995</v>
      </c>
      <c r="Z107" s="151"/>
    </row>
    <row r="108" spans="2:26" x14ac:dyDescent="0.35">
      <c r="B108" s="518"/>
      <c r="E108" s="519"/>
      <c r="F108" s="151" t="s">
        <v>285</v>
      </c>
      <c r="G108" s="316" t="s">
        <v>183</v>
      </c>
      <c r="H108" s="317"/>
      <c r="I108" s="318"/>
      <c r="J108" s="316"/>
      <c r="K108" s="433">
        <v>1</v>
      </c>
      <c r="L108" s="257">
        <v>45.36</v>
      </c>
      <c r="M108" s="379">
        <f>0.017*(1/2)</f>
        <v>8.5000000000000006E-3</v>
      </c>
      <c r="N108" s="393">
        <v>2</v>
      </c>
      <c r="O108" s="520">
        <f>K108*L108*M108*N108</f>
        <v>0.77112000000000003</v>
      </c>
      <c r="P108" s="261">
        <v>75798.75</v>
      </c>
      <c r="Q108" s="496">
        <f>P108*$O108</f>
        <v>58449.932100000005</v>
      </c>
      <c r="R108" s="261">
        <v>83568.121874999997</v>
      </c>
      <c r="S108" s="521">
        <f>R108*$O108</f>
        <v>64441.050140250001</v>
      </c>
      <c r="T108" s="259">
        <v>88411.662000000011</v>
      </c>
      <c r="U108" s="517">
        <f>$O108*T108</f>
        <v>68176.000801440008</v>
      </c>
      <c r="V108" s="259">
        <f>W108/O108</f>
        <v>82592.844625000012</v>
      </c>
      <c r="W108" s="267">
        <f>AVERAGEIF($P$3:$U$3,W$3,$P108:$U108)</f>
        <v>63688.994347230007</v>
      </c>
      <c r="X108" s="578"/>
      <c r="Y108" s="492">
        <f t="shared" si="10"/>
        <v>1420.6580718750001</v>
      </c>
      <c r="Z108" s="151"/>
    </row>
    <row r="109" spans="2:26" x14ac:dyDescent="0.35">
      <c r="B109" s="518"/>
      <c r="D109" s="580"/>
      <c r="E109" s="581"/>
      <c r="F109" s="151" t="s">
        <v>232</v>
      </c>
      <c r="G109" s="316" t="s">
        <v>183</v>
      </c>
      <c r="H109" s="317"/>
      <c r="I109" s="318"/>
      <c r="J109" s="316" t="s">
        <v>179</v>
      </c>
      <c r="K109" s="433">
        <v>1</v>
      </c>
      <c r="L109" s="257">
        <v>45.36</v>
      </c>
      <c r="M109" s="379">
        <f>0.017*(1/2)</f>
        <v>8.5000000000000006E-3</v>
      </c>
      <c r="N109" s="393">
        <v>2</v>
      </c>
      <c r="O109" s="520">
        <f>K109*L109*M109*N109</f>
        <v>0.77112000000000003</v>
      </c>
      <c r="P109" s="261">
        <v>85680</v>
      </c>
      <c r="Q109" s="496">
        <f>P109*$O109</f>
        <v>66069.561600000001</v>
      </c>
      <c r="R109" s="261">
        <v>94462.2</v>
      </c>
      <c r="S109" s="521">
        <f>R109*$O109</f>
        <v>72841.691663999998</v>
      </c>
      <c r="T109" s="259">
        <v>99937.152000000016</v>
      </c>
      <c r="U109" s="517">
        <f>$O109*T109</f>
        <v>77063.536650240014</v>
      </c>
      <c r="V109" s="259">
        <f>W109/O109</f>
        <v>93359.784000000014</v>
      </c>
      <c r="W109" s="267">
        <f>AVERAGEIF($P$3:$U$3,W$3,$P109:$U109)</f>
        <v>71991.596638080009</v>
      </c>
      <c r="X109" s="578"/>
      <c r="Y109" s="492">
        <f t="shared" si="10"/>
        <v>1605.8573999999999</v>
      </c>
      <c r="Z109" s="151"/>
    </row>
    <row r="110" spans="2:26" x14ac:dyDescent="0.35">
      <c r="B110" s="518"/>
      <c r="D110" s="172" t="s">
        <v>472</v>
      </c>
      <c r="E110" s="506"/>
      <c r="F110" s="151" t="s">
        <v>177</v>
      </c>
      <c r="G110" s="316" t="s">
        <v>178</v>
      </c>
      <c r="H110" s="317"/>
      <c r="I110" s="318"/>
      <c r="J110" s="316"/>
      <c r="K110" s="502"/>
      <c r="L110" s="577"/>
      <c r="M110" s="379">
        <v>12</v>
      </c>
      <c r="N110" s="380">
        <v>1</v>
      </c>
      <c r="O110" s="578"/>
      <c r="P110" s="603"/>
      <c r="Q110" s="603"/>
      <c r="R110" s="603"/>
      <c r="S110" s="604"/>
      <c r="T110" s="605"/>
      <c r="U110" s="605"/>
      <c r="V110" s="605"/>
      <c r="W110" s="605"/>
      <c r="X110" s="578"/>
      <c r="Y110" s="151"/>
      <c r="Z110" s="151"/>
    </row>
    <row r="111" spans="2:26" x14ac:dyDescent="0.35">
      <c r="B111" s="518"/>
      <c r="E111" s="519"/>
      <c r="F111" s="151" t="s">
        <v>285</v>
      </c>
      <c r="G111" s="316" t="s">
        <v>183</v>
      </c>
      <c r="H111" s="317"/>
      <c r="I111" s="318"/>
      <c r="J111" s="316"/>
      <c r="K111" s="502"/>
      <c r="L111" s="577"/>
      <c r="M111" s="379">
        <v>1.7000000000000001E-2</v>
      </c>
      <c r="N111" s="380">
        <v>1</v>
      </c>
      <c r="O111" s="578"/>
      <c r="P111" s="603"/>
      <c r="Q111" s="603"/>
      <c r="R111" s="603"/>
      <c r="S111" s="604"/>
      <c r="T111" s="605"/>
      <c r="U111" s="605"/>
      <c r="V111" s="605"/>
      <c r="W111" s="605"/>
      <c r="X111" s="578"/>
      <c r="Y111" s="151"/>
      <c r="Z111" s="151"/>
    </row>
    <row r="112" spans="2:26" x14ac:dyDescent="0.35">
      <c r="B112" s="518"/>
      <c r="E112" s="519"/>
      <c r="F112" s="151" t="s">
        <v>232</v>
      </c>
      <c r="G112" s="316" t="s">
        <v>183</v>
      </c>
      <c r="H112" s="317">
        <v>1</v>
      </c>
      <c r="I112" s="318" t="s">
        <v>228</v>
      </c>
      <c r="J112" s="316"/>
      <c r="K112" s="502"/>
      <c r="L112" s="577"/>
      <c r="M112" s="379">
        <f>((M$110*N$110)/240*($H112/N112))</f>
        <v>0.05</v>
      </c>
      <c r="N112" s="380">
        <v>1</v>
      </c>
      <c r="O112" s="578"/>
      <c r="P112" s="603"/>
      <c r="Q112" s="603"/>
      <c r="R112" s="603"/>
      <c r="S112" s="604"/>
      <c r="T112" s="605"/>
      <c r="U112" s="605"/>
      <c r="V112" s="605"/>
      <c r="W112" s="605"/>
      <c r="X112" s="578"/>
      <c r="Y112" s="151"/>
      <c r="Z112" s="151"/>
    </row>
    <row r="113" spans="2:26" x14ac:dyDescent="0.35">
      <c r="B113" s="606" t="s">
        <v>473</v>
      </c>
      <c r="C113" s="607"/>
      <c r="D113" s="607"/>
      <c r="E113" s="608"/>
      <c r="F113" s="609"/>
      <c r="G113" s="610"/>
      <c r="H113" s="611"/>
      <c r="I113" s="612"/>
      <c r="J113" s="610"/>
      <c r="K113" s="613"/>
      <c r="L113" s="614"/>
      <c r="M113" s="615"/>
      <c r="N113" s="616"/>
      <c r="O113" s="611"/>
      <c r="P113" s="617"/>
      <c r="Q113" s="617"/>
      <c r="R113" s="617"/>
      <c r="S113" s="618">
        <f>SUM(S102:S112)</f>
        <v>36153252.879644245</v>
      </c>
      <c r="T113" s="605"/>
      <c r="U113" s="605"/>
      <c r="V113" s="605"/>
      <c r="W113" s="605"/>
      <c r="X113" s="611"/>
      <c r="Y113" s="645">
        <f>S113/D1</f>
        <v>797029.38447187492</v>
      </c>
      <c r="Z113" s="648">
        <f>S113/$S$415*100</f>
        <v>7.2189312280601632</v>
      </c>
    </row>
    <row r="114" spans="2:26" x14ac:dyDescent="0.35">
      <c r="B114" s="504"/>
      <c r="C114" s="172" t="s">
        <v>75</v>
      </c>
      <c r="D114" s="172"/>
      <c r="E114" s="506"/>
      <c r="F114" s="151" t="s">
        <v>177</v>
      </c>
      <c r="G114" s="316" t="s">
        <v>178</v>
      </c>
      <c r="H114" s="317"/>
      <c r="I114" s="318"/>
      <c r="J114" s="316" t="s">
        <v>179</v>
      </c>
      <c r="K114" s="433">
        <v>0.5</v>
      </c>
      <c r="L114" s="257">
        <v>45.36</v>
      </c>
      <c r="M114" s="436">
        <v>1.5</v>
      </c>
      <c r="N114" s="380">
        <v>1</v>
      </c>
      <c r="O114" s="520">
        <f t="shared" ref="O114:O125" si="11">K114*L114*M114*N114</f>
        <v>34.019999999999996</v>
      </c>
      <c r="P114" s="261">
        <v>140008</v>
      </c>
      <c r="Q114" s="496">
        <f t="shared" ref="Q114:Q125" si="12">P114*$O114</f>
        <v>4763072.1599999992</v>
      </c>
      <c r="R114" s="261">
        <v>158800.57379999998</v>
      </c>
      <c r="S114" s="521">
        <f t="shared" ref="S114:S125" si="13">R114*$O114</f>
        <v>5402395.5206759991</v>
      </c>
      <c r="T114" s="259">
        <v>163305.33120000002</v>
      </c>
      <c r="U114" s="517">
        <f t="shared" ref="U114:U125" si="14">$O114*T114</f>
        <v>5555647.3674240001</v>
      </c>
      <c r="V114" s="259">
        <f t="shared" ref="V114:V125" si="15">W114/O114</f>
        <v>154037.96833333335</v>
      </c>
      <c r="W114" s="267">
        <f t="shared" ref="W114:W125" si="16">AVERAGEIF($P$3:$U$3,W$3,$P114:$U114)</f>
        <v>5240371.6826999998</v>
      </c>
      <c r="X114" s="578"/>
      <c r="Y114" s="492">
        <f t="shared" ref="Y114" si="17">S114/$D$1</f>
        <v>119100.43034999998</v>
      </c>
      <c r="Z114" s="151"/>
    </row>
    <row r="115" spans="2:26" x14ac:dyDescent="0.35">
      <c r="B115" s="518"/>
      <c r="E115" s="519"/>
      <c r="F115" s="151" t="s">
        <v>474</v>
      </c>
      <c r="G115" s="316" t="s">
        <v>222</v>
      </c>
      <c r="H115" s="317"/>
      <c r="I115" s="318"/>
      <c r="J115" s="316" t="s">
        <v>179</v>
      </c>
      <c r="K115" s="502">
        <v>0</v>
      </c>
      <c r="L115" s="257">
        <v>45.36</v>
      </c>
      <c r="M115" s="436">
        <v>0.36</v>
      </c>
      <c r="N115" s="380">
        <v>1</v>
      </c>
      <c r="O115" s="520">
        <f t="shared" si="11"/>
        <v>0</v>
      </c>
      <c r="P115" s="261">
        <v>194983.2</v>
      </c>
      <c r="Q115" s="496">
        <f t="shared" si="12"/>
        <v>0</v>
      </c>
      <c r="R115" s="261">
        <v>199045.35</v>
      </c>
      <c r="S115" s="521">
        <f t="shared" si="13"/>
        <v>0</v>
      </c>
      <c r="T115" s="259">
        <v>223236.26568000004</v>
      </c>
      <c r="U115" s="517">
        <f t="shared" si="14"/>
        <v>0</v>
      </c>
      <c r="V115" s="259" t="e">
        <f t="shared" si="15"/>
        <v>#DIV/0!</v>
      </c>
      <c r="W115" s="267">
        <f t="shared" si="16"/>
        <v>0</v>
      </c>
      <c r="X115" s="578"/>
      <c r="Y115" s="492">
        <f t="shared" ref="Y115" si="18">S115/192.08</f>
        <v>0</v>
      </c>
      <c r="Z115" s="151"/>
    </row>
    <row r="116" spans="2:26" x14ac:dyDescent="0.35">
      <c r="B116" s="518"/>
      <c r="E116" s="519"/>
      <c r="F116" s="151" t="s">
        <v>223</v>
      </c>
      <c r="G116" s="316" t="s">
        <v>181</v>
      </c>
      <c r="H116" s="317"/>
      <c r="I116" s="318"/>
      <c r="J116" s="316" t="s">
        <v>179</v>
      </c>
      <c r="K116" s="433">
        <v>0.5</v>
      </c>
      <c r="L116" s="257">
        <v>45.36</v>
      </c>
      <c r="M116" s="436">
        <f>36/1000</f>
        <v>3.5999999999999997E-2</v>
      </c>
      <c r="N116" s="380">
        <v>1</v>
      </c>
      <c r="O116" s="520">
        <f t="shared" si="11"/>
        <v>0.81647999999999998</v>
      </c>
      <c r="P116" s="261">
        <v>99144</v>
      </c>
      <c r="Q116" s="496">
        <f t="shared" si="12"/>
        <v>80949.093120000005</v>
      </c>
      <c r="R116" s="261">
        <v>101209.5</v>
      </c>
      <c r="S116" s="521">
        <f t="shared" si="13"/>
        <v>82635.532559999992</v>
      </c>
      <c r="T116" s="259">
        <v>113509.96560000001</v>
      </c>
      <c r="U116" s="517">
        <f t="shared" si="14"/>
        <v>92678.616713088006</v>
      </c>
      <c r="V116" s="259">
        <f t="shared" si="15"/>
        <v>104621.15520000001</v>
      </c>
      <c r="W116" s="267">
        <f t="shared" si="16"/>
        <v>85421.080797696006</v>
      </c>
      <c r="X116" s="578"/>
      <c r="Y116" s="492">
        <f t="shared" ref="Y116:Y125" si="19">S116/$D$1</f>
        <v>1821.771</v>
      </c>
      <c r="Z116" s="151"/>
    </row>
    <row r="117" spans="2:26" x14ac:dyDescent="0.35">
      <c r="B117" s="518"/>
      <c r="E117" s="519"/>
      <c r="F117" s="151" t="s">
        <v>224</v>
      </c>
      <c r="G117" s="316" t="s">
        <v>222</v>
      </c>
      <c r="H117" s="317"/>
      <c r="I117" s="318"/>
      <c r="J117" s="316" t="s">
        <v>179</v>
      </c>
      <c r="K117" s="433">
        <v>0.5</v>
      </c>
      <c r="L117" s="257">
        <v>45.36</v>
      </c>
      <c r="M117" s="379">
        <v>0.90000000000000013</v>
      </c>
      <c r="N117" s="380">
        <v>1</v>
      </c>
      <c r="O117" s="520">
        <f t="shared" si="11"/>
        <v>20.412000000000003</v>
      </c>
      <c r="P117" s="261">
        <v>29192.400000000001</v>
      </c>
      <c r="Q117" s="496">
        <f t="shared" si="12"/>
        <v>595875.26880000008</v>
      </c>
      <c r="R117" s="261">
        <v>29800.575000000001</v>
      </c>
      <c r="S117" s="521">
        <f t="shared" si="13"/>
        <v>608289.33690000011</v>
      </c>
      <c r="T117" s="259">
        <v>33422.378760000007</v>
      </c>
      <c r="U117" s="517">
        <f t="shared" si="14"/>
        <v>682217.59524912026</v>
      </c>
      <c r="V117" s="259">
        <f t="shared" si="15"/>
        <v>30805.117920000001</v>
      </c>
      <c r="W117" s="267">
        <f t="shared" si="16"/>
        <v>628794.06698304007</v>
      </c>
      <c r="X117" s="578"/>
      <c r="Y117" s="492">
        <f t="shared" si="19"/>
        <v>13410.258750000003</v>
      </c>
      <c r="Z117" s="151"/>
    </row>
    <row r="118" spans="2:26" x14ac:dyDescent="0.35">
      <c r="B118" s="518"/>
      <c r="E118" s="519"/>
      <c r="F118" s="151" t="s">
        <v>225</v>
      </c>
      <c r="G118" s="316" t="s">
        <v>222</v>
      </c>
      <c r="H118" s="317"/>
      <c r="I118" s="318"/>
      <c r="J118" s="316" t="s">
        <v>179</v>
      </c>
      <c r="K118" s="433">
        <v>0.5</v>
      </c>
      <c r="L118" s="257">
        <v>45.36</v>
      </c>
      <c r="M118" s="379">
        <v>0.27</v>
      </c>
      <c r="N118" s="380">
        <v>1</v>
      </c>
      <c r="O118" s="520">
        <f t="shared" si="11"/>
        <v>6.1236000000000006</v>
      </c>
      <c r="P118" s="261">
        <v>46267.199999999997</v>
      </c>
      <c r="Q118" s="496">
        <f t="shared" si="12"/>
        <v>283321.82592000003</v>
      </c>
      <c r="R118" s="261">
        <v>47231.1</v>
      </c>
      <c r="S118" s="521">
        <f t="shared" si="13"/>
        <v>289224.36396000005</v>
      </c>
      <c r="T118" s="259">
        <v>52971.317280000003</v>
      </c>
      <c r="U118" s="517">
        <f t="shared" si="14"/>
        <v>324375.15849580808</v>
      </c>
      <c r="V118" s="259">
        <f t="shared" si="15"/>
        <v>48823.205760000004</v>
      </c>
      <c r="W118" s="267">
        <f t="shared" si="16"/>
        <v>298973.78279193607</v>
      </c>
      <c r="X118" s="578"/>
      <c r="Y118" s="492">
        <f t="shared" si="19"/>
        <v>6376.1985000000013</v>
      </c>
      <c r="Z118" s="151"/>
    </row>
    <row r="119" spans="2:26" x14ac:dyDescent="0.35">
      <c r="B119" s="518"/>
      <c r="E119" s="519"/>
      <c r="F119" s="151" t="s">
        <v>226</v>
      </c>
      <c r="G119" s="316" t="s">
        <v>178</v>
      </c>
      <c r="H119" s="317"/>
      <c r="I119" s="318"/>
      <c r="J119" s="316" t="s">
        <v>179</v>
      </c>
      <c r="K119" s="433">
        <v>0.5</v>
      </c>
      <c r="L119" s="257">
        <v>45.36</v>
      </c>
      <c r="M119" s="379">
        <v>1.5</v>
      </c>
      <c r="N119" s="380">
        <v>1</v>
      </c>
      <c r="O119" s="520">
        <f t="shared" si="11"/>
        <v>34.019999999999996</v>
      </c>
      <c r="P119" s="261">
        <v>3700</v>
      </c>
      <c r="Q119" s="496">
        <f t="shared" si="12"/>
        <v>125873.99999999999</v>
      </c>
      <c r="R119" s="261">
        <v>4196.6324999999997</v>
      </c>
      <c r="S119" s="521">
        <f t="shared" si="13"/>
        <v>142769.43764999998</v>
      </c>
      <c r="T119" s="259">
        <v>4490.6400000000003</v>
      </c>
      <c r="U119" s="517">
        <f t="shared" si="14"/>
        <v>152771.57279999999</v>
      </c>
      <c r="V119" s="259">
        <f t="shared" si="15"/>
        <v>4129.0908333333336</v>
      </c>
      <c r="W119" s="267">
        <f t="shared" si="16"/>
        <v>140471.67014999999</v>
      </c>
      <c r="X119" s="578"/>
      <c r="Y119" s="492">
        <f t="shared" si="19"/>
        <v>3147.4743749999998</v>
      </c>
      <c r="Z119" s="151"/>
    </row>
    <row r="120" spans="2:26" x14ac:dyDescent="0.35">
      <c r="B120" s="518"/>
      <c r="E120" s="519"/>
      <c r="F120" s="151" t="s">
        <v>220</v>
      </c>
      <c r="G120" s="316" t="s">
        <v>183</v>
      </c>
      <c r="H120" s="317"/>
      <c r="I120" s="318"/>
      <c r="J120" s="316" t="s">
        <v>179</v>
      </c>
      <c r="K120" s="433">
        <v>0.5</v>
      </c>
      <c r="L120" s="257">
        <v>45.36</v>
      </c>
      <c r="M120" s="379">
        <f>0.0125*(1/2)</f>
        <v>6.2500000000000003E-3</v>
      </c>
      <c r="N120" s="380">
        <v>1</v>
      </c>
      <c r="O120" s="520">
        <f t="shared" si="11"/>
        <v>0.14175000000000001</v>
      </c>
      <c r="P120" s="261">
        <v>1366468.5</v>
      </c>
      <c r="Q120" s="496">
        <f t="shared" si="12"/>
        <v>193696.90987500001</v>
      </c>
      <c r="R120" s="261">
        <v>1506531.5212500002</v>
      </c>
      <c r="S120" s="521">
        <f t="shared" si="13"/>
        <v>213550.84313718756</v>
      </c>
      <c r="T120" s="259">
        <v>1593848.8584</v>
      </c>
      <c r="U120" s="517">
        <f t="shared" si="14"/>
        <v>225928.07567820002</v>
      </c>
      <c r="V120" s="259">
        <f t="shared" si="15"/>
        <v>1488949.6265499999</v>
      </c>
      <c r="W120" s="267">
        <f t="shared" si="16"/>
        <v>211058.60956346252</v>
      </c>
      <c r="X120" s="578"/>
      <c r="Y120" s="492">
        <f t="shared" si="19"/>
        <v>4707.9110039062516</v>
      </c>
      <c r="Z120" s="151"/>
    </row>
    <row r="121" spans="2:26" x14ac:dyDescent="0.35">
      <c r="B121" s="518"/>
      <c r="E121" s="519"/>
      <c r="F121" s="151" t="s">
        <v>227</v>
      </c>
      <c r="G121" s="316" t="s">
        <v>183</v>
      </c>
      <c r="H121" s="317">
        <v>4</v>
      </c>
      <c r="I121" s="318" t="s">
        <v>228</v>
      </c>
      <c r="J121" s="316" t="s">
        <v>179</v>
      </c>
      <c r="K121" s="433">
        <v>0.5</v>
      </c>
      <c r="L121" s="257">
        <v>45.36</v>
      </c>
      <c r="M121" s="379">
        <f>((M$114*N$114)/240*($H121/N121))</f>
        <v>2.5000000000000001E-2</v>
      </c>
      <c r="N121" s="380">
        <v>1</v>
      </c>
      <c r="O121" s="520">
        <f t="shared" si="11"/>
        <v>0.56700000000000006</v>
      </c>
      <c r="P121" s="261">
        <v>42840</v>
      </c>
      <c r="Q121" s="496">
        <f t="shared" si="12"/>
        <v>24290.280000000002</v>
      </c>
      <c r="R121" s="261">
        <v>47231.1</v>
      </c>
      <c r="S121" s="521">
        <f t="shared" si="13"/>
        <v>26780.033700000004</v>
      </c>
      <c r="T121" s="259">
        <v>49968.576000000008</v>
      </c>
      <c r="U121" s="517">
        <f t="shared" si="14"/>
        <v>28332.182592000008</v>
      </c>
      <c r="V121" s="259">
        <f t="shared" si="15"/>
        <v>46679.892</v>
      </c>
      <c r="W121" s="267">
        <f t="shared" si="16"/>
        <v>26467.498764000004</v>
      </c>
      <c r="X121" s="647"/>
      <c r="Y121" s="492">
        <f t="shared" si="19"/>
        <v>590.38875000000007</v>
      </c>
      <c r="Z121" s="151"/>
    </row>
    <row r="122" spans="2:26" x14ac:dyDescent="0.35">
      <c r="B122" s="518"/>
      <c r="E122" s="519"/>
      <c r="F122" s="151" t="s">
        <v>229</v>
      </c>
      <c r="G122" s="316" t="s">
        <v>183</v>
      </c>
      <c r="H122" s="317">
        <v>12</v>
      </c>
      <c r="I122" s="318" t="s">
        <v>228</v>
      </c>
      <c r="J122" s="316" t="s">
        <v>179</v>
      </c>
      <c r="K122" s="433">
        <v>0.5</v>
      </c>
      <c r="L122" s="257">
        <v>45.36</v>
      </c>
      <c r="M122" s="379">
        <f>((M$114*N$114)/240*($H122/N122))</f>
        <v>7.5000000000000011E-2</v>
      </c>
      <c r="N122" s="380">
        <v>1</v>
      </c>
      <c r="O122" s="520">
        <f t="shared" si="11"/>
        <v>1.7010000000000003</v>
      </c>
      <c r="P122" s="261">
        <v>14000</v>
      </c>
      <c r="Q122" s="496">
        <f t="shared" si="12"/>
        <v>23814.000000000004</v>
      </c>
      <c r="R122" s="261">
        <v>15435</v>
      </c>
      <c r="S122" s="521">
        <f t="shared" si="13"/>
        <v>26254.935000000005</v>
      </c>
      <c r="T122" s="259">
        <v>16329.600000000002</v>
      </c>
      <c r="U122" s="517">
        <f t="shared" si="14"/>
        <v>27776.649600000008</v>
      </c>
      <c r="V122" s="259">
        <f t="shared" si="15"/>
        <v>15254.866666666667</v>
      </c>
      <c r="W122" s="267">
        <f t="shared" si="16"/>
        <v>25948.528200000004</v>
      </c>
      <c r="X122" s="647"/>
      <c r="Y122" s="492">
        <f t="shared" si="19"/>
        <v>578.81250000000011</v>
      </c>
      <c r="Z122" s="151"/>
    </row>
    <row r="123" spans="2:26" x14ac:dyDescent="0.35">
      <c r="B123" s="518"/>
      <c r="E123" s="519"/>
      <c r="F123" s="151" t="s">
        <v>230</v>
      </c>
      <c r="G123" s="316" t="s">
        <v>183</v>
      </c>
      <c r="H123" s="317">
        <v>1</v>
      </c>
      <c r="I123" s="318" t="s">
        <v>228</v>
      </c>
      <c r="J123" s="316" t="s">
        <v>179</v>
      </c>
      <c r="K123" s="433">
        <v>0.5</v>
      </c>
      <c r="L123" s="257">
        <v>45.36</v>
      </c>
      <c r="M123" s="379">
        <f>((M$114*N$114)/240*($H123/N123))</f>
        <v>6.2500000000000003E-3</v>
      </c>
      <c r="N123" s="380">
        <v>1</v>
      </c>
      <c r="O123" s="520">
        <f t="shared" si="11"/>
        <v>0.14175000000000001</v>
      </c>
      <c r="P123" s="261">
        <v>37485</v>
      </c>
      <c r="Q123" s="496">
        <f t="shared" si="12"/>
        <v>5313.4987500000007</v>
      </c>
      <c r="R123" s="261">
        <v>41327.212500000001</v>
      </c>
      <c r="S123" s="521">
        <f t="shared" si="13"/>
        <v>5858.1323718750009</v>
      </c>
      <c r="T123" s="259">
        <v>43722.504000000008</v>
      </c>
      <c r="U123" s="517">
        <f t="shared" si="14"/>
        <v>6197.6649420000022</v>
      </c>
      <c r="V123" s="259">
        <f t="shared" si="15"/>
        <v>40844.905500000008</v>
      </c>
      <c r="W123" s="267">
        <f t="shared" si="16"/>
        <v>5789.7653546250012</v>
      </c>
      <c r="X123" s="647"/>
      <c r="Y123" s="492">
        <f t="shared" si="19"/>
        <v>129.14753906250002</v>
      </c>
      <c r="Z123" s="151"/>
    </row>
    <row r="124" spans="2:26" x14ac:dyDescent="0.35">
      <c r="B124" s="518"/>
      <c r="E124" s="519"/>
      <c r="F124" s="151" t="s">
        <v>231</v>
      </c>
      <c r="G124" s="316" t="s">
        <v>183</v>
      </c>
      <c r="H124" s="317">
        <v>2</v>
      </c>
      <c r="I124" s="318" t="s">
        <v>228</v>
      </c>
      <c r="J124" s="316" t="s">
        <v>179</v>
      </c>
      <c r="K124" s="433">
        <v>0.5</v>
      </c>
      <c r="L124" s="257">
        <v>45.36</v>
      </c>
      <c r="M124" s="379">
        <f>((M$114*N$114)/240*($H124/N124))</f>
        <v>1.2500000000000001E-2</v>
      </c>
      <c r="N124" s="380">
        <v>1</v>
      </c>
      <c r="O124" s="520">
        <f t="shared" si="11"/>
        <v>0.28350000000000003</v>
      </c>
      <c r="P124" s="261">
        <v>32130</v>
      </c>
      <c r="Q124" s="496">
        <f t="shared" si="12"/>
        <v>9108.8550000000014</v>
      </c>
      <c r="R124" s="261">
        <v>35423.325000000004</v>
      </c>
      <c r="S124" s="521">
        <f t="shared" si="13"/>
        <v>10042.512637500002</v>
      </c>
      <c r="T124" s="259">
        <v>37476.432000000001</v>
      </c>
      <c r="U124" s="517">
        <f t="shared" si="14"/>
        <v>10624.568472000001</v>
      </c>
      <c r="V124" s="259">
        <f t="shared" si="15"/>
        <v>35009.919000000002</v>
      </c>
      <c r="W124" s="267">
        <f t="shared" si="16"/>
        <v>9925.3120365000013</v>
      </c>
      <c r="X124" s="647"/>
      <c r="Y124" s="492">
        <f t="shared" si="19"/>
        <v>221.39578125000006</v>
      </c>
      <c r="Z124" s="151"/>
    </row>
    <row r="125" spans="2:26" x14ac:dyDescent="0.35">
      <c r="B125" s="518"/>
      <c r="E125" s="519"/>
      <c r="F125" s="151" t="s">
        <v>232</v>
      </c>
      <c r="G125" s="316" t="s">
        <v>183</v>
      </c>
      <c r="H125" s="317">
        <v>1</v>
      </c>
      <c r="I125" s="318" t="s">
        <v>228</v>
      </c>
      <c r="J125" s="316" t="s">
        <v>179</v>
      </c>
      <c r="K125" s="433">
        <v>0.5</v>
      </c>
      <c r="L125" s="257">
        <v>45.36</v>
      </c>
      <c r="M125" s="379">
        <f>((M$114*N$114)/240*($H125/N125))</f>
        <v>6.2500000000000003E-3</v>
      </c>
      <c r="N125" s="380">
        <v>1</v>
      </c>
      <c r="O125" s="520">
        <f t="shared" si="11"/>
        <v>0.14175000000000001</v>
      </c>
      <c r="P125" s="261">
        <v>85680</v>
      </c>
      <c r="Q125" s="496">
        <f t="shared" si="12"/>
        <v>12145.140000000001</v>
      </c>
      <c r="R125" s="261">
        <v>94462.2</v>
      </c>
      <c r="S125" s="521">
        <f t="shared" si="13"/>
        <v>13390.016850000002</v>
      </c>
      <c r="T125" s="259">
        <v>99937.152000000016</v>
      </c>
      <c r="U125" s="517">
        <f t="shared" si="14"/>
        <v>14166.091296000004</v>
      </c>
      <c r="V125" s="259">
        <f t="shared" si="15"/>
        <v>93359.784</v>
      </c>
      <c r="W125" s="267">
        <f t="shared" si="16"/>
        <v>13233.749382000002</v>
      </c>
      <c r="X125" s="647"/>
      <c r="Y125" s="492">
        <f t="shared" si="19"/>
        <v>295.19437500000004</v>
      </c>
      <c r="Z125" s="151"/>
    </row>
    <row r="126" spans="2:26" x14ac:dyDescent="0.35">
      <c r="B126" s="606" t="s">
        <v>475</v>
      </c>
      <c r="C126" s="607"/>
      <c r="D126" s="607"/>
      <c r="E126" s="608"/>
      <c r="F126" s="609"/>
      <c r="G126" s="610"/>
      <c r="H126" s="611"/>
      <c r="I126" s="612"/>
      <c r="J126" s="610"/>
      <c r="K126" s="613"/>
      <c r="L126" s="614"/>
      <c r="M126" s="615"/>
      <c r="N126" s="616"/>
      <c r="O126" s="611"/>
      <c r="P126" s="617"/>
      <c r="Q126" s="617"/>
      <c r="R126" s="617"/>
      <c r="S126" s="618">
        <f>SUM(S114:S125)</f>
        <v>6821190.6654425617</v>
      </c>
      <c r="T126" s="605"/>
      <c r="U126" s="605"/>
      <c r="V126" s="605"/>
      <c r="W126" s="605"/>
      <c r="X126" s="611"/>
      <c r="Y126" s="645">
        <f>S126/D1</f>
        <v>150378.98292421873</v>
      </c>
      <c r="Z126" s="648">
        <f>S126/$S$415*100</f>
        <v>1.3620269930134248</v>
      </c>
    </row>
    <row r="127" spans="2:26" x14ac:dyDescent="0.35">
      <c r="B127" s="649"/>
      <c r="C127" s="650" t="s">
        <v>75</v>
      </c>
      <c r="D127" s="650"/>
      <c r="E127" s="651"/>
      <c r="F127" s="151" t="s">
        <v>177</v>
      </c>
      <c r="G127" s="316" t="s">
        <v>178</v>
      </c>
      <c r="H127" s="317"/>
      <c r="I127" s="318"/>
      <c r="J127" s="316"/>
      <c r="K127" s="502">
        <v>100</v>
      </c>
      <c r="L127" s="577"/>
      <c r="M127" s="379">
        <v>1.5</v>
      </c>
      <c r="N127" s="380">
        <v>3</v>
      </c>
      <c r="O127" s="578"/>
      <c r="P127" s="603"/>
      <c r="Q127" s="603"/>
      <c r="R127" s="603"/>
      <c r="S127" s="604"/>
      <c r="T127" s="605"/>
      <c r="U127" s="605"/>
      <c r="V127" s="605"/>
      <c r="W127" s="605"/>
      <c r="X127" s="578"/>
      <c r="Y127" s="151"/>
      <c r="Z127" s="151"/>
    </row>
    <row r="128" spans="2:26" x14ac:dyDescent="0.35">
      <c r="B128" s="652"/>
      <c r="C128" s="653" t="s">
        <v>476</v>
      </c>
      <c r="D128" s="653"/>
      <c r="E128" s="654"/>
      <c r="F128" s="151" t="s">
        <v>474</v>
      </c>
      <c r="G128" s="316" t="s">
        <v>222</v>
      </c>
      <c r="H128" s="317"/>
      <c r="I128" s="318"/>
      <c r="J128" s="316"/>
      <c r="K128" s="502">
        <v>50</v>
      </c>
      <c r="L128" s="577"/>
      <c r="M128" s="379">
        <v>0.36</v>
      </c>
      <c r="N128" s="380">
        <v>3</v>
      </c>
      <c r="O128" s="578"/>
      <c r="P128" s="603"/>
      <c r="Q128" s="603"/>
      <c r="R128" s="603"/>
      <c r="S128" s="604"/>
      <c r="T128" s="605"/>
      <c r="U128" s="605"/>
      <c r="V128" s="605"/>
      <c r="W128" s="605"/>
      <c r="X128" s="578"/>
      <c r="Y128" s="151"/>
      <c r="Z128" s="151"/>
    </row>
    <row r="129" spans="2:26" x14ac:dyDescent="0.35">
      <c r="B129" s="655"/>
      <c r="C129" s="656"/>
      <c r="D129" s="656"/>
      <c r="E129" s="657"/>
      <c r="F129" s="151" t="s">
        <v>223</v>
      </c>
      <c r="G129" s="316" t="s">
        <v>181</v>
      </c>
      <c r="H129" s="317"/>
      <c r="I129" s="318"/>
      <c r="J129" s="316"/>
      <c r="K129" s="502">
        <v>50</v>
      </c>
      <c r="L129" s="577"/>
      <c r="M129" s="379">
        <f>36/1000</f>
        <v>3.5999999999999997E-2</v>
      </c>
      <c r="N129" s="380">
        <v>3</v>
      </c>
      <c r="O129" s="578"/>
      <c r="P129" s="603"/>
      <c r="Q129" s="603"/>
      <c r="R129" s="603"/>
      <c r="S129" s="604"/>
      <c r="T129" s="605"/>
      <c r="U129" s="605"/>
      <c r="V129" s="605"/>
      <c r="W129" s="605"/>
      <c r="X129" s="578"/>
      <c r="Y129" s="151"/>
      <c r="Z129" s="151"/>
    </row>
    <row r="130" spans="2:26" x14ac:dyDescent="0.35">
      <c r="B130" s="655"/>
      <c r="C130" s="656"/>
      <c r="D130" s="656"/>
      <c r="E130" s="657"/>
      <c r="F130" s="151" t="s">
        <v>224</v>
      </c>
      <c r="G130" s="316" t="s">
        <v>222</v>
      </c>
      <c r="H130" s="317"/>
      <c r="I130" s="318"/>
      <c r="J130" s="316"/>
      <c r="K130" s="502">
        <v>50</v>
      </c>
      <c r="L130" s="577"/>
      <c r="M130" s="258">
        <v>0.90000000000000013</v>
      </c>
      <c r="N130" s="259">
        <v>3</v>
      </c>
      <c r="O130" s="317"/>
      <c r="P130" s="496"/>
      <c r="Q130" s="496"/>
      <c r="R130" s="496"/>
      <c r="S130" s="521"/>
      <c r="T130" s="517"/>
      <c r="U130" s="517"/>
      <c r="V130" s="517"/>
      <c r="W130" s="517"/>
      <c r="X130" s="578"/>
      <c r="Y130" s="151"/>
      <c r="Z130" s="151"/>
    </row>
    <row r="131" spans="2:26" x14ac:dyDescent="0.35">
      <c r="B131" s="655"/>
      <c r="C131" s="656"/>
      <c r="D131" s="656"/>
      <c r="E131" s="657"/>
      <c r="F131" s="151" t="s">
        <v>225</v>
      </c>
      <c r="G131" s="316" t="s">
        <v>222</v>
      </c>
      <c r="H131" s="317"/>
      <c r="I131" s="318"/>
      <c r="J131" s="316"/>
      <c r="K131" s="502">
        <v>100</v>
      </c>
      <c r="L131" s="577"/>
      <c r="M131" s="379">
        <v>0.27</v>
      </c>
      <c r="N131" s="259">
        <v>3</v>
      </c>
      <c r="O131" s="317"/>
      <c r="P131" s="496"/>
      <c r="Q131" s="496"/>
      <c r="R131" s="496"/>
      <c r="S131" s="521"/>
      <c r="T131" s="517"/>
      <c r="U131" s="517"/>
      <c r="V131" s="517"/>
      <c r="W131" s="517"/>
      <c r="X131" s="578"/>
      <c r="Y131" s="151"/>
      <c r="Z131" s="151"/>
    </row>
    <row r="132" spans="2:26" x14ac:dyDescent="0.35">
      <c r="B132" s="655"/>
      <c r="C132" s="656"/>
      <c r="D132" s="656"/>
      <c r="E132" s="657"/>
      <c r="F132" s="151" t="s">
        <v>226</v>
      </c>
      <c r="G132" s="316" t="s">
        <v>178</v>
      </c>
      <c r="H132" s="317"/>
      <c r="I132" s="318"/>
      <c r="J132" s="316"/>
      <c r="K132" s="502">
        <v>100</v>
      </c>
      <c r="L132" s="577"/>
      <c r="M132" s="379">
        <v>1.5</v>
      </c>
      <c r="N132" s="259">
        <v>3</v>
      </c>
      <c r="O132" s="317"/>
      <c r="P132" s="496"/>
      <c r="Q132" s="496"/>
      <c r="R132" s="496"/>
      <c r="S132" s="521"/>
      <c r="T132" s="517"/>
      <c r="U132" s="517"/>
      <c r="V132" s="517"/>
      <c r="W132" s="517"/>
      <c r="X132" s="578"/>
      <c r="Y132" s="151"/>
      <c r="Z132" s="151"/>
    </row>
    <row r="133" spans="2:26" x14ac:dyDescent="0.35">
      <c r="B133" s="655"/>
      <c r="C133" s="656"/>
      <c r="D133" s="656"/>
      <c r="E133" s="657"/>
      <c r="F133" s="151" t="s">
        <v>477</v>
      </c>
      <c r="G133" s="316" t="s">
        <v>183</v>
      </c>
      <c r="H133" s="317"/>
      <c r="I133" s="318"/>
      <c r="J133" s="316"/>
      <c r="K133" s="502">
        <v>100</v>
      </c>
      <c r="L133" s="577"/>
      <c r="M133" s="379">
        <f>0.0188*(1/3)</f>
        <v>6.2666666666666669E-3</v>
      </c>
      <c r="N133" s="259">
        <v>3</v>
      </c>
      <c r="O133" s="317"/>
      <c r="P133" s="496"/>
      <c r="Q133" s="496"/>
      <c r="R133" s="496"/>
      <c r="S133" s="521"/>
      <c r="T133" s="517"/>
      <c r="U133" s="517"/>
      <c r="V133" s="517"/>
      <c r="W133" s="517"/>
      <c r="X133" s="578"/>
      <c r="Y133" s="151"/>
      <c r="Z133" s="151"/>
    </row>
    <row r="134" spans="2:26" x14ac:dyDescent="0.35">
      <c r="B134" s="655"/>
      <c r="C134" s="656"/>
      <c r="D134" s="656"/>
      <c r="E134" s="657"/>
      <c r="F134" s="151" t="s">
        <v>227</v>
      </c>
      <c r="G134" s="316" t="s">
        <v>183</v>
      </c>
      <c r="H134" s="317">
        <v>4</v>
      </c>
      <c r="I134" s="318" t="s">
        <v>228</v>
      </c>
      <c r="J134" s="316"/>
      <c r="K134" s="502">
        <v>100</v>
      </c>
      <c r="L134" s="577"/>
      <c r="M134" s="379">
        <f>((M$127*N$127)/240*($H134/N134))</f>
        <v>2.4999999999999998E-2</v>
      </c>
      <c r="N134" s="259">
        <v>3</v>
      </c>
      <c r="O134" s="317"/>
      <c r="P134" s="496"/>
      <c r="Q134" s="496"/>
      <c r="R134" s="496"/>
      <c r="S134" s="521"/>
      <c r="T134" s="517"/>
      <c r="U134" s="517"/>
      <c r="V134" s="517"/>
      <c r="W134" s="517"/>
      <c r="X134" s="578"/>
      <c r="Y134" s="151"/>
      <c r="Z134" s="151"/>
    </row>
    <row r="135" spans="2:26" x14ac:dyDescent="0.35">
      <c r="B135" s="655"/>
      <c r="C135" s="656"/>
      <c r="D135" s="656"/>
      <c r="E135" s="657"/>
      <c r="F135" s="151" t="s">
        <v>229</v>
      </c>
      <c r="G135" s="316" t="s">
        <v>183</v>
      </c>
      <c r="H135" s="317">
        <v>12</v>
      </c>
      <c r="I135" s="318" t="s">
        <v>228</v>
      </c>
      <c r="J135" s="316"/>
      <c r="K135" s="502">
        <v>100</v>
      </c>
      <c r="L135" s="577"/>
      <c r="M135" s="379">
        <f>((M$127*N$127)/240*($H135/N135))</f>
        <v>7.4999999999999997E-2</v>
      </c>
      <c r="N135" s="259">
        <v>3</v>
      </c>
      <c r="O135" s="317"/>
      <c r="P135" s="496"/>
      <c r="Q135" s="496"/>
      <c r="R135" s="496"/>
      <c r="S135" s="521"/>
      <c r="T135" s="517"/>
      <c r="U135" s="517"/>
      <c r="V135" s="517"/>
      <c r="W135" s="517"/>
      <c r="X135" s="578"/>
      <c r="Y135" s="151"/>
      <c r="Z135" s="151"/>
    </row>
    <row r="136" spans="2:26" x14ac:dyDescent="0.35">
      <c r="B136" s="655"/>
      <c r="C136" s="656"/>
      <c r="D136" s="656"/>
      <c r="E136" s="657"/>
      <c r="F136" s="151" t="s">
        <v>230</v>
      </c>
      <c r="G136" s="316" t="s">
        <v>183</v>
      </c>
      <c r="H136" s="317">
        <v>1</v>
      </c>
      <c r="I136" s="318" t="s">
        <v>228</v>
      </c>
      <c r="J136" s="316"/>
      <c r="K136" s="502">
        <v>100</v>
      </c>
      <c r="L136" s="577"/>
      <c r="M136" s="379">
        <f>((M$127*N$127)/240*($H136/N136))</f>
        <v>6.2499999999999995E-3</v>
      </c>
      <c r="N136" s="259">
        <v>3</v>
      </c>
      <c r="O136" s="317"/>
      <c r="P136" s="496"/>
      <c r="Q136" s="496"/>
      <c r="R136" s="496"/>
      <c r="S136" s="521"/>
      <c r="T136" s="517"/>
      <c r="U136" s="517"/>
      <c r="V136" s="517"/>
      <c r="W136" s="517"/>
      <c r="X136" s="578"/>
      <c r="Y136" s="151"/>
      <c r="Z136" s="151"/>
    </row>
    <row r="137" spans="2:26" x14ac:dyDescent="0.35">
      <c r="B137" s="655"/>
      <c r="C137" s="656"/>
      <c r="D137" s="656"/>
      <c r="E137" s="657"/>
      <c r="F137" s="151" t="s">
        <v>231</v>
      </c>
      <c r="G137" s="316" t="s">
        <v>183</v>
      </c>
      <c r="H137" s="317">
        <v>2</v>
      </c>
      <c r="I137" s="318" t="s">
        <v>228</v>
      </c>
      <c r="J137" s="316"/>
      <c r="K137" s="502">
        <v>100</v>
      </c>
      <c r="L137" s="577"/>
      <c r="M137" s="379">
        <f>((M$127*N$127)/240*($H137/N137))</f>
        <v>1.2499999999999999E-2</v>
      </c>
      <c r="N137" s="259">
        <v>3</v>
      </c>
      <c r="O137" s="317"/>
      <c r="P137" s="496"/>
      <c r="Q137" s="496"/>
      <c r="R137" s="496"/>
      <c r="S137" s="521"/>
      <c r="T137" s="517"/>
      <c r="U137" s="517"/>
      <c r="V137" s="517"/>
      <c r="W137" s="517"/>
      <c r="X137" s="578"/>
      <c r="Y137" s="151"/>
      <c r="Z137" s="151"/>
    </row>
    <row r="138" spans="2:26" x14ac:dyDescent="0.35">
      <c r="B138" s="655"/>
      <c r="C138" s="656"/>
      <c r="D138" s="656"/>
      <c r="E138" s="657"/>
      <c r="F138" s="151" t="s">
        <v>232</v>
      </c>
      <c r="G138" s="316" t="s">
        <v>183</v>
      </c>
      <c r="H138" s="317">
        <v>1</v>
      </c>
      <c r="I138" s="318" t="s">
        <v>228</v>
      </c>
      <c r="J138" s="316"/>
      <c r="K138" s="502">
        <v>100</v>
      </c>
      <c r="L138" s="577"/>
      <c r="M138" s="379">
        <f>((M$127*N$127)/240*($H138/N138))</f>
        <v>6.2499999999999995E-3</v>
      </c>
      <c r="N138" s="259">
        <v>3</v>
      </c>
      <c r="O138" s="317"/>
      <c r="P138" s="496"/>
      <c r="Q138" s="496"/>
      <c r="R138" s="496"/>
      <c r="S138" s="521"/>
      <c r="T138" s="517"/>
      <c r="U138" s="517"/>
      <c r="V138" s="517"/>
      <c r="W138" s="517"/>
      <c r="X138" s="578"/>
      <c r="Y138" s="151"/>
      <c r="Z138" s="151"/>
    </row>
    <row r="139" spans="2:26" x14ac:dyDescent="0.35">
      <c r="B139" s="655"/>
      <c r="C139" s="656"/>
      <c r="D139" s="656"/>
      <c r="E139" s="657"/>
      <c r="F139" s="151"/>
      <c r="G139" s="316"/>
      <c r="H139" s="317"/>
      <c r="I139" s="318"/>
      <c r="J139" s="316"/>
      <c r="K139" s="502"/>
      <c r="L139" s="577"/>
      <c r="M139" s="379"/>
      <c r="N139" s="259"/>
      <c r="O139" s="317"/>
      <c r="P139" s="496"/>
      <c r="Q139" s="496"/>
      <c r="R139" s="496"/>
      <c r="S139" s="521"/>
      <c r="T139" s="517"/>
      <c r="U139" s="517"/>
      <c r="V139" s="517"/>
      <c r="W139" s="517"/>
      <c r="X139" s="578"/>
      <c r="Y139" s="151"/>
      <c r="Z139" s="151"/>
    </row>
    <row r="140" spans="2:26" s="173" customFormat="1" x14ac:dyDescent="0.35">
      <c r="B140" s="578"/>
      <c r="C140" s="601" t="s">
        <v>478</v>
      </c>
      <c r="D140" s="601"/>
      <c r="E140" s="642"/>
      <c r="F140" s="381"/>
      <c r="G140" s="600"/>
      <c r="H140" s="578"/>
      <c r="I140" s="601"/>
      <c r="J140" s="600"/>
      <c r="K140" s="575"/>
      <c r="L140" s="621"/>
      <c r="M140" s="379"/>
      <c r="N140" s="380"/>
      <c r="O140" s="578"/>
      <c r="P140" s="603"/>
      <c r="Q140" s="603"/>
      <c r="R140" s="603"/>
      <c r="S140" s="604"/>
      <c r="T140" s="605"/>
      <c r="U140" s="605"/>
      <c r="V140" s="605"/>
      <c r="W140" s="605"/>
      <c r="X140" s="578"/>
      <c r="Y140" s="381"/>
      <c r="Z140" s="381"/>
    </row>
    <row r="141" spans="2:26" x14ac:dyDescent="0.35">
      <c r="B141" s="504"/>
      <c r="C141" s="172"/>
      <c r="D141" s="172" t="s">
        <v>479</v>
      </c>
      <c r="E141" s="506"/>
      <c r="F141" s="151" t="s">
        <v>177</v>
      </c>
      <c r="G141" s="316" t="s">
        <v>178</v>
      </c>
      <c r="H141" s="317"/>
      <c r="I141" s="318"/>
      <c r="J141" s="316"/>
      <c r="K141" s="502">
        <v>20</v>
      </c>
      <c r="L141" s="577"/>
      <c r="M141" s="379">
        <v>4</v>
      </c>
      <c r="N141" s="259">
        <v>1</v>
      </c>
      <c r="O141" s="317"/>
      <c r="P141" s="496"/>
      <c r="Q141" s="496"/>
      <c r="R141" s="496"/>
      <c r="S141" s="521"/>
      <c r="T141" s="517"/>
      <c r="U141" s="517"/>
      <c r="V141" s="517"/>
      <c r="W141" s="517"/>
      <c r="X141" s="578"/>
      <c r="Y141" s="151"/>
      <c r="Z141" s="151"/>
    </row>
    <row r="142" spans="2:26" x14ac:dyDescent="0.35">
      <c r="B142" s="518"/>
      <c r="E142" s="519"/>
      <c r="F142" s="151" t="s">
        <v>221</v>
      </c>
      <c r="G142" s="316" t="s">
        <v>222</v>
      </c>
      <c r="H142" s="317"/>
      <c r="I142" s="318"/>
      <c r="J142" s="316"/>
      <c r="K142" s="502">
        <v>20</v>
      </c>
      <c r="L142" s="577"/>
      <c r="M142" s="379">
        <v>4</v>
      </c>
      <c r="N142" s="259">
        <v>1</v>
      </c>
      <c r="O142" s="317"/>
      <c r="P142" s="496"/>
      <c r="Q142" s="496"/>
      <c r="R142" s="496"/>
      <c r="S142" s="521"/>
      <c r="T142" s="517"/>
      <c r="U142" s="517"/>
      <c r="V142" s="517"/>
      <c r="W142" s="517"/>
      <c r="X142" s="578"/>
      <c r="Y142" s="151"/>
      <c r="Z142" s="151"/>
    </row>
    <row r="143" spans="2:26" x14ac:dyDescent="0.35">
      <c r="B143" s="518"/>
      <c r="E143" s="519"/>
      <c r="F143" s="151" t="s">
        <v>225</v>
      </c>
      <c r="G143" s="316" t="s">
        <v>222</v>
      </c>
      <c r="H143" s="317"/>
      <c r="I143" s="318"/>
      <c r="J143" s="316"/>
      <c r="K143" s="502">
        <v>20</v>
      </c>
      <c r="L143" s="577"/>
      <c r="M143" s="379">
        <v>7.2000000000000008E-2</v>
      </c>
      <c r="N143" s="259">
        <v>1</v>
      </c>
      <c r="O143" s="317"/>
      <c r="P143" s="496"/>
      <c r="Q143" s="496"/>
      <c r="R143" s="496"/>
      <c r="S143" s="521"/>
      <c r="T143" s="517"/>
      <c r="U143" s="517"/>
      <c r="V143" s="517"/>
      <c r="W143" s="517"/>
      <c r="X143" s="578"/>
      <c r="Y143" s="151"/>
      <c r="Z143" s="151"/>
    </row>
    <row r="144" spans="2:26" x14ac:dyDescent="0.35">
      <c r="B144" s="518"/>
      <c r="E144" s="519"/>
      <c r="F144" s="151" t="s">
        <v>226</v>
      </c>
      <c r="G144" s="316" t="s">
        <v>178</v>
      </c>
      <c r="H144" s="317"/>
      <c r="I144" s="318"/>
      <c r="J144" s="316"/>
      <c r="K144" s="502">
        <v>20</v>
      </c>
      <c r="L144" s="577"/>
      <c r="M144" s="379">
        <v>4</v>
      </c>
      <c r="N144" s="259">
        <v>1</v>
      </c>
      <c r="O144" s="317"/>
      <c r="P144" s="496"/>
      <c r="Q144" s="496"/>
      <c r="R144" s="496"/>
      <c r="S144" s="521"/>
      <c r="T144" s="517"/>
      <c r="U144" s="517"/>
      <c r="V144" s="517"/>
      <c r="W144" s="517"/>
      <c r="X144" s="578"/>
      <c r="Y144" s="151"/>
      <c r="Z144" s="151"/>
    </row>
    <row r="145" spans="2:26" x14ac:dyDescent="0.35">
      <c r="B145" s="518"/>
      <c r="E145" s="519"/>
      <c r="F145" s="151" t="s">
        <v>220</v>
      </c>
      <c r="G145" s="316" t="s">
        <v>183</v>
      </c>
      <c r="H145" s="317"/>
      <c r="I145" s="318"/>
      <c r="J145" s="316"/>
      <c r="K145" s="502">
        <v>20</v>
      </c>
      <c r="L145" s="577"/>
      <c r="M145" s="379">
        <f>((4*1)/240)</f>
        <v>1.6666666666666666E-2</v>
      </c>
      <c r="N145" s="259">
        <v>1</v>
      </c>
      <c r="O145" s="317"/>
      <c r="P145" s="496"/>
      <c r="Q145" s="496"/>
      <c r="R145" s="496"/>
      <c r="S145" s="521"/>
      <c r="T145" s="517"/>
      <c r="U145" s="517"/>
      <c r="V145" s="517"/>
      <c r="W145" s="517"/>
      <c r="X145" s="578"/>
      <c r="Y145" s="151"/>
      <c r="Z145" s="151"/>
    </row>
    <row r="146" spans="2:26" x14ac:dyDescent="0.35">
      <c r="B146" s="518"/>
      <c r="E146" s="519"/>
      <c r="F146" s="151" t="s">
        <v>227</v>
      </c>
      <c r="G146" s="316" t="s">
        <v>183</v>
      </c>
      <c r="H146" s="317">
        <v>4</v>
      </c>
      <c r="I146" s="318" t="s">
        <v>228</v>
      </c>
      <c r="J146" s="316"/>
      <c r="K146" s="502">
        <v>20</v>
      </c>
      <c r="L146" s="577"/>
      <c r="M146" s="379">
        <f>((M$141*N$141)/240*($H146/N146))</f>
        <v>6.6666666666666666E-2</v>
      </c>
      <c r="N146" s="259">
        <v>1</v>
      </c>
      <c r="O146" s="317"/>
      <c r="P146" s="496"/>
      <c r="Q146" s="496"/>
      <c r="R146" s="496"/>
      <c r="S146" s="521"/>
      <c r="T146" s="517"/>
      <c r="U146" s="517"/>
      <c r="V146" s="517"/>
      <c r="W146" s="517"/>
      <c r="X146" s="578"/>
      <c r="Y146" s="151"/>
      <c r="Z146" s="151"/>
    </row>
    <row r="147" spans="2:26" x14ac:dyDescent="0.35">
      <c r="B147" s="518"/>
      <c r="E147" s="519"/>
      <c r="F147" s="151" t="s">
        <v>229</v>
      </c>
      <c r="G147" s="316" t="s">
        <v>183</v>
      </c>
      <c r="H147" s="317">
        <v>12</v>
      </c>
      <c r="I147" s="318" t="s">
        <v>228</v>
      </c>
      <c r="J147" s="316"/>
      <c r="K147" s="502">
        <v>20</v>
      </c>
      <c r="L147" s="577"/>
      <c r="M147" s="379">
        <f>((M$141*N$141)/240*($H147/N147))</f>
        <v>0.2</v>
      </c>
      <c r="N147" s="259">
        <v>1</v>
      </c>
      <c r="O147" s="317"/>
      <c r="P147" s="496"/>
      <c r="Q147" s="496"/>
      <c r="R147" s="496"/>
      <c r="S147" s="521"/>
      <c r="T147" s="517"/>
      <c r="U147" s="517"/>
      <c r="V147" s="517"/>
      <c r="W147" s="517"/>
      <c r="X147" s="578"/>
      <c r="Y147" s="151"/>
      <c r="Z147" s="151"/>
    </row>
    <row r="148" spans="2:26" x14ac:dyDescent="0.35">
      <c r="B148" s="518"/>
      <c r="E148" s="519"/>
      <c r="F148" s="151" t="s">
        <v>230</v>
      </c>
      <c r="G148" s="316" t="s">
        <v>183</v>
      </c>
      <c r="H148" s="317">
        <v>1</v>
      </c>
      <c r="I148" s="318" t="s">
        <v>228</v>
      </c>
      <c r="J148" s="316"/>
      <c r="K148" s="502">
        <v>20</v>
      </c>
      <c r="L148" s="577"/>
      <c r="M148" s="379">
        <f>((M$141*N$141)/240*($H148/N148))</f>
        <v>1.6666666666666666E-2</v>
      </c>
      <c r="N148" s="259">
        <v>1</v>
      </c>
      <c r="O148" s="317"/>
      <c r="P148" s="496"/>
      <c r="Q148" s="496"/>
      <c r="R148" s="496"/>
      <c r="S148" s="521"/>
      <c r="T148" s="517"/>
      <c r="U148" s="517"/>
      <c r="V148" s="517"/>
      <c r="W148" s="517"/>
      <c r="X148" s="578"/>
      <c r="Y148" s="151"/>
      <c r="Z148" s="151"/>
    </row>
    <row r="149" spans="2:26" x14ac:dyDescent="0.35">
      <c r="B149" s="518"/>
      <c r="E149" s="519"/>
      <c r="F149" s="151" t="s">
        <v>231</v>
      </c>
      <c r="G149" s="316" t="s">
        <v>183</v>
      </c>
      <c r="H149" s="317">
        <v>2</v>
      </c>
      <c r="I149" s="318" t="s">
        <v>228</v>
      </c>
      <c r="J149" s="316"/>
      <c r="K149" s="502">
        <v>20</v>
      </c>
      <c r="L149" s="577"/>
      <c r="M149" s="379">
        <f>((M$141*N$141)/240*($H149/N149))</f>
        <v>3.3333333333333333E-2</v>
      </c>
      <c r="N149" s="259">
        <v>1</v>
      </c>
      <c r="O149" s="317"/>
      <c r="P149" s="496"/>
      <c r="Q149" s="496"/>
      <c r="R149" s="496"/>
      <c r="S149" s="521"/>
      <c r="T149" s="517"/>
      <c r="U149" s="517"/>
      <c r="V149" s="517"/>
      <c r="W149" s="517"/>
      <c r="X149" s="578"/>
      <c r="Y149" s="151"/>
      <c r="Z149" s="151"/>
    </row>
    <row r="150" spans="2:26" x14ac:dyDescent="0.35">
      <c r="B150" s="518"/>
      <c r="E150" s="519"/>
      <c r="F150" s="151" t="s">
        <v>232</v>
      </c>
      <c r="G150" s="316" t="s">
        <v>183</v>
      </c>
      <c r="H150" s="317">
        <v>1</v>
      </c>
      <c r="I150" s="318" t="s">
        <v>228</v>
      </c>
      <c r="J150" s="316"/>
      <c r="K150" s="502">
        <v>20</v>
      </c>
      <c r="L150" s="577"/>
      <c r="M150" s="379">
        <f>((M$141*N$141)/240*($H150/N150))</f>
        <v>1.6666666666666666E-2</v>
      </c>
      <c r="N150" s="259">
        <v>1</v>
      </c>
      <c r="O150" s="317"/>
      <c r="P150" s="496"/>
      <c r="Q150" s="496"/>
      <c r="R150" s="496"/>
      <c r="S150" s="521"/>
      <c r="T150" s="517"/>
      <c r="U150" s="517"/>
      <c r="V150" s="517"/>
      <c r="W150" s="517"/>
      <c r="X150" s="578"/>
      <c r="Y150" s="151"/>
      <c r="Z150" s="151"/>
    </row>
    <row r="151" spans="2:26" x14ac:dyDescent="0.35">
      <c r="B151" s="518"/>
      <c r="D151" s="172" t="s">
        <v>79</v>
      </c>
      <c r="E151" s="506"/>
      <c r="F151" s="151" t="s">
        <v>177</v>
      </c>
      <c r="G151" s="316" t="s">
        <v>178</v>
      </c>
      <c r="H151" s="317"/>
      <c r="I151" s="318"/>
      <c r="J151" s="316"/>
      <c r="K151" s="433">
        <v>0.2</v>
      </c>
      <c r="L151" s="257">
        <v>45.36</v>
      </c>
      <c r="M151" s="379">
        <v>1.5</v>
      </c>
      <c r="N151" s="261">
        <v>2</v>
      </c>
      <c r="O151" s="520">
        <f t="shared" ref="O151:O170" si="20">K151*L151*M151*N151</f>
        <v>27.216000000000001</v>
      </c>
      <c r="P151" s="261">
        <v>140008</v>
      </c>
      <c r="Q151" s="496">
        <f t="shared" ref="Q151:Q170" si="21">P151*$O151</f>
        <v>3810457.7280000001</v>
      </c>
      <c r="R151" s="261">
        <v>158800.57379999998</v>
      </c>
      <c r="S151" s="521">
        <f t="shared" ref="S151:S171" si="22">R151*$O151</f>
        <v>4321916.4165407997</v>
      </c>
      <c r="T151" s="259">
        <v>163305.33120000002</v>
      </c>
      <c r="U151" s="517">
        <f t="shared" ref="U151:U170" si="23">$O151*T151</f>
        <v>4444517.8939392008</v>
      </c>
      <c r="V151" s="259">
        <f t="shared" ref="V151:V170" si="24">W151/O151</f>
        <v>154037.96833333332</v>
      </c>
      <c r="W151" s="267">
        <f t="shared" ref="W151:W170" si="25">AVERAGEIF($P$3:$U$3,W$3,$P151:$U151)</f>
        <v>4192297.3461600002</v>
      </c>
      <c r="X151" s="578"/>
      <c r="Y151" s="492">
        <f t="shared" ref="Y151:Y170" si="26">S151/$D$1</f>
        <v>95280.34427999999</v>
      </c>
      <c r="Z151" s="151"/>
    </row>
    <row r="152" spans="2:26" x14ac:dyDescent="0.35">
      <c r="B152" s="518"/>
      <c r="E152" s="519"/>
      <c r="F152" s="151" t="s">
        <v>221</v>
      </c>
      <c r="G152" s="316" t="s">
        <v>222</v>
      </c>
      <c r="H152" s="317"/>
      <c r="I152" s="318"/>
      <c r="J152" s="316"/>
      <c r="K152" s="433">
        <v>0.2</v>
      </c>
      <c r="L152" s="257">
        <v>45.36</v>
      </c>
      <c r="M152" s="379">
        <v>1.5</v>
      </c>
      <c r="N152" s="261">
        <v>2</v>
      </c>
      <c r="O152" s="520">
        <f t="shared" si="20"/>
        <v>27.216000000000001</v>
      </c>
      <c r="P152" s="261">
        <v>36352.800000000003</v>
      </c>
      <c r="Q152" s="496">
        <f t="shared" si="21"/>
        <v>989377.80480000016</v>
      </c>
      <c r="R152" s="261">
        <v>37110.15</v>
      </c>
      <c r="S152" s="521">
        <f t="shared" si="22"/>
        <v>1009989.8424000001</v>
      </c>
      <c r="T152" s="259">
        <v>41620.320720000011</v>
      </c>
      <c r="U152" s="517">
        <f t="shared" si="23"/>
        <v>1132738.6487155203</v>
      </c>
      <c r="V152" s="259">
        <f t="shared" si="24"/>
        <v>38361.090240000005</v>
      </c>
      <c r="W152" s="267">
        <f t="shared" si="25"/>
        <v>1044035.4319718402</v>
      </c>
      <c r="X152" s="578"/>
      <c r="Y152" s="492">
        <f t="shared" si="26"/>
        <v>22266.090000000004</v>
      </c>
      <c r="Z152" s="151"/>
    </row>
    <row r="153" spans="2:26" x14ac:dyDescent="0.35">
      <c r="B153" s="518"/>
      <c r="E153" s="519"/>
      <c r="F153" s="151" t="s">
        <v>225</v>
      </c>
      <c r="G153" s="316" t="s">
        <v>222</v>
      </c>
      <c r="H153" s="317"/>
      <c r="I153" s="318"/>
      <c r="J153" s="316"/>
      <c r="K153" s="433">
        <v>0.2</v>
      </c>
      <c r="L153" s="257">
        <v>45.36</v>
      </c>
      <c r="M153" s="379">
        <v>2.7E-2</v>
      </c>
      <c r="N153" s="261">
        <v>2</v>
      </c>
      <c r="O153" s="520">
        <f t="shared" si="20"/>
        <v>0.48988800000000005</v>
      </c>
      <c r="P153" s="261">
        <v>46267.199999999997</v>
      </c>
      <c r="Q153" s="496">
        <f t="shared" si="21"/>
        <v>22665.746073599999</v>
      </c>
      <c r="R153" s="261">
        <v>47231.1</v>
      </c>
      <c r="S153" s="521">
        <f t="shared" si="22"/>
        <v>23137.949116800002</v>
      </c>
      <c r="T153" s="259">
        <v>52971.317280000003</v>
      </c>
      <c r="U153" s="517">
        <f t="shared" si="23"/>
        <v>25950.012679664644</v>
      </c>
      <c r="V153" s="259">
        <f t="shared" si="24"/>
        <v>48823.205760000004</v>
      </c>
      <c r="W153" s="267">
        <f t="shared" si="25"/>
        <v>23917.902623354883</v>
      </c>
      <c r="X153" s="578"/>
      <c r="Y153" s="492">
        <f t="shared" si="26"/>
        <v>510.09588000000008</v>
      </c>
      <c r="Z153" s="151"/>
    </row>
    <row r="154" spans="2:26" x14ac:dyDescent="0.35">
      <c r="B154" s="518"/>
      <c r="E154" s="519"/>
      <c r="F154" s="151" t="s">
        <v>226</v>
      </c>
      <c r="G154" s="316" t="s">
        <v>178</v>
      </c>
      <c r="H154" s="317"/>
      <c r="I154" s="318"/>
      <c r="J154" s="316"/>
      <c r="K154" s="433">
        <v>0.2</v>
      </c>
      <c r="L154" s="257">
        <v>45.36</v>
      </c>
      <c r="M154" s="379">
        <v>1.5</v>
      </c>
      <c r="N154" s="261">
        <v>2</v>
      </c>
      <c r="O154" s="520">
        <f t="shared" si="20"/>
        <v>27.216000000000001</v>
      </c>
      <c r="P154" s="261">
        <v>3700</v>
      </c>
      <c r="Q154" s="496">
        <f t="shared" si="21"/>
        <v>100699.2</v>
      </c>
      <c r="R154" s="261">
        <v>4196.6324999999997</v>
      </c>
      <c r="S154" s="521">
        <f t="shared" si="22"/>
        <v>114215.55012</v>
      </c>
      <c r="T154" s="259">
        <v>4490.6400000000003</v>
      </c>
      <c r="U154" s="517">
        <f t="shared" si="23"/>
        <v>122217.25824000001</v>
      </c>
      <c r="V154" s="259">
        <f t="shared" si="24"/>
        <v>4129.0908333333327</v>
      </c>
      <c r="W154" s="267">
        <f t="shared" si="25"/>
        <v>112377.33611999999</v>
      </c>
      <c r="X154" s="578"/>
      <c r="Y154" s="492">
        <f t="shared" si="26"/>
        <v>2517.9794999999999</v>
      </c>
      <c r="Z154" s="151"/>
    </row>
    <row r="155" spans="2:26" x14ac:dyDescent="0.35">
      <c r="B155" s="518"/>
      <c r="E155" s="519"/>
      <c r="F155" s="151" t="s">
        <v>220</v>
      </c>
      <c r="G155" s="316" t="s">
        <v>183</v>
      </c>
      <c r="H155" s="317"/>
      <c r="I155" s="318"/>
      <c r="J155" s="316"/>
      <c r="K155" s="433">
        <v>0.2</v>
      </c>
      <c r="L155" s="257">
        <v>45.36</v>
      </c>
      <c r="M155" s="379">
        <v>6.2500000000000003E-3</v>
      </c>
      <c r="N155" s="261">
        <v>2</v>
      </c>
      <c r="O155" s="520">
        <f t="shared" si="20"/>
        <v>0.11340000000000001</v>
      </c>
      <c r="P155" s="261">
        <v>1366468.5</v>
      </c>
      <c r="Q155" s="496">
        <f t="shared" si="21"/>
        <v>154957.52790000002</v>
      </c>
      <c r="R155" s="261">
        <v>1506531.5212500002</v>
      </c>
      <c r="S155" s="521">
        <f t="shared" si="22"/>
        <v>170840.67450975004</v>
      </c>
      <c r="T155" s="259">
        <v>1593848.8584</v>
      </c>
      <c r="U155" s="517">
        <f t="shared" si="23"/>
        <v>180742.46054256003</v>
      </c>
      <c r="V155" s="259">
        <f t="shared" si="24"/>
        <v>1488949.6265500002</v>
      </c>
      <c r="W155" s="267">
        <f t="shared" si="25"/>
        <v>168846.88765077005</v>
      </c>
      <c r="X155" s="578"/>
      <c r="Y155" s="492">
        <f t="shared" si="26"/>
        <v>3766.3288031250008</v>
      </c>
      <c r="Z155" s="151"/>
    </row>
    <row r="156" spans="2:26" x14ac:dyDescent="0.35">
      <c r="B156" s="518"/>
      <c r="E156" s="519"/>
      <c r="F156" s="151" t="s">
        <v>227</v>
      </c>
      <c r="G156" s="316" t="s">
        <v>183</v>
      </c>
      <c r="H156" s="317">
        <v>4</v>
      </c>
      <c r="I156" s="318" t="s">
        <v>228</v>
      </c>
      <c r="J156" s="316"/>
      <c r="K156" s="433">
        <v>0.2</v>
      </c>
      <c r="L156" s="257">
        <v>45.36</v>
      </c>
      <c r="M156" s="379">
        <f>((M$151*N$151)/240*($H156/N156))</f>
        <v>2.5000000000000001E-2</v>
      </c>
      <c r="N156" s="261">
        <v>2</v>
      </c>
      <c r="O156" s="520">
        <f t="shared" si="20"/>
        <v>0.45360000000000006</v>
      </c>
      <c r="P156" s="261">
        <v>42840</v>
      </c>
      <c r="Q156" s="496">
        <f t="shared" si="21"/>
        <v>19432.224000000002</v>
      </c>
      <c r="R156" s="261">
        <v>47231.1</v>
      </c>
      <c r="S156" s="521">
        <f t="shared" si="22"/>
        <v>21424.026960000003</v>
      </c>
      <c r="T156" s="259">
        <v>49968.576000000008</v>
      </c>
      <c r="U156" s="517">
        <f t="shared" si="23"/>
        <v>22665.746073600007</v>
      </c>
      <c r="V156" s="259">
        <f t="shared" si="24"/>
        <v>46679.892000000007</v>
      </c>
      <c r="W156" s="267">
        <f t="shared" si="25"/>
        <v>21173.999011200005</v>
      </c>
      <c r="X156" s="578"/>
      <c r="Y156" s="492">
        <f t="shared" si="26"/>
        <v>472.31100000000009</v>
      </c>
      <c r="Z156" s="151"/>
    </row>
    <row r="157" spans="2:26" x14ac:dyDescent="0.35">
      <c r="B157" s="518"/>
      <c r="E157" s="519"/>
      <c r="F157" s="151" t="s">
        <v>229</v>
      </c>
      <c r="G157" s="316" t="s">
        <v>183</v>
      </c>
      <c r="H157" s="317">
        <v>12</v>
      </c>
      <c r="I157" s="318" t="s">
        <v>228</v>
      </c>
      <c r="J157" s="316"/>
      <c r="K157" s="433">
        <v>0.2</v>
      </c>
      <c r="L157" s="257">
        <v>45.36</v>
      </c>
      <c r="M157" s="379">
        <f>((M$151*N$151)/240*($H157/N157))</f>
        <v>7.5000000000000011E-2</v>
      </c>
      <c r="N157" s="261">
        <v>2</v>
      </c>
      <c r="O157" s="520">
        <f t="shared" si="20"/>
        <v>1.3608000000000005</v>
      </c>
      <c r="P157" s="261">
        <v>14000</v>
      </c>
      <c r="Q157" s="496">
        <f t="shared" si="21"/>
        <v>19051.200000000008</v>
      </c>
      <c r="R157" s="261">
        <v>15435</v>
      </c>
      <c r="S157" s="521">
        <f t="shared" si="22"/>
        <v>21003.948000000008</v>
      </c>
      <c r="T157" s="259">
        <v>16329.600000000002</v>
      </c>
      <c r="U157" s="517">
        <f t="shared" si="23"/>
        <v>22221.319680000011</v>
      </c>
      <c r="V157" s="259">
        <f t="shared" si="24"/>
        <v>15254.86666666667</v>
      </c>
      <c r="W157" s="267">
        <f t="shared" si="25"/>
        <v>20758.822560000011</v>
      </c>
      <c r="X157" s="578"/>
      <c r="Y157" s="492">
        <f t="shared" si="26"/>
        <v>463.05000000000018</v>
      </c>
      <c r="Z157" s="151"/>
    </row>
    <row r="158" spans="2:26" x14ac:dyDescent="0.35">
      <c r="B158" s="518"/>
      <c r="E158" s="519"/>
      <c r="F158" s="151" t="s">
        <v>230</v>
      </c>
      <c r="G158" s="316" t="s">
        <v>183</v>
      </c>
      <c r="H158" s="317">
        <v>1</v>
      </c>
      <c r="I158" s="318" t="s">
        <v>228</v>
      </c>
      <c r="J158" s="316"/>
      <c r="K158" s="433">
        <v>0.2</v>
      </c>
      <c r="L158" s="257">
        <v>45.36</v>
      </c>
      <c r="M158" s="379">
        <f>((M$151*N$151)/240*($H158/N158))</f>
        <v>6.2500000000000003E-3</v>
      </c>
      <c r="N158" s="261">
        <v>2</v>
      </c>
      <c r="O158" s="520">
        <f t="shared" si="20"/>
        <v>0.11340000000000001</v>
      </c>
      <c r="P158" s="261">
        <v>37485</v>
      </c>
      <c r="Q158" s="496">
        <f t="shared" si="21"/>
        <v>4250.7990000000009</v>
      </c>
      <c r="R158" s="261">
        <v>41327.212500000001</v>
      </c>
      <c r="S158" s="521">
        <f t="shared" si="22"/>
        <v>4686.5058975000011</v>
      </c>
      <c r="T158" s="259">
        <v>43722.504000000008</v>
      </c>
      <c r="U158" s="517">
        <f t="shared" si="23"/>
        <v>4958.1319536000019</v>
      </c>
      <c r="V158" s="259">
        <f t="shared" si="24"/>
        <v>40844.905500000001</v>
      </c>
      <c r="W158" s="267">
        <f t="shared" si="25"/>
        <v>4631.812283700001</v>
      </c>
      <c r="X158" s="578"/>
      <c r="Y158" s="492">
        <f t="shared" si="26"/>
        <v>103.31803125000002</v>
      </c>
      <c r="Z158" s="151"/>
    </row>
    <row r="159" spans="2:26" x14ac:dyDescent="0.35">
      <c r="B159" s="518"/>
      <c r="C159" t="s">
        <v>480</v>
      </c>
      <c r="E159" s="519"/>
      <c r="F159" s="151" t="s">
        <v>231</v>
      </c>
      <c r="G159" s="316" t="s">
        <v>183</v>
      </c>
      <c r="H159" s="317">
        <v>2</v>
      </c>
      <c r="I159" s="318" t="s">
        <v>228</v>
      </c>
      <c r="J159" s="316"/>
      <c r="K159" s="433">
        <v>0.2</v>
      </c>
      <c r="L159" s="257">
        <v>45.36</v>
      </c>
      <c r="M159" s="379">
        <f>((M$151*N$151)/240*($H159/N159))</f>
        <v>1.2500000000000001E-2</v>
      </c>
      <c r="N159" s="261">
        <v>2</v>
      </c>
      <c r="O159" s="520">
        <f t="shared" si="20"/>
        <v>0.22680000000000003</v>
      </c>
      <c r="P159" s="261">
        <v>32130</v>
      </c>
      <c r="Q159" s="496">
        <f t="shared" si="21"/>
        <v>7287.0840000000007</v>
      </c>
      <c r="R159" s="261">
        <v>35423.325000000004</v>
      </c>
      <c r="S159" s="521">
        <f t="shared" si="22"/>
        <v>8034.010110000002</v>
      </c>
      <c r="T159" s="259">
        <v>37476.432000000001</v>
      </c>
      <c r="U159" s="517">
        <f t="shared" si="23"/>
        <v>8499.6547776000007</v>
      </c>
      <c r="V159" s="259">
        <f t="shared" si="24"/>
        <v>35009.918999999994</v>
      </c>
      <c r="W159" s="267">
        <f t="shared" si="25"/>
        <v>7940.2496292000005</v>
      </c>
      <c r="X159" s="578"/>
      <c r="Y159" s="492">
        <f t="shared" si="26"/>
        <v>177.11662500000006</v>
      </c>
      <c r="Z159" s="151"/>
    </row>
    <row r="160" spans="2:26" x14ac:dyDescent="0.35">
      <c r="B160" s="518"/>
      <c r="E160" s="519"/>
      <c r="F160" s="151" t="s">
        <v>232</v>
      </c>
      <c r="G160" s="316" t="s">
        <v>183</v>
      </c>
      <c r="H160" s="317">
        <v>1</v>
      </c>
      <c r="I160" s="318" t="s">
        <v>228</v>
      </c>
      <c r="J160" s="316"/>
      <c r="K160" s="433">
        <v>0.2</v>
      </c>
      <c r="L160" s="257">
        <v>45.36</v>
      </c>
      <c r="M160" s="379">
        <f>((M$151*N$151)/240*($H160/N160))</f>
        <v>6.2500000000000003E-3</v>
      </c>
      <c r="N160" s="261">
        <v>2</v>
      </c>
      <c r="O160" s="520">
        <f t="shared" si="20"/>
        <v>0.11340000000000001</v>
      </c>
      <c r="P160" s="261">
        <v>85680</v>
      </c>
      <c r="Q160" s="496">
        <f t="shared" si="21"/>
        <v>9716.112000000001</v>
      </c>
      <c r="R160" s="261">
        <v>94462.2</v>
      </c>
      <c r="S160" s="521">
        <f t="shared" si="22"/>
        <v>10712.013480000001</v>
      </c>
      <c r="T160" s="259">
        <v>99937.152000000016</v>
      </c>
      <c r="U160" s="517">
        <f t="shared" si="23"/>
        <v>11332.873036800003</v>
      </c>
      <c r="V160" s="259">
        <f t="shared" si="24"/>
        <v>93359.784000000014</v>
      </c>
      <c r="W160" s="267">
        <f t="shared" si="25"/>
        <v>10586.999505600003</v>
      </c>
      <c r="X160" s="578"/>
      <c r="Y160" s="492">
        <f t="shared" si="26"/>
        <v>236.15550000000005</v>
      </c>
      <c r="Z160" s="151"/>
    </row>
    <row r="161" spans="2:26" x14ac:dyDescent="0.35">
      <c r="B161" s="518"/>
      <c r="D161" s="172" t="s">
        <v>81</v>
      </c>
      <c r="E161" s="506"/>
      <c r="F161" s="151" t="s">
        <v>177</v>
      </c>
      <c r="G161" s="316" t="s">
        <v>178</v>
      </c>
      <c r="H161" s="317"/>
      <c r="I161" s="318"/>
      <c r="J161" s="316" t="s">
        <v>179</v>
      </c>
      <c r="K161" s="433">
        <v>1</v>
      </c>
      <c r="L161" s="257">
        <v>45.36</v>
      </c>
      <c r="M161" s="379">
        <v>0.3</v>
      </c>
      <c r="N161" s="261">
        <v>4</v>
      </c>
      <c r="O161" s="520">
        <f t="shared" si="20"/>
        <v>54.431999999999995</v>
      </c>
      <c r="P161" s="261">
        <v>140008</v>
      </c>
      <c r="Q161" s="496">
        <f t="shared" si="21"/>
        <v>7620915.4559999993</v>
      </c>
      <c r="R161" s="261">
        <v>158800.57379999998</v>
      </c>
      <c r="S161" s="521">
        <f t="shared" si="22"/>
        <v>8643832.8330815975</v>
      </c>
      <c r="T161" s="259">
        <v>163305.33120000002</v>
      </c>
      <c r="U161" s="517">
        <f t="shared" si="23"/>
        <v>8889035.7878783997</v>
      </c>
      <c r="V161" s="259">
        <f t="shared" si="24"/>
        <v>154037.96833333332</v>
      </c>
      <c r="W161" s="267">
        <f t="shared" si="25"/>
        <v>8384594.6923199994</v>
      </c>
      <c r="X161" s="578"/>
      <c r="Y161" s="492">
        <f t="shared" si="26"/>
        <v>190560.68855999995</v>
      </c>
      <c r="Z161" s="151"/>
    </row>
    <row r="162" spans="2:26" x14ac:dyDescent="0.35">
      <c r="B162" s="518"/>
      <c r="E162" s="519"/>
      <c r="F162" s="151" t="s">
        <v>221</v>
      </c>
      <c r="G162" s="316" t="s">
        <v>222</v>
      </c>
      <c r="H162" s="317"/>
      <c r="I162" s="318"/>
      <c r="J162" s="316" t="s">
        <v>179</v>
      </c>
      <c r="K162" s="433">
        <v>1</v>
      </c>
      <c r="L162" s="257">
        <v>45.36</v>
      </c>
      <c r="M162" s="258">
        <v>0.25</v>
      </c>
      <c r="N162" s="261">
        <v>4</v>
      </c>
      <c r="O162" s="520">
        <f t="shared" si="20"/>
        <v>45.36</v>
      </c>
      <c r="P162" s="261">
        <v>36352.800000000003</v>
      </c>
      <c r="Q162" s="496">
        <f t="shared" si="21"/>
        <v>1648963.0080000001</v>
      </c>
      <c r="R162" s="261">
        <v>37110.15</v>
      </c>
      <c r="S162" s="521">
        <f t="shared" si="22"/>
        <v>1683316.4040000001</v>
      </c>
      <c r="T162" s="259">
        <v>41620.320720000011</v>
      </c>
      <c r="U162" s="517">
        <f t="shared" si="23"/>
        <v>1887897.7478592005</v>
      </c>
      <c r="V162" s="259">
        <f t="shared" si="24"/>
        <v>38361.090240000012</v>
      </c>
      <c r="W162" s="267">
        <f t="shared" si="25"/>
        <v>1740059.0532864004</v>
      </c>
      <c r="X162" s="578"/>
      <c r="Y162" s="492">
        <f t="shared" si="26"/>
        <v>37110.15</v>
      </c>
      <c r="Z162" s="151"/>
    </row>
    <row r="163" spans="2:26" x14ac:dyDescent="0.35">
      <c r="B163" s="518"/>
      <c r="E163" s="519"/>
      <c r="F163" s="151" t="s">
        <v>226</v>
      </c>
      <c r="G163" s="316" t="s">
        <v>178</v>
      </c>
      <c r="H163" s="317"/>
      <c r="I163" s="318"/>
      <c r="J163" s="316" t="s">
        <v>179</v>
      </c>
      <c r="K163" s="433">
        <v>1</v>
      </c>
      <c r="L163" s="257">
        <v>45.36</v>
      </c>
      <c r="M163" s="379">
        <v>0.3</v>
      </c>
      <c r="N163" s="261">
        <v>4</v>
      </c>
      <c r="O163" s="520">
        <f t="shared" si="20"/>
        <v>54.431999999999995</v>
      </c>
      <c r="P163" s="261">
        <v>3700</v>
      </c>
      <c r="Q163" s="496">
        <f t="shared" si="21"/>
        <v>201398.39999999999</v>
      </c>
      <c r="R163" s="261">
        <v>4196.6324999999997</v>
      </c>
      <c r="S163" s="521">
        <f t="shared" si="22"/>
        <v>228431.10023999997</v>
      </c>
      <c r="T163" s="259">
        <v>4490.6400000000003</v>
      </c>
      <c r="U163" s="517">
        <f t="shared" si="23"/>
        <v>244434.51647999999</v>
      </c>
      <c r="V163" s="259">
        <f t="shared" si="24"/>
        <v>4129.0908333333336</v>
      </c>
      <c r="W163" s="267">
        <f t="shared" si="25"/>
        <v>224754.67223999999</v>
      </c>
      <c r="X163" s="578"/>
      <c r="Y163" s="492">
        <f t="shared" si="26"/>
        <v>5035.9589999999998</v>
      </c>
      <c r="Z163" s="151"/>
    </row>
    <row r="164" spans="2:26" x14ac:dyDescent="0.35">
      <c r="B164" s="518"/>
      <c r="E164" s="519"/>
      <c r="F164" s="151" t="s">
        <v>398</v>
      </c>
      <c r="G164" s="316" t="s">
        <v>183</v>
      </c>
      <c r="H164" s="317">
        <v>1</v>
      </c>
      <c r="I164" s="318"/>
      <c r="J164" s="316" t="s">
        <v>179</v>
      </c>
      <c r="K164" s="433">
        <v>1</v>
      </c>
      <c r="L164" s="257">
        <v>45.36</v>
      </c>
      <c r="M164" s="379">
        <f t="shared" ref="M164:M170" si="27">((M$161*N$161)/240*($H164/N164))</f>
        <v>1.25E-3</v>
      </c>
      <c r="N164" s="261">
        <v>4</v>
      </c>
      <c r="O164" s="520">
        <f t="shared" si="20"/>
        <v>0.2268</v>
      </c>
      <c r="P164" s="261">
        <v>7675.5</v>
      </c>
      <c r="Q164" s="496">
        <f t="shared" si="21"/>
        <v>1740.8034</v>
      </c>
      <c r="R164" s="261">
        <v>8462.2387500000004</v>
      </c>
      <c r="S164" s="521">
        <f t="shared" si="22"/>
        <v>1919.2357485</v>
      </c>
      <c r="T164" s="259">
        <v>8952.7032000000017</v>
      </c>
      <c r="U164" s="517">
        <f t="shared" si="23"/>
        <v>2030.4730857600005</v>
      </c>
      <c r="V164" s="259">
        <f t="shared" si="24"/>
        <v>8363.4806500000013</v>
      </c>
      <c r="W164" s="267">
        <f t="shared" si="25"/>
        <v>1896.8374114200003</v>
      </c>
      <c r="X164" s="578"/>
      <c r="Y164" s="492">
        <f t="shared" si="26"/>
        <v>42.311193750000001</v>
      </c>
      <c r="Z164" s="151"/>
    </row>
    <row r="165" spans="2:26" x14ac:dyDescent="0.35">
      <c r="B165" s="518"/>
      <c r="E165" s="519"/>
      <c r="F165" s="151" t="s">
        <v>220</v>
      </c>
      <c r="G165" s="316" t="s">
        <v>183</v>
      </c>
      <c r="H165" s="317"/>
      <c r="I165" s="318"/>
      <c r="J165" s="316"/>
      <c r="K165" s="433">
        <v>1</v>
      </c>
      <c r="L165" s="257">
        <v>45.36</v>
      </c>
      <c r="M165" s="379">
        <v>6.2500000000000003E-3</v>
      </c>
      <c r="N165" s="261">
        <v>2</v>
      </c>
      <c r="O165" s="520">
        <f>K165*L165*M165*N165</f>
        <v>0.56700000000000006</v>
      </c>
      <c r="P165" s="261">
        <v>1366468.5</v>
      </c>
      <c r="Q165" s="496">
        <f>P165*$O165</f>
        <v>774787.63950000005</v>
      </c>
      <c r="R165" s="261">
        <v>1506531.5212500002</v>
      </c>
      <c r="S165" s="521">
        <f>R165*$O165</f>
        <v>854203.37254875025</v>
      </c>
      <c r="T165" s="259">
        <v>1593848.8584</v>
      </c>
      <c r="U165" s="517">
        <f>$O165*T165</f>
        <v>903712.3027128001</v>
      </c>
      <c r="V165" s="259">
        <f>W165/O165</f>
        <v>1488949.6265499999</v>
      </c>
      <c r="W165" s="267">
        <f t="shared" si="25"/>
        <v>844234.43825385009</v>
      </c>
      <c r="X165" s="578"/>
      <c r="Y165" s="492">
        <f t="shared" si="26"/>
        <v>18831.644015625006</v>
      </c>
      <c r="Z165" s="151"/>
    </row>
    <row r="166" spans="2:26" x14ac:dyDescent="0.35">
      <c r="B166" s="518"/>
      <c r="E166" s="519"/>
      <c r="F166" s="151" t="s">
        <v>227</v>
      </c>
      <c r="G166" s="316" t="s">
        <v>183</v>
      </c>
      <c r="H166" s="317">
        <v>4</v>
      </c>
      <c r="I166" s="318" t="s">
        <v>228</v>
      </c>
      <c r="J166" s="316" t="s">
        <v>179</v>
      </c>
      <c r="K166" s="433">
        <v>1</v>
      </c>
      <c r="L166" s="257">
        <v>45.36</v>
      </c>
      <c r="M166" s="379">
        <f t="shared" si="27"/>
        <v>5.0000000000000001E-3</v>
      </c>
      <c r="N166" s="261">
        <v>4</v>
      </c>
      <c r="O166" s="520">
        <f t="shared" si="20"/>
        <v>0.90720000000000001</v>
      </c>
      <c r="P166" s="261">
        <v>42840</v>
      </c>
      <c r="Q166" s="496">
        <f t="shared" si="21"/>
        <v>38864.447999999997</v>
      </c>
      <c r="R166" s="261">
        <v>47231.1</v>
      </c>
      <c r="S166" s="521">
        <f t="shared" si="22"/>
        <v>42848.053919999998</v>
      </c>
      <c r="T166" s="259">
        <v>49968.576000000008</v>
      </c>
      <c r="U166" s="517">
        <f t="shared" si="23"/>
        <v>45331.492147200006</v>
      </c>
      <c r="V166" s="259">
        <f t="shared" si="24"/>
        <v>46679.891999999993</v>
      </c>
      <c r="W166" s="267">
        <f t="shared" si="25"/>
        <v>42347.998022399996</v>
      </c>
      <c r="X166" s="578"/>
      <c r="Y166" s="492">
        <f t="shared" si="26"/>
        <v>944.62199999999996</v>
      </c>
      <c r="Z166" s="151"/>
    </row>
    <row r="167" spans="2:26" x14ac:dyDescent="0.35">
      <c r="B167" s="518"/>
      <c r="E167" s="519"/>
      <c r="F167" s="151" t="s">
        <v>229</v>
      </c>
      <c r="G167" s="316" t="s">
        <v>183</v>
      </c>
      <c r="H167" s="317">
        <v>12</v>
      </c>
      <c r="I167" s="318" t="s">
        <v>228</v>
      </c>
      <c r="J167" s="316" t="s">
        <v>179</v>
      </c>
      <c r="K167" s="433">
        <v>1</v>
      </c>
      <c r="L167" s="257">
        <v>45.36</v>
      </c>
      <c r="M167" s="379">
        <f t="shared" si="27"/>
        <v>1.4999999999999999E-2</v>
      </c>
      <c r="N167" s="261">
        <v>4</v>
      </c>
      <c r="O167" s="520">
        <f t="shared" si="20"/>
        <v>2.7216</v>
      </c>
      <c r="P167" s="261">
        <v>14000</v>
      </c>
      <c r="Q167" s="496">
        <f t="shared" si="21"/>
        <v>38102.400000000001</v>
      </c>
      <c r="R167" s="261">
        <v>15435</v>
      </c>
      <c r="S167" s="521">
        <f t="shared" si="22"/>
        <v>42007.896000000001</v>
      </c>
      <c r="T167" s="259">
        <v>16329.600000000002</v>
      </c>
      <c r="U167" s="517">
        <f t="shared" si="23"/>
        <v>44442.639360000008</v>
      </c>
      <c r="V167" s="259">
        <f t="shared" si="24"/>
        <v>15254.866666666667</v>
      </c>
      <c r="W167" s="267">
        <f t="shared" si="25"/>
        <v>41517.645120000001</v>
      </c>
      <c r="X167" s="578"/>
      <c r="Y167" s="492">
        <f t="shared" si="26"/>
        <v>926.1</v>
      </c>
      <c r="Z167" s="151"/>
    </row>
    <row r="168" spans="2:26" x14ac:dyDescent="0.35">
      <c r="B168" s="518"/>
      <c r="E168" s="519"/>
      <c r="F168" s="151" t="s">
        <v>230</v>
      </c>
      <c r="G168" s="316" t="s">
        <v>183</v>
      </c>
      <c r="H168" s="317">
        <v>1</v>
      </c>
      <c r="I168" s="318" t="s">
        <v>228</v>
      </c>
      <c r="J168" s="316" t="s">
        <v>179</v>
      </c>
      <c r="K168" s="433">
        <v>1</v>
      </c>
      <c r="L168" s="257">
        <v>45.36</v>
      </c>
      <c r="M168" s="379">
        <f t="shared" si="27"/>
        <v>1.25E-3</v>
      </c>
      <c r="N168" s="261">
        <v>4</v>
      </c>
      <c r="O168" s="520">
        <f t="shared" si="20"/>
        <v>0.2268</v>
      </c>
      <c r="P168" s="261">
        <v>37485</v>
      </c>
      <c r="Q168" s="496">
        <f t="shared" si="21"/>
        <v>8501.598</v>
      </c>
      <c r="R168" s="261">
        <v>41327.212500000001</v>
      </c>
      <c r="S168" s="521">
        <f t="shared" si="22"/>
        <v>9373.0117950000003</v>
      </c>
      <c r="T168" s="259">
        <v>43722.504000000008</v>
      </c>
      <c r="U168" s="517">
        <f t="shared" si="23"/>
        <v>9916.263907200002</v>
      </c>
      <c r="V168" s="259">
        <f t="shared" si="24"/>
        <v>40844.905500000001</v>
      </c>
      <c r="W168" s="267">
        <f t="shared" si="25"/>
        <v>9263.6245674000002</v>
      </c>
      <c r="X168" s="578"/>
      <c r="Y168" s="492">
        <f t="shared" si="26"/>
        <v>206.63606250000001</v>
      </c>
      <c r="Z168" s="151"/>
    </row>
    <row r="169" spans="2:26" x14ac:dyDescent="0.35">
      <c r="B169" s="518"/>
      <c r="E169" s="519"/>
      <c r="F169" s="151" t="s">
        <v>231</v>
      </c>
      <c r="G169" s="316" t="s">
        <v>183</v>
      </c>
      <c r="H169" s="317">
        <v>2</v>
      </c>
      <c r="I169" s="318" t="s">
        <v>228</v>
      </c>
      <c r="J169" s="316" t="s">
        <v>179</v>
      </c>
      <c r="K169" s="433">
        <v>1</v>
      </c>
      <c r="L169" s="257">
        <v>45.36</v>
      </c>
      <c r="M169" s="379">
        <f t="shared" si="27"/>
        <v>2.5000000000000001E-3</v>
      </c>
      <c r="N169" s="261">
        <v>4</v>
      </c>
      <c r="O169" s="520">
        <f t="shared" si="20"/>
        <v>0.4536</v>
      </c>
      <c r="P169" s="261">
        <v>32130</v>
      </c>
      <c r="Q169" s="496">
        <f t="shared" si="21"/>
        <v>14574.168</v>
      </c>
      <c r="R169" s="261">
        <v>35423.325000000004</v>
      </c>
      <c r="S169" s="521">
        <f t="shared" si="22"/>
        <v>16068.020220000002</v>
      </c>
      <c r="T169" s="259">
        <v>37476.432000000001</v>
      </c>
      <c r="U169" s="517">
        <f t="shared" si="23"/>
        <v>16999.309555200001</v>
      </c>
      <c r="V169" s="259">
        <f t="shared" si="24"/>
        <v>35009.919000000002</v>
      </c>
      <c r="W169" s="267">
        <f t="shared" si="25"/>
        <v>15880.499258400001</v>
      </c>
      <c r="X169" s="578"/>
      <c r="Y169" s="492">
        <f t="shared" si="26"/>
        <v>354.23325000000006</v>
      </c>
      <c r="Z169" s="151"/>
    </row>
    <row r="170" spans="2:26" x14ac:dyDescent="0.35">
      <c r="B170" s="518"/>
      <c r="E170" s="519"/>
      <c r="F170" s="151" t="s">
        <v>232</v>
      </c>
      <c r="G170" s="316" t="s">
        <v>183</v>
      </c>
      <c r="H170" s="317">
        <v>1</v>
      </c>
      <c r="I170" s="318" t="s">
        <v>228</v>
      </c>
      <c r="J170" s="316" t="s">
        <v>179</v>
      </c>
      <c r="K170" s="433">
        <v>1</v>
      </c>
      <c r="L170" s="257">
        <v>45.36</v>
      </c>
      <c r="M170" s="379">
        <f t="shared" si="27"/>
        <v>1.25E-3</v>
      </c>
      <c r="N170" s="261">
        <v>4</v>
      </c>
      <c r="O170" s="520">
        <f t="shared" si="20"/>
        <v>0.2268</v>
      </c>
      <c r="P170" s="261">
        <v>85680</v>
      </c>
      <c r="Q170" s="496">
        <f t="shared" si="21"/>
        <v>19432.223999999998</v>
      </c>
      <c r="R170" s="261">
        <v>94462.2</v>
      </c>
      <c r="S170" s="521">
        <f t="shared" si="22"/>
        <v>21424.026959999999</v>
      </c>
      <c r="T170" s="259">
        <v>99937.152000000016</v>
      </c>
      <c r="U170" s="517">
        <f t="shared" si="23"/>
        <v>22665.746073600003</v>
      </c>
      <c r="V170" s="259">
        <f t="shared" si="24"/>
        <v>93359.783999999985</v>
      </c>
      <c r="W170" s="267">
        <f t="shared" si="25"/>
        <v>21173.999011199998</v>
      </c>
      <c r="X170" s="578"/>
      <c r="Y170" s="492">
        <f t="shared" si="26"/>
        <v>472.31099999999998</v>
      </c>
      <c r="Z170" s="151"/>
    </row>
    <row r="171" spans="2:26" x14ac:dyDescent="0.35">
      <c r="B171" s="518"/>
      <c r="C171" s="172" t="s">
        <v>83</v>
      </c>
      <c r="D171" s="172"/>
      <c r="E171" s="506"/>
      <c r="F171" s="151" t="s">
        <v>177</v>
      </c>
      <c r="G171" s="316" t="s">
        <v>178</v>
      </c>
      <c r="H171" s="317"/>
      <c r="I171" s="318"/>
      <c r="J171" s="316"/>
      <c r="K171" s="433">
        <v>1</v>
      </c>
      <c r="L171" s="577"/>
      <c r="M171" s="379">
        <v>0.73</v>
      </c>
      <c r="N171" s="259">
        <v>1</v>
      </c>
      <c r="O171" s="520">
        <f>K171*L171*M171*N171</f>
        <v>0</v>
      </c>
      <c r="P171" s="261">
        <v>140008</v>
      </c>
      <c r="Q171" s="496">
        <f>P171*$O171</f>
        <v>0</v>
      </c>
      <c r="R171" s="261">
        <v>158800.57379999998</v>
      </c>
      <c r="S171" s="521">
        <f t="shared" si="22"/>
        <v>0</v>
      </c>
      <c r="T171" s="517"/>
      <c r="U171" s="517"/>
      <c r="V171" s="517"/>
      <c r="W171" s="517"/>
      <c r="X171" s="658">
        <f>S171/12</f>
        <v>0</v>
      </c>
      <c r="Y171" s="492">
        <f t="shared" ref="Y171:Y172" si="28">S171/192.08</f>
        <v>0</v>
      </c>
      <c r="Z171" s="151"/>
    </row>
    <row r="172" spans="2:26" x14ac:dyDescent="0.35">
      <c r="B172" s="518"/>
      <c r="E172" s="519"/>
      <c r="F172" s="151" t="s">
        <v>359</v>
      </c>
      <c r="G172" s="316" t="s">
        <v>195</v>
      </c>
      <c r="H172" s="317"/>
      <c r="I172" s="318"/>
      <c r="J172" s="316"/>
      <c r="K172" s="502">
        <v>50</v>
      </c>
      <c r="L172" s="577"/>
      <c r="M172" s="379">
        <v>3.36</v>
      </c>
      <c r="N172" s="259">
        <v>1</v>
      </c>
      <c r="O172" s="317"/>
      <c r="P172" s="496"/>
      <c r="Q172" s="496"/>
      <c r="R172" s="261">
        <v>154040.19750000001</v>
      </c>
      <c r="S172" s="521"/>
      <c r="T172" s="517"/>
      <c r="U172" s="517"/>
      <c r="V172" s="517"/>
      <c r="W172" s="517"/>
      <c r="X172" s="658"/>
      <c r="Y172" s="492">
        <f t="shared" si="28"/>
        <v>0</v>
      </c>
      <c r="Z172" s="151"/>
    </row>
    <row r="173" spans="2:26" x14ac:dyDescent="0.35">
      <c r="B173" s="579"/>
      <c r="C173" s="580"/>
      <c r="D173" s="580"/>
      <c r="E173" s="581"/>
      <c r="F173" s="151" t="s">
        <v>234</v>
      </c>
      <c r="G173" s="316" t="s">
        <v>179</v>
      </c>
      <c r="H173" s="317"/>
      <c r="I173" s="318"/>
      <c r="J173" s="316" t="s">
        <v>481</v>
      </c>
      <c r="K173" s="433">
        <v>0.15</v>
      </c>
      <c r="L173" s="257">
        <v>45.36</v>
      </c>
      <c r="M173" s="379">
        <f>20/30</f>
        <v>0.66666666666666663</v>
      </c>
      <c r="N173" s="259">
        <v>12</v>
      </c>
      <c r="O173" s="520">
        <f>K173*L173*M173*N173</f>
        <v>54.431999999999995</v>
      </c>
      <c r="P173" s="261">
        <v>65996</v>
      </c>
      <c r="Q173" s="496">
        <f>P173*$O173</f>
        <v>3592294.2719999999</v>
      </c>
      <c r="R173" s="261">
        <v>72760.590000000011</v>
      </c>
      <c r="S173" s="521">
        <f>R173*$O173</f>
        <v>3960504.4348800001</v>
      </c>
      <c r="T173" s="259">
        <v>71381.2736</v>
      </c>
      <c r="U173" s="517">
        <f>$O173*T173</f>
        <v>3885425.4845951996</v>
      </c>
      <c r="V173" s="259">
        <f>W173/O173</f>
        <v>70045.954533333337</v>
      </c>
      <c r="W173" s="267">
        <f>AVERAGEIF($P$3:$U$3,W$3,$P173:$U173)</f>
        <v>3812741.3971583997</v>
      </c>
      <c r="X173" s="659"/>
      <c r="Y173" s="492">
        <f t="shared" ref="Y173" si="29">S173/$D$1</f>
        <v>87312.707999999999</v>
      </c>
      <c r="Z173" s="151"/>
    </row>
    <row r="174" spans="2:26" x14ac:dyDescent="0.35">
      <c r="B174" s="606" t="s">
        <v>482</v>
      </c>
      <c r="C174" s="607"/>
      <c r="D174" s="607"/>
      <c r="E174" s="608"/>
      <c r="F174" s="609"/>
      <c r="G174" s="610"/>
      <c r="H174" s="611"/>
      <c r="I174" s="612"/>
      <c r="J174" s="610"/>
      <c r="K174" s="613"/>
      <c r="L174" s="614"/>
      <c r="M174" s="615"/>
      <c r="N174" s="616"/>
      <c r="O174" s="611"/>
      <c r="P174" s="617"/>
      <c r="Q174" s="617"/>
      <c r="R174" s="617"/>
      <c r="S174" s="618">
        <f>SUM(S127:S173)</f>
        <v>21209889.326528698</v>
      </c>
      <c r="T174" s="605"/>
      <c r="U174" s="605"/>
      <c r="V174" s="605"/>
      <c r="W174" s="605"/>
      <c r="X174" s="611"/>
      <c r="Y174" s="619">
        <f>S174/D1</f>
        <v>467590.15270124999</v>
      </c>
      <c r="Z174" s="648">
        <f>S174/$S$415*100</f>
        <v>4.2351025207246744</v>
      </c>
    </row>
    <row r="175" spans="2:26" x14ac:dyDescent="0.35">
      <c r="B175" s="660" t="s">
        <v>483</v>
      </c>
      <c r="C175" s="661"/>
      <c r="D175" s="661"/>
      <c r="E175" s="662"/>
      <c r="F175" s="532"/>
      <c r="G175" s="587"/>
      <c r="H175" s="588"/>
      <c r="I175" s="589"/>
      <c r="J175" s="587"/>
      <c r="K175" s="590"/>
      <c r="L175" s="591"/>
      <c r="M175" s="543"/>
      <c r="N175" s="544"/>
      <c r="O175" s="588"/>
      <c r="P175" s="592"/>
      <c r="Q175" s="592"/>
      <c r="R175" s="592"/>
      <c r="S175" s="663">
        <f>S71+S84+S113+S126+S174</f>
        <v>89238807.435446531</v>
      </c>
      <c r="T175" s="594"/>
      <c r="U175" s="594"/>
      <c r="V175" s="594"/>
      <c r="W175" s="594"/>
      <c r="X175" s="588"/>
      <c r="Y175" s="426">
        <f>S175/D1</f>
        <v>1967345.8429331246</v>
      </c>
      <c r="Z175" s="664">
        <f>S175/$S$415*100</f>
        <v>17.818834058865786</v>
      </c>
    </row>
    <row r="176" spans="2:26" x14ac:dyDescent="0.35">
      <c r="B176" s="595" t="s">
        <v>484</v>
      </c>
      <c r="C176" s="318"/>
      <c r="D176" s="318"/>
      <c r="E176" s="582"/>
      <c r="F176" s="151"/>
      <c r="G176" s="316"/>
      <c r="H176" s="317"/>
      <c r="I176" s="318"/>
      <c r="J176" s="316"/>
      <c r="K176" s="502"/>
      <c r="L176" s="577"/>
      <c r="M176" s="258"/>
      <c r="N176" s="259"/>
      <c r="O176" s="317"/>
      <c r="P176" s="496"/>
      <c r="Q176" s="496"/>
      <c r="R176" s="496"/>
      <c r="S176" s="496"/>
      <c r="T176" s="517"/>
      <c r="U176" s="517"/>
      <c r="V176" s="517"/>
      <c r="W176" s="517"/>
      <c r="X176" s="578"/>
      <c r="Y176" s="151"/>
      <c r="Z176" s="151"/>
    </row>
    <row r="177" spans="2:26" x14ac:dyDescent="0.35">
      <c r="B177" s="518"/>
      <c r="C177" t="s">
        <v>88</v>
      </c>
      <c r="E177" s="519"/>
      <c r="F177" s="151" t="s">
        <v>177</v>
      </c>
      <c r="G177" s="316" t="s">
        <v>178</v>
      </c>
      <c r="H177" s="317"/>
      <c r="I177" s="318"/>
      <c r="J177" s="316"/>
      <c r="K177" s="502"/>
      <c r="L177" s="577"/>
      <c r="M177" s="258"/>
      <c r="N177" s="259"/>
      <c r="O177" s="317"/>
      <c r="P177" s="496"/>
      <c r="Q177" s="496"/>
      <c r="R177" s="496"/>
      <c r="S177" s="496"/>
      <c r="T177" s="517"/>
      <c r="U177" s="517"/>
      <c r="V177" s="517"/>
      <c r="W177" s="517"/>
      <c r="X177" s="578"/>
      <c r="Y177" s="151"/>
      <c r="Z177" s="151"/>
    </row>
    <row r="178" spans="2:26" x14ac:dyDescent="0.35">
      <c r="B178" s="518"/>
      <c r="E178" s="519"/>
      <c r="F178" s="151" t="s">
        <v>485</v>
      </c>
      <c r="G178" s="316" t="s">
        <v>183</v>
      </c>
      <c r="H178" s="317"/>
      <c r="I178" s="318"/>
      <c r="J178" s="316"/>
      <c r="K178" s="502"/>
      <c r="L178" s="577"/>
      <c r="M178" s="258"/>
      <c r="N178" s="259"/>
      <c r="O178" s="317"/>
      <c r="P178" s="496"/>
      <c r="Q178" s="496"/>
      <c r="R178" s="496"/>
      <c r="S178" s="496"/>
      <c r="T178" s="517"/>
      <c r="U178" s="517"/>
      <c r="V178" s="517"/>
      <c r="W178" s="517"/>
      <c r="X178" s="578"/>
      <c r="Y178" s="151"/>
      <c r="Z178" s="151"/>
    </row>
    <row r="179" spans="2:26" x14ac:dyDescent="0.35">
      <c r="B179" s="518"/>
      <c r="E179" s="519"/>
      <c r="F179" s="151" t="s">
        <v>486</v>
      </c>
      <c r="G179" s="316" t="s">
        <v>183</v>
      </c>
      <c r="H179" s="317"/>
      <c r="I179" s="318"/>
      <c r="J179" s="316"/>
      <c r="K179" s="502"/>
      <c r="L179" s="577"/>
      <c r="M179" s="258"/>
      <c r="N179" s="259"/>
      <c r="O179" s="317"/>
      <c r="P179" s="496"/>
      <c r="Q179" s="496"/>
      <c r="R179" s="496"/>
      <c r="S179" s="496"/>
      <c r="T179" s="517"/>
      <c r="U179" s="517"/>
      <c r="V179" s="517"/>
      <c r="W179" s="517"/>
      <c r="X179" s="578"/>
      <c r="Y179" s="151"/>
      <c r="Z179" s="151"/>
    </row>
    <row r="180" spans="2:26" x14ac:dyDescent="0.35">
      <c r="B180" s="518"/>
      <c r="E180" s="519"/>
      <c r="F180" s="151" t="s">
        <v>487</v>
      </c>
      <c r="G180" s="316" t="s">
        <v>183</v>
      </c>
      <c r="H180" s="317"/>
      <c r="I180" s="318"/>
      <c r="J180" s="316"/>
      <c r="K180" s="502"/>
      <c r="L180" s="577"/>
      <c r="M180" s="258"/>
      <c r="N180" s="259"/>
      <c r="O180" s="317"/>
      <c r="P180" s="496"/>
      <c r="Q180" s="496"/>
      <c r="R180" s="261">
        <v>56480.523750000008</v>
      </c>
      <c r="S180" s="496"/>
      <c r="T180" s="517"/>
      <c r="U180" s="517"/>
      <c r="V180" s="517"/>
      <c r="W180" s="517"/>
      <c r="X180" s="578"/>
      <c r="Y180" s="151"/>
      <c r="Z180" s="151"/>
    </row>
    <row r="181" spans="2:26" x14ac:dyDescent="0.35">
      <c r="B181" s="504"/>
      <c r="C181" s="172" t="s">
        <v>86</v>
      </c>
      <c r="D181" s="172"/>
      <c r="E181" s="506"/>
      <c r="F181" s="151" t="s">
        <v>177</v>
      </c>
      <c r="G181" s="316" t="s">
        <v>178</v>
      </c>
      <c r="H181" s="317"/>
      <c r="I181" s="318"/>
      <c r="J181" s="316"/>
      <c r="K181" s="433"/>
      <c r="L181" s="577">
        <v>1</v>
      </c>
      <c r="M181" s="379">
        <v>0.5</v>
      </c>
      <c r="N181" s="259">
        <v>2</v>
      </c>
      <c r="O181" s="520">
        <f>K181*L181*M181*N181</f>
        <v>0</v>
      </c>
      <c r="P181" s="261">
        <v>140008</v>
      </c>
      <c r="Q181" s="496">
        <f>P181*$O181</f>
        <v>0</v>
      </c>
      <c r="R181" s="261">
        <v>158800.57379999998</v>
      </c>
      <c r="S181" s="496">
        <f>R181*$O181</f>
        <v>0</v>
      </c>
      <c r="T181" s="259">
        <v>163305.33120000002</v>
      </c>
      <c r="U181" s="517">
        <f>$O181*T181</f>
        <v>0</v>
      </c>
      <c r="V181" s="259" t="e">
        <f>W181/O181</f>
        <v>#DIV/0!</v>
      </c>
      <c r="W181" s="267">
        <f>AVERAGEIF($P$3:$U$3,W$3,$P181:$U181)</f>
        <v>0</v>
      </c>
      <c r="X181" s="578"/>
      <c r="Y181" s="151"/>
      <c r="Z181" s="151"/>
    </row>
    <row r="182" spans="2:26" x14ac:dyDescent="0.35">
      <c r="B182" s="518"/>
      <c r="E182" s="519"/>
      <c r="F182" s="151" t="s">
        <v>488</v>
      </c>
      <c r="G182" s="316" t="s">
        <v>183</v>
      </c>
      <c r="H182" s="317">
        <v>1</v>
      </c>
      <c r="I182" s="318" t="s">
        <v>228</v>
      </c>
      <c r="J182" s="316"/>
      <c r="K182" s="433"/>
      <c r="L182" s="577">
        <v>1</v>
      </c>
      <c r="M182" s="379">
        <f>((M$181*N$181)/(300))*($H182/N182)</f>
        <v>1.6666666666666668E-3</v>
      </c>
      <c r="N182" s="259">
        <v>2</v>
      </c>
      <c r="O182" s="520">
        <f>K182*L182*M182*N182</f>
        <v>0</v>
      </c>
      <c r="P182" s="261">
        <v>66380.89</v>
      </c>
      <c r="Q182" s="496">
        <f>P182*$O182</f>
        <v>0</v>
      </c>
      <c r="R182" s="261">
        <v>73184.931225000008</v>
      </c>
      <c r="S182" s="496">
        <f>R182*$O182</f>
        <v>0</v>
      </c>
      <c r="T182" s="259">
        <v>77426.670096000002</v>
      </c>
      <c r="U182" s="517">
        <f>$O182*T182</f>
        <v>0</v>
      </c>
      <c r="V182" s="259" t="e">
        <f>W182/O182</f>
        <v>#DIV/0!</v>
      </c>
      <c r="W182" s="267">
        <f>AVERAGEIF($P$3:$U$3,W$3,$P182:$U182)</f>
        <v>0</v>
      </c>
      <c r="X182" s="578"/>
      <c r="Y182" s="151"/>
      <c r="Z182" s="151"/>
    </row>
    <row r="183" spans="2:26" x14ac:dyDescent="0.35">
      <c r="B183" s="518"/>
      <c r="E183" s="519"/>
      <c r="F183" s="151" t="s">
        <v>486</v>
      </c>
      <c r="G183" s="316" t="s">
        <v>183</v>
      </c>
      <c r="H183" s="317">
        <v>1</v>
      </c>
      <c r="I183" s="318" t="s">
        <v>228</v>
      </c>
      <c r="J183" s="316"/>
      <c r="K183" s="433"/>
      <c r="L183" s="577">
        <v>1</v>
      </c>
      <c r="M183" s="379">
        <f>((M$181*N$181)/(300))*($H183/N183)</f>
        <v>1.6666666666666668E-3</v>
      </c>
      <c r="N183" s="259">
        <v>2</v>
      </c>
      <c r="O183" s="520">
        <f>K183*L183*M183*N183</f>
        <v>0</v>
      </c>
      <c r="P183" s="261">
        <v>7841.25</v>
      </c>
      <c r="Q183" s="496">
        <f>P183*$O183</f>
        <v>0</v>
      </c>
      <c r="R183" s="261">
        <v>8644.9781249999996</v>
      </c>
      <c r="S183" s="496">
        <f>R183*$O183</f>
        <v>0</v>
      </c>
      <c r="T183" s="259">
        <v>9146.0340000000015</v>
      </c>
      <c r="U183" s="517">
        <f>$O183*T183</f>
        <v>0</v>
      </c>
      <c r="V183" s="259" t="e">
        <f>W183/O183</f>
        <v>#DIV/0!</v>
      </c>
      <c r="W183" s="267">
        <f>AVERAGEIF($P$3:$U$3,W$3,$P183:$U183)</f>
        <v>0</v>
      </c>
      <c r="X183" s="578"/>
      <c r="Y183" s="151"/>
      <c r="Z183" s="151"/>
    </row>
    <row r="184" spans="2:26" x14ac:dyDescent="0.35">
      <c r="B184" s="518"/>
      <c r="E184" s="519"/>
      <c r="F184" s="151" t="s">
        <v>487</v>
      </c>
      <c r="G184" s="316" t="s">
        <v>183</v>
      </c>
      <c r="H184" s="317">
        <v>1</v>
      </c>
      <c r="I184" s="318" t="s">
        <v>228</v>
      </c>
      <c r="J184" s="316"/>
      <c r="K184" s="502"/>
      <c r="L184" s="577">
        <v>1</v>
      </c>
      <c r="M184" s="379">
        <f>((M$181*N$181)/(300))*($H184/N184)</f>
        <v>1.6666666666666668E-3</v>
      </c>
      <c r="N184" s="259">
        <v>2</v>
      </c>
      <c r="O184" s="520">
        <f>K184*L184*M184*N184</f>
        <v>0</v>
      </c>
      <c r="P184" s="261">
        <v>51229.5</v>
      </c>
      <c r="Q184" s="496">
        <f>P184*$O184</f>
        <v>0</v>
      </c>
      <c r="R184" s="261">
        <v>56480.523750000008</v>
      </c>
      <c r="S184" s="496">
        <f>R184*$O184</f>
        <v>0</v>
      </c>
      <c r="T184" s="259">
        <v>59754.088800000005</v>
      </c>
      <c r="U184" s="517">
        <f>$O184*T184</f>
        <v>0</v>
      </c>
      <c r="V184" s="259" t="e">
        <f>W184/O184</f>
        <v>#DIV/0!</v>
      </c>
      <c r="W184" s="267">
        <f>AVERAGEIF($P$3:$U$3,W$3,$P184:$U184)</f>
        <v>0</v>
      </c>
      <c r="X184" s="578"/>
      <c r="Y184" s="151"/>
      <c r="Z184" s="151"/>
    </row>
    <row r="185" spans="2:26" x14ac:dyDescent="0.35">
      <c r="B185" s="579"/>
      <c r="C185" s="580"/>
      <c r="D185" s="580"/>
      <c r="E185" s="581"/>
      <c r="F185" s="151" t="s">
        <v>232</v>
      </c>
      <c r="G185" s="316" t="s">
        <v>183</v>
      </c>
      <c r="H185" s="317">
        <v>1</v>
      </c>
      <c r="I185" s="318" t="s">
        <v>228</v>
      </c>
      <c r="J185" s="316"/>
      <c r="K185" s="502"/>
      <c r="L185" s="577">
        <v>1</v>
      </c>
      <c r="M185" s="379">
        <f>((M$181*N$181)/(300))*($H185/N185)</f>
        <v>1.6666666666666668E-3</v>
      </c>
      <c r="N185" s="259">
        <v>2</v>
      </c>
      <c r="O185" s="520">
        <f>K185*L185*M185*N185</f>
        <v>0</v>
      </c>
      <c r="P185" s="261">
        <v>85680</v>
      </c>
      <c r="Q185" s="496">
        <f>P185*$O185</f>
        <v>0</v>
      </c>
      <c r="R185" s="261">
        <v>94462.2</v>
      </c>
      <c r="S185" s="496">
        <f>R185*$O185</f>
        <v>0</v>
      </c>
      <c r="T185" s="259">
        <v>99937.152000000016</v>
      </c>
      <c r="U185" s="517">
        <f>$O185*T185</f>
        <v>0</v>
      </c>
      <c r="V185" s="259" t="e">
        <f>W185/O185</f>
        <v>#DIV/0!</v>
      </c>
      <c r="W185" s="267">
        <f>AVERAGEIF($P$3:$U$3,W$3,$P185:$U185)</f>
        <v>0</v>
      </c>
      <c r="X185" s="647"/>
      <c r="Y185" s="151"/>
      <c r="Z185" s="151"/>
    </row>
    <row r="186" spans="2:26" x14ac:dyDescent="0.35">
      <c r="B186" s="317"/>
      <c r="C186" s="318" t="s">
        <v>489</v>
      </c>
      <c r="D186" s="318"/>
      <c r="E186" s="582"/>
      <c r="F186" s="151"/>
      <c r="G186" s="316"/>
      <c r="H186" s="317"/>
      <c r="I186" s="318"/>
      <c r="J186" s="316"/>
      <c r="K186" s="502"/>
      <c r="L186" s="577"/>
      <c r="M186" s="436"/>
      <c r="N186" s="259"/>
      <c r="O186" s="317"/>
      <c r="P186" s="496"/>
      <c r="Q186" s="496"/>
      <c r="R186" s="261"/>
      <c r="S186" s="496"/>
      <c r="T186" s="517"/>
      <c r="U186" s="517"/>
      <c r="V186" s="517"/>
      <c r="W186" s="517"/>
      <c r="X186" s="647"/>
      <c r="Y186" s="151"/>
      <c r="Z186" s="151"/>
    </row>
    <row r="187" spans="2:26" x14ac:dyDescent="0.35">
      <c r="B187" s="518"/>
      <c r="D187" t="s">
        <v>87</v>
      </c>
      <c r="E187" s="519"/>
      <c r="F187" s="151" t="s">
        <v>177</v>
      </c>
      <c r="G187" s="316" t="s">
        <v>178</v>
      </c>
      <c r="H187" s="317"/>
      <c r="I187" s="318"/>
      <c r="J187" s="316" t="s">
        <v>490</v>
      </c>
      <c r="K187" s="433">
        <v>0.03</v>
      </c>
      <c r="L187" s="665">
        <f>136*45.36</f>
        <v>6168.96</v>
      </c>
      <c r="M187" s="379">
        <v>0.1429</v>
      </c>
      <c r="N187" s="259">
        <v>1</v>
      </c>
      <c r="O187" s="520">
        <f>K187*L187*M187*N187</f>
        <v>26.446331519999998</v>
      </c>
      <c r="P187" s="261">
        <v>140008</v>
      </c>
      <c r="Q187" s="496">
        <f>P187*$O187</f>
        <v>3702697.9834521594</v>
      </c>
      <c r="R187" s="261">
        <v>158800.57379999998</v>
      </c>
      <c r="S187" s="521">
        <f>R187*$O187</f>
        <v>4199692.6202810258</v>
      </c>
      <c r="T187" s="259">
        <v>163305.33120000002</v>
      </c>
      <c r="U187" s="517">
        <f>$O187*T187</f>
        <v>4318826.9278985998</v>
      </c>
      <c r="V187" s="259">
        <f>W187/O187</f>
        <v>154037.96833333335</v>
      </c>
      <c r="W187" s="267">
        <f>AVERAGEIF($P$3:$U$3,W$3,$P187:$U187)</f>
        <v>4073739.1772105955</v>
      </c>
      <c r="X187" s="666" t="s">
        <v>491</v>
      </c>
      <c r="Y187" s="492">
        <f t="shared" ref="Y187:Y190" si="30">S187/$D$1</f>
        <v>92585.816143761593</v>
      </c>
      <c r="Z187" s="151"/>
    </row>
    <row r="188" spans="2:26" x14ac:dyDescent="0.35">
      <c r="B188" s="518"/>
      <c r="E188" s="519"/>
      <c r="F188" s="252" t="s">
        <v>382</v>
      </c>
      <c r="G188" s="316" t="s">
        <v>381</v>
      </c>
      <c r="H188" s="317"/>
      <c r="I188" s="318"/>
      <c r="J188" s="316" t="s">
        <v>490</v>
      </c>
      <c r="K188" s="433">
        <v>0.03</v>
      </c>
      <c r="L188" s="665">
        <f>136*45.36</f>
        <v>6168.96</v>
      </c>
      <c r="M188" s="379">
        <v>1</v>
      </c>
      <c r="N188" s="259">
        <v>1</v>
      </c>
      <c r="O188" s="520">
        <f>K188*L188*M188*N188</f>
        <v>185.06879999999998</v>
      </c>
      <c r="P188" s="259">
        <v>0</v>
      </c>
      <c r="Q188" s="496">
        <f>P188*$O188</f>
        <v>0</v>
      </c>
      <c r="R188" s="261">
        <v>52920</v>
      </c>
      <c r="S188" s="521">
        <f>R188*$O188</f>
        <v>9793840.8959999997</v>
      </c>
      <c r="T188" s="259">
        <v>0</v>
      </c>
      <c r="U188" s="517">
        <f>$O188*T188</f>
        <v>0</v>
      </c>
      <c r="V188" s="259">
        <f>W188/O188</f>
        <v>17640</v>
      </c>
      <c r="W188" s="267">
        <f>AVERAGEIF($P$3:$U$3,W$3,$P188:$U188)</f>
        <v>3264613.6319999998</v>
      </c>
      <c r="X188" s="666" t="s">
        <v>492</v>
      </c>
      <c r="Y188" s="492">
        <f t="shared" si="30"/>
        <v>215913.60000000001</v>
      </c>
      <c r="Z188" s="151"/>
    </row>
    <row r="189" spans="2:26" x14ac:dyDescent="0.35">
      <c r="B189" s="518"/>
      <c r="E189" s="519"/>
      <c r="F189" s="151" t="s">
        <v>316</v>
      </c>
      <c r="G189" s="316" t="s">
        <v>181</v>
      </c>
      <c r="H189" s="317"/>
      <c r="I189" s="318"/>
      <c r="J189" s="316" t="s">
        <v>490</v>
      </c>
      <c r="K189" s="433">
        <v>0.03</v>
      </c>
      <c r="L189" s="665">
        <f>136*45.36</f>
        <v>6168.96</v>
      </c>
      <c r="M189" s="379">
        <v>0.5</v>
      </c>
      <c r="N189" s="259">
        <v>1</v>
      </c>
      <c r="O189" s="520">
        <f>K189*L189*M189*N189</f>
        <v>92.534399999999991</v>
      </c>
      <c r="P189" s="261">
        <v>2300</v>
      </c>
      <c r="Q189" s="496">
        <f>P189*$O189</f>
        <v>212829.11999999997</v>
      </c>
      <c r="R189" s="261">
        <v>2535.75</v>
      </c>
      <c r="S189" s="521">
        <f>R189*$O189</f>
        <v>234644.10479999997</v>
      </c>
      <c r="T189" s="259">
        <v>2783</v>
      </c>
      <c r="U189" s="517">
        <f>$O189*T189</f>
        <v>257523.23519999997</v>
      </c>
      <c r="V189" s="259">
        <f>W189/O189</f>
        <v>2539.5833333333335</v>
      </c>
      <c r="W189" s="267">
        <f>AVERAGEIF($P$3:$U$3,W$3,$P189:$U189)</f>
        <v>234998.81999999998</v>
      </c>
      <c r="X189" s="666"/>
      <c r="Y189" s="492">
        <f t="shared" si="30"/>
        <v>5172.9299999999994</v>
      </c>
      <c r="Z189" s="151"/>
    </row>
    <row r="190" spans="2:26" x14ac:dyDescent="0.35">
      <c r="B190" s="518"/>
      <c r="E190" s="519"/>
      <c r="F190" s="151" t="s">
        <v>383</v>
      </c>
      <c r="G190" s="316" t="s">
        <v>381</v>
      </c>
      <c r="H190" s="317"/>
      <c r="I190" s="318"/>
      <c r="J190" s="316" t="s">
        <v>490</v>
      </c>
      <c r="K190" s="433">
        <v>0.03</v>
      </c>
      <c r="L190" s="665">
        <f>136*45.36</f>
        <v>6168.96</v>
      </c>
      <c r="M190" s="379">
        <f>M188</f>
        <v>1</v>
      </c>
      <c r="N190" s="259">
        <v>1</v>
      </c>
      <c r="O190" s="520">
        <f>K190*L190*M190*N190</f>
        <v>185.06879999999998</v>
      </c>
      <c r="P190" s="261">
        <v>4500</v>
      </c>
      <c r="Q190" s="496">
        <f>P190*$O190</f>
        <v>832809.59999999986</v>
      </c>
      <c r="R190" s="261">
        <v>4961.25</v>
      </c>
      <c r="S190" s="521">
        <f>R190*$O190</f>
        <v>918172.58399999992</v>
      </c>
      <c r="T190" s="259">
        <v>4961.25</v>
      </c>
      <c r="U190" s="517">
        <f>$O190*T190</f>
        <v>918172.58399999992</v>
      </c>
      <c r="V190" s="259">
        <f>W190/O190</f>
        <v>4807.5</v>
      </c>
      <c r="W190" s="267">
        <f>AVERAGEIF($P$3:$U$3,W$3,$P190:$U190)</f>
        <v>889718.25599999994</v>
      </c>
      <c r="Y190" s="492">
        <f t="shared" si="30"/>
        <v>20241.899999999998</v>
      </c>
      <c r="Z190" s="151"/>
    </row>
    <row r="191" spans="2:26" x14ac:dyDescent="0.35">
      <c r="B191" s="518"/>
      <c r="D191" s="580"/>
      <c r="E191" s="581"/>
      <c r="F191" s="151" t="s">
        <v>359</v>
      </c>
      <c r="G191" s="316" t="s">
        <v>195</v>
      </c>
      <c r="H191" s="317"/>
      <c r="I191" s="318"/>
      <c r="J191" s="316"/>
      <c r="K191" s="502">
        <v>2</v>
      </c>
      <c r="L191" s="577"/>
      <c r="M191" s="379">
        <v>2</v>
      </c>
      <c r="N191" s="259">
        <v>1</v>
      </c>
      <c r="O191" s="317"/>
      <c r="P191" s="496"/>
      <c r="Q191" s="496"/>
      <c r="R191" s="261">
        <v>154040.19750000001</v>
      </c>
      <c r="S191" s="521"/>
      <c r="T191" s="517"/>
      <c r="U191" s="517"/>
      <c r="V191" s="517"/>
      <c r="W191" s="517"/>
      <c r="X191" s="578"/>
      <c r="Y191" s="151"/>
      <c r="Z191" s="151"/>
    </row>
    <row r="192" spans="2:26" x14ac:dyDescent="0.35">
      <c r="B192" s="518"/>
      <c r="D192" t="s">
        <v>91</v>
      </c>
      <c r="E192" s="519"/>
      <c r="F192" s="151" t="s">
        <v>177</v>
      </c>
      <c r="G192" s="316" t="s">
        <v>178</v>
      </c>
      <c r="H192" s="317"/>
      <c r="I192" s="318"/>
      <c r="J192" s="316"/>
      <c r="K192" s="433">
        <v>0.2</v>
      </c>
      <c r="L192" s="665">
        <f>136*45.36</f>
        <v>6168.96</v>
      </c>
      <c r="M192" s="379">
        <f>1/15</f>
        <v>6.6666666666666666E-2</v>
      </c>
      <c r="N192" s="259">
        <v>1</v>
      </c>
      <c r="O192" s="520">
        <f>K192*L192*M192*N192</f>
        <v>82.252800000000008</v>
      </c>
      <c r="P192" s="261">
        <v>140008</v>
      </c>
      <c r="Q192" s="496">
        <f>P192*$O192</f>
        <v>11516050.022400001</v>
      </c>
      <c r="R192" s="261">
        <v>158800.57379999998</v>
      </c>
      <c r="S192" s="521">
        <f>R192*$O192</f>
        <v>13061791.836656639</v>
      </c>
      <c r="T192" s="517"/>
      <c r="U192" s="517"/>
      <c r="V192" s="517"/>
      <c r="W192" s="517"/>
      <c r="X192" s="578"/>
      <c r="Y192" s="492">
        <f t="shared" ref="Y192:Y196" si="31">S192/$D$1</f>
        <v>287958.37382400001</v>
      </c>
      <c r="Z192" s="151"/>
    </row>
    <row r="193" spans="2:26" x14ac:dyDescent="0.35">
      <c r="B193" s="579"/>
      <c r="C193" s="580"/>
      <c r="D193" s="580"/>
      <c r="E193" s="581"/>
      <c r="F193" s="151" t="s">
        <v>285</v>
      </c>
      <c r="G193" s="316" t="s">
        <v>183</v>
      </c>
      <c r="H193" s="317"/>
      <c r="I193" s="318"/>
      <c r="J193" s="316"/>
      <c r="K193" s="433">
        <v>0.2</v>
      </c>
      <c r="L193" s="665">
        <f>136*45.36</f>
        <v>6168.96</v>
      </c>
      <c r="M193" s="379">
        <f>M192*N192/300</f>
        <v>2.2222222222222221E-4</v>
      </c>
      <c r="N193" s="259">
        <v>1</v>
      </c>
      <c r="O193" s="520">
        <f>K193*L193*M193*N193</f>
        <v>0.27417600000000003</v>
      </c>
      <c r="P193" s="259"/>
      <c r="Q193" s="496"/>
      <c r="R193" s="261">
        <v>83568.121874999997</v>
      </c>
      <c r="S193" s="521">
        <f>R193*$O193</f>
        <v>22912.373383200003</v>
      </c>
      <c r="T193" s="517"/>
      <c r="U193" s="517"/>
      <c r="V193" s="517"/>
      <c r="W193" s="517"/>
      <c r="X193" s="578"/>
      <c r="Y193" s="492">
        <f t="shared" si="31"/>
        <v>505.12287000000009</v>
      </c>
      <c r="Z193" s="151"/>
    </row>
    <row r="194" spans="2:26" x14ac:dyDescent="0.35">
      <c r="B194" s="606" t="s">
        <v>493</v>
      </c>
      <c r="C194" s="607"/>
      <c r="D194" s="607"/>
      <c r="E194" s="608"/>
      <c r="F194" s="609"/>
      <c r="G194" s="610"/>
      <c r="H194" s="611"/>
      <c r="I194" s="612"/>
      <c r="J194" s="610"/>
      <c r="K194" s="613"/>
      <c r="L194" s="614"/>
      <c r="M194" s="615"/>
      <c r="N194" s="616"/>
      <c r="O194" s="611"/>
      <c r="P194" s="617"/>
      <c r="Q194" s="617"/>
      <c r="R194" s="617"/>
      <c r="S194" s="618">
        <f>SUM(S187:S193)</f>
        <v>28231054.41512087</v>
      </c>
      <c r="T194" s="605"/>
      <c r="U194" s="605"/>
      <c r="V194" s="605"/>
      <c r="W194" s="605"/>
      <c r="X194" s="611"/>
      <c r="Y194" s="619">
        <f>S194/D1</f>
        <v>622377.74283776165</v>
      </c>
      <c r="Z194" s="648">
        <f>S194/$S$415*100</f>
        <v>5.6370595751600652</v>
      </c>
    </row>
    <row r="195" spans="2:26" x14ac:dyDescent="0.35">
      <c r="B195" s="518"/>
      <c r="C195" t="s">
        <v>90</v>
      </c>
      <c r="E195" s="519"/>
      <c r="F195" s="151" t="s">
        <v>177</v>
      </c>
      <c r="G195" s="316" t="s">
        <v>178</v>
      </c>
      <c r="H195" s="317"/>
      <c r="I195" s="318"/>
      <c r="J195" s="316" t="s">
        <v>179</v>
      </c>
      <c r="K195" s="433">
        <v>1</v>
      </c>
      <c r="L195" s="303">
        <v>45.36</v>
      </c>
      <c r="M195" s="258">
        <v>0.2</v>
      </c>
      <c r="N195" s="259">
        <v>2</v>
      </c>
      <c r="O195" s="520">
        <f>K195*L195*M195*N195</f>
        <v>18.144000000000002</v>
      </c>
      <c r="P195" s="261">
        <v>140008</v>
      </c>
      <c r="Q195" s="496">
        <f>P195*$O195</f>
        <v>2540305.1520000002</v>
      </c>
      <c r="R195" s="261">
        <v>158800.57379999998</v>
      </c>
      <c r="S195" s="521">
        <f>R195*$O195</f>
        <v>2881277.6110271998</v>
      </c>
      <c r="T195" s="259">
        <v>163305.33120000002</v>
      </c>
      <c r="U195" s="517">
        <f>$O195*T195</f>
        <v>2963011.9292928004</v>
      </c>
      <c r="V195" s="259">
        <f>W195/O195</f>
        <v>154037.96833333332</v>
      </c>
      <c r="W195" s="267">
        <f>AVERAGEIF($P$3:$U$3,W$3,$P195:$U195)</f>
        <v>2794864.89744</v>
      </c>
      <c r="X195" s="578"/>
      <c r="Y195" s="492">
        <f t="shared" si="31"/>
        <v>63520.229519999993</v>
      </c>
      <c r="Z195" s="151"/>
    </row>
    <row r="196" spans="2:26" x14ac:dyDescent="0.35">
      <c r="B196" s="518"/>
      <c r="E196" s="519"/>
      <c r="F196" s="151" t="s">
        <v>494</v>
      </c>
      <c r="G196" s="316" t="s">
        <v>345</v>
      </c>
      <c r="H196" s="317"/>
      <c r="I196" s="318"/>
      <c r="J196" s="316"/>
      <c r="K196" s="433">
        <v>1</v>
      </c>
      <c r="L196" s="303">
        <v>45.36</v>
      </c>
      <c r="M196" s="258">
        <f>0.02*(1/2)</f>
        <v>0.01</v>
      </c>
      <c r="N196" s="259">
        <v>2</v>
      </c>
      <c r="O196" s="520">
        <f>K196*L196*M196*N196</f>
        <v>0.90720000000000001</v>
      </c>
      <c r="P196" s="261">
        <v>30250</v>
      </c>
      <c r="Q196" s="496">
        <f>P196*$O196</f>
        <v>27442.799999999999</v>
      </c>
      <c r="R196" s="261">
        <v>33350.625</v>
      </c>
      <c r="S196" s="521">
        <f>R196*$O196</f>
        <v>30255.687000000002</v>
      </c>
      <c r="T196" s="517"/>
      <c r="U196" s="517"/>
      <c r="V196" s="517"/>
      <c r="W196" s="517"/>
      <c r="X196" s="578"/>
      <c r="Y196" s="492">
        <f t="shared" si="31"/>
        <v>667.01250000000005</v>
      </c>
      <c r="Z196" s="151"/>
    </row>
    <row r="197" spans="2:26" x14ac:dyDescent="0.35">
      <c r="B197" s="606" t="s">
        <v>495</v>
      </c>
      <c r="C197" s="607"/>
      <c r="D197" s="607"/>
      <c r="E197" s="608"/>
      <c r="F197" s="609"/>
      <c r="G197" s="610"/>
      <c r="H197" s="611"/>
      <c r="I197" s="612"/>
      <c r="J197" s="610"/>
      <c r="K197" s="613"/>
      <c r="L197" s="614"/>
      <c r="M197" s="615"/>
      <c r="N197" s="616"/>
      <c r="O197" s="611"/>
      <c r="P197" s="617"/>
      <c r="Q197" s="617"/>
      <c r="R197" s="617"/>
      <c r="S197" s="618">
        <f>SUM(S195:S196)</f>
        <v>2911533.2980271997</v>
      </c>
      <c r="T197" s="605"/>
      <c r="U197" s="605"/>
      <c r="V197" s="605"/>
      <c r="W197" s="605"/>
      <c r="X197" s="611"/>
      <c r="Y197" s="619">
        <f>S197/D1</f>
        <v>64187.242019999991</v>
      </c>
      <c r="Z197" s="648">
        <f>S197/$S$415*100</f>
        <v>0.58136286426662387</v>
      </c>
    </row>
    <row r="198" spans="2:26" x14ac:dyDescent="0.35">
      <c r="B198" s="660" t="s">
        <v>496</v>
      </c>
      <c r="C198" s="661"/>
      <c r="D198" s="661"/>
      <c r="E198" s="662"/>
      <c r="F198" s="532"/>
      <c r="G198" s="587"/>
      <c r="H198" s="588"/>
      <c r="I198" s="589"/>
      <c r="J198" s="587"/>
      <c r="K198" s="590"/>
      <c r="L198" s="591"/>
      <c r="M198" s="543"/>
      <c r="N198" s="544"/>
      <c r="O198" s="588"/>
      <c r="P198" s="592"/>
      <c r="Q198" s="592"/>
      <c r="R198" s="592"/>
      <c r="S198" s="663">
        <f>S194+S197</f>
        <v>31142587.713148069</v>
      </c>
      <c r="T198" s="594"/>
      <c r="U198" s="594"/>
      <c r="V198" s="594"/>
      <c r="W198" s="594"/>
      <c r="X198" s="588"/>
      <c r="Y198" s="426">
        <f>S198/D1</f>
        <v>686564.98485776165</v>
      </c>
      <c r="Z198" s="664">
        <f>S198/$S$415*100</f>
        <v>6.2184224394266883</v>
      </c>
    </row>
    <row r="199" spans="2:26" x14ac:dyDescent="0.35">
      <c r="B199" s="595" t="s">
        <v>497</v>
      </c>
      <c r="C199" s="318"/>
      <c r="D199" s="318"/>
      <c r="E199" s="582"/>
      <c r="F199" s="151"/>
      <c r="G199" s="316"/>
      <c r="H199" s="317"/>
      <c r="I199" s="318"/>
      <c r="J199" s="316"/>
      <c r="K199" s="502"/>
      <c r="L199" s="577"/>
      <c r="M199" s="258"/>
      <c r="N199" s="259"/>
      <c r="O199" s="317"/>
      <c r="P199" s="496"/>
      <c r="Q199" s="496"/>
      <c r="R199" s="496"/>
      <c r="S199" s="521"/>
      <c r="T199" s="517"/>
      <c r="U199" s="517"/>
      <c r="V199" s="517"/>
      <c r="W199" s="517"/>
      <c r="X199" s="578"/>
      <c r="Y199" s="151"/>
      <c r="Z199" s="151"/>
    </row>
    <row r="200" spans="2:26" x14ac:dyDescent="0.35">
      <c r="B200" s="667"/>
      <c r="C200" s="172" t="s">
        <v>289</v>
      </c>
      <c r="D200" s="318"/>
      <c r="E200" s="582"/>
      <c r="F200" s="151"/>
      <c r="G200" s="316"/>
      <c r="H200" s="317"/>
      <c r="I200" s="318"/>
      <c r="J200" s="316"/>
      <c r="K200" s="502"/>
      <c r="L200" s="577"/>
      <c r="M200" s="258"/>
      <c r="N200" s="259"/>
      <c r="O200" s="317"/>
      <c r="P200" s="496"/>
      <c r="Q200" s="496"/>
      <c r="R200" s="496"/>
      <c r="S200" s="521"/>
      <c r="T200" s="517"/>
      <c r="U200" s="517"/>
      <c r="V200" s="517"/>
      <c r="W200" s="517"/>
      <c r="X200" s="578"/>
      <c r="Y200" s="151"/>
      <c r="Z200" s="151"/>
    </row>
    <row r="201" spans="2:26" x14ac:dyDescent="0.35">
      <c r="B201" s="504"/>
      <c r="C201" s="172"/>
      <c r="D201" t="s">
        <v>93</v>
      </c>
      <c r="E201" s="519"/>
      <c r="F201" s="151" t="s">
        <v>177</v>
      </c>
      <c r="G201" s="316" t="s">
        <v>178</v>
      </c>
      <c r="H201" s="317"/>
      <c r="I201" s="318"/>
      <c r="J201" s="316"/>
      <c r="K201" s="602">
        <v>0</v>
      </c>
      <c r="L201" s="577">
        <v>192.08</v>
      </c>
      <c r="M201" s="309">
        <v>0.5</v>
      </c>
      <c r="N201" s="259">
        <v>1</v>
      </c>
      <c r="O201" s="520">
        <f t="shared" ref="O201:O207" si="32">K201*L201*M201*N201</f>
        <v>0</v>
      </c>
      <c r="P201" s="496"/>
      <c r="Q201" s="496"/>
      <c r="R201" s="261">
        <v>149108.51999999999</v>
      </c>
      <c r="S201" s="521">
        <f t="shared" ref="S201:S207" si="33">R201*$O201</f>
        <v>0</v>
      </c>
      <c r="T201" s="517"/>
      <c r="U201" s="517"/>
      <c r="V201" s="517"/>
      <c r="W201" s="517"/>
      <c r="X201" s="578"/>
      <c r="Y201" s="492">
        <f>S201/192.08</f>
        <v>0</v>
      </c>
      <c r="Z201" s="151"/>
    </row>
    <row r="202" spans="2:26" x14ac:dyDescent="0.35">
      <c r="B202" s="518"/>
      <c r="E202" s="519"/>
      <c r="F202" s="151" t="s">
        <v>498</v>
      </c>
      <c r="G202" s="316" t="s">
        <v>328</v>
      </c>
      <c r="H202" s="317"/>
      <c r="I202" s="318"/>
      <c r="J202" s="316"/>
      <c r="K202" s="602">
        <v>0</v>
      </c>
      <c r="L202" s="577"/>
      <c r="M202" s="258"/>
      <c r="N202" s="259"/>
      <c r="O202" s="520">
        <f t="shared" si="32"/>
        <v>0</v>
      </c>
      <c r="P202" s="496"/>
      <c r="Q202" s="496"/>
      <c r="R202" s="261">
        <v>0</v>
      </c>
      <c r="S202" s="521">
        <f t="shared" si="33"/>
        <v>0</v>
      </c>
      <c r="T202" s="517"/>
      <c r="U202" s="517"/>
      <c r="V202" s="517"/>
      <c r="W202" s="517"/>
      <c r="X202" s="578"/>
      <c r="Y202" s="151"/>
      <c r="Z202" s="151"/>
    </row>
    <row r="203" spans="2:26" x14ac:dyDescent="0.35">
      <c r="B203" s="518"/>
      <c r="E203" s="519"/>
      <c r="F203" s="151" t="s">
        <v>499</v>
      </c>
      <c r="G203" s="316" t="s">
        <v>328</v>
      </c>
      <c r="H203" s="317"/>
      <c r="I203" s="318"/>
      <c r="J203" s="316"/>
      <c r="K203" s="602">
        <v>0</v>
      </c>
      <c r="L203" s="577">
        <v>2188</v>
      </c>
      <c r="M203" s="309">
        <f>1350/1000</f>
        <v>1.35</v>
      </c>
      <c r="N203" s="259">
        <v>1</v>
      </c>
      <c r="O203" s="520">
        <f t="shared" si="32"/>
        <v>0</v>
      </c>
      <c r="P203" s="496"/>
      <c r="Q203" s="496"/>
      <c r="R203" s="261">
        <v>110910</v>
      </c>
      <c r="S203" s="521">
        <f t="shared" si="33"/>
        <v>0</v>
      </c>
      <c r="T203" s="517"/>
      <c r="U203" s="517"/>
      <c r="V203" s="517"/>
      <c r="W203" s="517"/>
      <c r="X203" s="578"/>
      <c r="Y203" s="492">
        <f t="shared" ref="Y203:Y229" si="34">S203/192.08</f>
        <v>0</v>
      </c>
      <c r="Z203" s="151"/>
    </row>
    <row r="204" spans="2:26" x14ac:dyDescent="0.35">
      <c r="B204" s="518"/>
      <c r="E204" s="519"/>
      <c r="F204" s="151" t="s">
        <v>205</v>
      </c>
      <c r="G204" s="316" t="s">
        <v>195</v>
      </c>
      <c r="H204" s="317"/>
      <c r="I204" s="318"/>
      <c r="J204" s="316"/>
      <c r="K204" s="602">
        <v>0</v>
      </c>
      <c r="L204" s="577">
        <v>2188</v>
      </c>
      <c r="M204" s="400">
        <v>2.8000000000000001E-2</v>
      </c>
      <c r="N204" s="259">
        <v>1</v>
      </c>
      <c r="O204" s="520">
        <f t="shared" si="32"/>
        <v>0</v>
      </c>
      <c r="P204" s="496"/>
      <c r="Q204" s="496"/>
      <c r="R204" s="261">
        <v>720338.0730320001</v>
      </c>
      <c r="S204" s="521">
        <f t="shared" si="33"/>
        <v>0</v>
      </c>
      <c r="T204" s="517"/>
      <c r="U204" s="517"/>
      <c r="V204" s="517"/>
      <c r="W204" s="517"/>
      <c r="X204" s="578"/>
      <c r="Y204" s="492">
        <f t="shared" si="34"/>
        <v>0</v>
      </c>
      <c r="Z204" s="151"/>
    </row>
    <row r="205" spans="2:26" x14ac:dyDescent="0.35">
      <c r="B205" s="518"/>
      <c r="E205" s="519"/>
      <c r="F205" s="151" t="s">
        <v>500</v>
      </c>
      <c r="G205" s="316" t="s">
        <v>195</v>
      </c>
      <c r="H205" s="317"/>
      <c r="I205" s="318"/>
      <c r="J205" s="316"/>
      <c r="K205" s="602">
        <v>0</v>
      </c>
      <c r="L205" s="577">
        <v>2188</v>
      </c>
      <c r="M205" s="258">
        <f>10/1000</f>
        <v>0.01</v>
      </c>
      <c r="N205" s="259">
        <v>1</v>
      </c>
      <c r="O205" s="520">
        <f t="shared" si="32"/>
        <v>0</v>
      </c>
      <c r="P205" s="496"/>
      <c r="Q205" s="496"/>
      <c r="R205" s="261">
        <v>662748.2415</v>
      </c>
      <c r="S205" s="521">
        <f t="shared" si="33"/>
        <v>0</v>
      </c>
      <c r="T205" s="517"/>
      <c r="U205" s="517"/>
      <c r="V205" s="517"/>
      <c r="W205" s="517"/>
      <c r="X205" s="578"/>
      <c r="Y205" s="492">
        <f t="shared" si="34"/>
        <v>0</v>
      </c>
      <c r="Z205" s="151"/>
    </row>
    <row r="206" spans="2:26" x14ac:dyDescent="0.35">
      <c r="B206" s="518"/>
      <c r="D206" s="580"/>
      <c r="E206" s="581"/>
      <c r="F206" s="151" t="s">
        <v>245</v>
      </c>
      <c r="G206" s="316" t="s">
        <v>195</v>
      </c>
      <c r="H206" s="317"/>
      <c r="I206" s="318"/>
      <c r="J206" s="316"/>
      <c r="K206" s="602">
        <v>0</v>
      </c>
      <c r="L206" s="577">
        <v>2188</v>
      </c>
      <c r="M206" s="258">
        <f>10/1000</f>
        <v>0.01</v>
      </c>
      <c r="N206" s="259">
        <v>1</v>
      </c>
      <c r="O206" s="520">
        <f t="shared" si="32"/>
        <v>0</v>
      </c>
      <c r="P206" s="496"/>
      <c r="Q206" s="496"/>
      <c r="R206" s="261">
        <v>715047.82649999985</v>
      </c>
      <c r="S206" s="521">
        <f t="shared" si="33"/>
        <v>0</v>
      </c>
      <c r="T206" s="517"/>
      <c r="U206" s="517"/>
      <c r="V206" s="517"/>
      <c r="W206" s="517"/>
      <c r="X206" s="578"/>
      <c r="Y206" s="492">
        <f t="shared" si="34"/>
        <v>0</v>
      </c>
      <c r="Z206" s="151"/>
    </row>
    <row r="207" spans="2:26" x14ac:dyDescent="0.35">
      <c r="B207" s="518"/>
      <c r="D207" t="s">
        <v>96</v>
      </c>
      <c r="E207" s="519"/>
      <c r="F207" s="151" t="s">
        <v>177</v>
      </c>
      <c r="G207" s="316" t="s">
        <v>178</v>
      </c>
      <c r="H207" s="317"/>
      <c r="I207" s="318"/>
      <c r="J207" s="316" t="s">
        <v>272</v>
      </c>
      <c r="K207" s="602">
        <v>0</v>
      </c>
      <c r="L207" s="577">
        <v>192.08</v>
      </c>
      <c r="M207" s="309">
        <v>0.5</v>
      </c>
      <c r="N207" s="259">
        <v>1</v>
      </c>
      <c r="O207" s="520">
        <f t="shared" si="32"/>
        <v>0</v>
      </c>
      <c r="P207" s="261">
        <v>140008</v>
      </c>
      <c r="Q207" s="496">
        <f>P207*$O207</f>
        <v>0</v>
      </c>
      <c r="R207" s="261">
        <v>149108.51999999999</v>
      </c>
      <c r="S207" s="521">
        <f t="shared" si="33"/>
        <v>0</v>
      </c>
      <c r="T207" s="259">
        <v>163305.33120000002</v>
      </c>
      <c r="U207" s="517">
        <f>$O207*T207</f>
        <v>0</v>
      </c>
      <c r="V207" s="259" t="e">
        <f>W207/O207</f>
        <v>#DIV/0!</v>
      </c>
      <c r="W207" s="267">
        <f>AVERAGEIF($P$3:$U$3,W$3,$P207:$U207)</f>
        <v>0</v>
      </c>
      <c r="X207" s="578"/>
      <c r="Y207" s="492">
        <f t="shared" si="34"/>
        <v>0</v>
      </c>
      <c r="Z207" s="151"/>
    </row>
    <row r="208" spans="2:26" x14ac:dyDescent="0.35">
      <c r="B208" s="518"/>
      <c r="E208" s="519"/>
      <c r="F208" s="151" t="s">
        <v>498</v>
      </c>
      <c r="G208" s="316" t="s">
        <v>328</v>
      </c>
      <c r="H208" s="317"/>
      <c r="I208" s="318"/>
      <c r="J208" s="316"/>
      <c r="K208" s="602">
        <v>0</v>
      </c>
      <c r="L208" s="577"/>
      <c r="M208" s="258"/>
      <c r="N208" s="259"/>
      <c r="O208" s="317"/>
      <c r="P208" s="496"/>
      <c r="Q208" s="496"/>
      <c r="R208" s="496"/>
      <c r="S208" s="521"/>
      <c r="T208" s="517"/>
      <c r="U208" s="517"/>
      <c r="V208" s="517"/>
      <c r="W208" s="517"/>
      <c r="X208" s="578"/>
      <c r="Y208" s="151"/>
      <c r="Z208" s="151"/>
    </row>
    <row r="209" spans="2:26" x14ac:dyDescent="0.35">
      <c r="B209" s="518"/>
      <c r="E209" s="519"/>
      <c r="F209" s="151" t="s">
        <v>499</v>
      </c>
      <c r="G209" s="316" t="s">
        <v>328</v>
      </c>
      <c r="H209" s="317"/>
      <c r="I209" s="318"/>
      <c r="J209" s="316" t="s">
        <v>272</v>
      </c>
      <c r="K209" s="602">
        <v>0</v>
      </c>
      <c r="L209" s="577">
        <v>4007</v>
      </c>
      <c r="M209" s="400">
        <f>1050/1000</f>
        <v>1.05</v>
      </c>
      <c r="N209" s="259">
        <v>1</v>
      </c>
      <c r="O209" s="520">
        <f>K209*L209*M209*N209</f>
        <v>0</v>
      </c>
      <c r="P209" s="261">
        <v>110590</v>
      </c>
      <c r="Q209" s="496">
        <f>P209*$O209</f>
        <v>0</v>
      </c>
      <c r="R209" s="261">
        <v>110910</v>
      </c>
      <c r="S209" s="521">
        <f>R209*$O209</f>
        <v>0</v>
      </c>
      <c r="T209" s="259">
        <v>133813.90000000002</v>
      </c>
      <c r="U209" s="517">
        <f>$O209*T209</f>
        <v>0</v>
      </c>
      <c r="V209" s="259" t="e">
        <f>W209/O209</f>
        <v>#DIV/0!</v>
      </c>
      <c r="W209" s="267">
        <f>AVERAGEIF($P$3:$U$3,W$3,$P209:$U209)</f>
        <v>0</v>
      </c>
      <c r="X209" s="578"/>
      <c r="Y209" s="492">
        <f t="shared" si="34"/>
        <v>0</v>
      </c>
      <c r="Z209" s="390"/>
    </row>
    <row r="210" spans="2:26" x14ac:dyDescent="0.35">
      <c r="B210" s="518"/>
      <c r="E210" s="519"/>
      <c r="F210" s="151" t="s">
        <v>205</v>
      </c>
      <c r="G210" s="316" t="s">
        <v>195</v>
      </c>
      <c r="H210" s="317"/>
      <c r="I210" s="318"/>
      <c r="J210" s="316"/>
      <c r="K210" s="602">
        <v>0</v>
      </c>
      <c r="L210" s="577">
        <v>4007</v>
      </c>
      <c r="M210" s="400">
        <v>2.8000000000000001E-2</v>
      </c>
      <c r="N210" s="259">
        <v>1</v>
      </c>
      <c r="O210" s="520">
        <f>K210*L210*M210*N210</f>
        <v>0</v>
      </c>
      <c r="P210" s="496"/>
      <c r="Q210" s="496"/>
      <c r="R210" s="261">
        <v>720338.0730320001</v>
      </c>
      <c r="S210" s="521">
        <f>R210*$O210</f>
        <v>0</v>
      </c>
      <c r="T210" s="517"/>
      <c r="U210" s="517"/>
      <c r="V210" s="517"/>
      <c r="W210" s="517"/>
      <c r="X210" s="578"/>
      <c r="Y210" s="492">
        <f t="shared" si="34"/>
        <v>0</v>
      </c>
      <c r="Z210" s="151"/>
    </row>
    <row r="211" spans="2:26" x14ac:dyDescent="0.35">
      <c r="B211" s="518"/>
      <c r="E211" s="519"/>
      <c r="F211" s="151" t="s">
        <v>500</v>
      </c>
      <c r="G211" s="316" t="s">
        <v>195</v>
      </c>
      <c r="H211" s="317"/>
      <c r="I211" s="318"/>
      <c r="J211" s="316" t="s">
        <v>272</v>
      </c>
      <c r="K211" s="602">
        <v>0</v>
      </c>
      <c r="L211" s="577">
        <v>4007</v>
      </c>
      <c r="M211" s="258">
        <f>8/1000</f>
        <v>8.0000000000000002E-3</v>
      </c>
      <c r="N211" s="259">
        <v>1</v>
      </c>
      <c r="O211" s="520">
        <f>K211*L211*M211*N211</f>
        <v>0</v>
      </c>
      <c r="P211" s="261">
        <v>630976.61249999993</v>
      </c>
      <c r="Q211" s="496">
        <f>P211*$O211</f>
        <v>0</v>
      </c>
      <c r="R211" s="261">
        <v>662748.2415</v>
      </c>
      <c r="S211" s="521">
        <f>R211*$O211</f>
        <v>0</v>
      </c>
      <c r="T211" s="259">
        <v>577911.85919999995</v>
      </c>
      <c r="U211" s="517">
        <f>$O211*T211</f>
        <v>0</v>
      </c>
      <c r="V211" s="259" t="e">
        <f>W211/O211</f>
        <v>#DIV/0!</v>
      </c>
      <c r="W211" s="267">
        <f>AVERAGEIF($P$3:$U$3,W$3,$P211:$U211)</f>
        <v>0</v>
      </c>
      <c r="X211" s="578"/>
      <c r="Y211" s="492">
        <f t="shared" si="34"/>
        <v>0</v>
      </c>
      <c r="Z211" s="390"/>
    </row>
    <row r="212" spans="2:26" x14ac:dyDescent="0.35">
      <c r="B212" s="518"/>
      <c r="D212" s="580"/>
      <c r="E212" s="581"/>
      <c r="F212" s="151" t="s">
        <v>245</v>
      </c>
      <c r="G212" s="316" t="s">
        <v>195</v>
      </c>
      <c r="H212" s="317"/>
      <c r="I212" s="318"/>
      <c r="J212" s="316" t="s">
        <v>272</v>
      </c>
      <c r="K212" s="602">
        <v>0</v>
      </c>
      <c r="L212" s="577">
        <v>4007</v>
      </c>
      <c r="M212" s="258">
        <f>8/1000</f>
        <v>8.0000000000000002E-3</v>
      </c>
      <c r="N212" s="259">
        <v>1</v>
      </c>
      <c r="O212" s="520">
        <f>K212*L212*M212*N212</f>
        <v>0</v>
      </c>
      <c r="P212" s="261">
        <v>680610.48749999993</v>
      </c>
      <c r="Q212" s="496">
        <f>P212*$O212</f>
        <v>0</v>
      </c>
      <c r="R212" s="261">
        <v>715047.82649999985</v>
      </c>
      <c r="S212" s="521">
        <f>R212*$O212</f>
        <v>0</v>
      </c>
      <c r="T212" s="259">
        <v>671314.50879999995</v>
      </c>
      <c r="U212" s="517">
        <f>$O212*T212</f>
        <v>0</v>
      </c>
      <c r="V212" s="259" t="e">
        <f>W212/O212</f>
        <v>#DIV/0!</v>
      </c>
      <c r="W212" s="267">
        <f>AVERAGEIF($P$3:$U$3,W$3,$P212:$U212)</f>
        <v>0</v>
      </c>
      <c r="X212" s="578"/>
      <c r="Y212" s="492">
        <f t="shared" si="34"/>
        <v>0</v>
      </c>
      <c r="Z212" s="390"/>
    </row>
    <row r="213" spans="2:26" x14ac:dyDescent="0.35">
      <c r="B213" s="518"/>
      <c r="D213" t="s">
        <v>97</v>
      </c>
      <c r="E213" s="519"/>
      <c r="F213" s="151" t="s">
        <v>177</v>
      </c>
      <c r="G213" s="316" t="s">
        <v>178</v>
      </c>
      <c r="H213" s="317"/>
      <c r="I213" s="318"/>
      <c r="J213" s="316" t="s">
        <v>272</v>
      </c>
      <c r="K213" s="602">
        <v>0</v>
      </c>
      <c r="L213" s="577">
        <v>192.08</v>
      </c>
      <c r="M213" s="309">
        <v>0.5</v>
      </c>
      <c r="N213" s="259">
        <v>1</v>
      </c>
      <c r="O213" s="520">
        <f>K213*L213*M213*N213</f>
        <v>0</v>
      </c>
      <c r="P213" s="261">
        <v>140008</v>
      </c>
      <c r="Q213" s="496">
        <f>P213*$O213</f>
        <v>0</v>
      </c>
      <c r="R213" s="261">
        <v>149108.51999999999</v>
      </c>
      <c r="S213" s="521">
        <f>R213*$O213</f>
        <v>0</v>
      </c>
      <c r="T213" s="259">
        <v>163305.33120000002</v>
      </c>
      <c r="U213" s="517">
        <f>$O213*T213</f>
        <v>0</v>
      </c>
      <c r="V213" s="259" t="e">
        <f>W213/O213</f>
        <v>#DIV/0!</v>
      </c>
      <c r="W213" s="267">
        <f>AVERAGEIF($P$3:$U$3,W$3,$P213:$U213)</f>
        <v>0</v>
      </c>
      <c r="X213" s="578"/>
      <c r="Y213" s="492">
        <f t="shared" si="34"/>
        <v>0</v>
      </c>
      <c r="Z213" s="151"/>
    </row>
    <row r="214" spans="2:26" x14ac:dyDescent="0.35">
      <c r="B214" s="518"/>
      <c r="E214" s="519"/>
      <c r="F214" s="151" t="s">
        <v>498</v>
      </c>
      <c r="G214" s="316" t="s">
        <v>328</v>
      </c>
      <c r="H214" s="317"/>
      <c r="I214" s="318"/>
      <c r="J214" s="316"/>
      <c r="K214" s="602">
        <v>0</v>
      </c>
      <c r="L214" s="577"/>
      <c r="M214" s="258"/>
      <c r="N214" s="259"/>
      <c r="O214" s="317"/>
      <c r="P214" s="496"/>
      <c r="Q214" s="496"/>
      <c r="R214" s="261">
        <v>0</v>
      </c>
      <c r="S214" s="521"/>
      <c r="T214" s="517"/>
      <c r="U214" s="517"/>
      <c r="V214" s="517"/>
      <c r="W214" s="517"/>
      <c r="X214" s="578"/>
      <c r="Y214" s="151"/>
      <c r="Z214" s="151"/>
    </row>
    <row r="215" spans="2:26" x14ac:dyDescent="0.35">
      <c r="B215" s="518"/>
      <c r="E215" s="519"/>
      <c r="F215" s="151" t="s">
        <v>499</v>
      </c>
      <c r="G215" s="316" t="s">
        <v>328</v>
      </c>
      <c r="H215" s="317"/>
      <c r="I215" s="318"/>
      <c r="J215" s="316"/>
      <c r="K215" s="602">
        <v>0</v>
      </c>
      <c r="L215" s="577">
        <v>131</v>
      </c>
      <c r="M215" s="400">
        <f>1050/1000</f>
        <v>1.05</v>
      </c>
      <c r="N215" s="259">
        <v>1</v>
      </c>
      <c r="O215" s="520">
        <f>K215*L215*M215*N215</f>
        <v>0</v>
      </c>
      <c r="P215" s="261">
        <v>110590</v>
      </c>
      <c r="Q215" s="496">
        <f>P215*$O215</f>
        <v>0</v>
      </c>
      <c r="R215" s="261">
        <v>110910</v>
      </c>
      <c r="S215" s="521">
        <f>R215*$O215</f>
        <v>0</v>
      </c>
      <c r="T215" s="259">
        <v>133813.90000000002</v>
      </c>
      <c r="U215" s="517">
        <f>$O215*T215</f>
        <v>0</v>
      </c>
      <c r="V215" s="259" t="e">
        <f>W215/O215</f>
        <v>#DIV/0!</v>
      </c>
      <c r="W215" s="267">
        <f>AVERAGEIF($P$3:$U$3,W$3,$P215:$U215)</f>
        <v>0</v>
      </c>
      <c r="X215" s="578"/>
      <c r="Y215" s="492">
        <f t="shared" si="34"/>
        <v>0</v>
      </c>
      <c r="Z215" s="151"/>
    </row>
    <row r="216" spans="2:26" x14ac:dyDescent="0.35">
      <c r="B216" s="518"/>
      <c r="E216" s="519"/>
      <c r="F216" s="151" t="s">
        <v>205</v>
      </c>
      <c r="G216" s="316" t="s">
        <v>195</v>
      </c>
      <c r="H216" s="317"/>
      <c r="I216" s="318"/>
      <c r="J216" s="316"/>
      <c r="K216" s="602">
        <v>0</v>
      </c>
      <c r="L216" s="577">
        <v>131</v>
      </c>
      <c r="M216" s="400">
        <v>2.8000000000000001E-2</v>
      </c>
      <c r="N216" s="259">
        <v>1</v>
      </c>
      <c r="O216" s="520">
        <f>K216*L216*M216*N216</f>
        <v>0</v>
      </c>
      <c r="P216" s="496"/>
      <c r="Q216" s="496"/>
      <c r="R216" s="261">
        <v>720338.0730320001</v>
      </c>
      <c r="S216" s="521">
        <f>R216*$O216</f>
        <v>0</v>
      </c>
      <c r="T216" s="517"/>
      <c r="U216" s="517"/>
      <c r="V216" s="517"/>
      <c r="W216" s="517"/>
      <c r="X216" s="578"/>
      <c r="Y216" s="492">
        <f t="shared" si="34"/>
        <v>0</v>
      </c>
      <c r="Z216" s="151"/>
    </row>
    <row r="217" spans="2:26" x14ac:dyDescent="0.35">
      <c r="B217" s="518"/>
      <c r="E217" s="519"/>
      <c r="F217" s="151" t="s">
        <v>500</v>
      </c>
      <c r="G217" s="316" t="s">
        <v>195</v>
      </c>
      <c r="H217" s="317"/>
      <c r="I217" s="318"/>
      <c r="J217" s="316"/>
      <c r="K217" s="602">
        <v>0</v>
      </c>
      <c r="L217" s="577">
        <v>131</v>
      </c>
      <c r="M217" s="258">
        <f>8/1000</f>
        <v>8.0000000000000002E-3</v>
      </c>
      <c r="N217" s="259">
        <v>1</v>
      </c>
      <c r="O217" s="520">
        <f>K217*L217*M217*N217</f>
        <v>0</v>
      </c>
      <c r="P217" s="261">
        <v>630976.61249999993</v>
      </c>
      <c r="Q217" s="496">
        <f>P217*$O217</f>
        <v>0</v>
      </c>
      <c r="R217" s="261">
        <v>662748.2415</v>
      </c>
      <c r="S217" s="521">
        <f>R217*$O217</f>
        <v>0</v>
      </c>
      <c r="T217" s="259">
        <v>577911.85919999995</v>
      </c>
      <c r="U217" s="517">
        <f>$O217*T217</f>
        <v>0</v>
      </c>
      <c r="V217" s="259" t="e">
        <f>W217/O217</f>
        <v>#DIV/0!</v>
      </c>
      <c r="W217" s="267">
        <f>AVERAGEIF($P$3:$U$3,W$3,$P217:$U217)</f>
        <v>0</v>
      </c>
      <c r="X217" s="578"/>
      <c r="Y217" s="492">
        <f t="shared" si="34"/>
        <v>0</v>
      </c>
      <c r="Z217" s="151"/>
    </row>
    <row r="218" spans="2:26" x14ac:dyDescent="0.35">
      <c r="B218" s="518"/>
      <c r="D218" s="580"/>
      <c r="E218" s="581"/>
      <c r="F218" s="151" t="s">
        <v>245</v>
      </c>
      <c r="G218" s="316" t="s">
        <v>195</v>
      </c>
      <c r="H218" s="317"/>
      <c r="I218" s="318"/>
      <c r="J218" s="316"/>
      <c r="K218" s="602">
        <v>0</v>
      </c>
      <c r="L218" s="577">
        <v>131</v>
      </c>
      <c r="M218" s="258">
        <f>8/1000</f>
        <v>8.0000000000000002E-3</v>
      </c>
      <c r="N218" s="259">
        <v>1</v>
      </c>
      <c r="O218" s="520">
        <f>K218*L218*M218*N218</f>
        <v>0</v>
      </c>
      <c r="P218" s="261">
        <v>680610.48749999993</v>
      </c>
      <c r="Q218" s="496">
        <f>P218*$O218</f>
        <v>0</v>
      </c>
      <c r="R218" s="261">
        <v>715047.82649999985</v>
      </c>
      <c r="S218" s="521">
        <f>R218*$O218</f>
        <v>0</v>
      </c>
      <c r="T218" s="259">
        <v>671314.50879999995</v>
      </c>
      <c r="U218" s="517">
        <f>$O218*T218</f>
        <v>0</v>
      </c>
      <c r="V218" s="259" t="e">
        <f>W218/O218</f>
        <v>#DIV/0!</v>
      </c>
      <c r="W218" s="267">
        <f>AVERAGEIF($P$3:$U$3,W$3,$P218:$U218)</f>
        <v>0</v>
      </c>
      <c r="X218" s="578"/>
      <c r="Y218" s="492">
        <f t="shared" si="34"/>
        <v>0</v>
      </c>
      <c r="Z218" s="151"/>
    </row>
    <row r="219" spans="2:26" x14ac:dyDescent="0.35">
      <c r="B219" s="518"/>
      <c r="D219" t="s">
        <v>100</v>
      </c>
      <c r="E219" s="519"/>
      <c r="F219" s="151" t="s">
        <v>177</v>
      </c>
      <c r="G219" s="316" t="s">
        <v>178</v>
      </c>
      <c r="H219" s="317"/>
      <c r="I219" s="318"/>
      <c r="J219" s="316"/>
      <c r="K219" s="602">
        <v>0</v>
      </c>
      <c r="L219" s="577">
        <v>192.08</v>
      </c>
      <c r="M219" s="309">
        <v>0.5</v>
      </c>
      <c r="N219" s="259">
        <v>1</v>
      </c>
      <c r="O219" s="520">
        <f>K219*L219*M219*N219</f>
        <v>0</v>
      </c>
      <c r="P219" s="496"/>
      <c r="Q219" s="496"/>
      <c r="R219" s="261">
        <v>149108.51999999999</v>
      </c>
      <c r="S219" s="521">
        <f>R219*$O219</f>
        <v>0</v>
      </c>
      <c r="T219" s="517"/>
      <c r="U219" s="517"/>
      <c r="V219" s="517"/>
      <c r="W219" s="517"/>
      <c r="X219" s="578"/>
      <c r="Y219" s="492">
        <f t="shared" si="34"/>
        <v>0</v>
      </c>
      <c r="Z219" s="151"/>
    </row>
    <row r="220" spans="2:26" x14ac:dyDescent="0.35">
      <c r="B220" s="518"/>
      <c r="E220" s="519"/>
      <c r="F220" s="151" t="s">
        <v>498</v>
      </c>
      <c r="G220" s="316" t="s">
        <v>328</v>
      </c>
      <c r="H220" s="317"/>
      <c r="I220" s="318"/>
      <c r="J220" s="316"/>
      <c r="K220" s="602">
        <v>0</v>
      </c>
      <c r="L220" s="577"/>
      <c r="M220" s="258"/>
      <c r="N220" s="259"/>
      <c r="O220" s="317"/>
      <c r="P220" s="496"/>
      <c r="Q220" s="496"/>
      <c r="R220" s="261">
        <v>0</v>
      </c>
      <c r="S220" s="521"/>
      <c r="T220" s="517"/>
      <c r="U220" s="517"/>
      <c r="V220" s="517"/>
      <c r="W220" s="517"/>
      <c r="X220" s="578"/>
      <c r="Y220" s="151"/>
      <c r="Z220" s="151"/>
    </row>
    <row r="221" spans="2:26" x14ac:dyDescent="0.35">
      <c r="B221" s="622"/>
      <c r="C221" s="173"/>
      <c r="D221" s="173"/>
      <c r="E221" s="623"/>
      <c r="F221" s="381" t="s">
        <v>499</v>
      </c>
      <c r="G221" s="600" t="s">
        <v>328</v>
      </c>
      <c r="H221" s="578"/>
      <c r="I221" s="601"/>
      <c r="J221" s="600"/>
      <c r="K221" s="602">
        <v>0</v>
      </c>
      <c r="L221" s="577">
        <v>6004</v>
      </c>
      <c r="M221" s="400">
        <f>1050/1000</f>
        <v>1.05</v>
      </c>
      <c r="N221" s="259">
        <v>1</v>
      </c>
      <c r="O221" s="520">
        <f t="shared" ref="O221:O229" si="35">K221*L221*M221*N221</f>
        <v>0</v>
      </c>
      <c r="P221" s="603"/>
      <c r="Q221" s="603"/>
      <c r="R221" s="261">
        <v>110910</v>
      </c>
      <c r="S221" s="521">
        <f t="shared" ref="S221:S229" si="36">R221*$O221</f>
        <v>0</v>
      </c>
      <c r="T221" s="605"/>
      <c r="U221" s="605"/>
      <c r="V221" s="605"/>
      <c r="W221" s="605"/>
      <c r="X221" s="578"/>
      <c r="Y221" s="492">
        <f t="shared" si="34"/>
        <v>0</v>
      </c>
      <c r="Z221" s="151"/>
    </row>
    <row r="222" spans="2:26" x14ac:dyDescent="0.35">
      <c r="B222" s="622"/>
      <c r="C222" s="173"/>
      <c r="D222" s="173"/>
      <c r="E222" s="623"/>
      <c r="F222" s="381" t="s">
        <v>205</v>
      </c>
      <c r="G222" s="600" t="s">
        <v>195</v>
      </c>
      <c r="H222" s="578"/>
      <c r="I222" s="601"/>
      <c r="J222" s="600"/>
      <c r="K222" s="602">
        <v>0</v>
      </c>
      <c r="L222" s="577">
        <v>6004</v>
      </c>
      <c r="M222" s="400">
        <v>2.8000000000000001E-2</v>
      </c>
      <c r="N222" s="259">
        <v>1</v>
      </c>
      <c r="O222" s="520">
        <f t="shared" si="35"/>
        <v>0</v>
      </c>
      <c r="P222" s="603"/>
      <c r="Q222" s="603"/>
      <c r="R222" s="261">
        <v>720338.0730320001</v>
      </c>
      <c r="S222" s="521">
        <f t="shared" si="36"/>
        <v>0</v>
      </c>
      <c r="T222" s="605"/>
      <c r="U222" s="605"/>
      <c r="V222" s="605"/>
      <c r="W222" s="605"/>
      <c r="X222" s="578"/>
      <c r="Y222" s="492">
        <f t="shared" si="34"/>
        <v>0</v>
      </c>
      <c r="Z222" s="151"/>
    </row>
    <row r="223" spans="2:26" x14ac:dyDescent="0.35">
      <c r="B223" s="622"/>
      <c r="C223" s="173"/>
      <c r="D223" s="173"/>
      <c r="E223" s="623"/>
      <c r="F223" s="381" t="s">
        <v>500</v>
      </c>
      <c r="G223" s="600" t="s">
        <v>195</v>
      </c>
      <c r="H223" s="578"/>
      <c r="I223" s="601"/>
      <c r="J223" s="600"/>
      <c r="K223" s="602">
        <v>0</v>
      </c>
      <c r="L223" s="577">
        <v>6004</v>
      </c>
      <c r="M223" s="258">
        <f>8/1000</f>
        <v>8.0000000000000002E-3</v>
      </c>
      <c r="N223" s="259">
        <v>1</v>
      </c>
      <c r="O223" s="520">
        <f t="shared" si="35"/>
        <v>0</v>
      </c>
      <c r="P223" s="603"/>
      <c r="Q223" s="603"/>
      <c r="R223" s="261">
        <v>662748.2415</v>
      </c>
      <c r="S223" s="521">
        <f t="shared" si="36"/>
        <v>0</v>
      </c>
      <c r="T223" s="605"/>
      <c r="U223" s="605"/>
      <c r="V223" s="605"/>
      <c r="W223" s="605"/>
      <c r="X223" s="578"/>
      <c r="Y223" s="492">
        <f t="shared" si="34"/>
        <v>0</v>
      </c>
      <c r="Z223" s="151"/>
    </row>
    <row r="224" spans="2:26" x14ac:dyDescent="0.35">
      <c r="B224" s="622"/>
      <c r="C224" s="173"/>
      <c r="D224" s="598"/>
      <c r="E224" s="599"/>
      <c r="F224" s="381" t="s">
        <v>245</v>
      </c>
      <c r="G224" s="600" t="s">
        <v>195</v>
      </c>
      <c r="H224" s="578"/>
      <c r="I224" s="601"/>
      <c r="J224" s="600"/>
      <c r="K224" s="602">
        <v>0</v>
      </c>
      <c r="L224" s="577">
        <v>6004</v>
      </c>
      <c r="M224" s="258">
        <f>8/1000</f>
        <v>8.0000000000000002E-3</v>
      </c>
      <c r="N224" s="259">
        <v>1</v>
      </c>
      <c r="O224" s="520">
        <f t="shared" si="35"/>
        <v>0</v>
      </c>
      <c r="P224" s="603"/>
      <c r="Q224" s="603"/>
      <c r="R224" s="261">
        <v>715047.82649999985</v>
      </c>
      <c r="S224" s="521">
        <f t="shared" si="36"/>
        <v>0</v>
      </c>
      <c r="T224" s="605"/>
      <c r="U224" s="605"/>
      <c r="V224" s="605"/>
      <c r="W224" s="605"/>
      <c r="X224" s="578"/>
      <c r="Y224" s="492">
        <f t="shared" si="34"/>
        <v>0</v>
      </c>
      <c r="Z224" s="151"/>
    </row>
    <row r="225" spans="2:26" x14ac:dyDescent="0.35">
      <c r="B225" s="622"/>
      <c r="C225" s="173"/>
      <c r="D225" s="170" t="s">
        <v>102</v>
      </c>
      <c r="E225" s="646"/>
      <c r="F225" s="151" t="s">
        <v>177</v>
      </c>
      <c r="G225" s="316" t="s">
        <v>178</v>
      </c>
      <c r="H225" s="317"/>
      <c r="I225" s="318"/>
      <c r="J225" s="316"/>
      <c r="K225" s="602">
        <v>0</v>
      </c>
      <c r="L225" s="577">
        <v>192.08</v>
      </c>
      <c r="M225" s="309">
        <v>0.5</v>
      </c>
      <c r="N225" s="259">
        <v>1</v>
      </c>
      <c r="O225" s="520">
        <f t="shared" si="35"/>
        <v>0</v>
      </c>
      <c r="P225" s="603"/>
      <c r="Q225" s="603"/>
      <c r="R225" s="261">
        <v>149108.51999999999</v>
      </c>
      <c r="S225" s="521">
        <f t="shared" si="36"/>
        <v>0</v>
      </c>
      <c r="T225" s="605"/>
      <c r="U225" s="605"/>
      <c r="V225" s="605"/>
      <c r="W225" s="605"/>
      <c r="X225" s="578"/>
      <c r="Y225" s="492">
        <f t="shared" si="34"/>
        <v>0</v>
      </c>
      <c r="Z225" s="151"/>
    </row>
    <row r="226" spans="2:26" x14ac:dyDescent="0.35">
      <c r="B226" s="622"/>
      <c r="C226" s="173"/>
      <c r="D226" s="173"/>
      <c r="E226" s="623"/>
      <c r="F226" s="381" t="s">
        <v>499</v>
      </c>
      <c r="G226" s="600" t="s">
        <v>328</v>
      </c>
      <c r="H226" s="578"/>
      <c r="I226" s="601"/>
      <c r="J226" s="600"/>
      <c r="K226" s="602">
        <v>0</v>
      </c>
      <c r="L226" s="577">
        <v>1106</v>
      </c>
      <c r="M226" s="400">
        <f>1050/1000</f>
        <v>1.05</v>
      </c>
      <c r="N226" s="259">
        <v>1</v>
      </c>
      <c r="O226" s="520">
        <f t="shared" si="35"/>
        <v>0</v>
      </c>
      <c r="P226" s="603"/>
      <c r="Q226" s="603"/>
      <c r="R226" s="261">
        <v>110910</v>
      </c>
      <c r="S226" s="521">
        <f t="shared" si="36"/>
        <v>0</v>
      </c>
      <c r="T226" s="605"/>
      <c r="U226" s="605"/>
      <c r="V226" s="605"/>
      <c r="W226" s="605"/>
      <c r="X226" s="578"/>
      <c r="Y226" s="492">
        <f t="shared" si="34"/>
        <v>0</v>
      </c>
      <c r="Z226" s="151"/>
    </row>
    <row r="227" spans="2:26" x14ac:dyDescent="0.35">
      <c r="B227" s="622"/>
      <c r="C227" s="173"/>
      <c r="D227" s="173"/>
      <c r="E227" s="623"/>
      <c r="F227" s="381" t="s">
        <v>205</v>
      </c>
      <c r="G227" s="600" t="s">
        <v>195</v>
      </c>
      <c r="H227" s="578"/>
      <c r="I227" s="601"/>
      <c r="J227" s="600"/>
      <c r="K227" s="602">
        <v>0</v>
      </c>
      <c r="L227" s="577">
        <v>1106</v>
      </c>
      <c r="M227" s="400">
        <v>2.8000000000000001E-2</v>
      </c>
      <c r="N227" s="259">
        <v>1</v>
      </c>
      <c r="O227" s="520">
        <f t="shared" si="35"/>
        <v>0</v>
      </c>
      <c r="P227" s="603"/>
      <c r="Q227" s="603"/>
      <c r="R227" s="261">
        <v>720338.0730320001</v>
      </c>
      <c r="S227" s="521">
        <f t="shared" si="36"/>
        <v>0</v>
      </c>
      <c r="T227" s="605"/>
      <c r="U227" s="605"/>
      <c r="V227" s="605"/>
      <c r="W227" s="605"/>
      <c r="X227" s="578"/>
      <c r="Y227" s="492">
        <f t="shared" si="34"/>
        <v>0</v>
      </c>
      <c r="Z227" s="151"/>
    </row>
    <row r="228" spans="2:26" x14ac:dyDescent="0.35">
      <c r="B228" s="622"/>
      <c r="C228" s="173"/>
      <c r="D228" s="173"/>
      <c r="E228" s="623"/>
      <c r="F228" s="381" t="s">
        <v>500</v>
      </c>
      <c r="G228" s="600" t="s">
        <v>195</v>
      </c>
      <c r="H228" s="578"/>
      <c r="I228" s="601"/>
      <c r="J228" s="600"/>
      <c r="K228" s="602">
        <v>0</v>
      </c>
      <c r="L228" s="577">
        <v>1106</v>
      </c>
      <c r="M228" s="258">
        <f>8/1000</f>
        <v>8.0000000000000002E-3</v>
      </c>
      <c r="N228" s="259">
        <v>1</v>
      </c>
      <c r="O228" s="520">
        <f t="shared" si="35"/>
        <v>0</v>
      </c>
      <c r="P228" s="603"/>
      <c r="Q228" s="603"/>
      <c r="R228" s="261">
        <v>662748.2415</v>
      </c>
      <c r="S228" s="521">
        <f t="shared" si="36"/>
        <v>0</v>
      </c>
      <c r="T228" s="605"/>
      <c r="U228" s="605"/>
      <c r="V228" s="605"/>
      <c r="W228" s="605"/>
      <c r="X228" s="578"/>
      <c r="Y228" s="492">
        <f t="shared" si="34"/>
        <v>0</v>
      </c>
      <c r="Z228" s="151"/>
    </row>
    <row r="229" spans="2:26" x14ac:dyDescent="0.35">
      <c r="B229" s="622"/>
      <c r="C229" s="173"/>
      <c r="D229" s="598"/>
      <c r="E229" s="599"/>
      <c r="F229" s="381" t="s">
        <v>245</v>
      </c>
      <c r="G229" s="600" t="s">
        <v>195</v>
      </c>
      <c r="H229" s="578"/>
      <c r="I229" s="601"/>
      <c r="J229" s="600"/>
      <c r="K229" s="602">
        <v>0</v>
      </c>
      <c r="L229" s="577">
        <v>1106</v>
      </c>
      <c r="M229" s="258">
        <f>8/1000</f>
        <v>8.0000000000000002E-3</v>
      </c>
      <c r="N229" s="259">
        <v>1</v>
      </c>
      <c r="O229" s="520">
        <f t="shared" si="35"/>
        <v>0</v>
      </c>
      <c r="P229" s="603"/>
      <c r="Q229" s="603"/>
      <c r="R229" s="261">
        <v>715047.82649999985</v>
      </c>
      <c r="S229" s="521">
        <f t="shared" si="36"/>
        <v>0</v>
      </c>
      <c r="T229" s="605"/>
      <c r="U229" s="605"/>
      <c r="V229" s="605"/>
      <c r="W229" s="605"/>
      <c r="X229" s="578"/>
      <c r="Y229" s="492">
        <f t="shared" si="34"/>
        <v>0</v>
      </c>
      <c r="Z229" s="151"/>
    </row>
    <row r="230" spans="2:26" hidden="1" x14ac:dyDescent="0.35">
      <c r="B230" s="622"/>
      <c r="C230" s="173"/>
      <c r="D230" s="170" t="s">
        <v>96</v>
      </c>
      <c r="E230" s="646"/>
      <c r="F230" s="381" t="s">
        <v>177</v>
      </c>
      <c r="G230" s="600" t="s">
        <v>178</v>
      </c>
      <c r="H230" s="578"/>
      <c r="I230" s="601"/>
      <c r="J230" s="600"/>
      <c r="K230" s="575"/>
      <c r="L230" s="621"/>
      <c r="M230" s="379">
        <f>1/100</f>
        <v>0.01</v>
      </c>
      <c r="N230" s="380">
        <v>2</v>
      </c>
      <c r="O230" s="578"/>
      <c r="P230" s="603"/>
      <c r="Q230" s="603"/>
      <c r="R230" s="603"/>
      <c r="S230" s="604"/>
      <c r="T230" s="605"/>
      <c r="U230" s="605"/>
      <c r="V230" s="605"/>
      <c r="W230" s="605"/>
      <c r="X230" s="578"/>
      <c r="Y230" s="151"/>
      <c r="Z230" s="151"/>
    </row>
    <row r="231" spans="2:26" hidden="1" x14ac:dyDescent="0.35">
      <c r="B231" s="622"/>
      <c r="C231" s="173"/>
      <c r="D231" s="173"/>
      <c r="E231" s="623"/>
      <c r="F231" s="381" t="s">
        <v>500</v>
      </c>
      <c r="G231" s="600" t="s">
        <v>195</v>
      </c>
      <c r="H231" s="578"/>
      <c r="I231" s="601"/>
      <c r="J231" s="316" t="s">
        <v>272</v>
      </c>
      <c r="K231" s="602"/>
      <c r="L231" s="621">
        <v>10</v>
      </c>
      <c r="M231" s="379">
        <f>3/1000</f>
        <v>3.0000000000000001E-3</v>
      </c>
      <c r="N231" s="380">
        <v>1</v>
      </c>
      <c r="O231" s="520">
        <f>K231*L231*M231*N231</f>
        <v>0</v>
      </c>
      <c r="P231" s="261">
        <v>630976.61249999993</v>
      </c>
      <c r="Q231" s="496">
        <f>P231*$O231</f>
        <v>0</v>
      </c>
      <c r="R231" s="261">
        <v>662748.2415</v>
      </c>
      <c r="S231" s="521">
        <f>R231*$O231</f>
        <v>0</v>
      </c>
      <c r="T231" s="259">
        <v>577911.85919999995</v>
      </c>
      <c r="U231" s="517">
        <f>$O231*T231</f>
        <v>0</v>
      </c>
      <c r="V231" s="259" t="e">
        <f>W231/O231</f>
        <v>#DIV/0!</v>
      </c>
      <c r="W231" s="267">
        <f>AVERAGEIF($P$3:$U$3,W$3,$P231:$U231)</f>
        <v>0</v>
      </c>
      <c r="X231" s="578"/>
      <c r="Y231" s="151"/>
      <c r="Z231" s="151"/>
    </row>
    <row r="232" spans="2:26" hidden="1" x14ac:dyDescent="0.35">
      <c r="B232" s="622"/>
      <c r="C232" s="173"/>
      <c r="D232" s="598"/>
      <c r="E232" s="599"/>
      <c r="F232" s="381" t="s">
        <v>245</v>
      </c>
      <c r="G232" s="600" t="s">
        <v>195</v>
      </c>
      <c r="H232" s="578"/>
      <c r="I232" s="601"/>
      <c r="J232" s="316" t="s">
        <v>272</v>
      </c>
      <c r="K232" s="602"/>
      <c r="L232" s="621">
        <v>10</v>
      </c>
      <c r="M232" s="379">
        <f>3/1000</f>
        <v>3.0000000000000001E-3</v>
      </c>
      <c r="N232" s="380">
        <v>1</v>
      </c>
      <c r="O232" s="520">
        <f>K232*L232*M232*N232</f>
        <v>0</v>
      </c>
      <c r="P232" s="261">
        <v>680610.48749999993</v>
      </c>
      <c r="Q232" s="496">
        <f>P232*$O232</f>
        <v>0</v>
      </c>
      <c r="R232" s="261">
        <v>715047.82649999985</v>
      </c>
      <c r="S232" s="521">
        <f>R232*$O232</f>
        <v>0</v>
      </c>
      <c r="T232" s="259">
        <v>671314.50879999995</v>
      </c>
      <c r="U232" s="517">
        <f>$O232*T232</f>
        <v>0</v>
      </c>
      <c r="V232" s="259" t="e">
        <f>W232/O232</f>
        <v>#DIV/0!</v>
      </c>
      <c r="W232" s="267">
        <f>AVERAGEIF($P$3:$U$3,W$3,$P232:$U232)</f>
        <v>0</v>
      </c>
      <c r="X232" s="578"/>
      <c r="Y232" s="151"/>
      <c r="Z232" s="151"/>
    </row>
    <row r="233" spans="2:26" hidden="1" x14ac:dyDescent="0.35">
      <c r="B233" s="622"/>
      <c r="C233" s="173"/>
      <c r="D233" s="170" t="s">
        <v>97</v>
      </c>
      <c r="E233" s="646"/>
      <c r="F233" s="381" t="s">
        <v>177</v>
      </c>
      <c r="G233" s="600" t="s">
        <v>178</v>
      </c>
      <c r="H233" s="578"/>
      <c r="I233" s="601"/>
      <c r="J233" s="600"/>
      <c r="K233" s="602"/>
      <c r="L233" s="621"/>
      <c r="M233" s="379">
        <f>1/100</f>
        <v>0.01</v>
      </c>
      <c r="N233" s="380">
        <v>2</v>
      </c>
      <c r="O233" s="578"/>
      <c r="P233" s="603"/>
      <c r="Q233" s="603"/>
      <c r="R233" s="603"/>
      <c r="S233" s="604"/>
      <c r="T233" s="605"/>
      <c r="U233" s="605"/>
      <c r="V233" s="605"/>
      <c r="W233" s="605"/>
      <c r="X233" s="578"/>
      <c r="Y233" s="151"/>
      <c r="Z233" s="151"/>
    </row>
    <row r="234" spans="2:26" hidden="1" x14ac:dyDescent="0.35">
      <c r="B234" s="622"/>
      <c r="C234" s="173"/>
      <c r="D234" s="173"/>
      <c r="E234" s="623"/>
      <c r="F234" s="381" t="s">
        <v>500</v>
      </c>
      <c r="G234" s="600" t="s">
        <v>195</v>
      </c>
      <c r="H234" s="578"/>
      <c r="I234" s="601"/>
      <c r="J234" s="316" t="s">
        <v>272</v>
      </c>
      <c r="K234" s="602"/>
      <c r="L234" s="577">
        <v>33</v>
      </c>
      <c r="M234" s="379">
        <f>2/1000</f>
        <v>2E-3</v>
      </c>
      <c r="N234" s="380">
        <v>1</v>
      </c>
      <c r="O234" s="520">
        <f>K234*L234*M234*N234</f>
        <v>0</v>
      </c>
      <c r="P234" s="261">
        <v>630976.61249999993</v>
      </c>
      <c r="Q234" s="496">
        <f>P234*$O234</f>
        <v>0</v>
      </c>
      <c r="R234" s="261">
        <v>662748.2415</v>
      </c>
      <c r="S234" s="521">
        <f>R234*$O234</f>
        <v>0</v>
      </c>
      <c r="T234" s="259">
        <v>577911.85919999995</v>
      </c>
      <c r="U234" s="517">
        <f>$O234*T234</f>
        <v>0</v>
      </c>
      <c r="V234" s="259" t="e">
        <f>W234/O234</f>
        <v>#DIV/0!</v>
      </c>
      <c r="W234" s="267">
        <f>AVERAGEIF($P$3:$U$3,W$3,$P234:$U234)</f>
        <v>0</v>
      </c>
      <c r="X234" s="578"/>
      <c r="Y234" s="151"/>
      <c r="Z234" s="151"/>
    </row>
    <row r="235" spans="2:26" hidden="1" x14ac:dyDescent="0.35">
      <c r="B235" s="597"/>
      <c r="C235" s="598"/>
      <c r="D235" s="598"/>
      <c r="E235" s="599"/>
      <c r="F235" s="381" t="s">
        <v>245</v>
      </c>
      <c r="G235" s="600" t="s">
        <v>195</v>
      </c>
      <c r="H235" s="578"/>
      <c r="I235" s="601"/>
      <c r="J235" s="316" t="s">
        <v>272</v>
      </c>
      <c r="K235" s="602"/>
      <c r="L235" s="577">
        <v>33</v>
      </c>
      <c r="M235" s="379">
        <f>2/1000</f>
        <v>2E-3</v>
      </c>
      <c r="N235" s="380">
        <v>1</v>
      </c>
      <c r="O235" s="520">
        <f>K235*L235*M235*N235</f>
        <v>0</v>
      </c>
      <c r="P235" s="261">
        <v>680610.48749999993</v>
      </c>
      <c r="Q235" s="496">
        <f>P235*$O235</f>
        <v>0</v>
      </c>
      <c r="R235" s="261">
        <v>715047.82649999985</v>
      </c>
      <c r="S235" s="521">
        <f>R235*$O235</f>
        <v>0</v>
      </c>
      <c r="T235" s="259">
        <v>671314.50879999995</v>
      </c>
      <c r="U235" s="517">
        <f>$O235*T235</f>
        <v>0</v>
      </c>
      <c r="V235" s="259" t="e">
        <f>W235/O235</f>
        <v>#DIV/0!</v>
      </c>
      <c r="W235" s="267">
        <f>AVERAGEIF($P$3:$U$3,W$3,$P235:$U235)</f>
        <v>0</v>
      </c>
      <c r="X235" s="578"/>
      <c r="Y235" s="151"/>
      <c r="Z235" s="151"/>
    </row>
    <row r="236" spans="2:26" x14ac:dyDescent="0.35">
      <c r="B236" s="606" t="s">
        <v>501</v>
      </c>
      <c r="C236" s="607"/>
      <c r="D236" s="607"/>
      <c r="E236" s="608"/>
      <c r="F236" s="609"/>
      <c r="G236" s="610"/>
      <c r="H236" s="611"/>
      <c r="I236" s="612"/>
      <c r="J236" s="610"/>
      <c r="K236" s="613"/>
      <c r="L236" s="614"/>
      <c r="M236" s="615"/>
      <c r="N236" s="616"/>
      <c r="O236" s="611"/>
      <c r="P236" s="617"/>
      <c r="Q236" s="617"/>
      <c r="R236" s="617"/>
      <c r="S236" s="618">
        <f>SUM(S201:S229)</f>
        <v>0</v>
      </c>
      <c r="T236" s="605"/>
      <c r="U236" s="605"/>
      <c r="V236" s="605"/>
      <c r="W236" s="605"/>
      <c r="X236" s="644"/>
      <c r="Y236" s="619">
        <f>S236/192.08</f>
        <v>0</v>
      </c>
      <c r="Z236" s="648">
        <f>S236/3572533847.92*100</f>
        <v>0</v>
      </c>
    </row>
    <row r="237" spans="2:26" x14ac:dyDescent="0.35">
      <c r="B237" s="578"/>
      <c r="C237" s="601" t="s">
        <v>502</v>
      </c>
      <c r="D237" s="601"/>
      <c r="E237" s="642"/>
      <c r="F237" s="381"/>
      <c r="G237" s="600"/>
      <c r="H237" s="578"/>
      <c r="I237" s="601"/>
      <c r="J237" s="600"/>
      <c r="K237" s="575"/>
      <c r="L237" s="621"/>
      <c r="M237" s="379"/>
      <c r="N237" s="380"/>
      <c r="O237" s="578"/>
      <c r="P237" s="603"/>
      <c r="Q237" s="603"/>
      <c r="R237" s="261"/>
      <c r="S237" s="604"/>
      <c r="T237" s="605"/>
      <c r="U237" s="605"/>
      <c r="V237" s="605"/>
      <c r="W237" s="605"/>
      <c r="X237" s="578"/>
      <c r="Y237" s="151"/>
      <c r="Z237" s="151"/>
    </row>
    <row r="238" spans="2:26" x14ac:dyDescent="0.35">
      <c r="B238" s="518"/>
      <c r="D238" t="s">
        <v>104</v>
      </c>
      <c r="E238" s="519"/>
      <c r="F238" s="381" t="s">
        <v>177</v>
      </c>
      <c r="G238" s="316" t="s">
        <v>178</v>
      </c>
      <c r="H238" s="317"/>
      <c r="I238" s="318"/>
      <c r="J238" s="316"/>
      <c r="K238" s="602">
        <v>0</v>
      </c>
      <c r="L238" s="577"/>
      <c r="M238" s="300">
        <v>1</v>
      </c>
      <c r="N238" s="259">
        <v>1</v>
      </c>
      <c r="O238" s="520">
        <f t="shared" ref="O238:O250" si="37">K238*L238*M238*N238</f>
        <v>0</v>
      </c>
      <c r="P238" s="496"/>
      <c r="Q238" s="496"/>
      <c r="R238" s="261">
        <v>149108.51999999999</v>
      </c>
      <c r="S238" s="521">
        <f t="shared" ref="S238:S250" si="38">R238*$O238</f>
        <v>0</v>
      </c>
      <c r="T238" s="517"/>
      <c r="U238" s="517"/>
      <c r="V238" s="517"/>
      <c r="W238" s="517"/>
      <c r="X238" s="578"/>
      <c r="Y238" s="492">
        <f t="shared" ref="Y238:Y250" si="39">S238/192.08</f>
        <v>0</v>
      </c>
      <c r="Z238" s="151"/>
    </row>
    <row r="239" spans="2:26" x14ac:dyDescent="0.35">
      <c r="B239" s="518"/>
      <c r="E239" s="519"/>
      <c r="F239" s="381" t="s">
        <v>252</v>
      </c>
      <c r="G239" s="316" t="s">
        <v>253</v>
      </c>
      <c r="H239" s="317"/>
      <c r="I239" s="318"/>
      <c r="J239" s="316"/>
      <c r="K239" s="602">
        <v>0</v>
      </c>
      <c r="L239" s="577"/>
      <c r="M239" s="300">
        <v>1</v>
      </c>
      <c r="N239" s="259">
        <v>1</v>
      </c>
      <c r="O239" s="520">
        <f t="shared" si="37"/>
        <v>0</v>
      </c>
      <c r="P239" s="496"/>
      <c r="Q239" s="496"/>
      <c r="R239" s="261">
        <v>66550000.000000007</v>
      </c>
      <c r="S239" s="521">
        <f t="shared" si="38"/>
        <v>0</v>
      </c>
      <c r="T239" s="517"/>
      <c r="U239" s="517"/>
      <c r="V239" s="517"/>
      <c r="W239" s="517"/>
      <c r="X239" s="578"/>
      <c r="Y239" s="492">
        <f t="shared" si="39"/>
        <v>0</v>
      </c>
      <c r="Z239" s="151"/>
    </row>
    <row r="240" spans="2:26" x14ac:dyDescent="0.35">
      <c r="B240" s="518"/>
      <c r="E240" s="519"/>
      <c r="F240" s="381" t="s">
        <v>503</v>
      </c>
      <c r="G240" s="600" t="s">
        <v>253</v>
      </c>
      <c r="H240" s="578"/>
      <c r="I240" s="601"/>
      <c r="J240" s="600"/>
      <c r="K240" s="602">
        <v>0</v>
      </c>
      <c r="L240" s="621">
        <v>6</v>
      </c>
      <c r="M240" s="668">
        <v>1</v>
      </c>
      <c r="N240" s="669">
        <v>1</v>
      </c>
      <c r="O240" s="520">
        <f t="shared" si="37"/>
        <v>0</v>
      </c>
      <c r="P240" s="670"/>
      <c r="Q240" s="670"/>
      <c r="R240" s="261">
        <v>63525000</v>
      </c>
      <c r="S240" s="521">
        <f t="shared" si="38"/>
        <v>0</v>
      </c>
      <c r="T240" s="671"/>
      <c r="U240" s="671"/>
      <c r="V240" s="671"/>
      <c r="W240" s="671"/>
      <c r="X240" s="578"/>
      <c r="Y240" s="492">
        <f t="shared" si="39"/>
        <v>0</v>
      </c>
      <c r="Z240" s="151"/>
    </row>
    <row r="241" spans="2:26" x14ac:dyDescent="0.35">
      <c r="B241" s="518"/>
      <c r="E241" s="519"/>
      <c r="F241" s="381" t="s">
        <v>504</v>
      </c>
      <c r="G241" s="600" t="s">
        <v>253</v>
      </c>
      <c r="H241" s="578"/>
      <c r="I241" s="601"/>
      <c r="J241" s="600"/>
      <c r="K241" s="602">
        <v>0</v>
      </c>
      <c r="L241" s="621">
        <v>1</v>
      </c>
      <c r="M241" s="668">
        <v>1</v>
      </c>
      <c r="N241" s="669">
        <v>1</v>
      </c>
      <c r="O241" s="520">
        <f t="shared" si="37"/>
        <v>0</v>
      </c>
      <c r="P241" s="670"/>
      <c r="Q241" s="670"/>
      <c r="R241" s="261">
        <f>R240+(12705000*4)</f>
        <v>114345000</v>
      </c>
      <c r="S241" s="521">
        <f t="shared" si="38"/>
        <v>0</v>
      </c>
      <c r="T241" s="671"/>
      <c r="U241" s="671"/>
      <c r="V241" s="671"/>
      <c r="W241" s="671"/>
      <c r="X241" s="578"/>
      <c r="Y241" s="492">
        <f t="shared" si="39"/>
        <v>0</v>
      </c>
      <c r="Z241" s="151"/>
    </row>
    <row r="242" spans="2:26" x14ac:dyDescent="0.35">
      <c r="B242" s="518"/>
      <c r="E242" s="519"/>
      <c r="F242" s="381" t="s">
        <v>505</v>
      </c>
      <c r="G242" s="600" t="s">
        <v>253</v>
      </c>
      <c r="H242" s="578"/>
      <c r="I242" s="601"/>
      <c r="J242" s="600"/>
      <c r="K242" s="602">
        <v>0</v>
      </c>
      <c r="L242" s="621">
        <v>4</v>
      </c>
      <c r="M242" s="668">
        <v>1</v>
      </c>
      <c r="N242" s="669">
        <v>1</v>
      </c>
      <c r="O242" s="520">
        <f t="shared" si="37"/>
        <v>0</v>
      </c>
      <c r="P242" s="670"/>
      <c r="Q242" s="670"/>
      <c r="R242" s="261">
        <f>R240+(12705000*4)</f>
        <v>114345000</v>
      </c>
      <c r="S242" s="521">
        <f t="shared" si="38"/>
        <v>0</v>
      </c>
      <c r="T242" s="671"/>
      <c r="U242" s="671"/>
      <c r="V242" s="671"/>
      <c r="W242" s="671"/>
      <c r="X242" s="578"/>
      <c r="Y242" s="492">
        <f t="shared" si="39"/>
        <v>0</v>
      </c>
      <c r="Z242" s="151"/>
    </row>
    <row r="243" spans="2:26" x14ac:dyDescent="0.35">
      <c r="B243" s="518"/>
      <c r="E243" s="519"/>
      <c r="F243" s="381" t="s">
        <v>506</v>
      </c>
      <c r="G243" s="600" t="s">
        <v>253</v>
      </c>
      <c r="H243" s="578"/>
      <c r="I243" s="601"/>
      <c r="J243" s="600"/>
      <c r="K243" s="602">
        <v>0</v>
      </c>
      <c r="L243" s="621">
        <v>4</v>
      </c>
      <c r="M243" s="668">
        <v>1</v>
      </c>
      <c r="N243" s="669">
        <v>1</v>
      </c>
      <c r="O243" s="520">
        <f t="shared" si="37"/>
        <v>0</v>
      </c>
      <c r="P243" s="670"/>
      <c r="Q243" s="670"/>
      <c r="R243" s="261">
        <f>R240+(12705000*6)</f>
        <v>139755000</v>
      </c>
      <c r="S243" s="521">
        <f t="shared" si="38"/>
        <v>0</v>
      </c>
      <c r="T243" s="671"/>
      <c r="U243" s="671"/>
      <c r="V243" s="671"/>
      <c r="W243" s="671"/>
      <c r="X243" s="578"/>
      <c r="Y243" s="492">
        <f t="shared" si="39"/>
        <v>0</v>
      </c>
      <c r="Z243" s="151"/>
    </row>
    <row r="244" spans="2:26" x14ac:dyDescent="0.35">
      <c r="B244" s="518"/>
      <c r="E244" s="519"/>
      <c r="F244" s="381" t="s">
        <v>507</v>
      </c>
      <c r="G244" s="600" t="s">
        <v>253</v>
      </c>
      <c r="H244" s="578"/>
      <c r="I244" s="601"/>
      <c r="J244" s="600"/>
      <c r="K244" s="602">
        <v>0</v>
      </c>
      <c r="L244" s="621">
        <v>1</v>
      </c>
      <c r="M244" s="668">
        <v>1</v>
      </c>
      <c r="N244" s="669">
        <v>1</v>
      </c>
      <c r="O244" s="520">
        <f t="shared" si="37"/>
        <v>0</v>
      </c>
      <c r="P244" s="670"/>
      <c r="Q244" s="670"/>
      <c r="R244" s="261">
        <f>R240+(12705000*8)</f>
        <v>165165000</v>
      </c>
      <c r="S244" s="521">
        <f t="shared" si="38"/>
        <v>0</v>
      </c>
      <c r="T244" s="671"/>
      <c r="U244" s="671"/>
      <c r="V244" s="671"/>
      <c r="W244" s="671"/>
      <c r="X244" s="578"/>
      <c r="Y244" s="492">
        <f t="shared" si="39"/>
        <v>0</v>
      </c>
      <c r="Z244" s="151"/>
    </row>
    <row r="245" spans="2:26" x14ac:dyDescent="0.35">
      <c r="B245" s="518"/>
      <c r="E245" s="519"/>
      <c r="F245" s="381" t="s">
        <v>262</v>
      </c>
      <c r="G245" s="600" t="s">
        <v>253</v>
      </c>
      <c r="H245" s="578"/>
      <c r="I245" s="601"/>
      <c r="J245" s="600"/>
      <c r="K245" s="602">
        <v>0</v>
      </c>
      <c r="L245" s="621">
        <v>1</v>
      </c>
      <c r="M245" s="668">
        <v>1</v>
      </c>
      <c r="N245" s="669">
        <v>1</v>
      </c>
      <c r="O245" s="520">
        <f t="shared" si="37"/>
        <v>0</v>
      </c>
      <c r="P245" s="670"/>
      <c r="Q245" s="670"/>
      <c r="R245" s="261">
        <v>51809625</v>
      </c>
      <c r="S245" s="521">
        <f t="shared" si="38"/>
        <v>0</v>
      </c>
      <c r="T245" s="671"/>
      <c r="U245" s="671"/>
      <c r="V245" s="671"/>
      <c r="W245" s="671"/>
      <c r="X245" s="578"/>
      <c r="Y245" s="492">
        <f t="shared" si="39"/>
        <v>0</v>
      </c>
      <c r="Z245" s="151"/>
    </row>
    <row r="246" spans="2:26" x14ac:dyDescent="0.35">
      <c r="B246" s="518"/>
      <c r="E246" s="519"/>
      <c r="F246" s="381" t="s">
        <v>508</v>
      </c>
      <c r="G246" s="600" t="s">
        <v>253</v>
      </c>
      <c r="H246" s="578"/>
      <c r="I246" s="601"/>
      <c r="J246" s="600"/>
      <c r="K246" s="602">
        <v>0</v>
      </c>
      <c r="L246" s="621">
        <v>1</v>
      </c>
      <c r="M246" s="672">
        <v>1</v>
      </c>
      <c r="N246" s="669">
        <v>1</v>
      </c>
      <c r="O246" s="520">
        <f t="shared" si="37"/>
        <v>0</v>
      </c>
      <c r="P246" s="670"/>
      <c r="Q246" s="670"/>
      <c r="R246" s="261">
        <v>80784000</v>
      </c>
      <c r="S246" s="521">
        <f t="shared" si="38"/>
        <v>0</v>
      </c>
      <c r="T246" s="671"/>
      <c r="U246" s="671"/>
      <c r="V246" s="671"/>
      <c r="W246" s="671"/>
      <c r="X246" s="578"/>
      <c r="Y246" s="492">
        <f t="shared" si="39"/>
        <v>0</v>
      </c>
      <c r="Z246" s="151"/>
    </row>
    <row r="247" spans="2:26" x14ac:dyDescent="0.35">
      <c r="B247" s="518"/>
      <c r="E247" s="519"/>
      <c r="F247" s="381" t="s">
        <v>509</v>
      </c>
      <c r="G247" s="600" t="s">
        <v>253</v>
      </c>
      <c r="H247" s="578"/>
      <c r="I247" s="601"/>
      <c r="J247" s="600"/>
      <c r="K247" s="602">
        <v>0</v>
      </c>
      <c r="L247" s="621"/>
      <c r="M247" s="672">
        <v>1</v>
      </c>
      <c r="N247" s="669">
        <v>1</v>
      </c>
      <c r="O247" s="520">
        <f t="shared" si="37"/>
        <v>0</v>
      </c>
      <c r="P247" s="670"/>
      <c r="Q247" s="670"/>
      <c r="R247" s="261">
        <v>104346000</v>
      </c>
      <c r="S247" s="521">
        <f t="shared" si="38"/>
        <v>0</v>
      </c>
      <c r="T247" s="671"/>
      <c r="U247" s="671"/>
      <c r="V247" s="671"/>
      <c r="W247" s="671"/>
      <c r="X247" s="578"/>
      <c r="Y247" s="492">
        <f t="shared" si="39"/>
        <v>0</v>
      </c>
      <c r="Z247" s="151"/>
    </row>
    <row r="248" spans="2:26" x14ac:dyDescent="0.35">
      <c r="B248" s="518"/>
      <c r="E248" s="519"/>
      <c r="F248" s="381" t="s">
        <v>510</v>
      </c>
      <c r="G248" s="600"/>
      <c r="H248" s="578"/>
      <c r="I248" s="601"/>
      <c r="J248" s="600"/>
      <c r="K248" s="602">
        <v>0</v>
      </c>
      <c r="L248" s="621">
        <v>2</v>
      </c>
      <c r="M248" s="672">
        <v>1</v>
      </c>
      <c r="N248" s="669">
        <v>1</v>
      </c>
      <c r="O248" s="520">
        <f t="shared" si="37"/>
        <v>0</v>
      </c>
      <c r="P248" s="670"/>
      <c r="Q248" s="670"/>
      <c r="R248" s="261">
        <v>51809625</v>
      </c>
      <c r="S248" s="521">
        <f t="shared" si="38"/>
        <v>0</v>
      </c>
      <c r="T248" s="671"/>
      <c r="U248" s="671"/>
      <c r="V248" s="671"/>
      <c r="W248" s="671"/>
      <c r="X248" s="578"/>
      <c r="Y248" s="492">
        <f t="shared" si="39"/>
        <v>0</v>
      </c>
      <c r="Z248" s="151"/>
    </row>
    <row r="249" spans="2:26" x14ac:dyDescent="0.35">
      <c r="B249" s="518"/>
      <c r="E249" s="519"/>
      <c r="F249" s="381" t="s">
        <v>205</v>
      </c>
      <c r="G249" s="600" t="s">
        <v>195</v>
      </c>
      <c r="H249" s="578"/>
      <c r="I249" s="601"/>
      <c r="J249" s="600"/>
      <c r="K249" s="602">
        <v>0</v>
      </c>
      <c r="L249" s="621">
        <v>20</v>
      </c>
      <c r="M249" s="672">
        <v>6</v>
      </c>
      <c r="N249" s="669">
        <v>1</v>
      </c>
      <c r="O249" s="673">
        <f t="shared" si="37"/>
        <v>0</v>
      </c>
      <c r="P249" s="670"/>
      <c r="Q249" s="670"/>
      <c r="R249" s="261">
        <v>720338.0730320001</v>
      </c>
      <c r="S249" s="521">
        <f t="shared" si="38"/>
        <v>0</v>
      </c>
      <c r="T249" s="671"/>
      <c r="U249" s="671"/>
      <c r="V249" s="671"/>
      <c r="W249" s="671"/>
      <c r="X249" s="578"/>
      <c r="Y249" s="492">
        <f t="shared" si="39"/>
        <v>0</v>
      </c>
      <c r="Z249" s="151"/>
    </row>
    <row r="250" spans="2:26" x14ac:dyDescent="0.35">
      <c r="B250" s="518"/>
      <c r="E250" s="519"/>
      <c r="F250" s="381" t="s">
        <v>254</v>
      </c>
      <c r="G250" s="600" t="s">
        <v>195</v>
      </c>
      <c r="H250" s="578"/>
      <c r="I250" s="601"/>
      <c r="J250" s="600"/>
      <c r="K250" s="602">
        <v>0</v>
      </c>
      <c r="L250" s="621">
        <v>20</v>
      </c>
      <c r="M250" s="672">
        <v>7</v>
      </c>
      <c r="N250" s="669">
        <v>1</v>
      </c>
      <c r="O250" s="673">
        <f t="shared" si="37"/>
        <v>0</v>
      </c>
      <c r="P250" s="670"/>
      <c r="Q250" s="670"/>
      <c r="R250" s="261">
        <v>680210.06624999992</v>
      </c>
      <c r="S250" s="521">
        <f t="shared" si="38"/>
        <v>0</v>
      </c>
      <c r="T250" s="671"/>
      <c r="U250" s="671"/>
      <c r="V250" s="671"/>
      <c r="W250" s="671"/>
      <c r="X250" s="578"/>
      <c r="Y250" s="492">
        <f t="shared" si="39"/>
        <v>0</v>
      </c>
      <c r="Z250" s="151"/>
    </row>
    <row r="251" spans="2:26" x14ac:dyDescent="0.35">
      <c r="B251" s="518"/>
      <c r="D251" s="172" t="s">
        <v>511</v>
      </c>
      <c r="E251" s="506"/>
      <c r="F251" s="151" t="s">
        <v>177</v>
      </c>
      <c r="G251" s="316" t="s">
        <v>178</v>
      </c>
      <c r="H251" s="317"/>
      <c r="I251" s="318"/>
      <c r="J251" s="316"/>
      <c r="K251" s="502"/>
      <c r="L251" s="577"/>
      <c r="M251" s="258"/>
      <c r="N251" s="259">
        <v>1</v>
      </c>
      <c r="O251" s="317"/>
      <c r="P251" s="496"/>
      <c r="Q251" s="496"/>
      <c r="R251" s="496"/>
      <c r="S251" s="521"/>
      <c r="T251" s="517"/>
      <c r="U251" s="517"/>
      <c r="V251" s="517"/>
      <c r="W251" s="517"/>
      <c r="X251" s="578"/>
      <c r="Y251" s="151"/>
      <c r="Z251" s="151"/>
    </row>
    <row r="252" spans="2:26" x14ac:dyDescent="0.35">
      <c r="B252" s="518"/>
      <c r="E252" s="519"/>
      <c r="F252" s="151" t="s">
        <v>260</v>
      </c>
      <c r="G252" s="316" t="s">
        <v>253</v>
      </c>
      <c r="H252" s="317"/>
      <c r="I252" s="318"/>
      <c r="J252" s="316"/>
      <c r="K252" s="502"/>
      <c r="L252" s="577"/>
      <c r="M252" s="258"/>
      <c r="N252" s="259">
        <v>1</v>
      </c>
      <c r="O252" s="317"/>
      <c r="P252" s="496"/>
      <c r="Q252" s="496"/>
      <c r="R252" s="496"/>
      <c r="S252" s="521"/>
      <c r="T252" s="517"/>
      <c r="U252" s="517"/>
      <c r="V252" s="517"/>
      <c r="W252" s="517"/>
      <c r="X252" s="578"/>
      <c r="Y252" s="151"/>
      <c r="Z252" s="151"/>
    </row>
    <row r="253" spans="2:26" x14ac:dyDescent="0.35">
      <c r="B253" s="518"/>
      <c r="D253" s="580"/>
      <c r="E253" s="581"/>
      <c r="F253" s="151" t="s">
        <v>205</v>
      </c>
      <c r="G253" s="316" t="s">
        <v>195</v>
      </c>
      <c r="H253" s="317"/>
      <c r="I253" s="318"/>
      <c r="J253" s="316"/>
      <c r="K253" s="502"/>
      <c r="L253" s="577"/>
      <c r="M253" s="258">
        <v>10</v>
      </c>
      <c r="N253" s="259">
        <v>1</v>
      </c>
      <c r="O253" s="317"/>
      <c r="P253" s="496"/>
      <c r="Q253" s="496"/>
      <c r="R253" s="496"/>
      <c r="S253" s="521"/>
      <c r="T253" s="517"/>
      <c r="U253" s="517"/>
      <c r="V253" s="517"/>
      <c r="W253" s="517"/>
      <c r="X253" s="578"/>
      <c r="Y253" s="151"/>
      <c r="Z253" s="151"/>
    </row>
    <row r="254" spans="2:26" x14ac:dyDescent="0.35">
      <c r="B254" s="622"/>
      <c r="C254" s="173"/>
      <c r="D254" s="173" t="s">
        <v>106</v>
      </c>
      <c r="E254" s="623"/>
      <c r="F254" s="381" t="s">
        <v>177</v>
      </c>
      <c r="G254" s="600" t="s">
        <v>178</v>
      </c>
      <c r="H254" s="578"/>
      <c r="I254" s="601"/>
      <c r="J254" s="600"/>
      <c r="K254" s="602">
        <v>0</v>
      </c>
      <c r="L254" s="621">
        <v>11</v>
      </c>
      <c r="M254" s="669">
        <v>2</v>
      </c>
      <c r="N254" s="380">
        <v>1</v>
      </c>
      <c r="O254" s="520">
        <f t="shared" ref="O254:O260" si="40">K254*L254*M254*N254</f>
        <v>0</v>
      </c>
      <c r="P254" s="261">
        <v>140008</v>
      </c>
      <c r="Q254" s="496">
        <f t="shared" ref="Q254:Q260" si="41">P254*$O254</f>
        <v>0</v>
      </c>
      <c r="R254" s="261">
        <v>149108.51999999999</v>
      </c>
      <c r="S254" s="521">
        <f t="shared" ref="S254:S260" si="42">R254*$O254</f>
        <v>0</v>
      </c>
      <c r="T254" s="605"/>
      <c r="U254" s="605"/>
      <c r="V254" s="605"/>
      <c r="W254" s="605"/>
      <c r="X254" s="578"/>
      <c r="Y254" s="492">
        <f t="shared" ref="Y254:Y263" si="43">S254/192.08</f>
        <v>0</v>
      </c>
      <c r="Z254" s="151"/>
    </row>
    <row r="255" spans="2:26" x14ac:dyDescent="0.35">
      <c r="B255" s="622"/>
      <c r="C255" s="173"/>
      <c r="D255" s="173"/>
      <c r="E255" s="623"/>
      <c r="F255" s="381" t="s">
        <v>106</v>
      </c>
      <c r="G255" s="600" t="s">
        <v>253</v>
      </c>
      <c r="H255" s="578"/>
      <c r="I255" s="601"/>
      <c r="J255" s="600"/>
      <c r="K255" s="602">
        <v>0</v>
      </c>
      <c r="L255" s="621">
        <v>11</v>
      </c>
      <c r="M255" s="669">
        <v>6</v>
      </c>
      <c r="N255" s="380">
        <v>1</v>
      </c>
      <c r="O255" s="520">
        <f t="shared" si="40"/>
        <v>0</v>
      </c>
      <c r="P255" s="261">
        <v>400000</v>
      </c>
      <c r="Q255" s="496">
        <f t="shared" si="41"/>
        <v>0</v>
      </c>
      <c r="R255" s="261">
        <v>440000.00000000006</v>
      </c>
      <c r="S255" s="521">
        <f t="shared" si="42"/>
        <v>0</v>
      </c>
      <c r="T255" s="605"/>
      <c r="U255" s="605"/>
      <c r="V255" s="605"/>
      <c r="W255" s="605"/>
      <c r="X255" s="578"/>
      <c r="Y255" s="492">
        <f t="shared" si="43"/>
        <v>0</v>
      </c>
      <c r="Z255" s="151"/>
    </row>
    <row r="256" spans="2:26" x14ac:dyDescent="0.35">
      <c r="B256" s="622"/>
      <c r="C256" s="173"/>
      <c r="D256" s="598"/>
      <c r="E256" s="599"/>
      <c r="F256" s="381" t="s">
        <v>254</v>
      </c>
      <c r="G256" s="600" t="s">
        <v>195</v>
      </c>
      <c r="H256" s="578"/>
      <c r="I256" s="601"/>
      <c r="J256" s="600"/>
      <c r="K256" s="602">
        <v>0</v>
      </c>
      <c r="L256" s="621">
        <v>11</v>
      </c>
      <c r="M256" s="669">
        <v>5</v>
      </c>
      <c r="N256" s="380">
        <v>1</v>
      </c>
      <c r="O256" s="520">
        <f t="shared" si="40"/>
        <v>0</v>
      </c>
      <c r="P256" s="261">
        <v>647269.96874999988</v>
      </c>
      <c r="Q256" s="496">
        <f t="shared" si="41"/>
        <v>0</v>
      </c>
      <c r="R256" s="261">
        <v>680210.06624999992</v>
      </c>
      <c r="S256" s="521">
        <f t="shared" si="42"/>
        <v>0</v>
      </c>
      <c r="T256" s="605"/>
      <c r="U256" s="605"/>
      <c r="V256" s="605"/>
      <c r="W256" s="605"/>
      <c r="X256" s="578"/>
      <c r="Y256" s="492">
        <f t="shared" si="43"/>
        <v>0</v>
      </c>
      <c r="Z256" s="151"/>
    </row>
    <row r="257" spans="2:26" x14ac:dyDescent="0.35">
      <c r="B257" s="622"/>
      <c r="C257" s="173"/>
      <c r="D257" s="170" t="s">
        <v>108</v>
      </c>
      <c r="E257" s="646"/>
      <c r="F257" s="381" t="s">
        <v>177</v>
      </c>
      <c r="G257" s="600" t="s">
        <v>178</v>
      </c>
      <c r="H257" s="578"/>
      <c r="I257" s="601"/>
      <c r="J257" s="600"/>
      <c r="K257" s="602">
        <v>0</v>
      </c>
      <c r="L257" s="621">
        <v>5</v>
      </c>
      <c r="M257" s="669">
        <v>2</v>
      </c>
      <c r="N257" s="380">
        <v>1</v>
      </c>
      <c r="O257" s="520">
        <f t="shared" si="40"/>
        <v>0</v>
      </c>
      <c r="P257" s="261">
        <v>140008</v>
      </c>
      <c r="Q257" s="496">
        <f t="shared" si="41"/>
        <v>0</v>
      </c>
      <c r="R257" s="261">
        <v>149108.51999999999</v>
      </c>
      <c r="S257" s="521">
        <f t="shared" si="42"/>
        <v>0</v>
      </c>
      <c r="T257" s="605"/>
      <c r="U257" s="605"/>
      <c r="V257" s="605"/>
      <c r="W257" s="605"/>
      <c r="X257" s="578"/>
      <c r="Y257" s="492">
        <f t="shared" si="43"/>
        <v>0</v>
      </c>
      <c r="Z257" s="151"/>
    </row>
    <row r="258" spans="2:26" x14ac:dyDescent="0.35">
      <c r="B258" s="622"/>
      <c r="C258" s="173"/>
      <c r="D258" s="173"/>
      <c r="E258" s="623"/>
      <c r="F258" s="381" t="s">
        <v>512</v>
      </c>
      <c r="G258" s="600" t="s">
        <v>253</v>
      </c>
      <c r="H258" s="578"/>
      <c r="I258" s="601"/>
      <c r="J258" s="600"/>
      <c r="K258" s="602">
        <v>0</v>
      </c>
      <c r="L258" s="621">
        <v>5</v>
      </c>
      <c r="M258" s="669">
        <v>6</v>
      </c>
      <c r="N258" s="380">
        <v>1</v>
      </c>
      <c r="O258" s="520">
        <f t="shared" si="40"/>
        <v>0</v>
      </c>
      <c r="P258" s="261">
        <v>550000</v>
      </c>
      <c r="Q258" s="496">
        <f t="shared" si="41"/>
        <v>0</v>
      </c>
      <c r="R258" s="261">
        <v>605000</v>
      </c>
      <c r="S258" s="521">
        <f t="shared" si="42"/>
        <v>0</v>
      </c>
      <c r="T258" s="605"/>
      <c r="U258" s="605"/>
      <c r="V258" s="605"/>
      <c r="W258" s="605"/>
      <c r="X258" s="578"/>
      <c r="Y258" s="492">
        <f t="shared" si="43"/>
        <v>0</v>
      </c>
      <c r="Z258" s="151"/>
    </row>
    <row r="259" spans="2:26" x14ac:dyDescent="0.35">
      <c r="B259" s="622"/>
      <c r="C259" s="173"/>
      <c r="D259" s="598"/>
      <c r="E259" s="599"/>
      <c r="F259" s="381" t="s">
        <v>254</v>
      </c>
      <c r="G259" s="600" t="s">
        <v>195</v>
      </c>
      <c r="H259" s="578"/>
      <c r="I259" s="601"/>
      <c r="J259" s="600"/>
      <c r="K259" s="602">
        <v>0</v>
      </c>
      <c r="L259" s="621">
        <v>5</v>
      </c>
      <c r="M259" s="669">
        <v>5</v>
      </c>
      <c r="N259" s="380">
        <v>1</v>
      </c>
      <c r="O259" s="520">
        <f t="shared" si="40"/>
        <v>0</v>
      </c>
      <c r="P259" s="261">
        <v>647269.96874999988</v>
      </c>
      <c r="Q259" s="496">
        <f t="shared" si="41"/>
        <v>0</v>
      </c>
      <c r="R259" s="261">
        <v>680210.06624999992</v>
      </c>
      <c r="S259" s="521">
        <f t="shared" si="42"/>
        <v>0</v>
      </c>
      <c r="T259" s="605"/>
      <c r="U259" s="605"/>
      <c r="V259" s="605"/>
      <c r="W259" s="605"/>
      <c r="X259" s="578"/>
      <c r="Y259" s="492">
        <f t="shared" si="43"/>
        <v>0</v>
      </c>
      <c r="Z259" s="151"/>
    </row>
    <row r="260" spans="2:26" x14ac:dyDescent="0.35">
      <c r="B260" s="622"/>
      <c r="C260" s="173"/>
      <c r="D260" s="170" t="s">
        <v>110</v>
      </c>
      <c r="E260" s="646"/>
      <c r="F260" s="381" t="s">
        <v>177</v>
      </c>
      <c r="G260" s="600" t="s">
        <v>178</v>
      </c>
      <c r="H260" s="578"/>
      <c r="I260" s="601"/>
      <c r="J260" s="600" t="s">
        <v>253</v>
      </c>
      <c r="K260" s="602">
        <v>0</v>
      </c>
      <c r="L260" s="621">
        <v>3</v>
      </c>
      <c r="M260" s="669">
        <v>2</v>
      </c>
      <c r="N260" s="380">
        <v>1</v>
      </c>
      <c r="O260" s="520">
        <f t="shared" si="40"/>
        <v>0</v>
      </c>
      <c r="P260" s="261">
        <v>140008</v>
      </c>
      <c r="Q260" s="496">
        <f t="shared" si="41"/>
        <v>0</v>
      </c>
      <c r="R260" s="261">
        <v>149108.51999999999</v>
      </c>
      <c r="S260" s="521">
        <f t="shared" si="42"/>
        <v>0</v>
      </c>
      <c r="T260" s="605"/>
      <c r="U260" s="605"/>
      <c r="V260" s="605"/>
      <c r="W260" s="605"/>
      <c r="X260" s="578"/>
      <c r="Y260" s="492">
        <f t="shared" si="43"/>
        <v>0</v>
      </c>
      <c r="Z260" s="151"/>
    </row>
    <row r="261" spans="2:26" x14ac:dyDescent="0.35">
      <c r="B261" s="622"/>
      <c r="C261" s="173"/>
      <c r="D261" s="173"/>
      <c r="E261" s="623"/>
      <c r="F261" s="381" t="s">
        <v>513</v>
      </c>
      <c r="G261" s="600" t="s">
        <v>253</v>
      </c>
      <c r="H261" s="578"/>
      <c r="I261" s="601"/>
      <c r="J261" s="600" t="s">
        <v>253</v>
      </c>
      <c r="K261" s="602">
        <v>0</v>
      </c>
      <c r="L261" s="621">
        <v>3</v>
      </c>
      <c r="M261" s="669">
        <v>6</v>
      </c>
      <c r="N261" s="380">
        <v>1</v>
      </c>
      <c r="O261" s="520">
        <f>K261*L261*M261*N261</f>
        <v>0</v>
      </c>
      <c r="P261" s="261">
        <v>650000</v>
      </c>
      <c r="Q261" s="496">
        <f>P261*$O261</f>
        <v>0</v>
      </c>
      <c r="R261" s="261">
        <v>715000</v>
      </c>
      <c r="S261" s="521">
        <f>R261*$O261</f>
        <v>0</v>
      </c>
      <c r="T261" s="259">
        <v>716625</v>
      </c>
      <c r="U261" s="517">
        <f>$O261*T261</f>
        <v>0</v>
      </c>
      <c r="V261" s="259" t="e">
        <f>W261/O261</f>
        <v>#DIV/0!</v>
      </c>
      <c r="W261" s="267">
        <f>AVERAGEIF($P$3:$U$3,W$3,$P261:$U261)</f>
        <v>0</v>
      </c>
      <c r="X261" s="578"/>
      <c r="Y261" s="492">
        <f t="shared" si="43"/>
        <v>0</v>
      </c>
      <c r="Z261" s="151"/>
    </row>
    <row r="262" spans="2:26" x14ac:dyDescent="0.35">
      <c r="B262" s="597"/>
      <c r="C262" s="598"/>
      <c r="D262" s="598"/>
      <c r="E262" s="599"/>
      <c r="F262" s="381" t="s">
        <v>254</v>
      </c>
      <c r="G262" s="600" t="s">
        <v>195</v>
      </c>
      <c r="H262" s="578"/>
      <c r="I262" s="601"/>
      <c r="J262" s="600" t="s">
        <v>253</v>
      </c>
      <c r="K262" s="602">
        <v>0</v>
      </c>
      <c r="L262" s="621">
        <v>3</v>
      </c>
      <c r="M262" s="669">
        <v>5</v>
      </c>
      <c r="N262" s="380">
        <v>1</v>
      </c>
      <c r="O262" s="520">
        <f>K262*L262*M262*N262</f>
        <v>0</v>
      </c>
      <c r="P262" s="261">
        <v>647269.96874999988</v>
      </c>
      <c r="Q262" s="496">
        <f>P262*$O262</f>
        <v>0</v>
      </c>
      <c r="R262" s="261">
        <v>680210.06624999992</v>
      </c>
      <c r="S262" s="521">
        <f>R262*$O262</f>
        <v>0</v>
      </c>
      <c r="T262" s="259">
        <v>582130.09920000006</v>
      </c>
      <c r="U262" s="517">
        <f>$O262*T262</f>
        <v>0</v>
      </c>
      <c r="V262" s="259" t="e">
        <f>W262/O262</f>
        <v>#DIV/0!</v>
      </c>
      <c r="W262" s="267">
        <f>AVERAGEIF($P$3:$U$3,W$3,$P262:$U262)</f>
        <v>0</v>
      </c>
      <c r="X262" s="578"/>
      <c r="Y262" s="492">
        <f t="shared" si="43"/>
        <v>0</v>
      </c>
      <c r="Z262" s="151"/>
    </row>
    <row r="263" spans="2:26" x14ac:dyDescent="0.35">
      <c r="B263" s="606" t="s">
        <v>514</v>
      </c>
      <c r="C263" s="607"/>
      <c r="D263" s="607"/>
      <c r="E263" s="608"/>
      <c r="F263" s="609"/>
      <c r="G263" s="610"/>
      <c r="H263" s="611"/>
      <c r="I263" s="612"/>
      <c r="J263" s="610"/>
      <c r="K263" s="613"/>
      <c r="L263" s="614"/>
      <c r="M263" s="615"/>
      <c r="N263" s="616"/>
      <c r="O263" s="611"/>
      <c r="P263" s="617"/>
      <c r="Q263" s="617"/>
      <c r="R263" s="617"/>
      <c r="S263" s="618">
        <f>SUM(S238:S262)</f>
        <v>0</v>
      </c>
      <c r="T263" s="605"/>
      <c r="U263" s="605"/>
      <c r="V263" s="605"/>
      <c r="W263" s="605"/>
      <c r="X263" s="611"/>
      <c r="Y263" s="619">
        <f t="shared" si="43"/>
        <v>0</v>
      </c>
      <c r="Z263" s="648">
        <f>S263/3572533847.92*100</f>
        <v>0</v>
      </c>
    </row>
    <row r="264" spans="2:26" x14ac:dyDescent="0.35">
      <c r="B264" s="578"/>
      <c r="C264" s="601" t="s">
        <v>515</v>
      </c>
      <c r="D264" s="601"/>
      <c r="E264" s="642"/>
      <c r="F264" s="381"/>
      <c r="G264" s="600"/>
      <c r="H264" s="578"/>
      <c r="I264" s="601"/>
      <c r="J264" s="600"/>
      <c r="K264" s="575"/>
      <c r="L264" s="674"/>
      <c r="M264" s="379"/>
      <c r="N264" s="380"/>
      <c r="O264" s="578"/>
      <c r="P264" s="603"/>
      <c r="Q264" s="603"/>
      <c r="R264" s="603"/>
      <c r="S264" s="604"/>
      <c r="T264" s="605"/>
      <c r="U264" s="605"/>
      <c r="V264" s="605"/>
      <c r="W264" s="605"/>
      <c r="X264" s="578"/>
      <c r="Y264" s="151"/>
      <c r="Z264" s="151"/>
    </row>
    <row r="265" spans="2:26" x14ac:dyDescent="0.35">
      <c r="B265" s="518"/>
      <c r="D265" t="s">
        <v>516</v>
      </c>
      <c r="E265" s="519"/>
      <c r="F265" s="151" t="s">
        <v>177</v>
      </c>
      <c r="G265" s="316" t="s">
        <v>178</v>
      </c>
      <c r="H265" s="317"/>
      <c r="I265" s="318"/>
      <c r="J265" s="316"/>
      <c r="K265" s="602">
        <v>0.25</v>
      </c>
      <c r="L265" s="577"/>
      <c r="M265" s="258"/>
      <c r="N265" s="259">
        <v>1</v>
      </c>
      <c r="O265" s="317"/>
      <c r="P265" s="496"/>
      <c r="Q265" s="496"/>
      <c r="R265" s="496"/>
      <c r="S265" s="521"/>
      <c r="T265" s="517"/>
      <c r="U265" s="517"/>
      <c r="V265" s="517"/>
      <c r="W265" s="517"/>
      <c r="X265" s="578"/>
      <c r="Y265" s="151"/>
      <c r="Z265" s="151"/>
    </row>
    <row r="266" spans="2:26" x14ac:dyDescent="0.35">
      <c r="B266" s="518"/>
      <c r="E266" s="519"/>
      <c r="F266" s="151" t="s">
        <v>205</v>
      </c>
      <c r="G266" s="316" t="s">
        <v>195</v>
      </c>
      <c r="H266" s="317"/>
      <c r="I266" s="318"/>
      <c r="J266" s="316"/>
      <c r="K266" s="602">
        <v>0.25</v>
      </c>
      <c r="L266" s="577"/>
      <c r="M266" s="258">
        <f>1/100</f>
        <v>0.01</v>
      </c>
      <c r="N266" s="259">
        <v>1</v>
      </c>
      <c r="O266" s="317"/>
      <c r="P266" s="496"/>
      <c r="Q266" s="496"/>
      <c r="R266" s="496"/>
      <c r="S266" s="521"/>
      <c r="T266" s="517"/>
      <c r="U266" s="517"/>
      <c r="V266" s="517"/>
      <c r="W266" s="517"/>
      <c r="X266" s="578"/>
      <c r="Y266" s="151"/>
      <c r="Z266" s="151"/>
    </row>
    <row r="267" spans="2:26" x14ac:dyDescent="0.35">
      <c r="B267" s="518"/>
      <c r="D267" s="580"/>
      <c r="E267" s="581"/>
      <c r="F267" s="151"/>
      <c r="G267" s="316"/>
      <c r="H267" s="317"/>
      <c r="I267" s="318"/>
      <c r="J267" s="316"/>
      <c r="K267" s="502"/>
      <c r="L267" s="577"/>
      <c r="M267" s="258"/>
      <c r="N267" s="259">
        <v>1</v>
      </c>
      <c r="O267" s="317"/>
      <c r="P267" s="496"/>
      <c r="Q267" s="496"/>
      <c r="R267" s="496"/>
      <c r="S267" s="521"/>
      <c r="T267" s="517"/>
      <c r="U267" s="517"/>
      <c r="V267" s="517"/>
      <c r="W267" s="517"/>
      <c r="X267" s="578"/>
      <c r="Y267" s="151"/>
      <c r="Z267" s="151"/>
    </row>
    <row r="268" spans="2:26" x14ac:dyDescent="0.35">
      <c r="B268" s="518"/>
      <c r="D268" t="s">
        <v>517</v>
      </c>
      <c r="E268" s="519"/>
      <c r="F268" s="151" t="s">
        <v>177</v>
      </c>
      <c r="G268" s="316" t="s">
        <v>178</v>
      </c>
      <c r="H268" s="317"/>
      <c r="I268" s="318"/>
      <c r="J268" s="316"/>
      <c r="K268" s="602">
        <v>0.25</v>
      </c>
      <c r="L268" s="577"/>
      <c r="M268" s="258"/>
      <c r="N268" s="259">
        <v>1</v>
      </c>
      <c r="O268" s="317"/>
      <c r="P268" s="496"/>
      <c r="Q268" s="496"/>
      <c r="R268" s="496"/>
      <c r="S268" s="521"/>
      <c r="T268" s="517"/>
      <c r="U268" s="517"/>
      <c r="V268" s="517"/>
      <c r="W268" s="517"/>
      <c r="X268" s="578"/>
      <c r="Y268" s="151"/>
      <c r="Z268" s="151"/>
    </row>
    <row r="269" spans="2:26" x14ac:dyDescent="0.35">
      <c r="B269" s="518"/>
      <c r="E269" s="519"/>
      <c r="F269" s="151" t="s">
        <v>205</v>
      </c>
      <c r="G269" s="316" t="s">
        <v>195</v>
      </c>
      <c r="H269" s="317"/>
      <c r="I269" s="318"/>
      <c r="J269" s="316"/>
      <c r="K269" s="602">
        <v>0.25</v>
      </c>
      <c r="L269" s="577"/>
      <c r="M269" s="258">
        <f>1/30</f>
        <v>3.3333333333333333E-2</v>
      </c>
      <c r="N269" s="259">
        <v>1</v>
      </c>
      <c r="O269" s="317"/>
      <c r="P269" s="496"/>
      <c r="Q269" s="496"/>
      <c r="R269" s="496"/>
      <c r="S269" s="521"/>
      <c r="T269" s="517"/>
      <c r="U269" s="517"/>
      <c r="V269" s="517"/>
      <c r="W269" s="517"/>
      <c r="X269" s="578"/>
      <c r="Y269" s="151"/>
      <c r="Z269" s="151"/>
    </row>
    <row r="270" spans="2:26" x14ac:dyDescent="0.35">
      <c r="B270" s="518"/>
      <c r="D270" s="580"/>
      <c r="E270" s="581"/>
      <c r="F270" s="151"/>
      <c r="G270" s="316"/>
      <c r="H270" s="317"/>
      <c r="I270" s="318"/>
      <c r="J270" s="316"/>
      <c r="K270" s="502"/>
      <c r="L270" s="577"/>
      <c r="M270" s="258"/>
      <c r="N270" s="259">
        <v>1</v>
      </c>
      <c r="O270" s="317"/>
      <c r="P270" s="496"/>
      <c r="Q270" s="496"/>
      <c r="R270" s="496"/>
      <c r="S270" s="521"/>
      <c r="T270" s="517"/>
      <c r="U270" s="517"/>
      <c r="V270" s="517"/>
      <c r="W270" s="517"/>
      <c r="X270" s="578"/>
      <c r="Y270" s="151"/>
      <c r="Z270" s="151"/>
    </row>
    <row r="271" spans="2:26" x14ac:dyDescent="0.35">
      <c r="B271" s="518"/>
      <c r="D271" t="s">
        <v>518</v>
      </c>
      <c r="E271" s="519"/>
      <c r="F271" s="151" t="s">
        <v>177</v>
      </c>
      <c r="G271" s="316" t="s">
        <v>178</v>
      </c>
      <c r="H271" s="317"/>
      <c r="I271" s="318"/>
      <c r="J271" s="316"/>
      <c r="K271" s="602">
        <v>0.25</v>
      </c>
      <c r="L271" s="577"/>
      <c r="M271" s="258">
        <f>1/30</f>
        <v>3.3333333333333333E-2</v>
      </c>
      <c r="N271" s="259">
        <v>1</v>
      </c>
      <c r="O271" s="317"/>
      <c r="P271" s="496"/>
      <c r="Q271" s="496"/>
      <c r="R271" s="496"/>
      <c r="S271" s="521"/>
      <c r="T271" s="517"/>
      <c r="U271" s="517"/>
      <c r="V271" s="517"/>
      <c r="W271" s="517"/>
      <c r="X271" s="578"/>
      <c r="Y271" s="151"/>
      <c r="Z271" s="151"/>
    </row>
    <row r="272" spans="2:26" x14ac:dyDescent="0.35">
      <c r="B272" s="518"/>
      <c r="E272" s="519"/>
      <c r="F272" s="151" t="s">
        <v>205</v>
      </c>
      <c r="G272" s="316" t="s">
        <v>195</v>
      </c>
      <c r="H272" s="317"/>
      <c r="I272" s="318"/>
      <c r="J272" s="316"/>
      <c r="K272" s="602">
        <v>0.25</v>
      </c>
      <c r="L272" s="577"/>
      <c r="M272" s="258">
        <f>1/60</f>
        <v>1.6666666666666666E-2</v>
      </c>
      <c r="N272" s="259">
        <v>1</v>
      </c>
      <c r="O272" s="317"/>
      <c r="P272" s="496"/>
      <c r="Q272" s="496"/>
      <c r="R272" s="496"/>
      <c r="S272" s="521"/>
      <c r="T272" s="517"/>
      <c r="U272" s="517"/>
      <c r="V272" s="517"/>
      <c r="W272" s="517"/>
      <c r="X272" s="578"/>
      <c r="Y272" s="151"/>
      <c r="Z272" s="151"/>
    </row>
    <row r="273" spans="1:26" x14ac:dyDescent="0.35">
      <c r="B273" s="518"/>
      <c r="D273" s="580"/>
      <c r="E273" s="581"/>
      <c r="F273" s="151"/>
      <c r="G273" s="316"/>
      <c r="H273" s="317"/>
      <c r="I273" s="318"/>
      <c r="J273" s="316"/>
      <c r="K273" s="502"/>
      <c r="L273" s="577"/>
      <c r="M273" s="258"/>
      <c r="N273" s="259">
        <v>1</v>
      </c>
      <c r="O273" s="317"/>
      <c r="P273" s="496"/>
      <c r="Q273" s="496"/>
      <c r="R273" s="496"/>
      <c r="S273" s="521"/>
      <c r="T273" s="517"/>
      <c r="U273" s="517"/>
      <c r="V273" s="517"/>
      <c r="W273" s="517"/>
      <c r="X273" s="578"/>
      <c r="Y273" s="151"/>
      <c r="Z273" s="151"/>
    </row>
    <row r="274" spans="1:26" x14ac:dyDescent="0.35">
      <c r="B274" s="518"/>
      <c r="D274" t="s">
        <v>519</v>
      </c>
      <c r="E274" s="519"/>
      <c r="F274" s="151" t="s">
        <v>177</v>
      </c>
      <c r="G274" s="316" t="s">
        <v>178</v>
      </c>
      <c r="H274" s="317"/>
      <c r="I274" s="318"/>
      <c r="J274" s="316"/>
      <c r="K274" s="502"/>
      <c r="L274" s="577"/>
      <c r="M274" s="258"/>
      <c r="N274" s="259">
        <v>1</v>
      </c>
      <c r="O274" s="317"/>
      <c r="P274" s="496"/>
      <c r="Q274" s="496"/>
      <c r="R274" s="496"/>
      <c r="S274" s="521"/>
      <c r="T274" s="517"/>
      <c r="U274" s="517"/>
      <c r="V274" s="517"/>
      <c r="W274" s="517"/>
      <c r="X274" s="578"/>
      <c r="Y274" s="151"/>
      <c r="Z274" s="151"/>
    </row>
    <row r="275" spans="1:26" x14ac:dyDescent="0.35">
      <c r="B275" s="518"/>
      <c r="E275" s="519"/>
      <c r="F275" s="151" t="s">
        <v>282</v>
      </c>
      <c r="G275" s="316" t="s">
        <v>253</v>
      </c>
      <c r="H275" s="317"/>
      <c r="I275" s="318"/>
      <c r="J275" s="316"/>
      <c r="K275" s="502"/>
      <c r="L275" s="577"/>
      <c r="M275" s="258"/>
      <c r="N275" s="259">
        <v>1</v>
      </c>
      <c r="O275" s="317"/>
      <c r="P275" s="496"/>
      <c r="Q275" s="496"/>
      <c r="R275" s="496"/>
      <c r="S275" s="521"/>
      <c r="T275" s="517"/>
      <c r="U275" s="517"/>
      <c r="V275" s="517"/>
      <c r="W275" s="517"/>
      <c r="X275" s="578"/>
      <c r="Y275" s="151"/>
      <c r="Z275" s="151"/>
    </row>
    <row r="276" spans="1:26" x14ac:dyDescent="0.35">
      <c r="B276" s="518"/>
      <c r="E276" s="519"/>
      <c r="F276" s="151" t="s">
        <v>205</v>
      </c>
      <c r="G276" s="316" t="s">
        <v>195</v>
      </c>
      <c r="H276" s="317"/>
      <c r="I276" s="318"/>
      <c r="J276" s="316"/>
      <c r="K276" s="502"/>
      <c r="L276" s="577"/>
      <c r="M276" s="258"/>
      <c r="N276" s="259">
        <v>1</v>
      </c>
      <c r="O276" s="317"/>
      <c r="P276" s="496"/>
      <c r="Q276" s="496"/>
      <c r="R276" s="496"/>
      <c r="S276" s="521"/>
      <c r="T276" s="517"/>
      <c r="U276" s="517"/>
      <c r="V276" s="517"/>
      <c r="W276" s="517"/>
      <c r="X276" s="578"/>
      <c r="Y276" s="151"/>
      <c r="Z276" s="151"/>
    </row>
    <row r="277" spans="1:26" x14ac:dyDescent="0.35">
      <c r="B277" s="504"/>
      <c r="C277" s="172" t="s">
        <v>520</v>
      </c>
      <c r="D277" s="172"/>
      <c r="E277" s="506"/>
      <c r="F277" s="151" t="s">
        <v>177</v>
      </c>
      <c r="G277" s="316" t="s">
        <v>178</v>
      </c>
      <c r="H277" s="317"/>
      <c r="I277" s="318"/>
      <c r="J277" s="316"/>
      <c r="K277" s="502"/>
      <c r="L277" s="577"/>
      <c r="M277" s="258"/>
      <c r="N277" s="259">
        <v>1</v>
      </c>
      <c r="O277" s="317"/>
      <c r="P277" s="496"/>
      <c r="Q277" s="496"/>
      <c r="R277" s="496"/>
      <c r="S277" s="521"/>
      <c r="T277" s="517"/>
      <c r="U277" s="517"/>
      <c r="V277" s="517"/>
      <c r="W277" s="517"/>
      <c r="X277" s="578"/>
      <c r="Y277" s="151"/>
      <c r="Z277" s="151"/>
    </row>
    <row r="278" spans="1:26" x14ac:dyDescent="0.35">
      <c r="B278" s="518"/>
      <c r="E278" s="519"/>
      <c r="F278" s="151" t="s">
        <v>245</v>
      </c>
      <c r="G278" s="316" t="s">
        <v>195</v>
      </c>
      <c r="H278" s="317"/>
      <c r="I278" s="318"/>
      <c r="J278" s="316"/>
      <c r="K278" s="502"/>
      <c r="L278" s="577"/>
      <c r="M278" s="258">
        <f>2/1000</f>
        <v>2E-3</v>
      </c>
      <c r="N278" s="259">
        <v>1</v>
      </c>
      <c r="O278" s="317"/>
      <c r="P278" s="496"/>
      <c r="Q278" s="496"/>
      <c r="R278" s="496"/>
      <c r="S278" s="521"/>
      <c r="T278" s="517"/>
      <c r="U278" s="517"/>
      <c r="V278" s="517"/>
      <c r="W278" s="517"/>
      <c r="X278" s="578"/>
      <c r="Y278" s="151"/>
      <c r="Z278" s="151"/>
    </row>
    <row r="279" spans="1:26" x14ac:dyDescent="0.35">
      <c r="B279" s="518"/>
      <c r="E279" s="519"/>
      <c r="F279" s="675" t="s">
        <v>205</v>
      </c>
      <c r="G279" s="676" t="s">
        <v>195</v>
      </c>
      <c r="H279" s="504"/>
      <c r="I279" s="172"/>
      <c r="J279" s="676"/>
      <c r="K279" s="677"/>
      <c r="L279" s="678"/>
      <c r="M279" s="679"/>
      <c r="N279" s="322">
        <v>1</v>
      </c>
      <c r="O279" s="504"/>
      <c r="P279" s="432"/>
      <c r="Q279" s="432"/>
      <c r="R279" s="432"/>
      <c r="S279" s="680"/>
      <c r="T279" s="681"/>
      <c r="U279" s="681"/>
      <c r="V279" s="681"/>
      <c r="W279" s="681"/>
      <c r="X279" s="624"/>
      <c r="Y279" s="151"/>
      <c r="Z279" s="151"/>
    </row>
    <row r="280" spans="1:26" s="172" customFormat="1" x14ac:dyDescent="0.35">
      <c r="A280" s="519"/>
      <c r="B280" s="504"/>
      <c r="C280" s="172" t="s">
        <v>521</v>
      </c>
      <c r="E280" s="506"/>
      <c r="F280" s="151" t="s">
        <v>177</v>
      </c>
      <c r="G280" s="316" t="s">
        <v>178</v>
      </c>
      <c r="H280" s="317"/>
      <c r="I280" s="318"/>
      <c r="J280" s="316"/>
      <c r="K280" s="502"/>
      <c r="L280" s="577"/>
      <c r="M280" s="258"/>
      <c r="N280" s="259">
        <v>1</v>
      </c>
      <c r="O280" s="317"/>
      <c r="P280" s="496"/>
      <c r="Q280" s="496"/>
      <c r="R280" s="496"/>
      <c r="S280" s="521"/>
      <c r="T280" s="517"/>
      <c r="U280" s="517"/>
      <c r="V280" s="517"/>
      <c r="W280" s="517"/>
      <c r="X280" s="578"/>
      <c r="Y280" s="151"/>
      <c r="Z280" s="151"/>
    </row>
    <row r="281" spans="1:26" x14ac:dyDescent="0.35">
      <c r="B281" s="579"/>
      <c r="C281" s="580"/>
      <c r="D281" s="580"/>
      <c r="E281" s="581"/>
      <c r="F281" s="151"/>
      <c r="G281" s="316"/>
      <c r="H281" s="317"/>
      <c r="I281" s="318"/>
      <c r="J281" s="316"/>
      <c r="K281" s="502"/>
      <c r="L281" s="577"/>
      <c r="M281" s="258"/>
      <c r="N281" s="259">
        <v>1</v>
      </c>
      <c r="O281" s="317"/>
      <c r="P281" s="496"/>
      <c r="Q281" s="496"/>
      <c r="R281" s="496"/>
      <c r="S281" s="521"/>
      <c r="T281" s="517"/>
      <c r="U281" s="517"/>
      <c r="V281" s="517"/>
      <c r="W281" s="517"/>
      <c r="X281" s="578"/>
      <c r="Y281" s="151"/>
      <c r="Z281" s="151"/>
    </row>
    <row r="282" spans="1:26" x14ac:dyDescent="0.35">
      <c r="B282" s="518"/>
      <c r="C282" t="s">
        <v>522</v>
      </c>
      <c r="E282" s="519"/>
      <c r="F282" s="151" t="s">
        <v>177</v>
      </c>
      <c r="G282" s="316" t="s">
        <v>178</v>
      </c>
      <c r="H282" s="317"/>
      <c r="I282" s="318"/>
      <c r="J282" s="316"/>
      <c r="K282" s="502"/>
      <c r="L282" s="577"/>
      <c r="M282" s="258"/>
      <c r="N282" s="259">
        <v>1</v>
      </c>
      <c r="O282" s="317"/>
      <c r="P282" s="496"/>
      <c r="Q282" s="496"/>
      <c r="R282" s="496"/>
      <c r="S282" s="521"/>
      <c r="T282" s="517"/>
      <c r="U282" s="517"/>
      <c r="V282" s="517"/>
      <c r="W282" s="517"/>
      <c r="X282" s="578"/>
      <c r="Y282" s="151"/>
      <c r="Z282" s="151"/>
    </row>
    <row r="283" spans="1:26" x14ac:dyDescent="0.35">
      <c r="B283" s="518"/>
      <c r="E283" s="519"/>
      <c r="F283" s="151" t="s">
        <v>523</v>
      </c>
      <c r="G283" s="316" t="s">
        <v>253</v>
      </c>
      <c r="H283" s="317"/>
      <c r="I283" s="318"/>
      <c r="J283" s="316"/>
      <c r="K283" s="502"/>
      <c r="L283" s="577"/>
      <c r="M283" s="258"/>
      <c r="N283" s="259">
        <v>1</v>
      </c>
      <c r="O283" s="317"/>
      <c r="P283" s="496"/>
      <c r="Q283" s="496"/>
      <c r="R283" s="496"/>
      <c r="S283" s="521"/>
      <c r="T283" s="517"/>
      <c r="U283" s="517"/>
      <c r="V283" s="517"/>
      <c r="W283" s="517"/>
      <c r="X283" s="578"/>
      <c r="Y283" s="151"/>
      <c r="Z283" s="151"/>
    </row>
    <row r="284" spans="1:26" x14ac:dyDescent="0.35">
      <c r="B284" s="579"/>
      <c r="C284" s="580"/>
      <c r="D284" s="580"/>
      <c r="E284" s="581"/>
      <c r="F284" s="151"/>
      <c r="G284" s="316"/>
      <c r="H284" s="317"/>
      <c r="I284" s="318"/>
      <c r="J284" s="316"/>
      <c r="K284" s="502"/>
      <c r="L284" s="577"/>
      <c r="M284" s="258"/>
      <c r="N284" s="259">
        <v>1</v>
      </c>
      <c r="O284" s="317"/>
      <c r="P284" s="496"/>
      <c r="Q284" s="496"/>
      <c r="R284" s="496"/>
      <c r="S284" s="521"/>
      <c r="T284" s="517"/>
      <c r="U284" s="517"/>
      <c r="V284" s="517"/>
      <c r="W284" s="517"/>
      <c r="X284" s="578"/>
      <c r="Y284" s="151"/>
      <c r="Z284" s="151"/>
    </row>
    <row r="285" spans="1:26" x14ac:dyDescent="0.35">
      <c r="B285" s="660" t="s">
        <v>524</v>
      </c>
      <c r="C285" s="661"/>
      <c r="D285" s="661"/>
      <c r="E285" s="662"/>
      <c r="F285" s="532"/>
      <c r="G285" s="587"/>
      <c r="H285" s="588"/>
      <c r="I285" s="589"/>
      <c r="J285" s="587"/>
      <c r="K285" s="590"/>
      <c r="L285" s="591"/>
      <c r="M285" s="543"/>
      <c r="N285" s="544"/>
      <c r="O285" s="588"/>
      <c r="P285" s="592"/>
      <c r="Q285" s="592"/>
      <c r="R285" s="592"/>
      <c r="S285" s="663">
        <f>S263+S236</f>
        <v>0</v>
      </c>
      <c r="T285" s="594"/>
      <c r="U285" s="594"/>
      <c r="V285" s="594"/>
      <c r="W285" s="594"/>
      <c r="X285" s="588"/>
      <c r="Y285" s="426">
        <f>S285/192.08</f>
        <v>0</v>
      </c>
      <c r="Z285" s="664">
        <f>S285/3572533847.92*100</f>
        <v>0</v>
      </c>
    </row>
    <row r="286" spans="1:26" x14ac:dyDescent="0.35">
      <c r="B286" s="595" t="s">
        <v>284</v>
      </c>
      <c r="C286" s="318"/>
      <c r="D286" s="318"/>
      <c r="E286" s="582"/>
      <c r="F286" s="151"/>
      <c r="G286" s="316"/>
      <c r="H286" s="317"/>
      <c r="I286" s="318"/>
      <c r="J286" s="316"/>
      <c r="K286" s="502"/>
      <c r="L286" s="577"/>
      <c r="M286" s="258"/>
      <c r="N286" s="259"/>
      <c r="O286" s="317"/>
      <c r="P286" s="496"/>
      <c r="Q286" s="496"/>
      <c r="R286" s="496"/>
      <c r="S286" s="521"/>
      <c r="T286" s="517"/>
      <c r="U286" s="517"/>
      <c r="V286" s="517"/>
      <c r="W286" s="517"/>
      <c r="X286" s="578"/>
      <c r="Y286" s="151"/>
      <c r="Z286" s="151"/>
    </row>
    <row r="287" spans="1:26" x14ac:dyDescent="0.35">
      <c r="B287" s="518"/>
      <c r="C287" t="s">
        <v>113</v>
      </c>
      <c r="E287" s="519"/>
      <c r="F287" s="151" t="s">
        <v>177</v>
      </c>
      <c r="G287" s="316" t="s">
        <v>178</v>
      </c>
      <c r="H287" s="317"/>
      <c r="I287" s="318"/>
      <c r="J287" s="316"/>
      <c r="K287" s="433">
        <v>0.05</v>
      </c>
      <c r="L287" s="682">
        <f>45.36*136</f>
        <v>6168.96</v>
      </c>
      <c r="M287" s="258">
        <f>1/3</f>
        <v>0.33333333333333331</v>
      </c>
      <c r="N287" s="259">
        <v>1</v>
      </c>
      <c r="O287" s="520">
        <f>K287*L287*M287*N287</f>
        <v>102.816</v>
      </c>
      <c r="P287" s="261">
        <v>140008</v>
      </c>
      <c r="Q287" s="496">
        <f>P287*$O287</f>
        <v>14395062.528000001</v>
      </c>
      <c r="R287" s="261">
        <v>158800.57379999998</v>
      </c>
      <c r="S287" s="521">
        <f>R287*$O287</f>
        <v>16327239.795820799</v>
      </c>
      <c r="T287" s="517"/>
      <c r="U287" s="517"/>
      <c r="V287" s="517"/>
      <c r="W287" s="517"/>
      <c r="X287" s="578"/>
      <c r="Y287" s="492">
        <f>S287/($D$1*K287)</f>
        <v>7198959.3455999987</v>
      </c>
      <c r="Z287" s="151"/>
    </row>
    <row r="288" spans="1:26" x14ac:dyDescent="0.35">
      <c r="B288" s="518"/>
      <c r="D288" s="580"/>
      <c r="E288" s="581"/>
      <c r="F288" s="151"/>
      <c r="G288" s="316"/>
      <c r="H288" s="317"/>
      <c r="I288" s="318"/>
      <c r="J288" s="316"/>
      <c r="K288" s="502"/>
      <c r="L288" s="683"/>
      <c r="M288" s="258"/>
      <c r="N288" s="259">
        <v>1</v>
      </c>
      <c r="O288" s="317"/>
      <c r="P288" s="496"/>
      <c r="Q288" s="496"/>
      <c r="R288" s="496"/>
      <c r="S288" s="521"/>
      <c r="T288" s="517"/>
      <c r="U288" s="517"/>
      <c r="V288" s="517"/>
      <c r="W288" s="517"/>
      <c r="X288" s="578"/>
      <c r="Y288" s="151"/>
      <c r="Z288" s="151"/>
    </row>
    <row r="289" spans="2:26" x14ac:dyDescent="0.35">
      <c r="B289" s="518"/>
      <c r="D289" t="s">
        <v>115</v>
      </c>
      <c r="E289" s="519"/>
      <c r="F289" s="151" t="s">
        <v>177</v>
      </c>
      <c r="G289" s="316" t="s">
        <v>178</v>
      </c>
      <c r="H289" s="317"/>
      <c r="I289" s="318"/>
      <c r="J289" s="316"/>
      <c r="K289" s="433">
        <v>0.05</v>
      </c>
      <c r="L289" s="682">
        <f>45.36*136</f>
        <v>6168.96</v>
      </c>
      <c r="M289" s="258">
        <f>1/3</f>
        <v>0.33333333333333331</v>
      </c>
      <c r="N289" s="259">
        <v>1</v>
      </c>
      <c r="O289" s="520">
        <f>K289*L289*M289*N289</f>
        <v>102.816</v>
      </c>
      <c r="P289" s="261">
        <v>140008</v>
      </c>
      <c r="Q289" s="496">
        <f>P289*$O289</f>
        <v>14395062.528000001</v>
      </c>
      <c r="R289" s="261">
        <v>158800.57379999998</v>
      </c>
      <c r="S289" s="521">
        <f>R289*$O289</f>
        <v>16327239.795820799</v>
      </c>
      <c r="T289" s="517"/>
      <c r="U289" s="517"/>
      <c r="V289" s="517"/>
      <c r="W289" s="517"/>
      <c r="X289" s="578"/>
      <c r="Y289" s="492">
        <f>S289/($D$1*K289)</f>
        <v>7198959.3455999987</v>
      </c>
      <c r="Z289" s="151"/>
    </row>
    <row r="290" spans="2:26" x14ac:dyDescent="0.35">
      <c r="B290" s="579"/>
      <c r="C290" s="580"/>
      <c r="D290" s="580"/>
      <c r="E290" s="581"/>
      <c r="F290" s="151"/>
      <c r="G290" s="316"/>
      <c r="H290" s="317"/>
      <c r="I290" s="318"/>
      <c r="J290" s="316"/>
      <c r="K290" s="502"/>
      <c r="L290" s="577"/>
      <c r="M290" s="258"/>
      <c r="N290" s="259">
        <v>1</v>
      </c>
      <c r="O290" s="317"/>
      <c r="P290" s="496"/>
      <c r="Q290" s="496"/>
      <c r="R290" s="496"/>
      <c r="S290" s="521"/>
      <c r="T290" s="517"/>
      <c r="U290" s="517"/>
      <c r="V290" s="517"/>
      <c r="W290" s="517"/>
      <c r="X290" s="578"/>
      <c r="Y290" s="151"/>
      <c r="Z290" s="151"/>
    </row>
    <row r="291" spans="2:26" x14ac:dyDescent="0.35">
      <c r="B291" s="518"/>
      <c r="C291" t="s">
        <v>286</v>
      </c>
      <c r="E291" s="519"/>
      <c r="F291" s="151" t="s">
        <v>177</v>
      </c>
      <c r="G291" s="316" t="s">
        <v>178</v>
      </c>
      <c r="H291" s="317"/>
      <c r="I291" s="318"/>
      <c r="J291" s="316"/>
      <c r="K291" s="502"/>
      <c r="L291" s="577"/>
      <c r="M291" s="258">
        <f>1/3</f>
        <v>0.33333333333333331</v>
      </c>
      <c r="N291" s="259">
        <v>1</v>
      </c>
      <c r="O291" s="317"/>
      <c r="P291" s="496"/>
      <c r="Q291" s="496"/>
      <c r="R291" s="496"/>
      <c r="S291" s="521"/>
      <c r="T291" s="517"/>
      <c r="U291" s="517"/>
      <c r="V291" s="517"/>
      <c r="W291" s="517"/>
      <c r="X291" s="578"/>
      <c r="Y291" s="151"/>
      <c r="Z291" s="151"/>
    </row>
    <row r="292" spans="2:26" x14ac:dyDescent="0.35">
      <c r="B292" s="579"/>
      <c r="C292" s="580"/>
      <c r="D292" s="580"/>
      <c r="E292" s="581"/>
      <c r="F292" s="151"/>
      <c r="G292" s="316"/>
      <c r="H292" s="317"/>
      <c r="I292" s="318"/>
      <c r="J292" s="316"/>
      <c r="K292" s="502"/>
      <c r="L292" s="577"/>
      <c r="M292" s="258"/>
      <c r="N292" s="259">
        <v>1</v>
      </c>
      <c r="O292" s="317"/>
      <c r="P292" s="496"/>
      <c r="Q292" s="496"/>
      <c r="R292" s="496"/>
      <c r="S292" s="521"/>
      <c r="T292" s="517"/>
      <c r="U292" s="517"/>
      <c r="V292" s="517"/>
      <c r="W292" s="517"/>
      <c r="X292" s="578"/>
      <c r="Y292" s="151"/>
      <c r="Z292" s="151"/>
    </row>
    <row r="293" spans="2:26" x14ac:dyDescent="0.35">
      <c r="B293" s="518"/>
      <c r="C293" t="s">
        <v>525</v>
      </c>
      <c r="E293" s="519"/>
      <c r="F293" s="151" t="s">
        <v>177</v>
      </c>
      <c r="G293" s="316" t="s">
        <v>178</v>
      </c>
      <c r="H293" s="317"/>
      <c r="I293" s="318"/>
      <c r="J293" s="316"/>
      <c r="K293" s="502"/>
      <c r="L293" s="577"/>
      <c r="M293" s="258"/>
      <c r="N293" s="259">
        <v>1</v>
      </c>
      <c r="O293" s="317"/>
      <c r="P293" s="496"/>
      <c r="Q293" s="496"/>
      <c r="R293" s="496"/>
      <c r="S293" s="521"/>
      <c r="T293" s="517"/>
      <c r="U293" s="517"/>
      <c r="V293" s="517"/>
      <c r="W293" s="517"/>
      <c r="X293" s="578"/>
      <c r="Y293" s="151"/>
      <c r="Z293" s="151"/>
    </row>
    <row r="294" spans="2:26" x14ac:dyDescent="0.35">
      <c r="B294" s="579"/>
      <c r="C294" s="580"/>
      <c r="D294" s="580"/>
      <c r="E294" s="581"/>
      <c r="F294" s="151"/>
      <c r="G294" s="316"/>
      <c r="H294" s="317"/>
      <c r="I294" s="318"/>
      <c r="J294" s="316"/>
      <c r="K294" s="502"/>
      <c r="L294" s="577"/>
      <c r="M294" s="258"/>
      <c r="N294" s="259">
        <v>1</v>
      </c>
      <c r="O294" s="317"/>
      <c r="P294" s="496"/>
      <c r="Q294" s="496"/>
      <c r="R294" s="496"/>
      <c r="S294" s="521"/>
      <c r="T294" s="517"/>
      <c r="U294" s="517"/>
      <c r="V294" s="517"/>
      <c r="W294" s="517"/>
      <c r="X294" s="578"/>
      <c r="Y294" s="151"/>
      <c r="Z294" s="151"/>
    </row>
    <row r="295" spans="2:26" x14ac:dyDescent="0.35">
      <c r="B295" s="660" t="s">
        <v>526</v>
      </c>
      <c r="C295" s="661"/>
      <c r="D295" s="661"/>
      <c r="E295" s="662"/>
      <c r="F295" s="532"/>
      <c r="G295" s="587"/>
      <c r="H295" s="588"/>
      <c r="I295" s="589"/>
      <c r="J295" s="587"/>
      <c r="K295" s="590"/>
      <c r="L295" s="591"/>
      <c r="M295" s="543"/>
      <c r="N295" s="544"/>
      <c r="O295" s="588"/>
      <c r="P295" s="592"/>
      <c r="Q295" s="592"/>
      <c r="R295" s="592"/>
      <c r="S295" s="663">
        <f>SUM(S287:S294)</f>
        <v>32654479.591641597</v>
      </c>
      <c r="T295" s="594"/>
      <c r="U295" s="594"/>
      <c r="V295" s="594"/>
      <c r="W295" s="594"/>
      <c r="X295" s="588"/>
      <c r="Y295" s="426">
        <f>S295/(D1*0.05)</f>
        <v>14397918.691199997</v>
      </c>
      <c r="Z295" s="664">
        <f>S295/$S$415*100</f>
        <v>6.5203107240422247</v>
      </c>
    </row>
    <row r="296" spans="2:26" x14ac:dyDescent="0.35">
      <c r="B296" s="595" t="s">
        <v>527</v>
      </c>
      <c r="C296" s="318"/>
      <c r="D296" s="318"/>
      <c r="E296" s="582"/>
      <c r="F296" s="151"/>
      <c r="G296" s="316"/>
      <c r="H296" s="317"/>
      <c r="I296" s="318"/>
      <c r="J296" s="316"/>
      <c r="K296" s="502"/>
      <c r="L296" s="577"/>
      <c r="M296" s="258"/>
      <c r="N296" s="259"/>
      <c r="O296" s="317"/>
      <c r="P296" s="496"/>
      <c r="Q296" s="496"/>
      <c r="R296" s="496"/>
      <c r="S296" s="521"/>
      <c r="T296" s="517"/>
      <c r="U296" s="517"/>
      <c r="V296" s="517"/>
      <c r="W296" s="517"/>
      <c r="X296" s="578"/>
      <c r="Y296" s="151"/>
      <c r="Z296" s="151"/>
    </row>
    <row r="297" spans="2:26" x14ac:dyDescent="0.35">
      <c r="B297" s="518"/>
      <c r="C297" t="s">
        <v>118</v>
      </c>
      <c r="E297" s="519"/>
      <c r="F297" s="151" t="s">
        <v>177</v>
      </c>
      <c r="G297" s="316" t="s">
        <v>178</v>
      </c>
      <c r="H297" s="317"/>
      <c r="I297" s="318"/>
      <c r="J297" s="316" t="s">
        <v>179</v>
      </c>
      <c r="K297" s="602">
        <v>1</v>
      </c>
      <c r="L297" s="577">
        <v>45.36</v>
      </c>
      <c r="M297" s="258">
        <v>0.5</v>
      </c>
      <c r="N297" s="259">
        <v>3</v>
      </c>
      <c r="O297" s="520">
        <f>K297*L297*M297*N297</f>
        <v>68.039999999999992</v>
      </c>
      <c r="P297" s="261">
        <v>140008</v>
      </c>
      <c r="Q297" s="496">
        <f>P297*$O297</f>
        <v>9526144.3199999984</v>
      </c>
      <c r="R297" s="261">
        <v>158800.57379999998</v>
      </c>
      <c r="S297" s="521">
        <f>R297*$O297</f>
        <v>10804791.041351998</v>
      </c>
      <c r="T297" s="259">
        <v>163305.33120000002</v>
      </c>
      <c r="U297" s="517">
        <f>$O297*T297</f>
        <v>11111294.734848</v>
      </c>
      <c r="V297" s="259">
        <f>W297/O297</f>
        <v>154037.96833333335</v>
      </c>
      <c r="W297" s="267">
        <f>AVERAGEIF($P$3:$U$3,W$3,$P297:$U297)</f>
        <v>10480743.3654</v>
      </c>
      <c r="X297" s="578"/>
      <c r="Y297" s="492">
        <f>S297/$D$1</f>
        <v>238200.86069999996</v>
      </c>
      <c r="Z297" s="151"/>
    </row>
    <row r="298" spans="2:26" x14ac:dyDescent="0.35">
      <c r="B298" s="518"/>
      <c r="E298" s="519"/>
      <c r="F298" s="151" t="s">
        <v>391</v>
      </c>
      <c r="G298" s="316" t="s">
        <v>181</v>
      </c>
      <c r="H298" s="317"/>
      <c r="I298" s="318"/>
      <c r="J298" s="316" t="s">
        <v>179</v>
      </c>
      <c r="K298" s="602">
        <v>1</v>
      </c>
      <c r="L298" s="577">
        <v>45.36</v>
      </c>
      <c r="M298" s="258">
        <v>0.186</v>
      </c>
      <c r="N298" s="259">
        <v>3</v>
      </c>
      <c r="O298" s="520">
        <f>K298*L298*M298*N298</f>
        <v>25.310879999999997</v>
      </c>
      <c r="P298" s="261">
        <v>35251.199999999997</v>
      </c>
      <c r="Q298" s="496">
        <f>P298*$O298</f>
        <v>892238.89305599988</v>
      </c>
      <c r="R298" s="261">
        <v>35985.599999999999</v>
      </c>
      <c r="S298" s="521">
        <f>R298*$O298</f>
        <v>910827.20332799992</v>
      </c>
      <c r="T298" s="259">
        <v>40359.098880000005</v>
      </c>
      <c r="U298" s="517">
        <f>$O298*T298</f>
        <v>1021524.3086598144</v>
      </c>
      <c r="V298" s="259">
        <f>W298/O298</f>
        <v>37198.632960000003</v>
      </c>
      <c r="W298" s="267">
        <f>AVERAGEIF($P$3:$U$3,W$3,$P298:$U298)</f>
        <v>941530.13501460478</v>
      </c>
      <c r="X298" s="578" t="s">
        <v>528</v>
      </c>
      <c r="Y298" s="492">
        <f>S298/$D$1</f>
        <v>20079.964799999998</v>
      </c>
      <c r="Z298" s="151"/>
    </row>
    <row r="299" spans="2:26" x14ac:dyDescent="0.35">
      <c r="B299" s="579"/>
      <c r="C299" s="580"/>
      <c r="D299" s="580"/>
      <c r="E299" s="581"/>
      <c r="F299" s="151"/>
      <c r="G299" s="316"/>
      <c r="H299" s="317"/>
      <c r="I299" s="318"/>
      <c r="J299" s="316"/>
      <c r="K299" s="502"/>
      <c r="L299" s="577"/>
      <c r="M299" s="258"/>
      <c r="N299" s="259"/>
      <c r="O299" s="317"/>
      <c r="P299" s="496"/>
      <c r="Q299" s="496"/>
      <c r="R299" s="496"/>
      <c r="S299" s="521"/>
      <c r="T299" s="517"/>
      <c r="U299" s="517"/>
      <c r="V299" s="517"/>
      <c r="W299" s="517"/>
      <c r="X299" s="578"/>
      <c r="Y299" s="151"/>
      <c r="Z299" s="151"/>
    </row>
    <row r="300" spans="2:26" x14ac:dyDescent="0.35">
      <c r="B300" s="606" t="s">
        <v>529</v>
      </c>
      <c r="C300" s="607"/>
      <c r="D300" s="607"/>
      <c r="E300" s="608"/>
      <c r="F300" s="609"/>
      <c r="G300" s="610"/>
      <c r="H300" s="611"/>
      <c r="I300" s="612"/>
      <c r="J300" s="610"/>
      <c r="K300" s="613"/>
      <c r="L300" s="614"/>
      <c r="M300" s="615"/>
      <c r="N300" s="616"/>
      <c r="O300" s="611"/>
      <c r="P300" s="617"/>
      <c r="Q300" s="617"/>
      <c r="R300" s="617"/>
      <c r="S300" s="618">
        <f>SUM(S297:S299)</f>
        <v>11715618.244679999</v>
      </c>
      <c r="T300" s="605"/>
      <c r="U300" s="605"/>
      <c r="V300" s="605"/>
      <c r="W300" s="605"/>
      <c r="X300" s="611"/>
      <c r="Y300" s="619">
        <f>S300/D1</f>
        <v>258280.82549999998</v>
      </c>
      <c r="Z300" s="648">
        <f>S300/$S$415*100</f>
        <v>2.3393259434801945</v>
      </c>
    </row>
    <row r="301" spans="2:26" x14ac:dyDescent="0.35">
      <c r="B301" s="518"/>
      <c r="C301" t="s">
        <v>530</v>
      </c>
      <c r="E301" s="519"/>
      <c r="F301" s="151" t="s">
        <v>177</v>
      </c>
      <c r="G301" s="316" t="s">
        <v>178</v>
      </c>
      <c r="H301" s="317"/>
      <c r="I301" s="318"/>
      <c r="J301" s="316"/>
      <c r="K301" s="502"/>
      <c r="L301" s="577"/>
      <c r="M301" s="258"/>
      <c r="N301" s="259"/>
      <c r="O301" s="317"/>
      <c r="P301" s="496"/>
      <c r="Q301" s="496"/>
      <c r="R301" s="496"/>
      <c r="S301" s="521"/>
      <c r="T301" s="517"/>
      <c r="U301" s="517"/>
      <c r="V301" s="517"/>
      <c r="W301" s="517"/>
      <c r="X301" s="578"/>
      <c r="Y301" s="151"/>
      <c r="Z301" s="151"/>
    </row>
    <row r="302" spans="2:26" x14ac:dyDescent="0.35">
      <c r="B302" s="579"/>
      <c r="C302" s="580"/>
      <c r="D302" s="580"/>
      <c r="E302" s="581"/>
      <c r="F302" s="151"/>
      <c r="G302" s="316"/>
      <c r="H302" s="317"/>
      <c r="I302" s="318"/>
      <c r="J302" s="316"/>
      <c r="K302" s="502"/>
      <c r="L302" s="577"/>
      <c r="M302" s="258"/>
      <c r="N302" s="259"/>
      <c r="O302" s="317"/>
      <c r="P302" s="496"/>
      <c r="Q302" s="496"/>
      <c r="R302" s="496"/>
      <c r="S302" s="521"/>
      <c r="T302" s="517"/>
      <c r="U302" s="517"/>
      <c r="V302" s="517"/>
      <c r="W302" s="517"/>
      <c r="X302" s="578"/>
      <c r="Y302" s="151"/>
      <c r="Z302" s="151"/>
    </row>
    <row r="303" spans="2:26" x14ac:dyDescent="0.35">
      <c r="B303" s="518"/>
      <c r="C303" t="s">
        <v>120</v>
      </c>
      <c r="E303" s="519"/>
      <c r="F303" s="151" t="s">
        <v>177</v>
      </c>
      <c r="G303" s="316" t="s">
        <v>178</v>
      </c>
      <c r="H303" s="317"/>
      <c r="I303" s="318"/>
      <c r="J303" s="316" t="s">
        <v>179</v>
      </c>
      <c r="K303" s="602">
        <v>0.1</v>
      </c>
      <c r="L303" s="577">
        <v>45.36</v>
      </c>
      <c r="M303" s="379">
        <v>0.1</v>
      </c>
      <c r="N303" s="259">
        <v>6</v>
      </c>
      <c r="O303" s="520">
        <f>K303*L303*M303*N303</f>
        <v>2.7216000000000005</v>
      </c>
      <c r="P303" s="261">
        <v>140008</v>
      </c>
      <c r="Q303" s="496">
        <f>P303*$O303</f>
        <v>381045.77280000009</v>
      </c>
      <c r="R303" s="261">
        <v>158800.57379999998</v>
      </c>
      <c r="S303" s="521">
        <f>R303*$O303</f>
        <v>432191.64165408001</v>
      </c>
      <c r="T303" s="259">
        <v>163305.33120000002</v>
      </c>
      <c r="U303" s="517">
        <f>$O303*T303</f>
        <v>444451.7893939201</v>
      </c>
      <c r="V303" s="259">
        <f>W303/O303</f>
        <v>154037.96833333332</v>
      </c>
      <c r="W303" s="267">
        <f>AVERAGEIF($P$3:$U$3,W$3,$P303:$U303)</f>
        <v>419229.73461600003</v>
      </c>
      <c r="X303" s="578"/>
      <c r="Y303" s="492">
        <f t="shared" ref="Y303:Y311" si="44">S303/$D$1</f>
        <v>9528.0344280000008</v>
      </c>
      <c r="Z303" s="151"/>
    </row>
    <row r="304" spans="2:26" x14ac:dyDescent="0.35">
      <c r="B304" s="518"/>
      <c r="E304" s="519"/>
      <c r="F304" s="151" t="s">
        <v>388</v>
      </c>
      <c r="G304" s="316" t="s">
        <v>222</v>
      </c>
      <c r="H304" s="317"/>
      <c r="I304" s="318"/>
      <c r="J304" s="316" t="s">
        <v>179</v>
      </c>
      <c r="K304" s="602">
        <v>0.1</v>
      </c>
      <c r="L304" s="577">
        <v>45.36</v>
      </c>
      <c r="M304" s="379">
        <v>0.1</v>
      </c>
      <c r="N304" s="259">
        <v>1</v>
      </c>
      <c r="O304" s="520">
        <f>K304*L304*M304*N304</f>
        <v>0.45360000000000006</v>
      </c>
      <c r="P304" s="261">
        <v>107100</v>
      </c>
      <c r="Q304" s="496">
        <f>P304*$O304</f>
        <v>48580.560000000005</v>
      </c>
      <c r="R304" s="261">
        <v>118077.75</v>
      </c>
      <c r="S304" s="521">
        <f t="shared" ref="S304:S311" si="45">R304*$O304</f>
        <v>53560.067400000007</v>
      </c>
      <c r="T304" s="259">
        <v>122618.79000000001</v>
      </c>
      <c r="U304" s="517">
        <f>$O304*T304</f>
        <v>55619.883144000014</v>
      </c>
      <c r="V304" s="259">
        <f>W304/O304</f>
        <v>115932.18</v>
      </c>
      <c r="W304" s="267">
        <f>AVERAGEIF($P$3:$U$3,W$3,$P304:$U304)</f>
        <v>52586.836848000006</v>
      </c>
      <c r="X304" s="578"/>
      <c r="Y304" s="492">
        <f t="shared" si="44"/>
        <v>1180.7775000000001</v>
      </c>
      <c r="Z304" s="151"/>
    </row>
    <row r="305" spans="2:28" x14ac:dyDescent="0.35">
      <c r="B305" s="518"/>
      <c r="E305" s="519"/>
      <c r="F305" s="151" t="s">
        <v>226</v>
      </c>
      <c r="G305" s="316" t="s">
        <v>222</v>
      </c>
      <c r="H305" s="317"/>
      <c r="I305" s="318"/>
      <c r="J305" s="316" t="s">
        <v>179</v>
      </c>
      <c r="K305" s="602">
        <v>0.1</v>
      </c>
      <c r="L305" s="577">
        <v>45.36</v>
      </c>
      <c r="M305" s="379">
        <v>0.1</v>
      </c>
      <c r="N305" s="259">
        <v>6</v>
      </c>
      <c r="O305" s="520">
        <f>K305*L305*M305*N305</f>
        <v>2.7216000000000005</v>
      </c>
      <c r="P305" s="259">
        <v>4158</v>
      </c>
      <c r="Q305" s="496">
        <f>P305*$O305</f>
        <v>11316.412800000002</v>
      </c>
      <c r="R305" s="261">
        <v>4196.6324999999997</v>
      </c>
      <c r="S305" s="521">
        <f t="shared" si="45"/>
        <v>11421.555012000001</v>
      </c>
      <c r="T305" s="517">
        <f>R305*1.1</f>
        <v>4616.2957500000002</v>
      </c>
      <c r="U305" s="517">
        <f>O305*T305</f>
        <v>12563.710513200003</v>
      </c>
      <c r="V305" s="259">
        <f>W305/O305</f>
        <v>4323.6427499999991</v>
      </c>
      <c r="W305" s="267">
        <f>AVERAGEIF($P$3:$U$3,W$3,$P305:$U305)</f>
        <v>11767.2261084</v>
      </c>
      <c r="X305" s="578"/>
      <c r="Y305" s="492">
        <f t="shared" si="44"/>
        <v>251.79795000000001</v>
      </c>
      <c r="Z305" s="151"/>
    </row>
    <row r="306" spans="2:28" x14ac:dyDescent="0.35">
      <c r="B306" s="518"/>
      <c r="E306" s="519"/>
      <c r="F306" s="151" t="s">
        <v>227</v>
      </c>
      <c r="G306" s="316" t="s">
        <v>183</v>
      </c>
      <c r="H306" s="317">
        <v>4</v>
      </c>
      <c r="I306" s="318"/>
      <c r="J306" s="316" t="s">
        <v>179</v>
      </c>
      <c r="K306" s="602">
        <v>0.1</v>
      </c>
      <c r="L306" s="577">
        <v>45.36</v>
      </c>
      <c r="M306" s="379">
        <f>((M$303*N$303)/240*($H306/N306))</f>
        <v>1.0000000000000002E-2</v>
      </c>
      <c r="N306" s="259">
        <v>1</v>
      </c>
      <c r="O306" s="520">
        <f t="shared" ref="O306:O311" si="46">K306*L306*M306*N306</f>
        <v>4.5360000000000011E-2</v>
      </c>
      <c r="P306" s="496"/>
      <c r="Q306" s="496"/>
      <c r="R306" s="261">
        <v>47231.1</v>
      </c>
      <c r="S306" s="521">
        <f t="shared" si="45"/>
        <v>2142.4026960000006</v>
      </c>
      <c r="T306" s="517"/>
      <c r="U306" s="517"/>
      <c r="V306" s="517"/>
      <c r="W306" s="517"/>
      <c r="X306" s="578"/>
      <c r="Y306" s="492">
        <f t="shared" si="44"/>
        <v>47.231100000000012</v>
      </c>
      <c r="Z306" s="151"/>
    </row>
    <row r="307" spans="2:28" x14ac:dyDescent="0.35">
      <c r="B307" s="518"/>
      <c r="E307" s="519"/>
      <c r="F307" s="151" t="s">
        <v>220</v>
      </c>
      <c r="G307" s="316"/>
      <c r="H307" s="317"/>
      <c r="I307" s="318"/>
      <c r="J307" s="316"/>
      <c r="K307" s="602">
        <v>0.1</v>
      </c>
      <c r="L307" s="577">
        <v>45.36</v>
      </c>
      <c r="M307" s="379">
        <v>6.2500000000000003E-3</v>
      </c>
      <c r="N307" s="259">
        <v>1</v>
      </c>
      <c r="O307" s="520">
        <f t="shared" si="46"/>
        <v>2.8350000000000004E-2</v>
      </c>
      <c r="P307" s="496"/>
      <c r="Q307" s="496"/>
      <c r="R307" s="261">
        <v>1506531.5212500002</v>
      </c>
      <c r="S307" s="521">
        <f t="shared" si="45"/>
        <v>42710.16862743751</v>
      </c>
      <c r="T307" s="517"/>
      <c r="U307" s="517"/>
      <c r="V307" s="517"/>
      <c r="W307" s="517"/>
      <c r="X307" s="578"/>
      <c r="Y307" s="492">
        <f t="shared" si="44"/>
        <v>941.58220078125021</v>
      </c>
      <c r="Z307" s="151"/>
    </row>
    <row r="308" spans="2:28" x14ac:dyDescent="0.35">
      <c r="B308" s="518"/>
      <c r="E308" s="519"/>
      <c r="F308" s="151" t="s">
        <v>229</v>
      </c>
      <c r="G308" s="316"/>
      <c r="H308" s="317">
        <v>12</v>
      </c>
      <c r="I308" s="318"/>
      <c r="J308" s="316"/>
      <c r="K308" s="602">
        <v>0.1</v>
      </c>
      <c r="L308" s="577">
        <v>45.36</v>
      </c>
      <c r="M308" s="379">
        <f>((M$303*N$303)/240*($H308/N308))</f>
        <v>3.0000000000000006E-2</v>
      </c>
      <c r="N308" s="259">
        <v>1</v>
      </c>
      <c r="O308" s="520">
        <f t="shared" si="46"/>
        <v>0.13608000000000003</v>
      </c>
      <c r="P308" s="496"/>
      <c r="Q308" s="496"/>
      <c r="R308" s="261">
        <v>15435</v>
      </c>
      <c r="S308" s="521">
        <f t="shared" si="45"/>
        <v>2100.3948000000005</v>
      </c>
      <c r="T308" s="517"/>
      <c r="U308" s="517"/>
      <c r="V308" s="517"/>
      <c r="W308" s="517"/>
      <c r="X308" s="578"/>
      <c r="Y308" s="492">
        <f t="shared" si="44"/>
        <v>46.305000000000014</v>
      </c>
      <c r="Z308" s="151"/>
    </row>
    <row r="309" spans="2:28" x14ac:dyDescent="0.35">
      <c r="B309" s="518"/>
      <c r="E309" s="519"/>
      <c r="F309" s="151" t="s">
        <v>230</v>
      </c>
      <c r="G309" s="316"/>
      <c r="H309" s="317">
        <v>1</v>
      </c>
      <c r="I309" s="318"/>
      <c r="J309" s="316"/>
      <c r="K309" s="602">
        <v>0.1</v>
      </c>
      <c r="L309" s="577">
        <v>45.36</v>
      </c>
      <c r="M309" s="379">
        <f>((M$303*N$303)/240*($H309/N309))</f>
        <v>2.5000000000000005E-3</v>
      </c>
      <c r="N309" s="259">
        <v>1</v>
      </c>
      <c r="O309" s="520">
        <f t="shared" si="46"/>
        <v>1.1340000000000003E-2</v>
      </c>
      <c r="P309" s="496"/>
      <c r="Q309" s="496"/>
      <c r="R309" s="261">
        <v>41327.212500000001</v>
      </c>
      <c r="S309" s="521">
        <f t="shared" si="45"/>
        <v>468.65058975000011</v>
      </c>
      <c r="T309" s="517"/>
      <c r="U309" s="517"/>
      <c r="V309" s="517"/>
      <c r="W309" s="517"/>
      <c r="X309" s="578"/>
      <c r="Y309" s="492">
        <f t="shared" si="44"/>
        <v>10.331803125000002</v>
      </c>
      <c r="Z309" s="151"/>
    </row>
    <row r="310" spans="2:28" x14ac:dyDescent="0.35">
      <c r="B310" s="518"/>
      <c r="E310" s="519"/>
      <c r="F310" s="151" t="s">
        <v>231</v>
      </c>
      <c r="G310" s="316"/>
      <c r="H310" s="317">
        <v>2</v>
      </c>
      <c r="I310" s="318"/>
      <c r="J310" s="316"/>
      <c r="K310" s="602">
        <v>0.1</v>
      </c>
      <c r="L310" s="577">
        <v>45.36</v>
      </c>
      <c r="M310" s="379">
        <f>((M$303*N$303)/240*($H310/N310))</f>
        <v>5.000000000000001E-3</v>
      </c>
      <c r="N310" s="259">
        <v>1</v>
      </c>
      <c r="O310" s="520">
        <f t="shared" si="46"/>
        <v>2.2680000000000006E-2</v>
      </c>
      <c r="P310" s="496"/>
      <c r="Q310" s="496"/>
      <c r="R310" s="261">
        <v>35423.325000000004</v>
      </c>
      <c r="S310" s="521">
        <f t="shared" si="45"/>
        <v>803.40101100000027</v>
      </c>
      <c r="T310" s="517"/>
      <c r="U310" s="517"/>
      <c r="V310" s="517"/>
      <c r="W310" s="517"/>
      <c r="X310" s="578"/>
      <c r="Y310" s="492">
        <f t="shared" si="44"/>
        <v>17.711662500000006</v>
      </c>
      <c r="Z310" s="151"/>
    </row>
    <row r="311" spans="2:28" x14ac:dyDescent="0.35">
      <c r="B311" s="518"/>
      <c r="E311" s="519"/>
      <c r="F311" s="151" t="s">
        <v>232</v>
      </c>
      <c r="G311" s="316"/>
      <c r="H311" s="317">
        <v>1</v>
      </c>
      <c r="I311" s="318"/>
      <c r="J311" s="316"/>
      <c r="K311" s="602">
        <v>0.1</v>
      </c>
      <c r="L311" s="577">
        <v>45.36</v>
      </c>
      <c r="M311" s="379">
        <f>((M$303*N$303)/240*($H311/N311))</f>
        <v>2.5000000000000005E-3</v>
      </c>
      <c r="N311" s="259">
        <v>1</v>
      </c>
      <c r="O311" s="520">
        <f t="shared" si="46"/>
        <v>1.1340000000000003E-2</v>
      </c>
      <c r="P311" s="496"/>
      <c r="Q311" s="496"/>
      <c r="R311" s="261">
        <v>94462.2</v>
      </c>
      <c r="S311" s="521">
        <f t="shared" si="45"/>
        <v>1071.2013480000003</v>
      </c>
      <c r="T311" s="517"/>
      <c r="U311" s="517"/>
      <c r="V311" s="517"/>
      <c r="W311" s="517"/>
      <c r="X311" s="578"/>
      <c r="Y311" s="492">
        <f t="shared" si="44"/>
        <v>23.615550000000006</v>
      </c>
      <c r="Z311" s="151"/>
    </row>
    <row r="312" spans="2:28" x14ac:dyDescent="0.35">
      <c r="B312" s="606" t="s">
        <v>531</v>
      </c>
      <c r="C312" s="607"/>
      <c r="D312" s="607"/>
      <c r="E312" s="608"/>
      <c r="F312" s="609"/>
      <c r="G312" s="610"/>
      <c r="H312" s="611"/>
      <c r="I312" s="612"/>
      <c r="J312" s="610"/>
      <c r="K312" s="613"/>
      <c r="L312" s="614"/>
      <c r="M312" s="615"/>
      <c r="N312" s="616"/>
      <c r="O312" s="611"/>
      <c r="P312" s="617"/>
      <c r="Q312" s="617"/>
      <c r="R312" s="617"/>
      <c r="S312" s="618">
        <f>SUM(S303:S311)</f>
        <v>546469.48313826765</v>
      </c>
      <c r="T312" s="605"/>
      <c r="U312" s="605"/>
      <c r="V312" s="605"/>
      <c r="W312" s="605"/>
      <c r="X312" s="611"/>
      <c r="Y312" s="619">
        <f>S312/D1</f>
        <v>12047.387194406254</v>
      </c>
      <c r="Z312" s="648">
        <f>S312/$S$415*100</f>
        <v>0.1091167544492211</v>
      </c>
    </row>
    <row r="313" spans="2:28" x14ac:dyDescent="0.35">
      <c r="B313" s="579"/>
      <c r="C313" s="580"/>
      <c r="D313" s="580"/>
      <c r="E313" s="581"/>
      <c r="F313" s="151"/>
      <c r="G313" s="316"/>
      <c r="H313" s="317"/>
      <c r="I313" s="318"/>
      <c r="J313" s="316"/>
      <c r="K313" s="502"/>
      <c r="L313" s="577"/>
      <c r="M313" s="258"/>
      <c r="N313" s="259"/>
      <c r="O313" s="317"/>
      <c r="P313" s="496"/>
      <c r="Q313" s="496"/>
      <c r="R313" s="496"/>
      <c r="S313" s="521"/>
      <c r="T313" s="517"/>
      <c r="U313" s="517"/>
      <c r="V313" s="517"/>
      <c r="W313" s="517"/>
      <c r="X313" s="578"/>
      <c r="Y313" s="151"/>
      <c r="Z313" s="151"/>
    </row>
    <row r="314" spans="2:28" x14ac:dyDescent="0.35">
      <c r="B314" s="504"/>
      <c r="C314" s="172" t="s">
        <v>532</v>
      </c>
      <c r="D314" s="172"/>
      <c r="E314" s="506"/>
      <c r="F314" s="151" t="s">
        <v>177</v>
      </c>
      <c r="G314" s="502" t="s">
        <v>178</v>
      </c>
      <c r="H314" s="317"/>
      <c r="I314" s="318"/>
      <c r="J314" s="316"/>
      <c r="K314" s="502"/>
      <c r="L314" s="577"/>
      <c r="M314" s="258">
        <v>0.5</v>
      </c>
      <c r="N314" s="309">
        <v>1</v>
      </c>
      <c r="O314" s="684"/>
      <c r="P314" s="685"/>
      <c r="Q314" s="685"/>
      <c r="R314" s="685"/>
      <c r="S314" s="686"/>
      <c r="T314" s="687"/>
      <c r="U314" s="687"/>
      <c r="V314" s="687"/>
      <c r="W314" s="687"/>
      <c r="X314" s="578"/>
      <c r="Y314" s="151"/>
      <c r="Z314" s="151"/>
      <c r="AB314" s="429"/>
    </row>
    <row r="315" spans="2:28" x14ac:dyDescent="0.35">
      <c r="B315" s="579"/>
      <c r="C315" s="580"/>
      <c r="D315" s="580"/>
      <c r="E315" s="581"/>
      <c r="F315" s="151" t="s">
        <v>397</v>
      </c>
      <c r="G315" s="502" t="s">
        <v>181</v>
      </c>
      <c r="H315" s="317"/>
      <c r="I315" s="318"/>
      <c r="J315" s="316"/>
      <c r="K315" s="502"/>
      <c r="L315" s="577"/>
      <c r="M315" s="258">
        <v>1.92</v>
      </c>
      <c r="N315" s="309">
        <v>1</v>
      </c>
      <c r="O315" s="684"/>
      <c r="P315" s="685"/>
      <c r="Q315" s="685"/>
      <c r="R315" s="685"/>
      <c r="S315" s="686"/>
      <c r="T315" s="687"/>
      <c r="U315" s="687"/>
      <c r="V315" s="687"/>
      <c r="W315" s="687"/>
      <c r="X315" s="578"/>
      <c r="Y315" s="151"/>
      <c r="Z315" s="151"/>
    </row>
    <row r="316" spans="2:28" x14ac:dyDescent="0.35">
      <c r="B316" s="518"/>
      <c r="C316" t="s">
        <v>533</v>
      </c>
      <c r="E316" s="519"/>
      <c r="F316" s="151" t="s">
        <v>177</v>
      </c>
      <c r="G316" s="316" t="s">
        <v>178</v>
      </c>
      <c r="H316" s="317"/>
      <c r="I316" s="318"/>
      <c r="J316" s="316" t="s">
        <v>179</v>
      </c>
      <c r="K316" s="602">
        <v>0</v>
      </c>
      <c r="L316" s="577">
        <v>45.36</v>
      </c>
      <c r="M316" s="258">
        <v>0.25</v>
      </c>
      <c r="N316" s="259">
        <v>12</v>
      </c>
      <c r="O316" s="520">
        <f>K316*L316*M316*N316</f>
        <v>0</v>
      </c>
      <c r="P316" s="261">
        <v>140008</v>
      </c>
      <c r="Q316" s="496">
        <f>P316*$O316</f>
        <v>0</v>
      </c>
      <c r="R316" s="261">
        <v>158800.57379999998</v>
      </c>
      <c r="S316" s="521">
        <f>R316*$O316</f>
        <v>0</v>
      </c>
      <c r="T316" s="259">
        <v>163305.33120000002</v>
      </c>
      <c r="U316" s="517">
        <f>$O316*T316</f>
        <v>0</v>
      </c>
      <c r="V316" s="259" t="e">
        <f>W316/O316</f>
        <v>#DIV/0!</v>
      </c>
      <c r="W316" s="267">
        <f>AVERAGEIF($P$3:$U$3,W$3,$P316:$U316)</f>
        <v>0</v>
      </c>
      <c r="X316" s="578"/>
      <c r="Y316" s="492">
        <f t="shared" ref="Y316:Y318" si="47">S316/192.08</f>
        <v>0</v>
      </c>
      <c r="Z316" s="151"/>
    </row>
    <row r="317" spans="2:28" x14ac:dyDescent="0.35">
      <c r="B317" s="518"/>
      <c r="E317" s="519"/>
      <c r="F317" s="151" t="s">
        <v>534</v>
      </c>
      <c r="G317" s="316" t="s">
        <v>535</v>
      </c>
      <c r="H317" s="317"/>
      <c r="I317" s="318"/>
      <c r="J317" s="316" t="s">
        <v>179</v>
      </c>
      <c r="K317" s="602">
        <v>0</v>
      </c>
      <c r="L317" s="577">
        <v>45.36</v>
      </c>
      <c r="M317" s="258">
        <f>1/2*6/12</f>
        <v>0.25</v>
      </c>
      <c r="N317" s="259">
        <v>12</v>
      </c>
      <c r="O317" s="520">
        <f>K317*L317*M317*N317</f>
        <v>0</v>
      </c>
      <c r="P317" s="261">
        <v>73807.199999999997</v>
      </c>
      <c r="Q317" s="496">
        <f>P317*$O317</f>
        <v>0</v>
      </c>
      <c r="R317" s="261">
        <v>81372.437999999995</v>
      </c>
      <c r="S317" s="521">
        <f>R317*$O317</f>
        <v>0</v>
      </c>
      <c r="T317" s="259">
        <v>84501.863280000005</v>
      </c>
      <c r="U317" s="517">
        <f>$O317*T317</f>
        <v>0</v>
      </c>
      <c r="V317" s="259" t="e">
        <f>W317/O317</f>
        <v>#DIV/0!</v>
      </c>
      <c r="W317" s="267">
        <f>AVERAGEIF($P$3:$U$3,W$3,$P317:$U317)</f>
        <v>0</v>
      </c>
      <c r="X317" s="578"/>
      <c r="Y317" s="492">
        <f t="shared" si="47"/>
        <v>0</v>
      </c>
      <c r="Z317" s="151"/>
    </row>
    <row r="318" spans="2:28" x14ac:dyDescent="0.35">
      <c r="B318" s="518"/>
      <c r="E318" s="581"/>
      <c r="F318" s="151" t="s">
        <v>536</v>
      </c>
      <c r="G318" s="316" t="s">
        <v>183</v>
      </c>
      <c r="H318" s="317"/>
      <c r="I318" s="318"/>
      <c r="J318" s="316" t="s">
        <v>179</v>
      </c>
      <c r="K318" s="602">
        <v>0</v>
      </c>
      <c r="L318" s="577">
        <v>45.36</v>
      </c>
      <c r="M318" s="379">
        <f>1/2*3/12</f>
        <v>0.125</v>
      </c>
      <c r="N318" s="259">
        <v>12</v>
      </c>
      <c r="O318" s="520">
        <f>K318*L318*M318*N318</f>
        <v>0</v>
      </c>
      <c r="P318" s="261">
        <v>50000</v>
      </c>
      <c r="Q318" s="496">
        <f>P318*$O318</f>
        <v>0</v>
      </c>
      <c r="R318" s="261">
        <v>55125</v>
      </c>
      <c r="S318" s="521">
        <f>R318*$O318</f>
        <v>0</v>
      </c>
      <c r="T318" s="259">
        <v>58320.000000000007</v>
      </c>
      <c r="U318" s="517">
        <f>$O318*T318</f>
        <v>0</v>
      </c>
      <c r="V318" s="259" t="e">
        <f>W318/O318</f>
        <v>#DIV/0!</v>
      </c>
      <c r="W318" s="267">
        <f>AVERAGEIF($P$3:$U$3,W$3,$P318:$U318)</f>
        <v>0</v>
      </c>
      <c r="X318" s="578"/>
      <c r="Y318" s="492">
        <f t="shared" si="47"/>
        <v>0</v>
      </c>
      <c r="Z318" s="151"/>
    </row>
    <row r="319" spans="2:28" x14ac:dyDescent="0.35">
      <c r="B319" s="518"/>
      <c r="E319" s="519"/>
      <c r="F319" s="151" t="s">
        <v>177</v>
      </c>
      <c r="G319" s="316" t="s">
        <v>178</v>
      </c>
      <c r="H319" s="317"/>
      <c r="I319" s="318"/>
      <c r="J319" s="316" t="s">
        <v>179</v>
      </c>
      <c r="K319" s="602">
        <v>1</v>
      </c>
      <c r="L319" s="577">
        <v>45.36</v>
      </c>
      <c r="M319" s="379">
        <v>0.25</v>
      </c>
      <c r="N319" s="259">
        <v>12</v>
      </c>
      <c r="O319" s="520">
        <f>K319*L319*M319*N319</f>
        <v>136.07999999999998</v>
      </c>
      <c r="P319" s="521"/>
      <c r="Q319" s="496"/>
      <c r="R319" s="261">
        <v>158800.57379999998</v>
      </c>
      <c r="S319" s="521">
        <f>R319*$O319</f>
        <v>21609582.082703996</v>
      </c>
      <c r="T319" s="496"/>
      <c r="U319" s="517"/>
      <c r="V319" s="496"/>
      <c r="W319" s="267"/>
      <c r="X319" s="578"/>
      <c r="Y319" s="492">
        <f t="shared" ref="Y319:Y327" si="48">S319/$D$1</f>
        <v>476401.72139999992</v>
      </c>
      <c r="Z319" s="151"/>
    </row>
    <row r="320" spans="2:28" x14ac:dyDescent="0.35">
      <c r="B320" s="518"/>
      <c r="E320" s="519"/>
      <c r="F320" s="151" t="s">
        <v>226</v>
      </c>
      <c r="G320" s="316" t="s">
        <v>178</v>
      </c>
      <c r="H320" s="317"/>
      <c r="I320" s="318"/>
      <c r="J320" s="316" t="s">
        <v>179</v>
      </c>
      <c r="K320" s="602">
        <v>1</v>
      </c>
      <c r="L320" s="577">
        <v>45.36</v>
      </c>
      <c r="M320" s="379">
        <v>0.3</v>
      </c>
      <c r="N320" s="261">
        <v>12</v>
      </c>
      <c r="O320" s="520">
        <f t="shared" ref="O320:O326" si="49">K320*L320*M320*N320</f>
        <v>163.29599999999999</v>
      </c>
      <c r="P320" s="261">
        <v>3700</v>
      </c>
      <c r="Q320" s="496">
        <f t="shared" ref="Q320:Q326" si="50">P320*$O320</f>
        <v>604195.19999999995</v>
      </c>
      <c r="R320" s="261">
        <v>4196.6324999999997</v>
      </c>
      <c r="S320" s="521">
        <f t="shared" ref="S320:S326" si="51">R320*$O320</f>
        <v>685293.30071999994</v>
      </c>
      <c r="T320" s="496"/>
      <c r="U320" s="517"/>
      <c r="V320" s="496"/>
      <c r="W320" s="267"/>
      <c r="X320" s="578"/>
      <c r="Y320" s="492">
        <f t="shared" si="48"/>
        <v>15107.876999999999</v>
      </c>
      <c r="Z320" s="151"/>
    </row>
    <row r="321" spans="2:26" x14ac:dyDescent="0.35">
      <c r="B321" s="518"/>
      <c r="E321" s="519"/>
      <c r="F321" s="151" t="s">
        <v>227</v>
      </c>
      <c r="G321" s="316" t="s">
        <v>183</v>
      </c>
      <c r="H321" s="317">
        <v>4</v>
      </c>
      <c r="I321" s="318" t="s">
        <v>228</v>
      </c>
      <c r="J321" s="316" t="s">
        <v>179</v>
      </c>
      <c r="K321" s="602">
        <v>1</v>
      </c>
      <c r="L321" s="577">
        <v>45.36</v>
      </c>
      <c r="M321" s="379">
        <f>((M$161*N$161)/240*($H321/N321))</f>
        <v>5.0000000000000001E-3</v>
      </c>
      <c r="N321" s="261">
        <v>4</v>
      </c>
      <c r="O321" s="520">
        <f t="shared" si="49"/>
        <v>0.90720000000000001</v>
      </c>
      <c r="P321" s="261">
        <v>42840</v>
      </c>
      <c r="Q321" s="496">
        <f t="shared" si="50"/>
        <v>38864.447999999997</v>
      </c>
      <c r="R321" s="261">
        <v>47231.1</v>
      </c>
      <c r="S321" s="521">
        <f t="shared" si="51"/>
        <v>42848.053919999998</v>
      </c>
      <c r="T321" s="496"/>
      <c r="U321" s="517"/>
      <c r="V321" s="496"/>
      <c r="W321" s="267"/>
      <c r="X321" s="578"/>
      <c r="Y321" s="492">
        <f t="shared" si="48"/>
        <v>944.62199999999996</v>
      </c>
      <c r="Z321" s="151"/>
    </row>
    <row r="322" spans="2:26" x14ac:dyDescent="0.35">
      <c r="B322" s="518"/>
      <c r="E322" s="519"/>
      <c r="F322" s="151" t="s">
        <v>220</v>
      </c>
      <c r="G322" s="316" t="s">
        <v>183</v>
      </c>
      <c r="H322" s="317"/>
      <c r="I322" s="318"/>
      <c r="J322" s="316"/>
      <c r="K322" s="602">
        <v>1</v>
      </c>
      <c r="L322" s="577">
        <v>45.36</v>
      </c>
      <c r="M322" s="379">
        <v>6.2500000000000003E-3</v>
      </c>
      <c r="N322" s="261">
        <v>2</v>
      </c>
      <c r="O322" s="520">
        <f t="shared" si="49"/>
        <v>0.56700000000000006</v>
      </c>
      <c r="P322" s="261">
        <v>1366468.5</v>
      </c>
      <c r="Q322" s="496">
        <f t="shared" si="50"/>
        <v>774787.63950000005</v>
      </c>
      <c r="R322" s="261">
        <v>1506531.5212500002</v>
      </c>
      <c r="S322" s="521">
        <f t="shared" si="51"/>
        <v>854203.37254875025</v>
      </c>
      <c r="T322" s="259">
        <v>1593848.8584</v>
      </c>
      <c r="U322" s="517">
        <f>$O322*T322</f>
        <v>903712.3027128001</v>
      </c>
      <c r="V322" s="259">
        <f>W322/O322</f>
        <v>1488949.6265499999</v>
      </c>
      <c r="W322" s="267">
        <f>AVERAGEIF($P$3:$U$3,W$3,$P322:$U322)</f>
        <v>844234.43825385009</v>
      </c>
      <c r="X322" s="578"/>
      <c r="Y322" s="492">
        <f t="shared" si="48"/>
        <v>18831.644015625006</v>
      </c>
      <c r="Z322" s="151"/>
    </row>
    <row r="323" spans="2:26" x14ac:dyDescent="0.35">
      <c r="B323" s="518"/>
      <c r="E323" s="519"/>
      <c r="F323" s="151" t="s">
        <v>229</v>
      </c>
      <c r="G323" s="316" t="s">
        <v>183</v>
      </c>
      <c r="H323" s="317">
        <v>12</v>
      </c>
      <c r="I323" s="318" t="s">
        <v>228</v>
      </c>
      <c r="J323" s="316" t="s">
        <v>179</v>
      </c>
      <c r="K323" s="602">
        <v>1</v>
      </c>
      <c r="L323" s="577">
        <v>45.36</v>
      </c>
      <c r="M323" s="379">
        <f>((M$161*N$161)/240*($H323/N323))</f>
        <v>1.4999999999999999E-2</v>
      </c>
      <c r="N323" s="261">
        <v>4</v>
      </c>
      <c r="O323" s="520">
        <f t="shared" si="49"/>
        <v>2.7216</v>
      </c>
      <c r="P323" s="261">
        <v>14000</v>
      </c>
      <c r="Q323" s="496">
        <f t="shared" si="50"/>
        <v>38102.400000000001</v>
      </c>
      <c r="R323" s="261">
        <v>15435</v>
      </c>
      <c r="S323" s="521">
        <f t="shared" si="51"/>
        <v>42007.896000000001</v>
      </c>
      <c r="T323" s="496"/>
      <c r="U323" s="517"/>
      <c r="V323" s="496"/>
      <c r="W323" s="267"/>
      <c r="X323" s="578"/>
      <c r="Y323" s="492">
        <f t="shared" si="48"/>
        <v>926.1</v>
      </c>
      <c r="Z323" s="151"/>
    </row>
    <row r="324" spans="2:26" x14ac:dyDescent="0.35">
      <c r="B324" s="518"/>
      <c r="E324" s="519"/>
      <c r="F324" s="151" t="s">
        <v>230</v>
      </c>
      <c r="G324" s="316" t="s">
        <v>183</v>
      </c>
      <c r="H324" s="317">
        <v>1</v>
      </c>
      <c r="I324" s="318" t="s">
        <v>228</v>
      </c>
      <c r="J324" s="316" t="s">
        <v>179</v>
      </c>
      <c r="K324" s="602">
        <v>1</v>
      </c>
      <c r="L324" s="577">
        <v>45.36</v>
      </c>
      <c r="M324" s="379">
        <f>((M$161*N$161)/240*($H324/N324))</f>
        <v>1.25E-3</v>
      </c>
      <c r="N324" s="261">
        <v>4</v>
      </c>
      <c r="O324" s="520">
        <f t="shared" si="49"/>
        <v>0.2268</v>
      </c>
      <c r="P324" s="261">
        <v>37485</v>
      </c>
      <c r="Q324" s="496">
        <f t="shared" si="50"/>
        <v>8501.598</v>
      </c>
      <c r="R324" s="261">
        <v>41327.212500000001</v>
      </c>
      <c r="S324" s="521">
        <f t="shared" si="51"/>
        <v>9373.0117950000003</v>
      </c>
      <c r="T324" s="496"/>
      <c r="U324" s="517"/>
      <c r="V324" s="496"/>
      <c r="W324" s="267"/>
      <c r="X324" s="578"/>
      <c r="Y324" s="492">
        <f t="shared" si="48"/>
        <v>206.63606250000001</v>
      </c>
      <c r="Z324" s="151"/>
    </row>
    <row r="325" spans="2:26" x14ac:dyDescent="0.35">
      <c r="B325" s="518"/>
      <c r="E325" s="519"/>
      <c r="F325" s="151" t="s">
        <v>231</v>
      </c>
      <c r="G325" s="316" t="s">
        <v>183</v>
      </c>
      <c r="H325" s="317">
        <v>2</v>
      </c>
      <c r="I325" s="318" t="s">
        <v>228</v>
      </c>
      <c r="J325" s="316" t="s">
        <v>179</v>
      </c>
      <c r="K325" s="602">
        <v>1</v>
      </c>
      <c r="L325" s="577">
        <v>45.36</v>
      </c>
      <c r="M325" s="379">
        <f>((M$161*N$161)/240*($H325/N325))</f>
        <v>2.5000000000000001E-3</v>
      </c>
      <c r="N325" s="261">
        <v>4</v>
      </c>
      <c r="O325" s="520">
        <f t="shared" si="49"/>
        <v>0.4536</v>
      </c>
      <c r="P325" s="261">
        <v>32130</v>
      </c>
      <c r="Q325" s="496">
        <f t="shared" si="50"/>
        <v>14574.168</v>
      </c>
      <c r="R325" s="261">
        <v>35423.325000000004</v>
      </c>
      <c r="S325" s="521">
        <f t="shared" si="51"/>
        <v>16068.020220000002</v>
      </c>
      <c r="T325" s="496"/>
      <c r="U325" s="517"/>
      <c r="V325" s="496"/>
      <c r="W325" s="267"/>
      <c r="X325" s="578"/>
      <c r="Y325" s="492">
        <f t="shared" si="48"/>
        <v>354.23325000000006</v>
      </c>
      <c r="Z325" s="151"/>
    </row>
    <row r="326" spans="2:26" x14ac:dyDescent="0.35">
      <c r="B326" s="518"/>
      <c r="E326" s="519"/>
      <c r="F326" s="151" t="s">
        <v>232</v>
      </c>
      <c r="G326" s="316" t="s">
        <v>183</v>
      </c>
      <c r="H326" s="317">
        <v>1</v>
      </c>
      <c r="I326" s="318" t="s">
        <v>228</v>
      </c>
      <c r="J326" s="316" t="s">
        <v>179</v>
      </c>
      <c r="K326" s="602">
        <v>1</v>
      </c>
      <c r="L326" s="577">
        <v>45.36</v>
      </c>
      <c r="M326" s="379">
        <f>((M$161*N$161)/240*($H326/N326))</f>
        <v>1.25E-3</v>
      </c>
      <c r="N326" s="261">
        <v>4</v>
      </c>
      <c r="O326" s="520">
        <f t="shared" si="49"/>
        <v>0.2268</v>
      </c>
      <c r="P326" s="261">
        <v>85680</v>
      </c>
      <c r="Q326" s="496">
        <f t="shared" si="50"/>
        <v>19432.223999999998</v>
      </c>
      <c r="R326" s="261">
        <v>94462.2</v>
      </c>
      <c r="S326" s="521">
        <f t="shared" si="51"/>
        <v>21424.026959999999</v>
      </c>
      <c r="T326" s="496"/>
      <c r="U326" s="517"/>
      <c r="V326" s="496"/>
      <c r="W326" s="267"/>
      <c r="X326" s="578"/>
      <c r="Y326" s="492">
        <f t="shared" si="48"/>
        <v>472.31099999999998</v>
      </c>
      <c r="Z326" s="151"/>
    </row>
    <row r="327" spans="2:26" x14ac:dyDescent="0.35">
      <c r="B327" s="518"/>
      <c r="E327" s="519"/>
      <c r="F327" s="151" t="s">
        <v>334</v>
      </c>
      <c r="G327" s="316" t="s">
        <v>222</v>
      </c>
      <c r="H327" s="317"/>
      <c r="I327" s="318"/>
      <c r="J327" s="316" t="s">
        <v>179</v>
      </c>
      <c r="K327" s="602">
        <v>1</v>
      </c>
      <c r="L327" s="577">
        <v>45.36</v>
      </c>
      <c r="M327" s="379">
        <f>55.2/1000</f>
        <v>5.5200000000000006E-2</v>
      </c>
      <c r="N327" s="261">
        <v>12</v>
      </c>
      <c r="O327" s="520">
        <f>K327*L327*M327*N327</f>
        <v>30.046464000000004</v>
      </c>
      <c r="P327" s="521"/>
      <c r="Q327" s="496"/>
      <c r="R327" s="261">
        <v>56171.272499999999</v>
      </c>
      <c r="S327" s="521">
        <f>R327*$O327</f>
        <v>1687748.1170054402</v>
      </c>
      <c r="T327" s="496"/>
      <c r="U327" s="517"/>
      <c r="V327" s="496"/>
      <c r="W327" s="267"/>
      <c r="X327" s="578"/>
      <c r="Y327" s="492">
        <f t="shared" si="48"/>
        <v>37207.850904000006</v>
      </c>
      <c r="Z327" s="151"/>
    </row>
    <row r="328" spans="2:26" x14ac:dyDescent="0.35">
      <c r="B328" s="606" t="s">
        <v>537</v>
      </c>
      <c r="C328" s="607"/>
      <c r="D328" s="607"/>
      <c r="E328" s="608"/>
      <c r="F328" s="609"/>
      <c r="G328" s="610"/>
      <c r="H328" s="611"/>
      <c r="I328" s="612"/>
      <c r="J328" s="610"/>
      <c r="K328" s="613"/>
      <c r="L328" s="614"/>
      <c r="M328" s="615"/>
      <c r="N328" s="616"/>
      <c r="O328" s="611"/>
      <c r="P328" s="617"/>
      <c r="Q328" s="617"/>
      <c r="R328" s="617"/>
      <c r="S328" s="618">
        <f>SUM(S316:S327)</f>
        <v>24968547.88187319</v>
      </c>
      <c r="T328" s="605"/>
      <c r="U328" s="605"/>
      <c r="V328" s="605"/>
      <c r="W328" s="605"/>
      <c r="X328" s="611"/>
      <c r="Y328" s="619">
        <f>S328/D1</f>
        <v>550452.99563212506</v>
      </c>
      <c r="Z328" s="648">
        <f>S328/$S$415*100</f>
        <v>4.985615834453883</v>
      </c>
    </row>
    <row r="329" spans="2:26" x14ac:dyDescent="0.35">
      <c r="B329" s="504"/>
      <c r="C329" s="172"/>
      <c r="D329" s="172"/>
      <c r="E329" s="519"/>
      <c r="F329" s="151"/>
      <c r="G329" s="316"/>
      <c r="H329" s="317"/>
      <c r="I329" s="318"/>
      <c r="J329" s="316"/>
      <c r="K329" s="688"/>
      <c r="L329" s="577"/>
      <c r="M329" s="689"/>
      <c r="N329" s="259"/>
      <c r="O329" s="520"/>
      <c r="P329" s="521"/>
      <c r="Q329" s="496"/>
      <c r="R329" s="521"/>
      <c r="S329" s="521"/>
      <c r="T329" s="496"/>
      <c r="U329" s="517"/>
      <c r="V329" s="496"/>
      <c r="W329" s="267"/>
      <c r="X329" s="578"/>
      <c r="Y329" s="151"/>
      <c r="Z329" s="151"/>
    </row>
    <row r="330" spans="2:26" x14ac:dyDescent="0.35">
      <c r="B330" s="518"/>
      <c r="C330" t="s">
        <v>538</v>
      </c>
      <c r="E330" s="519"/>
      <c r="F330" s="151" t="s">
        <v>177</v>
      </c>
      <c r="G330" s="316" t="s">
        <v>178</v>
      </c>
      <c r="H330" s="317"/>
      <c r="I330" s="318"/>
      <c r="J330" s="316"/>
      <c r="K330" s="502"/>
      <c r="L330" s="577"/>
      <c r="M330" s="258"/>
      <c r="N330" s="259"/>
      <c r="O330" s="317"/>
      <c r="P330" s="496"/>
      <c r="Q330" s="496"/>
      <c r="R330" s="496"/>
      <c r="S330" s="521"/>
      <c r="T330" s="517"/>
      <c r="U330" s="517"/>
      <c r="V330" s="517"/>
      <c r="W330" s="517"/>
      <c r="X330" s="578"/>
      <c r="Y330" s="151"/>
      <c r="Z330" s="151"/>
    </row>
    <row r="331" spans="2:26" x14ac:dyDescent="0.35">
      <c r="B331" s="518"/>
      <c r="E331" s="519"/>
      <c r="F331" s="151" t="s">
        <v>539</v>
      </c>
      <c r="G331" s="316" t="s">
        <v>222</v>
      </c>
      <c r="H331" s="317"/>
      <c r="I331" s="318"/>
      <c r="J331" s="316"/>
      <c r="K331" s="502"/>
      <c r="L331" s="577"/>
      <c r="M331" s="258"/>
      <c r="N331" s="259"/>
      <c r="O331" s="317"/>
      <c r="P331" s="496"/>
      <c r="Q331" s="496"/>
      <c r="R331" s="496"/>
      <c r="S331" s="521"/>
      <c r="T331" s="517"/>
      <c r="U331" s="517"/>
      <c r="V331" s="517"/>
      <c r="W331" s="517"/>
      <c r="X331" s="578"/>
      <c r="Y331" s="151"/>
      <c r="Z331" s="151"/>
    </row>
    <row r="332" spans="2:26" x14ac:dyDescent="0.35">
      <c r="B332" s="579"/>
      <c r="C332" s="580"/>
      <c r="D332" s="580"/>
      <c r="E332" s="581"/>
      <c r="F332" s="151"/>
      <c r="G332" s="316"/>
      <c r="H332" s="317"/>
      <c r="I332" s="318"/>
      <c r="J332" s="316"/>
      <c r="K332" s="502"/>
      <c r="L332" s="577"/>
      <c r="M332" s="258"/>
      <c r="N332" s="259"/>
      <c r="O332" s="317"/>
      <c r="P332" s="496"/>
      <c r="Q332" s="496"/>
      <c r="R332" s="496"/>
      <c r="S332" s="521"/>
      <c r="T332" s="517"/>
      <c r="U332" s="517"/>
      <c r="V332" s="517"/>
      <c r="W332" s="517"/>
      <c r="X332" s="578"/>
      <c r="Y332" s="151"/>
      <c r="Z332" s="151"/>
    </row>
    <row r="333" spans="2:26" ht="15" customHeight="1" x14ac:dyDescent="0.35">
      <c r="B333" s="504"/>
      <c r="C333" s="172" t="s">
        <v>540</v>
      </c>
      <c r="D333" s="172"/>
      <c r="E333" s="506"/>
      <c r="F333" s="381" t="s">
        <v>177</v>
      </c>
      <c r="G333" s="575" t="s">
        <v>178</v>
      </c>
      <c r="H333" s="624"/>
      <c r="I333" s="170"/>
      <c r="J333" s="690"/>
      <c r="K333" s="691" t="s">
        <v>541</v>
      </c>
      <c r="L333" s="692"/>
      <c r="M333" s="379">
        <v>11.5</v>
      </c>
      <c r="N333" s="436">
        <v>1</v>
      </c>
      <c r="O333" s="693"/>
      <c r="P333" s="436"/>
      <c r="Q333" s="436"/>
      <c r="R333" s="436"/>
      <c r="S333" s="669"/>
      <c r="T333" s="694"/>
      <c r="U333" s="694"/>
      <c r="V333" s="694"/>
      <c r="W333" s="694"/>
      <c r="X333" s="578"/>
      <c r="Y333" s="151"/>
      <c r="Z333" s="151"/>
    </row>
    <row r="334" spans="2:26" x14ac:dyDescent="0.35">
      <c r="B334" s="518"/>
      <c r="E334" s="519"/>
      <c r="F334" s="381" t="s">
        <v>403</v>
      </c>
      <c r="G334" s="575" t="s">
        <v>404</v>
      </c>
      <c r="H334" s="578"/>
      <c r="I334" s="601"/>
      <c r="J334" s="575"/>
      <c r="K334" s="695"/>
      <c r="L334" s="696"/>
      <c r="M334" s="379">
        <f>0.002*136</f>
        <v>0.27200000000000002</v>
      </c>
      <c r="N334" s="436">
        <v>1</v>
      </c>
      <c r="O334" s="693"/>
      <c r="P334" s="436"/>
      <c r="Q334" s="436"/>
      <c r="R334" s="436"/>
      <c r="S334" s="669"/>
      <c r="T334" s="694"/>
      <c r="U334" s="694"/>
      <c r="V334" s="694"/>
      <c r="W334" s="694"/>
      <c r="X334" s="578"/>
      <c r="Y334" s="151"/>
      <c r="Z334" s="151"/>
    </row>
    <row r="335" spans="2:26" x14ac:dyDescent="0.35">
      <c r="B335" s="518"/>
      <c r="E335" s="519"/>
      <c r="F335" s="381" t="s">
        <v>405</v>
      </c>
      <c r="G335" s="575" t="s">
        <v>181</v>
      </c>
      <c r="H335" s="597"/>
      <c r="I335" s="598"/>
      <c r="J335" s="697"/>
      <c r="K335" s="698"/>
      <c r="L335" s="699"/>
      <c r="M335" s="379">
        <f>0.001*136</f>
        <v>0.13600000000000001</v>
      </c>
      <c r="N335" s="436">
        <v>1</v>
      </c>
      <c r="O335" s="693"/>
      <c r="P335" s="436"/>
      <c r="Q335" s="436"/>
      <c r="R335" s="436"/>
      <c r="S335" s="669"/>
      <c r="T335" s="694"/>
      <c r="U335" s="694"/>
      <c r="V335" s="694"/>
      <c r="W335" s="694"/>
      <c r="X335" s="578"/>
      <c r="Y335" s="151"/>
      <c r="Z335" s="151"/>
    </row>
    <row r="336" spans="2:26" x14ac:dyDescent="0.35">
      <c r="B336" s="504"/>
      <c r="C336" s="172" t="s">
        <v>542</v>
      </c>
      <c r="D336" s="172"/>
      <c r="E336" s="506"/>
      <c r="F336" s="151" t="s">
        <v>177</v>
      </c>
      <c r="G336" s="316" t="s">
        <v>178</v>
      </c>
      <c r="H336" s="317"/>
      <c r="I336" s="318"/>
      <c r="J336" s="316"/>
      <c r="K336" s="502"/>
      <c r="L336" s="577"/>
      <c r="M336" s="258"/>
      <c r="N336" s="259"/>
      <c r="O336" s="317"/>
      <c r="P336" s="496"/>
      <c r="Q336" s="496"/>
      <c r="R336" s="496"/>
      <c r="S336" s="521"/>
      <c r="T336" s="517"/>
      <c r="U336" s="517"/>
      <c r="V336" s="517"/>
      <c r="W336" s="517"/>
      <c r="X336" s="578"/>
      <c r="Y336" s="151"/>
      <c r="Z336" s="151"/>
    </row>
    <row r="337" spans="2:26" x14ac:dyDescent="0.35">
      <c r="B337" s="579"/>
      <c r="C337" s="580"/>
      <c r="D337" s="580"/>
      <c r="E337" s="581"/>
      <c r="F337" s="151"/>
      <c r="G337" s="316"/>
      <c r="H337" s="317"/>
      <c r="I337" s="318"/>
      <c r="J337" s="316"/>
      <c r="K337" s="502"/>
      <c r="L337" s="577"/>
      <c r="M337" s="258"/>
      <c r="N337" s="259"/>
      <c r="O337" s="317"/>
      <c r="P337" s="496"/>
      <c r="Q337" s="496"/>
      <c r="R337" s="496"/>
      <c r="S337" s="521"/>
      <c r="T337" s="517"/>
      <c r="U337" s="517"/>
      <c r="V337" s="517"/>
      <c r="W337" s="517"/>
      <c r="X337" s="578"/>
      <c r="Y337" s="151"/>
      <c r="Z337" s="151"/>
    </row>
    <row r="338" spans="2:26" x14ac:dyDescent="0.35">
      <c r="B338" s="660" t="s">
        <v>543</v>
      </c>
      <c r="C338" s="661"/>
      <c r="D338" s="661"/>
      <c r="E338" s="662"/>
      <c r="F338" s="532"/>
      <c r="G338" s="587"/>
      <c r="H338" s="588"/>
      <c r="I338" s="589"/>
      <c r="J338" s="587"/>
      <c r="K338" s="590"/>
      <c r="L338" s="591"/>
      <c r="M338" s="543"/>
      <c r="N338" s="544"/>
      <c r="O338" s="588"/>
      <c r="P338" s="592"/>
      <c r="Q338" s="592"/>
      <c r="R338" s="592"/>
      <c r="S338" s="663">
        <f>S300+S312+S328</f>
        <v>37230635.609691456</v>
      </c>
      <c r="T338" s="594"/>
      <c r="U338" s="594"/>
      <c r="V338" s="594"/>
      <c r="W338" s="594"/>
      <c r="X338" s="588"/>
      <c r="Y338" s="426">
        <f>S338/D1</f>
        <v>820781.20832653122</v>
      </c>
      <c r="Z338" s="664">
        <f>S338/$S$415*100</f>
        <v>7.4340585323832986</v>
      </c>
    </row>
    <row r="339" spans="2:26" x14ac:dyDescent="0.35">
      <c r="B339" s="595" t="s">
        <v>544</v>
      </c>
      <c r="C339" s="318"/>
      <c r="D339" s="318"/>
      <c r="E339" s="582"/>
      <c r="F339" s="151"/>
      <c r="G339" s="316"/>
      <c r="H339" s="317"/>
      <c r="I339" s="318"/>
      <c r="J339" s="316"/>
      <c r="K339" s="502"/>
      <c r="L339" s="577"/>
      <c r="M339" s="258"/>
      <c r="N339" s="259"/>
      <c r="O339" s="520"/>
      <c r="P339" s="496"/>
      <c r="Q339" s="496"/>
      <c r="R339" s="496"/>
      <c r="S339" s="521"/>
      <c r="T339" s="517"/>
      <c r="U339" s="517"/>
      <c r="V339" s="517"/>
      <c r="W339" s="517"/>
      <c r="X339" s="578"/>
      <c r="Y339" s="151"/>
      <c r="Z339" s="151"/>
    </row>
    <row r="340" spans="2:26" x14ac:dyDescent="0.35">
      <c r="B340" s="317"/>
      <c r="C340" s="318" t="s">
        <v>545</v>
      </c>
      <c r="E340" s="519"/>
      <c r="F340" s="151"/>
      <c r="G340" s="316"/>
      <c r="H340" s="317"/>
      <c r="I340" s="318"/>
      <c r="J340" s="316"/>
      <c r="K340" s="502"/>
      <c r="L340" s="577"/>
      <c r="M340" s="258"/>
      <c r="N340" s="259"/>
      <c r="O340" s="317"/>
      <c r="P340" s="496"/>
      <c r="Q340" s="496"/>
      <c r="R340" s="496"/>
      <c r="S340" s="521"/>
      <c r="T340" s="517"/>
      <c r="U340" s="517"/>
      <c r="V340" s="517"/>
      <c r="W340" s="517"/>
      <c r="X340" s="578"/>
      <c r="Y340" s="151"/>
      <c r="Z340" s="151"/>
    </row>
    <row r="341" spans="2:26" x14ac:dyDescent="0.35">
      <c r="B341" s="472"/>
      <c r="C341" s="473"/>
      <c r="D341" s="700" t="s">
        <v>546</v>
      </c>
      <c r="E341" s="701"/>
      <c r="F341" s="151" t="s">
        <v>177</v>
      </c>
      <c r="G341" s="316" t="s">
        <v>178</v>
      </c>
      <c r="H341" s="317"/>
      <c r="I341" s="318"/>
      <c r="J341" s="316" t="s">
        <v>179</v>
      </c>
      <c r="K341" s="433">
        <v>1</v>
      </c>
      <c r="L341" s="577">
        <v>45.36</v>
      </c>
      <c r="M341" s="476">
        <v>0.5</v>
      </c>
      <c r="N341" s="309">
        <v>4</v>
      </c>
      <c r="O341" s="520">
        <f t="shared" ref="O341:O369" si="52">K341*L341*M341*N341</f>
        <v>90.72</v>
      </c>
      <c r="P341" s="261">
        <v>140008</v>
      </c>
      <c r="Q341" s="496">
        <f t="shared" ref="Q341:Q369" si="53">P341*$O341</f>
        <v>12701525.76</v>
      </c>
      <c r="R341" s="261">
        <v>158800.57379999998</v>
      </c>
      <c r="S341" s="521">
        <f t="shared" ref="S341:S369" si="54">R341*$O341</f>
        <v>14406388.055135999</v>
      </c>
      <c r="T341" s="259">
        <v>163305.33120000002</v>
      </c>
      <c r="U341" s="517">
        <f t="shared" ref="U341:U369" si="55">$O341*T341</f>
        <v>14815059.646464001</v>
      </c>
      <c r="V341" s="259">
        <f>W341/O341</f>
        <v>154037.96833333335</v>
      </c>
      <c r="W341" s="267">
        <f t="shared" ref="W341:W369" si="56">AVERAGEIF($P$3:$U$3,W$3,$P341:$U341)</f>
        <v>13974324.487200001</v>
      </c>
      <c r="X341" s="578"/>
      <c r="Y341" s="492">
        <f>S341/$D$1</f>
        <v>317601.14759999997</v>
      </c>
      <c r="Z341" s="151"/>
    </row>
    <row r="342" spans="2:26" x14ac:dyDescent="0.35">
      <c r="B342" s="518"/>
      <c r="E342" s="519"/>
      <c r="F342" s="151" t="s">
        <v>353</v>
      </c>
      <c r="G342" s="316" t="s">
        <v>178</v>
      </c>
      <c r="H342" s="317"/>
      <c r="I342" s="318"/>
      <c r="J342" s="316" t="s">
        <v>179</v>
      </c>
      <c r="K342" s="433">
        <v>1</v>
      </c>
      <c r="L342" s="577">
        <v>45.36</v>
      </c>
      <c r="M342" s="476">
        <v>0.18</v>
      </c>
      <c r="N342" s="309">
        <f>N341</f>
        <v>4</v>
      </c>
      <c r="O342" s="520">
        <f t="shared" si="52"/>
        <v>32.659199999999998</v>
      </c>
      <c r="P342" s="261">
        <v>140008</v>
      </c>
      <c r="Q342" s="496">
        <f t="shared" si="53"/>
        <v>4572549.2736</v>
      </c>
      <c r="R342" s="261">
        <v>158800.57379999998</v>
      </c>
      <c r="S342" s="521">
        <f t="shared" si="54"/>
        <v>5186299.6998489592</v>
      </c>
      <c r="T342" s="259">
        <v>163305.33120000002</v>
      </c>
      <c r="U342" s="517">
        <f t="shared" si="55"/>
        <v>5333421.4727270398</v>
      </c>
      <c r="V342" s="687"/>
      <c r="W342" s="267">
        <f t="shared" si="56"/>
        <v>5030756.8153919997</v>
      </c>
      <c r="X342" s="578"/>
      <c r="Y342" s="492">
        <f t="shared" ref="Y342:Y380" si="57">S342/$D$1</f>
        <v>114336.41313599999</v>
      </c>
      <c r="Z342" s="151"/>
    </row>
    <row r="343" spans="2:26" x14ac:dyDescent="0.35">
      <c r="B343" s="518"/>
      <c r="E343" s="519"/>
      <c r="F343" s="151" t="s">
        <v>226</v>
      </c>
      <c r="G343" s="316" t="s">
        <v>178</v>
      </c>
      <c r="H343" s="317"/>
      <c r="I343" s="318"/>
      <c r="J343" s="316" t="s">
        <v>179</v>
      </c>
      <c r="K343" s="433">
        <v>1</v>
      </c>
      <c r="L343" s="577">
        <v>45.36</v>
      </c>
      <c r="M343" s="476">
        <f>M341</f>
        <v>0.5</v>
      </c>
      <c r="N343" s="309">
        <f t="shared" ref="N343:N348" si="58">N342</f>
        <v>4</v>
      </c>
      <c r="O343" s="520">
        <f t="shared" si="52"/>
        <v>90.72</v>
      </c>
      <c r="P343" s="261">
        <v>3700</v>
      </c>
      <c r="Q343" s="496">
        <f t="shared" si="53"/>
        <v>335664</v>
      </c>
      <c r="R343" s="261">
        <v>4196.6324999999997</v>
      </c>
      <c r="S343" s="521">
        <f t="shared" si="54"/>
        <v>380718.50039999996</v>
      </c>
      <c r="T343" s="259">
        <v>4490.6400000000003</v>
      </c>
      <c r="U343" s="517">
        <f t="shared" si="55"/>
        <v>407390.86080000002</v>
      </c>
      <c r="V343" s="259">
        <f t="shared" ref="V343:V369" si="59">W343/O343</f>
        <v>4129.0908333333346</v>
      </c>
      <c r="W343" s="267">
        <f t="shared" si="56"/>
        <v>374591.12040000007</v>
      </c>
      <c r="X343" s="578"/>
      <c r="Y343" s="492">
        <f t="shared" si="57"/>
        <v>8393.2649999999994</v>
      </c>
      <c r="Z343" s="151"/>
    </row>
    <row r="344" spans="2:26" x14ac:dyDescent="0.35">
      <c r="B344" s="518"/>
      <c r="D344" t="s">
        <v>547</v>
      </c>
      <c r="E344" s="519"/>
      <c r="F344" s="151" t="s">
        <v>354</v>
      </c>
      <c r="G344" s="316" t="s">
        <v>183</v>
      </c>
      <c r="H344" s="317">
        <v>1</v>
      </c>
      <c r="I344" s="318" t="s">
        <v>228</v>
      </c>
      <c r="J344" s="316" t="s">
        <v>179</v>
      </c>
      <c r="K344" s="433">
        <v>1</v>
      </c>
      <c r="L344" s="577">
        <v>45.36</v>
      </c>
      <c r="M344" s="476">
        <f>((M$341*N$341)/240)*($H344/N344)</f>
        <v>2.0833333333333333E-3</v>
      </c>
      <c r="N344" s="309">
        <f t="shared" si="58"/>
        <v>4</v>
      </c>
      <c r="O344" s="520">
        <f t="shared" si="52"/>
        <v>0.378</v>
      </c>
      <c r="P344" s="261">
        <v>5000</v>
      </c>
      <c r="Q344" s="496">
        <f t="shared" si="53"/>
        <v>1890</v>
      </c>
      <c r="R344" s="261">
        <v>5512.5</v>
      </c>
      <c r="S344" s="521">
        <f t="shared" si="54"/>
        <v>2083.7249999999999</v>
      </c>
      <c r="T344" s="259">
        <v>5832</v>
      </c>
      <c r="U344" s="517">
        <f t="shared" si="55"/>
        <v>2204.4960000000001</v>
      </c>
      <c r="V344" s="259">
        <f t="shared" si="59"/>
        <v>5448.1666666666661</v>
      </c>
      <c r="W344" s="267">
        <f t="shared" si="56"/>
        <v>2059.4069999999997</v>
      </c>
      <c r="X344" s="578"/>
      <c r="Y344" s="492">
        <f t="shared" si="57"/>
        <v>45.9375</v>
      </c>
      <c r="Z344" s="151"/>
    </row>
    <row r="345" spans="2:26" x14ac:dyDescent="0.35">
      <c r="B345" s="518"/>
      <c r="D345" t="s">
        <v>548</v>
      </c>
      <c r="E345" s="519"/>
      <c r="F345" s="151" t="s">
        <v>227</v>
      </c>
      <c r="G345" s="316" t="s">
        <v>183</v>
      </c>
      <c r="H345" s="317">
        <v>4</v>
      </c>
      <c r="I345" s="318" t="s">
        <v>228</v>
      </c>
      <c r="J345" s="316" t="s">
        <v>179</v>
      </c>
      <c r="K345" s="433">
        <v>1</v>
      </c>
      <c r="L345" s="577">
        <v>45.36</v>
      </c>
      <c r="M345" s="476">
        <f>((M$341*N$341)/240)*($H345/N345)</f>
        <v>8.3333333333333332E-3</v>
      </c>
      <c r="N345" s="309">
        <f t="shared" si="58"/>
        <v>4</v>
      </c>
      <c r="O345" s="520">
        <f t="shared" si="52"/>
        <v>1.512</v>
      </c>
      <c r="P345" s="261">
        <v>42840</v>
      </c>
      <c r="Q345" s="496">
        <f t="shared" si="53"/>
        <v>64774.080000000002</v>
      </c>
      <c r="R345" s="261">
        <v>47231.1</v>
      </c>
      <c r="S345" s="521">
        <f t="shared" si="54"/>
        <v>71413.423200000005</v>
      </c>
      <c r="T345" s="259">
        <v>49968.576000000008</v>
      </c>
      <c r="U345" s="517">
        <f t="shared" si="55"/>
        <v>75552.486912000008</v>
      </c>
      <c r="V345" s="259">
        <f t="shared" si="59"/>
        <v>46679.892</v>
      </c>
      <c r="W345" s="267">
        <f t="shared" si="56"/>
        <v>70579.996704000005</v>
      </c>
      <c r="X345" s="578"/>
      <c r="Y345" s="492">
        <f t="shared" si="57"/>
        <v>1574.3700000000001</v>
      </c>
      <c r="Z345" s="151"/>
    </row>
    <row r="346" spans="2:26" x14ac:dyDescent="0.35">
      <c r="B346" s="518"/>
      <c r="D346" t="s">
        <v>549</v>
      </c>
      <c r="E346" s="519"/>
      <c r="F346" s="151" t="s">
        <v>229</v>
      </c>
      <c r="G346" s="316" t="s">
        <v>183</v>
      </c>
      <c r="H346" s="317">
        <v>12</v>
      </c>
      <c r="I346" s="318" t="s">
        <v>228</v>
      </c>
      <c r="J346" s="316" t="s">
        <v>179</v>
      </c>
      <c r="K346" s="433">
        <v>1</v>
      </c>
      <c r="L346" s="577">
        <v>45.36</v>
      </c>
      <c r="M346" s="476">
        <f>((M$341*N$341)/240)*($H346/N346)</f>
        <v>2.5000000000000001E-2</v>
      </c>
      <c r="N346" s="309">
        <f t="shared" si="58"/>
        <v>4</v>
      </c>
      <c r="O346" s="520">
        <f t="shared" si="52"/>
        <v>4.5360000000000005</v>
      </c>
      <c r="P346" s="261">
        <v>14000</v>
      </c>
      <c r="Q346" s="496">
        <f t="shared" si="53"/>
        <v>63504.000000000007</v>
      </c>
      <c r="R346" s="261">
        <v>15435</v>
      </c>
      <c r="S346" s="521">
        <f t="shared" si="54"/>
        <v>70013.16</v>
      </c>
      <c r="T346" s="259">
        <v>16329.600000000002</v>
      </c>
      <c r="U346" s="517">
        <f t="shared" si="55"/>
        <v>74071.065600000016</v>
      </c>
      <c r="V346" s="259">
        <f t="shared" si="59"/>
        <v>15254.866666666667</v>
      </c>
      <c r="W346" s="267">
        <f t="shared" si="56"/>
        <v>69196.075200000007</v>
      </c>
      <c r="X346" s="578"/>
      <c r="Y346" s="492">
        <f t="shared" si="57"/>
        <v>1543.5</v>
      </c>
      <c r="Z346" s="151"/>
    </row>
    <row r="347" spans="2:26" x14ac:dyDescent="0.35">
      <c r="B347" s="518"/>
      <c r="D347" t="s">
        <v>550</v>
      </c>
      <c r="E347" s="519"/>
      <c r="F347" s="151" t="s">
        <v>231</v>
      </c>
      <c r="G347" s="316" t="s">
        <v>183</v>
      </c>
      <c r="H347" s="317">
        <v>2</v>
      </c>
      <c r="I347" s="318" t="s">
        <v>228</v>
      </c>
      <c r="J347" s="316" t="s">
        <v>179</v>
      </c>
      <c r="K347" s="433">
        <v>1</v>
      </c>
      <c r="L347" s="577">
        <v>45.36</v>
      </c>
      <c r="M347" s="476">
        <f>((M$341*N$341)/240)*($H347/N347)</f>
        <v>4.1666666666666666E-3</v>
      </c>
      <c r="N347" s="309">
        <f t="shared" si="58"/>
        <v>4</v>
      </c>
      <c r="O347" s="520">
        <f t="shared" si="52"/>
        <v>0.75600000000000001</v>
      </c>
      <c r="P347" s="261">
        <v>32130</v>
      </c>
      <c r="Q347" s="496">
        <f t="shared" si="53"/>
        <v>24290.28</v>
      </c>
      <c r="R347" s="261">
        <v>35423.325000000004</v>
      </c>
      <c r="S347" s="521">
        <f t="shared" si="54"/>
        <v>26780.033700000004</v>
      </c>
      <c r="T347" s="259">
        <v>37476.432000000001</v>
      </c>
      <c r="U347" s="517">
        <f t="shared" si="55"/>
        <v>28332.182592000001</v>
      </c>
      <c r="V347" s="259">
        <f t="shared" si="59"/>
        <v>35009.919000000002</v>
      </c>
      <c r="W347" s="267">
        <f t="shared" si="56"/>
        <v>26467.498764</v>
      </c>
      <c r="X347" s="578"/>
      <c r="Y347" s="492">
        <f t="shared" si="57"/>
        <v>590.38875000000007</v>
      </c>
      <c r="Z347" s="151"/>
    </row>
    <row r="348" spans="2:26" x14ac:dyDescent="0.35">
      <c r="B348" s="518"/>
      <c r="E348" s="519"/>
      <c r="F348" s="151" t="s">
        <v>232</v>
      </c>
      <c r="G348" s="316" t="s">
        <v>183</v>
      </c>
      <c r="H348" s="317">
        <v>1</v>
      </c>
      <c r="I348" s="318" t="s">
        <v>228</v>
      </c>
      <c r="J348" s="316" t="s">
        <v>179</v>
      </c>
      <c r="K348" s="433">
        <v>1</v>
      </c>
      <c r="L348" s="577">
        <v>45.36</v>
      </c>
      <c r="M348" s="476">
        <f>((M$341*N$341)/240)*($H348/N348)</f>
        <v>2.0833333333333333E-3</v>
      </c>
      <c r="N348" s="309">
        <f t="shared" si="58"/>
        <v>4</v>
      </c>
      <c r="O348" s="520">
        <f t="shared" si="52"/>
        <v>0.378</v>
      </c>
      <c r="P348" s="261">
        <v>85680</v>
      </c>
      <c r="Q348" s="496">
        <f t="shared" si="53"/>
        <v>32387.040000000001</v>
      </c>
      <c r="R348" s="261">
        <v>94462.2</v>
      </c>
      <c r="S348" s="521">
        <f t="shared" si="54"/>
        <v>35706.711600000002</v>
      </c>
      <c r="T348" s="259">
        <v>99937.152000000016</v>
      </c>
      <c r="U348" s="517">
        <f t="shared" si="55"/>
        <v>37776.243456000004</v>
      </c>
      <c r="V348" s="259">
        <f t="shared" si="59"/>
        <v>93359.784</v>
      </c>
      <c r="W348" s="267">
        <f t="shared" si="56"/>
        <v>35289.998352000002</v>
      </c>
      <c r="X348" s="578"/>
      <c r="Y348" s="492">
        <f t="shared" si="57"/>
        <v>787.18500000000006</v>
      </c>
      <c r="Z348" s="151"/>
    </row>
    <row r="349" spans="2:26" x14ac:dyDescent="0.35">
      <c r="B349" s="518"/>
      <c r="D349" t="s">
        <v>551</v>
      </c>
      <c r="E349" s="519"/>
      <c r="F349" s="428" t="s">
        <v>552</v>
      </c>
      <c r="G349" s="316" t="s">
        <v>181</v>
      </c>
      <c r="H349" s="317"/>
      <c r="I349" s="318"/>
      <c r="J349" s="316" t="s">
        <v>319</v>
      </c>
      <c r="K349" s="433">
        <v>1</v>
      </c>
      <c r="L349" s="577">
        <v>45.36</v>
      </c>
      <c r="M349" s="693">
        <f>(3050*136)/1000</f>
        <v>414.8</v>
      </c>
      <c r="N349" s="309">
        <v>1</v>
      </c>
      <c r="O349" s="520">
        <f t="shared" si="52"/>
        <v>18815.328000000001</v>
      </c>
      <c r="P349" s="261">
        <v>6152.5</v>
      </c>
      <c r="Q349" s="496">
        <f t="shared" si="53"/>
        <v>115761305.52000001</v>
      </c>
      <c r="R349" s="261">
        <v>6783.1312500000004</v>
      </c>
      <c r="S349" s="521">
        <f t="shared" si="54"/>
        <v>127626839.33580002</v>
      </c>
      <c r="T349" s="259">
        <v>7444.5250000000015</v>
      </c>
      <c r="U349" s="517">
        <f t="shared" si="55"/>
        <v>140071179.67920002</v>
      </c>
      <c r="V349" s="259">
        <f t="shared" si="59"/>
        <v>6793.3854166666679</v>
      </c>
      <c r="W349" s="267">
        <f t="shared" si="56"/>
        <v>127819774.84500003</v>
      </c>
      <c r="X349" s="578"/>
      <c r="Y349" s="492">
        <f t="shared" si="57"/>
        <v>2813642.8425000007</v>
      </c>
      <c r="Z349" s="151"/>
    </row>
    <row r="350" spans="2:26" x14ac:dyDescent="0.35">
      <c r="B350" s="606" t="s">
        <v>553</v>
      </c>
      <c r="C350" s="607"/>
      <c r="D350" s="607"/>
      <c r="E350" s="608"/>
      <c r="F350" s="609"/>
      <c r="G350" s="610"/>
      <c r="H350" s="611"/>
      <c r="I350" s="612"/>
      <c r="J350" s="610"/>
      <c r="K350" s="613"/>
      <c r="L350" s="614"/>
      <c r="M350" s="615"/>
      <c r="N350" s="616"/>
      <c r="O350" s="611"/>
      <c r="P350" s="617"/>
      <c r="Q350" s="617"/>
      <c r="R350" s="617"/>
      <c r="S350" s="618">
        <f>SUM(S341:S349)</f>
        <v>147806242.64468497</v>
      </c>
      <c r="T350" s="605"/>
      <c r="U350" s="605"/>
      <c r="V350" s="605"/>
      <c r="W350" s="605"/>
      <c r="X350" s="611"/>
      <c r="Y350" s="619">
        <f>S350/D1</f>
        <v>3258515.0494860001</v>
      </c>
      <c r="Z350" s="648">
        <f>S350/$S$415*100</f>
        <v>29.513336027661296</v>
      </c>
    </row>
    <row r="351" spans="2:26" x14ac:dyDescent="0.35">
      <c r="B351" s="472"/>
      <c r="C351" s="473"/>
      <c r="D351" s="700" t="s">
        <v>554</v>
      </c>
      <c r="E351" s="701"/>
      <c r="F351" s="151" t="s">
        <v>177</v>
      </c>
      <c r="G351" s="316" t="s">
        <v>178</v>
      </c>
      <c r="H351" s="317"/>
      <c r="I351" s="318"/>
      <c r="J351" s="316" t="s">
        <v>179</v>
      </c>
      <c r="K351" s="433">
        <v>1</v>
      </c>
      <c r="L351" s="577">
        <v>45.36</v>
      </c>
      <c r="M351" s="476">
        <v>0.5</v>
      </c>
      <c r="N351" s="309">
        <v>4</v>
      </c>
      <c r="O351" s="520">
        <f t="shared" si="52"/>
        <v>90.72</v>
      </c>
      <c r="P351" s="261">
        <v>140008</v>
      </c>
      <c r="Q351" s="496">
        <f t="shared" si="53"/>
        <v>12701525.76</v>
      </c>
      <c r="R351" s="261">
        <v>158800.57379999998</v>
      </c>
      <c r="S351" s="521">
        <f t="shared" si="54"/>
        <v>14406388.055135999</v>
      </c>
      <c r="T351" s="259">
        <v>163305.33120000002</v>
      </c>
      <c r="U351" s="517">
        <f t="shared" si="55"/>
        <v>14815059.646464001</v>
      </c>
      <c r="V351" s="259">
        <f t="shared" si="59"/>
        <v>154037.96833333335</v>
      </c>
      <c r="W351" s="267">
        <f t="shared" si="56"/>
        <v>13974324.487200001</v>
      </c>
      <c r="X351" s="578"/>
      <c r="Y351" s="492">
        <f t="shared" si="57"/>
        <v>317601.14759999997</v>
      </c>
      <c r="Z351" s="151"/>
    </row>
    <row r="352" spans="2:26" x14ac:dyDescent="0.35">
      <c r="B352" s="518"/>
      <c r="E352" s="519"/>
      <c r="F352" s="151" t="s">
        <v>353</v>
      </c>
      <c r="G352" s="316" t="s">
        <v>178</v>
      </c>
      <c r="H352" s="317"/>
      <c r="I352" s="318"/>
      <c r="J352" s="316" t="s">
        <v>179</v>
      </c>
      <c r="K352" s="433">
        <v>1</v>
      </c>
      <c r="L352" s="577">
        <v>45.36</v>
      </c>
      <c r="M352" s="476">
        <v>0.18</v>
      </c>
      <c r="N352" s="309">
        <f>N351</f>
        <v>4</v>
      </c>
      <c r="O352" s="520">
        <f t="shared" si="52"/>
        <v>32.659199999999998</v>
      </c>
      <c r="P352" s="261">
        <v>140008</v>
      </c>
      <c r="Q352" s="496">
        <f t="shared" si="53"/>
        <v>4572549.2736</v>
      </c>
      <c r="R352" s="261">
        <v>158800.57379999998</v>
      </c>
      <c r="S352" s="521">
        <f t="shared" si="54"/>
        <v>5186299.6998489592</v>
      </c>
      <c r="T352" s="259">
        <v>163305.33120000002</v>
      </c>
      <c r="U352" s="517">
        <f t="shared" si="55"/>
        <v>5333421.4727270398</v>
      </c>
      <c r="V352" s="259">
        <f t="shared" si="59"/>
        <v>154037.96833333332</v>
      </c>
      <c r="W352" s="267">
        <f t="shared" si="56"/>
        <v>5030756.8153919997</v>
      </c>
      <c r="X352" s="578"/>
      <c r="Y352" s="492">
        <f t="shared" si="57"/>
        <v>114336.41313599999</v>
      </c>
      <c r="Z352" s="151"/>
    </row>
    <row r="353" spans="2:26" x14ac:dyDescent="0.35">
      <c r="B353" s="518"/>
      <c r="D353" t="s">
        <v>555</v>
      </c>
      <c r="E353" s="519"/>
      <c r="F353" s="151" t="s">
        <v>226</v>
      </c>
      <c r="G353" s="316" t="s">
        <v>178</v>
      </c>
      <c r="H353" s="317"/>
      <c r="I353" s="318"/>
      <c r="J353" s="316" t="s">
        <v>179</v>
      </c>
      <c r="K353" s="433">
        <v>1</v>
      </c>
      <c r="L353" s="577">
        <v>45.36</v>
      </c>
      <c r="M353" s="476">
        <f>M351</f>
        <v>0.5</v>
      </c>
      <c r="N353" s="309">
        <f t="shared" ref="N353:N358" si="60">N352</f>
        <v>4</v>
      </c>
      <c r="O353" s="520">
        <f t="shared" si="52"/>
        <v>90.72</v>
      </c>
      <c r="P353" s="261">
        <v>3700</v>
      </c>
      <c r="Q353" s="496">
        <f t="shared" si="53"/>
        <v>335664</v>
      </c>
      <c r="R353" s="261">
        <v>4196.6324999999997</v>
      </c>
      <c r="S353" s="521">
        <f t="shared" si="54"/>
        <v>380718.50039999996</v>
      </c>
      <c r="T353" s="259">
        <v>4490.6400000000003</v>
      </c>
      <c r="U353" s="517">
        <f t="shared" si="55"/>
        <v>407390.86080000002</v>
      </c>
      <c r="V353" s="259">
        <f t="shared" si="59"/>
        <v>4129.0908333333346</v>
      </c>
      <c r="W353" s="267">
        <f t="shared" si="56"/>
        <v>374591.12040000007</v>
      </c>
      <c r="X353" s="578"/>
      <c r="Y353" s="492">
        <f t="shared" si="57"/>
        <v>8393.2649999999994</v>
      </c>
      <c r="Z353" s="151"/>
    </row>
    <row r="354" spans="2:26" x14ac:dyDescent="0.35">
      <c r="B354" s="518"/>
      <c r="D354" t="s">
        <v>556</v>
      </c>
      <c r="E354" s="519"/>
      <c r="F354" s="151" t="s">
        <v>354</v>
      </c>
      <c r="G354" s="316" t="s">
        <v>183</v>
      </c>
      <c r="H354" s="317">
        <v>1</v>
      </c>
      <c r="I354" s="318" t="s">
        <v>228</v>
      </c>
      <c r="J354" s="316" t="s">
        <v>179</v>
      </c>
      <c r="K354" s="433">
        <v>1</v>
      </c>
      <c r="L354" s="577">
        <v>45.36</v>
      </c>
      <c r="M354" s="476">
        <f>((M$351*N$351)/240)*($H354/N354)</f>
        <v>2.0833333333333333E-3</v>
      </c>
      <c r="N354" s="309">
        <v>4</v>
      </c>
      <c r="O354" s="520">
        <f t="shared" si="52"/>
        <v>0.378</v>
      </c>
      <c r="P354" s="261">
        <v>5000</v>
      </c>
      <c r="Q354" s="496">
        <f t="shared" si="53"/>
        <v>1890</v>
      </c>
      <c r="R354" s="261">
        <v>5512.5</v>
      </c>
      <c r="S354" s="521">
        <f t="shared" si="54"/>
        <v>2083.7249999999999</v>
      </c>
      <c r="T354" s="259">
        <v>5832</v>
      </c>
      <c r="U354" s="517">
        <f t="shared" si="55"/>
        <v>2204.4960000000001</v>
      </c>
      <c r="V354" s="259">
        <f t="shared" si="59"/>
        <v>5448.1666666666661</v>
      </c>
      <c r="W354" s="267">
        <f t="shared" si="56"/>
        <v>2059.4069999999997</v>
      </c>
      <c r="X354" s="578"/>
      <c r="Y354" s="492">
        <f t="shared" si="57"/>
        <v>45.9375</v>
      </c>
      <c r="Z354" s="151"/>
    </row>
    <row r="355" spans="2:26" x14ac:dyDescent="0.35">
      <c r="B355" s="518"/>
      <c r="D355" t="s">
        <v>557</v>
      </c>
      <c r="E355" s="519"/>
      <c r="F355" s="151" t="s">
        <v>227</v>
      </c>
      <c r="G355" s="316" t="s">
        <v>183</v>
      </c>
      <c r="H355" s="317">
        <v>4</v>
      </c>
      <c r="I355" s="318" t="s">
        <v>228</v>
      </c>
      <c r="J355" s="316" t="s">
        <v>179</v>
      </c>
      <c r="K355" s="433">
        <v>1</v>
      </c>
      <c r="L355" s="577">
        <v>45.36</v>
      </c>
      <c r="M355" s="476">
        <f>((M$351*N$351)/240)*($H355/N355)</f>
        <v>8.3333333333333332E-3</v>
      </c>
      <c r="N355" s="309">
        <f t="shared" si="60"/>
        <v>4</v>
      </c>
      <c r="O355" s="520">
        <f t="shared" si="52"/>
        <v>1.512</v>
      </c>
      <c r="P355" s="261">
        <v>42840</v>
      </c>
      <c r="Q355" s="496">
        <f t="shared" si="53"/>
        <v>64774.080000000002</v>
      </c>
      <c r="R355" s="261">
        <v>47231.1</v>
      </c>
      <c r="S355" s="521">
        <f t="shared" si="54"/>
        <v>71413.423200000005</v>
      </c>
      <c r="T355" s="259">
        <v>49968.576000000008</v>
      </c>
      <c r="U355" s="517">
        <f t="shared" si="55"/>
        <v>75552.486912000008</v>
      </c>
      <c r="V355" s="259">
        <f t="shared" si="59"/>
        <v>46679.892</v>
      </c>
      <c r="W355" s="267">
        <f t="shared" si="56"/>
        <v>70579.996704000005</v>
      </c>
      <c r="X355" s="578"/>
      <c r="Y355" s="492">
        <f t="shared" si="57"/>
        <v>1574.3700000000001</v>
      </c>
      <c r="Z355" s="151"/>
    </row>
    <row r="356" spans="2:26" x14ac:dyDescent="0.35">
      <c r="B356" s="518"/>
      <c r="D356" t="s">
        <v>558</v>
      </c>
      <c r="E356" s="519"/>
      <c r="F356" s="151" t="s">
        <v>229</v>
      </c>
      <c r="G356" s="316" t="s">
        <v>183</v>
      </c>
      <c r="H356" s="317">
        <v>12</v>
      </c>
      <c r="I356" s="318" t="s">
        <v>228</v>
      </c>
      <c r="J356" s="316" t="s">
        <v>179</v>
      </c>
      <c r="K356" s="433">
        <v>1</v>
      </c>
      <c r="L356" s="577">
        <v>45.36</v>
      </c>
      <c r="M356" s="476">
        <f>((M$351*N$351)/240)*($H356/N356)</f>
        <v>2.5000000000000001E-2</v>
      </c>
      <c r="N356" s="309">
        <f t="shared" si="60"/>
        <v>4</v>
      </c>
      <c r="O356" s="520">
        <f t="shared" si="52"/>
        <v>4.5360000000000005</v>
      </c>
      <c r="P356" s="261">
        <v>14000</v>
      </c>
      <c r="Q356" s="496">
        <f t="shared" si="53"/>
        <v>63504.000000000007</v>
      </c>
      <c r="R356" s="261">
        <v>15435</v>
      </c>
      <c r="S356" s="521">
        <f t="shared" si="54"/>
        <v>70013.16</v>
      </c>
      <c r="T356" s="259">
        <v>16329.600000000002</v>
      </c>
      <c r="U356" s="517">
        <f t="shared" si="55"/>
        <v>74071.065600000016</v>
      </c>
      <c r="V356" s="259">
        <f t="shared" si="59"/>
        <v>15254.866666666667</v>
      </c>
      <c r="W356" s="267">
        <f t="shared" si="56"/>
        <v>69196.075200000007</v>
      </c>
      <c r="X356" s="578"/>
      <c r="Y356" s="492">
        <f t="shared" si="57"/>
        <v>1543.5</v>
      </c>
      <c r="Z356" s="151"/>
    </row>
    <row r="357" spans="2:26" x14ac:dyDescent="0.35">
      <c r="B357" s="518"/>
      <c r="E357" s="519"/>
      <c r="F357" s="151" t="s">
        <v>231</v>
      </c>
      <c r="G357" s="316" t="s">
        <v>183</v>
      </c>
      <c r="H357" s="317">
        <v>2</v>
      </c>
      <c r="I357" s="318" t="s">
        <v>228</v>
      </c>
      <c r="J357" s="316" t="s">
        <v>179</v>
      </c>
      <c r="K357" s="433">
        <v>1</v>
      </c>
      <c r="L357" s="577">
        <v>45.36</v>
      </c>
      <c r="M357" s="476">
        <f>((M$351*N$351)/240)*($H357/N357)</f>
        <v>4.1666666666666666E-3</v>
      </c>
      <c r="N357" s="309">
        <f t="shared" si="60"/>
        <v>4</v>
      </c>
      <c r="O357" s="520">
        <f t="shared" si="52"/>
        <v>0.75600000000000001</v>
      </c>
      <c r="P357" s="261">
        <v>32130</v>
      </c>
      <c r="Q357" s="496">
        <f t="shared" si="53"/>
        <v>24290.28</v>
      </c>
      <c r="R357" s="261">
        <v>35423.325000000004</v>
      </c>
      <c r="S357" s="521">
        <f t="shared" si="54"/>
        <v>26780.033700000004</v>
      </c>
      <c r="T357" s="259">
        <v>37476.432000000001</v>
      </c>
      <c r="U357" s="517">
        <f t="shared" si="55"/>
        <v>28332.182592000001</v>
      </c>
      <c r="V357" s="259">
        <f t="shared" si="59"/>
        <v>35009.919000000002</v>
      </c>
      <c r="W357" s="267">
        <f t="shared" si="56"/>
        <v>26467.498764</v>
      </c>
      <c r="X357" s="578"/>
      <c r="Y357" s="492">
        <f t="shared" si="57"/>
        <v>590.38875000000007</v>
      </c>
      <c r="Z357" s="151"/>
    </row>
    <row r="358" spans="2:26" x14ac:dyDescent="0.35">
      <c r="B358" s="518"/>
      <c r="E358" s="519"/>
      <c r="F358" s="151" t="s">
        <v>232</v>
      </c>
      <c r="G358" s="316" t="s">
        <v>183</v>
      </c>
      <c r="H358" s="317">
        <v>1</v>
      </c>
      <c r="I358" s="318" t="s">
        <v>228</v>
      </c>
      <c r="J358" s="316" t="s">
        <v>179</v>
      </c>
      <c r="K358" s="433">
        <v>1</v>
      </c>
      <c r="L358" s="577">
        <v>45.36</v>
      </c>
      <c r="M358" s="476">
        <f>((M$351*N$351)/240)*($H358/N358)</f>
        <v>2.0833333333333333E-3</v>
      </c>
      <c r="N358" s="309">
        <f t="shared" si="60"/>
        <v>4</v>
      </c>
      <c r="O358" s="520">
        <f t="shared" si="52"/>
        <v>0.378</v>
      </c>
      <c r="P358" s="261">
        <v>85680</v>
      </c>
      <c r="Q358" s="496">
        <f t="shared" si="53"/>
        <v>32387.040000000001</v>
      </c>
      <c r="R358" s="261">
        <v>94462.2</v>
      </c>
      <c r="S358" s="521">
        <f t="shared" si="54"/>
        <v>35706.711600000002</v>
      </c>
      <c r="T358" s="259">
        <v>99937.152000000016</v>
      </c>
      <c r="U358" s="517">
        <f t="shared" si="55"/>
        <v>37776.243456000004</v>
      </c>
      <c r="V358" s="259">
        <f t="shared" si="59"/>
        <v>93359.784</v>
      </c>
      <c r="W358" s="267">
        <f t="shared" si="56"/>
        <v>35289.998352000002</v>
      </c>
      <c r="X358" s="578"/>
      <c r="Y358" s="492">
        <f t="shared" si="57"/>
        <v>787.18500000000006</v>
      </c>
      <c r="Z358" s="151"/>
    </row>
    <row r="359" spans="2:26" x14ac:dyDescent="0.35">
      <c r="B359" s="518"/>
      <c r="E359" s="519"/>
      <c r="F359" s="428" t="s">
        <v>379</v>
      </c>
      <c r="G359" s="316" t="s">
        <v>181</v>
      </c>
      <c r="H359" s="317"/>
      <c r="I359" s="318"/>
      <c r="J359" s="316" t="s">
        <v>319</v>
      </c>
      <c r="K359" s="433">
        <v>1</v>
      </c>
      <c r="L359" s="577">
        <v>45.36</v>
      </c>
      <c r="M359" s="693">
        <f>(750*136)/1000</f>
        <v>102</v>
      </c>
      <c r="N359" s="309">
        <v>1</v>
      </c>
      <c r="O359" s="520">
        <f t="shared" si="52"/>
        <v>4626.72</v>
      </c>
      <c r="P359" s="261">
        <v>870</v>
      </c>
      <c r="Q359" s="496">
        <f t="shared" si="53"/>
        <v>4025246.4000000004</v>
      </c>
      <c r="R359" s="261">
        <v>959.17500000000007</v>
      </c>
      <c r="S359" s="521">
        <f t="shared" si="54"/>
        <v>4437834.1560000004</v>
      </c>
      <c r="T359" s="259">
        <v>1052.7000000000003</v>
      </c>
      <c r="U359" s="517">
        <f t="shared" si="55"/>
        <v>4870548.1440000013</v>
      </c>
      <c r="V359" s="259">
        <f t="shared" si="59"/>
        <v>960.62500000000023</v>
      </c>
      <c r="W359" s="267">
        <f t="shared" si="56"/>
        <v>4444542.9000000013</v>
      </c>
      <c r="X359" s="578"/>
      <c r="Y359" s="492">
        <f t="shared" si="57"/>
        <v>97835.85</v>
      </c>
      <c r="Z359" s="151"/>
    </row>
    <row r="360" spans="2:26" x14ac:dyDescent="0.35">
      <c r="B360" s="606" t="s">
        <v>559</v>
      </c>
      <c r="C360" s="607"/>
      <c r="D360" s="607"/>
      <c r="E360" s="608"/>
      <c r="F360" s="609"/>
      <c r="G360" s="610"/>
      <c r="H360" s="611"/>
      <c r="I360" s="612"/>
      <c r="J360" s="610"/>
      <c r="K360" s="613"/>
      <c r="L360" s="614"/>
      <c r="M360" s="615"/>
      <c r="N360" s="616"/>
      <c r="O360" s="611"/>
      <c r="P360" s="617"/>
      <c r="Q360" s="617"/>
      <c r="R360" s="617"/>
      <c r="S360" s="618">
        <f>SUM(S351:S359)</f>
        <v>24617237.464884959</v>
      </c>
      <c r="T360" s="605"/>
      <c r="U360" s="605"/>
      <c r="V360" s="605"/>
      <c r="W360" s="605"/>
      <c r="X360" s="611"/>
      <c r="Y360" s="619">
        <f>S360/D1</f>
        <v>542708.05698600004</v>
      </c>
      <c r="Z360" s="648">
        <f>S360/$S$415*100</f>
        <v>4.9154676309607721</v>
      </c>
    </row>
    <row r="361" spans="2:26" x14ac:dyDescent="0.35">
      <c r="B361" s="472"/>
      <c r="C361" s="473"/>
      <c r="D361" s="700" t="s">
        <v>560</v>
      </c>
      <c r="E361" s="701"/>
      <c r="F361" s="151" t="s">
        <v>177</v>
      </c>
      <c r="G361" s="316" t="s">
        <v>178</v>
      </c>
      <c r="H361" s="317"/>
      <c r="I361" s="318"/>
      <c r="J361" s="316" t="s">
        <v>179</v>
      </c>
      <c r="K361" s="433">
        <v>1</v>
      </c>
      <c r="L361" s="577">
        <v>45.36</v>
      </c>
      <c r="M361" s="476">
        <v>0.2</v>
      </c>
      <c r="N361" s="309">
        <v>1</v>
      </c>
      <c r="O361" s="520">
        <f t="shared" si="52"/>
        <v>9.072000000000001</v>
      </c>
      <c r="P361" s="261">
        <v>140008</v>
      </c>
      <c r="Q361" s="496">
        <f t="shared" si="53"/>
        <v>1270152.5760000001</v>
      </c>
      <c r="R361" s="261">
        <v>158800.57379999998</v>
      </c>
      <c r="S361" s="521">
        <f t="shared" si="54"/>
        <v>1440638.8055135999</v>
      </c>
      <c r="T361" s="259">
        <v>163305.33120000002</v>
      </c>
      <c r="U361" s="517">
        <f t="shared" si="55"/>
        <v>1481505.9646464002</v>
      </c>
      <c r="V361" s="259">
        <f t="shared" si="59"/>
        <v>154037.96833333332</v>
      </c>
      <c r="W361" s="267">
        <f t="shared" si="56"/>
        <v>1397432.44872</v>
      </c>
      <c r="X361" s="578"/>
      <c r="Y361" s="492">
        <f t="shared" si="57"/>
        <v>31760.114759999997</v>
      </c>
      <c r="Z361" s="151"/>
    </row>
    <row r="362" spans="2:26" x14ac:dyDescent="0.35">
      <c r="B362" s="518"/>
      <c r="D362" t="s">
        <v>561</v>
      </c>
      <c r="E362" s="519"/>
      <c r="F362" s="151" t="s">
        <v>353</v>
      </c>
      <c r="G362" s="316" t="s">
        <v>178</v>
      </c>
      <c r="H362" s="317"/>
      <c r="I362" s="318"/>
      <c r="J362" s="316" t="s">
        <v>179</v>
      </c>
      <c r="K362" s="433">
        <v>1</v>
      </c>
      <c r="L362" s="577">
        <v>45.36</v>
      </c>
      <c r="M362" s="476">
        <v>0.18</v>
      </c>
      <c r="N362" s="309">
        <f>N361</f>
        <v>1</v>
      </c>
      <c r="O362" s="520">
        <f t="shared" si="52"/>
        <v>8.1647999999999996</v>
      </c>
      <c r="P362" s="261">
        <v>140008</v>
      </c>
      <c r="Q362" s="496">
        <f t="shared" si="53"/>
        <v>1143137.3184</v>
      </c>
      <c r="R362" s="261">
        <v>158800.57379999998</v>
      </c>
      <c r="S362" s="521">
        <f t="shared" si="54"/>
        <v>1296574.9249622398</v>
      </c>
      <c r="T362" s="259">
        <v>163305.33120000002</v>
      </c>
      <c r="U362" s="517">
        <f t="shared" si="55"/>
        <v>1333355.36818176</v>
      </c>
      <c r="V362" s="259">
        <f t="shared" si="59"/>
        <v>154037.96833333332</v>
      </c>
      <c r="W362" s="267">
        <f t="shared" si="56"/>
        <v>1257689.2038479999</v>
      </c>
      <c r="X362" s="578"/>
      <c r="Y362" s="492">
        <f t="shared" si="57"/>
        <v>28584.103283999997</v>
      </c>
      <c r="Z362" s="151"/>
    </row>
    <row r="363" spans="2:26" x14ac:dyDescent="0.35">
      <c r="B363" s="518"/>
      <c r="E363" s="519"/>
      <c r="F363" s="151" t="s">
        <v>226</v>
      </c>
      <c r="G363" s="316" t="s">
        <v>178</v>
      </c>
      <c r="H363" s="317"/>
      <c r="I363" s="318"/>
      <c r="J363" s="316" t="s">
        <v>179</v>
      </c>
      <c r="K363" s="433">
        <v>1</v>
      </c>
      <c r="L363" s="577">
        <v>45.36</v>
      </c>
      <c r="M363" s="476">
        <f>M361</f>
        <v>0.2</v>
      </c>
      <c r="N363" s="309">
        <f t="shared" ref="N363:N368" si="61">N362</f>
        <v>1</v>
      </c>
      <c r="O363" s="520">
        <f t="shared" si="52"/>
        <v>9.072000000000001</v>
      </c>
      <c r="P363" s="261">
        <v>3700</v>
      </c>
      <c r="Q363" s="496">
        <f t="shared" si="53"/>
        <v>33566.400000000001</v>
      </c>
      <c r="R363" s="261">
        <v>4196.6324999999997</v>
      </c>
      <c r="S363" s="521">
        <f t="shared" si="54"/>
        <v>38071.850040000005</v>
      </c>
      <c r="T363" s="259">
        <v>4490.6400000000003</v>
      </c>
      <c r="U363" s="517">
        <f t="shared" si="55"/>
        <v>40739.086080000008</v>
      </c>
      <c r="V363" s="259">
        <f t="shared" si="59"/>
        <v>4129.0908333333336</v>
      </c>
      <c r="W363" s="267">
        <f t="shared" si="56"/>
        <v>37459.112040000007</v>
      </c>
      <c r="X363" s="578"/>
      <c r="Y363" s="492">
        <f t="shared" si="57"/>
        <v>839.32650000000012</v>
      </c>
      <c r="Z363" s="151"/>
    </row>
    <row r="364" spans="2:26" x14ac:dyDescent="0.35">
      <c r="B364" s="518"/>
      <c r="E364" s="519"/>
      <c r="F364" s="151" t="s">
        <v>354</v>
      </c>
      <c r="G364" s="316" t="s">
        <v>183</v>
      </c>
      <c r="H364" s="317">
        <v>1</v>
      </c>
      <c r="I364" s="318" t="s">
        <v>228</v>
      </c>
      <c r="J364" s="316" t="s">
        <v>179</v>
      </c>
      <c r="K364" s="433">
        <v>1</v>
      </c>
      <c r="L364" s="577">
        <v>45.36</v>
      </c>
      <c r="M364" s="476">
        <f>((M$351*N$351)/240)*($H364/N364)</f>
        <v>8.3333333333333332E-3</v>
      </c>
      <c r="N364" s="309">
        <f t="shared" si="61"/>
        <v>1</v>
      </c>
      <c r="O364" s="520">
        <f t="shared" si="52"/>
        <v>0.378</v>
      </c>
      <c r="P364" s="261">
        <v>5000</v>
      </c>
      <c r="Q364" s="496">
        <f t="shared" si="53"/>
        <v>1890</v>
      </c>
      <c r="R364" s="261">
        <v>5512.5</v>
      </c>
      <c r="S364" s="521">
        <f t="shared" si="54"/>
        <v>2083.7249999999999</v>
      </c>
      <c r="T364" s="259">
        <v>5832</v>
      </c>
      <c r="U364" s="517">
        <f t="shared" si="55"/>
        <v>2204.4960000000001</v>
      </c>
      <c r="V364" s="259">
        <f t="shared" si="59"/>
        <v>5448.1666666666661</v>
      </c>
      <c r="W364" s="267">
        <f t="shared" si="56"/>
        <v>2059.4069999999997</v>
      </c>
      <c r="X364" s="578"/>
      <c r="Y364" s="492">
        <f t="shared" si="57"/>
        <v>45.9375</v>
      </c>
      <c r="Z364" s="151"/>
    </row>
    <row r="365" spans="2:26" x14ac:dyDescent="0.35">
      <c r="B365" s="518"/>
      <c r="E365" s="519"/>
      <c r="F365" s="151" t="s">
        <v>227</v>
      </c>
      <c r="G365" s="316" t="s">
        <v>183</v>
      </c>
      <c r="H365" s="317">
        <v>4</v>
      </c>
      <c r="I365" s="318" t="s">
        <v>228</v>
      </c>
      <c r="J365" s="316" t="s">
        <v>179</v>
      </c>
      <c r="K365" s="433">
        <v>1</v>
      </c>
      <c r="L365" s="577">
        <v>45.36</v>
      </c>
      <c r="M365" s="476">
        <f>((M$351*N$351)/240)*($H365/N365)</f>
        <v>3.3333333333333333E-2</v>
      </c>
      <c r="N365" s="309">
        <f t="shared" si="61"/>
        <v>1</v>
      </c>
      <c r="O365" s="520">
        <f t="shared" si="52"/>
        <v>1.512</v>
      </c>
      <c r="P365" s="261">
        <v>42840</v>
      </c>
      <c r="Q365" s="496">
        <f t="shared" si="53"/>
        <v>64774.080000000002</v>
      </c>
      <c r="R365" s="261">
        <v>47231.1</v>
      </c>
      <c r="S365" s="521">
        <f t="shared" si="54"/>
        <v>71413.423200000005</v>
      </c>
      <c r="T365" s="259">
        <v>49968.576000000008</v>
      </c>
      <c r="U365" s="517">
        <f t="shared" si="55"/>
        <v>75552.486912000008</v>
      </c>
      <c r="V365" s="259">
        <f t="shared" si="59"/>
        <v>46679.892</v>
      </c>
      <c r="W365" s="267">
        <f t="shared" si="56"/>
        <v>70579.996704000005</v>
      </c>
      <c r="X365" s="578"/>
      <c r="Y365" s="492">
        <f t="shared" si="57"/>
        <v>1574.3700000000001</v>
      </c>
      <c r="Z365" s="151"/>
    </row>
    <row r="366" spans="2:26" x14ac:dyDescent="0.35">
      <c r="B366" s="518"/>
      <c r="E366" s="519"/>
      <c r="F366" s="151" t="s">
        <v>229</v>
      </c>
      <c r="G366" s="316" t="s">
        <v>183</v>
      </c>
      <c r="H366" s="317">
        <v>12</v>
      </c>
      <c r="I366" s="318" t="s">
        <v>228</v>
      </c>
      <c r="J366" s="316" t="s">
        <v>179</v>
      </c>
      <c r="K366" s="433">
        <v>1</v>
      </c>
      <c r="L366" s="577">
        <v>45.36</v>
      </c>
      <c r="M366" s="476">
        <f>((M$351*N$351)/240)*($H366/N366)</f>
        <v>0.1</v>
      </c>
      <c r="N366" s="309">
        <f t="shared" si="61"/>
        <v>1</v>
      </c>
      <c r="O366" s="520">
        <f t="shared" si="52"/>
        <v>4.5360000000000005</v>
      </c>
      <c r="P366" s="261">
        <v>14000</v>
      </c>
      <c r="Q366" s="496">
        <f t="shared" si="53"/>
        <v>63504.000000000007</v>
      </c>
      <c r="R366" s="261">
        <v>15435</v>
      </c>
      <c r="S366" s="521">
        <f t="shared" si="54"/>
        <v>70013.16</v>
      </c>
      <c r="T366" s="259">
        <v>16329.600000000002</v>
      </c>
      <c r="U366" s="517">
        <f t="shared" si="55"/>
        <v>74071.065600000016</v>
      </c>
      <c r="V366" s="259">
        <f t="shared" si="59"/>
        <v>15254.866666666667</v>
      </c>
      <c r="W366" s="267">
        <f t="shared" si="56"/>
        <v>69196.075200000007</v>
      </c>
      <c r="X366" s="578"/>
      <c r="Y366" s="492">
        <f t="shared" si="57"/>
        <v>1543.5</v>
      </c>
      <c r="Z366" s="151"/>
    </row>
    <row r="367" spans="2:26" x14ac:dyDescent="0.35">
      <c r="B367" s="518"/>
      <c r="E367" s="519"/>
      <c r="F367" s="151" t="s">
        <v>231</v>
      </c>
      <c r="G367" s="316" t="s">
        <v>183</v>
      </c>
      <c r="H367" s="317">
        <v>2</v>
      </c>
      <c r="I367" s="318" t="s">
        <v>228</v>
      </c>
      <c r="J367" s="316" t="s">
        <v>179</v>
      </c>
      <c r="K367" s="433">
        <v>1</v>
      </c>
      <c r="L367" s="577">
        <v>45.36</v>
      </c>
      <c r="M367" s="476">
        <f>((M$351*N$351)/240)*($H367/N367)</f>
        <v>1.6666666666666666E-2</v>
      </c>
      <c r="N367" s="309">
        <f t="shared" si="61"/>
        <v>1</v>
      </c>
      <c r="O367" s="520">
        <f t="shared" si="52"/>
        <v>0.75600000000000001</v>
      </c>
      <c r="P367" s="261">
        <v>32130</v>
      </c>
      <c r="Q367" s="496">
        <f t="shared" si="53"/>
        <v>24290.28</v>
      </c>
      <c r="R367" s="261">
        <v>35423.325000000004</v>
      </c>
      <c r="S367" s="521">
        <f t="shared" si="54"/>
        <v>26780.033700000004</v>
      </c>
      <c r="T367" s="259">
        <v>37476.432000000001</v>
      </c>
      <c r="U367" s="517">
        <f t="shared" si="55"/>
        <v>28332.182592000001</v>
      </c>
      <c r="V367" s="259">
        <f t="shared" si="59"/>
        <v>35009.919000000002</v>
      </c>
      <c r="W367" s="267">
        <f t="shared" si="56"/>
        <v>26467.498764</v>
      </c>
      <c r="X367" s="578"/>
      <c r="Y367" s="492">
        <f t="shared" si="57"/>
        <v>590.38875000000007</v>
      </c>
      <c r="Z367" s="151"/>
    </row>
    <row r="368" spans="2:26" x14ac:dyDescent="0.35">
      <c r="B368" s="518"/>
      <c r="E368" s="519"/>
      <c r="F368" s="151" t="s">
        <v>232</v>
      </c>
      <c r="G368" s="316" t="s">
        <v>183</v>
      </c>
      <c r="H368" s="317">
        <v>1</v>
      </c>
      <c r="I368" s="318" t="s">
        <v>228</v>
      </c>
      <c r="J368" s="316" t="s">
        <v>179</v>
      </c>
      <c r="K368" s="433">
        <v>1</v>
      </c>
      <c r="L368" s="577">
        <v>45.36</v>
      </c>
      <c r="M368" s="476">
        <f>((M$351*N$351)/240)*($H368/N368)</f>
        <v>8.3333333333333332E-3</v>
      </c>
      <c r="N368" s="309">
        <f t="shared" si="61"/>
        <v>1</v>
      </c>
      <c r="O368" s="520">
        <f t="shared" si="52"/>
        <v>0.378</v>
      </c>
      <c r="P368" s="261">
        <v>85680</v>
      </c>
      <c r="Q368" s="496">
        <f t="shared" si="53"/>
        <v>32387.040000000001</v>
      </c>
      <c r="R368" s="261">
        <v>94462.2</v>
      </c>
      <c r="S368" s="521">
        <f t="shared" si="54"/>
        <v>35706.711600000002</v>
      </c>
      <c r="T368" s="259">
        <v>99937.152000000016</v>
      </c>
      <c r="U368" s="517">
        <f t="shared" si="55"/>
        <v>37776.243456000004</v>
      </c>
      <c r="V368" s="259">
        <f t="shared" si="59"/>
        <v>93359.784</v>
      </c>
      <c r="W368" s="267">
        <f t="shared" si="56"/>
        <v>35289.998352000002</v>
      </c>
      <c r="X368" s="578"/>
      <c r="Y368" s="492">
        <f t="shared" si="57"/>
        <v>787.18500000000006</v>
      </c>
      <c r="Z368" s="151"/>
    </row>
    <row r="369" spans="2:26" x14ac:dyDescent="0.35">
      <c r="B369" s="518"/>
      <c r="E369" s="519"/>
      <c r="F369" s="428" t="s">
        <v>418</v>
      </c>
      <c r="G369" s="316" t="s">
        <v>181</v>
      </c>
      <c r="H369" s="317"/>
      <c r="I369" s="318"/>
      <c r="J369" s="316" t="s">
        <v>319</v>
      </c>
      <c r="K369" s="433">
        <v>1</v>
      </c>
      <c r="L369" s="577">
        <v>45.36</v>
      </c>
      <c r="M369" s="501">
        <f>(20*136)/1000</f>
        <v>2.72</v>
      </c>
      <c r="N369" s="309">
        <v>1</v>
      </c>
      <c r="O369" s="520">
        <f t="shared" si="52"/>
        <v>123.37920000000001</v>
      </c>
      <c r="P369" s="261">
        <v>11120</v>
      </c>
      <c r="Q369" s="496">
        <f t="shared" si="53"/>
        <v>1371976.7040000001</v>
      </c>
      <c r="R369" s="261">
        <v>12259.800000000001</v>
      </c>
      <c r="S369" s="521">
        <f t="shared" si="54"/>
        <v>1512604.3161600002</v>
      </c>
      <c r="T369" s="259" t="e">
        <v>#N/A</v>
      </c>
      <c r="U369" s="517" t="e">
        <f t="shared" si="55"/>
        <v>#N/A</v>
      </c>
      <c r="V369" s="259" t="e">
        <f t="shared" si="59"/>
        <v>#N/A</v>
      </c>
      <c r="W369" s="267" t="e">
        <f t="shared" si="56"/>
        <v>#N/A</v>
      </c>
      <c r="X369" s="578"/>
      <c r="Y369" s="492">
        <f t="shared" si="57"/>
        <v>33346.656000000003</v>
      </c>
      <c r="Z369" s="151"/>
    </row>
    <row r="370" spans="2:26" x14ac:dyDescent="0.35">
      <c r="B370" s="606" t="s">
        <v>562</v>
      </c>
      <c r="C370" s="607"/>
      <c r="D370" s="607"/>
      <c r="E370" s="608"/>
      <c r="F370" s="609"/>
      <c r="G370" s="610"/>
      <c r="H370" s="611"/>
      <c r="I370" s="612"/>
      <c r="J370" s="610"/>
      <c r="K370" s="613"/>
      <c r="L370" s="614"/>
      <c r="M370" s="615"/>
      <c r="N370" s="616"/>
      <c r="O370" s="611"/>
      <c r="P370" s="617"/>
      <c r="Q370" s="617"/>
      <c r="R370" s="617"/>
      <c r="S370" s="618">
        <f>SUM(S361:S369)</f>
        <v>4493886.9501758404</v>
      </c>
      <c r="T370" s="605"/>
      <c r="U370" s="605"/>
      <c r="V370" s="605"/>
      <c r="W370" s="605"/>
      <c r="X370" s="611"/>
      <c r="Y370" s="619">
        <f>S370/$D$1</f>
        <v>99071.581794000012</v>
      </c>
      <c r="Z370" s="648">
        <f>S370/$S$415*100</f>
        <v>0.8973206629011814</v>
      </c>
    </row>
    <row r="371" spans="2:26" ht="42.65" customHeight="1" x14ac:dyDescent="0.35">
      <c r="B371" s="504"/>
      <c r="C371" s="505" t="s">
        <v>563</v>
      </c>
      <c r="D371" s="505"/>
      <c r="E371" s="506"/>
      <c r="F371" s="174" t="s">
        <v>177</v>
      </c>
      <c r="G371" s="507" t="s">
        <v>178</v>
      </c>
      <c r="H371" s="508"/>
      <c r="I371" s="509"/>
      <c r="J371" s="507"/>
      <c r="K371" s="510">
        <v>1</v>
      </c>
      <c r="L371" s="511">
        <v>45.36</v>
      </c>
      <c r="M371" s="512">
        <v>5</v>
      </c>
      <c r="N371" s="274">
        <v>1</v>
      </c>
      <c r="O371" s="514">
        <f t="shared" ref="O371:O380" si="62">K371*L371*M371*N371</f>
        <v>226.8</v>
      </c>
      <c r="P371" s="274">
        <v>140008</v>
      </c>
      <c r="Q371" s="516">
        <f t="shared" ref="Q371:Q380" si="63">P371*$O371</f>
        <v>31753814.400000002</v>
      </c>
      <c r="R371" s="274">
        <v>158800.57379999998</v>
      </c>
      <c r="S371" s="515">
        <f t="shared" ref="S371:S380" si="64">R371*$O371</f>
        <v>36015970.137839995</v>
      </c>
      <c r="T371" s="259">
        <v>163305.33120000002</v>
      </c>
      <c r="U371" s="517">
        <f t="shared" ref="U371:U380" si="65">$O371*T371</f>
        <v>37037649.116160005</v>
      </c>
      <c r="V371" s="259">
        <f t="shared" ref="V371:V380" si="66">W371/O371</f>
        <v>154037.96833333332</v>
      </c>
      <c r="W371" s="267">
        <f t="shared" ref="W371:W380" si="67">AVERAGEIF($P$3:$U$3,W$3,$P371:$U371)</f>
        <v>34935811.218000002</v>
      </c>
      <c r="X371" s="702" t="s">
        <v>564</v>
      </c>
      <c r="Y371" s="703">
        <f t="shared" si="57"/>
        <v>794002.86899999995</v>
      </c>
      <c r="Z371" s="492"/>
    </row>
    <row r="372" spans="2:26" x14ac:dyDescent="0.35">
      <c r="B372" s="518"/>
      <c r="C372" s="173"/>
      <c r="D372" s="173"/>
      <c r="E372" s="519"/>
      <c r="F372" s="151" t="s">
        <v>421</v>
      </c>
      <c r="G372" s="316" t="s">
        <v>361</v>
      </c>
      <c r="H372" s="317"/>
      <c r="I372" s="318"/>
      <c r="J372" s="316"/>
      <c r="K372" s="433">
        <v>1</v>
      </c>
      <c r="L372" s="577">
        <v>45.36</v>
      </c>
      <c r="M372" s="379">
        <f>78*136/1000</f>
        <v>10.608000000000001</v>
      </c>
      <c r="N372" s="261">
        <v>1</v>
      </c>
      <c r="O372" s="520">
        <f t="shared" si="62"/>
        <v>481.17887999999999</v>
      </c>
      <c r="P372" s="261">
        <v>58900</v>
      </c>
      <c r="Q372" s="496">
        <f t="shared" si="63"/>
        <v>28341436.031999998</v>
      </c>
      <c r="R372" s="274">
        <v>78870</v>
      </c>
      <c r="S372" s="521">
        <f t="shared" si="64"/>
        <v>37950578.265599996</v>
      </c>
      <c r="T372" s="259">
        <v>52349.440000000002</v>
      </c>
      <c r="U372" s="517">
        <f t="shared" si="65"/>
        <v>25189444.907827202</v>
      </c>
      <c r="V372" s="259">
        <f t="shared" si="66"/>
        <v>63373.146666666667</v>
      </c>
      <c r="W372" s="267">
        <f t="shared" si="67"/>
        <v>30493819.735142399</v>
      </c>
      <c r="X372" s="578"/>
      <c r="Y372" s="492">
        <f t="shared" si="57"/>
        <v>836652.96</v>
      </c>
      <c r="Z372" s="151"/>
    </row>
    <row r="373" spans="2:26" x14ac:dyDescent="0.35">
      <c r="B373" s="518"/>
      <c r="C373" s="173"/>
      <c r="D373" s="173"/>
      <c r="E373" s="519"/>
      <c r="F373" s="151" t="s">
        <v>422</v>
      </c>
      <c r="G373" s="316" t="s">
        <v>183</v>
      </c>
      <c r="H373" s="317"/>
      <c r="I373" s="318"/>
      <c r="J373" s="316"/>
      <c r="K373" s="433">
        <v>1</v>
      </c>
      <c r="L373" s="577">
        <v>45.36</v>
      </c>
      <c r="M373" s="379">
        <v>1.67E-2</v>
      </c>
      <c r="N373" s="261">
        <v>1</v>
      </c>
      <c r="O373" s="520">
        <f t="shared" si="62"/>
        <v>0.75751199999999996</v>
      </c>
      <c r="P373" s="261">
        <v>537481</v>
      </c>
      <c r="Q373" s="496">
        <f t="shared" si="63"/>
        <v>407148.30727200001</v>
      </c>
      <c r="R373" s="274">
        <v>592572.80250000011</v>
      </c>
      <c r="S373" s="521">
        <f t="shared" si="64"/>
        <v>448881.00876738009</v>
      </c>
      <c r="T373" s="259">
        <v>626917.83840000001</v>
      </c>
      <c r="U373" s="517">
        <f t="shared" si="65"/>
        <v>474897.78560206079</v>
      </c>
      <c r="V373" s="259">
        <f t="shared" si="66"/>
        <v>585657.21363333345</v>
      </c>
      <c r="W373" s="267">
        <f t="shared" si="67"/>
        <v>443642.36721381365</v>
      </c>
      <c r="X373" s="151"/>
      <c r="Y373" s="492">
        <f t="shared" si="57"/>
        <v>9895.9658017500024</v>
      </c>
      <c r="Z373" s="492"/>
    </row>
    <row r="374" spans="2:26" x14ac:dyDescent="0.35">
      <c r="B374" s="518"/>
      <c r="C374" s="173"/>
      <c r="D374" s="173"/>
      <c r="E374" s="519"/>
      <c r="F374" s="151" t="s">
        <v>423</v>
      </c>
      <c r="G374" s="316" t="s">
        <v>183</v>
      </c>
      <c r="H374" s="317"/>
      <c r="I374" s="318"/>
      <c r="J374" s="316"/>
      <c r="K374" s="433">
        <v>0</v>
      </c>
      <c r="L374" s="577">
        <v>1</v>
      </c>
      <c r="M374" s="379">
        <v>1.67E-2</v>
      </c>
      <c r="N374" s="261">
        <v>1</v>
      </c>
      <c r="O374" s="520">
        <f t="shared" si="62"/>
        <v>0</v>
      </c>
      <c r="P374" s="259">
        <v>0</v>
      </c>
      <c r="Q374" s="496">
        <f t="shared" si="63"/>
        <v>0</v>
      </c>
      <c r="R374" s="274">
        <v>0</v>
      </c>
      <c r="S374" s="521">
        <f t="shared" si="64"/>
        <v>0</v>
      </c>
      <c r="T374" s="259">
        <v>0</v>
      </c>
      <c r="U374" s="517">
        <f t="shared" si="65"/>
        <v>0</v>
      </c>
      <c r="V374" s="259" t="e">
        <f t="shared" si="66"/>
        <v>#DIV/0!</v>
      </c>
      <c r="W374" s="267">
        <f t="shared" si="67"/>
        <v>0</v>
      </c>
      <c r="Y374" s="492">
        <f>S374/192.08</f>
        <v>0</v>
      </c>
      <c r="Z374" s="151"/>
    </row>
    <row r="375" spans="2:26" x14ac:dyDescent="0.35">
      <c r="B375" s="518"/>
      <c r="C375" s="173"/>
      <c r="D375" s="173"/>
      <c r="E375" s="519"/>
      <c r="F375" s="151" t="s">
        <v>232</v>
      </c>
      <c r="G375" s="316" t="s">
        <v>183</v>
      </c>
      <c r="H375" s="317"/>
      <c r="I375" s="318"/>
      <c r="J375" s="316"/>
      <c r="K375" s="433">
        <v>1</v>
      </c>
      <c r="L375" s="577">
        <v>45.36</v>
      </c>
      <c r="M375" s="379">
        <v>1.67E-2</v>
      </c>
      <c r="N375" s="261">
        <v>1</v>
      </c>
      <c r="O375" s="520">
        <f t="shared" si="62"/>
        <v>0.75751199999999996</v>
      </c>
      <c r="P375" s="261">
        <v>85680</v>
      </c>
      <c r="Q375" s="496">
        <f t="shared" si="63"/>
        <v>64903.62816</v>
      </c>
      <c r="R375" s="274">
        <v>94462.2</v>
      </c>
      <c r="S375" s="521">
        <f t="shared" si="64"/>
        <v>71556.25004639999</v>
      </c>
      <c r="T375" s="259">
        <v>99937.152000000016</v>
      </c>
      <c r="U375" s="517">
        <f t="shared" si="65"/>
        <v>75703.591885824004</v>
      </c>
      <c r="V375" s="259">
        <f t="shared" si="66"/>
        <v>93359.784000000014</v>
      </c>
      <c r="W375" s="267">
        <f t="shared" si="67"/>
        <v>70721.156697408005</v>
      </c>
      <c r="X375" s="578"/>
      <c r="Y375" s="492">
        <f t="shared" si="57"/>
        <v>1577.5187399999998</v>
      </c>
      <c r="Z375" s="151"/>
    </row>
    <row r="376" spans="2:26" ht="42.65" customHeight="1" x14ac:dyDescent="0.35">
      <c r="B376" s="504"/>
      <c r="C376" s="505" t="s">
        <v>149</v>
      </c>
      <c r="D376" s="505"/>
      <c r="E376" s="506"/>
      <c r="F376" s="174" t="s">
        <v>177</v>
      </c>
      <c r="G376" s="507" t="s">
        <v>178</v>
      </c>
      <c r="H376" s="508"/>
      <c r="I376" s="509"/>
      <c r="J376" s="507"/>
      <c r="K376" s="510">
        <v>0.25</v>
      </c>
      <c r="L376" s="511">
        <v>45.36</v>
      </c>
      <c r="M376" s="512">
        <v>2.5</v>
      </c>
      <c r="N376" s="274">
        <v>1</v>
      </c>
      <c r="O376" s="514">
        <f t="shared" si="62"/>
        <v>28.35</v>
      </c>
      <c r="P376" s="274">
        <v>140008</v>
      </c>
      <c r="Q376" s="516">
        <f t="shared" si="63"/>
        <v>3969226.8000000003</v>
      </c>
      <c r="R376" s="274">
        <v>158800.57379999998</v>
      </c>
      <c r="S376" s="515">
        <f t="shared" si="64"/>
        <v>4501996.2672299994</v>
      </c>
      <c r="T376" s="259">
        <v>163305.33120000002</v>
      </c>
      <c r="U376" s="517">
        <f t="shared" si="65"/>
        <v>4629706.1395200007</v>
      </c>
      <c r="V376" s="259">
        <f t="shared" si="66"/>
        <v>154037.96833333332</v>
      </c>
      <c r="W376" s="267">
        <f t="shared" si="67"/>
        <v>4366976.4022500003</v>
      </c>
      <c r="X376" s="702" t="s">
        <v>564</v>
      </c>
      <c r="Y376" s="703">
        <f t="shared" si="57"/>
        <v>99250.358624999993</v>
      </c>
      <c r="Z376" s="492"/>
    </row>
    <row r="377" spans="2:26" x14ac:dyDescent="0.35">
      <c r="B377" s="518"/>
      <c r="E377" s="519"/>
      <c r="F377" s="151" t="s">
        <v>421</v>
      </c>
      <c r="G377" s="316" t="s">
        <v>361</v>
      </c>
      <c r="H377" s="317"/>
      <c r="I377" s="318"/>
      <c r="J377" s="316"/>
      <c r="K377" s="433">
        <v>0.25</v>
      </c>
      <c r="L377" s="511">
        <f>L376</f>
        <v>45.36</v>
      </c>
      <c r="M377" s="400">
        <f>5*136/1000</f>
        <v>0.68</v>
      </c>
      <c r="N377" s="261">
        <v>1</v>
      </c>
      <c r="O377" s="520">
        <f t="shared" si="62"/>
        <v>7.7112000000000007</v>
      </c>
      <c r="P377" s="261">
        <v>58900</v>
      </c>
      <c r="Q377" s="496">
        <f t="shared" si="63"/>
        <v>454189.68000000005</v>
      </c>
      <c r="R377" s="274">
        <v>78870</v>
      </c>
      <c r="S377" s="521">
        <f t="shared" si="64"/>
        <v>608182.34400000004</v>
      </c>
      <c r="T377" s="259">
        <v>52349.440000000002</v>
      </c>
      <c r="U377" s="517">
        <f t="shared" si="65"/>
        <v>403677.00172800006</v>
      </c>
      <c r="V377" s="259">
        <f t="shared" si="66"/>
        <v>63373.146666666675</v>
      </c>
      <c r="W377" s="267">
        <f t="shared" si="67"/>
        <v>488683.00857600011</v>
      </c>
      <c r="X377" s="578"/>
      <c r="Y377" s="492">
        <f t="shared" si="57"/>
        <v>13407.900000000001</v>
      </c>
      <c r="Z377" s="151"/>
    </row>
    <row r="378" spans="2:26" x14ac:dyDescent="0.35">
      <c r="B378" s="518"/>
      <c r="E378" s="519"/>
      <c r="F378" s="151" t="s">
        <v>422</v>
      </c>
      <c r="G378" s="316" t="s">
        <v>183</v>
      </c>
      <c r="H378" s="317"/>
      <c r="I378" s="318"/>
      <c r="J378" s="316"/>
      <c r="K378" s="433">
        <v>0.2</v>
      </c>
      <c r="L378" s="511">
        <f>L376</f>
        <v>45.36</v>
      </c>
      <c r="M378" s="400">
        <v>1.67E-2</v>
      </c>
      <c r="N378" s="261">
        <v>1</v>
      </c>
      <c r="O378" s="520">
        <f t="shared" si="62"/>
        <v>0.15150240000000001</v>
      </c>
      <c r="P378" s="261">
        <v>537481</v>
      </c>
      <c r="Q378" s="496">
        <f t="shared" si="63"/>
        <v>81429.661454400004</v>
      </c>
      <c r="R378" s="274">
        <v>592572.80250000011</v>
      </c>
      <c r="S378" s="521">
        <f t="shared" si="64"/>
        <v>89776.201753476023</v>
      </c>
      <c r="T378" s="259">
        <v>626917.83840000001</v>
      </c>
      <c r="U378" s="517">
        <f t="shared" si="65"/>
        <v>94979.557120412166</v>
      </c>
      <c r="V378" s="259">
        <f t="shared" si="66"/>
        <v>585657.21363333345</v>
      </c>
      <c r="W378" s="267">
        <f t="shared" si="67"/>
        <v>88728.473442762741</v>
      </c>
      <c r="X378" s="151"/>
      <c r="Y378" s="492">
        <f t="shared" si="57"/>
        <v>1979.1931603500007</v>
      </c>
      <c r="Z378" s="492"/>
    </row>
    <row r="379" spans="2:26" x14ac:dyDescent="0.35">
      <c r="B379" s="518"/>
      <c r="E379" s="519"/>
      <c r="F379" s="151" t="s">
        <v>423</v>
      </c>
      <c r="G379" s="316" t="s">
        <v>183</v>
      </c>
      <c r="H379" s="317"/>
      <c r="I379" s="318"/>
      <c r="J379" s="316"/>
      <c r="K379" s="433">
        <v>0</v>
      </c>
      <c r="L379" s="511"/>
      <c r="M379" s="400">
        <v>1.67E-2</v>
      </c>
      <c r="N379" s="261">
        <v>1</v>
      </c>
      <c r="O379" s="520">
        <f t="shared" si="62"/>
        <v>0</v>
      </c>
      <c r="P379" s="259">
        <v>0</v>
      </c>
      <c r="Q379" s="496">
        <f t="shared" si="63"/>
        <v>0</v>
      </c>
      <c r="R379" s="274">
        <v>0</v>
      </c>
      <c r="S379" s="521">
        <f t="shared" si="64"/>
        <v>0</v>
      </c>
      <c r="T379" s="259">
        <v>0</v>
      </c>
      <c r="U379" s="517">
        <f t="shared" si="65"/>
        <v>0</v>
      </c>
      <c r="V379" s="259" t="e">
        <f t="shared" si="66"/>
        <v>#DIV/0!</v>
      </c>
      <c r="W379" s="267">
        <f t="shared" si="67"/>
        <v>0</v>
      </c>
      <c r="Y379" s="492">
        <f t="shared" si="57"/>
        <v>0</v>
      </c>
      <c r="Z379" s="151"/>
    </row>
    <row r="380" spans="2:26" x14ac:dyDescent="0.35">
      <c r="B380" s="518"/>
      <c r="E380" s="519"/>
      <c r="F380" s="151" t="s">
        <v>232</v>
      </c>
      <c r="G380" s="316" t="s">
        <v>183</v>
      </c>
      <c r="H380" s="317"/>
      <c r="I380" s="318"/>
      <c r="J380" s="316"/>
      <c r="K380" s="433">
        <v>0.25</v>
      </c>
      <c r="L380" s="511">
        <f>L376</f>
        <v>45.36</v>
      </c>
      <c r="M380" s="400">
        <v>1.67E-2</v>
      </c>
      <c r="N380" s="261">
        <v>1</v>
      </c>
      <c r="O380" s="520">
        <f t="shared" si="62"/>
        <v>0.18937799999999999</v>
      </c>
      <c r="P380" s="261">
        <v>85680</v>
      </c>
      <c r="Q380" s="496">
        <f t="shared" si="63"/>
        <v>16225.90704</v>
      </c>
      <c r="R380" s="274">
        <v>94462.2</v>
      </c>
      <c r="S380" s="521">
        <f t="shared" si="64"/>
        <v>17889.062511599997</v>
      </c>
      <c r="T380" s="259">
        <v>99937.152000000016</v>
      </c>
      <c r="U380" s="517">
        <f t="shared" si="65"/>
        <v>18925.897971456001</v>
      </c>
      <c r="V380" s="259">
        <f t="shared" si="66"/>
        <v>93359.784000000014</v>
      </c>
      <c r="W380" s="267">
        <f t="shared" si="67"/>
        <v>17680.289174352001</v>
      </c>
      <c r="X380" s="578"/>
      <c r="Y380" s="492">
        <f t="shared" si="57"/>
        <v>394.37968499999994</v>
      </c>
      <c r="Z380" s="151"/>
    </row>
    <row r="381" spans="2:26" x14ac:dyDescent="0.35">
      <c r="B381" s="606" t="s">
        <v>565</v>
      </c>
      <c r="C381" s="607"/>
      <c r="D381" s="607"/>
      <c r="E381" s="608"/>
      <c r="F381" s="609"/>
      <c r="G381" s="610"/>
      <c r="H381" s="611"/>
      <c r="I381" s="612"/>
      <c r="J381" s="610"/>
      <c r="K381" s="613"/>
      <c r="L381" s="614"/>
      <c r="M381" s="615"/>
      <c r="N381" s="616"/>
      <c r="O381" s="611"/>
      <c r="P381" s="617"/>
      <c r="Q381" s="617"/>
      <c r="R381" s="617"/>
      <c r="S381" s="618">
        <f>SUM(S371:S380)</f>
        <v>79704829.537748858</v>
      </c>
      <c r="T381" s="605"/>
      <c r="U381" s="605"/>
      <c r="V381" s="605"/>
      <c r="W381" s="605"/>
      <c r="X381" s="611"/>
      <c r="Y381" s="619">
        <f>S381/192.08</f>
        <v>414956.42199994199</v>
      </c>
      <c r="Z381" s="648">
        <f>S381/$S$415*100</f>
        <v>15.915128989713448</v>
      </c>
    </row>
    <row r="382" spans="2:26" x14ac:dyDescent="0.35">
      <c r="B382" s="504"/>
      <c r="C382" s="172" t="s">
        <v>566</v>
      </c>
      <c r="D382" s="172"/>
      <c r="E382" s="506"/>
      <c r="F382" s="151" t="s">
        <v>177</v>
      </c>
      <c r="G382" s="316" t="s">
        <v>178</v>
      </c>
      <c r="H382" s="317"/>
      <c r="I382" s="318"/>
      <c r="J382" s="316"/>
      <c r="K382" s="502"/>
      <c r="L382" s="577"/>
      <c r="M382" s="258"/>
      <c r="N382" s="259"/>
      <c r="O382" s="317"/>
      <c r="P382" s="496"/>
      <c r="Q382" s="496"/>
      <c r="R382" s="496"/>
      <c r="S382" s="521"/>
      <c r="T382" s="517"/>
      <c r="U382" s="517"/>
      <c r="V382" s="517"/>
      <c r="W382" s="517"/>
      <c r="X382" s="578"/>
      <c r="Y382" s="151"/>
      <c r="Z382" s="151"/>
    </row>
    <row r="383" spans="2:26" x14ac:dyDescent="0.35">
      <c r="B383" s="579"/>
      <c r="C383" s="580"/>
      <c r="D383" s="580"/>
      <c r="E383" s="581"/>
      <c r="F383" s="151"/>
      <c r="G383" s="316"/>
      <c r="H383" s="317"/>
      <c r="I383" s="318"/>
      <c r="J383" s="316"/>
      <c r="K383" s="502"/>
      <c r="L383" s="577"/>
      <c r="M383" s="258"/>
      <c r="N383" s="259"/>
      <c r="O383" s="317"/>
      <c r="P383" s="496"/>
      <c r="Q383" s="496"/>
      <c r="R383" s="496"/>
      <c r="S383" s="521"/>
      <c r="T383" s="517"/>
      <c r="U383" s="517"/>
      <c r="V383" s="517"/>
      <c r="W383" s="517"/>
      <c r="X383" s="578"/>
      <c r="Y383" s="151"/>
      <c r="Z383" s="151"/>
    </row>
    <row r="384" spans="2:26" x14ac:dyDescent="0.35">
      <c r="B384" s="518"/>
      <c r="C384" t="s">
        <v>357</v>
      </c>
      <c r="E384" s="519"/>
      <c r="F384" s="151" t="s">
        <v>177</v>
      </c>
      <c r="G384" s="316" t="s">
        <v>178</v>
      </c>
      <c r="H384" s="317"/>
      <c r="I384" s="318"/>
      <c r="J384" s="316"/>
      <c r="K384" s="502"/>
      <c r="L384" s="577"/>
      <c r="M384" s="258"/>
      <c r="N384" s="259"/>
      <c r="O384" s="317"/>
      <c r="P384" s="496"/>
      <c r="Q384" s="496"/>
      <c r="R384" s="496"/>
      <c r="S384" s="521"/>
      <c r="T384" s="517"/>
      <c r="U384" s="517"/>
      <c r="V384" s="517"/>
      <c r="W384" s="517"/>
      <c r="X384" s="578"/>
      <c r="Y384" s="151"/>
      <c r="Z384" s="151"/>
    </row>
    <row r="385" spans="2:26" x14ac:dyDescent="0.35">
      <c r="B385" s="518"/>
      <c r="E385" s="519"/>
      <c r="F385" s="151"/>
      <c r="G385" s="316"/>
      <c r="H385" s="317"/>
      <c r="I385" s="318"/>
      <c r="J385" s="316"/>
      <c r="K385" s="502"/>
      <c r="L385" s="577"/>
      <c r="M385" s="258"/>
      <c r="N385" s="259"/>
      <c r="O385" s="317"/>
      <c r="P385" s="496"/>
      <c r="Q385" s="496"/>
      <c r="R385" s="496"/>
      <c r="S385" s="521"/>
      <c r="T385" s="517"/>
      <c r="U385" s="517"/>
      <c r="V385" s="517"/>
      <c r="W385" s="517"/>
      <c r="X385" s="578"/>
      <c r="Y385" s="151"/>
      <c r="Z385" s="151"/>
    </row>
    <row r="386" spans="2:26" x14ac:dyDescent="0.35">
      <c r="B386" s="579"/>
      <c r="C386" s="580"/>
      <c r="D386" s="580"/>
      <c r="E386" s="581"/>
      <c r="F386" s="151"/>
      <c r="G386" s="316"/>
      <c r="H386" s="317"/>
      <c r="I386" s="318"/>
      <c r="J386" s="316"/>
      <c r="K386" s="502"/>
      <c r="L386" s="577"/>
      <c r="M386" s="379"/>
      <c r="N386" s="259"/>
      <c r="O386" s="317"/>
      <c r="P386" s="496"/>
      <c r="Q386" s="496"/>
      <c r="R386" s="496"/>
      <c r="S386" s="521"/>
      <c r="T386" s="517"/>
      <c r="U386" s="517"/>
      <c r="V386" s="517"/>
      <c r="W386" s="517"/>
      <c r="X386" s="578"/>
      <c r="Y386" s="151"/>
      <c r="Z386" s="151"/>
    </row>
    <row r="387" spans="2:26" x14ac:dyDescent="0.35">
      <c r="B387" s="518"/>
      <c r="C387" t="s">
        <v>137</v>
      </c>
      <c r="E387" s="519"/>
      <c r="F387" s="151" t="s">
        <v>362</v>
      </c>
      <c r="G387" s="316" t="s">
        <v>178</v>
      </c>
      <c r="H387" s="317"/>
      <c r="I387" s="318"/>
      <c r="J387" s="316" t="s">
        <v>361</v>
      </c>
      <c r="K387" s="433">
        <v>1</v>
      </c>
      <c r="L387" s="704">
        <f>(O359+O349+O369+O189)/1000</f>
        <v>23.657961600000004</v>
      </c>
      <c r="M387" s="669">
        <v>1</v>
      </c>
      <c r="N387" s="380">
        <v>1</v>
      </c>
      <c r="O387" s="500">
        <f>K387*L387*M387*N387</f>
        <v>23.657961600000004</v>
      </c>
      <c r="P387" s="261">
        <v>19500</v>
      </c>
      <c r="Q387" s="496">
        <f>P387*$O387</f>
        <v>461330.25120000006</v>
      </c>
      <c r="R387" s="274">
        <v>22117.387499999997</v>
      </c>
      <c r="S387" s="521">
        <f>R387*$O387</f>
        <v>523252.30416732002</v>
      </c>
      <c r="T387" s="259">
        <v>22744.800000000003</v>
      </c>
      <c r="U387" s="517">
        <f>$O387*T387</f>
        <v>538095.60499968019</v>
      </c>
      <c r="V387" s="259">
        <f>W387/O387</f>
        <v>21454.062500000004</v>
      </c>
      <c r="W387" s="267">
        <f>AVERAGEIF($P$3:$U$3,W$3,$P387:$U387)</f>
        <v>507559.38678900013</v>
      </c>
      <c r="X387" s="578"/>
      <c r="Y387" s="492">
        <f t="shared" ref="Y387" si="68">S387/$D$1</f>
        <v>11535.5446245</v>
      </c>
      <c r="Z387" s="151"/>
    </row>
    <row r="388" spans="2:26" x14ac:dyDescent="0.35">
      <c r="B388" s="518"/>
      <c r="E388" s="519"/>
      <c r="F388" s="151" t="s">
        <v>359</v>
      </c>
      <c r="G388" s="316" t="s">
        <v>195</v>
      </c>
      <c r="H388" s="317"/>
      <c r="I388" s="318"/>
      <c r="J388" s="316"/>
      <c r="K388" s="433"/>
      <c r="L388" s="577"/>
      <c r="M388" s="669"/>
      <c r="N388" s="380"/>
      <c r="O388" s="500"/>
      <c r="P388" s="259"/>
      <c r="Q388" s="496"/>
      <c r="R388" s="259"/>
      <c r="S388" s="521"/>
      <c r="T388" s="259"/>
      <c r="U388" s="517"/>
      <c r="V388" s="259"/>
      <c r="W388" s="267"/>
      <c r="X388" s="578"/>
      <c r="Y388" s="492">
        <f>S388/192.08</f>
        <v>0</v>
      </c>
      <c r="Z388" s="151"/>
    </row>
    <row r="389" spans="2:26" x14ac:dyDescent="0.35">
      <c r="B389" s="579"/>
      <c r="C389" s="580"/>
      <c r="D389" s="580"/>
      <c r="E389" s="581"/>
      <c r="F389" s="151" t="s">
        <v>364</v>
      </c>
      <c r="G389" s="502" t="s">
        <v>361</v>
      </c>
      <c r="H389" s="317"/>
      <c r="I389" s="318"/>
      <c r="J389" s="316" t="s">
        <v>361</v>
      </c>
      <c r="K389" s="433">
        <v>1</v>
      </c>
      <c r="L389" s="705">
        <f>L387</f>
        <v>23.657961600000004</v>
      </c>
      <c r="M389" s="668">
        <v>1</v>
      </c>
      <c r="N389" s="436">
        <v>1</v>
      </c>
      <c r="O389" s="500">
        <f>K389*L389*M389*N389</f>
        <v>23.657961600000004</v>
      </c>
      <c r="P389" s="261">
        <v>59500</v>
      </c>
      <c r="Q389" s="496">
        <f>P389*$O389</f>
        <v>1407648.7152000002</v>
      </c>
      <c r="R389" s="274">
        <v>79640</v>
      </c>
      <c r="S389" s="521">
        <f>R389*$O389</f>
        <v>1884120.0618240002</v>
      </c>
      <c r="T389" s="259">
        <v>53647.360000000001</v>
      </c>
      <c r="U389" s="517">
        <f>$O389*T389</f>
        <v>1269187.1828213762</v>
      </c>
      <c r="V389" s="259">
        <f>W389/O389</f>
        <v>64262.453333333338</v>
      </c>
      <c r="W389" s="267">
        <f>AVERAGEIF($P$3:$U$3,W$3,$P389:$U389)</f>
        <v>1520318.6532817923</v>
      </c>
      <c r="X389" s="578"/>
      <c r="Y389" s="492">
        <f t="shared" ref="Y389:Y390" si="69">S389/$D$1</f>
        <v>41537.038400000005</v>
      </c>
      <c r="Z389" s="151"/>
    </row>
    <row r="390" spans="2:26" x14ac:dyDescent="0.35">
      <c r="B390" s="518"/>
      <c r="C390" t="s">
        <v>140</v>
      </c>
      <c r="E390" s="519"/>
      <c r="F390" s="151" t="s">
        <v>365</v>
      </c>
      <c r="G390" s="316" t="s">
        <v>178</v>
      </c>
      <c r="H390" s="317"/>
      <c r="I390" s="318"/>
      <c r="J390" s="316" t="s">
        <v>361</v>
      </c>
      <c r="K390" s="433">
        <v>1</v>
      </c>
      <c r="L390" s="705">
        <f>L387</f>
        <v>23.657961600000004</v>
      </c>
      <c r="M390" s="669">
        <v>1</v>
      </c>
      <c r="N390" s="380">
        <v>1</v>
      </c>
      <c r="O390" s="500">
        <f>K390*L390*M390*N390</f>
        <v>23.657961600000004</v>
      </c>
      <c r="P390" s="261">
        <v>32000</v>
      </c>
      <c r="Q390" s="496">
        <f>P390*$O390</f>
        <v>757054.77120000008</v>
      </c>
      <c r="R390" s="274">
        <v>36295.199999999997</v>
      </c>
      <c r="S390" s="521">
        <f>R390*$O390</f>
        <v>858670.44786432001</v>
      </c>
      <c r="T390" s="259">
        <v>37324.800000000003</v>
      </c>
      <c r="U390" s="517">
        <f>$O390*T390</f>
        <v>883028.68512768019</v>
      </c>
      <c r="V390" s="259">
        <f>W390/O390</f>
        <v>35206.666666666664</v>
      </c>
      <c r="W390" s="267">
        <f>AVERAGEIF($P$3:$U$3,W$3,$P390:$U390)</f>
        <v>832917.96806400002</v>
      </c>
      <c r="X390" s="578"/>
      <c r="Y390" s="492">
        <f t="shared" si="69"/>
        <v>18930.124512000002</v>
      </c>
      <c r="Z390" s="151"/>
    </row>
    <row r="391" spans="2:26" x14ac:dyDescent="0.35">
      <c r="B391" s="518"/>
      <c r="E391" s="519"/>
      <c r="F391" s="151" t="s">
        <v>427</v>
      </c>
      <c r="G391" s="316" t="s">
        <v>361</v>
      </c>
      <c r="H391" s="317"/>
      <c r="I391" s="318"/>
      <c r="J391" s="316" t="s">
        <v>361</v>
      </c>
      <c r="K391" s="433">
        <v>1</v>
      </c>
      <c r="L391" s="705">
        <f>L390</f>
        <v>23.657961600000004</v>
      </c>
      <c r="M391" s="668">
        <v>1</v>
      </c>
      <c r="N391" s="309">
        <v>1</v>
      </c>
      <c r="O391" s="500">
        <f>K391*L391*M391*N391</f>
        <v>23.657961600000004</v>
      </c>
      <c r="P391" s="259">
        <v>0</v>
      </c>
      <c r="Q391" s="496">
        <f>P391*$O391</f>
        <v>0</v>
      </c>
      <c r="R391" s="259">
        <v>0</v>
      </c>
      <c r="S391" s="521">
        <f>R391*$O391</f>
        <v>0</v>
      </c>
      <c r="T391" s="259">
        <v>0</v>
      </c>
      <c r="U391" s="517">
        <f>$O391*T391</f>
        <v>0</v>
      </c>
      <c r="V391" s="687"/>
      <c r="W391" s="687"/>
      <c r="X391" s="578"/>
      <c r="Y391" s="151"/>
      <c r="Z391" s="151"/>
    </row>
    <row r="392" spans="2:26" x14ac:dyDescent="0.35">
      <c r="B392" s="606" t="s">
        <v>567</v>
      </c>
      <c r="C392" s="607"/>
      <c r="D392" s="607"/>
      <c r="E392" s="608"/>
      <c r="F392" s="609"/>
      <c r="G392" s="610"/>
      <c r="H392" s="611"/>
      <c r="I392" s="612"/>
      <c r="J392" s="610"/>
      <c r="K392" s="613"/>
      <c r="L392" s="614"/>
      <c r="M392" s="615"/>
      <c r="N392" s="616"/>
      <c r="O392" s="611"/>
      <c r="P392" s="617"/>
      <c r="Q392" s="617"/>
      <c r="R392" s="617"/>
      <c r="S392" s="618">
        <f>SUM(S387:S391)</f>
        <v>3266042.8138556406</v>
      </c>
      <c r="T392" s="605"/>
      <c r="U392" s="605"/>
      <c r="V392" s="605"/>
      <c r="W392" s="605"/>
      <c r="X392" s="611"/>
      <c r="Y392" s="619">
        <f>S392/D1</f>
        <v>72002.70753650002</v>
      </c>
      <c r="Z392" s="648">
        <f>S392/$S$415*100</f>
        <v>0.65214985051591223</v>
      </c>
    </row>
    <row r="393" spans="2:26" x14ac:dyDescent="0.35">
      <c r="B393" s="660" t="s">
        <v>568</v>
      </c>
      <c r="C393" s="661"/>
      <c r="D393" s="661"/>
      <c r="E393" s="662"/>
      <c r="F393" s="532"/>
      <c r="G393" s="587"/>
      <c r="H393" s="588"/>
      <c r="I393" s="589"/>
      <c r="J393" s="587"/>
      <c r="K393" s="590"/>
      <c r="L393" s="591"/>
      <c r="M393" s="543"/>
      <c r="N393" s="544"/>
      <c r="O393" s="588"/>
      <c r="P393" s="592"/>
      <c r="Q393" s="592"/>
      <c r="R393" s="592"/>
      <c r="S393" s="663">
        <f>S350+S360+S370+S381+S392</f>
        <v>259888239.41135031</v>
      </c>
      <c r="T393" s="594"/>
      <c r="U393" s="594"/>
      <c r="V393" s="594"/>
      <c r="W393" s="594"/>
      <c r="X393" s="588"/>
      <c r="Y393" s="426">
        <f>S393/D1</f>
        <v>5729458.5408146009</v>
      </c>
      <c r="Z393" s="664">
        <f>S393/$S$415*100</f>
        <v>51.893403161752616</v>
      </c>
    </row>
    <row r="394" spans="2:26" x14ac:dyDescent="0.35">
      <c r="B394" s="595" t="s">
        <v>350</v>
      </c>
      <c r="C394" s="318"/>
      <c r="D394" s="318"/>
      <c r="E394" s="582"/>
      <c r="F394" s="151"/>
      <c r="G394" s="316"/>
      <c r="H394" s="317"/>
      <c r="I394" s="318"/>
      <c r="J394" s="316"/>
      <c r="K394" s="502"/>
      <c r="L394" s="577"/>
      <c r="M394" s="258"/>
      <c r="N394" s="259"/>
      <c r="O394" s="317"/>
      <c r="P394" s="496"/>
      <c r="Q394" s="496"/>
      <c r="R394" s="496"/>
      <c r="S394" s="521"/>
      <c r="T394" s="517"/>
      <c r="U394" s="517"/>
      <c r="V394" s="517"/>
      <c r="W394" s="517"/>
      <c r="X394" s="578"/>
      <c r="Y394" s="151"/>
      <c r="Z394" s="151"/>
    </row>
    <row r="395" spans="2:26" x14ac:dyDescent="0.35">
      <c r="B395" s="518"/>
      <c r="C395" t="s">
        <v>545</v>
      </c>
      <c r="E395" s="519"/>
      <c r="F395" s="151" t="s">
        <v>177</v>
      </c>
      <c r="G395" s="316" t="s">
        <v>178</v>
      </c>
      <c r="H395" s="317"/>
      <c r="I395" s="318"/>
      <c r="J395" s="316"/>
      <c r="K395" s="502">
        <v>100</v>
      </c>
      <c r="L395" s="577"/>
      <c r="M395" s="258">
        <v>1</v>
      </c>
      <c r="N395" s="259">
        <v>1</v>
      </c>
      <c r="O395" s="317"/>
      <c r="P395" s="496"/>
      <c r="Q395" s="496"/>
      <c r="R395" s="496"/>
      <c r="S395" s="521"/>
      <c r="T395" s="517"/>
      <c r="U395" s="517"/>
      <c r="V395" s="517"/>
      <c r="W395" s="517"/>
      <c r="X395" s="578"/>
      <c r="Y395" s="151"/>
      <c r="Z395" s="151"/>
    </row>
    <row r="396" spans="2:26" x14ac:dyDescent="0.35">
      <c r="B396" s="518"/>
      <c r="E396" s="519"/>
      <c r="F396" s="151" t="s">
        <v>410</v>
      </c>
      <c r="G396" s="316" t="s">
        <v>181</v>
      </c>
      <c r="H396" s="317"/>
      <c r="I396" s="318"/>
      <c r="J396" s="316"/>
      <c r="K396" s="502">
        <v>100</v>
      </c>
      <c r="L396" s="577"/>
      <c r="M396" s="258">
        <v>25</v>
      </c>
      <c r="N396" s="259">
        <v>1</v>
      </c>
      <c r="O396" s="317"/>
      <c r="P396" s="496"/>
      <c r="Q396" s="496"/>
      <c r="R396" s="496"/>
      <c r="S396" s="521"/>
      <c r="T396" s="517"/>
      <c r="U396" s="517"/>
      <c r="V396" s="517"/>
      <c r="W396" s="517"/>
      <c r="X396" s="578"/>
      <c r="Y396" s="151"/>
      <c r="Z396" s="151"/>
    </row>
    <row r="397" spans="2:26" x14ac:dyDescent="0.35">
      <c r="B397" s="579"/>
      <c r="C397" s="580"/>
      <c r="D397" s="580"/>
      <c r="E397" s="581"/>
      <c r="F397" s="151"/>
      <c r="G397" s="316"/>
      <c r="H397" s="317"/>
      <c r="I397" s="318"/>
      <c r="J397" s="316"/>
      <c r="K397" s="502"/>
      <c r="L397" s="577"/>
      <c r="M397" s="258"/>
      <c r="N397" s="259"/>
      <c r="O397" s="317"/>
      <c r="P397" s="496"/>
      <c r="Q397" s="496"/>
      <c r="R397" s="496"/>
      <c r="S397" s="521"/>
      <c r="T397" s="517"/>
      <c r="U397" s="517"/>
      <c r="V397" s="517"/>
      <c r="W397" s="517"/>
      <c r="X397" s="578"/>
      <c r="Y397" s="151"/>
      <c r="Z397" s="151"/>
    </row>
    <row r="398" spans="2:26" x14ac:dyDescent="0.35">
      <c r="B398" s="518"/>
      <c r="C398" t="s">
        <v>357</v>
      </c>
      <c r="E398" s="519"/>
      <c r="F398" s="151" t="s">
        <v>177</v>
      </c>
      <c r="G398" s="316" t="s">
        <v>178</v>
      </c>
      <c r="H398" s="317"/>
      <c r="I398" s="318"/>
      <c r="J398" s="316"/>
      <c r="K398" s="502"/>
      <c r="L398" s="577"/>
      <c r="M398" s="258"/>
      <c r="N398" s="259"/>
      <c r="O398" s="317"/>
      <c r="P398" s="496"/>
      <c r="Q398" s="496"/>
      <c r="R398" s="496"/>
      <c r="S398" s="521"/>
      <c r="T398" s="517"/>
      <c r="U398" s="517"/>
      <c r="V398" s="517"/>
      <c r="W398" s="517"/>
      <c r="X398" s="578"/>
      <c r="Y398" s="151"/>
      <c r="Z398" s="151"/>
    </row>
    <row r="399" spans="2:26" x14ac:dyDescent="0.35">
      <c r="B399" s="518"/>
      <c r="E399" s="519"/>
      <c r="F399" s="151"/>
      <c r="G399" s="316"/>
      <c r="H399" s="317"/>
      <c r="I399" s="318"/>
      <c r="J399" s="316"/>
      <c r="K399" s="502"/>
      <c r="L399" s="577"/>
      <c r="M399" s="379"/>
      <c r="N399" s="259"/>
      <c r="O399" s="317"/>
      <c r="P399" s="496"/>
      <c r="Q399" s="496"/>
      <c r="R399" s="496"/>
      <c r="S399" s="521"/>
      <c r="T399" s="517"/>
      <c r="U399" s="517"/>
      <c r="V399" s="517"/>
      <c r="W399" s="517"/>
      <c r="X399" s="578"/>
      <c r="Y399" s="151"/>
      <c r="Z399" s="151"/>
    </row>
    <row r="400" spans="2:26" x14ac:dyDescent="0.35">
      <c r="B400" s="579"/>
      <c r="C400" s="580"/>
      <c r="D400" s="580"/>
      <c r="E400" s="581"/>
      <c r="F400" s="151"/>
      <c r="G400" s="316"/>
      <c r="H400" s="317"/>
      <c r="I400" s="318"/>
      <c r="J400" s="316"/>
      <c r="K400" s="502"/>
      <c r="L400" s="577"/>
      <c r="M400" s="379"/>
      <c r="N400" s="259"/>
      <c r="O400" s="317"/>
      <c r="P400" s="496"/>
      <c r="Q400" s="496"/>
      <c r="R400" s="496"/>
      <c r="S400" s="521"/>
      <c r="T400" s="517"/>
      <c r="U400" s="517"/>
      <c r="V400" s="517"/>
      <c r="W400" s="517"/>
      <c r="X400" s="578"/>
      <c r="Y400" s="151"/>
      <c r="Z400" s="151"/>
    </row>
    <row r="401" spans="2:26" x14ac:dyDescent="0.35">
      <c r="B401" s="518"/>
      <c r="C401" t="s">
        <v>137</v>
      </c>
      <c r="E401" s="519"/>
      <c r="F401" s="151" t="s">
        <v>362</v>
      </c>
      <c r="G401" s="502" t="s">
        <v>361</v>
      </c>
      <c r="H401" s="317"/>
      <c r="I401" s="318"/>
      <c r="J401" s="316"/>
      <c r="K401" s="502">
        <v>100</v>
      </c>
      <c r="L401" s="577"/>
      <c r="M401" s="476">
        <v>1</v>
      </c>
      <c r="N401" s="436">
        <v>1</v>
      </c>
      <c r="O401" s="693"/>
      <c r="P401" s="436"/>
      <c r="Q401" s="436"/>
      <c r="R401" s="436"/>
      <c r="S401" s="669"/>
      <c r="T401" s="706"/>
      <c r="U401" s="706"/>
      <c r="V401" s="706"/>
      <c r="W401" s="706"/>
      <c r="X401" s="578"/>
      <c r="Y401" s="151"/>
      <c r="Z401" s="151"/>
    </row>
    <row r="402" spans="2:26" x14ac:dyDescent="0.35">
      <c r="B402" s="518"/>
      <c r="E402" s="519"/>
      <c r="F402" s="151" t="s">
        <v>359</v>
      </c>
      <c r="G402" s="502" t="s">
        <v>195</v>
      </c>
      <c r="H402" s="317"/>
      <c r="I402" s="318"/>
      <c r="J402" s="316"/>
      <c r="K402" s="502">
        <v>100</v>
      </c>
      <c r="L402" s="577"/>
      <c r="M402" s="476">
        <f>2/4</f>
        <v>0.5</v>
      </c>
      <c r="N402" s="436">
        <v>1</v>
      </c>
      <c r="O402" s="693"/>
      <c r="P402" s="436"/>
      <c r="Q402" s="436"/>
      <c r="R402" s="436"/>
      <c r="S402" s="669"/>
      <c r="T402" s="706"/>
      <c r="U402" s="706"/>
      <c r="V402" s="706"/>
      <c r="W402" s="706"/>
      <c r="X402" s="578"/>
      <c r="Y402" s="151"/>
      <c r="Z402" s="151"/>
    </row>
    <row r="403" spans="2:26" x14ac:dyDescent="0.35">
      <c r="B403" s="579"/>
      <c r="C403" s="580"/>
      <c r="D403" s="580"/>
      <c r="E403" s="581"/>
      <c r="F403" s="151" t="s">
        <v>364</v>
      </c>
      <c r="G403" s="502" t="s">
        <v>361</v>
      </c>
      <c r="H403" s="317"/>
      <c r="I403" s="318"/>
      <c r="J403" s="316"/>
      <c r="K403" s="502">
        <v>100</v>
      </c>
      <c r="L403" s="577"/>
      <c r="M403" s="476">
        <v>1</v>
      </c>
      <c r="N403" s="436">
        <v>1</v>
      </c>
      <c r="O403" s="693"/>
      <c r="P403" s="436"/>
      <c r="Q403" s="436"/>
      <c r="R403" s="436"/>
      <c r="S403" s="669"/>
      <c r="T403" s="706"/>
      <c r="U403" s="706"/>
      <c r="V403" s="706"/>
      <c r="W403" s="706"/>
      <c r="X403" s="578"/>
      <c r="Y403" s="151"/>
      <c r="Z403" s="151"/>
    </row>
    <row r="404" spans="2:26" x14ac:dyDescent="0.35">
      <c r="B404" s="518"/>
      <c r="C404" t="s">
        <v>140</v>
      </c>
      <c r="E404" s="519"/>
      <c r="F404" s="151" t="s">
        <v>365</v>
      </c>
      <c r="G404" s="502" t="s">
        <v>361</v>
      </c>
      <c r="H404" s="317"/>
      <c r="I404" s="318"/>
      <c r="J404" s="316"/>
      <c r="K404" s="502">
        <v>100</v>
      </c>
      <c r="L404" s="577"/>
      <c r="M404" s="476">
        <v>1</v>
      </c>
      <c r="N404" s="309">
        <v>1</v>
      </c>
      <c r="O404" s="489"/>
      <c r="P404" s="309"/>
      <c r="Q404" s="309"/>
      <c r="R404" s="309"/>
      <c r="S404" s="300"/>
      <c r="T404" s="707"/>
      <c r="U404" s="707"/>
      <c r="V404" s="707"/>
      <c r="W404" s="707"/>
      <c r="X404" s="578"/>
      <c r="Y404" s="151"/>
      <c r="Z404" s="151"/>
    </row>
    <row r="405" spans="2:26" x14ac:dyDescent="0.35">
      <c r="B405" s="518"/>
      <c r="E405" s="519"/>
      <c r="F405" s="151" t="s">
        <v>364</v>
      </c>
      <c r="G405" s="502" t="s">
        <v>361</v>
      </c>
      <c r="H405" s="317"/>
      <c r="I405" s="318"/>
      <c r="J405" s="316"/>
      <c r="K405" s="502">
        <v>100</v>
      </c>
      <c r="L405" s="577"/>
      <c r="M405" s="476">
        <v>1</v>
      </c>
      <c r="N405" s="309">
        <v>1</v>
      </c>
      <c r="O405" s="684"/>
      <c r="P405" s="685"/>
      <c r="Q405" s="685"/>
      <c r="R405" s="685"/>
      <c r="S405" s="686"/>
      <c r="T405" s="687"/>
      <c r="U405" s="687"/>
      <c r="V405" s="687"/>
      <c r="W405" s="687"/>
      <c r="X405" s="578"/>
      <c r="Y405" s="151"/>
      <c r="Z405" s="151"/>
    </row>
    <row r="406" spans="2:26" x14ac:dyDescent="0.35">
      <c r="B406" s="579"/>
      <c r="C406" s="580"/>
      <c r="D406" s="580"/>
      <c r="E406" s="581"/>
      <c r="F406" s="151"/>
      <c r="G406" s="316"/>
      <c r="H406" s="317"/>
      <c r="I406" s="318"/>
      <c r="J406" s="316"/>
      <c r="K406" s="502"/>
      <c r="L406" s="577"/>
      <c r="M406" s="258"/>
      <c r="N406" s="259"/>
      <c r="O406" s="317"/>
      <c r="P406" s="496"/>
      <c r="Q406" s="496"/>
      <c r="R406" s="496"/>
      <c r="S406" s="521"/>
      <c r="T406" s="517"/>
      <c r="U406" s="517"/>
      <c r="V406" s="517"/>
      <c r="W406" s="517"/>
      <c r="X406" s="578"/>
      <c r="Y406" s="151"/>
      <c r="Z406" s="151"/>
    </row>
    <row r="407" spans="2:26" x14ac:dyDescent="0.35">
      <c r="B407" s="595" t="s">
        <v>430</v>
      </c>
      <c r="C407" s="318"/>
      <c r="D407" s="318"/>
      <c r="E407" s="582"/>
      <c r="F407" s="151"/>
      <c r="G407" s="316"/>
      <c r="H407" s="317"/>
      <c r="I407" s="318"/>
      <c r="J407" s="316"/>
      <c r="K407" s="502"/>
      <c r="L407" s="577"/>
      <c r="M407" s="258"/>
      <c r="N407" s="259"/>
      <c r="O407" s="317"/>
      <c r="P407" s="496"/>
      <c r="Q407" s="496"/>
      <c r="R407" s="496"/>
      <c r="S407" s="521"/>
      <c r="T407" s="517">
        <f>R407*1.1</f>
        <v>0</v>
      </c>
      <c r="U407" s="517">
        <f>O407*T407</f>
        <v>0</v>
      </c>
      <c r="V407" s="259"/>
      <c r="W407" s="259"/>
      <c r="X407" s="578"/>
      <c r="Y407" s="151"/>
      <c r="Z407" s="151"/>
    </row>
    <row r="408" spans="2:26" x14ac:dyDescent="0.35">
      <c r="B408" s="518"/>
      <c r="C408" t="s">
        <v>143</v>
      </c>
      <c r="E408" s="519"/>
      <c r="F408" s="151" t="s">
        <v>177</v>
      </c>
      <c r="G408" s="316" t="s">
        <v>178</v>
      </c>
      <c r="H408" s="317"/>
      <c r="I408" s="318"/>
      <c r="J408" s="316" t="s">
        <v>179</v>
      </c>
      <c r="K408" s="433">
        <v>1</v>
      </c>
      <c r="L408" s="577">
        <v>45.36</v>
      </c>
      <c r="M408" s="258">
        <f>(0.12/15)*25</f>
        <v>0.2</v>
      </c>
      <c r="N408" s="380">
        <v>12</v>
      </c>
      <c r="O408" s="520">
        <f>K408*L408*M408*N408</f>
        <v>108.864</v>
      </c>
      <c r="P408" s="261">
        <v>140008</v>
      </c>
      <c r="Q408" s="496">
        <f>P408*$O408</f>
        <v>15241830.912</v>
      </c>
      <c r="R408" s="274">
        <v>158800.57379999998</v>
      </c>
      <c r="S408" s="521">
        <f>R408*$O408</f>
        <v>17287665.666163199</v>
      </c>
      <c r="T408" s="259">
        <v>163305.33120000002</v>
      </c>
      <c r="U408" s="517">
        <f>$O408*T408</f>
        <v>17778071.575756803</v>
      </c>
      <c r="V408" s="259">
        <f>W408/O408</f>
        <v>154037.96833333332</v>
      </c>
      <c r="W408" s="267">
        <f>AVERAGEIF($P$3:$U$3,W$3,$P408:$U408)</f>
        <v>16769189.384640001</v>
      </c>
      <c r="X408" s="578"/>
      <c r="Y408" s="492">
        <f>S408/$D$1</f>
        <v>381121.37711999996</v>
      </c>
      <c r="Z408" s="151"/>
    </row>
    <row r="409" spans="2:26" x14ac:dyDescent="0.35">
      <c r="B409" s="518"/>
      <c r="E409" s="519"/>
      <c r="F409" s="151" t="s">
        <v>431</v>
      </c>
      <c r="G409" s="316" t="s">
        <v>569</v>
      </c>
      <c r="H409" s="317"/>
      <c r="I409" s="318"/>
      <c r="J409" s="316" t="s">
        <v>179</v>
      </c>
      <c r="K409" s="433">
        <v>0</v>
      </c>
      <c r="L409" s="577">
        <v>45.36</v>
      </c>
      <c r="M409" s="258">
        <v>1</v>
      </c>
      <c r="N409" s="380">
        <v>12</v>
      </c>
      <c r="O409" s="520">
        <f>K409*L409*M409*N409</f>
        <v>0</v>
      </c>
      <c r="P409" s="261">
        <v>2498.34</v>
      </c>
      <c r="Q409" s="496">
        <f>P409*$O409</f>
        <v>0</v>
      </c>
      <c r="R409" s="274">
        <v>2754.4198500000002</v>
      </c>
      <c r="S409" s="521">
        <f>R409*$O409</f>
        <v>0</v>
      </c>
      <c r="T409" s="259">
        <v>2754.4198500000002</v>
      </c>
      <c r="U409" s="517">
        <f>$O409*T409</f>
        <v>0</v>
      </c>
      <c r="V409" s="259" t="e">
        <f>W409/O409</f>
        <v>#DIV/0!</v>
      </c>
      <c r="W409" s="267">
        <f>AVERAGEIF($P$3:$U$3,W$3,$P409:$U409)</f>
        <v>0</v>
      </c>
      <c r="X409" s="578"/>
      <c r="Y409" s="492">
        <f>S409/192.08</f>
        <v>0</v>
      </c>
      <c r="Z409" s="151"/>
    </row>
    <row r="410" spans="2:26" x14ac:dyDescent="0.35">
      <c r="B410" s="518"/>
      <c r="E410" s="519"/>
      <c r="F410" s="151" t="s">
        <v>434</v>
      </c>
      <c r="G410" s="316" t="s">
        <v>569</v>
      </c>
      <c r="H410" s="317"/>
      <c r="I410" s="318"/>
      <c r="J410" s="316" t="s">
        <v>179</v>
      </c>
      <c r="K410" s="433">
        <v>1</v>
      </c>
      <c r="L410" s="577">
        <v>45.36</v>
      </c>
      <c r="M410" s="258">
        <v>1</v>
      </c>
      <c r="N410" s="380">
        <v>12</v>
      </c>
      <c r="O410" s="520">
        <f>K410*L410*M410*N410</f>
        <v>544.31999999999994</v>
      </c>
      <c r="P410" s="261">
        <v>1213.03</v>
      </c>
      <c r="Q410" s="496">
        <f>P410*$O410</f>
        <v>660276.48959999986</v>
      </c>
      <c r="R410" s="274">
        <v>1337.365575</v>
      </c>
      <c r="S410" s="521">
        <f>R410*$O410</f>
        <v>727954.82978399994</v>
      </c>
      <c r="T410" s="259">
        <v>1337.365575</v>
      </c>
      <c r="U410" s="517">
        <f>$O410*T410</f>
        <v>727954.82978399994</v>
      </c>
      <c r="V410" s="259">
        <f>W410/O410</f>
        <v>1295.9203833333333</v>
      </c>
      <c r="W410" s="267">
        <f>AVERAGEIF($P$3:$U$3,W$3,$P410:$U410)</f>
        <v>705395.38305599988</v>
      </c>
      <c r="X410" s="578"/>
      <c r="Y410" s="492">
        <f>S410/$D$1</f>
        <v>16048.3869</v>
      </c>
      <c r="Z410" s="151"/>
    </row>
    <row r="411" spans="2:26" x14ac:dyDescent="0.35">
      <c r="B411" s="579"/>
      <c r="C411" s="580"/>
      <c r="D411" s="580"/>
      <c r="E411" s="581"/>
      <c r="F411" s="151"/>
      <c r="G411" s="316"/>
      <c r="H411" s="317"/>
      <c r="I411" s="318"/>
      <c r="J411" s="316"/>
      <c r="K411" s="502"/>
      <c r="L411" s="577"/>
      <c r="M411" s="258"/>
      <c r="N411" s="380"/>
      <c r="O411" s="578"/>
      <c r="P411" s="603"/>
      <c r="Q411" s="603"/>
      <c r="R411" s="603"/>
      <c r="S411" s="604"/>
      <c r="T411" s="605"/>
      <c r="U411" s="605"/>
      <c r="V411" s="605"/>
      <c r="W411" s="267"/>
      <c r="X411" s="578"/>
      <c r="Y411" s="151"/>
      <c r="Z411" s="151"/>
    </row>
    <row r="412" spans="2:26" x14ac:dyDescent="0.35">
      <c r="B412" s="518"/>
      <c r="C412" t="s">
        <v>144</v>
      </c>
      <c r="E412" s="519"/>
      <c r="F412" s="151" t="s">
        <v>177</v>
      </c>
      <c r="G412" s="316" t="s">
        <v>178</v>
      </c>
      <c r="H412" s="317"/>
      <c r="I412" s="318"/>
      <c r="J412" s="316" t="s">
        <v>179</v>
      </c>
      <c r="K412" s="433">
        <v>1</v>
      </c>
      <c r="L412" s="577">
        <v>45.36</v>
      </c>
      <c r="M412" s="258">
        <f>(1/500)*25</f>
        <v>0.05</v>
      </c>
      <c r="N412" s="380">
        <v>12</v>
      </c>
      <c r="O412" s="520">
        <f>K412*L412*M412*N412</f>
        <v>27.216000000000001</v>
      </c>
      <c r="P412" s="261">
        <v>140008</v>
      </c>
      <c r="Q412" s="496">
        <f>P412*$O412</f>
        <v>3810457.7280000001</v>
      </c>
      <c r="R412" s="274">
        <v>158800.57379999998</v>
      </c>
      <c r="S412" s="521">
        <f>R412*$O412</f>
        <v>4321916.4165407997</v>
      </c>
      <c r="T412" s="259">
        <v>163305.33120000002</v>
      </c>
      <c r="U412" s="517">
        <f>$O412*T412</f>
        <v>4444517.8939392008</v>
      </c>
      <c r="V412" s="259">
        <f>W412/O412</f>
        <v>154037.96833333332</v>
      </c>
      <c r="W412" s="267">
        <f>AVERAGEIF($P$3:$U$3,W$3,$P412:$U412)</f>
        <v>4192297.3461600002</v>
      </c>
      <c r="X412" s="578"/>
      <c r="Y412" s="492">
        <f t="shared" ref="Y412:Y413" si="70">S412/$D$1</f>
        <v>95280.34427999999</v>
      </c>
      <c r="Z412" s="151"/>
    </row>
    <row r="413" spans="2:26" x14ac:dyDescent="0.35">
      <c r="B413" s="518"/>
      <c r="E413" s="519"/>
      <c r="F413" s="151" t="s">
        <v>436</v>
      </c>
      <c r="G413" s="316" t="s">
        <v>345</v>
      </c>
      <c r="H413" s="317"/>
      <c r="I413" s="318"/>
      <c r="J413" s="316" t="s">
        <v>179</v>
      </c>
      <c r="K413" s="433">
        <v>1</v>
      </c>
      <c r="L413" s="577">
        <v>45.36</v>
      </c>
      <c r="M413" s="476">
        <v>0.08</v>
      </c>
      <c r="N413" s="380">
        <v>12</v>
      </c>
      <c r="O413" s="520">
        <f>K413*L413*M413*N413</f>
        <v>43.5456</v>
      </c>
      <c r="P413" s="261">
        <v>20000</v>
      </c>
      <c r="Q413" s="496">
        <f>P413*$O413</f>
        <v>870912</v>
      </c>
      <c r="R413" s="274">
        <v>22050</v>
      </c>
      <c r="S413" s="521">
        <f>R413*$O413</f>
        <v>960180.48</v>
      </c>
      <c r="T413" s="259">
        <v>23328</v>
      </c>
      <c r="U413" s="517">
        <f>$O413*T413</f>
        <v>1015831.7568</v>
      </c>
      <c r="V413" s="259">
        <f>W413/O413</f>
        <v>21792.666666666668</v>
      </c>
      <c r="W413" s="267">
        <f>AVERAGEIF($P$3:$U$3,W$3,$P413:$U413)</f>
        <v>948974.74560000002</v>
      </c>
      <c r="X413" s="578"/>
      <c r="Y413" s="492">
        <f t="shared" si="70"/>
        <v>21168</v>
      </c>
      <c r="Z413" s="151"/>
    </row>
    <row r="414" spans="2:26" x14ac:dyDescent="0.35">
      <c r="B414" s="660" t="s">
        <v>570</v>
      </c>
      <c r="C414" s="661"/>
      <c r="D414" s="661"/>
      <c r="E414" s="662"/>
      <c r="F414" s="532"/>
      <c r="G414" s="587"/>
      <c r="H414" s="588"/>
      <c r="I414" s="589"/>
      <c r="J414" s="587"/>
      <c r="K414" s="590"/>
      <c r="L414" s="591"/>
      <c r="M414" s="543"/>
      <c r="N414" s="544"/>
      <c r="O414" s="588"/>
      <c r="P414" s="592"/>
      <c r="Q414" s="592"/>
      <c r="R414" s="592"/>
      <c r="S414" s="663">
        <f>SUM(S408:S413)</f>
        <v>23297717.392487999</v>
      </c>
      <c r="T414" s="594"/>
      <c r="U414" s="594"/>
      <c r="V414" s="594"/>
      <c r="W414" s="594"/>
      <c r="X414" s="588"/>
      <c r="Y414" s="426">
        <f>S414/D1</f>
        <v>513618.10829999996</v>
      </c>
      <c r="Z414" s="664">
        <f>S414/$S$415*100</f>
        <v>4.6519913488018894</v>
      </c>
    </row>
    <row r="415" spans="2:26" x14ac:dyDescent="0.35">
      <c r="B415" s="584" t="s">
        <v>571</v>
      </c>
      <c r="C415" s="585"/>
      <c r="D415" s="585"/>
      <c r="E415" s="708"/>
      <c r="F415" s="532"/>
      <c r="G415" s="587"/>
      <c r="H415" s="588"/>
      <c r="I415" s="589"/>
      <c r="J415" s="587"/>
      <c r="K415" s="590"/>
      <c r="L415" s="591"/>
      <c r="M415" s="543"/>
      <c r="N415" s="544"/>
      <c r="O415" s="588"/>
      <c r="P415" s="592"/>
      <c r="Q415" s="709">
        <f>SUM(Q5:Q414)</f>
        <v>411121428.6826281</v>
      </c>
      <c r="R415" s="592"/>
      <c r="S415" s="710">
        <f>S35+S58+S175+S198+S285+S295+S338+S393+S414</f>
        <v>500811709.34439248</v>
      </c>
      <c r="T415" s="594"/>
      <c r="U415" s="709" t="e">
        <f>SUM(U5:U414)</f>
        <v>#N/A</v>
      </c>
      <c r="V415" s="594"/>
      <c r="W415" s="709" t="e">
        <f>SUM(W5:W414)</f>
        <v>#N/A</v>
      </c>
      <c r="X415" s="588"/>
      <c r="Y415" s="426">
        <f>S415/D1</f>
        <v>11040822.51641077</v>
      </c>
      <c r="Z415" s="664">
        <f>S415/$S$415*100</f>
        <v>100</v>
      </c>
    </row>
    <row r="417" spans="2:17" x14ac:dyDescent="0.35">
      <c r="P417" s="429"/>
    </row>
    <row r="418" spans="2:17" x14ac:dyDescent="0.35">
      <c r="B418" t="s">
        <v>572</v>
      </c>
      <c r="P418" s="429"/>
    </row>
    <row r="419" spans="2:17" x14ac:dyDescent="0.35">
      <c r="Q419" s="429"/>
    </row>
    <row r="420" spans="2:17" x14ac:dyDescent="0.35">
      <c r="Q420" s="429"/>
    </row>
  </sheetData>
  <mergeCells count="56">
    <mergeCell ref="B370:D370"/>
    <mergeCell ref="B381:D381"/>
    <mergeCell ref="B392:D392"/>
    <mergeCell ref="B393:D393"/>
    <mergeCell ref="B414:D414"/>
    <mergeCell ref="B415:E415"/>
    <mergeCell ref="B312:D312"/>
    <mergeCell ref="B328:D328"/>
    <mergeCell ref="K333:K335"/>
    <mergeCell ref="B338:D338"/>
    <mergeCell ref="B350:D350"/>
    <mergeCell ref="B360:D360"/>
    <mergeCell ref="B198:D198"/>
    <mergeCell ref="B236:D236"/>
    <mergeCell ref="B263:D263"/>
    <mergeCell ref="B285:D285"/>
    <mergeCell ref="B295:D295"/>
    <mergeCell ref="B300:D300"/>
    <mergeCell ref="B113:D113"/>
    <mergeCell ref="B126:D126"/>
    <mergeCell ref="B174:D174"/>
    <mergeCell ref="B175:D175"/>
    <mergeCell ref="B194:D194"/>
    <mergeCell ref="B197:D197"/>
    <mergeCell ref="B35:D35"/>
    <mergeCell ref="B41:D41"/>
    <mergeCell ref="B51:D51"/>
    <mergeCell ref="B58:D58"/>
    <mergeCell ref="B71:D71"/>
    <mergeCell ref="B84:D84"/>
    <mergeCell ref="S3:S4"/>
    <mergeCell ref="T3:T4"/>
    <mergeCell ref="U3:U4"/>
    <mergeCell ref="V3:V4"/>
    <mergeCell ref="W3:W4"/>
    <mergeCell ref="X3:X4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45" right="0.45" top="0.75" bottom="0.25" header="0.3" footer="0.3"/>
  <pageSetup paperSize="9" scale="59" orientation="landscape" r:id="rId1"/>
  <rowBreaks count="2" manualBreakCount="2">
    <brk id="58" max="25" man="1"/>
    <brk id="113" max="25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3D7B4-E491-46A0-8123-EEB4C49B1FD4}">
  <sheetPr>
    <tabColor theme="9" tint="-0.249977111117893"/>
  </sheetPr>
  <dimension ref="B1:AB428"/>
  <sheetViews>
    <sheetView view="pageBreakPreview" zoomScale="60" zoomScaleNormal="100" workbookViewId="0">
      <pane xSplit="7" ySplit="5" topLeftCell="H310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RowHeight="14.5" x14ac:dyDescent="0.35"/>
  <cols>
    <col min="1" max="1" width="2.1796875" customWidth="1"/>
    <col min="2" max="2" width="5.81640625" customWidth="1"/>
    <col min="3" max="3" width="8.81640625" customWidth="1"/>
    <col min="4" max="4" width="22.81640625" customWidth="1"/>
    <col min="5" max="5" width="19.7265625" customWidth="1"/>
    <col min="6" max="6" width="26.81640625" customWidth="1"/>
    <col min="7" max="7" width="7.54296875" style="550" bestFit="1" customWidth="1"/>
    <col min="8" max="8" width="7.54296875" hidden="1" customWidth="1"/>
    <col min="9" max="9" width="6" hidden="1" customWidth="1"/>
    <col min="10" max="10" width="6" style="550" customWidth="1"/>
    <col min="11" max="11" width="9.7265625" style="550" customWidth="1"/>
    <col min="12" max="12" width="10.36328125" style="550" customWidth="1"/>
    <col min="13" max="13" width="11.36328125" style="194" bestFit="1" customWidth="1"/>
    <col min="14" max="14" width="7.26953125" style="195" bestFit="1" customWidth="1"/>
    <col min="15" max="15" width="11.36328125" customWidth="1"/>
    <col min="16" max="16" width="15" bestFit="1" customWidth="1"/>
    <col min="17" max="17" width="17.36328125" customWidth="1"/>
    <col min="18" max="19" width="15" hidden="1" customWidth="1"/>
    <col min="20" max="20" width="16.26953125" hidden="1" customWidth="1"/>
    <col min="21" max="23" width="15" hidden="1" customWidth="1"/>
    <col min="24" max="24" width="16.54296875" customWidth="1"/>
    <col min="25" max="25" width="14.81640625" customWidth="1"/>
    <col min="26" max="26" width="13.81640625" bestFit="1" customWidth="1"/>
  </cols>
  <sheetData>
    <row r="1" spans="2:26" x14ac:dyDescent="0.35">
      <c r="C1" s="190" t="s">
        <v>157</v>
      </c>
      <c r="D1" s="191">
        <v>45.36</v>
      </c>
    </row>
    <row r="2" spans="2:26" ht="15" customHeight="1" x14ac:dyDescent="0.35">
      <c r="B2" s="201" t="s">
        <v>7</v>
      </c>
      <c r="C2" s="551"/>
      <c r="D2" s="551"/>
      <c r="E2" s="202"/>
      <c r="F2" s="199" t="s">
        <v>158</v>
      </c>
      <c r="G2" s="200"/>
      <c r="H2" s="201" t="s">
        <v>159</v>
      </c>
      <c r="I2" s="202"/>
      <c r="J2" s="199" t="s">
        <v>54</v>
      </c>
      <c r="K2" s="552"/>
      <c r="L2" s="552"/>
      <c r="M2" s="552"/>
      <c r="N2" s="552"/>
      <c r="O2" s="200"/>
      <c r="P2" s="206">
        <v>2028</v>
      </c>
      <c r="Q2" s="207"/>
      <c r="R2" s="206">
        <v>2028</v>
      </c>
      <c r="S2" s="207"/>
      <c r="T2" s="208">
        <v>2029</v>
      </c>
      <c r="U2" s="209"/>
      <c r="V2" s="212" t="s">
        <v>161</v>
      </c>
      <c r="W2" s="213"/>
      <c r="X2" s="553"/>
      <c r="Y2" s="558" t="s">
        <v>59</v>
      </c>
      <c r="Z2" s="554" t="s">
        <v>60</v>
      </c>
    </row>
    <row r="3" spans="2:26" s="550" customFormat="1" x14ac:dyDescent="0.35">
      <c r="B3" s="221"/>
      <c r="C3" s="555"/>
      <c r="D3" s="555"/>
      <c r="E3" s="222"/>
      <c r="F3" s="220" t="s">
        <v>165</v>
      </c>
      <c r="G3" s="220" t="s">
        <v>166</v>
      </c>
      <c r="H3" s="221"/>
      <c r="I3" s="222"/>
      <c r="J3" s="220" t="s">
        <v>166</v>
      </c>
      <c r="K3" s="199" t="s">
        <v>167</v>
      </c>
      <c r="L3" s="200"/>
      <c r="M3" s="223" t="s">
        <v>168</v>
      </c>
      <c r="N3" s="556" t="s">
        <v>169</v>
      </c>
      <c r="O3" s="557" t="s">
        <v>170</v>
      </c>
      <c r="P3" s="225" t="s">
        <v>171</v>
      </c>
      <c r="Q3" s="225" t="s">
        <v>172</v>
      </c>
      <c r="R3" s="225" t="s">
        <v>171</v>
      </c>
      <c r="S3" s="225" t="s">
        <v>172</v>
      </c>
      <c r="T3" s="227" t="s">
        <v>171</v>
      </c>
      <c r="U3" s="227" t="s">
        <v>172</v>
      </c>
      <c r="V3" s="229" t="s">
        <v>171</v>
      </c>
      <c r="W3" s="229" t="s">
        <v>172</v>
      </c>
      <c r="X3" s="711" t="s">
        <v>162</v>
      </c>
      <c r="Y3" s="558"/>
      <c r="Z3" s="558"/>
    </row>
    <row r="4" spans="2:26" s="550" customFormat="1" ht="29" x14ac:dyDescent="0.35">
      <c r="B4" s="236"/>
      <c r="C4" s="712"/>
      <c r="D4" s="712"/>
      <c r="E4" s="237"/>
      <c r="F4" s="235"/>
      <c r="G4" s="235"/>
      <c r="H4" s="236"/>
      <c r="I4" s="237"/>
      <c r="J4" s="235"/>
      <c r="K4" s="238" t="s">
        <v>173</v>
      </c>
      <c r="L4" s="239" t="s">
        <v>174</v>
      </c>
      <c r="M4" s="240"/>
      <c r="N4" s="559"/>
      <c r="O4" s="560"/>
      <c r="P4" s="242"/>
      <c r="Q4" s="242"/>
      <c r="R4" s="242"/>
      <c r="S4" s="242"/>
      <c r="T4" s="244"/>
      <c r="U4" s="244"/>
      <c r="V4" s="246"/>
      <c r="W4" s="246"/>
      <c r="X4" s="711"/>
      <c r="Y4" s="558"/>
      <c r="Z4" s="558"/>
    </row>
    <row r="5" spans="2:26" s="576" customFormat="1" x14ac:dyDescent="0.35">
      <c r="B5" s="561" t="s">
        <v>308</v>
      </c>
      <c r="C5" s="562"/>
      <c r="D5" s="563"/>
      <c r="E5" s="564"/>
      <c r="F5" s="565"/>
      <c r="G5" s="566"/>
      <c r="H5" s="566"/>
      <c r="I5" s="567"/>
      <c r="J5" s="566"/>
      <c r="K5" s="568"/>
      <c r="L5" s="569"/>
      <c r="M5" s="570"/>
      <c r="N5" s="571"/>
      <c r="O5" s="572"/>
      <c r="P5" s="573"/>
      <c r="Q5" s="573"/>
      <c r="R5" s="573"/>
      <c r="S5" s="573"/>
      <c r="T5" s="267"/>
      <c r="U5" s="267"/>
      <c r="V5" s="267"/>
      <c r="W5" s="267"/>
      <c r="X5" s="574"/>
      <c r="Y5" s="575"/>
      <c r="Z5" s="575"/>
    </row>
    <row r="6" spans="2:26" x14ac:dyDescent="0.35">
      <c r="B6" s="504"/>
      <c r="C6" s="172" t="s">
        <v>111</v>
      </c>
      <c r="D6" s="172"/>
      <c r="E6" s="506"/>
      <c r="F6" s="151" t="s">
        <v>177</v>
      </c>
      <c r="G6" s="316" t="s">
        <v>178</v>
      </c>
      <c r="H6" s="317"/>
      <c r="I6" s="318"/>
      <c r="J6" s="316"/>
      <c r="K6" s="502"/>
      <c r="L6" s="577"/>
      <c r="M6" s="379"/>
      <c r="N6" s="259"/>
      <c r="O6" s="317"/>
      <c r="P6" s="496"/>
      <c r="Q6" s="496"/>
      <c r="R6" s="496"/>
      <c r="S6" s="496"/>
      <c r="T6" s="517"/>
      <c r="U6" s="517"/>
      <c r="V6" s="517"/>
      <c r="W6" s="517"/>
      <c r="X6" s="578"/>
      <c r="Y6" s="151"/>
      <c r="Z6" s="151"/>
    </row>
    <row r="7" spans="2:26" x14ac:dyDescent="0.35">
      <c r="B7" s="518"/>
      <c r="E7" s="519"/>
      <c r="F7" s="151" t="s">
        <v>310</v>
      </c>
      <c r="G7" s="316" t="s">
        <v>181</v>
      </c>
      <c r="H7" s="317"/>
      <c r="I7" s="318"/>
      <c r="J7" s="316"/>
      <c r="K7" s="502"/>
      <c r="L7" s="577"/>
      <c r="M7" s="379"/>
      <c r="N7" s="259"/>
      <c r="O7" s="317"/>
      <c r="P7" s="496"/>
      <c r="Q7" s="496"/>
      <c r="R7" s="496"/>
      <c r="S7" s="496"/>
      <c r="T7" s="517"/>
      <c r="U7" s="517"/>
      <c r="V7" s="517"/>
      <c r="W7" s="517"/>
      <c r="X7" s="578"/>
      <c r="Y7" s="151"/>
      <c r="Z7" s="151"/>
    </row>
    <row r="8" spans="2:26" x14ac:dyDescent="0.35">
      <c r="B8" s="518"/>
      <c r="E8" s="519"/>
      <c r="F8" s="151" t="s">
        <v>311</v>
      </c>
      <c r="G8" s="316" t="s">
        <v>181</v>
      </c>
      <c r="H8" s="317"/>
      <c r="I8" s="318"/>
      <c r="J8" s="316"/>
      <c r="K8" s="502"/>
      <c r="L8" s="577"/>
      <c r="M8" s="379"/>
      <c r="N8" s="259"/>
      <c r="O8" s="317"/>
      <c r="P8" s="496"/>
      <c r="Q8" s="496"/>
      <c r="R8" s="496"/>
      <c r="S8" s="496"/>
      <c r="T8" s="517"/>
      <c r="U8" s="517"/>
      <c r="V8" s="517"/>
      <c r="W8" s="517"/>
      <c r="X8" s="578"/>
      <c r="Y8" s="151"/>
      <c r="Z8" s="151"/>
    </row>
    <row r="9" spans="2:26" x14ac:dyDescent="0.35">
      <c r="B9" s="518"/>
      <c r="E9" s="519"/>
      <c r="F9" s="151" t="s">
        <v>318</v>
      </c>
      <c r="G9" s="316" t="s">
        <v>181</v>
      </c>
      <c r="H9" s="317"/>
      <c r="I9" s="318"/>
      <c r="J9" s="316"/>
      <c r="K9" s="502"/>
      <c r="L9" s="577"/>
      <c r="M9" s="379"/>
      <c r="N9" s="259"/>
      <c r="O9" s="317"/>
      <c r="P9" s="496"/>
      <c r="Q9" s="496"/>
      <c r="R9" s="496"/>
      <c r="S9" s="496"/>
      <c r="T9" s="517"/>
      <c r="U9" s="517"/>
      <c r="V9" s="517"/>
      <c r="W9" s="517"/>
      <c r="X9" s="578"/>
      <c r="Y9" s="151"/>
      <c r="Z9" s="151"/>
    </row>
    <row r="10" spans="2:26" x14ac:dyDescent="0.35">
      <c r="B10" s="518"/>
      <c r="E10" s="519"/>
      <c r="F10" s="151" t="s">
        <v>451</v>
      </c>
      <c r="G10" s="316" t="s">
        <v>181</v>
      </c>
      <c r="H10" s="317"/>
      <c r="I10" s="318"/>
      <c r="J10" s="316"/>
      <c r="K10" s="502"/>
      <c r="L10" s="577"/>
      <c r="M10" s="379"/>
      <c r="N10" s="259"/>
      <c r="O10" s="317"/>
      <c r="P10" s="496"/>
      <c r="Q10" s="496"/>
      <c r="R10" s="496"/>
      <c r="S10" s="496"/>
      <c r="T10" s="517"/>
      <c r="U10" s="517"/>
      <c r="V10" s="517"/>
      <c r="W10" s="517"/>
      <c r="X10" s="578"/>
      <c r="Y10" s="151"/>
      <c r="Z10" s="151"/>
    </row>
    <row r="11" spans="2:26" x14ac:dyDescent="0.35">
      <c r="B11" s="518"/>
      <c r="E11" s="519"/>
      <c r="F11" s="151" t="s">
        <v>316</v>
      </c>
      <c r="G11" s="316" t="s">
        <v>181</v>
      </c>
      <c r="H11" s="317"/>
      <c r="I11" s="318"/>
      <c r="J11" s="316"/>
      <c r="K11" s="502"/>
      <c r="L11" s="577"/>
      <c r="M11" s="379"/>
      <c r="N11" s="259"/>
      <c r="O11" s="317"/>
      <c r="P11" s="496"/>
      <c r="Q11" s="496"/>
      <c r="R11" s="496"/>
      <c r="S11" s="496"/>
      <c r="T11" s="517"/>
      <c r="U11" s="517"/>
      <c r="V11" s="517"/>
      <c r="W11" s="517"/>
      <c r="X11" s="578"/>
      <c r="Y11" s="151"/>
      <c r="Z11" s="151"/>
    </row>
    <row r="12" spans="2:26" x14ac:dyDescent="0.35">
      <c r="B12" s="579"/>
      <c r="C12" s="580"/>
      <c r="D12" s="580"/>
      <c r="E12" s="581"/>
      <c r="F12" s="151" t="s">
        <v>232</v>
      </c>
      <c r="G12" s="316" t="s">
        <v>183</v>
      </c>
      <c r="H12" s="317">
        <v>1</v>
      </c>
      <c r="I12" s="318" t="s">
        <v>228</v>
      </c>
      <c r="J12" s="316"/>
      <c r="K12" s="502"/>
      <c r="L12" s="577"/>
      <c r="M12" s="379"/>
      <c r="N12" s="259"/>
      <c r="O12" s="317"/>
      <c r="P12" s="496"/>
      <c r="Q12" s="496"/>
      <c r="R12" s="496"/>
      <c r="S12" s="496"/>
      <c r="T12" s="517"/>
      <c r="U12" s="517"/>
      <c r="V12" s="517"/>
      <c r="W12" s="517"/>
      <c r="X12" s="578"/>
      <c r="Y12" s="151"/>
      <c r="Z12" s="151"/>
    </row>
    <row r="13" spans="2:26" x14ac:dyDescent="0.35">
      <c r="B13" s="317"/>
      <c r="C13" s="318" t="s">
        <v>128</v>
      </c>
      <c r="D13" s="318"/>
      <c r="E13" s="582"/>
      <c r="F13" s="151" t="s">
        <v>177</v>
      </c>
      <c r="G13" s="316" t="s">
        <v>178</v>
      </c>
      <c r="H13" s="317"/>
      <c r="I13" s="318"/>
      <c r="J13" s="316"/>
      <c r="K13" s="502"/>
      <c r="L13" s="577"/>
      <c r="M13" s="379"/>
      <c r="N13" s="259"/>
      <c r="O13" s="317"/>
      <c r="P13" s="496"/>
      <c r="Q13" s="496"/>
      <c r="R13" s="496"/>
      <c r="S13" s="496"/>
      <c r="T13" s="517"/>
      <c r="U13" s="517"/>
      <c r="V13" s="517"/>
      <c r="W13" s="517"/>
      <c r="X13" s="578"/>
      <c r="Y13" s="151"/>
      <c r="Z13" s="151"/>
    </row>
    <row r="14" spans="2:26" x14ac:dyDescent="0.35">
      <c r="B14" s="504"/>
      <c r="C14" s="172" t="s">
        <v>452</v>
      </c>
      <c r="D14" s="172"/>
      <c r="E14" s="506"/>
      <c r="F14" s="151" t="s">
        <v>177</v>
      </c>
      <c r="G14" s="316" t="s">
        <v>178</v>
      </c>
      <c r="H14" s="317"/>
      <c r="I14" s="318"/>
      <c r="J14" s="316"/>
      <c r="K14" s="502"/>
      <c r="L14" s="577"/>
      <c r="M14" s="379"/>
      <c r="N14" s="259"/>
      <c r="O14" s="317"/>
      <c r="P14" s="496"/>
      <c r="Q14" s="496"/>
      <c r="R14" s="496"/>
      <c r="S14" s="496"/>
      <c r="T14" s="517"/>
      <c r="U14" s="517"/>
      <c r="V14" s="517"/>
      <c r="W14" s="517"/>
      <c r="X14" s="583"/>
      <c r="Y14" s="151"/>
      <c r="Z14" s="151"/>
    </row>
    <row r="15" spans="2:26" x14ac:dyDescent="0.35">
      <c r="B15" s="518"/>
      <c r="E15" s="519"/>
      <c r="F15" s="151" t="s">
        <v>221</v>
      </c>
      <c r="G15" s="316" t="s">
        <v>222</v>
      </c>
      <c r="H15" s="317"/>
      <c r="I15" s="318"/>
      <c r="J15" s="316"/>
      <c r="K15" s="502"/>
      <c r="L15" s="577"/>
      <c r="M15" s="379"/>
      <c r="N15" s="259"/>
      <c r="O15" s="317"/>
      <c r="P15" s="496"/>
      <c r="Q15" s="496"/>
      <c r="R15" s="496"/>
      <c r="S15" s="496"/>
      <c r="T15" s="517"/>
      <c r="U15" s="517"/>
      <c r="V15" s="517"/>
      <c r="W15" s="517"/>
      <c r="X15" s="578"/>
      <c r="Y15" s="151"/>
      <c r="Z15" s="151"/>
    </row>
    <row r="16" spans="2:26" x14ac:dyDescent="0.35">
      <c r="B16" s="518"/>
      <c r="E16" s="519"/>
      <c r="F16" s="151" t="s">
        <v>223</v>
      </c>
      <c r="G16" s="316" t="s">
        <v>181</v>
      </c>
      <c r="H16" s="317"/>
      <c r="I16" s="318"/>
      <c r="J16" s="316"/>
      <c r="K16" s="502"/>
      <c r="L16" s="577"/>
      <c r="M16" s="379"/>
      <c r="N16" s="259"/>
      <c r="O16" s="317"/>
      <c r="P16" s="496"/>
      <c r="Q16" s="496"/>
      <c r="R16" s="496"/>
      <c r="S16" s="496"/>
      <c r="T16" s="517"/>
      <c r="U16" s="517"/>
      <c r="V16" s="517"/>
      <c r="W16" s="517"/>
      <c r="X16" s="578"/>
      <c r="Y16" s="151"/>
      <c r="Z16" s="151"/>
    </row>
    <row r="17" spans="2:26" x14ac:dyDescent="0.35">
      <c r="B17" s="518"/>
      <c r="E17" s="519"/>
      <c r="F17" s="151" t="s">
        <v>225</v>
      </c>
      <c r="G17" s="316" t="s">
        <v>222</v>
      </c>
      <c r="H17" s="317"/>
      <c r="I17" s="318"/>
      <c r="J17" s="316"/>
      <c r="K17" s="502"/>
      <c r="L17" s="577"/>
      <c r="M17" s="379"/>
      <c r="N17" s="259"/>
      <c r="O17" s="317"/>
      <c r="P17" s="496"/>
      <c r="Q17" s="496"/>
      <c r="R17" s="496"/>
      <c r="S17" s="496"/>
      <c r="T17" s="517"/>
      <c r="U17" s="517"/>
      <c r="V17" s="517"/>
      <c r="W17" s="517"/>
      <c r="X17" s="578"/>
      <c r="Y17" s="151"/>
      <c r="Z17" s="151"/>
    </row>
    <row r="18" spans="2:26" x14ac:dyDescent="0.35">
      <c r="B18" s="518"/>
      <c r="E18" s="519"/>
      <c r="F18" s="151" t="s">
        <v>389</v>
      </c>
      <c r="G18" s="316" t="s">
        <v>183</v>
      </c>
      <c r="H18" s="317"/>
      <c r="I18" s="318"/>
      <c r="J18" s="316"/>
      <c r="K18" s="502"/>
      <c r="L18" s="577"/>
      <c r="M18" s="379"/>
      <c r="N18" s="259"/>
      <c r="O18" s="317"/>
      <c r="P18" s="496"/>
      <c r="Q18" s="496"/>
      <c r="R18" s="496"/>
      <c r="S18" s="496"/>
      <c r="T18" s="517"/>
      <c r="U18" s="517"/>
      <c r="V18" s="517"/>
      <c r="W18" s="517"/>
      <c r="X18" s="578"/>
      <c r="Y18" s="151"/>
      <c r="Z18" s="151"/>
    </row>
    <row r="19" spans="2:26" x14ac:dyDescent="0.35">
      <c r="B19" s="518"/>
      <c r="E19" s="519"/>
      <c r="F19" s="151" t="s">
        <v>226</v>
      </c>
      <c r="G19" s="316" t="s">
        <v>178</v>
      </c>
      <c r="H19" s="317"/>
      <c r="I19" s="318"/>
      <c r="J19" s="316"/>
      <c r="K19" s="502"/>
      <c r="L19" s="577"/>
      <c r="M19" s="379"/>
      <c r="N19" s="259"/>
      <c r="O19" s="317"/>
      <c r="P19" s="496"/>
      <c r="Q19" s="496"/>
      <c r="R19" s="496"/>
      <c r="S19" s="496"/>
      <c r="T19" s="517"/>
      <c r="U19" s="517"/>
      <c r="V19" s="517"/>
      <c r="W19" s="517"/>
      <c r="X19" s="578"/>
      <c r="Y19" s="151"/>
      <c r="Z19" s="151"/>
    </row>
    <row r="20" spans="2:26" x14ac:dyDescent="0.35">
      <c r="B20" s="518"/>
      <c r="E20" s="519"/>
      <c r="F20" s="151" t="s">
        <v>227</v>
      </c>
      <c r="G20" s="316" t="s">
        <v>183</v>
      </c>
      <c r="H20" s="317">
        <v>4</v>
      </c>
      <c r="I20" s="318" t="s">
        <v>228</v>
      </c>
      <c r="J20" s="316"/>
      <c r="K20" s="502"/>
      <c r="L20" s="577"/>
      <c r="M20" s="379"/>
      <c r="N20" s="259"/>
      <c r="O20" s="317"/>
      <c r="P20" s="496"/>
      <c r="Q20" s="496"/>
      <c r="R20" s="496"/>
      <c r="S20" s="496"/>
      <c r="T20" s="517"/>
      <c r="U20" s="517"/>
      <c r="V20" s="517"/>
      <c r="W20" s="517"/>
      <c r="X20" s="578"/>
      <c r="Y20" s="151"/>
      <c r="Z20" s="151"/>
    </row>
    <row r="21" spans="2:26" x14ac:dyDescent="0.35">
      <c r="B21" s="518"/>
      <c r="E21" s="519"/>
      <c r="F21" s="151" t="s">
        <v>229</v>
      </c>
      <c r="G21" s="316" t="s">
        <v>183</v>
      </c>
      <c r="H21" s="317">
        <v>12</v>
      </c>
      <c r="I21" s="318" t="s">
        <v>228</v>
      </c>
      <c r="J21" s="316"/>
      <c r="K21" s="502"/>
      <c r="L21" s="577"/>
      <c r="M21" s="379"/>
      <c r="N21" s="259"/>
      <c r="O21" s="317"/>
      <c r="P21" s="496"/>
      <c r="Q21" s="496"/>
      <c r="R21" s="496"/>
      <c r="S21" s="496"/>
      <c r="T21" s="517"/>
      <c r="U21" s="517"/>
      <c r="V21" s="517"/>
      <c r="W21" s="517"/>
      <c r="X21" s="578"/>
      <c r="Y21" s="151"/>
      <c r="Z21" s="151"/>
    </row>
    <row r="22" spans="2:26" x14ac:dyDescent="0.35">
      <c r="B22" s="518"/>
      <c r="E22" s="519"/>
      <c r="F22" s="151" t="s">
        <v>230</v>
      </c>
      <c r="G22" s="316" t="s">
        <v>183</v>
      </c>
      <c r="H22" s="317">
        <v>1</v>
      </c>
      <c r="I22" s="318" t="s">
        <v>228</v>
      </c>
      <c r="J22" s="316"/>
      <c r="K22" s="502"/>
      <c r="L22" s="577"/>
      <c r="M22" s="379"/>
      <c r="N22" s="259"/>
      <c r="O22" s="317"/>
      <c r="P22" s="496"/>
      <c r="Q22" s="496"/>
      <c r="R22" s="496"/>
      <c r="S22" s="496"/>
      <c r="T22" s="517"/>
      <c r="U22" s="517"/>
      <c r="V22" s="517"/>
      <c r="W22" s="517"/>
      <c r="X22" s="578"/>
      <c r="Y22" s="151"/>
      <c r="Z22" s="151"/>
    </row>
    <row r="23" spans="2:26" x14ac:dyDescent="0.35">
      <c r="B23" s="518"/>
      <c r="E23" s="519"/>
      <c r="F23" s="151" t="s">
        <v>231</v>
      </c>
      <c r="G23" s="316" t="s">
        <v>183</v>
      </c>
      <c r="H23" s="317">
        <v>2</v>
      </c>
      <c r="I23" s="318" t="s">
        <v>228</v>
      </c>
      <c r="J23" s="316"/>
      <c r="K23" s="502"/>
      <c r="L23" s="577"/>
      <c r="M23" s="379"/>
      <c r="N23" s="259"/>
      <c r="O23" s="317"/>
      <c r="P23" s="496"/>
      <c r="Q23" s="496"/>
      <c r="R23" s="496"/>
      <c r="S23" s="496"/>
      <c r="T23" s="517"/>
      <c r="U23" s="517"/>
      <c r="V23" s="517"/>
      <c r="W23" s="517"/>
      <c r="X23" s="578"/>
      <c r="Y23" s="151"/>
      <c r="Z23" s="151"/>
    </row>
    <row r="24" spans="2:26" x14ac:dyDescent="0.35">
      <c r="B24" s="579"/>
      <c r="C24" s="580"/>
      <c r="D24" s="580"/>
      <c r="E24" s="581"/>
      <c r="F24" s="151" t="s">
        <v>232</v>
      </c>
      <c r="G24" s="316" t="s">
        <v>183</v>
      </c>
      <c r="H24" s="317">
        <v>1</v>
      </c>
      <c r="I24" s="318" t="s">
        <v>228</v>
      </c>
      <c r="J24" s="316"/>
      <c r="K24" s="502"/>
      <c r="L24" s="577"/>
      <c r="M24" s="379"/>
      <c r="N24" s="259"/>
      <c r="O24" s="317"/>
      <c r="P24" s="496"/>
      <c r="Q24" s="496"/>
      <c r="R24" s="496"/>
      <c r="S24" s="496"/>
      <c r="T24" s="517"/>
      <c r="U24" s="517"/>
      <c r="V24" s="517"/>
      <c r="W24" s="517"/>
      <c r="X24" s="578"/>
      <c r="Y24" s="151"/>
      <c r="Z24" s="151"/>
    </row>
    <row r="25" spans="2:26" x14ac:dyDescent="0.35">
      <c r="B25" s="504"/>
      <c r="C25" s="172" t="s">
        <v>78</v>
      </c>
      <c r="D25" s="172"/>
      <c r="E25" s="506"/>
      <c r="F25" s="151" t="s">
        <v>177</v>
      </c>
      <c r="G25" s="316" t="s">
        <v>178</v>
      </c>
      <c r="H25" s="317"/>
      <c r="I25" s="318"/>
      <c r="J25" s="316"/>
      <c r="K25" s="502"/>
      <c r="L25" s="577"/>
      <c r="M25" s="379"/>
      <c r="N25" s="259"/>
      <c r="O25" s="317"/>
      <c r="P25" s="496"/>
      <c r="Q25" s="496"/>
      <c r="R25" s="496"/>
      <c r="S25" s="496"/>
      <c r="T25" s="517"/>
      <c r="U25" s="517"/>
      <c r="V25" s="517"/>
      <c r="W25" s="517"/>
      <c r="X25" s="578"/>
      <c r="Y25" s="151"/>
      <c r="Z25" s="151"/>
    </row>
    <row r="26" spans="2:26" x14ac:dyDescent="0.35">
      <c r="B26" s="518"/>
      <c r="E26" s="519"/>
      <c r="F26" s="151" t="s">
        <v>221</v>
      </c>
      <c r="G26" s="316" t="s">
        <v>222</v>
      </c>
      <c r="H26" s="317"/>
      <c r="I26" s="318"/>
      <c r="J26" s="316"/>
      <c r="K26" s="502"/>
      <c r="L26" s="577"/>
      <c r="M26" s="379"/>
      <c r="N26" s="259"/>
      <c r="O26" s="317"/>
      <c r="P26" s="496"/>
      <c r="Q26" s="496"/>
      <c r="R26" s="496"/>
      <c r="S26" s="496"/>
      <c r="T26" s="517"/>
      <c r="U26" s="517"/>
      <c r="V26" s="517"/>
      <c r="W26" s="517"/>
      <c r="X26" s="578"/>
      <c r="Y26" s="151"/>
      <c r="Z26" s="151"/>
    </row>
    <row r="27" spans="2:26" x14ac:dyDescent="0.35">
      <c r="B27" s="518"/>
      <c r="E27" s="519"/>
      <c r="F27" s="151" t="s">
        <v>225</v>
      </c>
      <c r="G27" s="316" t="s">
        <v>222</v>
      </c>
      <c r="H27" s="317"/>
      <c r="I27" s="318"/>
      <c r="J27" s="316"/>
      <c r="K27" s="502"/>
      <c r="L27" s="577"/>
      <c r="M27" s="379"/>
      <c r="N27" s="259"/>
      <c r="O27" s="317"/>
      <c r="P27" s="496"/>
      <c r="Q27" s="496"/>
      <c r="R27" s="496"/>
      <c r="S27" s="496"/>
      <c r="T27" s="517"/>
      <c r="U27" s="517"/>
      <c r="V27" s="517"/>
      <c r="W27" s="517"/>
      <c r="X27" s="578"/>
      <c r="Y27" s="151"/>
      <c r="Z27" s="151"/>
    </row>
    <row r="28" spans="2:26" x14ac:dyDescent="0.35">
      <c r="B28" s="518"/>
      <c r="E28" s="519"/>
      <c r="F28" s="151" t="s">
        <v>389</v>
      </c>
      <c r="G28" s="316" t="s">
        <v>183</v>
      </c>
      <c r="H28" s="317"/>
      <c r="I28" s="318"/>
      <c r="J28" s="316"/>
      <c r="K28" s="502"/>
      <c r="L28" s="577"/>
      <c r="M28" s="379"/>
      <c r="N28" s="259"/>
      <c r="O28" s="317"/>
      <c r="P28" s="496"/>
      <c r="Q28" s="496"/>
      <c r="R28" s="496"/>
      <c r="S28" s="496"/>
      <c r="T28" s="517"/>
      <c r="U28" s="517"/>
      <c r="V28" s="517"/>
      <c r="W28" s="517"/>
      <c r="X28" s="578"/>
      <c r="Y28" s="151"/>
      <c r="Z28" s="151"/>
    </row>
    <row r="29" spans="2:26" x14ac:dyDescent="0.35">
      <c r="B29" s="518"/>
      <c r="E29" s="519"/>
      <c r="F29" s="151" t="s">
        <v>226</v>
      </c>
      <c r="G29" s="316" t="s">
        <v>178</v>
      </c>
      <c r="H29" s="317"/>
      <c r="I29" s="318"/>
      <c r="J29" s="316"/>
      <c r="K29" s="502"/>
      <c r="L29" s="577"/>
      <c r="M29" s="379"/>
      <c r="N29" s="259"/>
      <c r="O29" s="317"/>
      <c r="P29" s="496"/>
      <c r="Q29" s="496"/>
      <c r="R29" s="496"/>
      <c r="S29" s="496"/>
      <c r="T29" s="517"/>
      <c r="U29" s="517"/>
      <c r="V29" s="517"/>
      <c r="W29" s="517"/>
      <c r="X29" s="578"/>
      <c r="Y29" s="151"/>
      <c r="Z29" s="151"/>
    </row>
    <row r="30" spans="2:26" x14ac:dyDescent="0.35">
      <c r="B30" s="518"/>
      <c r="E30" s="519"/>
      <c r="F30" s="151" t="s">
        <v>227</v>
      </c>
      <c r="G30" s="316" t="s">
        <v>183</v>
      </c>
      <c r="H30" s="317">
        <v>4</v>
      </c>
      <c r="I30" s="318" t="s">
        <v>228</v>
      </c>
      <c r="J30" s="316"/>
      <c r="K30" s="502"/>
      <c r="L30" s="577"/>
      <c r="M30" s="379"/>
      <c r="N30" s="259"/>
      <c r="O30" s="317"/>
      <c r="P30" s="496"/>
      <c r="Q30" s="496"/>
      <c r="R30" s="496"/>
      <c r="S30" s="496"/>
      <c r="T30" s="517"/>
      <c r="U30" s="517"/>
      <c r="V30" s="517"/>
      <c r="W30" s="517"/>
      <c r="X30" s="578"/>
      <c r="Y30" s="151"/>
      <c r="Z30" s="151"/>
    </row>
    <row r="31" spans="2:26" x14ac:dyDescent="0.35">
      <c r="B31" s="518"/>
      <c r="E31" s="519"/>
      <c r="F31" s="151" t="s">
        <v>453</v>
      </c>
      <c r="G31" s="316" t="s">
        <v>183</v>
      </c>
      <c r="H31" s="317">
        <v>12</v>
      </c>
      <c r="I31" s="318" t="s">
        <v>228</v>
      </c>
      <c r="J31" s="316"/>
      <c r="K31" s="502"/>
      <c r="L31" s="577"/>
      <c r="M31" s="379"/>
      <c r="N31" s="259"/>
      <c r="O31" s="317"/>
      <c r="P31" s="496"/>
      <c r="Q31" s="496"/>
      <c r="R31" s="496"/>
      <c r="S31" s="496"/>
      <c r="T31" s="517"/>
      <c r="U31" s="517"/>
      <c r="V31" s="517"/>
      <c r="W31" s="517"/>
      <c r="X31" s="578"/>
      <c r="Y31" s="151"/>
      <c r="Z31" s="151"/>
    </row>
    <row r="32" spans="2:26" x14ac:dyDescent="0.35">
      <c r="B32" s="518"/>
      <c r="E32" s="519"/>
      <c r="F32" s="151" t="s">
        <v>230</v>
      </c>
      <c r="G32" s="316" t="s">
        <v>183</v>
      </c>
      <c r="H32" s="317">
        <v>1</v>
      </c>
      <c r="I32" s="318" t="s">
        <v>228</v>
      </c>
      <c r="J32" s="316"/>
      <c r="K32" s="502"/>
      <c r="L32" s="577"/>
      <c r="M32" s="379"/>
      <c r="N32" s="259"/>
      <c r="O32" s="317"/>
      <c r="P32" s="496"/>
      <c r="Q32" s="496"/>
      <c r="R32" s="496"/>
      <c r="S32" s="496"/>
      <c r="T32" s="517"/>
      <c r="U32" s="517"/>
      <c r="V32" s="517"/>
      <c r="W32" s="517"/>
      <c r="X32" s="578"/>
      <c r="Y32" s="151"/>
      <c r="Z32" s="151"/>
    </row>
    <row r="33" spans="2:26" x14ac:dyDescent="0.35">
      <c r="B33" s="518"/>
      <c r="E33" s="519"/>
      <c r="F33" s="151" t="s">
        <v>231</v>
      </c>
      <c r="G33" s="316" t="s">
        <v>183</v>
      </c>
      <c r="H33" s="317">
        <v>2</v>
      </c>
      <c r="I33" s="318" t="s">
        <v>228</v>
      </c>
      <c r="J33" s="316"/>
      <c r="K33" s="502"/>
      <c r="L33" s="577"/>
      <c r="M33" s="379"/>
      <c r="N33" s="259"/>
      <c r="O33" s="317"/>
      <c r="P33" s="496"/>
      <c r="Q33" s="496"/>
      <c r="R33" s="496"/>
      <c r="S33" s="496"/>
      <c r="T33" s="517"/>
      <c r="U33" s="517"/>
      <c r="V33" s="517"/>
      <c r="W33" s="517"/>
      <c r="X33" s="578"/>
      <c r="Y33" s="151"/>
      <c r="Z33" s="151"/>
    </row>
    <row r="34" spans="2:26" x14ac:dyDescent="0.35">
      <c r="B34" s="579"/>
      <c r="C34" s="580"/>
      <c r="D34" s="580"/>
      <c r="E34" s="581"/>
      <c r="F34" s="151" t="s">
        <v>232</v>
      </c>
      <c r="G34" s="316" t="s">
        <v>183</v>
      </c>
      <c r="H34" s="317">
        <v>1</v>
      </c>
      <c r="I34" s="318" t="s">
        <v>228</v>
      </c>
      <c r="J34" s="316"/>
      <c r="K34" s="502"/>
      <c r="L34" s="577"/>
      <c r="M34" s="379"/>
      <c r="N34" s="259"/>
      <c r="O34" s="317"/>
      <c r="P34" s="496"/>
      <c r="Q34" s="496"/>
      <c r="R34" s="496"/>
      <c r="S34" s="496"/>
      <c r="T34" s="517"/>
      <c r="U34" s="517"/>
      <c r="V34" s="517"/>
      <c r="W34" s="517"/>
      <c r="X34" s="578"/>
      <c r="Y34" s="151"/>
      <c r="Z34" s="151"/>
    </row>
    <row r="35" spans="2:26" x14ac:dyDescent="0.35">
      <c r="B35" s="584" t="s">
        <v>454</v>
      </c>
      <c r="C35" s="585"/>
      <c r="D35" s="585"/>
      <c r="E35" s="586"/>
      <c r="F35" s="532"/>
      <c r="G35" s="587"/>
      <c r="H35" s="588"/>
      <c r="I35" s="589"/>
      <c r="J35" s="587"/>
      <c r="K35" s="590"/>
      <c r="L35" s="591"/>
      <c r="M35" s="543"/>
      <c r="N35" s="544"/>
      <c r="O35" s="588"/>
      <c r="P35" s="592"/>
      <c r="Q35" s="592">
        <f>SUM(Q6:Q34)</f>
        <v>0</v>
      </c>
      <c r="R35" s="592"/>
      <c r="S35" s="592">
        <f>SUM(S6:S34)</f>
        <v>0</v>
      </c>
      <c r="T35" s="594"/>
      <c r="U35" s="594"/>
      <c r="V35" s="594"/>
      <c r="W35" s="594"/>
      <c r="X35" s="588"/>
      <c r="Y35" s="532"/>
      <c r="Z35" s="532"/>
    </row>
    <row r="36" spans="2:26" x14ac:dyDescent="0.35">
      <c r="B36" s="595" t="s">
        <v>455</v>
      </c>
      <c r="C36" s="318"/>
      <c r="D36" s="318"/>
      <c r="E36" s="582"/>
      <c r="F36" s="151"/>
      <c r="G36" s="316"/>
      <c r="H36" s="317"/>
      <c r="I36" s="318"/>
      <c r="J36" s="316"/>
      <c r="K36" s="502"/>
      <c r="L36" s="577"/>
      <c r="M36" s="379"/>
      <c r="N36" s="259"/>
      <c r="O36" s="317"/>
      <c r="P36" s="496"/>
      <c r="Q36" s="496"/>
      <c r="R36" s="496"/>
      <c r="S36" s="496"/>
      <c r="T36" s="517"/>
      <c r="U36" s="517"/>
      <c r="V36" s="517"/>
      <c r="W36" s="517"/>
      <c r="X36" s="578"/>
      <c r="Y36" s="151"/>
      <c r="Z36" s="151"/>
    </row>
    <row r="37" spans="2:26" x14ac:dyDescent="0.35">
      <c r="B37" s="596" t="s">
        <v>456</v>
      </c>
      <c r="E37" s="519"/>
      <c r="F37" s="151"/>
      <c r="G37" s="316"/>
      <c r="H37" s="317"/>
      <c r="I37" s="318"/>
      <c r="J37" s="316"/>
      <c r="K37" s="502"/>
      <c r="L37" s="577"/>
      <c r="M37" s="379"/>
      <c r="N37" s="259"/>
      <c r="O37" s="317"/>
      <c r="P37" s="496"/>
      <c r="Q37" s="496"/>
      <c r="R37" s="496"/>
      <c r="S37" s="496"/>
      <c r="T37" s="517"/>
      <c r="U37" s="517"/>
      <c r="V37" s="517"/>
      <c r="W37" s="517"/>
      <c r="X37" s="578"/>
      <c r="Y37" s="151"/>
      <c r="Z37" s="151"/>
    </row>
    <row r="38" spans="2:26" x14ac:dyDescent="0.35">
      <c r="B38" s="504"/>
      <c r="C38" s="172" t="s">
        <v>64</v>
      </c>
      <c r="D38" s="172"/>
      <c r="E38" s="506"/>
      <c r="F38" s="151" t="s">
        <v>177</v>
      </c>
      <c r="G38" s="316" t="s">
        <v>178</v>
      </c>
      <c r="H38" s="317"/>
      <c r="I38" s="318"/>
      <c r="J38" s="316"/>
      <c r="K38" s="433"/>
      <c r="L38" s="577"/>
      <c r="M38" s="258"/>
      <c r="N38" s="259"/>
      <c r="O38" s="520">
        <f>K38*L38*M38*N38</f>
        <v>0</v>
      </c>
      <c r="P38" s="259">
        <v>151208.64000000001</v>
      </c>
      <c r="Q38" s="496">
        <f>P38*$O38</f>
        <v>0</v>
      </c>
      <c r="R38" s="259">
        <v>163305.33120000002</v>
      </c>
      <c r="S38" s="496">
        <f>R38*$O38</f>
        <v>0</v>
      </c>
      <c r="T38" s="259">
        <v>179635.86432000002</v>
      </c>
      <c r="U38" s="517">
        <f>$O38*T38</f>
        <v>0</v>
      </c>
      <c r="V38" s="259" t="e">
        <f>W38/O38</f>
        <v>#DIV/0!</v>
      </c>
      <c r="W38" s="267">
        <f>AVERAGEIF($P$3:$U$3,W$3,$P38:$U38)</f>
        <v>0</v>
      </c>
      <c r="X38" s="578"/>
      <c r="Y38" s="151"/>
      <c r="Z38" s="151"/>
    </row>
    <row r="39" spans="2:26" x14ac:dyDescent="0.35">
      <c r="B39" s="518"/>
      <c r="E39" s="519"/>
      <c r="F39" s="151" t="s">
        <v>285</v>
      </c>
      <c r="G39" s="316" t="s">
        <v>183</v>
      </c>
      <c r="H39" s="317"/>
      <c r="I39" s="318"/>
      <c r="J39" s="316"/>
      <c r="K39" s="502"/>
      <c r="L39" s="577"/>
      <c r="M39" s="258"/>
      <c r="N39" s="259"/>
      <c r="O39" s="317"/>
      <c r="P39" s="496"/>
      <c r="Q39" s="496"/>
      <c r="R39" s="496"/>
      <c r="S39" s="496"/>
      <c r="T39" s="517"/>
      <c r="U39" s="517"/>
      <c r="V39" s="517"/>
      <c r="W39" s="517"/>
      <c r="X39" s="578"/>
      <c r="Y39" s="151"/>
      <c r="Z39" s="151"/>
    </row>
    <row r="40" spans="2:26" x14ac:dyDescent="0.35">
      <c r="B40" s="579"/>
      <c r="C40" s="580"/>
      <c r="D40" s="580"/>
      <c r="E40" s="581"/>
      <c r="F40" s="151" t="s">
        <v>232</v>
      </c>
      <c r="G40" s="316" t="s">
        <v>183</v>
      </c>
      <c r="H40" s="317"/>
      <c r="I40" s="318"/>
      <c r="J40" s="316"/>
      <c r="K40" s="502"/>
      <c r="L40" s="577"/>
      <c r="M40" s="328"/>
      <c r="N40" s="365"/>
      <c r="O40" s="317"/>
      <c r="P40" s="630"/>
      <c r="Q40" s="630"/>
      <c r="R40" s="630"/>
      <c r="S40" s="630"/>
      <c r="T40" s="632"/>
      <c r="U40" s="632"/>
      <c r="V40" s="632"/>
      <c r="W40" s="632"/>
      <c r="X40" s="317"/>
      <c r="Y40" s="151"/>
      <c r="Z40" s="151"/>
    </row>
    <row r="41" spans="2:26" x14ac:dyDescent="0.35">
      <c r="B41" s="504"/>
      <c r="C41" s="172" t="s">
        <v>458</v>
      </c>
      <c r="D41" s="172"/>
      <c r="E41" s="506"/>
      <c r="F41" s="151" t="s">
        <v>177</v>
      </c>
      <c r="G41" s="316" t="s">
        <v>178</v>
      </c>
      <c r="H41" s="317"/>
      <c r="I41" s="318"/>
      <c r="J41" s="316"/>
      <c r="K41" s="502"/>
      <c r="L41" s="577"/>
      <c r="M41" s="258"/>
      <c r="N41" s="259"/>
      <c r="O41" s="317"/>
      <c r="P41" s="496"/>
      <c r="Q41" s="496"/>
      <c r="R41" s="496"/>
      <c r="S41" s="496"/>
      <c r="T41" s="517"/>
      <c r="U41" s="517"/>
      <c r="V41" s="517"/>
      <c r="W41" s="517"/>
      <c r="X41" s="578"/>
      <c r="Y41" s="151"/>
      <c r="Z41" s="151"/>
    </row>
    <row r="42" spans="2:26" x14ac:dyDescent="0.35">
      <c r="B42" s="518"/>
      <c r="E42" s="519"/>
      <c r="F42" s="151" t="s">
        <v>285</v>
      </c>
      <c r="G42" s="316" t="s">
        <v>183</v>
      </c>
      <c r="H42" s="317"/>
      <c r="I42" s="318"/>
      <c r="J42" s="316"/>
      <c r="K42" s="502"/>
      <c r="L42" s="577"/>
      <c r="M42" s="258"/>
      <c r="N42" s="259"/>
      <c r="O42" s="317"/>
      <c r="P42" s="496"/>
      <c r="Q42" s="496"/>
      <c r="R42" s="496"/>
      <c r="S42" s="496"/>
      <c r="T42" s="517"/>
      <c r="U42" s="517"/>
      <c r="V42" s="517"/>
      <c r="W42" s="517"/>
      <c r="X42" s="578"/>
      <c r="Y42" s="151"/>
      <c r="Z42" s="151"/>
    </row>
    <row r="43" spans="2:26" x14ac:dyDescent="0.35">
      <c r="B43" s="579"/>
      <c r="C43" s="580"/>
      <c r="D43" s="580"/>
      <c r="E43" s="581"/>
      <c r="F43" s="151" t="s">
        <v>232</v>
      </c>
      <c r="G43" s="316" t="s">
        <v>183</v>
      </c>
      <c r="H43" s="317"/>
      <c r="I43" s="318"/>
      <c r="J43" s="316"/>
      <c r="K43" s="502"/>
      <c r="L43" s="577"/>
      <c r="M43" s="328"/>
      <c r="N43" s="365"/>
      <c r="O43" s="317"/>
      <c r="P43" s="630"/>
      <c r="Q43" s="630"/>
      <c r="R43" s="630"/>
      <c r="S43" s="630"/>
      <c r="T43" s="632"/>
      <c r="U43" s="632"/>
      <c r="V43" s="632"/>
      <c r="W43" s="632"/>
      <c r="X43" s="317"/>
      <c r="Y43" s="151"/>
      <c r="Z43" s="151"/>
    </row>
    <row r="44" spans="2:26" s="173" customFormat="1" x14ac:dyDescent="0.35">
      <c r="B44" s="622"/>
      <c r="C44" s="173" t="s">
        <v>68</v>
      </c>
      <c r="E44" s="623"/>
      <c r="F44" s="151" t="s">
        <v>177</v>
      </c>
      <c r="G44" s="316" t="s">
        <v>178</v>
      </c>
      <c r="H44" s="578"/>
      <c r="I44" s="601"/>
      <c r="J44" s="600"/>
      <c r="K44" s="575"/>
      <c r="L44" s="621"/>
      <c r="M44" s="379"/>
      <c r="N44" s="380"/>
      <c r="O44" s="578"/>
      <c r="P44" s="603"/>
      <c r="Q44" s="603"/>
      <c r="R44" s="603"/>
      <c r="S44" s="603"/>
      <c r="T44" s="605"/>
      <c r="U44" s="605"/>
      <c r="V44" s="605"/>
      <c r="W44" s="605"/>
      <c r="X44" s="578"/>
      <c r="Y44" s="381"/>
      <c r="Z44" s="381"/>
    </row>
    <row r="45" spans="2:26" s="173" customFormat="1" x14ac:dyDescent="0.35">
      <c r="B45" s="622"/>
      <c r="E45" s="623"/>
      <c r="F45" s="151" t="s">
        <v>285</v>
      </c>
      <c r="G45" s="316" t="s">
        <v>183</v>
      </c>
      <c r="H45" s="578"/>
      <c r="I45" s="601"/>
      <c r="J45" s="600"/>
      <c r="K45" s="575"/>
      <c r="L45" s="621"/>
      <c r="M45" s="379"/>
      <c r="N45" s="380"/>
      <c r="O45" s="578"/>
      <c r="P45" s="603"/>
      <c r="Q45" s="603"/>
      <c r="R45" s="603"/>
      <c r="S45" s="603"/>
      <c r="T45" s="605"/>
      <c r="U45" s="605"/>
      <c r="V45" s="605"/>
      <c r="W45" s="605"/>
      <c r="X45" s="578"/>
      <c r="Y45" s="381"/>
      <c r="Z45" s="381"/>
    </row>
    <row r="46" spans="2:26" s="173" customFormat="1" x14ac:dyDescent="0.35">
      <c r="B46" s="622"/>
      <c r="E46" s="623"/>
      <c r="F46" s="381" t="s">
        <v>232</v>
      </c>
      <c r="G46" s="600"/>
      <c r="H46" s="578"/>
      <c r="I46" s="601"/>
      <c r="J46" s="600"/>
      <c r="K46" s="575"/>
      <c r="L46" s="621"/>
      <c r="M46" s="379"/>
      <c r="N46" s="380"/>
      <c r="O46" s="578"/>
      <c r="P46" s="603"/>
      <c r="Q46" s="603"/>
      <c r="R46" s="603"/>
      <c r="S46" s="603"/>
      <c r="T46" s="605"/>
      <c r="U46" s="605"/>
      <c r="V46" s="605"/>
      <c r="W46" s="605"/>
      <c r="X46" s="578"/>
      <c r="Y46" s="381"/>
      <c r="Z46" s="381"/>
    </row>
    <row r="47" spans="2:26" x14ac:dyDescent="0.35">
      <c r="B47" s="504"/>
      <c r="C47" s="172" t="s">
        <v>70</v>
      </c>
      <c r="D47" s="172"/>
      <c r="E47" s="506"/>
      <c r="F47" s="151" t="s">
        <v>177</v>
      </c>
      <c r="G47" s="316" t="s">
        <v>178</v>
      </c>
      <c r="H47" s="317"/>
      <c r="I47" s="318"/>
      <c r="J47" s="316"/>
      <c r="K47" s="433"/>
      <c r="L47" s="577"/>
      <c r="M47" s="258">
        <v>0.5</v>
      </c>
      <c r="N47" s="259">
        <v>1</v>
      </c>
      <c r="O47" s="520">
        <f>K47*L47*M47*N47</f>
        <v>0</v>
      </c>
      <c r="P47" s="259">
        <v>151208.64000000001</v>
      </c>
      <c r="Q47" s="496">
        <f>P47*$O47</f>
        <v>0</v>
      </c>
      <c r="R47" s="259">
        <v>163305.33120000002</v>
      </c>
      <c r="S47" s="496">
        <f>R47*$O47</f>
        <v>0</v>
      </c>
      <c r="T47" s="259">
        <v>179635.86432000002</v>
      </c>
      <c r="U47" s="517">
        <f>$O47*T47</f>
        <v>0</v>
      </c>
      <c r="V47" s="259" t="e">
        <f>W47/O47</f>
        <v>#DIV/0!</v>
      </c>
      <c r="W47" s="267">
        <f>AVERAGEIF($P$3:$U$3,W$3,$P47:$U47)</f>
        <v>0</v>
      </c>
      <c r="X47" s="578"/>
      <c r="Y47" s="151"/>
      <c r="Z47" s="151"/>
    </row>
    <row r="48" spans="2:26" x14ac:dyDescent="0.35">
      <c r="B48" s="518"/>
      <c r="E48" s="519"/>
      <c r="F48" s="151" t="s">
        <v>459</v>
      </c>
      <c r="G48" s="316" t="s">
        <v>183</v>
      </c>
      <c r="H48" s="317"/>
      <c r="I48" s="318"/>
      <c r="J48" s="316"/>
      <c r="K48" s="433"/>
      <c r="L48" s="577"/>
      <c r="M48" s="258">
        <v>0.5</v>
      </c>
      <c r="N48" s="259">
        <v>1</v>
      </c>
      <c r="O48" s="520">
        <f>K48*L48*M48*N48</f>
        <v>0</v>
      </c>
      <c r="P48" s="259">
        <v>495000.00000000006</v>
      </c>
      <c r="Q48" s="496">
        <f>P48*$O48</f>
        <v>0</v>
      </c>
      <c r="R48" s="259">
        <v>544500.00000000012</v>
      </c>
      <c r="S48" s="496">
        <f>R48*$O48</f>
        <v>0</v>
      </c>
      <c r="T48" s="259">
        <v>598950.00000000023</v>
      </c>
      <c r="U48" s="517">
        <f>$O48*T48</f>
        <v>0</v>
      </c>
      <c r="V48" s="259" t="e">
        <f>W48/O48</f>
        <v>#DIV/0!</v>
      </c>
      <c r="W48" s="267">
        <f>AVERAGEIF($P$3:$U$3,W$3,$P48:$U48)</f>
        <v>0</v>
      </c>
      <c r="X48" s="578"/>
      <c r="Y48" s="151"/>
      <c r="Z48" s="151"/>
    </row>
    <row r="49" spans="2:26" x14ac:dyDescent="0.35">
      <c r="B49" s="579"/>
      <c r="C49" s="580"/>
      <c r="D49" s="580"/>
      <c r="E49" s="581"/>
      <c r="F49" s="151" t="s">
        <v>232</v>
      </c>
      <c r="G49" s="316" t="s">
        <v>183</v>
      </c>
      <c r="H49" s="317"/>
      <c r="I49" s="318"/>
      <c r="J49" s="316"/>
      <c r="K49" s="502"/>
      <c r="L49" s="577"/>
      <c r="M49" s="328"/>
      <c r="N49" s="365"/>
      <c r="O49" s="317"/>
      <c r="P49" s="630"/>
      <c r="Q49" s="630"/>
      <c r="R49" s="630"/>
      <c r="S49" s="630"/>
      <c r="T49" s="632"/>
      <c r="U49" s="632"/>
      <c r="V49" s="632"/>
      <c r="W49" s="632"/>
      <c r="X49" s="317"/>
      <c r="Y49" s="151"/>
      <c r="Z49" s="151"/>
    </row>
    <row r="50" spans="2:26" x14ac:dyDescent="0.35">
      <c r="B50" s="504"/>
      <c r="C50" s="172" t="s">
        <v>461</v>
      </c>
      <c r="D50" s="172"/>
      <c r="E50" s="506"/>
      <c r="F50" s="151" t="s">
        <v>177</v>
      </c>
      <c r="G50" s="316" t="s">
        <v>178</v>
      </c>
      <c r="H50" s="317"/>
      <c r="I50" s="318"/>
      <c r="J50" s="316"/>
      <c r="K50" s="502"/>
      <c r="L50" s="577"/>
      <c r="M50" s="258">
        <v>0.15</v>
      </c>
      <c r="N50" s="259">
        <v>1</v>
      </c>
      <c r="O50" s="317"/>
      <c r="P50" s="496"/>
      <c r="Q50" s="496"/>
      <c r="R50" s="496"/>
      <c r="S50" s="496"/>
      <c r="T50" s="517"/>
      <c r="U50" s="517"/>
      <c r="V50" s="517"/>
      <c r="W50" s="517"/>
      <c r="X50" s="578"/>
      <c r="Y50" s="151"/>
      <c r="Z50" s="151"/>
    </row>
    <row r="51" spans="2:26" x14ac:dyDescent="0.35">
      <c r="B51" s="518"/>
      <c r="E51" s="519"/>
      <c r="F51" s="151" t="s">
        <v>462</v>
      </c>
      <c r="G51" s="316" t="s">
        <v>183</v>
      </c>
      <c r="H51" s="317"/>
      <c r="I51" s="318"/>
      <c r="J51" s="316"/>
      <c r="K51" s="502"/>
      <c r="L51" s="577"/>
      <c r="M51" s="258">
        <v>5.0000000000000001E-4</v>
      </c>
      <c r="N51" s="259">
        <v>1</v>
      </c>
      <c r="O51" s="317"/>
      <c r="P51" s="496"/>
      <c r="Q51" s="496"/>
      <c r="R51" s="496"/>
      <c r="S51" s="496"/>
      <c r="T51" s="517"/>
      <c r="U51" s="517"/>
      <c r="V51" s="517"/>
      <c r="W51" s="517"/>
      <c r="X51" s="578"/>
      <c r="Y51" s="151"/>
      <c r="Z51" s="151"/>
    </row>
    <row r="52" spans="2:26" x14ac:dyDescent="0.35">
      <c r="B52" s="579"/>
      <c r="C52" s="580"/>
      <c r="D52" s="580"/>
      <c r="E52" s="581"/>
      <c r="F52" s="151" t="s">
        <v>232</v>
      </c>
      <c r="G52" s="316" t="s">
        <v>183</v>
      </c>
      <c r="H52" s="317">
        <v>1</v>
      </c>
      <c r="I52" s="318" t="s">
        <v>228</v>
      </c>
      <c r="J52" s="316"/>
      <c r="K52" s="502"/>
      <c r="L52" s="577"/>
      <c r="M52" s="328">
        <f>((M$50*N$50)/240*($H52/N52))</f>
        <v>6.2500000000000001E-4</v>
      </c>
      <c r="N52" s="365">
        <v>1</v>
      </c>
      <c r="O52" s="317"/>
      <c r="P52" s="630"/>
      <c r="Q52" s="630"/>
      <c r="R52" s="630"/>
      <c r="S52" s="630"/>
      <c r="T52" s="632"/>
      <c r="U52" s="632"/>
      <c r="V52" s="632"/>
      <c r="W52" s="632"/>
      <c r="X52" s="317"/>
      <c r="Y52" s="151"/>
      <c r="Z52" s="151"/>
    </row>
    <row r="53" spans="2:26" x14ac:dyDescent="0.35">
      <c r="B53" s="518"/>
      <c r="C53" s="396" t="s">
        <v>300</v>
      </c>
      <c r="D53" s="269"/>
      <c r="E53" s="270"/>
      <c r="F53" s="252" t="s">
        <v>177</v>
      </c>
      <c r="G53" s="253" t="s">
        <v>178</v>
      </c>
      <c r="H53" s="254"/>
      <c r="I53" s="255"/>
      <c r="J53" s="256"/>
      <c r="K53" s="257"/>
      <c r="L53" s="257"/>
      <c r="M53" s="258"/>
      <c r="N53" s="259">
        <v>1</v>
      </c>
      <c r="O53" s="259"/>
      <c r="P53" s="630"/>
      <c r="Q53" s="630"/>
      <c r="R53" s="630"/>
      <c r="S53" s="630"/>
      <c r="T53" s="632"/>
      <c r="U53" s="632"/>
      <c r="V53" s="632"/>
      <c r="W53" s="632"/>
      <c r="X53" s="317"/>
      <c r="Y53" s="151"/>
      <c r="Z53" s="151"/>
    </row>
    <row r="54" spans="2:26" x14ac:dyDescent="0.35">
      <c r="B54" s="518"/>
      <c r="C54" s="269"/>
      <c r="D54" s="269"/>
      <c r="E54" s="270"/>
      <c r="F54" s="151" t="s">
        <v>459</v>
      </c>
      <c r="G54" s="253" t="s">
        <v>253</v>
      </c>
      <c r="H54" s="254"/>
      <c r="I54" s="255"/>
      <c r="J54" s="256"/>
      <c r="K54" s="257"/>
      <c r="L54" s="257"/>
      <c r="M54" s="258"/>
      <c r="N54" s="259">
        <v>1</v>
      </c>
      <c r="O54" s="259"/>
      <c r="P54" s="630"/>
      <c r="Q54" s="630"/>
      <c r="R54" s="630"/>
      <c r="S54" s="630"/>
      <c r="T54" s="632"/>
      <c r="U54" s="632"/>
      <c r="V54" s="632"/>
      <c r="W54" s="632"/>
      <c r="X54" s="317"/>
      <c r="Y54" s="151"/>
      <c r="Z54" s="151"/>
    </row>
    <row r="55" spans="2:26" x14ac:dyDescent="0.35">
      <c r="B55" s="579"/>
      <c r="C55" s="276"/>
      <c r="D55" s="276"/>
      <c r="E55" s="277"/>
      <c r="F55" s="252" t="s">
        <v>254</v>
      </c>
      <c r="G55" s="253" t="s">
        <v>195</v>
      </c>
      <c r="H55" s="254"/>
      <c r="I55" s="255"/>
      <c r="J55" s="256"/>
      <c r="K55" s="257"/>
      <c r="L55" s="257"/>
      <c r="M55" s="258"/>
      <c r="N55" s="259">
        <v>1</v>
      </c>
      <c r="O55" s="259"/>
      <c r="P55" s="630"/>
      <c r="Q55" s="630"/>
      <c r="R55" s="630"/>
      <c r="S55" s="630"/>
      <c r="T55" s="632"/>
      <c r="U55" s="632"/>
      <c r="V55" s="632"/>
      <c r="W55" s="632"/>
      <c r="X55" s="317"/>
      <c r="Y55" s="151"/>
      <c r="Z55" s="151"/>
    </row>
    <row r="56" spans="2:26" ht="34.5" customHeight="1" x14ac:dyDescent="0.35">
      <c r="B56" s="634" t="s">
        <v>463</v>
      </c>
      <c r="C56" s="713"/>
      <c r="D56" s="713"/>
      <c r="E56" s="714"/>
      <c r="F56" s="537"/>
      <c r="G56" s="538"/>
      <c r="H56" s="541"/>
      <c r="I56" s="541"/>
      <c r="J56" s="541"/>
      <c r="K56" s="637"/>
      <c r="L56" s="637"/>
      <c r="M56" s="543"/>
      <c r="N56" s="544"/>
      <c r="O56" s="544"/>
      <c r="P56" s="544"/>
      <c r="Q56" s="544">
        <f>SUM(Q38:Q55)</f>
        <v>0</v>
      </c>
      <c r="R56" s="544"/>
      <c r="S56" s="715">
        <f>SUM(S49+S39)</f>
        <v>0</v>
      </c>
      <c r="T56" s="594"/>
      <c r="U56" s="594"/>
      <c r="V56" s="594"/>
      <c r="W56" s="594"/>
      <c r="X56" s="588"/>
      <c r="Y56" s="532"/>
      <c r="Z56" s="532"/>
    </row>
    <row r="57" spans="2:26" s="173" customFormat="1" x14ac:dyDescent="0.35">
      <c r="B57" s="641" t="s">
        <v>464</v>
      </c>
      <c r="C57" s="601"/>
      <c r="D57" s="601"/>
      <c r="E57" s="642"/>
      <c r="F57" s="381"/>
      <c r="G57" s="600"/>
      <c r="H57" s="578"/>
      <c r="I57" s="601"/>
      <c r="J57" s="600"/>
      <c r="K57" s="575"/>
      <c r="L57" s="621"/>
      <c r="M57" s="379"/>
      <c r="N57" s="380"/>
      <c r="O57" s="578"/>
      <c r="P57" s="603"/>
      <c r="Q57" s="603"/>
      <c r="R57" s="603"/>
      <c r="S57" s="603"/>
      <c r="T57" s="605"/>
      <c r="U57" s="605"/>
      <c r="V57" s="605"/>
      <c r="W57" s="605"/>
      <c r="X57" s="578"/>
      <c r="Y57" s="381"/>
      <c r="Z57" s="381"/>
    </row>
    <row r="58" spans="2:26" s="173" customFormat="1" x14ac:dyDescent="0.35">
      <c r="B58" s="643"/>
      <c r="C58" s="173" t="s">
        <v>465</v>
      </c>
      <c r="E58" s="623"/>
      <c r="F58" s="381"/>
      <c r="G58" s="600"/>
      <c r="H58" s="578"/>
      <c r="I58" s="601"/>
      <c r="J58" s="600"/>
      <c r="K58" s="575"/>
      <c r="L58" s="621"/>
      <c r="M58" s="379"/>
      <c r="N58" s="380"/>
      <c r="O58" s="578"/>
      <c r="P58" s="603"/>
      <c r="Q58" s="603"/>
      <c r="R58" s="603"/>
      <c r="S58" s="603"/>
      <c r="T58" s="605"/>
      <c r="U58" s="605"/>
      <c r="V58" s="605"/>
      <c r="W58" s="605"/>
      <c r="X58" s="578"/>
      <c r="Y58" s="381"/>
      <c r="Z58" s="381"/>
    </row>
    <row r="59" spans="2:26" x14ac:dyDescent="0.35">
      <c r="B59" s="504"/>
      <c r="C59" s="172"/>
      <c r="D59" s="172" t="s">
        <v>66</v>
      </c>
      <c r="E59" s="506"/>
      <c r="F59" s="151" t="s">
        <v>177</v>
      </c>
      <c r="G59" s="600" t="s">
        <v>178</v>
      </c>
      <c r="H59" s="578"/>
      <c r="I59" s="601"/>
      <c r="J59" s="600" t="s">
        <v>179</v>
      </c>
      <c r="K59" s="433">
        <v>1</v>
      </c>
      <c r="L59" s="577">
        <v>45.36</v>
      </c>
      <c r="M59" s="379">
        <v>2.5</v>
      </c>
      <c r="N59" s="259">
        <v>1</v>
      </c>
      <c r="O59" s="520">
        <f>K59*L59*M59*N59</f>
        <v>113.4</v>
      </c>
      <c r="P59" s="261">
        <v>169122.61109699999</v>
      </c>
      <c r="Q59" s="521">
        <f>P59*$O59</f>
        <v>19178504.098399799</v>
      </c>
      <c r="R59" s="259">
        <v>163305.33120000002</v>
      </c>
      <c r="S59" s="496">
        <f>R59*$O59</f>
        <v>18518824.558080003</v>
      </c>
      <c r="T59" s="259">
        <v>179635.86432000002</v>
      </c>
      <c r="U59" s="517">
        <f>$O59*T59</f>
        <v>20370707.013888005</v>
      </c>
      <c r="V59" s="259">
        <f>W59/O59</f>
        <v>170687.93553900003</v>
      </c>
      <c r="W59" s="267">
        <f>AVERAGEIF($P$3:$U$3,W$3,$P59:$U59)</f>
        <v>19356011.890122604</v>
      </c>
      <c r="X59" s="578"/>
      <c r="Y59" s="492">
        <f>Q59/$D$1</f>
        <v>422806.52774250001</v>
      </c>
      <c r="Z59" s="390"/>
    </row>
    <row r="60" spans="2:26" x14ac:dyDescent="0.35">
      <c r="B60" s="518"/>
      <c r="E60" s="519"/>
      <c r="F60" s="151" t="s">
        <v>285</v>
      </c>
      <c r="G60" s="600" t="s">
        <v>183</v>
      </c>
      <c r="H60" s="578"/>
      <c r="I60" s="601"/>
      <c r="J60" s="600" t="s">
        <v>179</v>
      </c>
      <c r="K60" s="433">
        <v>1</v>
      </c>
      <c r="L60" s="577">
        <v>45.36</v>
      </c>
      <c r="M60" s="379">
        <v>8.3000000000000001E-3</v>
      </c>
      <c r="N60" s="259">
        <v>1</v>
      </c>
      <c r="O60" s="520">
        <f>K60*L60*M60*N60</f>
        <v>0.37648799999999999</v>
      </c>
      <c r="P60" s="261">
        <v>87746.527968750001</v>
      </c>
      <c r="Q60" s="521">
        <f>P60*$O60</f>
        <v>33035.514821898752</v>
      </c>
      <c r="R60" s="496"/>
      <c r="S60" s="496"/>
      <c r="T60" s="517"/>
      <c r="U60" s="517"/>
      <c r="V60" s="517"/>
      <c r="W60" s="517"/>
      <c r="X60" s="578"/>
      <c r="Y60" s="492">
        <f t="shared" ref="Y60:Y61" si="0">Q60/$D$1</f>
        <v>728.29618214062509</v>
      </c>
      <c r="Z60" s="151"/>
    </row>
    <row r="61" spans="2:26" x14ac:dyDescent="0.35">
      <c r="B61" s="518"/>
      <c r="D61" s="580"/>
      <c r="E61" s="581"/>
      <c r="F61" s="151" t="s">
        <v>232</v>
      </c>
      <c r="G61" s="316" t="s">
        <v>183</v>
      </c>
      <c r="H61" s="317">
        <v>1</v>
      </c>
      <c r="I61" s="318" t="s">
        <v>228</v>
      </c>
      <c r="J61" s="316"/>
      <c r="K61" s="433">
        <v>1</v>
      </c>
      <c r="L61" s="577">
        <v>45.36</v>
      </c>
      <c r="M61" s="328">
        <f>((M$59*N$59)/240*($H61/N61))</f>
        <v>1.0416666666666666E-2</v>
      </c>
      <c r="N61" s="365">
        <v>1</v>
      </c>
      <c r="O61" s="520">
        <f>K61*L61*M61*N61</f>
        <v>0.47249999999999998</v>
      </c>
      <c r="P61" s="261">
        <v>99185.31</v>
      </c>
      <c r="Q61" s="521">
        <f>P61*$O61</f>
        <v>46865.058975</v>
      </c>
      <c r="R61" s="630"/>
      <c r="S61" s="630"/>
      <c r="T61" s="632"/>
      <c r="U61" s="632"/>
      <c r="V61" s="632"/>
      <c r="W61" s="632"/>
      <c r="X61" s="317"/>
      <c r="Y61" s="492">
        <f t="shared" si="0"/>
        <v>1033.1803124999999</v>
      </c>
      <c r="Z61" s="151"/>
    </row>
    <row r="62" spans="2:26" x14ac:dyDescent="0.35">
      <c r="B62" s="518"/>
      <c r="D62" s="172" t="s">
        <v>466</v>
      </c>
      <c r="E62" s="506"/>
      <c r="F62" s="151" t="s">
        <v>177</v>
      </c>
      <c r="G62" s="600" t="s">
        <v>178</v>
      </c>
      <c r="H62" s="578"/>
      <c r="I62" s="601"/>
      <c r="J62" s="600"/>
      <c r="K62" s="575"/>
      <c r="L62" s="621"/>
      <c r="M62" s="379"/>
      <c r="N62" s="380"/>
      <c r="O62" s="578"/>
      <c r="P62" s="603"/>
      <c r="Q62" s="604"/>
      <c r="R62" s="603"/>
      <c r="S62" s="603"/>
      <c r="T62" s="605"/>
      <c r="U62" s="605"/>
      <c r="V62" s="605"/>
      <c r="W62" s="605"/>
      <c r="X62" s="578"/>
      <c r="Y62" s="151"/>
      <c r="Z62" s="151"/>
    </row>
    <row r="63" spans="2:26" x14ac:dyDescent="0.35">
      <c r="B63" s="518"/>
      <c r="E63" s="519"/>
      <c r="F63" s="151" t="s">
        <v>285</v>
      </c>
      <c r="G63" s="600" t="s">
        <v>183</v>
      </c>
      <c r="H63" s="578"/>
      <c r="I63" s="601"/>
      <c r="J63" s="600"/>
      <c r="K63" s="575"/>
      <c r="L63" s="621"/>
      <c r="M63" s="379"/>
      <c r="N63" s="380"/>
      <c r="O63" s="578"/>
      <c r="P63" s="603"/>
      <c r="Q63" s="604"/>
      <c r="R63" s="603"/>
      <c r="S63" s="603"/>
      <c r="T63" s="605"/>
      <c r="U63" s="605"/>
      <c r="V63" s="605"/>
      <c r="W63" s="605"/>
      <c r="X63" s="578"/>
      <c r="Y63" s="151"/>
      <c r="Z63" s="151"/>
    </row>
    <row r="64" spans="2:26" x14ac:dyDescent="0.35">
      <c r="B64" s="518"/>
      <c r="D64" s="580"/>
      <c r="E64" s="581"/>
      <c r="F64" s="151" t="s">
        <v>232</v>
      </c>
      <c r="G64" s="316" t="s">
        <v>183</v>
      </c>
      <c r="H64" s="317"/>
      <c r="I64" s="318"/>
      <c r="J64" s="316"/>
      <c r="K64" s="502"/>
      <c r="L64" s="577"/>
      <c r="M64" s="328"/>
      <c r="N64" s="365"/>
      <c r="O64" s="317"/>
      <c r="P64" s="630"/>
      <c r="Q64" s="631"/>
      <c r="R64" s="630"/>
      <c r="S64" s="630"/>
      <c r="T64" s="632"/>
      <c r="U64" s="632"/>
      <c r="V64" s="632"/>
      <c r="W64" s="632"/>
      <c r="X64" s="317"/>
      <c r="Y64" s="151"/>
      <c r="Z64" s="151"/>
    </row>
    <row r="65" spans="2:27" x14ac:dyDescent="0.35">
      <c r="B65" s="518"/>
      <c r="D65" s="172" t="s">
        <v>76</v>
      </c>
      <c r="E65" s="506"/>
      <c r="F65" s="151" t="s">
        <v>177</v>
      </c>
      <c r="G65" s="600" t="s">
        <v>178</v>
      </c>
      <c r="H65" s="578"/>
      <c r="I65" s="601"/>
      <c r="J65" s="600"/>
      <c r="K65" s="502"/>
      <c r="L65" s="577"/>
      <c r="M65" s="379">
        <v>2</v>
      </c>
      <c r="N65" s="380">
        <v>1</v>
      </c>
      <c r="O65" s="578"/>
      <c r="P65" s="603"/>
      <c r="Q65" s="604"/>
      <c r="R65" s="603"/>
      <c r="S65" s="603"/>
      <c r="T65" s="605"/>
      <c r="U65" s="605"/>
      <c r="V65" s="605"/>
      <c r="W65" s="605"/>
      <c r="X65" s="578"/>
      <c r="Y65" s="151"/>
      <c r="Z65" s="151"/>
    </row>
    <row r="66" spans="2:27" x14ac:dyDescent="0.35">
      <c r="B66" s="518"/>
      <c r="E66" s="519"/>
      <c r="F66" s="151" t="s">
        <v>462</v>
      </c>
      <c r="G66" s="600" t="s">
        <v>183</v>
      </c>
      <c r="H66" s="578"/>
      <c r="I66" s="601"/>
      <c r="J66" s="600"/>
      <c r="K66" s="502"/>
      <c r="L66" s="577"/>
      <c r="M66" s="379">
        <v>5.0000000000000001E-3</v>
      </c>
      <c r="N66" s="380">
        <v>1</v>
      </c>
      <c r="O66" s="578"/>
      <c r="P66" s="603"/>
      <c r="Q66" s="604"/>
      <c r="R66" s="603"/>
      <c r="S66" s="603"/>
      <c r="T66" s="605"/>
      <c r="U66" s="605"/>
      <c r="V66" s="605"/>
      <c r="W66" s="605"/>
      <c r="X66" s="578"/>
      <c r="Y66" s="151"/>
      <c r="Z66" s="151"/>
    </row>
    <row r="67" spans="2:27" x14ac:dyDescent="0.35">
      <c r="B67" s="518"/>
      <c r="E67" s="519"/>
      <c r="F67" s="151" t="s">
        <v>232</v>
      </c>
      <c r="G67" s="316" t="s">
        <v>183</v>
      </c>
      <c r="H67" s="317">
        <v>1</v>
      </c>
      <c r="I67" s="318" t="s">
        <v>228</v>
      </c>
      <c r="J67" s="316"/>
      <c r="K67" s="502"/>
      <c r="L67" s="577"/>
      <c r="M67" s="328">
        <f>((M$65*N$65)/240*($H67/N67))</f>
        <v>8.3333333333333332E-3</v>
      </c>
      <c r="N67" s="365">
        <v>1</v>
      </c>
      <c r="O67" s="317"/>
      <c r="P67" s="630"/>
      <c r="Q67" s="631"/>
      <c r="R67" s="630"/>
      <c r="S67" s="630"/>
      <c r="T67" s="632"/>
      <c r="U67" s="632"/>
      <c r="V67" s="632"/>
      <c r="W67" s="632"/>
      <c r="X67" s="317"/>
      <c r="Y67" s="151"/>
      <c r="Z67" s="151"/>
    </row>
    <row r="68" spans="2:27" x14ac:dyDescent="0.35">
      <c r="B68" s="579"/>
      <c r="C68" s="580"/>
      <c r="D68" s="580"/>
      <c r="E68" s="581"/>
      <c r="F68" s="151"/>
      <c r="G68" s="316"/>
      <c r="H68" s="317"/>
      <c r="I68" s="318"/>
      <c r="J68" s="316"/>
      <c r="K68" s="575"/>
      <c r="L68" s="621"/>
      <c r="M68" s="379"/>
      <c r="N68" s="380"/>
      <c r="O68" s="578"/>
      <c r="P68" s="603"/>
      <c r="Q68" s="604"/>
      <c r="R68" s="603"/>
      <c r="S68" s="603"/>
      <c r="T68" s="605"/>
      <c r="U68" s="605"/>
      <c r="V68" s="605"/>
      <c r="W68" s="605"/>
      <c r="X68" s="578"/>
      <c r="Y68" s="151"/>
      <c r="Z68" s="151"/>
    </row>
    <row r="69" spans="2:27" ht="29.25" customHeight="1" x14ac:dyDescent="0.35">
      <c r="B69" s="606" t="s">
        <v>467</v>
      </c>
      <c r="C69" s="716"/>
      <c r="D69" s="716"/>
      <c r="E69" s="717"/>
      <c r="F69" s="609"/>
      <c r="G69" s="610"/>
      <c r="H69" s="611"/>
      <c r="I69" s="612"/>
      <c r="J69" s="610"/>
      <c r="K69" s="613"/>
      <c r="L69" s="614"/>
      <c r="M69" s="615"/>
      <c r="N69" s="616"/>
      <c r="O69" s="611"/>
      <c r="P69" s="617"/>
      <c r="Q69" s="618">
        <f>SUM(Q59:Q68)</f>
        <v>19258404.672196697</v>
      </c>
      <c r="R69" s="617"/>
      <c r="S69" s="718">
        <f>SUM(S58:S68)</f>
        <v>18518824.558080003</v>
      </c>
      <c r="T69" s="605"/>
      <c r="U69" s="605"/>
      <c r="V69" s="605"/>
      <c r="W69" s="605"/>
      <c r="X69" s="611"/>
      <c r="Y69" s="645">
        <f>Q69/$D$1</f>
        <v>424568.00423714059</v>
      </c>
      <c r="Z69" s="645">
        <f>Q69/$Q$426*100</f>
        <v>3.2631782094326551</v>
      </c>
    </row>
    <row r="70" spans="2:27" x14ac:dyDescent="0.35">
      <c r="B70" s="518"/>
      <c r="C70" t="s">
        <v>468</v>
      </c>
      <c r="E70" s="519"/>
      <c r="F70" s="151"/>
      <c r="G70" s="316"/>
      <c r="H70" s="317"/>
      <c r="I70" s="318"/>
      <c r="J70" s="316"/>
      <c r="K70" s="575"/>
      <c r="L70" s="621"/>
      <c r="M70" s="379"/>
      <c r="N70" s="380"/>
      <c r="O70" s="578"/>
      <c r="P70" s="603"/>
      <c r="Q70" s="604"/>
      <c r="R70" s="603"/>
      <c r="S70" s="603"/>
      <c r="T70" s="605"/>
      <c r="U70" s="605"/>
      <c r="V70" s="605"/>
      <c r="W70" s="605"/>
      <c r="X70" s="578"/>
      <c r="Y70" s="151"/>
      <c r="Z70" s="151"/>
    </row>
    <row r="71" spans="2:27" x14ac:dyDescent="0.35">
      <c r="B71" s="504"/>
      <c r="C71" s="172"/>
      <c r="D71" s="172" t="s">
        <v>71</v>
      </c>
      <c r="E71" s="506"/>
      <c r="F71" s="151" t="s">
        <v>177</v>
      </c>
      <c r="G71" s="600" t="s">
        <v>178</v>
      </c>
      <c r="H71" s="578"/>
      <c r="I71" s="601"/>
      <c r="J71" s="600" t="s">
        <v>179</v>
      </c>
      <c r="K71" s="433">
        <v>1</v>
      </c>
      <c r="L71" s="577">
        <v>45.36</v>
      </c>
      <c r="M71" s="379">
        <v>0.75</v>
      </c>
      <c r="N71" s="380">
        <v>3</v>
      </c>
      <c r="O71" s="520">
        <f t="shared" ref="O71:O82" si="1">K71*L71*M71*N71</f>
        <v>102.05999999999999</v>
      </c>
      <c r="P71" s="261">
        <v>169122.61109699999</v>
      </c>
      <c r="Q71" s="521">
        <f t="shared" ref="Q71:Q82" si="2">P71*$O71</f>
        <v>17260653.688559815</v>
      </c>
      <c r="R71" s="259">
        <v>163305.33120000002</v>
      </c>
      <c r="S71" s="496">
        <f t="shared" ref="S71:S82" si="3">R71*$O71</f>
        <v>16666942.102272</v>
      </c>
      <c r="T71" s="259">
        <v>179635.86432000002</v>
      </c>
      <c r="U71" s="517">
        <f t="shared" ref="U71:U82" si="4">$O71*T71</f>
        <v>18333636.312499199</v>
      </c>
      <c r="V71" s="259">
        <f t="shared" ref="V71:V82" si="5">W71/O71</f>
        <v>170687.935539</v>
      </c>
      <c r="W71" s="267">
        <f t="shared" ref="W71:W82" si="6">AVERAGEIF($P$3:$U$3,W$3,$P71:$U71)</f>
        <v>17420410.701110337</v>
      </c>
      <c r="X71" s="578"/>
      <c r="Y71" s="492">
        <f t="shared" ref="Y71:Y74" si="7">Q71/$D$1</f>
        <v>380525.87496824987</v>
      </c>
      <c r="Z71" s="151"/>
    </row>
    <row r="72" spans="2:27" x14ac:dyDescent="0.35">
      <c r="B72" s="518"/>
      <c r="E72" s="519"/>
      <c r="F72" s="151" t="s">
        <v>221</v>
      </c>
      <c r="G72" s="600" t="s">
        <v>222</v>
      </c>
      <c r="H72" s="578"/>
      <c r="I72" s="601"/>
      <c r="J72" s="600" t="s">
        <v>179</v>
      </c>
      <c r="K72" s="433">
        <v>1</v>
      </c>
      <c r="L72" s="577">
        <v>45.36</v>
      </c>
      <c r="M72" s="379">
        <v>0.45</v>
      </c>
      <c r="N72" s="380">
        <v>1</v>
      </c>
      <c r="O72" s="520">
        <f t="shared" si="1"/>
        <v>20.411999999999999</v>
      </c>
      <c r="P72" s="261">
        <v>38965.657500000001</v>
      </c>
      <c r="Q72" s="521">
        <f t="shared" si="2"/>
        <v>795367.00089000002</v>
      </c>
      <c r="R72" s="259">
        <v>41620.320720000011</v>
      </c>
      <c r="S72" s="496">
        <f t="shared" si="3"/>
        <v>849553.98653664021</v>
      </c>
      <c r="T72" s="259">
        <v>44533.743170400012</v>
      </c>
      <c r="U72" s="517">
        <f t="shared" si="4"/>
        <v>909022.765594205</v>
      </c>
      <c r="V72" s="259">
        <f t="shared" si="5"/>
        <v>41706.57379680001</v>
      </c>
      <c r="W72" s="267">
        <f t="shared" si="6"/>
        <v>851314.58434028178</v>
      </c>
      <c r="X72" s="578"/>
      <c r="Y72" s="492">
        <f t="shared" si="7"/>
        <v>17534.545875</v>
      </c>
      <c r="Z72" s="390"/>
    </row>
    <row r="73" spans="2:27" x14ac:dyDescent="0.35">
      <c r="B73" s="518"/>
      <c r="E73" s="519"/>
      <c r="F73" s="151" t="s">
        <v>223</v>
      </c>
      <c r="G73" s="600" t="s">
        <v>181</v>
      </c>
      <c r="H73" s="578"/>
      <c r="I73" s="601"/>
      <c r="J73" s="600" t="s">
        <v>179</v>
      </c>
      <c r="K73" s="433">
        <v>1</v>
      </c>
      <c r="L73" s="577">
        <v>45.36</v>
      </c>
      <c r="M73" s="379">
        <f>18/1000</f>
        <v>1.7999999999999999E-2</v>
      </c>
      <c r="N73" s="380">
        <v>1</v>
      </c>
      <c r="O73" s="520">
        <f t="shared" si="1"/>
        <v>0.81647999999999998</v>
      </c>
      <c r="P73" s="261">
        <v>106269.97500000001</v>
      </c>
      <c r="Q73" s="521">
        <f t="shared" si="2"/>
        <v>86767.309187999999</v>
      </c>
      <c r="R73" s="259">
        <v>113509.96560000001</v>
      </c>
      <c r="S73" s="496">
        <f t="shared" si="3"/>
        <v>92678.616713088006</v>
      </c>
      <c r="T73" s="259">
        <v>121455.66319200002</v>
      </c>
      <c r="U73" s="517">
        <f t="shared" si="4"/>
        <v>99166.119883004183</v>
      </c>
      <c r="V73" s="259">
        <f t="shared" si="5"/>
        <v>113745.201264</v>
      </c>
      <c r="W73" s="267">
        <f t="shared" si="6"/>
        <v>92870.681928030725</v>
      </c>
      <c r="X73" s="578"/>
      <c r="Y73" s="492">
        <f t="shared" si="7"/>
        <v>1912.8595499999999</v>
      </c>
      <c r="Z73" s="390"/>
    </row>
    <row r="74" spans="2:27" x14ac:dyDescent="0.35">
      <c r="B74" s="518"/>
      <c r="E74" s="519"/>
      <c r="F74" s="151" t="s">
        <v>225</v>
      </c>
      <c r="G74" s="316" t="s">
        <v>222</v>
      </c>
      <c r="H74" s="317"/>
      <c r="I74" s="318"/>
      <c r="J74" s="600" t="s">
        <v>179</v>
      </c>
      <c r="K74" s="433">
        <v>1</v>
      </c>
      <c r="L74" s="577">
        <v>45.36</v>
      </c>
      <c r="M74" s="379">
        <v>0.13500000000000001</v>
      </c>
      <c r="N74" s="380">
        <v>3</v>
      </c>
      <c r="O74" s="520">
        <f t="shared" si="1"/>
        <v>18.370800000000003</v>
      </c>
      <c r="P74" s="261">
        <v>49592.654999999999</v>
      </c>
      <c r="Q74" s="521">
        <f t="shared" si="2"/>
        <v>911056.74647400016</v>
      </c>
      <c r="R74" s="259">
        <v>52971.317280000003</v>
      </c>
      <c r="S74" s="496">
        <f t="shared" si="3"/>
        <v>973125.47548742418</v>
      </c>
      <c r="T74" s="259">
        <v>56679.309489600004</v>
      </c>
      <c r="U74" s="517">
        <f t="shared" si="4"/>
        <v>1041244.2587715439</v>
      </c>
      <c r="V74" s="259">
        <f t="shared" si="5"/>
        <v>53081.093923200002</v>
      </c>
      <c r="W74" s="267">
        <f t="shared" si="6"/>
        <v>975142.16024432273</v>
      </c>
      <c r="X74" s="578"/>
      <c r="Y74" s="492">
        <f t="shared" si="7"/>
        <v>20085.025275000004</v>
      </c>
      <c r="Z74" s="390"/>
    </row>
    <row r="75" spans="2:27" x14ac:dyDescent="0.35">
      <c r="B75" s="518"/>
      <c r="E75" s="519"/>
      <c r="F75" s="151" t="s">
        <v>573</v>
      </c>
      <c r="G75" s="316" t="s">
        <v>222</v>
      </c>
      <c r="H75" s="317"/>
      <c r="I75" s="318"/>
      <c r="J75" s="600" t="s">
        <v>179</v>
      </c>
      <c r="K75" s="433">
        <v>1</v>
      </c>
      <c r="L75" s="577">
        <v>45.36</v>
      </c>
      <c r="M75" s="379">
        <v>0.5</v>
      </c>
      <c r="N75" s="380">
        <v>2</v>
      </c>
      <c r="O75" s="520">
        <f t="shared" si="1"/>
        <v>45.36</v>
      </c>
      <c r="P75" s="261">
        <v>163832.87812500002</v>
      </c>
      <c r="Q75" s="521">
        <f t="shared" si="2"/>
        <v>7431459.3517500004</v>
      </c>
      <c r="R75" s="259"/>
      <c r="S75" s="496"/>
      <c r="T75" s="259"/>
      <c r="U75" s="517"/>
      <c r="V75" s="259"/>
      <c r="W75" s="267"/>
      <c r="X75" s="578"/>
      <c r="Y75" s="492"/>
      <c r="Z75" s="390"/>
    </row>
    <row r="76" spans="2:27" x14ac:dyDescent="0.35">
      <c r="B76" s="518"/>
      <c r="E76" s="519"/>
      <c r="F76" s="151" t="s">
        <v>226</v>
      </c>
      <c r="G76" s="316" t="s">
        <v>178</v>
      </c>
      <c r="H76" s="317"/>
      <c r="I76" s="318"/>
      <c r="J76" s="600" t="s">
        <v>179</v>
      </c>
      <c r="K76" s="433">
        <v>1</v>
      </c>
      <c r="L76" s="577">
        <v>45.36</v>
      </c>
      <c r="M76" s="379">
        <f>M71</f>
        <v>0.75</v>
      </c>
      <c r="N76" s="380">
        <v>3</v>
      </c>
      <c r="O76" s="520">
        <f t="shared" si="1"/>
        <v>102.05999999999999</v>
      </c>
      <c r="P76" s="261">
        <v>4469.4136124999995</v>
      </c>
      <c r="Q76" s="521">
        <f t="shared" si="2"/>
        <v>456148.3532917499</v>
      </c>
      <c r="R76" s="259">
        <v>4490.6400000000003</v>
      </c>
      <c r="S76" s="496">
        <f t="shared" si="3"/>
        <v>458314.71839999995</v>
      </c>
      <c r="T76" s="259">
        <v>4849.8912000000009</v>
      </c>
      <c r="U76" s="517">
        <f t="shared" si="4"/>
        <v>494979.89587200002</v>
      </c>
      <c r="V76" s="259">
        <f t="shared" si="5"/>
        <v>4603.3149375000003</v>
      </c>
      <c r="W76" s="267">
        <f t="shared" si="6"/>
        <v>469814.32252124994</v>
      </c>
      <c r="X76" s="578"/>
      <c r="Y76" s="492">
        <f t="shared" ref="Y76:Y82" si="8">Q76/$D$1</f>
        <v>10056.180628124997</v>
      </c>
      <c r="Z76" s="390"/>
      <c r="AA76" s="429"/>
    </row>
    <row r="77" spans="2:27" x14ac:dyDescent="0.35">
      <c r="B77" s="518"/>
      <c r="E77" s="519"/>
      <c r="F77" s="151" t="s">
        <v>220</v>
      </c>
      <c r="G77" s="316" t="s">
        <v>183</v>
      </c>
      <c r="H77" s="317"/>
      <c r="I77" s="318"/>
      <c r="J77" s="600" t="s">
        <v>179</v>
      </c>
      <c r="K77" s="433">
        <v>1</v>
      </c>
      <c r="L77" s="577">
        <v>45.36</v>
      </c>
      <c r="M77" s="379">
        <f>0.00625*(1/2)</f>
        <v>3.1250000000000002E-3</v>
      </c>
      <c r="N77" s="380">
        <v>3</v>
      </c>
      <c r="O77" s="520">
        <f t="shared" si="1"/>
        <v>0.42525000000000002</v>
      </c>
      <c r="P77" s="261">
        <v>1581858.0973125002</v>
      </c>
      <c r="Q77" s="521">
        <f t="shared" si="2"/>
        <v>672685.15588214074</v>
      </c>
      <c r="R77" s="259">
        <v>1593848.8584</v>
      </c>
      <c r="S77" s="496">
        <f t="shared" si="3"/>
        <v>677784.22703459999</v>
      </c>
      <c r="T77" s="259">
        <v>1721356.7670720001</v>
      </c>
      <c r="U77" s="517">
        <f t="shared" si="4"/>
        <v>732006.96519736806</v>
      </c>
      <c r="V77" s="259">
        <f t="shared" si="5"/>
        <v>1632354.5742615</v>
      </c>
      <c r="W77" s="267">
        <f t="shared" si="6"/>
        <v>694158.78270470293</v>
      </c>
      <c r="X77" s="578"/>
      <c r="Y77" s="492">
        <f t="shared" si="8"/>
        <v>14829.91966230469</v>
      </c>
      <c r="Z77" s="390"/>
    </row>
    <row r="78" spans="2:27" x14ac:dyDescent="0.35">
      <c r="B78" s="518"/>
      <c r="E78" s="519"/>
      <c r="F78" s="151" t="s">
        <v>227</v>
      </c>
      <c r="G78" s="316" t="s">
        <v>183</v>
      </c>
      <c r="H78" s="317">
        <v>4</v>
      </c>
      <c r="I78" s="318" t="s">
        <v>228</v>
      </c>
      <c r="J78" s="600" t="s">
        <v>179</v>
      </c>
      <c r="K78" s="433">
        <v>1</v>
      </c>
      <c r="L78" s="577">
        <v>45.36</v>
      </c>
      <c r="M78" s="379">
        <f>((M$71*N$71)/240*($H78/N78))</f>
        <v>1.2499999999999999E-2</v>
      </c>
      <c r="N78" s="380">
        <v>3</v>
      </c>
      <c r="O78" s="520">
        <f t="shared" si="1"/>
        <v>1.7009999999999998</v>
      </c>
      <c r="P78" s="261">
        <v>49592.654999999999</v>
      </c>
      <c r="Q78" s="521">
        <f t="shared" si="2"/>
        <v>84357.106154999987</v>
      </c>
      <c r="R78" s="259">
        <v>49968.576000000008</v>
      </c>
      <c r="S78" s="496">
        <f t="shared" si="3"/>
        <v>84996.547776000007</v>
      </c>
      <c r="T78" s="259">
        <v>53966.062080000011</v>
      </c>
      <c r="U78" s="517">
        <f t="shared" si="4"/>
        <v>91796.271598080013</v>
      </c>
      <c r="V78" s="259">
        <f t="shared" si="5"/>
        <v>51175.764360000001</v>
      </c>
      <c r="W78" s="267">
        <f t="shared" si="6"/>
        <v>87049.975176359992</v>
      </c>
      <c r="X78" s="647"/>
      <c r="Y78" s="492">
        <f t="shared" si="8"/>
        <v>1859.7245624999998</v>
      </c>
      <c r="Z78" s="390"/>
    </row>
    <row r="79" spans="2:27" x14ac:dyDescent="0.35">
      <c r="B79" s="518"/>
      <c r="E79" s="519"/>
      <c r="F79" s="151" t="s">
        <v>229</v>
      </c>
      <c r="G79" s="316" t="s">
        <v>183</v>
      </c>
      <c r="H79" s="317">
        <v>12</v>
      </c>
      <c r="I79" s="318" t="s">
        <v>228</v>
      </c>
      <c r="J79" s="600" t="s">
        <v>179</v>
      </c>
      <c r="K79" s="433">
        <v>1</v>
      </c>
      <c r="L79" s="577">
        <v>45.36</v>
      </c>
      <c r="M79" s="379">
        <f>((M$71*N$71)/240*($H79/N79))</f>
        <v>3.7499999999999999E-2</v>
      </c>
      <c r="N79" s="380">
        <v>3</v>
      </c>
      <c r="O79" s="520">
        <f t="shared" si="1"/>
        <v>5.1029999999999998</v>
      </c>
      <c r="P79" s="261">
        <v>16206.75</v>
      </c>
      <c r="Q79" s="521">
        <f t="shared" si="2"/>
        <v>82703.045249999996</v>
      </c>
      <c r="R79" s="259">
        <v>16329.600000000002</v>
      </c>
      <c r="S79" s="496">
        <f t="shared" si="3"/>
        <v>83329.948800000013</v>
      </c>
      <c r="T79" s="259">
        <v>17635.968000000004</v>
      </c>
      <c r="U79" s="517">
        <f t="shared" si="4"/>
        <v>89996.344704000017</v>
      </c>
      <c r="V79" s="259">
        <f t="shared" si="5"/>
        <v>16724.106000000003</v>
      </c>
      <c r="W79" s="267">
        <f t="shared" si="6"/>
        <v>85343.112918000013</v>
      </c>
      <c r="X79" s="647"/>
      <c r="Y79" s="492">
        <f t="shared" si="8"/>
        <v>1823.2593749999999</v>
      </c>
      <c r="Z79" s="390"/>
    </row>
    <row r="80" spans="2:27" x14ac:dyDescent="0.35">
      <c r="B80" s="518"/>
      <c r="E80" s="519"/>
      <c r="F80" s="151" t="s">
        <v>230</v>
      </c>
      <c r="G80" s="316" t="s">
        <v>183</v>
      </c>
      <c r="H80" s="317">
        <v>1</v>
      </c>
      <c r="I80" s="318" t="s">
        <v>228</v>
      </c>
      <c r="J80" s="600" t="s">
        <v>179</v>
      </c>
      <c r="K80" s="433">
        <v>1</v>
      </c>
      <c r="L80" s="577">
        <v>45.36</v>
      </c>
      <c r="M80" s="379">
        <f>((M$71*N$71)/240*($H80/N80))</f>
        <v>3.1249999999999997E-3</v>
      </c>
      <c r="N80" s="380">
        <v>3</v>
      </c>
      <c r="O80" s="520">
        <f t="shared" si="1"/>
        <v>0.42524999999999996</v>
      </c>
      <c r="P80" s="261">
        <v>43393.573125000003</v>
      </c>
      <c r="Q80" s="521">
        <f t="shared" si="2"/>
        <v>18453.116971406249</v>
      </c>
      <c r="R80" s="259">
        <v>43722.504000000008</v>
      </c>
      <c r="S80" s="496">
        <f t="shared" si="3"/>
        <v>18592.994826000002</v>
      </c>
      <c r="T80" s="259">
        <v>47220.30432000001</v>
      </c>
      <c r="U80" s="517">
        <f t="shared" si="4"/>
        <v>20080.434412080001</v>
      </c>
      <c r="V80" s="259">
        <f t="shared" si="5"/>
        <v>44778.793815000012</v>
      </c>
      <c r="W80" s="267">
        <f t="shared" si="6"/>
        <v>19042.182069828752</v>
      </c>
      <c r="X80" s="647"/>
      <c r="Y80" s="492">
        <f t="shared" si="8"/>
        <v>406.81474804687497</v>
      </c>
      <c r="Z80" s="390"/>
    </row>
    <row r="81" spans="2:26" x14ac:dyDescent="0.35">
      <c r="B81" s="518"/>
      <c r="E81" s="519"/>
      <c r="F81" s="151" t="s">
        <v>231</v>
      </c>
      <c r="G81" s="316" t="s">
        <v>183</v>
      </c>
      <c r="H81" s="317">
        <v>2</v>
      </c>
      <c r="I81" s="318" t="s">
        <v>228</v>
      </c>
      <c r="J81" s="600" t="s">
        <v>179</v>
      </c>
      <c r="K81" s="433">
        <v>1</v>
      </c>
      <c r="L81" s="577">
        <v>45.36</v>
      </c>
      <c r="M81" s="379">
        <f>((M$71*N$71)/240*($H81/N81))</f>
        <v>6.2499999999999995E-3</v>
      </c>
      <c r="N81" s="380">
        <v>3</v>
      </c>
      <c r="O81" s="520">
        <f t="shared" si="1"/>
        <v>0.85049999999999992</v>
      </c>
      <c r="P81" s="261">
        <v>37194.491250000006</v>
      </c>
      <c r="Q81" s="521">
        <f t="shared" si="2"/>
        <v>31633.914808125002</v>
      </c>
      <c r="R81" s="259">
        <v>37476.432000000001</v>
      </c>
      <c r="S81" s="496">
        <f t="shared" si="3"/>
        <v>31873.705415999997</v>
      </c>
      <c r="T81" s="259">
        <v>40474.546560000003</v>
      </c>
      <c r="U81" s="517">
        <f t="shared" si="4"/>
        <v>34423.601849279999</v>
      </c>
      <c r="V81" s="259">
        <f t="shared" si="5"/>
        <v>38381.823270000001</v>
      </c>
      <c r="W81" s="267">
        <f t="shared" si="6"/>
        <v>32643.740691134997</v>
      </c>
      <c r="X81" s="647"/>
      <c r="Y81" s="492">
        <f t="shared" si="8"/>
        <v>697.39671093750007</v>
      </c>
      <c r="Z81" s="390"/>
    </row>
    <row r="82" spans="2:26" x14ac:dyDescent="0.35">
      <c r="B82" s="518"/>
      <c r="D82" s="580"/>
      <c r="E82" s="581"/>
      <c r="F82" s="151" t="s">
        <v>232</v>
      </c>
      <c r="G82" s="316" t="s">
        <v>183</v>
      </c>
      <c r="H82" s="317">
        <v>1</v>
      </c>
      <c r="I82" s="318" t="s">
        <v>228</v>
      </c>
      <c r="J82" s="600" t="s">
        <v>179</v>
      </c>
      <c r="K82" s="433">
        <v>1</v>
      </c>
      <c r="L82" s="577">
        <v>45.36</v>
      </c>
      <c r="M82" s="379">
        <f>((M$71*N$71)/240*($H82/N82))</f>
        <v>3.1249999999999997E-3</v>
      </c>
      <c r="N82" s="380">
        <v>3</v>
      </c>
      <c r="O82" s="520">
        <f t="shared" si="1"/>
        <v>0.42524999999999996</v>
      </c>
      <c r="P82" s="261">
        <v>99185.31</v>
      </c>
      <c r="Q82" s="521">
        <f t="shared" si="2"/>
        <v>42178.553077499993</v>
      </c>
      <c r="R82" s="259">
        <v>99937.152000000016</v>
      </c>
      <c r="S82" s="496">
        <f t="shared" si="3"/>
        <v>42498.273888000003</v>
      </c>
      <c r="T82" s="259">
        <v>107932.12416000002</v>
      </c>
      <c r="U82" s="517">
        <f t="shared" si="4"/>
        <v>45898.135799040007</v>
      </c>
      <c r="V82" s="259">
        <f t="shared" si="5"/>
        <v>102351.52872</v>
      </c>
      <c r="W82" s="267">
        <f t="shared" si="6"/>
        <v>43524.987588179996</v>
      </c>
      <c r="X82" s="647"/>
      <c r="Y82" s="492">
        <f t="shared" si="8"/>
        <v>929.86228124999991</v>
      </c>
      <c r="Z82" s="390"/>
    </row>
    <row r="83" spans="2:26" ht="29.25" customHeight="1" x14ac:dyDescent="0.35">
      <c r="B83" s="606" t="s">
        <v>574</v>
      </c>
      <c r="C83" s="716"/>
      <c r="D83" s="716"/>
      <c r="E83" s="717"/>
      <c r="F83" s="609"/>
      <c r="G83" s="610"/>
      <c r="H83" s="611"/>
      <c r="I83" s="612"/>
      <c r="J83" s="610"/>
      <c r="K83" s="613"/>
      <c r="L83" s="614"/>
      <c r="M83" s="615"/>
      <c r="N83" s="616"/>
      <c r="O83" s="611"/>
      <c r="P83" s="617"/>
      <c r="Q83" s="618">
        <f>SUM(Q71:Q82)</f>
        <v>27873463.342297744</v>
      </c>
      <c r="R83" s="617"/>
      <c r="S83" s="718">
        <f>SUM(S71:S82)</f>
        <v>19979690.597149756</v>
      </c>
      <c r="T83" s="605"/>
      <c r="U83" s="605"/>
      <c r="V83" s="605"/>
      <c r="W83" s="605"/>
      <c r="X83" s="611"/>
      <c r="Y83" s="645">
        <f>Q83/$D$1</f>
        <v>614494.34176141408</v>
      </c>
      <c r="Z83" s="645">
        <f>Q83/$Q$426*100</f>
        <v>4.7229290145366472</v>
      </c>
    </row>
    <row r="84" spans="2:26" x14ac:dyDescent="0.35">
      <c r="B84" s="518"/>
      <c r="D84" s="172" t="s">
        <v>470</v>
      </c>
      <c r="E84" s="506"/>
      <c r="F84" s="151" t="s">
        <v>177</v>
      </c>
      <c r="G84" s="316" t="s">
        <v>178</v>
      </c>
      <c r="H84" s="317"/>
      <c r="I84" s="318"/>
      <c r="J84" s="316"/>
      <c r="K84" s="502"/>
      <c r="L84" s="577"/>
      <c r="M84" s="258"/>
      <c r="N84" s="259"/>
      <c r="O84" s="317"/>
      <c r="P84" s="496"/>
      <c r="Q84" s="521"/>
      <c r="R84" s="496"/>
      <c r="S84" s="496"/>
      <c r="T84" s="517"/>
      <c r="U84" s="517"/>
      <c r="V84" s="517"/>
      <c r="W84" s="517"/>
      <c r="X84" s="578"/>
      <c r="Y84" s="151"/>
      <c r="Z84" s="151"/>
    </row>
    <row r="85" spans="2:26" x14ac:dyDescent="0.35">
      <c r="B85" s="518"/>
      <c r="E85" s="519"/>
      <c r="F85" s="151" t="s">
        <v>221</v>
      </c>
      <c r="G85" s="316" t="s">
        <v>222</v>
      </c>
      <c r="H85" s="317"/>
      <c r="I85" s="318"/>
      <c r="J85" s="316"/>
      <c r="K85" s="502"/>
      <c r="L85" s="577"/>
      <c r="M85" s="258"/>
      <c r="N85" s="259"/>
      <c r="O85" s="317"/>
      <c r="P85" s="496"/>
      <c r="Q85" s="521"/>
      <c r="R85" s="496"/>
      <c r="S85" s="496"/>
      <c r="T85" s="517"/>
      <c r="U85" s="517"/>
      <c r="V85" s="517"/>
      <c r="W85" s="517"/>
      <c r="X85" s="578"/>
      <c r="Y85" s="151"/>
      <c r="Z85" s="151"/>
    </row>
    <row r="86" spans="2:26" x14ac:dyDescent="0.35">
      <c r="B86" s="518"/>
      <c r="E86" s="519"/>
      <c r="F86" s="151" t="s">
        <v>223</v>
      </c>
      <c r="G86" s="316" t="s">
        <v>181</v>
      </c>
      <c r="H86" s="317"/>
      <c r="I86" s="318"/>
      <c r="J86" s="316"/>
      <c r="K86" s="502"/>
      <c r="L86" s="577"/>
      <c r="M86" s="258"/>
      <c r="N86" s="259"/>
      <c r="O86" s="317"/>
      <c r="P86" s="496"/>
      <c r="Q86" s="521"/>
      <c r="R86" s="496"/>
      <c r="S86" s="496"/>
      <c r="T86" s="517"/>
      <c r="U86" s="517"/>
      <c r="V86" s="517"/>
      <c r="W86" s="517"/>
      <c r="X86" s="578"/>
      <c r="Y86" s="151"/>
      <c r="Z86" s="151"/>
    </row>
    <row r="87" spans="2:26" x14ac:dyDescent="0.35">
      <c r="B87" s="518"/>
      <c r="E87" s="519"/>
      <c r="F87" s="151" t="s">
        <v>225</v>
      </c>
      <c r="G87" s="316" t="s">
        <v>222</v>
      </c>
      <c r="H87" s="317"/>
      <c r="I87" s="318"/>
      <c r="J87" s="316"/>
      <c r="K87" s="502"/>
      <c r="L87" s="577"/>
      <c r="M87" s="258"/>
      <c r="N87" s="259"/>
      <c r="O87" s="317"/>
      <c r="P87" s="496"/>
      <c r="Q87" s="521"/>
      <c r="R87" s="496"/>
      <c r="S87" s="496"/>
      <c r="T87" s="517"/>
      <c r="U87" s="517"/>
      <c r="V87" s="517"/>
      <c r="W87" s="517"/>
      <c r="X87" s="578"/>
      <c r="Y87" s="151"/>
      <c r="Z87" s="151"/>
    </row>
    <row r="88" spans="2:26" x14ac:dyDescent="0.35">
      <c r="B88" s="518"/>
      <c r="E88" s="519"/>
      <c r="F88" s="151" t="s">
        <v>226</v>
      </c>
      <c r="G88" s="316" t="s">
        <v>178</v>
      </c>
      <c r="H88" s="317"/>
      <c r="I88" s="318"/>
      <c r="J88" s="316"/>
      <c r="K88" s="502"/>
      <c r="L88" s="577"/>
      <c r="M88" s="258"/>
      <c r="N88" s="259"/>
      <c r="O88" s="317"/>
      <c r="P88" s="496"/>
      <c r="Q88" s="521"/>
      <c r="R88" s="496"/>
      <c r="S88" s="496"/>
      <c r="T88" s="517"/>
      <c r="U88" s="517"/>
      <c r="V88" s="517"/>
      <c r="W88" s="517"/>
      <c r="X88" s="578"/>
      <c r="Y88" s="151"/>
      <c r="Z88" s="151"/>
    </row>
    <row r="89" spans="2:26" x14ac:dyDescent="0.35">
      <c r="B89" s="518"/>
      <c r="E89" s="519"/>
      <c r="F89" s="151" t="s">
        <v>220</v>
      </c>
      <c r="G89" s="316" t="s">
        <v>183</v>
      </c>
      <c r="H89" s="317"/>
      <c r="I89" s="318"/>
      <c r="J89" s="316"/>
      <c r="K89" s="502"/>
      <c r="L89" s="577"/>
      <c r="M89" s="258"/>
      <c r="N89" s="259"/>
      <c r="O89" s="317"/>
      <c r="P89" s="496"/>
      <c r="Q89" s="521"/>
      <c r="R89" s="496"/>
      <c r="S89" s="496"/>
      <c r="T89" s="517"/>
      <c r="U89" s="517"/>
      <c r="V89" s="517"/>
      <c r="W89" s="517"/>
      <c r="X89" s="578"/>
      <c r="Y89" s="151"/>
      <c r="Z89" s="151"/>
    </row>
    <row r="90" spans="2:26" x14ac:dyDescent="0.35">
      <c r="B90" s="518"/>
      <c r="E90" s="519"/>
      <c r="F90" s="151" t="s">
        <v>227</v>
      </c>
      <c r="G90" s="316" t="s">
        <v>183</v>
      </c>
      <c r="H90" s="317"/>
      <c r="I90" s="318"/>
      <c r="J90" s="316"/>
      <c r="K90" s="502"/>
      <c r="L90" s="577"/>
      <c r="M90" s="258"/>
      <c r="N90" s="259"/>
      <c r="O90" s="317"/>
      <c r="P90" s="496"/>
      <c r="Q90" s="521"/>
      <c r="R90" s="496"/>
      <c r="S90" s="496"/>
      <c r="T90" s="517"/>
      <c r="U90" s="517"/>
      <c r="V90" s="517"/>
      <c r="W90" s="517"/>
      <c r="X90" s="578"/>
      <c r="Y90" s="151"/>
      <c r="Z90" s="151"/>
    </row>
    <row r="91" spans="2:26" x14ac:dyDescent="0.35">
      <c r="B91" s="518"/>
      <c r="E91" s="519"/>
      <c r="F91" s="151" t="s">
        <v>453</v>
      </c>
      <c r="G91" s="316" t="s">
        <v>183</v>
      </c>
      <c r="H91" s="317"/>
      <c r="I91" s="318"/>
      <c r="J91" s="316"/>
      <c r="K91" s="502"/>
      <c r="L91" s="577"/>
      <c r="M91" s="258"/>
      <c r="N91" s="259"/>
      <c r="O91" s="317"/>
      <c r="P91" s="496"/>
      <c r="Q91" s="521"/>
      <c r="R91" s="496"/>
      <c r="S91" s="496"/>
      <c r="T91" s="517"/>
      <c r="U91" s="517"/>
      <c r="V91" s="517"/>
      <c r="W91" s="517"/>
      <c r="X91" s="578"/>
      <c r="Y91" s="151"/>
      <c r="Z91" s="151"/>
    </row>
    <row r="92" spans="2:26" x14ac:dyDescent="0.35">
      <c r="B92" s="518"/>
      <c r="E92" s="519"/>
      <c r="F92" s="151" t="s">
        <v>230</v>
      </c>
      <c r="G92" s="316" t="s">
        <v>183</v>
      </c>
      <c r="H92" s="317"/>
      <c r="I92" s="318"/>
      <c r="J92" s="316"/>
      <c r="K92" s="502"/>
      <c r="L92" s="577"/>
      <c r="M92" s="258"/>
      <c r="N92" s="259"/>
      <c r="O92" s="317"/>
      <c r="P92" s="496"/>
      <c r="Q92" s="521"/>
      <c r="R92" s="496"/>
      <c r="S92" s="496"/>
      <c r="T92" s="517"/>
      <c r="U92" s="517"/>
      <c r="V92" s="517"/>
      <c r="W92" s="517"/>
      <c r="X92" s="578"/>
      <c r="Y92" s="151"/>
      <c r="Z92" s="151"/>
    </row>
    <row r="93" spans="2:26" x14ac:dyDescent="0.35">
      <c r="B93" s="518"/>
      <c r="E93" s="519"/>
      <c r="F93" s="151" t="s">
        <v>231</v>
      </c>
      <c r="G93" s="316" t="s">
        <v>183</v>
      </c>
      <c r="H93" s="317"/>
      <c r="I93" s="318"/>
      <c r="J93" s="316"/>
      <c r="K93" s="502"/>
      <c r="L93" s="577"/>
      <c r="M93" s="258"/>
      <c r="N93" s="259"/>
      <c r="O93" s="317"/>
      <c r="P93" s="496"/>
      <c r="Q93" s="521"/>
      <c r="R93" s="496"/>
      <c r="S93" s="496"/>
      <c r="T93" s="517"/>
      <c r="U93" s="517"/>
      <c r="V93" s="517"/>
      <c r="W93" s="517"/>
      <c r="X93" s="578"/>
      <c r="Y93" s="151"/>
      <c r="Z93" s="151"/>
    </row>
    <row r="94" spans="2:26" x14ac:dyDescent="0.35">
      <c r="B94" s="518"/>
      <c r="D94" s="580"/>
      <c r="E94" s="581"/>
      <c r="F94" s="151" t="s">
        <v>232</v>
      </c>
      <c r="G94" s="316" t="s">
        <v>183</v>
      </c>
      <c r="H94" s="317"/>
      <c r="I94" s="318"/>
      <c r="J94" s="316"/>
      <c r="K94" s="502"/>
      <c r="L94" s="577"/>
      <c r="M94" s="258"/>
      <c r="N94" s="259"/>
      <c r="O94" s="317"/>
      <c r="P94" s="496"/>
      <c r="Q94" s="521"/>
      <c r="R94" s="496"/>
      <c r="S94" s="496"/>
      <c r="T94" s="517"/>
      <c r="U94" s="517"/>
      <c r="V94" s="517"/>
      <c r="W94" s="517"/>
      <c r="X94" s="578"/>
      <c r="Y94" s="151"/>
      <c r="Z94" s="151"/>
    </row>
    <row r="95" spans="2:26" x14ac:dyDescent="0.35">
      <c r="B95" s="518"/>
      <c r="D95" s="172" t="s">
        <v>471</v>
      </c>
      <c r="E95" s="506"/>
      <c r="F95" s="151" t="s">
        <v>177</v>
      </c>
      <c r="G95" s="316" t="s">
        <v>178</v>
      </c>
      <c r="H95" s="317"/>
      <c r="I95" s="318"/>
      <c r="J95" s="316"/>
      <c r="K95" s="502"/>
      <c r="L95" s="577"/>
      <c r="M95" s="258"/>
      <c r="N95" s="259"/>
      <c r="O95" s="317"/>
      <c r="P95" s="496"/>
      <c r="Q95" s="521"/>
      <c r="R95" s="496"/>
      <c r="S95" s="496"/>
      <c r="T95" s="517"/>
      <c r="U95" s="517"/>
      <c r="V95" s="517"/>
      <c r="W95" s="517"/>
      <c r="X95" s="578"/>
      <c r="Y95" s="151"/>
      <c r="Z95" s="151"/>
    </row>
    <row r="96" spans="2:26" x14ac:dyDescent="0.35">
      <c r="B96" s="518"/>
      <c r="E96" s="519"/>
      <c r="F96" s="151" t="s">
        <v>221</v>
      </c>
      <c r="G96" s="316" t="s">
        <v>222</v>
      </c>
      <c r="H96" s="317"/>
      <c r="I96" s="318"/>
      <c r="J96" s="316"/>
      <c r="K96" s="502"/>
      <c r="L96" s="577"/>
      <c r="M96" s="258"/>
      <c r="N96" s="259"/>
      <c r="O96" s="317"/>
      <c r="P96" s="496"/>
      <c r="Q96" s="521"/>
      <c r="R96" s="496"/>
      <c r="S96" s="496"/>
      <c r="T96" s="517"/>
      <c r="U96" s="517"/>
      <c r="V96" s="517"/>
      <c r="W96" s="517"/>
      <c r="X96" s="578"/>
      <c r="Y96" s="151"/>
      <c r="Z96" s="151"/>
    </row>
    <row r="97" spans="2:26" x14ac:dyDescent="0.35">
      <c r="B97" s="518"/>
      <c r="E97" s="519"/>
      <c r="F97" s="151" t="s">
        <v>223</v>
      </c>
      <c r="G97" s="316" t="s">
        <v>181</v>
      </c>
      <c r="H97" s="317"/>
      <c r="I97" s="318"/>
      <c r="J97" s="316"/>
      <c r="K97" s="502"/>
      <c r="L97" s="577"/>
      <c r="M97" s="258"/>
      <c r="N97" s="259"/>
      <c r="O97" s="317"/>
      <c r="P97" s="496"/>
      <c r="Q97" s="521"/>
      <c r="R97" s="496"/>
      <c r="S97" s="496"/>
      <c r="T97" s="517"/>
      <c r="U97" s="517"/>
      <c r="V97" s="517"/>
      <c r="W97" s="517"/>
      <c r="X97" s="578"/>
      <c r="Y97" s="151"/>
      <c r="Z97" s="151"/>
    </row>
    <row r="98" spans="2:26" x14ac:dyDescent="0.35">
      <c r="B98" s="518"/>
      <c r="E98" s="519"/>
      <c r="F98" s="151" t="s">
        <v>225</v>
      </c>
      <c r="G98" s="316" t="s">
        <v>222</v>
      </c>
      <c r="H98" s="317"/>
      <c r="I98" s="318"/>
      <c r="J98" s="316"/>
      <c r="K98" s="502"/>
      <c r="L98" s="577"/>
      <c r="M98" s="258"/>
      <c r="N98" s="259"/>
      <c r="O98" s="317"/>
      <c r="P98" s="496"/>
      <c r="Q98" s="521"/>
      <c r="R98" s="496"/>
      <c r="S98" s="496"/>
      <c r="T98" s="517"/>
      <c r="U98" s="517"/>
      <c r="V98" s="517"/>
      <c r="W98" s="517"/>
      <c r="X98" s="578"/>
      <c r="Y98" s="151"/>
      <c r="Z98" s="151"/>
    </row>
    <row r="99" spans="2:26" x14ac:dyDescent="0.35">
      <c r="B99" s="518"/>
      <c r="E99" s="519"/>
      <c r="F99" s="151" t="s">
        <v>226</v>
      </c>
      <c r="G99" s="316" t="s">
        <v>178</v>
      </c>
      <c r="H99" s="317"/>
      <c r="I99" s="318"/>
      <c r="J99" s="316"/>
      <c r="K99" s="502"/>
      <c r="L99" s="577"/>
      <c r="M99" s="258"/>
      <c r="N99" s="259"/>
      <c r="O99" s="317"/>
      <c r="P99" s="496"/>
      <c r="Q99" s="521"/>
      <c r="R99" s="496"/>
      <c r="S99" s="496"/>
      <c r="T99" s="517"/>
      <c r="U99" s="517"/>
      <c r="V99" s="517"/>
      <c r="W99" s="517"/>
      <c r="X99" s="578"/>
      <c r="Y99" s="151"/>
      <c r="Z99" s="151"/>
    </row>
    <row r="100" spans="2:26" x14ac:dyDescent="0.35">
      <c r="B100" s="518"/>
      <c r="E100" s="519"/>
      <c r="F100" s="151" t="s">
        <v>220</v>
      </c>
      <c r="G100" s="316" t="s">
        <v>183</v>
      </c>
      <c r="H100" s="317"/>
      <c r="I100" s="318"/>
      <c r="J100" s="316"/>
      <c r="K100" s="502"/>
      <c r="L100" s="577"/>
      <c r="M100" s="258"/>
      <c r="N100" s="259"/>
      <c r="O100" s="317"/>
      <c r="P100" s="496"/>
      <c r="Q100" s="521"/>
      <c r="R100" s="496"/>
      <c r="S100" s="496"/>
      <c r="T100" s="517"/>
      <c r="U100" s="517"/>
      <c r="V100" s="517"/>
      <c r="W100" s="517"/>
      <c r="X100" s="578"/>
      <c r="Y100" s="151"/>
      <c r="Z100" s="151"/>
    </row>
    <row r="101" spans="2:26" x14ac:dyDescent="0.35">
      <c r="B101" s="518"/>
      <c r="E101" s="519"/>
      <c r="F101" s="151" t="s">
        <v>227</v>
      </c>
      <c r="G101" s="316" t="s">
        <v>183</v>
      </c>
      <c r="H101" s="317"/>
      <c r="I101" s="318"/>
      <c r="J101" s="316"/>
      <c r="K101" s="502"/>
      <c r="L101" s="577"/>
      <c r="M101" s="258"/>
      <c r="N101" s="259"/>
      <c r="O101" s="317"/>
      <c r="P101" s="496"/>
      <c r="Q101" s="521"/>
      <c r="R101" s="496"/>
      <c r="S101" s="496"/>
      <c r="T101" s="517"/>
      <c r="U101" s="517"/>
      <c r="V101" s="517"/>
      <c r="W101" s="517"/>
      <c r="X101" s="578"/>
      <c r="Y101" s="151"/>
      <c r="Z101" s="151"/>
    </row>
    <row r="102" spans="2:26" x14ac:dyDescent="0.35">
      <c r="B102" s="518"/>
      <c r="E102" s="519"/>
      <c r="F102" s="151" t="s">
        <v>453</v>
      </c>
      <c r="G102" s="316" t="s">
        <v>183</v>
      </c>
      <c r="H102" s="317"/>
      <c r="I102" s="318"/>
      <c r="J102" s="316"/>
      <c r="K102" s="502"/>
      <c r="L102" s="577"/>
      <c r="M102" s="258"/>
      <c r="N102" s="259"/>
      <c r="O102" s="317"/>
      <c r="P102" s="496"/>
      <c r="Q102" s="521"/>
      <c r="R102" s="496"/>
      <c r="S102" s="496"/>
      <c r="T102" s="517"/>
      <c r="U102" s="517"/>
      <c r="V102" s="517"/>
      <c r="W102" s="517"/>
      <c r="X102" s="578"/>
      <c r="Y102" s="151"/>
      <c r="Z102" s="151"/>
    </row>
    <row r="103" spans="2:26" x14ac:dyDescent="0.35">
      <c r="B103" s="518"/>
      <c r="E103" s="519"/>
      <c r="F103" s="151" t="s">
        <v>230</v>
      </c>
      <c r="G103" s="316" t="s">
        <v>183</v>
      </c>
      <c r="H103" s="317"/>
      <c r="I103" s="318"/>
      <c r="J103" s="316"/>
      <c r="K103" s="502"/>
      <c r="L103" s="577"/>
      <c r="M103" s="258"/>
      <c r="N103" s="259"/>
      <c r="O103" s="317"/>
      <c r="P103" s="496"/>
      <c r="Q103" s="521"/>
      <c r="R103" s="496"/>
      <c r="S103" s="496"/>
      <c r="T103" s="517"/>
      <c r="U103" s="517"/>
      <c r="V103" s="517"/>
      <c r="W103" s="517"/>
      <c r="X103" s="578"/>
      <c r="Y103" s="151"/>
      <c r="Z103" s="151"/>
    </row>
    <row r="104" spans="2:26" x14ac:dyDescent="0.35">
      <c r="B104" s="518"/>
      <c r="E104" s="519"/>
      <c r="F104" s="151" t="s">
        <v>231</v>
      </c>
      <c r="G104" s="316" t="s">
        <v>183</v>
      </c>
      <c r="H104" s="317"/>
      <c r="I104" s="318"/>
      <c r="J104" s="316"/>
      <c r="K104" s="502"/>
      <c r="L104" s="577"/>
      <c r="M104" s="258"/>
      <c r="N104" s="259"/>
      <c r="O104" s="317"/>
      <c r="P104" s="496"/>
      <c r="Q104" s="521"/>
      <c r="R104" s="496"/>
      <c r="S104" s="496"/>
      <c r="T104" s="517"/>
      <c r="U104" s="517"/>
      <c r="V104" s="517"/>
      <c r="W104" s="517"/>
      <c r="X104" s="578"/>
      <c r="Y104" s="151"/>
      <c r="Z104" s="151"/>
    </row>
    <row r="105" spans="2:26" x14ac:dyDescent="0.35">
      <c r="B105" s="579"/>
      <c r="C105" s="580"/>
      <c r="D105" s="580"/>
      <c r="E105" s="581"/>
      <c r="F105" s="151" t="s">
        <v>232</v>
      </c>
      <c r="G105" s="316" t="s">
        <v>183</v>
      </c>
      <c r="H105" s="317"/>
      <c r="I105" s="318"/>
      <c r="J105" s="316"/>
      <c r="K105" s="502"/>
      <c r="L105" s="577"/>
      <c r="M105" s="258"/>
      <c r="N105" s="259"/>
      <c r="O105" s="317"/>
      <c r="P105" s="496"/>
      <c r="Q105" s="521"/>
      <c r="R105" s="496"/>
      <c r="S105" s="496"/>
      <c r="T105" s="517"/>
      <c r="U105" s="517"/>
      <c r="V105" s="517"/>
      <c r="W105" s="517"/>
      <c r="X105" s="578"/>
      <c r="Y105" s="151"/>
      <c r="Z105" s="151"/>
    </row>
    <row r="106" spans="2:26" x14ac:dyDescent="0.35">
      <c r="B106" s="504"/>
      <c r="C106" s="172" t="s">
        <v>73</v>
      </c>
      <c r="D106" s="172"/>
      <c r="E106" s="506"/>
      <c r="F106" s="151" t="s">
        <v>177</v>
      </c>
      <c r="G106" s="316" t="s">
        <v>178</v>
      </c>
      <c r="H106" s="317"/>
      <c r="I106" s="318"/>
      <c r="J106" s="316" t="s">
        <v>179</v>
      </c>
      <c r="K106" s="433">
        <v>1</v>
      </c>
      <c r="L106" s="577">
        <v>45.36</v>
      </c>
      <c r="M106" s="258">
        <v>2</v>
      </c>
      <c r="N106" s="259">
        <v>2</v>
      </c>
      <c r="O106" s="520">
        <f>K106*L106*M106*N106</f>
        <v>181.44</v>
      </c>
      <c r="P106" s="261">
        <v>169122.61109699999</v>
      </c>
      <c r="Q106" s="521">
        <f>P106*$O106</f>
        <v>30685606.557439677</v>
      </c>
      <c r="R106" s="259">
        <v>163305.33120000002</v>
      </c>
      <c r="S106" s="496">
        <f>R106*$O106</f>
        <v>29630119.292928003</v>
      </c>
      <c r="T106" s="259">
        <v>179635.86432000002</v>
      </c>
      <c r="U106" s="517">
        <f>$O106*T106</f>
        <v>32593131.222220805</v>
      </c>
      <c r="V106" s="259">
        <f>W106/O106</f>
        <v>170687.93553900003</v>
      </c>
      <c r="W106" s="267">
        <f>AVERAGEIF($P$3:$U$3,W$3,$P106:$U106)</f>
        <v>30969619.024196163</v>
      </c>
      <c r="X106" s="578"/>
      <c r="Y106" s="492">
        <f t="shared" ref="Y106:Y108" si="9">Q106/$D$1</f>
        <v>676490.44438799995</v>
      </c>
      <c r="Z106" s="151"/>
    </row>
    <row r="107" spans="2:26" x14ac:dyDescent="0.35">
      <c r="B107" s="518"/>
      <c r="E107" s="519"/>
      <c r="F107" s="151" t="s">
        <v>285</v>
      </c>
      <c r="G107" s="316" t="s">
        <v>183</v>
      </c>
      <c r="H107" s="317"/>
      <c r="I107" s="318"/>
      <c r="J107" s="316"/>
      <c r="K107" s="433">
        <v>1</v>
      </c>
      <c r="L107" s="577">
        <v>45.36</v>
      </c>
      <c r="M107" s="379">
        <f>0.017*(1/2)</f>
        <v>8.5000000000000006E-3</v>
      </c>
      <c r="N107" s="380">
        <v>2</v>
      </c>
      <c r="O107" s="520">
        <f>K107*L107*M107*N107</f>
        <v>0.77112000000000003</v>
      </c>
      <c r="P107" s="261">
        <v>87746.527968750001</v>
      </c>
      <c r="Q107" s="521">
        <f>P107*$O107</f>
        <v>67663.102647262509</v>
      </c>
      <c r="R107" s="259">
        <v>88411.662000000011</v>
      </c>
      <c r="S107" s="496">
        <f>R107*$O107</f>
        <v>68176.000801440008</v>
      </c>
      <c r="T107" s="259">
        <v>95484.594960000017</v>
      </c>
      <c r="U107" s="517">
        <f>$O107*T107</f>
        <v>73630.08086555521</v>
      </c>
      <c r="V107" s="259">
        <f>W107/O107</f>
        <v>90547.594976250009</v>
      </c>
      <c r="W107" s="267">
        <f>AVERAGEIF($P$3:$U$3,W$3,$P107:$U107)</f>
        <v>69823.061438085904</v>
      </c>
      <c r="X107" s="578"/>
      <c r="Y107" s="492">
        <f t="shared" si="9"/>
        <v>1491.6909754687501</v>
      </c>
      <c r="Z107" s="151"/>
    </row>
    <row r="108" spans="2:26" x14ac:dyDescent="0.35">
      <c r="B108" s="518"/>
      <c r="D108" s="580"/>
      <c r="E108" s="581"/>
      <c r="F108" s="151" t="s">
        <v>232</v>
      </c>
      <c r="G108" s="316" t="s">
        <v>183</v>
      </c>
      <c r="H108" s="317"/>
      <c r="I108" s="318"/>
      <c r="J108" s="316" t="s">
        <v>179</v>
      </c>
      <c r="K108" s="433">
        <v>1</v>
      </c>
      <c r="L108" s="577">
        <v>45.36</v>
      </c>
      <c r="M108" s="379">
        <f>0.017*(1/2)</f>
        <v>8.5000000000000006E-3</v>
      </c>
      <c r="N108" s="380">
        <v>2</v>
      </c>
      <c r="O108" s="520">
        <f>K108*L108*M108*N108</f>
        <v>0.77112000000000003</v>
      </c>
      <c r="P108" s="261">
        <v>99185.31</v>
      </c>
      <c r="Q108" s="521">
        <f>P108*$O108</f>
        <v>76483.776247200003</v>
      </c>
      <c r="R108" s="259">
        <v>99937.152000000016</v>
      </c>
      <c r="S108" s="496">
        <f>R108*$O108</f>
        <v>77063.536650240014</v>
      </c>
      <c r="T108" s="259">
        <v>107932.12416000002</v>
      </c>
      <c r="U108" s="517">
        <f>$O108*T108</f>
        <v>83228.619582259213</v>
      </c>
      <c r="V108" s="259">
        <f>W108/O108</f>
        <v>102351.52872</v>
      </c>
      <c r="W108" s="267">
        <f>AVERAGEIF($P$3:$U$3,W$3,$P108:$U108)</f>
        <v>78925.310826566405</v>
      </c>
      <c r="X108" s="578"/>
      <c r="Y108" s="492">
        <f t="shared" si="9"/>
        <v>1686.1502700000001</v>
      </c>
      <c r="Z108" s="151"/>
    </row>
    <row r="109" spans="2:26" ht="29.25" customHeight="1" x14ac:dyDescent="0.35">
      <c r="B109" s="606" t="s">
        <v>473</v>
      </c>
      <c r="C109" s="716"/>
      <c r="D109" s="716"/>
      <c r="E109" s="717"/>
      <c r="F109" s="609"/>
      <c r="G109" s="610"/>
      <c r="H109" s="611"/>
      <c r="I109" s="612"/>
      <c r="J109" s="610"/>
      <c r="K109" s="613"/>
      <c r="L109" s="614"/>
      <c r="M109" s="615"/>
      <c r="N109" s="616"/>
      <c r="O109" s="611"/>
      <c r="P109" s="617"/>
      <c r="Q109" s="618">
        <f>SUM(Q106:Q108)</f>
        <v>30829753.436334141</v>
      </c>
      <c r="R109" s="617"/>
      <c r="S109" s="718">
        <f>SUM(S98:S108)</f>
        <v>29775358.830379684</v>
      </c>
      <c r="T109" s="605"/>
      <c r="U109" s="605"/>
      <c r="V109" s="605"/>
      <c r="W109" s="605"/>
      <c r="X109" s="611"/>
      <c r="Y109" s="645">
        <f>Q109/$D$1</f>
        <v>679668.28563346877</v>
      </c>
      <c r="Z109" s="645">
        <f>Q109/$Q$426*100</f>
        <v>5.2238480459841679</v>
      </c>
    </row>
    <row r="110" spans="2:26" x14ac:dyDescent="0.35">
      <c r="B110" s="518"/>
      <c r="D110" s="172" t="s">
        <v>472</v>
      </c>
      <c r="E110" s="506"/>
      <c r="F110" s="151" t="s">
        <v>177</v>
      </c>
      <c r="G110" s="316" t="s">
        <v>178</v>
      </c>
      <c r="H110" s="317"/>
      <c r="I110" s="318"/>
      <c r="J110" s="316"/>
      <c r="K110" s="502"/>
      <c r="L110" s="577"/>
      <c r="M110" s="379">
        <v>12</v>
      </c>
      <c r="N110" s="380">
        <v>1</v>
      </c>
      <c r="O110" s="578"/>
      <c r="P110" s="603"/>
      <c r="Q110" s="604"/>
      <c r="R110" s="603"/>
      <c r="S110" s="603"/>
      <c r="T110" s="605"/>
      <c r="U110" s="605"/>
      <c r="V110" s="605"/>
      <c r="W110" s="605"/>
      <c r="X110" s="578"/>
      <c r="Y110" s="151"/>
      <c r="Z110" s="151"/>
    </row>
    <row r="111" spans="2:26" x14ac:dyDescent="0.35">
      <c r="B111" s="518"/>
      <c r="E111" s="519"/>
      <c r="F111" s="151" t="s">
        <v>285</v>
      </c>
      <c r="G111" s="316" t="s">
        <v>183</v>
      </c>
      <c r="H111" s="317"/>
      <c r="I111" s="318"/>
      <c r="J111" s="316"/>
      <c r="K111" s="502"/>
      <c r="L111" s="577"/>
      <c r="M111" s="379">
        <v>1.7000000000000001E-2</v>
      </c>
      <c r="N111" s="380">
        <v>1</v>
      </c>
      <c r="O111" s="578"/>
      <c r="P111" s="603"/>
      <c r="Q111" s="604"/>
      <c r="R111" s="603"/>
      <c r="S111" s="603"/>
      <c r="T111" s="605"/>
      <c r="U111" s="605"/>
      <c r="V111" s="605"/>
      <c r="W111" s="605"/>
      <c r="X111" s="578"/>
      <c r="Y111" s="151"/>
      <c r="Z111" s="151"/>
    </row>
    <row r="112" spans="2:26" x14ac:dyDescent="0.35">
      <c r="B112" s="518"/>
      <c r="E112" s="519"/>
      <c r="F112" s="151" t="s">
        <v>232</v>
      </c>
      <c r="G112" s="316" t="s">
        <v>183</v>
      </c>
      <c r="H112" s="317">
        <v>1</v>
      </c>
      <c r="I112" s="318" t="s">
        <v>228</v>
      </c>
      <c r="J112" s="316"/>
      <c r="K112" s="502"/>
      <c r="L112" s="577"/>
      <c r="M112" s="379">
        <f>((M$110*N$110)/240*($H112/N112))</f>
        <v>0.05</v>
      </c>
      <c r="N112" s="380">
        <v>1</v>
      </c>
      <c r="O112" s="578"/>
      <c r="P112" s="603"/>
      <c r="Q112" s="604"/>
      <c r="R112" s="603"/>
      <c r="S112" s="603"/>
      <c r="T112" s="605"/>
      <c r="U112" s="605"/>
      <c r="V112" s="605"/>
      <c r="W112" s="605"/>
      <c r="X112" s="578"/>
      <c r="Y112" s="151"/>
      <c r="Z112" s="151"/>
    </row>
    <row r="113" spans="2:26" x14ac:dyDescent="0.35">
      <c r="B113" s="504"/>
      <c r="C113" s="172" t="s">
        <v>75</v>
      </c>
      <c r="D113" s="172"/>
      <c r="E113" s="506"/>
      <c r="F113" s="151" t="s">
        <v>177</v>
      </c>
      <c r="G113" s="316" t="s">
        <v>178</v>
      </c>
      <c r="H113" s="317"/>
      <c r="I113" s="318"/>
      <c r="J113" s="316" t="s">
        <v>179</v>
      </c>
      <c r="K113" s="433">
        <v>1</v>
      </c>
      <c r="L113" s="577">
        <v>45.36</v>
      </c>
      <c r="M113" s="379">
        <v>1.25</v>
      </c>
      <c r="N113" s="380">
        <v>2</v>
      </c>
      <c r="O113" s="520">
        <f t="shared" ref="O113:O124" si="10">K113*L113*M113*N113</f>
        <v>113.4</v>
      </c>
      <c r="P113" s="261">
        <v>169122.61109699999</v>
      </c>
      <c r="Q113" s="521">
        <f t="shared" ref="Q113:Q124" si="11">P113*$O113</f>
        <v>19178504.098399799</v>
      </c>
      <c r="R113" s="259">
        <v>163305.33120000002</v>
      </c>
      <c r="S113" s="496">
        <f t="shared" ref="S113:S124" si="12">R113*$O113</f>
        <v>18518824.558080003</v>
      </c>
      <c r="T113" s="259">
        <v>179635.86432000002</v>
      </c>
      <c r="U113" s="517">
        <f t="shared" ref="U113:U124" si="13">$O113*T113</f>
        <v>20370707.013888005</v>
      </c>
      <c r="V113" s="259">
        <f t="shared" ref="V113:V124" si="14">W113/O113</f>
        <v>170687.93553900003</v>
      </c>
      <c r="W113" s="267">
        <f t="shared" ref="W113:W124" si="15">AVERAGEIF($P$3:$U$3,W$3,$P113:$U113)</f>
        <v>19356011.890122604</v>
      </c>
      <c r="X113" s="578"/>
      <c r="Y113" s="492">
        <f t="shared" ref="Y113" si="16">Q113/$D$1</f>
        <v>422806.52774250001</v>
      </c>
      <c r="Z113" s="151"/>
    </row>
    <row r="114" spans="2:26" x14ac:dyDescent="0.35">
      <c r="B114" s="518"/>
      <c r="E114" s="519"/>
      <c r="F114" s="151" t="s">
        <v>474</v>
      </c>
      <c r="G114" s="316" t="s">
        <v>222</v>
      </c>
      <c r="H114" s="317"/>
      <c r="I114" s="318"/>
      <c r="J114" s="316" t="s">
        <v>179</v>
      </c>
      <c r="K114" s="433">
        <v>0</v>
      </c>
      <c r="L114" s="577">
        <v>45.36</v>
      </c>
      <c r="M114" s="379">
        <v>0.36</v>
      </c>
      <c r="N114" s="380">
        <v>2</v>
      </c>
      <c r="O114" s="520">
        <f t="shared" si="10"/>
        <v>0</v>
      </c>
      <c r="P114" s="261">
        <v>208997.61750000002</v>
      </c>
      <c r="Q114" s="521">
        <f t="shared" si="11"/>
        <v>0</v>
      </c>
      <c r="R114" s="259">
        <v>223236.26568000004</v>
      </c>
      <c r="S114" s="496">
        <f t="shared" si="12"/>
        <v>0</v>
      </c>
      <c r="T114" s="259">
        <v>238862.80427760005</v>
      </c>
      <c r="U114" s="517">
        <f t="shared" si="13"/>
        <v>0</v>
      </c>
      <c r="V114" s="259" t="e">
        <f t="shared" si="14"/>
        <v>#DIV/0!</v>
      </c>
      <c r="W114" s="267">
        <f t="shared" si="15"/>
        <v>0</v>
      </c>
      <c r="X114" s="578"/>
      <c r="Y114" s="492">
        <f t="shared" ref="Y114" si="17">Q114/192.08</f>
        <v>0</v>
      </c>
      <c r="Z114" s="151"/>
    </row>
    <row r="115" spans="2:26" x14ac:dyDescent="0.35">
      <c r="B115" s="518"/>
      <c r="E115" s="519"/>
      <c r="F115" s="151" t="s">
        <v>223</v>
      </c>
      <c r="G115" s="316" t="s">
        <v>181</v>
      </c>
      <c r="H115" s="317"/>
      <c r="I115" s="318"/>
      <c r="J115" s="316" t="s">
        <v>179</v>
      </c>
      <c r="K115" s="433">
        <v>1</v>
      </c>
      <c r="L115" s="577">
        <v>45.36</v>
      </c>
      <c r="M115" s="379">
        <f>36/1000</f>
        <v>3.5999999999999997E-2</v>
      </c>
      <c r="N115" s="380">
        <v>2</v>
      </c>
      <c r="O115" s="520">
        <f t="shared" si="10"/>
        <v>3.2659199999999999</v>
      </c>
      <c r="P115" s="261">
        <v>106269.97500000001</v>
      </c>
      <c r="Q115" s="521">
        <f t="shared" si="11"/>
        <v>347069.236752</v>
      </c>
      <c r="R115" s="259">
        <v>113509.96560000001</v>
      </c>
      <c r="S115" s="496">
        <f t="shared" si="12"/>
        <v>370714.46685235202</v>
      </c>
      <c r="T115" s="259">
        <v>121455.66319200002</v>
      </c>
      <c r="U115" s="517">
        <f t="shared" si="13"/>
        <v>396664.47953201673</v>
      </c>
      <c r="V115" s="259">
        <f t="shared" si="14"/>
        <v>113745.201264</v>
      </c>
      <c r="W115" s="267">
        <f t="shared" si="15"/>
        <v>371482.7277121229</v>
      </c>
      <c r="X115" s="578"/>
      <c r="Y115" s="492">
        <f t="shared" ref="Y115:Y124" si="18">Q115/$D$1</f>
        <v>7651.4381999999996</v>
      </c>
      <c r="Z115" s="151"/>
    </row>
    <row r="116" spans="2:26" x14ac:dyDescent="0.35">
      <c r="B116" s="518"/>
      <c r="E116" s="519"/>
      <c r="F116" s="151" t="s">
        <v>224</v>
      </c>
      <c r="G116" s="316" t="s">
        <v>222</v>
      </c>
      <c r="H116" s="317"/>
      <c r="I116" s="318"/>
      <c r="J116" s="316" t="s">
        <v>179</v>
      </c>
      <c r="K116" s="433">
        <v>1</v>
      </c>
      <c r="L116" s="577">
        <v>45.36</v>
      </c>
      <c r="M116" s="379">
        <v>0.90000000000000013</v>
      </c>
      <c r="N116" s="259">
        <v>2</v>
      </c>
      <c r="O116" s="520">
        <f t="shared" si="10"/>
        <v>81.64800000000001</v>
      </c>
      <c r="P116" s="261">
        <v>31290.603750000002</v>
      </c>
      <c r="Q116" s="521">
        <f t="shared" si="11"/>
        <v>2554815.2149800006</v>
      </c>
      <c r="R116" s="259">
        <v>33422.378760000007</v>
      </c>
      <c r="S116" s="496">
        <f t="shared" si="12"/>
        <v>2728870.380996481</v>
      </c>
      <c r="T116" s="259">
        <v>35761.945273200006</v>
      </c>
      <c r="U116" s="517">
        <f t="shared" si="13"/>
        <v>2919891.3076662347</v>
      </c>
      <c r="V116" s="259">
        <f t="shared" si="14"/>
        <v>33491.642594400008</v>
      </c>
      <c r="W116" s="267">
        <f t="shared" si="15"/>
        <v>2734525.6345475721</v>
      </c>
      <c r="X116" s="578"/>
      <c r="Y116" s="492">
        <f t="shared" si="18"/>
        <v>56323.086750000017</v>
      </c>
      <c r="Z116" s="151"/>
    </row>
    <row r="117" spans="2:26" x14ac:dyDescent="0.35">
      <c r="B117" s="518"/>
      <c r="E117" s="519"/>
      <c r="F117" s="151" t="s">
        <v>225</v>
      </c>
      <c r="G117" s="316" t="s">
        <v>222</v>
      </c>
      <c r="H117" s="317"/>
      <c r="I117" s="318"/>
      <c r="J117" s="316" t="s">
        <v>179</v>
      </c>
      <c r="K117" s="433">
        <v>1</v>
      </c>
      <c r="L117" s="577">
        <v>45.36</v>
      </c>
      <c r="M117" s="379">
        <v>0.27</v>
      </c>
      <c r="N117" s="259">
        <v>2</v>
      </c>
      <c r="O117" s="520">
        <f t="shared" si="10"/>
        <v>24.494400000000002</v>
      </c>
      <c r="P117" s="261">
        <v>49592.654999999999</v>
      </c>
      <c r="Q117" s="521">
        <f t="shared" si="11"/>
        <v>1214742.3286320001</v>
      </c>
      <c r="R117" s="259">
        <v>52971.317280000003</v>
      </c>
      <c r="S117" s="496">
        <f t="shared" si="12"/>
        <v>1297500.6339832323</v>
      </c>
      <c r="T117" s="259">
        <v>56679.309489600004</v>
      </c>
      <c r="U117" s="517">
        <f t="shared" si="13"/>
        <v>1388325.6783620585</v>
      </c>
      <c r="V117" s="259">
        <f t="shared" si="14"/>
        <v>53081.093923200002</v>
      </c>
      <c r="W117" s="267">
        <f t="shared" si="15"/>
        <v>1300189.5469924302</v>
      </c>
      <c r="X117" s="578"/>
      <c r="Y117" s="492">
        <f t="shared" si="18"/>
        <v>26780.033700000004</v>
      </c>
      <c r="Z117" s="151"/>
    </row>
    <row r="118" spans="2:26" x14ac:dyDescent="0.35">
      <c r="B118" s="518"/>
      <c r="E118" s="519"/>
      <c r="F118" s="151" t="s">
        <v>226</v>
      </c>
      <c r="G118" s="316" t="s">
        <v>178</v>
      </c>
      <c r="H118" s="317"/>
      <c r="I118" s="318"/>
      <c r="J118" s="316" t="s">
        <v>179</v>
      </c>
      <c r="K118" s="433">
        <v>1</v>
      </c>
      <c r="L118" s="577">
        <v>45.36</v>
      </c>
      <c r="M118" s="379">
        <f>M113</f>
        <v>1.25</v>
      </c>
      <c r="N118" s="259">
        <v>2</v>
      </c>
      <c r="O118" s="520">
        <f t="shared" si="10"/>
        <v>113.4</v>
      </c>
      <c r="P118" s="261">
        <v>4469.4136124999995</v>
      </c>
      <c r="Q118" s="521">
        <f t="shared" si="11"/>
        <v>506831.50365749997</v>
      </c>
      <c r="R118" s="259">
        <v>4490.6400000000003</v>
      </c>
      <c r="S118" s="496">
        <f t="shared" si="12"/>
        <v>509238.57600000006</v>
      </c>
      <c r="T118" s="259">
        <v>4849.8912000000009</v>
      </c>
      <c r="U118" s="517">
        <f t="shared" si="13"/>
        <v>549977.66208000015</v>
      </c>
      <c r="V118" s="259">
        <f t="shared" si="14"/>
        <v>4603.3149375000003</v>
      </c>
      <c r="W118" s="267">
        <f t="shared" si="15"/>
        <v>522015.91391250008</v>
      </c>
      <c r="X118" s="578"/>
      <c r="Y118" s="492">
        <f t="shared" si="18"/>
        <v>11173.534031249999</v>
      </c>
      <c r="Z118" s="151"/>
    </row>
    <row r="119" spans="2:26" x14ac:dyDescent="0.35">
      <c r="B119" s="518"/>
      <c r="E119" s="519"/>
      <c r="F119" s="151" t="s">
        <v>220</v>
      </c>
      <c r="G119" s="316" t="s">
        <v>183</v>
      </c>
      <c r="H119" s="317"/>
      <c r="I119" s="318"/>
      <c r="J119" s="316" t="s">
        <v>179</v>
      </c>
      <c r="K119" s="433">
        <v>1</v>
      </c>
      <c r="L119" s="577">
        <v>45.36</v>
      </c>
      <c r="M119" s="379">
        <f>0.0125*(1/2)</f>
        <v>6.2500000000000003E-3</v>
      </c>
      <c r="N119" s="259">
        <v>2</v>
      </c>
      <c r="O119" s="520">
        <f t="shared" si="10"/>
        <v>0.56700000000000006</v>
      </c>
      <c r="P119" s="261">
        <v>1581858.0973125002</v>
      </c>
      <c r="Q119" s="521">
        <f t="shared" si="11"/>
        <v>896913.54117618769</v>
      </c>
      <c r="R119" s="259">
        <v>1593848.8584</v>
      </c>
      <c r="S119" s="496">
        <f t="shared" si="12"/>
        <v>903712.3027128001</v>
      </c>
      <c r="T119" s="259">
        <v>1721356.7670720001</v>
      </c>
      <c r="U119" s="517">
        <f t="shared" si="13"/>
        <v>976009.28692982416</v>
      </c>
      <c r="V119" s="259">
        <f t="shared" si="14"/>
        <v>1632354.5742615003</v>
      </c>
      <c r="W119" s="267">
        <f t="shared" si="15"/>
        <v>925545.04360627069</v>
      </c>
      <c r="X119" s="578"/>
      <c r="Y119" s="492">
        <f t="shared" si="18"/>
        <v>19773.226216406256</v>
      </c>
      <c r="Z119" s="151"/>
    </row>
    <row r="120" spans="2:26" x14ac:dyDescent="0.35">
      <c r="B120" s="518"/>
      <c r="E120" s="519"/>
      <c r="F120" s="151" t="s">
        <v>227</v>
      </c>
      <c r="G120" s="316" t="s">
        <v>183</v>
      </c>
      <c r="H120" s="317">
        <v>4</v>
      </c>
      <c r="I120" s="318" t="s">
        <v>228</v>
      </c>
      <c r="J120" s="316" t="s">
        <v>179</v>
      </c>
      <c r="K120" s="433">
        <v>1</v>
      </c>
      <c r="L120" s="577">
        <v>45.36</v>
      </c>
      <c r="M120" s="379">
        <f>((M$113*N$113)/240*($H120/N120))</f>
        <v>2.0833333333333332E-2</v>
      </c>
      <c r="N120" s="259">
        <v>2</v>
      </c>
      <c r="O120" s="520">
        <f t="shared" si="10"/>
        <v>1.89</v>
      </c>
      <c r="P120" s="261">
        <v>49592.654999999999</v>
      </c>
      <c r="Q120" s="521">
        <f t="shared" si="11"/>
        <v>93730.11795</v>
      </c>
      <c r="R120" s="259">
        <v>49968.576000000008</v>
      </c>
      <c r="S120" s="496">
        <f t="shared" si="12"/>
        <v>94440.608640000006</v>
      </c>
      <c r="T120" s="259">
        <v>53966.062080000011</v>
      </c>
      <c r="U120" s="517">
        <f t="shared" si="13"/>
        <v>101995.85733120001</v>
      </c>
      <c r="V120" s="259">
        <f t="shared" si="14"/>
        <v>51175.764360000008</v>
      </c>
      <c r="W120" s="267">
        <f t="shared" si="15"/>
        <v>96722.194640400005</v>
      </c>
      <c r="X120" s="647"/>
      <c r="Y120" s="492">
        <f t="shared" si="18"/>
        <v>2066.3606249999998</v>
      </c>
      <c r="Z120" s="151"/>
    </row>
    <row r="121" spans="2:26" x14ac:dyDescent="0.35">
      <c r="B121" s="518"/>
      <c r="E121" s="519"/>
      <c r="F121" s="151" t="s">
        <v>229</v>
      </c>
      <c r="G121" s="316" t="s">
        <v>183</v>
      </c>
      <c r="H121" s="317">
        <v>12</v>
      </c>
      <c r="I121" s="318" t="s">
        <v>228</v>
      </c>
      <c r="J121" s="316" t="s">
        <v>179</v>
      </c>
      <c r="K121" s="433">
        <v>1</v>
      </c>
      <c r="L121" s="577">
        <v>45.36</v>
      </c>
      <c r="M121" s="379">
        <f>((M$113*N$113)/240*($H121/N121))</f>
        <v>6.25E-2</v>
      </c>
      <c r="N121" s="259">
        <v>2</v>
      </c>
      <c r="O121" s="520">
        <f t="shared" si="10"/>
        <v>5.67</v>
      </c>
      <c r="P121" s="261">
        <v>16206.75</v>
      </c>
      <c r="Q121" s="521">
        <f t="shared" si="11"/>
        <v>91892.272499999992</v>
      </c>
      <c r="R121" s="259">
        <v>16329.600000000002</v>
      </c>
      <c r="S121" s="496">
        <f t="shared" si="12"/>
        <v>92588.832000000009</v>
      </c>
      <c r="T121" s="259">
        <v>17635.968000000004</v>
      </c>
      <c r="U121" s="517">
        <f t="shared" si="13"/>
        <v>99995.938560000024</v>
      </c>
      <c r="V121" s="259">
        <f t="shared" si="14"/>
        <v>16724.106000000003</v>
      </c>
      <c r="W121" s="267">
        <f t="shared" si="15"/>
        <v>94825.681020000018</v>
      </c>
      <c r="X121" s="647"/>
      <c r="Y121" s="492">
        <f t="shared" si="18"/>
        <v>2025.8437499999998</v>
      </c>
      <c r="Z121" s="151"/>
    </row>
    <row r="122" spans="2:26" x14ac:dyDescent="0.35">
      <c r="B122" s="518"/>
      <c r="E122" s="519"/>
      <c r="F122" s="151" t="s">
        <v>230</v>
      </c>
      <c r="G122" s="316" t="s">
        <v>183</v>
      </c>
      <c r="H122" s="317">
        <v>1</v>
      </c>
      <c r="I122" s="318" t="s">
        <v>228</v>
      </c>
      <c r="J122" s="316" t="s">
        <v>179</v>
      </c>
      <c r="K122" s="433">
        <v>1</v>
      </c>
      <c r="L122" s="577">
        <v>45.36</v>
      </c>
      <c r="M122" s="379">
        <f>((M$113*N$113)/240*($H122/N122))</f>
        <v>5.208333333333333E-3</v>
      </c>
      <c r="N122" s="259">
        <v>2</v>
      </c>
      <c r="O122" s="520">
        <f t="shared" si="10"/>
        <v>0.47249999999999998</v>
      </c>
      <c r="P122" s="261">
        <v>43393.573125000003</v>
      </c>
      <c r="Q122" s="521">
        <f t="shared" si="11"/>
        <v>20503.4633015625</v>
      </c>
      <c r="R122" s="259">
        <v>43722.504000000008</v>
      </c>
      <c r="S122" s="496">
        <f t="shared" si="12"/>
        <v>20658.883140000002</v>
      </c>
      <c r="T122" s="259">
        <v>47220.30432000001</v>
      </c>
      <c r="U122" s="517">
        <f t="shared" si="13"/>
        <v>22311.593791200004</v>
      </c>
      <c r="V122" s="259">
        <f t="shared" si="14"/>
        <v>44778.793815000012</v>
      </c>
      <c r="W122" s="267">
        <f t="shared" si="15"/>
        <v>21157.980077587505</v>
      </c>
      <c r="X122" s="647"/>
      <c r="Y122" s="492">
        <f t="shared" si="18"/>
        <v>452.01638671875003</v>
      </c>
      <c r="Z122" s="151"/>
    </row>
    <row r="123" spans="2:26" x14ac:dyDescent="0.35">
      <c r="B123" s="518"/>
      <c r="E123" s="519"/>
      <c r="F123" s="151" t="s">
        <v>231</v>
      </c>
      <c r="G123" s="316" t="s">
        <v>183</v>
      </c>
      <c r="H123" s="317">
        <v>2</v>
      </c>
      <c r="I123" s="318" t="s">
        <v>228</v>
      </c>
      <c r="J123" s="316" t="s">
        <v>179</v>
      </c>
      <c r="K123" s="433">
        <v>1</v>
      </c>
      <c r="L123" s="577">
        <v>45.36</v>
      </c>
      <c r="M123" s="379">
        <f>((M$113*N$113)/240*($H123/N123))</f>
        <v>1.0416666666666666E-2</v>
      </c>
      <c r="N123" s="259">
        <v>2</v>
      </c>
      <c r="O123" s="520">
        <f t="shared" si="10"/>
        <v>0.94499999999999995</v>
      </c>
      <c r="P123" s="261">
        <v>37194.491250000006</v>
      </c>
      <c r="Q123" s="521">
        <f t="shared" si="11"/>
        <v>35148.794231250002</v>
      </c>
      <c r="R123" s="259">
        <v>37476.432000000001</v>
      </c>
      <c r="S123" s="496">
        <f t="shared" si="12"/>
        <v>35415.228239999997</v>
      </c>
      <c r="T123" s="259">
        <v>40474.546560000003</v>
      </c>
      <c r="U123" s="517">
        <f t="shared" si="13"/>
        <v>38248.446499199999</v>
      </c>
      <c r="V123" s="259">
        <f t="shared" si="14"/>
        <v>38381.823270000001</v>
      </c>
      <c r="W123" s="267">
        <f t="shared" si="15"/>
        <v>36270.822990150002</v>
      </c>
      <c r="X123" s="647"/>
      <c r="Y123" s="492">
        <f t="shared" si="18"/>
        <v>774.8852343750001</v>
      </c>
      <c r="Z123" s="151"/>
    </row>
    <row r="124" spans="2:26" x14ac:dyDescent="0.35">
      <c r="B124" s="518"/>
      <c r="E124" s="519"/>
      <c r="F124" s="151" t="s">
        <v>232</v>
      </c>
      <c r="G124" s="316" t="s">
        <v>183</v>
      </c>
      <c r="H124" s="317">
        <v>1</v>
      </c>
      <c r="I124" s="318" t="s">
        <v>228</v>
      </c>
      <c r="J124" s="316" t="s">
        <v>179</v>
      </c>
      <c r="K124" s="433">
        <v>1</v>
      </c>
      <c r="L124" s="577">
        <v>45.36</v>
      </c>
      <c r="M124" s="379">
        <f>((M$113*N$113)/240*($H124/N124))</f>
        <v>5.208333333333333E-3</v>
      </c>
      <c r="N124" s="259">
        <v>2</v>
      </c>
      <c r="O124" s="520">
        <f t="shared" si="10"/>
        <v>0.47249999999999998</v>
      </c>
      <c r="P124" s="261">
        <v>99185.31</v>
      </c>
      <c r="Q124" s="521">
        <f t="shared" si="11"/>
        <v>46865.058975</v>
      </c>
      <c r="R124" s="259">
        <v>99937.152000000016</v>
      </c>
      <c r="S124" s="496">
        <f t="shared" si="12"/>
        <v>47220.304320000003</v>
      </c>
      <c r="T124" s="259">
        <v>107932.12416000002</v>
      </c>
      <c r="U124" s="517">
        <f t="shared" si="13"/>
        <v>50997.928665600004</v>
      </c>
      <c r="V124" s="259">
        <f t="shared" si="14"/>
        <v>102351.52872000002</v>
      </c>
      <c r="W124" s="267">
        <f t="shared" si="15"/>
        <v>48361.097320200002</v>
      </c>
      <c r="X124" s="647"/>
      <c r="Y124" s="492">
        <f t="shared" si="18"/>
        <v>1033.1803124999999</v>
      </c>
      <c r="Z124" s="151"/>
    </row>
    <row r="125" spans="2:26" ht="29.25" customHeight="1" x14ac:dyDescent="0.35">
      <c r="B125" s="606" t="s">
        <v>475</v>
      </c>
      <c r="C125" s="716"/>
      <c r="D125" s="716"/>
      <c r="E125" s="717"/>
      <c r="F125" s="609"/>
      <c r="G125" s="610"/>
      <c r="H125" s="611"/>
      <c r="I125" s="612"/>
      <c r="J125" s="610"/>
      <c r="K125" s="613"/>
      <c r="L125" s="614"/>
      <c r="M125" s="615"/>
      <c r="N125" s="616"/>
      <c r="O125" s="611"/>
      <c r="P125" s="617"/>
      <c r="Q125" s="618">
        <f>SUM(Q113:Q124)</f>
        <v>24987015.630555302</v>
      </c>
      <c r="R125" s="617"/>
      <c r="S125" s="718">
        <f>SUM(S114:S124)</f>
        <v>6100360.2168848664</v>
      </c>
      <c r="T125" s="605"/>
      <c r="U125" s="605"/>
      <c r="V125" s="605"/>
      <c r="W125" s="605"/>
      <c r="X125" s="611"/>
      <c r="Y125" s="645">
        <f>Q125/$D$1</f>
        <v>550860.13294875005</v>
      </c>
      <c r="Z125" s="645">
        <f>Q125/$Q$426*100</f>
        <v>4.2338442000907826</v>
      </c>
    </row>
    <row r="126" spans="2:26" x14ac:dyDescent="0.35">
      <c r="B126" s="719"/>
      <c r="C126" s="720" t="s">
        <v>75</v>
      </c>
      <c r="D126" s="720"/>
      <c r="E126" s="721"/>
      <c r="F126" s="151" t="s">
        <v>177</v>
      </c>
      <c r="G126" s="316" t="s">
        <v>178</v>
      </c>
      <c r="H126" s="317"/>
      <c r="I126" s="318"/>
      <c r="J126" s="316"/>
      <c r="K126" s="502"/>
      <c r="L126" s="577"/>
      <c r="M126" s="379">
        <v>1.5</v>
      </c>
      <c r="N126" s="380">
        <v>3</v>
      </c>
      <c r="O126" s="578"/>
      <c r="P126" s="603"/>
      <c r="Q126" s="604"/>
      <c r="R126" s="603"/>
      <c r="S126" s="603"/>
      <c r="T126" s="605"/>
      <c r="U126" s="605"/>
      <c r="V126" s="605"/>
      <c r="W126" s="605"/>
      <c r="X126" s="578"/>
      <c r="Y126" s="151"/>
      <c r="Z126" s="151"/>
    </row>
    <row r="127" spans="2:26" x14ac:dyDescent="0.35">
      <c r="B127" s="722"/>
      <c r="C127" s="723" t="s">
        <v>476</v>
      </c>
      <c r="D127" s="723"/>
      <c r="E127" s="724"/>
      <c r="F127" s="151" t="s">
        <v>474</v>
      </c>
      <c r="G127" s="316" t="s">
        <v>222</v>
      </c>
      <c r="H127" s="317"/>
      <c r="I127" s="318"/>
      <c r="J127" s="316"/>
      <c r="K127" s="502"/>
      <c r="L127" s="577"/>
      <c r="M127" s="379">
        <v>0.36</v>
      </c>
      <c r="N127" s="380">
        <v>3</v>
      </c>
      <c r="O127" s="578"/>
      <c r="P127" s="603"/>
      <c r="Q127" s="604"/>
      <c r="R127" s="603"/>
      <c r="S127" s="603"/>
      <c r="T127" s="605"/>
      <c r="U127" s="605"/>
      <c r="V127" s="605"/>
      <c r="W127" s="605"/>
      <c r="X127" s="578"/>
      <c r="Y127" s="151"/>
      <c r="Z127" s="151"/>
    </row>
    <row r="128" spans="2:26" x14ac:dyDescent="0.35">
      <c r="B128" s="725"/>
      <c r="C128" s="726"/>
      <c r="D128" s="726"/>
      <c r="E128" s="727"/>
      <c r="F128" s="151" t="s">
        <v>223</v>
      </c>
      <c r="G128" s="316" t="s">
        <v>181</v>
      </c>
      <c r="H128" s="317"/>
      <c r="I128" s="318"/>
      <c r="J128" s="316"/>
      <c r="K128" s="502"/>
      <c r="L128" s="577"/>
      <c r="M128" s="379">
        <f>36/1000</f>
        <v>3.5999999999999997E-2</v>
      </c>
      <c r="N128" s="380">
        <v>3</v>
      </c>
      <c r="O128" s="578"/>
      <c r="P128" s="603"/>
      <c r="Q128" s="604"/>
      <c r="R128" s="603"/>
      <c r="S128" s="603"/>
      <c r="T128" s="605"/>
      <c r="U128" s="605"/>
      <c r="V128" s="605"/>
      <c r="W128" s="605"/>
      <c r="X128" s="578"/>
      <c r="Y128" s="151"/>
      <c r="Z128" s="151"/>
    </row>
    <row r="129" spans="2:26" x14ac:dyDescent="0.35">
      <c r="B129" s="725"/>
      <c r="C129" s="726"/>
      <c r="D129" s="726"/>
      <c r="E129" s="727"/>
      <c r="F129" s="151" t="s">
        <v>224</v>
      </c>
      <c r="G129" s="316" t="s">
        <v>222</v>
      </c>
      <c r="H129" s="317"/>
      <c r="I129" s="318"/>
      <c r="J129" s="316"/>
      <c r="K129" s="502"/>
      <c r="L129" s="577"/>
      <c r="M129" s="258">
        <v>0.90000000000000013</v>
      </c>
      <c r="N129" s="259">
        <v>3</v>
      </c>
      <c r="O129" s="317"/>
      <c r="P129" s="496"/>
      <c r="Q129" s="521"/>
      <c r="R129" s="496"/>
      <c r="S129" s="496"/>
      <c r="T129" s="517"/>
      <c r="U129" s="517"/>
      <c r="V129" s="517"/>
      <c r="W129" s="517"/>
      <c r="X129" s="578"/>
      <c r="Y129" s="151"/>
      <c r="Z129" s="151"/>
    </row>
    <row r="130" spans="2:26" x14ac:dyDescent="0.35">
      <c r="B130" s="725"/>
      <c r="C130" s="726"/>
      <c r="D130" s="726"/>
      <c r="E130" s="727"/>
      <c r="F130" s="151" t="s">
        <v>225</v>
      </c>
      <c r="G130" s="316" t="s">
        <v>222</v>
      </c>
      <c r="H130" s="317"/>
      <c r="I130" s="318"/>
      <c r="J130" s="316"/>
      <c r="K130" s="502"/>
      <c r="L130" s="577"/>
      <c r="M130" s="258">
        <v>0.27</v>
      </c>
      <c r="N130" s="259">
        <v>3</v>
      </c>
      <c r="O130" s="317"/>
      <c r="P130" s="496"/>
      <c r="Q130" s="521"/>
      <c r="R130" s="496"/>
      <c r="S130" s="496"/>
      <c r="T130" s="517"/>
      <c r="U130" s="517"/>
      <c r="V130" s="517"/>
      <c r="W130" s="517"/>
      <c r="X130" s="578"/>
      <c r="Y130" s="151"/>
      <c r="Z130" s="151"/>
    </row>
    <row r="131" spans="2:26" x14ac:dyDescent="0.35">
      <c r="B131" s="725"/>
      <c r="C131" s="726"/>
      <c r="D131" s="726"/>
      <c r="E131" s="727"/>
      <c r="F131" s="151" t="s">
        <v>226</v>
      </c>
      <c r="G131" s="316" t="s">
        <v>178</v>
      </c>
      <c r="H131" s="317"/>
      <c r="I131" s="318"/>
      <c r="J131" s="316"/>
      <c r="K131" s="502"/>
      <c r="L131" s="577"/>
      <c r="M131" s="728">
        <v>1.5</v>
      </c>
      <c r="N131" s="259">
        <v>3</v>
      </c>
      <c r="O131" s="317"/>
      <c r="P131" s="496"/>
      <c r="Q131" s="521"/>
      <c r="R131" s="496"/>
      <c r="S131" s="496"/>
      <c r="T131" s="517"/>
      <c r="U131" s="517"/>
      <c r="V131" s="517"/>
      <c r="W131" s="517"/>
      <c r="X131" s="578"/>
      <c r="Y131" s="151"/>
      <c r="Z131" s="151"/>
    </row>
    <row r="132" spans="2:26" x14ac:dyDescent="0.35">
      <c r="B132" s="725"/>
      <c r="C132" s="726"/>
      <c r="D132" s="726"/>
      <c r="E132" s="727"/>
      <c r="F132" s="151" t="s">
        <v>477</v>
      </c>
      <c r="G132" s="316" t="s">
        <v>183</v>
      </c>
      <c r="H132" s="317"/>
      <c r="I132" s="318"/>
      <c r="J132" s="316"/>
      <c r="K132" s="502"/>
      <c r="L132" s="577"/>
      <c r="M132" s="728">
        <f>0.0188*(1/3)</f>
        <v>6.2666666666666669E-3</v>
      </c>
      <c r="N132" s="259">
        <v>3</v>
      </c>
      <c r="O132" s="317"/>
      <c r="P132" s="496"/>
      <c r="Q132" s="521"/>
      <c r="R132" s="496"/>
      <c r="S132" s="496"/>
      <c r="T132" s="517"/>
      <c r="U132" s="517"/>
      <c r="V132" s="517"/>
      <c r="W132" s="517"/>
      <c r="X132" s="578"/>
      <c r="Y132" s="151"/>
      <c r="Z132" s="151"/>
    </row>
    <row r="133" spans="2:26" x14ac:dyDescent="0.35">
      <c r="B133" s="725"/>
      <c r="C133" s="726"/>
      <c r="D133" s="726"/>
      <c r="E133" s="727"/>
      <c r="F133" s="151" t="s">
        <v>227</v>
      </c>
      <c r="G133" s="316" t="s">
        <v>183</v>
      </c>
      <c r="H133" s="317">
        <v>4</v>
      </c>
      <c r="I133" s="318" t="s">
        <v>228</v>
      </c>
      <c r="J133" s="316"/>
      <c r="K133" s="502"/>
      <c r="L133" s="577"/>
      <c r="M133" s="728">
        <f>((M$126*N$126)/240*($H133/N133))</f>
        <v>2.4999999999999998E-2</v>
      </c>
      <c r="N133" s="259">
        <v>3</v>
      </c>
      <c r="O133" s="317"/>
      <c r="P133" s="496"/>
      <c r="Q133" s="521"/>
      <c r="R133" s="496"/>
      <c r="S133" s="496"/>
      <c r="T133" s="517"/>
      <c r="U133" s="517"/>
      <c r="V133" s="517"/>
      <c r="W133" s="517"/>
      <c r="X133" s="578"/>
      <c r="Y133" s="151"/>
      <c r="Z133" s="151"/>
    </row>
    <row r="134" spans="2:26" x14ac:dyDescent="0.35">
      <c r="B134" s="725"/>
      <c r="C134" s="726"/>
      <c r="D134" s="726"/>
      <c r="E134" s="727"/>
      <c r="F134" s="151" t="s">
        <v>229</v>
      </c>
      <c r="G134" s="316" t="s">
        <v>183</v>
      </c>
      <c r="H134" s="317">
        <v>12</v>
      </c>
      <c r="I134" s="318" t="s">
        <v>228</v>
      </c>
      <c r="J134" s="316"/>
      <c r="K134" s="502"/>
      <c r="L134" s="577"/>
      <c r="M134" s="728">
        <f>((M$126*N$126)/240*($H134/N134))</f>
        <v>7.4999999999999997E-2</v>
      </c>
      <c r="N134" s="259">
        <v>3</v>
      </c>
      <c r="O134" s="317"/>
      <c r="P134" s="496"/>
      <c r="Q134" s="521"/>
      <c r="R134" s="496"/>
      <c r="S134" s="496"/>
      <c r="T134" s="517"/>
      <c r="U134" s="517"/>
      <c r="V134" s="517"/>
      <c r="W134" s="517"/>
      <c r="X134" s="578"/>
      <c r="Y134" s="151"/>
      <c r="Z134" s="151"/>
    </row>
    <row r="135" spans="2:26" x14ac:dyDescent="0.35">
      <c r="B135" s="725"/>
      <c r="C135" s="726"/>
      <c r="D135" s="726"/>
      <c r="E135" s="727"/>
      <c r="F135" s="151" t="s">
        <v>230</v>
      </c>
      <c r="G135" s="316" t="s">
        <v>183</v>
      </c>
      <c r="H135" s="317">
        <v>1</v>
      </c>
      <c r="I135" s="318" t="s">
        <v>228</v>
      </c>
      <c r="J135" s="316"/>
      <c r="K135" s="502"/>
      <c r="L135" s="577"/>
      <c r="M135" s="728">
        <f>((M$126*N$126)/240*($H135/N135))</f>
        <v>6.2499999999999995E-3</v>
      </c>
      <c r="N135" s="259">
        <v>3</v>
      </c>
      <c r="O135" s="317"/>
      <c r="P135" s="496"/>
      <c r="Q135" s="521"/>
      <c r="R135" s="496"/>
      <c r="S135" s="496"/>
      <c r="T135" s="517"/>
      <c r="U135" s="517"/>
      <c r="V135" s="517"/>
      <c r="W135" s="517"/>
      <c r="X135" s="578"/>
      <c r="Y135" s="151"/>
      <c r="Z135" s="151"/>
    </row>
    <row r="136" spans="2:26" x14ac:dyDescent="0.35">
      <c r="B136" s="725"/>
      <c r="C136" s="726"/>
      <c r="D136" s="726"/>
      <c r="E136" s="727"/>
      <c r="F136" s="151" t="s">
        <v>231</v>
      </c>
      <c r="G136" s="316" t="s">
        <v>183</v>
      </c>
      <c r="H136" s="317">
        <v>2</v>
      </c>
      <c r="I136" s="318" t="s">
        <v>228</v>
      </c>
      <c r="J136" s="316"/>
      <c r="K136" s="502"/>
      <c r="L136" s="577"/>
      <c r="M136" s="728">
        <f>((M$126*N$126)/240*($H136/N136))</f>
        <v>1.2499999999999999E-2</v>
      </c>
      <c r="N136" s="259">
        <v>3</v>
      </c>
      <c r="O136" s="317"/>
      <c r="P136" s="496"/>
      <c r="Q136" s="521"/>
      <c r="R136" s="496"/>
      <c r="S136" s="496"/>
      <c r="T136" s="517"/>
      <c r="U136" s="517"/>
      <c r="V136" s="517"/>
      <c r="W136" s="517"/>
      <c r="X136" s="578"/>
      <c r="Y136" s="151"/>
      <c r="Z136" s="151"/>
    </row>
    <row r="137" spans="2:26" x14ac:dyDescent="0.35">
      <c r="B137" s="725"/>
      <c r="C137" s="726"/>
      <c r="D137" s="726"/>
      <c r="E137" s="727"/>
      <c r="F137" s="151" t="s">
        <v>232</v>
      </c>
      <c r="G137" s="316" t="s">
        <v>183</v>
      </c>
      <c r="H137" s="317">
        <v>1</v>
      </c>
      <c r="I137" s="318" t="s">
        <v>228</v>
      </c>
      <c r="J137" s="316"/>
      <c r="K137" s="502"/>
      <c r="L137" s="577"/>
      <c r="M137" s="728">
        <f>((M$126*N$126)/240*($H137/N137))</f>
        <v>6.2499999999999995E-3</v>
      </c>
      <c r="N137" s="259">
        <v>3</v>
      </c>
      <c r="O137" s="317"/>
      <c r="P137" s="496"/>
      <c r="Q137" s="521"/>
      <c r="R137" s="496"/>
      <c r="S137" s="496"/>
      <c r="T137" s="517"/>
      <c r="U137" s="517"/>
      <c r="V137" s="517"/>
      <c r="W137" s="517"/>
      <c r="X137" s="578"/>
      <c r="Y137" s="151"/>
      <c r="Z137" s="151"/>
    </row>
    <row r="138" spans="2:26" x14ac:dyDescent="0.35">
      <c r="B138" s="725"/>
      <c r="C138" s="726"/>
      <c r="D138" s="726"/>
      <c r="E138" s="727"/>
      <c r="F138" s="151"/>
      <c r="G138" s="316"/>
      <c r="H138" s="317"/>
      <c r="I138" s="318"/>
      <c r="J138" s="316"/>
      <c r="K138" s="502"/>
      <c r="L138" s="577"/>
      <c r="M138" s="258"/>
      <c r="N138" s="259"/>
      <c r="O138" s="317"/>
      <c r="P138" s="496"/>
      <c r="Q138" s="521"/>
      <c r="R138" s="496"/>
      <c r="S138" s="496"/>
      <c r="T138" s="517"/>
      <c r="U138" s="517"/>
      <c r="V138" s="517"/>
      <c r="W138" s="517"/>
      <c r="X138" s="578"/>
      <c r="Y138" s="151"/>
      <c r="Z138" s="151"/>
    </row>
    <row r="139" spans="2:26" s="173" customFormat="1" x14ac:dyDescent="0.35">
      <c r="B139" s="578"/>
      <c r="C139" s="601" t="s">
        <v>478</v>
      </c>
      <c r="D139" s="601"/>
      <c r="E139" s="642"/>
      <c r="F139" s="381"/>
      <c r="G139" s="600"/>
      <c r="H139" s="578"/>
      <c r="I139" s="601"/>
      <c r="J139" s="600"/>
      <c r="K139" s="575"/>
      <c r="L139" s="621"/>
      <c r="M139" s="379"/>
      <c r="N139" s="380"/>
      <c r="O139" s="578"/>
      <c r="P139" s="603"/>
      <c r="Q139" s="604"/>
      <c r="R139" s="603"/>
      <c r="S139" s="603"/>
      <c r="T139" s="605"/>
      <c r="U139" s="605"/>
      <c r="V139" s="605"/>
      <c r="W139" s="605"/>
      <c r="X139" s="578"/>
      <c r="Y139" s="381"/>
      <c r="Z139" s="381"/>
    </row>
    <row r="140" spans="2:26" x14ac:dyDescent="0.35">
      <c r="B140" s="504"/>
      <c r="C140" s="172"/>
      <c r="D140" s="172" t="s">
        <v>479</v>
      </c>
      <c r="E140" s="506"/>
      <c r="F140" s="151" t="s">
        <v>177</v>
      </c>
      <c r="G140" s="316" t="s">
        <v>178</v>
      </c>
      <c r="H140" s="317"/>
      <c r="I140" s="318"/>
      <c r="J140" s="316"/>
      <c r="K140" s="502"/>
      <c r="L140" s="577"/>
      <c r="M140" s="258">
        <v>4</v>
      </c>
      <c r="N140" s="259">
        <v>1</v>
      </c>
      <c r="O140" s="317"/>
      <c r="P140" s="496"/>
      <c r="Q140" s="521"/>
      <c r="R140" s="496"/>
      <c r="S140" s="496"/>
      <c r="T140" s="517"/>
      <c r="U140" s="517"/>
      <c r="V140" s="517"/>
      <c r="W140" s="517"/>
      <c r="X140" s="578"/>
      <c r="Y140" s="151"/>
      <c r="Z140" s="151"/>
    </row>
    <row r="141" spans="2:26" x14ac:dyDescent="0.35">
      <c r="B141" s="518"/>
      <c r="E141" s="519"/>
      <c r="F141" s="151" t="s">
        <v>221</v>
      </c>
      <c r="G141" s="316" t="s">
        <v>222</v>
      </c>
      <c r="H141" s="317"/>
      <c r="I141" s="318"/>
      <c r="J141" s="316"/>
      <c r="K141" s="502"/>
      <c r="L141" s="577"/>
      <c r="M141" s="258">
        <v>4</v>
      </c>
      <c r="N141" s="259">
        <v>1</v>
      </c>
      <c r="O141" s="317"/>
      <c r="P141" s="496"/>
      <c r="Q141" s="521"/>
      <c r="R141" s="496"/>
      <c r="S141" s="496"/>
      <c r="T141" s="517"/>
      <c r="U141" s="517"/>
      <c r="V141" s="517"/>
      <c r="W141" s="517"/>
      <c r="X141" s="578"/>
      <c r="Y141" s="151"/>
      <c r="Z141" s="151"/>
    </row>
    <row r="142" spans="2:26" x14ac:dyDescent="0.35">
      <c r="B142" s="518"/>
      <c r="E142" s="519"/>
      <c r="F142" s="151" t="s">
        <v>225</v>
      </c>
      <c r="G142" s="316" t="s">
        <v>222</v>
      </c>
      <c r="H142" s="317"/>
      <c r="I142" s="318"/>
      <c r="J142" s="316"/>
      <c r="K142" s="502"/>
      <c r="L142" s="577"/>
      <c r="M142" s="379">
        <v>7.2000000000000008E-2</v>
      </c>
      <c r="N142" s="259">
        <v>1</v>
      </c>
      <c r="O142" s="317"/>
      <c r="P142" s="496"/>
      <c r="Q142" s="521"/>
      <c r="R142" s="496"/>
      <c r="S142" s="496"/>
      <c r="T142" s="517"/>
      <c r="U142" s="517"/>
      <c r="V142" s="517"/>
      <c r="W142" s="517"/>
      <c r="X142" s="578"/>
      <c r="Y142" s="151"/>
      <c r="Z142" s="151"/>
    </row>
    <row r="143" spans="2:26" x14ac:dyDescent="0.35">
      <c r="B143" s="518"/>
      <c r="E143" s="519"/>
      <c r="F143" s="151" t="s">
        <v>226</v>
      </c>
      <c r="G143" s="316" t="s">
        <v>178</v>
      </c>
      <c r="H143" s="317"/>
      <c r="I143" s="318"/>
      <c r="J143" s="316"/>
      <c r="K143" s="502"/>
      <c r="L143" s="577"/>
      <c r="M143" s="379">
        <v>4</v>
      </c>
      <c r="N143" s="259">
        <v>1</v>
      </c>
      <c r="O143" s="317"/>
      <c r="P143" s="496"/>
      <c r="Q143" s="521"/>
      <c r="R143" s="496"/>
      <c r="S143" s="496"/>
      <c r="T143" s="517"/>
      <c r="U143" s="517"/>
      <c r="V143" s="517"/>
      <c r="W143" s="517"/>
      <c r="X143" s="578"/>
      <c r="Y143" s="151"/>
      <c r="Z143" s="151"/>
    </row>
    <row r="144" spans="2:26" x14ac:dyDescent="0.35">
      <c r="B144" s="518"/>
      <c r="E144" s="519"/>
      <c r="F144" s="151" t="s">
        <v>220</v>
      </c>
      <c r="G144" s="316" t="s">
        <v>183</v>
      </c>
      <c r="H144" s="317"/>
      <c r="I144" s="318"/>
      <c r="J144" s="316"/>
      <c r="K144" s="502"/>
      <c r="L144" s="577"/>
      <c r="M144" s="379">
        <f>((4*1)/240)</f>
        <v>1.6666666666666666E-2</v>
      </c>
      <c r="N144" s="259">
        <v>1</v>
      </c>
      <c r="O144" s="317"/>
      <c r="P144" s="496"/>
      <c r="Q144" s="521"/>
      <c r="R144" s="496"/>
      <c r="S144" s="496"/>
      <c r="T144" s="517"/>
      <c r="U144" s="517"/>
      <c r="V144" s="517"/>
      <c r="W144" s="517"/>
      <c r="X144" s="578"/>
      <c r="Y144" s="151"/>
      <c r="Z144" s="151"/>
    </row>
    <row r="145" spans="2:26" x14ac:dyDescent="0.35">
      <c r="B145" s="518"/>
      <c r="E145" s="519"/>
      <c r="F145" s="151" t="s">
        <v>227</v>
      </c>
      <c r="G145" s="316" t="s">
        <v>183</v>
      </c>
      <c r="H145" s="317">
        <v>4</v>
      </c>
      <c r="I145" s="318" t="s">
        <v>228</v>
      </c>
      <c r="J145" s="316"/>
      <c r="K145" s="502"/>
      <c r="L145" s="577"/>
      <c r="M145" s="379">
        <f>((M$140*N$140)/240*($H145/N145))</f>
        <v>6.6666666666666666E-2</v>
      </c>
      <c r="N145" s="259">
        <v>1</v>
      </c>
      <c r="O145" s="317"/>
      <c r="P145" s="496"/>
      <c r="Q145" s="521"/>
      <c r="R145" s="496"/>
      <c r="S145" s="496"/>
      <c r="T145" s="517"/>
      <c r="U145" s="517"/>
      <c r="V145" s="517"/>
      <c r="W145" s="517"/>
      <c r="X145" s="578"/>
      <c r="Y145" s="151"/>
      <c r="Z145" s="151"/>
    </row>
    <row r="146" spans="2:26" x14ac:dyDescent="0.35">
      <c r="B146" s="518"/>
      <c r="E146" s="519"/>
      <c r="F146" s="151" t="s">
        <v>229</v>
      </c>
      <c r="G146" s="316" t="s">
        <v>183</v>
      </c>
      <c r="H146" s="317">
        <v>12</v>
      </c>
      <c r="I146" s="318" t="s">
        <v>228</v>
      </c>
      <c r="J146" s="316"/>
      <c r="K146" s="502"/>
      <c r="L146" s="577"/>
      <c r="M146" s="379">
        <f>((M$140*N$140)/240*($H146/N146))</f>
        <v>0.2</v>
      </c>
      <c r="N146" s="259">
        <v>1</v>
      </c>
      <c r="O146" s="317"/>
      <c r="P146" s="496"/>
      <c r="Q146" s="521"/>
      <c r="R146" s="496"/>
      <c r="S146" s="496"/>
      <c r="T146" s="517"/>
      <c r="U146" s="517"/>
      <c r="V146" s="517"/>
      <c r="W146" s="517"/>
      <c r="X146" s="578"/>
      <c r="Y146" s="151"/>
      <c r="Z146" s="151"/>
    </row>
    <row r="147" spans="2:26" x14ac:dyDescent="0.35">
      <c r="B147" s="518"/>
      <c r="E147" s="519"/>
      <c r="F147" s="151" t="s">
        <v>230</v>
      </c>
      <c r="G147" s="316" t="s">
        <v>183</v>
      </c>
      <c r="H147" s="317">
        <v>1</v>
      </c>
      <c r="I147" s="318" t="s">
        <v>228</v>
      </c>
      <c r="J147" s="316"/>
      <c r="K147" s="502"/>
      <c r="L147" s="577"/>
      <c r="M147" s="379">
        <f>((M$140*N$140)/240*($H147/N147))</f>
        <v>1.6666666666666666E-2</v>
      </c>
      <c r="N147" s="259">
        <v>1</v>
      </c>
      <c r="O147" s="317"/>
      <c r="P147" s="496"/>
      <c r="Q147" s="521"/>
      <c r="R147" s="496"/>
      <c r="S147" s="496"/>
      <c r="T147" s="517"/>
      <c r="U147" s="517"/>
      <c r="V147" s="517"/>
      <c r="W147" s="517"/>
      <c r="X147" s="578"/>
      <c r="Y147" s="151"/>
      <c r="Z147" s="151"/>
    </row>
    <row r="148" spans="2:26" x14ac:dyDescent="0.35">
      <c r="B148" s="518"/>
      <c r="E148" s="519"/>
      <c r="F148" s="151" t="s">
        <v>231</v>
      </c>
      <c r="G148" s="316" t="s">
        <v>183</v>
      </c>
      <c r="H148" s="317">
        <v>2</v>
      </c>
      <c r="I148" s="318" t="s">
        <v>228</v>
      </c>
      <c r="J148" s="316"/>
      <c r="K148" s="502"/>
      <c r="L148" s="577"/>
      <c r="M148" s="379">
        <f>((M$140*N$140)/240*($H148/N148))</f>
        <v>3.3333333333333333E-2</v>
      </c>
      <c r="N148" s="259">
        <v>1</v>
      </c>
      <c r="O148" s="317"/>
      <c r="P148" s="496"/>
      <c r="Q148" s="521"/>
      <c r="R148" s="496"/>
      <c r="S148" s="496"/>
      <c r="T148" s="517"/>
      <c r="U148" s="517"/>
      <c r="V148" s="517"/>
      <c r="W148" s="517"/>
      <c r="X148" s="578"/>
      <c r="Y148" s="151"/>
      <c r="Z148" s="151"/>
    </row>
    <row r="149" spans="2:26" x14ac:dyDescent="0.35">
      <c r="B149" s="518"/>
      <c r="E149" s="519"/>
      <c r="F149" s="151" t="s">
        <v>232</v>
      </c>
      <c r="G149" s="316" t="s">
        <v>183</v>
      </c>
      <c r="H149" s="317">
        <v>1</v>
      </c>
      <c r="I149" s="318" t="s">
        <v>228</v>
      </c>
      <c r="J149" s="316"/>
      <c r="K149" s="502"/>
      <c r="L149" s="577"/>
      <c r="M149" s="379">
        <f>((M$140*N$140)/240*($H149/N149))</f>
        <v>1.6666666666666666E-2</v>
      </c>
      <c r="N149" s="259">
        <v>1</v>
      </c>
      <c r="O149" s="317"/>
      <c r="P149" s="496"/>
      <c r="Q149" s="521"/>
      <c r="R149" s="496"/>
      <c r="S149" s="496"/>
      <c r="T149" s="517"/>
      <c r="U149" s="517"/>
      <c r="V149" s="517"/>
      <c r="W149" s="517"/>
      <c r="X149" s="578"/>
      <c r="Y149" s="151"/>
      <c r="Z149" s="151"/>
    </row>
    <row r="150" spans="2:26" x14ac:dyDescent="0.35">
      <c r="B150" s="518"/>
      <c r="D150" s="172" t="s">
        <v>79</v>
      </c>
      <c r="E150" s="506"/>
      <c r="F150" s="151" t="s">
        <v>177</v>
      </c>
      <c r="G150" s="316" t="s">
        <v>178</v>
      </c>
      <c r="H150" s="317"/>
      <c r="I150" s="318"/>
      <c r="J150" s="316" t="s">
        <v>179</v>
      </c>
      <c r="K150" s="433">
        <v>0.2</v>
      </c>
      <c r="L150" s="577">
        <v>45.36</v>
      </c>
      <c r="M150" s="379">
        <v>1.5</v>
      </c>
      <c r="N150" s="259">
        <v>2</v>
      </c>
      <c r="O150" s="520">
        <f t="shared" ref="O150:O168" si="19">K150*L150*M150*N150</f>
        <v>27.216000000000001</v>
      </c>
      <c r="P150" s="261">
        <v>169122.61109699999</v>
      </c>
      <c r="Q150" s="521">
        <f t="shared" ref="Q150:Q168" si="20">P150*$O150</f>
        <v>4602840.9836159516</v>
      </c>
      <c r="R150" s="259">
        <v>163305.33120000002</v>
      </c>
      <c r="S150" s="496">
        <f t="shared" ref="S150:S168" si="21">R150*$O150</f>
        <v>4444517.8939392008</v>
      </c>
      <c r="T150" s="259">
        <v>179635.86432000002</v>
      </c>
      <c r="U150" s="517">
        <f t="shared" ref="U150:U168" si="22">$O150*T150</f>
        <v>4888969.6833331212</v>
      </c>
      <c r="V150" s="259">
        <f t="shared" ref="V150:V168" si="23">W150/O150</f>
        <v>170687.935539</v>
      </c>
      <c r="W150" s="267">
        <f t="shared" ref="W150:W168" si="24">AVERAGEIF($P$3:$U$3,W$3,$P150:$U150)</f>
        <v>4645442.8536294242</v>
      </c>
      <c r="X150" s="578"/>
      <c r="Y150" s="492">
        <f t="shared" ref="Y150:Y168" si="25">Q150/$D$1</f>
        <v>101473.5666582</v>
      </c>
      <c r="Z150" s="151"/>
    </row>
    <row r="151" spans="2:26" x14ac:dyDescent="0.35">
      <c r="B151" s="518"/>
      <c r="E151" s="519"/>
      <c r="F151" s="151" t="s">
        <v>221</v>
      </c>
      <c r="G151" s="316" t="s">
        <v>222</v>
      </c>
      <c r="H151" s="317"/>
      <c r="I151" s="318"/>
      <c r="J151" s="316" t="s">
        <v>179</v>
      </c>
      <c r="K151" s="433">
        <v>0.2</v>
      </c>
      <c r="L151" s="577">
        <v>45.36</v>
      </c>
      <c r="M151" s="379">
        <v>1.5</v>
      </c>
      <c r="N151" s="259">
        <v>2</v>
      </c>
      <c r="O151" s="520">
        <f t="shared" si="19"/>
        <v>27.216000000000001</v>
      </c>
      <c r="P151" s="261">
        <v>38965.657500000001</v>
      </c>
      <c r="Q151" s="521">
        <f t="shared" si="20"/>
        <v>1060489.33452</v>
      </c>
      <c r="R151" s="259">
        <v>41620.320720000011</v>
      </c>
      <c r="S151" s="496">
        <f t="shared" si="21"/>
        <v>1132738.6487155203</v>
      </c>
      <c r="T151" s="259">
        <v>44533.743170400012</v>
      </c>
      <c r="U151" s="517">
        <f t="shared" si="22"/>
        <v>1212030.3541256068</v>
      </c>
      <c r="V151" s="259">
        <f t="shared" si="23"/>
        <v>41706.57379680001</v>
      </c>
      <c r="W151" s="267">
        <f t="shared" si="24"/>
        <v>1135086.1124537091</v>
      </c>
      <c r="X151" s="578"/>
      <c r="Y151" s="492">
        <f t="shared" si="25"/>
        <v>23379.394500000002</v>
      </c>
      <c r="Z151" s="151"/>
    </row>
    <row r="152" spans="2:26" x14ac:dyDescent="0.35">
      <c r="B152" s="518"/>
      <c r="E152" s="519"/>
      <c r="F152" s="151" t="s">
        <v>225</v>
      </c>
      <c r="G152" s="316" t="s">
        <v>222</v>
      </c>
      <c r="H152" s="317"/>
      <c r="I152" s="318"/>
      <c r="J152" s="316" t="s">
        <v>179</v>
      </c>
      <c r="K152" s="433">
        <v>0.2</v>
      </c>
      <c r="L152" s="577">
        <v>45.36</v>
      </c>
      <c r="M152" s="379">
        <v>2.7E-2</v>
      </c>
      <c r="N152" s="259">
        <v>2</v>
      </c>
      <c r="O152" s="520">
        <f t="shared" si="19"/>
        <v>0.48988800000000005</v>
      </c>
      <c r="P152" s="261">
        <v>49592.654999999999</v>
      </c>
      <c r="Q152" s="521">
        <f t="shared" si="20"/>
        <v>24294.846572640003</v>
      </c>
      <c r="R152" s="259">
        <v>52971.317280000003</v>
      </c>
      <c r="S152" s="496">
        <f t="shared" si="21"/>
        <v>25950.012679664644</v>
      </c>
      <c r="T152" s="259">
        <v>56679.309489600004</v>
      </c>
      <c r="U152" s="517">
        <f t="shared" si="22"/>
        <v>27766.513567241171</v>
      </c>
      <c r="V152" s="259">
        <f t="shared" si="23"/>
        <v>53081.093923200009</v>
      </c>
      <c r="W152" s="267">
        <f t="shared" si="24"/>
        <v>26003.790939848608</v>
      </c>
      <c r="X152" s="578"/>
      <c r="Y152" s="492">
        <f t="shared" si="25"/>
        <v>535.60067400000003</v>
      </c>
      <c r="Z152" s="151"/>
    </row>
    <row r="153" spans="2:26" x14ac:dyDescent="0.35">
      <c r="B153" s="518"/>
      <c r="E153" s="519"/>
      <c r="F153" s="151" t="s">
        <v>226</v>
      </c>
      <c r="G153" s="316" t="s">
        <v>178</v>
      </c>
      <c r="H153" s="317"/>
      <c r="I153" s="318"/>
      <c r="J153" s="316" t="s">
        <v>179</v>
      </c>
      <c r="K153" s="433">
        <v>0.2</v>
      </c>
      <c r="L153" s="577">
        <v>45.36</v>
      </c>
      <c r="M153" s="379">
        <v>1.5</v>
      </c>
      <c r="N153" s="259">
        <v>2</v>
      </c>
      <c r="O153" s="520">
        <f t="shared" si="19"/>
        <v>27.216000000000001</v>
      </c>
      <c r="P153" s="261">
        <v>4469.4136124999995</v>
      </c>
      <c r="Q153" s="521">
        <f t="shared" si="20"/>
        <v>121639.56087779999</v>
      </c>
      <c r="R153" s="259">
        <v>4490.6400000000003</v>
      </c>
      <c r="S153" s="496">
        <f t="shared" si="21"/>
        <v>122217.25824000001</v>
      </c>
      <c r="T153" s="259">
        <v>4849.8912000000009</v>
      </c>
      <c r="U153" s="517">
        <f t="shared" si="22"/>
        <v>131994.63889920004</v>
      </c>
      <c r="V153" s="259">
        <f t="shared" si="23"/>
        <v>4603.3149374999994</v>
      </c>
      <c r="W153" s="267">
        <f t="shared" si="24"/>
        <v>125283.81933899999</v>
      </c>
      <c r="X153" s="578"/>
      <c r="Y153" s="492">
        <f t="shared" si="25"/>
        <v>2681.6481674999995</v>
      </c>
      <c r="Z153" s="151"/>
    </row>
    <row r="154" spans="2:26" x14ac:dyDescent="0.35">
      <c r="B154" s="518"/>
      <c r="E154" s="519"/>
      <c r="F154" s="151" t="s">
        <v>220</v>
      </c>
      <c r="G154" s="316" t="s">
        <v>183</v>
      </c>
      <c r="H154" s="317"/>
      <c r="I154" s="318"/>
      <c r="J154" s="316" t="s">
        <v>179</v>
      </c>
      <c r="K154" s="433">
        <v>0.2</v>
      </c>
      <c r="L154" s="577">
        <v>45.36</v>
      </c>
      <c r="M154" s="379">
        <v>6.2500000000000003E-3</v>
      </c>
      <c r="N154" s="259">
        <v>2</v>
      </c>
      <c r="O154" s="520">
        <f t="shared" si="19"/>
        <v>0.11340000000000001</v>
      </c>
      <c r="P154" s="261">
        <v>1581858.0973125002</v>
      </c>
      <c r="Q154" s="521">
        <f t="shared" si="20"/>
        <v>179382.70823523754</v>
      </c>
      <c r="R154" s="259">
        <v>1593848.8584</v>
      </c>
      <c r="S154" s="496">
        <f t="shared" si="21"/>
        <v>180742.46054256003</v>
      </c>
      <c r="T154" s="259">
        <v>1721356.7670720001</v>
      </c>
      <c r="U154" s="517">
        <f t="shared" si="22"/>
        <v>195201.85738596483</v>
      </c>
      <c r="V154" s="259">
        <f t="shared" si="23"/>
        <v>1632354.5742615003</v>
      </c>
      <c r="W154" s="267">
        <f t="shared" si="24"/>
        <v>185109.00872125415</v>
      </c>
      <c r="X154" s="578"/>
      <c r="Y154" s="492">
        <f t="shared" si="25"/>
        <v>3954.6452432812512</v>
      </c>
      <c r="Z154" s="151"/>
    </row>
    <row r="155" spans="2:26" x14ac:dyDescent="0.35">
      <c r="B155" s="518"/>
      <c r="E155" s="519"/>
      <c r="F155" s="151" t="s">
        <v>227</v>
      </c>
      <c r="G155" s="316" t="s">
        <v>183</v>
      </c>
      <c r="H155" s="317">
        <v>4</v>
      </c>
      <c r="I155" s="318" t="s">
        <v>228</v>
      </c>
      <c r="J155" s="316" t="s">
        <v>179</v>
      </c>
      <c r="K155" s="433">
        <v>0.2</v>
      </c>
      <c r="L155" s="577">
        <v>45.36</v>
      </c>
      <c r="M155" s="379">
        <f>((M$150*N$150)/240*($H155/N155))</f>
        <v>2.5000000000000001E-2</v>
      </c>
      <c r="N155" s="259">
        <v>2</v>
      </c>
      <c r="O155" s="520">
        <f t="shared" si="19"/>
        <v>0.45360000000000006</v>
      </c>
      <c r="P155" s="261">
        <v>49592.654999999999</v>
      </c>
      <c r="Q155" s="521">
        <f t="shared" si="20"/>
        <v>22495.228308000002</v>
      </c>
      <c r="R155" s="259">
        <v>49968.576000000008</v>
      </c>
      <c r="S155" s="496">
        <f t="shared" si="21"/>
        <v>22665.746073600007</v>
      </c>
      <c r="T155" s="259">
        <v>53966.062080000011</v>
      </c>
      <c r="U155" s="517">
        <f t="shared" si="22"/>
        <v>24479.005759488009</v>
      </c>
      <c r="V155" s="259">
        <f t="shared" si="23"/>
        <v>51175.764360000008</v>
      </c>
      <c r="W155" s="267">
        <f>AVERAGEIF($P$3:$U$3,W$3,$P155:$U155)</f>
        <v>23213.326713696006</v>
      </c>
      <c r="X155" s="578"/>
      <c r="Y155" s="492">
        <f t="shared" si="25"/>
        <v>495.92655000000002</v>
      </c>
      <c r="Z155" s="151"/>
    </row>
    <row r="156" spans="2:26" x14ac:dyDescent="0.35">
      <c r="B156" s="518"/>
      <c r="E156" s="519"/>
      <c r="F156" s="151" t="s">
        <v>229</v>
      </c>
      <c r="G156" s="316" t="s">
        <v>183</v>
      </c>
      <c r="H156" s="317">
        <v>12</v>
      </c>
      <c r="I156" s="318" t="s">
        <v>228</v>
      </c>
      <c r="J156" s="316" t="s">
        <v>179</v>
      </c>
      <c r="K156" s="433">
        <v>0.2</v>
      </c>
      <c r="L156" s="577">
        <v>45.36</v>
      </c>
      <c r="M156" s="379">
        <f>((M$150*N$150)/240*($H156/N156))</f>
        <v>7.5000000000000011E-2</v>
      </c>
      <c r="N156" s="259">
        <v>2</v>
      </c>
      <c r="O156" s="520">
        <f t="shared" si="19"/>
        <v>1.3608000000000005</v>
      </c>
      <c r="P156" s="261">
        <v>16206.75</v>
      </c>
      <c r="Q156" s="521">
        <f t="shared" si="20"/>
        <v>22054.145400000009</v>
      </c>
      <c r="R156" s="259">
        <v>16329.600000000002</v>
      </c>
      <c r="S156" s="496">
        <f t="shared" si="21"/>
        <v>22221.319680000011</v>
      </c>
      <c r="T156" s="259">
        <v>17635.968000000004</v>
      </c>
      <c r="U156" s="517">
        <f t="shared" si="22"/>
        <v>23999.025254400014</v>
      </c>
      <c r="V156" s="259">
        <f t="shared" si="23"/>
        <v>16724.106000000003</v>
      </c>
      <c r="W156" s="267">
        <f t="shared" si="24"/>
        <v>22758.163444800011</v>
      </c>
      <c r="X156" s="578"/>
      <c r="Y156" s="492">
        <f t="shared" si="25"/>
        <v>486.20250000000021</v>
      </c>
      <c r="Z156" s="151"/>
    </row>
    <row r="157" spans="2:26" x14ac:dyDescent="0.35">
      <c r="B157" s="518"/>
      <c r="E157" s="519"/>
      <c r="F157" s="151" t="s">
        <v>230</v>
      </c>
      <c r="G157" s="316" t="s">
        <v>183</v>
      </c>
      <c r="H157" s="317">
        <v>1</v>
      </c>
      <c r="I157" s="318" t="s">
        <v>228</v>
      </c>
      <c r="J157" s="316" t="s">
        <v>179</v>
      </c>
      <c r="K157" s="433">
        <v>0.2</v>
      </c>
      <c r="L157" s="577">
        <v>45.36</v>
      </c>
      <c r="M157" s="379">
        <f>((M$150*N$150)/240*($H157/N157))</f>
        <v>6.2500000000000003E-3</v>
      </c>
      <c r="N157" s="259">
        <v>2</v>
      </c>
      <c r="O157" s="520">
        <f t="shared" si="19"/>
        <v>0.11340000000000001</v>
      </c>
      <c r="P157" s="261">
        <v>43393.573125000003</v>
      </c>
      <c r="Q157" s="521">
        <f t="shared" si="20"/>
        <v>4920.8311923750007</v>
      </c>
      <c r="R157" s="259">
        <v>43722.504000000008</v>
      </c>
      <c r="S157" s="496">
        <f t="shared" si="21"/>
        <v>4958.1319536000019</v>
      </c>
      <c r="T157" s="259">
        <v>47220.30432000001</v>
      </c>
      <c r="U157" s="517">
        <f t="shared" si="22"/>
        <v>5354.7825098880021</v>
      </c>
      <c r="V157" s="259">
        <f t="shared" si="23"/>
        <v>44778.793815000005</v>
      </c>
      <c r="W157" s="267">
        <f t="shared" si="24"/>
        <v>5077.9152186210013</v>
      </c>
      <c r="X157" s="578"/>
      <c r="Y157" s="492">
        <f t="shared" si="25"/>
        <v>108.48393281250002</v>
      </c>
      <c r="Z157" s="151"/>
    </row>
    <row r="158" spans="2:26" x14ac:dyDescent="0.35">
      <c r="B158" s="518"/>
      <c r="E158" s="519"/>
      <c r="F158" s="151" t="s">
        <v>231</v>
      </c>
      <c r="G158" s="316" t="s">
        <v>183</v>
      </c>
      <c r="H158" s="317">
        <v>2</v>
      </c>
      <c r="I158" s="318" t="s">
        <v>228</v>
      </c>
      <c r="J158" s="316" t="s">
        <v>179</v>
      </c>
      <c r="K158" s="433">
        <v>0.2</v>
      </c>
      <c r="L158" s="577">
        <v>45.36</v>
      </c>
      <c r="M158" s="379">
        <f>((M$150*N$150)/240*($H158/N158))</f>
        <v>1.2500000000000001E-2</v>
      </c>
      <c r="N158" s="259">
        <v>2</v>
      </c>
      <c r="O158" s="520">
        <f t="shared" si="19"/>
        <v>0.22680000000000003</v>
      </c>
      <c r="P158" s="261">
        <v>37194.491250000006</v>
      </c>
      <c r="Q158" s="521">
        <f t="shared" si="20"/>
        <v>8435.7106155000019</v>
      </c>
      <c r="R158" s="259">
        <v>37476.432000000001</v>
      </c>
      <c r="S158" s="496">
        <f t="shared" si="21"/>
        <v>8499.6547776000007</v>
      </c>
      <c r="T158" s="259">
        <v>40474.546560000003</v>
      </c>
      <c r="U158" s="517">
        <f t="shared" si="22"/>
        <v>9179.627159808002</v>
      </c>
      <c r="V158" s="259">
        <f t="shared" si="23"/>
        <v>38381.823269999993</v>
      </c>
      <c r="W158" s="267">
        <f t="shared" si="24"/>
        <v>8704.9975176360003</v>
      </c>
      <c r="X158" s="578"/>
      <c r="Y158" s="492">
        <f t="shared" si="25"/>
        <v>185.97245625000005</v>
      </c>
      <c r="Z158" s="151"/>
    </row>
    <row r="159" spans="2:26" x14ac:dyDescent="0.35">
      <c r="B159" s="518"/>
      <c r="E159" s="519"/>
      <c r="F159" s="151" t="s">
        <v>232</v>
      </c>
      <c r="G159" s="316" t="s">
        <v>183</v>
      </c>
      <c r="H159" s="317">
        <v>1</v>
      </c>
      <c r="I159" s="318" t="s">
        <v>228</v>
      </c>
      <c r="J159" s="316" t="s">
        <v>179</v>
      </c>
      <c r="K159" s="433">
        <v>0.2</v>
      </c>
      <c r="L159" s="577">
        <v>45.36</v>
      </c>
      <c r="M159" s="379">
        <f>((M$150*N$150)/240*($H159/N159))</f>
        <v>6.2500000000000003E-3</v>
      </c>
      <c r="N159" s="259">
        <v>2</v>
      </c>
      <c r="O159" s="520">
        <f t="shared" si="19"/>
        <v>0.11340000000000001</v>
      </c>
      <c r="P159" s="261">
        <v>99185.31</v>
      </c>
      <c r="Q159" s="521">
        <f t="shared" si="20"/>
        <v>11247.614154000001</v>
      </c>
      <c r="R159" s="259">
        <v>99937.152000000016</v>
      </c>
      <c r="S159" s="496">
        <f t="shared" si="21"/>
        <v>11332.873036800003</v>
      </c>
      <c r="T159" s="259">
        <v>107932.12416000002</v>
      </c>
      <c r="U159" s="517">
        <f t="shared" si="22"/>
        <v>12239.502879744005</v>
      </c>
      <c r="V159" s="259">
        <f t="shared" si="23"/>
        <v>102351.52872000002</v>
      </c>
      <c r="W159" s="267">
        <f t="shared" si="24"/>
        <v>11606.663356848003</v>
      </c>
      <c r="X159" s="578"/>
      <c r="Y159" s="492">
        <f t="shared" si="25"/>
        <v>247.96327500000001</v>
      </c>
      <c r="Z159" s="151"/>
    </row>
    <row r="160" spans="2:26" x14ac:dyDescent="0.35">
      <c r="B160" s="518"/>
      <c r="D160" s="172" t="s">
        <v>81</v>
      </c>
      <c r="E160" s="506"/>
      <c r="F160" s="151" t="s">
        <v>177</v>
      </c>
      <c r="G160" s="316" t="s">
        <v>178</v>
      </c>
      <c r="H160" s="317"/>
      <c r="I160" s="318"/>
      <c r="J160" s="316" t="s">
        <v>179</v>
      </c>
      <c r="K160" s="433">
        <v>1</v>
      </c>
      <c r="L160" s="577">
        <v>45.36</v>
      </c>
      <c r="M160" s="379">
        <v>0.3</v>
      </c>
      <c r="N160" s="259">
        <v>4</v>
      </c>
      <c r="O160" s="520">
        <f t="shared" si="19"/>
        <v>54.431999999999995</v>
      </c>
      <c r="P160" s="261">
        <v>169122.61109699999</v>
      </c>
      <c r="Q160" s="521">
        <f t="shared" si="20"/>
        <v>9205681.9672319032</v>
      </c>
      <c r="R160" s="259">
        <v>163305.33120000002</v>
      </c>
      <c r="S160" s="496">
        <f t="shared" si="21"/>
        <v>8889035.7878783997</v>
      </c>
      <c r="T160" s="259">
        <v>179635.86432000002</v>
      </c>
      <c r="U160" s="517">
        <f t="shared" si="22"/>
        <v>9777939.3666662406</v>
      </c>
      <c r="V160" s="259">
        <f t="shared" si="23"/>
        <v>170687.93553900003</v>
      </c>
      <c r="W160" s="267">
        <f t="shared" si="24"/>
        <v>9290885.7072588485</v>
      </c>
      <c r="X160" s="578"/>
      <c r="Y160" s="492">
        <f t="shared" si="25"/>
        <v>202947.1333164</v>
      </c>
      <c r="Z160" s="151"/>
    </row>
    <row r="161" spans="2:26" x14ac:dyDescent="0.35">
      <c r="B161" s="518"/>
      <c r="E161" s="519"/>
      <c r="F161" s="151" t="s">
        <v>221</v>
      </c>
      <c r="G161" s="316" t="s">
        <v>222</v>
      </c>
      <c r="H161" s="317"/>
      <c r="I161" s="318"/>
      <c r="J161" s="316" t="s">
        <v>179</v>
      </c>
      <c r="K161" s="433">
        <v>1</v>
      </c>
      <c r="L161" s="577">
        <v>45.36</v>
      </c>
      <c r="M161" s="379">
        <v>0.25</v>
      </c>
      <c r="N161" s="259">
        <v>4</v>
      </c>
      <c r="O161" s="520">
        <f t="shared" si="19"/>
        <v>45.36</v>
      </c>
      <c r="P161" s="261">
        <v>38965.657500000001</v>
      </c>
      <c r="Q161" s="521">
        <f t="shared" si="20"/>
        <v>1767482.2242000001</v>
      </c>
      <c r="R161" s="259">
        <v>41620.320720000011</v>
      </c>
      <c r="S161" s="496">
        <f t="shared" si="21"/>
        <v>1887897.7478592005</v>
      </c>
      <c r="T161" s="259">
        <v>44533.743170400012</v>
      </c>
      <c r="U161" s="517">
        <f t="shared" si="22"/>
        <v>2020050.5902093444</v>
      </c>
      <c r="V161" s="259">
        <f t="shared" si="23"/>
        <v>41706.57379680001</v>
      </c>
      <c r="W161" s="267">
        <f t="shared" si="24"/>
        <v>1891810.1874228483</v>
      </c>
      <c r="X161" s="578"/>
      <c r="Y161" s="492">
        <f t="shared" si="25"/>
        <v>38965.657500000001</v>
      </c>
      <c r="Z161" s="151"/>
    </row>
    <row r="162" spans="2:26" x14ac:dyDescent="0.35">
      <c r="B162" s="518"/>
      <c r="E162" s="519"/>
      <c r="F162" s="151" t="s">
        <v>226</v>
      </c>
      <c r="G162" s="316" t="s">
        <v>178</v>
      </c>
      <c r="H162" s="317"/>
      <c r="I162" s="318"/>
      <c r="J162" s="316" t="s">
        <v>179</v>
      </c>
      <c r="K162" s="433">
        <v>1</v>
      </c>
      <c r="L162" s="577">
        <v>45.36</v>
      </c>
      <c r="M162" s="379">
        <v>0.3</v>
      </c>
      <c r="N162" s="259">
        <v>4</v>
      </c>
      <c r="O162" s="520">
        <f t="shared" si="19"/>
        <v>54.431999999999995</v>
      </c>
      <c r="P162" s="261">
        <v>4469.4136124999995</v>
      </c>
      <c r="Q162" s="521">
        <f t="shared" si="20"/>
        <v>243279.12175559995</v>
      </c>
      <c r="R162" s="259">
        <v>4490.6400000000003</v>
      </c>
      <c r="S162" s="496">
        <f t="shared" si="21"/>
        <v>244434.51647999999</v>
      </c>
      <c r="T162" s="259">
        <v>4849.8912000000009</v>
      </c>
      <c r="U162" s="517">
        <f t="shared" si="22"/>
        <v>263989.27779840003</v>
      </c>
      <c r="V162" s="259">
        <f t="shared" si="23"/>
        <v>4603.3149375000003</v>
      </c>
      <c r="W162" s="267">
        <f t="shared" si="24"/>
        <v>250567.63867799999</v>
      </c>
      <c r="X162" s="578"/>
      <c r="Y162" s="492">
        <f t="shared" si="25"/>
        <v>5363.2963349999991</v>
      </c>
      <c r="Z162" s="151"/>
    </row>
    <row r="163" spans="2:26" x14ac:dyDescent="0.35">
      <c r="B163" s="518"/>
      <c r="E163" s="519"/>
      <c r="F163" s="151" t="s">
        <v>398</v>
      </c>
      <c r="G163" s="316" t="s">
        <v>183</v>
      </c>
      <c r="H163" s="317">
        <v>1</v>
      </c>
      <c r="I163" s="318"/>
      <c r="J163" s="316" t="s">
        <v>179</v>
      </c>
      <c r="K163" s="433">
        <v>1</v>
      </c>
      <c r="L163" s="577">
        <v>45.36</v>
      </c>
      <c r="M163" s="379">
        <f t="shared" ref="M163:M168" si="26">((M$160*N$160)/240*($H163/N163))</f>
        <v>1.25E-3</v>
      </c>
      <c r="N163" s="259">
        <v>4</v>
      </c>
      <c r="O163" s="520">
        <f t="shared" si="19"/>
        <v>0.2268</v>
      </c>
      <c r="P163" s="261">
        <v>8885.3506875000003</v>
      </c>
      <c r="Q163" s="521">
        <f t="shared" si="20"/>
        <v>2015.197535925</v>
      </c>
      <c r="R163" s="259">
        <v>8952.7032000000017</v>
      </c>
      <c r="S163" s="496">
        <f t="shared" si="21"/>
        <v>2030.4730857600005</v>
      </c>
      <c r="T163" s="259">
        <v>9668.9194560000033</v>
      </c>
      <c r="U163" s="517">
        <f t="shared" si="22"/>
        <v>2192.9109326208008</v>
      </c>
      <c r="V163" s="259">
        <f t="shared" si="23"/>
        <v>9168.9911145000024</v>
      </c>
      <c r="W163" s="267">
        <f t="shared" si="24"/>
        <v>2079.5271847686004</v>
      </c>
      <c r="X163" s="578"/>
      <c r="Y163" s="492">
        <f t="shared" si="25"/>
        <v>44.426753437500004</v>
      </c>
      <c r="Z163" s="151"/>
    </row>
    <row r="164" spans="2:26" x14ac:dyDescent="0.35">
      <c r="B164" s="518"/>
      <c r="E164" s="519"/>
      <c r="F164" s="151" t="s">
        <v>227</v>
      </c>
      <c r="G164" s="316" t="s">
        <v>183</v>
      </c>
      <c r="H164" s="317">
        <v>4</v>
      </c>
      <c r="I164" s="318" t="s">
        <v>228</v>
      </c>
      <c r="J164" s="316" t="s">
        <v>179</v>
      </c>
      <c r="K164" s="433">
        <v>1</v>
      </c>
      <c r="L164" s="577">
        <v>45.36</v>
      </c>
      <c r="M164" s="379">
        <f t="shared" si="26"/>
        <v>5.0000000000000001E-3</v>
      </c>
      <c r="N164" s="259">
        <v>4</v>
      </c>
      <c r="O164" s="520">
        <f t="shared" si="19"/>
        <v>0.90720000000000001</v>
      </c>
      <c r="P164" s="261">
        <v>49592.654999999999</v>
      </c>
      <c r="Q164" s="521">
        <f t="shared" si="20"/>
        <v>44990.456615999996</v>
      </c>
      <c r="R164" s="259">
        <v>49968.576000000008</v>
      </c>
      <c r="S164" s="496">
        <f t="shared" si="21"/>
        <v>45331.492147200006</v>
      </c>
      <c r="T164" s="259">
        <v>53966.062080000011</v>
      </c>
      <c r="U164" s="517">
        <f t="shared" si="22"/>
        <v>48958.011518976011</v>
      </c>
      <c r="V164" s="259">
        <f t="shared" si="23"/>
        <v>51175.764360000001</v>
      </c>
      <c r="W164" s="267">
        <f t="shared" si="24"/>
        <v>46426.653427392004</v>
      </c>
      <c r="X164" s="578"/>
      <c r="Y164" s="492">
        <f t="shared" si="25"/>
        <v>991.85309999999993</v>
      </c>
      <c r="Z164" s="151"/>
    </row>
    <row r="165" spans="2:26" x14ac:dyDescent="0.35">
      <c r="B165" s="518"/>
      <c r="E165" s="519"/>
      <c r="F165" s="151" t="s">
        <v>229</v>
      </c>
      <c r="G165" s="316" t="s">
        <v>183</v>
      </c>
      <c r="H165" s="317">
        <v>12</v>
      </c>
      <c r="I165" s="318" t="s">
        <v>228</v>
      </c>
      <c r="J165" s="316" t="s">
        <v>179</v>
      </c>
      <c r="K165" s="433">
        <v>1</v>
      </c>
      <c r="L165" s="577">
        <v>45.36</v>
      </c>
      <c r="M165" s="379">
        <f t="shared" si="26"/>
        <v>1.4999999999999999E-2</v>
      </c>
      <c r="N165" s="259">
        <v>4</v>
      </c>
      <c r="O165" s="520">
        <f t="shared" si="19"/>
        <v>2.7216</v>
      </c>
      <c r="P165" s="261">
        <v>16206.75</v>
      </c>
      <c r="Q165" s="521">
        <f t="shared" si="20"/>
        <v>44108.290800000002</v>
      </c>
      <c r="R165" s="259">
        <v>16329.600000000002</v>
      </c>
      <c r="S165" s="496">
        <f t="shared" si="21"/>
        <v>44442.639360000008</v>
      </c>
      <c r="T165" s="259">
        <v>17635.968000000004</v>
      </c>
      <c r="U165" s="517">
        <f t="shared" si="22"/>
        <v>47998.050508800014</v>
      </c>
      <c r="V165" s="259">
        <f t="shared" si="23"/>
        <v>16724.106000000007</v>
      </c>
      <c r="W165" s="267">
        <f t="shared" si="24"/>
        <v>45516.326889600015</v>
      </c>
      <c r="X165" s="578"/>
      <c r="Y165" s="492">
        <f t="shared" si="25"/>
        <v>972.40500000000009</v>
      </c>
      <c r="Z165" s="151"/>
    </row>
    <row r="166" spans="2:26" x14ac:dyDescent="0.35">
      <c r="B166" s="518"/>
      <c r="E166" s="519"/>
      <c r="F166" s="151" t="s">
        <v>230</v>
      </c>
      <c r="G166" s="316" t="s">
        <v>183</v>
      </c>
      <c r="H166" s="317">
        <v>1</v>
      </c>
      <c r="I166" s="318" t="s">
        <v>228</v>
      </c>
      <c r="J166" s="316" t="s">
        <v>179</v>
      </c>
      <c r="K166" s="433">
        <v>1</v>
      </c>
      <c r="L166" s="577">
        <v>45.36</v>
      </c>
      <c r="M166" s="379">
        <f t="shared" si="26"/>
        <v>1.25E-3</v>
      </c>
      <c r="N166" s="259">
        <v>4</v>
      </c>
      <c r="O166" s="520">
        <f t="shared" si="19"/>
        <v>0.2268</v>
      </c>
      <c r="P166" s="261">
        <v>43393.573125000003</v>
      </c>
      <c r="Q166" s="521">
        <f t="shared" si="20"/>
        <v>9841.6623847500014</v>
      </c>
      <c r="R166" s="259">
        <v>43722.504000000008</v>
      </c>
      <c r="S166" s="496">
        <f t="shared" si="21"/>
        <v>9916.263907200002</v>
      </c>
      <c r="T166" s="259">
        <v>47220.30432000001</v>
      </c>
      <c r="U166" s="517">
        <f t="shared" si="22"/>
        <v>10709.565019776002</v>
      </c>
      <c r="V166" s="259">
        <f t="shared" si="23"/>
        <v>44778.793815000012</v>
      </c>
      <c r="W166" s="267">
        <f t="shared" si="24"/>
        <v>10155.830437242003</v>
      </c>
      <c r="X166" s="578"/>
      <c r="Y166" s="492">
        <f t="shared" si="25"/>
        <v>216.96786562500003</v>
      </c>
      <c r="Z166" s="151"/>
    </row>
    <row r="167" spans="2:26" x14ac:dyDescent="0.35">
      <c r="B167" s="518"/>
      <c r="E167" s="519"/>
      <c r="F167" s="151" t="s">
        <v>231</v>
      </c>
      <c r="G167" s="316" t="s">
        <v>183</v>
      </c>
      <c r="H167" s="317">
        <v>2</v>
      </c>
      <c r="I167" s="318" t="s">
        <v>228</v>
      </c>
      <c r="J167" s="316" t="s">
        <v>179</v>
      </c>
      <c r="K167" s="433">
        <v>1</v>
      </c>
      <c r="L167" s="577">
        <v>45.36</v>
      </c>
      <c r="M167" s="379">
        <f t="shared" si="26"/>
        <v>2.5000000000000001E-3</v>
      </c>
      <c r="N167" s="259">
        <v>4</v>
      </c>
      <c r="O167" s="520">
        <f t="shared" si="19"/>
        <v>0.4536</v>
      </c>
      <c r="P167" s="261">
        <v>37194.491250000006</v>
      </c>
      <c r="Q167" s="521">
        <f t="shared" si="20"/>
        <v>16871.421231000004</v>
      </c>
      <c r="R167" s="259">
        <v>37476.432000000001</v>
      </c>
      <c r="S167" s="496">
        <f t="shared" si="21"/>
        <v>16999.309555200001</v>
      </c>
      <c r="T167" s="259">
        <v>40474.546560000003</v>
      </c>
      <c r="U167" s="517">
        <f t="shared" si="22"/>
        <v>18359.254319616</v>
      </c>
      <c r="V167" s="259">
        <f t="shared" si="23"/>
        <v>38381.823270000001</v>
      </c>
      <c r="W167" s="267">
        <f t="shared" si="24"/>
        <v>17409.995035272001</v>
      </c>
      <c r="X167" s="578"/>
      <c r="Y167" s="492">
        <f t="shared" si="25"/>
        <v>371.9449125000001</v>
      </c>
      <c r="Z167" s="151"/>
    </row>
    <row r="168" spans="2:26" x14ac:dyDescent="0.35">
      <c r="B168" s="518"/>
      <c r="E168" s="519"/>
      <c r="F168" s="151" t="s">
        <v>232</v>
      </c>
      <c r="G168" s="316" t="s">
        <v>183</v>
      </c>
      <c r="H168" s="317">
        <v>1</v>
      </c>
      <c r="I168" s="318" t="s">
        <v>228</v>
      </c>
      <c r="J168" s="316" t="s">
        <v>179</v>
      </c>
      <c r="K168" s="433">
        <v>1</v>
      </c>
      <c r="L168" s="577">
        <v>45.36</v>
      </c>
      <c r="M168" s="379">
        <f t="shared" si="26"/>
        <v>1.25E-3</v>
      </c>
      <c r="N168" s="259">
        <v>4</v>
      </c>
      <c r="O168" s="520">
        <f t="shared" si="19"/>
        <v>0.2268</v>
      </c>
      <c r="P168" s="261">
        <v>99185.31</v>
      </c>
      <c r="Q168" s="521">
        <f t="shared" si="20"/>
        <v>22495.228307999998</v>
      </c>
      <c r="R168" s="259">
        <v>99937.152000000016</v>
      </c>
      <c r="S168" s="496">
        <f t="shared" si="21"/>
        <v>22665.746073600003</v>
      </c>
      <c r="T168" s="259">
        <v>107932.12416000002</v>
      </c>
      <c r="U168" s="517">
        <f t="shared" si="22"/>
        <v>24479.005759488005</v>
      </c>
      <c r="V168" s="259">
        <f t="shared" si="23"/>
        <v>102351.52872</v>
      </c>
      <c r="W168" s="267">
        <f t="shared" si="24"/>
        <v>23213.326713696002</v>
      </c>
      <c r="X168" s="578"/>
      <c r="Y168" s="492">
        <f t="shared" si="25"/>
        <v>495.92654999999996</v>
      </c>
      <c r="Z168" s="151"/>
    </row>
    <row r="169" spans="2:26" x14ac:dyDescent="0.35">
      <c r="B169" s="504"/>
      <c r="C169" s="172" t="s">
        <v>83</v>
      </c>
      <c r="D169" s="172"/>
      <c r="E169" s="506"/>
      <c r="F169" s="151" t="s">
        <v>177</v>
      </c>
      <c r="G169" s="316" t="s">
        <v>178</v>
      </c>
      <c r="H169" s="317"/>
      <c r="I169" s="318"/>
      <c r="J169" s="316"/>
      <c r="K169" s="502"/>
      <c r="L169" s="577"/>
      <c r="M169" s="379">
        <v>0.73</v>
      </c>
      <c r="N169" s="259">
        <v>1</v>
      </c>
      <c r="O169" s="317"/>
      <c r="P169" s="261">
        <v>169122.61109699999</v>
      </c>
      <c r="Q169" s="521"/>
      <c r="R169" s="496"/>
      <c r="S169" s="496"/>
      <c r="T169" s="517"/>
      <c r="U169" s="517"/>
      <c r="V169" s="517"/>
      <c r="W169" s="517"/>
      <c r="X169" s="578"/>
      <c r="Y169" s="151"/>
      <c r="Z169" s="151"/>
    </row>
    <row r="170" spans="2:26" x14ac:dyDescent="0.35">
      <c r="B170" s="518"/>
      <c r="E170" s="519"/>
      <c r="F170" s="151" t="s">
        <v>359</v>
      </c>
      <c r="G170" s="316" t="s">
        <v>195</v>
      </c>
      <c r="H170" s="317"/>
      <c r="I170" s="318"/>
      <c r="J170" s="316"/>
      <c r="K170" s="502"/>
      <c r="L170" s="577"/>
      <c r="M170" s="379">
        <v>3.36</v>
      </c>
      <c r="N170" s="259">
        <v>1</v>
      </c>
      <c r="O170" s="317"/>
      <c r="P170" s="261">
        <v>161742.20737500003</v>
      </c>
      <c r="Q170" s="521"/>
      <c r="R170" s="496"/>
      <c r="S170" s="496"/>
      <c r="T170" s="517"/>
      <c r="U170" s="517"/>
      <c r="V170" s="517"/>
      <c r="W170" s="517"/>
      <c r="X170" s="578"/>
      <c r="Y170" s="151"/>
      <c r="Z170" s="151"/>
    </row>
    <row r="171" spans="2:26" x14ac:dyDescent="0.35">
      <c r="B171" s="579"/>
      <c r="C171" s="580"/>
      <c r="D171" s="580"/>
      <c r="E171" s="581"/>
      <c r="F171" s="151" t="s">
        <v>234</v>
      </c>
      <c r="G171" s="316" t="s">
        <v>179</v>
      </c>
      <c r="H171" s="317"/>
      <c r="I171" s="318"/>
      <c r="J171" s="316" t="s">
        <v>481</v>
      </c>
      <c r="K171" s="433">
        <v>0.15</v>
      </c>
      <c r="L171" s="577">
        <v>45.36</v>
      </c>
      <c r="M171" s="379">
        <f>20/30</f>
        <v>0.66666666666666663</v>
      </c>
      <c r="N171" s="259">
        <v>12</v>
      </c>
      <c r="O171" s="520">
        <f>K171*L171*M171*N171</f>
        <v>54.431999999999995</v>
      </c>
      <c r="P171" s="261">
        <v>76398.619500000015</v>
      </c>
      <c r="Q171" s="521">
        <f>P171*$O171</f>
        <v>4158529.6566240005</v>
      </c>
      <c r="R171" s="259">
        <v>71381.2736</v>
      </c>
      <c r="S171" s="496">
        <f>R171*$O171</f>
        <v>3885425.4845951996</v>
      </c>
      <c r="T171" s="259">
        <v>74236.524544</v>
      </c>
      <c r="U171" s="517">
        <f>$O171*T171</f>
        <v>4040842.5039790077</v>
      </c>
      <c r="V171" s="259">
        <f>W171/O171</f>
        <v>74005.472548000005</v>
      </c>
      <c r="W171" s="267">
        <f>AVERAGEIF($P$3:$U$3,W$3,$P171:$U171)</f>
        <v>4028265.8817327358</v>
      </c>
      <c r="X171" s="578"/>
      <c r="Y171" s="492">
        <f t="shared" ref="Y171" si="27">Q171/$D$1</f>
        <v>91678.343400000012</v>
      </c>
      <c r="Z171" s="151"/>
    </row>
    <row r="172" spans="2:26" x14ac:dyDescent="0.35">
      <c r="B172" s="606" t="s">
        <v>482</v>
      </c>
      <c r="C172" s="716"/>
      <c r="D172" s="716"/>
      <c r="E172" s="717"/>
      <c r="F172" s="609"/>
      <c r="G172" s="610"/>
      <c r="H172" s="611"/>
      <c r="I172" s="612"/>
      <c r="J172" s="610"/>
      <c r="K172" s="613"/>
      <c r="L172" s="614"/>
      <c r="M172" s="615"/>
      <c r="N172" s="616"/>
      <c r="O172" s="611"/>
      <c r="P172" s="617"/>
      <c r="Q172" s="618">
        <f>SUM(Q140:Q171)</f>
        <v>21573096.190178681</v>
      </c>
      <c r="R172" s="617"/>
      <c r="S172" s="718">
        <f>SUM(S161:S171)</f>
        <v>6159143.6730633602</v>
      </c>
      <c r="T172" s="605"/>
      <c r="U172" s="605"/>
      <c r="V172" s="605"/>
      <c r="W172" s="605"/>
      <c r="X172" s="611"/>
      <c r="Y172" s="645">
        <f>Q172/$D$1</f>
        <v>475597.35869000619</v>
      </c>
      <c r="Z172" s="645">
        <f>Q172/$Q$426*100</f>
        <v>3.6553836413780134</v>
      </c>
    </row>
    <row r="173" spans="2:26" x14ac:dyDescent="0.35">
      <c r="B173" s="660" t="s">
        <v>483</v>
      </c>
      <c r="C173" s="729"/>
      <c r="D173" s="729"/>
      <c r="E173" s="730"/>
      <c r="F173" s="532"/>
      <c r="G173" s="587"/>
      <c r="H173" s="588"/>
      <c r="I173" s="589"/>
      <c r="J173" s="587"/>
      <c r="K173" s="590"/>
      <c r="L173" s="591"/>
      <c r="M173" s="543"/>
      <c r="N173" s="544"/>
      <c r="O173" s="588"/>
      <c r="P173" s="592"/>
      <c r="Q173" s="663">
        <f>Q69+Q83+Q109+Q125+Q172</f>
        <v>124521733.27156256</v>
      </c>
      <c r="R173" s="592"/>
      <c r="S173" s="731">
        <f>SUM(S162:S172)</f>
        <v>10430389.59826752</v>
      </c>
      <c r="T173" s="594"/>
      <c r="U173" s="594"/>
      <c r="V173" s="594"/>
      <c r="W173" s="594"/>
      <c r="X173" s="588"/>
      <c r="Y173" s="639">
        <f>Q173/$D$1</f>
        <v>2745188.1232707794</v>
      </c>
      <c r="Z173" s="639">
        <f>Q173/$Q$426*100</f>
        <v>21.099183111422263</v>
      </c>
    </row>
    <row r="174" spans="2:26" x14ac:dyDescent="0.35">
      <c r="B174" s="595" t="s">
        <v>484</v>
      </c>
      <c r="C174" s="318"/>
      <c r="D174" s="318"/>
      <c r="E174" s="582"/>
      <c r="F174" s="151"/>
      <c r="G174" s="316"/>
      <c r="H174" s="317"/>
      <c r="I174" s="318"/>
      <c r="J174" s="316"/>
      <c r="K174" s="502"/>
      <c r="L174" s="577"/>
      <c r="M174" s="258"/>
      <c r="N174" s="259"/>
      <c r="O174" s="317"/>
      <c r="P174" s="496"/>
      <c r="Q174" s="521"/>
      <c r="R174" s="496"/>
      <c r="S174" s="496"/>
      <c r="T174" s="517"/>
      <c r="U174" s="517"/>
      <c r="V174" s="517"/>
      <c r="W174" s="517"/>
      <c r="X174" s="578"/>
      <c r="Y174" s="151"/>
      <c r="Z174" s="151"/>
    </row>
    <row r="175" spans="2:26" x14ac:dyDescent="0.35">
      <c r="B175" s="518"/>
      <c r="C175" t="s">
        <v>88</v>
      </c>
      <c r="E175" s="519"/>
      <c r="F175" s="151" t="s">
        <v>177</v>
      </c>
      <c r="G175" s="316" t="s">
        <v>178</v>
      </c>
      <c r="H175" s="317"/>
      <c r="I175" s="318"/>
      <c r="J175" s="316"/>
      <c r="K175" s="502"/>
      <c r="L175" s="577"/>
      <c r="M175" s="258"/>
      <c r="N175" s="259"/>
      <c r="O175" s="317"/>
      <c r="P175" s="496"/>
      <c r="Q175" s="521"/>
      <c r="R175" s="496"/>
      <c r="S175" s="496"/>
      <c r="T175" s="517"/>
      <c r="U175" s="517"/>
      <c r="V175" s="517"/>
      <c r="W175" s="517"/>
      <c r="X175" s="578"/>
      <c r="Y175" s="151"/>
      <c r="Z175" s="151"/>
    </row>
    <row r="176" spans="2:26" x14ac:dyDescent="0.35">
      <c r="B176" s="518"/>
      <c r="E176" s="519"/>
      <c r="F176" s="151" t="s">
        <v>485</v>
      </c>
      <c r="G176" s="316" t="s">
        <v>183</v>
      </c>
      <c r="H176" s="317"/>
      <c r="I176" s="318"/>
      <c r="J176" s="316"/>
      <c r="K176" s="502"/>
      <c r="L176" s="577"/>
      <c r="M176" s="258"/>
      <c r="N176" s="259"/>
      <c r="O176" s="317"/>
      <c r="P176" s="496"/>
      <c r="Q176" s="521"/>
      <c r="R176" s="496"/>
      <c r="S176" s="496"/>
      <c r="T176" s="517"/>
      <c r="U176" s="517"/>
      <c r="V176" s="517"/>
      <c r="W176" s="517"/>
      <c r="X176" s="578"/>
      <c r="Y176" s="151"/>
      <c r="Z176" s="151"/>
    </row>
    <row r="177" spans="2:26" x14ac:dyDescent="0.35">
      <c r="B177" s="518"/>
      <c r="E177" s="519"/>
      <c r="F177" s="151" t="s">
        <v>486</v>
      </c>
      <c r="G177" s="316" t="s">
        <v>183</v>
      </c>
      <c r="H177" s="317"/>
      <c r="I177" s="318"/>
      <c r="J177" s="316"/>
      <c r="K177" s="502"/>
      <c r="L177" s="577"/>
      <c r="M177" s="258"/>
      <c r="N177" s="259"/>
      <c r="O177" s="317"/>
      <c r="P177" s="496"/>
      <c r="Q177" s="521"/>
      <c r="R177" s="496"/>
      <c r="S177" s="496"/>
      <c r="T177" s="517"/>
      <c r="U177" s="517"/>
      <c r="V177" s="517"/>
      <c r="W177" s="517"/>
      <c r="X177" s="578"/>
      <c r="Y177" s="151"/>
      <c r="Z177" s="151"/>
    </row>
    <row r="178" spans="2:26" x14ac:dyDescent="0.35">
      <c r="B178" s="518"/>
      <c r="E178" s="519"/>
      <c r="F178" s="151" t="s">
        <v>487</v>
      </c>
      <c r="G178" s="316" t="s">
        <v>183</v>
      </c>
      <c r="H178" s="317"/>
      <c r="I178" s="318"/>
      <c r="J178" s="316"/>
      <c r="K178" s="502"/>
      <c r="L178" s="577"/>
      <c r="M178" s="258"/>
      <c r="N178" s="259"/>
      <c r="O178" s="317"/>
      <c r="P178" s="496"/>
      <c r="Q178" s="521"/>
      <c r="R178" s="496"/>
      <c r="S178" s="496"/>
      <c r="T178" s="517"/>
      <c r="U178" s="517"/>
      <c r="V178" s="517"/>
      <c r="W178" s="517"/>
      <c r="X178" s="578"/>
      <c r="Y178" s="151"/>
      <c r="Z178" s="151"/>
    </row>
    <row r="179" spans="2:26" x14ac:dyDescent="0.35">
      <c r="B179" s="504"/>
      <c r="C179" s="172" t="s">
        <v>86</v>
      </c>
      <c r="D179" s="172"/>
      <c r="E179" s="506"/>
      <c r="F179" s="151" t="s">
        <v>177</v>
      </c>
      <c r="G179" s="316" t="s">
        <v>178</v>
      </c>
      <c r="H179" s="317"/>
      <c r="I179" s="318"/>
      <c r="J179" s="316" t="s">
        <v>179</v>
      </c>
      <c r="K179" s="433">
        <v>1</v>
      </c>
      <c r="L179" s="577">
        <v>45.36</v>
      </c>
      <c r="M179" s="379">
        <v>1</v>
      </c>
      <c r="N179" s="259">
        <v>6</v>
      </c>
      <c r="O179" s="520">
        <f>K179*L179*M179*N179</f>
        <v>272.15999999999997</v>
      </c>
      <c r="P179" s="261">
        <v>169122.61109699999</v>
      </c>
      <c r="Q179" s="521">
        <f>P179*$O179</f>
        <v>46028409.836159512</v>
      </c>
      <c r="R179" s="259">
        <v>163305.33120000002</v>
      </c>
      <c r="S179" s="496">
        <f>R179*$O179</f>
        <v>44445178.939392</v>
      </c>
      <c r="T179" s="259">
        <v>179635.86432000002</v>
      </c>
      <c r="U179" s="517">
        <f>$O179*T179</f>
        <v>48889696.833331198</v>
      </c>
      <c r="V179" s="259">
        <f>W179/O179</f>
        <v>170687.93553900003</v>
      </c>
      <c r="W179" s="267">
        <f>AVERAGEIF($P$3:$U$3,W$3,$P179:$U179)</f>
        <v>46454428.536294244</v>
      </c>
      <c r="X179" s="578"/>
      <c r="Y179" s="492">
        <f t="shared" ref="Y179:Y183" si="28">Q179/$D$1</f>
        <v>1014735.6665819999</v>
      </c>
      <c r="Z179" s="151"/>
    </row>
    <row r="180" spans="2:26" x14ac:dyDescent="0.35">
      <c r="B180" s="518"/>
      <c r="E180" s="519"/>
      <c r="F180" s="151" t="s">
        <v>488</v>
      </c>
      <c r="G180" s="316" t="s">
        <v>183</v>
      </c>
      <c r="H180" s="317">
        <v>1</v>
      </c>
      <c r="I180" s="318" t="s">
        <v>228</v>
      </c>
      <c r="J180" s="316" t="s">
        <v>179</v>
      </c>
      <c r="K180" s="433">
        <v>1</v>
      </c>
      <c r="L180" s="577">
        <v>45.36</v>
      </c>
      <c r="M180" s="379">
        <f>((M$179*N$179)/(300))*($H180/N180)</f>
        <v>0.01</v>
      </c>
      <c r="N180" s="259">
        <v>2</v>
      </c>
      <c r="O180" s="520">
        <f>K180*L180*M180*N180</f>
        <v>0.90720000000000001</v>
      </c>
      <c r="P180" s="261">
        <v>76844.177786250017</v>
      </c>
      <c r="Q180" s="521">
        <f>P180*$O180</f>
        <v>69713.038087686014</v>
      </c>
      <c r="R180" s="259">
        <v>77426.670096000002</v>
      </c>
      <c r="S180" s="496">
        <f>R180*$O180</f>
        <v>70241.475111091204</v>
      </c>
      <c r="T180" s="259">
        <v>83620.803703680009</v>
      </c>
      <c r="U180" s="517">
        <f>$O180*T180</f>
        <v>75860.793119978509</v>
      </c>
      <c r="V180" s="259">
        <f>W180/O180</f>
        <v>79297.217195310004</v>
      </c>
      <c r="W180" s="267">
        <f>AVERAGEIF($P$3:$U$3,W$3,$P180:$U180)</f>
        <v>71938.435439585242</v>
      </c>
      <c r="X180" s="578"/>
      <c r="Y180" s="492">
        <f t="shared" si="28"/>
        <v>1536.8835557250004</v>
      </c>
      <c r="Z180" s="151"/>
    </row>
    <row r="181" spans="2:26" x14ac:dyDescent="0.35">
      <c r="B181" s="518"/>
      <c r="E181" s="519"/>
      <c r="F181" s="151" t="s">
        <v>486</v>
      </c>
      <c r="G181" s="316" t="s">
        <v>183</v>
      </c>
      <c r="H181" s="317">
        <v>1</v>
      </c>
      <c r="I181" s="318" t="s">
        <v>228</v>
      </c>
      <c r="J181" s="316" t="s">
        <v>179</v>
      </c>
      <c r="K181" s="433">
        <v>1</v>
      </c>
      <c r="L181" s="577">
        <v>45.36</v>
      </c>
      <c r="M181" s="379">
        <f>((M$179*N$179)/(300))*($H181/N181)</f>
        <v>0.01</v>
      </c>
      <c r="N181" s="259">
        <v>2</v>
      </c>
      <c r="O181" s="520">
        <f>K181*L181*M181*N181</f>
        <v>0.90720000000000001</v>
      </c>
      <c r="P181" s="261">
        <v>9077.2270312500004</v>
      </c>
      <c r="Q181" s="521">
        <f>P181*$O181</f>
        <v>8234.8603627499997</v>
      </c>
      <c r="R181" s="259">
        <v>9146.0340000000015</v>
      </c>
      <c r="S181" s="496">
        <f>R181*$O181</f>
        <v>8297.282044800002</v>
      </c>
      <c r="T181" s="259">
        <v>9877.7167200000022</v>
      </c>
      <c r="U181" s="517">
        <f>$O181*T181</f>
        <v>8961.064608384002</v>
      </c>
      <c r="V181" s="259">
        <f>W181/O181</f>
        <v>9366.9925837500014</v>
      </c>
      <c r="W181" s="267">
        <f>AVERAGEIF($P$3:$U$3,W$3,$P181:$U181)</f>
        <v>8497.7356719780018</v>
      </c>
      <c r="X181" s="578"/>
      <c r="Y181" s="492">
        <f t="shared" si="28"/>
        <v>181.544540625</v>
      </c>
      <c r="Z181" s="151"/>
    </row>
    <row r="182" spans="2:26" x14ac:dyDescent="0.35">
      <c r="B182" s="518"/>
      <c r="E182" s="519"/>
      <c r="F182" s="151" t="s">
        <v>487</v>
      </c>
      <c r="G182" s="316" t="s">
        <v>183</v>
      </c>
      <c r="H182" s="317">
        <v>1</v>
      </c>
      <c r="I182" s="318" t="s">
        <v>228</v>
      </c>
      <c r="J182" s="316" t="s">
        <v>179</v>
      </c>
      <c r="K182" s="433">
        <v>1</v>
      </c>
      <c r="L182" s="577">
        <v>45.36</v>
      </c>
      <c r="M182" s="379">
        <f>((M$179*N$179)/(300))*($H182/N182)</f>
        <v>0.01</v>
      </c>
      <c r="N182" s="259">
        <v>2</v>
      </c>
      <c r="O182" s="520">
        <f>K182*L182*M182*N182</f>
        <v>0.90720000000000001</v>
      </c>
      <c r="P182" s="261">
        <v>59304.549937500007</v>
      </c>
      <c r="Q182" s="521">
        <f>P182*$O182</f>
        <v>53801.087703300007</v>
      </c>
      <c r="R182" s="259">
        <v>59754.088800000005</v>
      </c>
      <c r="S182" s="496">
        <f>R182*$O182</f>
        <v>54208.909359360005</v>
      </c>
      <c r="T182" s="259">
        <v>64534.415904000009</v>
      </c>
      <c r="U182" s="517">
        <f>$O182*T182</f>
        <v>58545.622108108808</v>
      </c>
      <c r="V182" s="259">
        <f>W182/O182</f>
        <v>61197.684880500012</v>
      </c>
      <c r="W182" s="267">
        <f>AVERAGEIF($P$3:$U$3,W$3,$P182:$U182)</f>
        <v>55518.539723589609</v>
      </c>
      <c r="X182" s="578"/>
      <c r="Y182" s="492">
        <f t="shared" si="28"/>
        <v>1186.0909987500002</v>
      </c>
      <c r="Z182" s="151"/>
    </row>
    <row r="183" spans="2:26" x14ac:dyDescent="0.35">
      <c r="B183" s="579"/>
      <c r="C183" s="580"/>
      <c r="D183" s="580"/>
      <c r="E183" s="581"/>
      <c r="F183" s="151" t="s">
        <v>232</v>
      </c>
      <c r="G183" s="316" t="s">
        <v>183</v>
      </c>
      <c r="H183" s="317">
        <v>1</v>
      </c>
      <c r="I183" s="318" t="s">
        <v>228</v>
      </c>
      <c r="J183" s="316" t="s">
        <v>179</v>
      </c>
      <c r="K183" s="433">
        <v>1</v>
      </c>
      <c r="L183" s="577">
        <v>45.36</v>
      </c>
      <c r="M183" s="379">
        <f>((M$179*N$179)/(300))*($H183/N183)</f>
        <v>0.01</v>
      </c>
      <c r="N183" s="259">
        <v>2</v>
      </c>
      <c r="O183" s="520">
        <f>K183*L183*M183*N183</f>
        <v>0.90720000000000001</v>
      </c>
      <c r="P183" s="261">
        <v>99185.31</v>
      </c>
      <c r="Q183" s="521">
        <f>P183*$O183</f>
        <v>89980.913231999992</v>
      </c>
      <c r="R183" s="259">
        <v>99937.152000000016</v>
      </c>
      <c r="S183" s="496">
        <f>R183*$O183</f>
        <v>90662.984294400012</v>
      </c>
      <c r="T183" s="259">
        <v>107932.12416000002</v>
      </c>
      <c r="U183" s="517">
        <f>$O183*T183</f>
        <v>97916.023037952022</v>
      </c>
      <c r="V183" s="259">
        <f>W183/O183</f>
        <v>102351.52872</v>
      </c>
      <c r="W183" s="267">
        <f>AVERAGEIF($P$3:$U$3,W$3,$P183:$U183)</f>
        <v>92853.306854784008</v>
      </c>
      <c r="X183" s="647"/>
      <c r="Y183" s="492">
        <f t="shared" si="28"/>
        <v>1983.7061999999999</v>
      </c>
      <c r="Z183" s="151"/>
    </row>
    <row r="184" spans="2:26" x14ac:dyDescent="0.35">
      <c r="B184" s="606" t="s">
        <v>575</v>
      </c>
      <c r="C184" s="716"/>
      <c r="D184" s="716"/>
      <c r="E184" s="717"/>
      <c r="F184" s="609"/>
      <c r="G184" s="610"/>
      <c r="H184" s="611"/>
      <c r="I184" s="612"/>
      <c r="J184" s="610"/>
      <c r="K184" s="613"/>
      <c r="L184" s="614"/>
      <c r="M184" s="615"/>
      <c r="N184" s="616"/>
      <c r="O184" s="611"/>
      <c r="P184" s="617"/>
      <c r="Q184" s="618">
        <f>SUM(Q179:Q183)</f>
        <v>46250139.735545255</v>
      </c>
      <c r="R184" s="617"/>
      <c r="S184" s="718">
        <f>SUM(S172:S183)</f>
        <v>61258122.861532524</v>
      </c>
      <c r="T184" s="605"/>
      <c r="U184" s="605"/>
      <c r="V184" s="605"/>
      <c r="W184" s="605"/>
      <c r="X184" s="611"/>
      <c r="Y184" s="645">
        <f>Q184/$D$1</f>
        <v>1019623.8918771</v>
      </c>
      <c r="Z184" s="645">
        <f>Q184/$Q$426*100</f>
        <v>7.8367056221501548</v>
      </c>
    </row>
    <row r="185" spans="2:26" x14ac:dyDescent="0.35">
      <c r="B185" s="317"/>
      <c r="C185" s="318" t="s">
        <v>489</v>
      </c>
      <c r="D185" s="318"/>
      <c r="E185" s="582"/>
      <c r="F185" s="151"/>
      <c r="G185" s="316"/>
      <c r="H185" s="317"/>
      <c r="I185" s="318"/>
      <c r="J185" s="316"/>
      <c r="K185" s="502"/>
      <c r="L185" s="577"/>
      <c r="M185" s="319"/>
      <c r="N185" s="259"/>
      <c r="O185" s="317"/>
      <c r="P185" s="496"/>
      <c r="Q185" s="521"/>
      <c r="R185" s="496"/>
      <c r="S185" s="496"/>
      <c r="T185" s="517"/>
      <c r="U185" s="517"/>
      <c r="V185" s="517"/>
      <c r="W185" s="517"/>
      <c r="X185" s="647"/>
      <c r="Y185" s="151"/>
      <c r="Z185" s="151"/>
    </row>
    <row r="186" spans="2:26" x14ac:dyDescent="0.35">
      <c r="B186" s="518"/>
      <c r="D186" t="s">
        <v>87</v>
      </c>
      <c r="E186" s="519"/>
      <c r="F186" s="151" t="s">
        <v>177</v>
      </c>
      <c r="G186" s="316" t="s">
        <v>178</v>
      </c>
      <c r="H186" s="317"/>
      <c r="I186" s="318"/>
      <c r="J186" s="316" t="s">
        <v>490</v>
      </c>
      <c r="K186" s="433">
        <v>0.02</v>
      </c>
      <c r="L186" s="665">
        <f>136*45.36</f>
        <v>6168.96</v>
      </c>
      <c r="M186" s="258">
        <v>0.1429</v>
      </c>
      <c r="N186" s="259">
        <v>1</v>
      </c>
      <c r="O186" s="520">
        <f>K186*L186*M186*N186</f>
        <v>17.630887680000001</v>
      </c>
      <c r="P186" s="261">
        <v>169122.61109699999</v>
      </c>
      <c r="Q186" s="521">
        <f>P186*$O186</f>
        <v>2981781.7603995283</v>
      </c>
      <c r="R186" s="259">
        <v>163305.33120000002</v>
      </c>
      <c r="S186" s="496">
        <f>R186*$O186</f>
        <v>2879217.9519324</v>
      </c>
      <c r="T186" s="259">
        <v>179635.86432000002</v>
      </c>
      <c r="U186" s="517">
        <f>$O186*T186</f>
        <v>3167139.74712564</v>
      </c>
      <c r="V186" s="259">
        <f>W186/O186</f>
        <v>170687.935539</v>
      </c>
      <c r="W186" s="267">
        <f>AVERAGEIF($P$3:$U$3,W$3,$P186:$U186)</f>
        <v>3009379.8198191896</v>
      </c>
      <c r="X186" s="578" t="s">
        <v>576</v>
      </c>
      <c r="Y186" s="492">
        <f t="shared" ref="Y186:Y189" si="29">Q186/$D$1</f>
        <v>65735.929462070737</v>
      </c>
      <c r="Z186" s="151"/>
    </row>
    <row r="187" spans="2:26" x14ac:dyDescent="0.35">
      <c r="B187" s="518"/>
      <c r="E187" s="519"/>
      <c r="F187" s="151" t="s">
        <v>382</v>
      </c>
      <c r="G187" s="316" t="s">
        <v>381</v>
      </c>
      <c r="H187" s="317"/>
      <c r="I187" s="318"/>
      <c r="J187" s="316" t="s">
        <v>490</v>
      </c>
      <c r="K187" s="433">
        <v>0.02</v>
      </c>
      <c r="L187" s="665">
        <f>136*45.36</f>
        <v>6168.96</v>
      </c>
      <c r="M187" s="258">
        <v>1</v>
      </c>
      <c r="N187" s="259">
        <v>1</v>
      </c>
      <c r="O187" s="520">
        <f>K187*L187*M187*N187</f>
        <v>123.3792</v>
      </c>
      <c r="P187" s="261">
        <v>55566</v>
      </c>
      <c r="Q187" s="521">
        <f>P187*$O187</f>
        <v>6855688.6272</v>
      </c>
      <c r="R187" s="259">
        <v>0</v>
      </c>
      <c r="S187" s="496">
        <f>R187*$O187</f>
        <v>0</v>
      </c>
      <c r="T187" s="259">
        <v>0</v>
      </c>
      <c r="U187" s="517">
        <f>$O187*T187</f>
        <v>0</v>
      </c>
      <c r="V187" s="259">
        <f>W187/O187</f>
        <v>18522</v>
      </c>
      <c r="W187" s="267">
        <f>AVERAGEIF($P$3:$U$3,W$3,$P187:$U187)</f>
        <v>2285229.5424000002</v>
      </c>
      <c r="X187" s="578"/>
      <c r="Y187" s="492">
        <f t="shared" si="29"/>
        <v>151139.51999999999</v>
      </c>
      <c r="Z187" s="151"/>
    </row>
    <row r="188" spans="2:26" x14ac:dyDescent="0.35">
      <c r="B188" s="518"/>
      <c r="E188" s="519"/>
      <c r="F188" s="151" t="s">
        <v>316</v>
      </c>
      <c r="G188" s="316" t="s">
        <v>181</v>
      </c>
      <c r="H188" s="317"/>
      <c r="I188" s="318"/>
      <c r="J188" s="316" t="s">
        <v>490</v>
      </c>
      <c r="K188" s="433">
        <v>0.02</v>
      </c>
      <c r="L188" s="665">
        <f>136*45.36</f>
        <v>6168.96</v>
      </c>
      <c r="M188" s="258">
        <v>0.5</v>
      </c>
      <c r="N188" s="259">
        <v>1</v>
      </c>
      <c r="O188" s="520">
        <f>K188*L188*M188*N188</f>
        <v>61.689599999999999</v>
      </c>
      <c r="P188" s="261">
        <v>2662.5374999999999</v>
      </c>
      <c r="Q188" s="521">
        <f>P188*$O188</f>
        <v>164250.87336</v>
      </c>
      <c r="R188" s="259">
        <v>2783</v>
      </c>
      <c r="S188" s="496">
        <f>R188*$O188</f>
        <v>171682.1568</v>
      </c>
      <c r="T188" s="259">
        <v>3061.3</v>
      </c>
      <c r="U188" s="517">
        <f>$O188*T188</f>
        <v>188850.37248000002</v>
      </c>
      <c r="V188" s="259">
        <f>W188/O188</f>
        <v>2835.6125000000002</v>
      </c>
      <c r="W188" s="267">
        <f>AVERAGEIF($P$3:$U$3,W$3,$P188:$U188)</f>
        <v>174927.80088</v>
      </c>
      <c r="X188" s="578"/>
      <c r="Y188" s="492">
        <f t="shared" si="29"/>
        <v>3621.0509999999999</v>
      </c>
      <c r="Z188" s="151"/>
    </row>
    <row r="189" spans="2:26" x14ac:dyDescent="0.35">
      <c r="B189" s="518"/>
      <c r="E189" s="519"/>
      <c r="F189" s="151" t="s">
        <v>383</v>
      </c>
      <c r="G189" s="316" t="s">
        <v>381</v>
      </c>
      <c r="H189" s="317"/>
      <c r="I189" s="318"/>
      <c r="J189" s="316" t="s">
        <v>490</v>
      </c>
      <c r="K189" s="433">
        <v>0.02</v>
      </c>
      <c r="L189" s="665">
        <f>136*45.36</f>
        <v>6168.96</v>
      </c>
      <c r="M189" s="258">
        <f>M187</f>
        <v>1</v>
      </c>
      <c r="N189" s="259">
        <v>1</v>
      </c>
      <c r="O189" s="520">
        <f>K189*L189*M189*N189</f>
        <v>123.3792</v>
      </c>
      <c r="P189" s="261">
        <v>5209.3125</v>
      </c>
      <c r="Q189" s="521">
        <f>P189*$O189</f>
        <v>642720.8088</v>
      </c>
      <c r="R189" s="496"/>
      <c r="S189" s="496"/>
      <c r="T189" s="517"/>
      <c r="U189" s="517"/>
      <c r="V189" s="517"/>
      <c r="W189" s="517"/>
      <c r="X189" s="578"/>
      <c r="Y189" s="492">
        <f t="shared" si="29"/>
        <v>14169.33</v>
      </c>
      <c r="Z189" s="151"/>
    </row>
    <row r="190" spans="2:26" x14ac:dyDescent="0.35">
      <c r="B190" s="518"/>
      <c r="D190" s="580"/>
      <c r="E190" s="581"/>
      <c r="F190" s="151" t="s">
        <v>359</v>
      </c>
      <c r="G190" s="316" t="s">
        <v>195</v>
      </c>
      <c r="H190" s="317"/>
      <c r="I190" s="318"/>
      <c r="J190" s="316"/>
      <c r="K190" s="502"/>
      <c r="L190" s="577"/>
      <c r="M190" s="258">
        <v>2</v>
      </c>
      <c r="N190" s="259">
        <v>1</v>
      </c>
      <c r="O190" s="317"/>
      <c r="P190" s="496"/>
      <c r="Q190" s="521"/>
      <c r="R190" s="496"/>
      <c r="S190" s="496"/>
      <c r="T190" s="517"/>
      <c r="U190" s="517"/>
      <c r="V190" s="517"/>
      <c r="W190" s="517"/>
      <c r="X190" s="578"/>
      <c r="Y190" s="151"/>
      <c r="Z190" s="151"/>
    </row>
    <row r="191" spans="2:26" ht="29.25" customHeight="1" x14ac:dyDescent="0.35">
      <c r="B191" s="606" t="s">
        <v>577</v>
      </c>
      <c r="C191" s="716"/>
      <c r="D191" s="716"/>
      <c r="E191" s="717"/>
      <c r="F191" s="609"/>
      <c r="G191" s="610"/>
      <c r="H191" s="611"/>
      <c r="I191" s="612"/>
      <c r="J191" s="610"/>
      <c r="K191" s="613"/>
      <c r="L191" s="614"/>
      <c r="M191" s="615"/>
      <c r="N191" s="616"/>
      <c r="O191" s="611"/>
      <c r="P191" s="617"/>
      <c r="Q191" s="618">
        <f>SUM(Q186:Q190)</f>
        <v>10644442.069759529</v>
      </c>
      <c r="R191" s="617"/>
      <c r="S191" s="718">
        <f>SUM(S180:S190)</f>
        <v>64532433.62107458</v>
      </c>
      <c r="T191" s="605"/>
      <c r="U191" s="605"/>
      <c r="V191" s="605"/>
      <c r="W191" s="605"/>
      <c r="X191" s="611"/>
      <c r="Y191" s="645">
        <f>Q191/$D$1</f>
        <v>234665.83046207076</v>
      </c>
      <c r="Z191" s="645">
        <f>Q191/$Q$426*100</f>
        <v>1.8036131239756288</v>
      </c>
    </row>
    <row r="192" spans="2:26" x14ac:dyDescent="0.35">
      <c r="B192" s="518"/>
      <c r="D192" t="s">
        <v>91</v>
      </c>
      <c r="E192" s="519"/>
      <c r="F192" s="151" t="s">
        <v>177</v>
      </c>
      <c r="G192" s="316" t="s">
        <v>178</v>
      </c>
      <c r="H192" s="317"/>
      <c r="I192" s="318"/>
      <c r="J192" s="316"/>
      <c r="K192" s="502"/>
      <c r="L192" s="577"/>
      <c r="M192" s="258">
        <f>1/15</f>
        <v>6.6666666666666666E-2</v>
      </c>
      <c r="N192" s="259">
        <v>1</v>
      </c>
      <c r="O192" s="317"/>
      <c r="P192" s="496"/>
      <c r="Q192" s="521"/>
      <c r="R192" s="496"/>
      <c r="S192" s="496"/>
      <c r="T192" s="517"/>
      <c r="U192" s="517"/>
      <c r="V192" s="517"/>
      <c r="W192" s="517"/>
      <c r="X192" s="578"/>
      <c r="Y192" s="151"/>
      <c r="Z192" s="151"/>
    </row>
    <row r="193" spans="2:26" x14ac:dyDescent="0.35">
      <c r="B193" s="579"/>
      <c r="C193" s="580"/>
      <c r="D193" s="580"/>
      <c r="E193" s="581"/>
      <c r="F193" s="151" t="s">
        <v>285</v>
      </c>
      <c r="G193" s="316" t="s">
        <v>183</v>
      </c>
      <c r="H193" s="317"/>
      <c r="I193" s="318"/>
      <c r="J193" s="316"/>
      <c r="K193" s="502"/>
      <c r="L193" s="577"/>
      <c r="M193" s="379">
        <f>M192*N192/300</f>
        <v>2.2222222222222221E-4</v>
      </c>
      <c r="N193" s="259">
        <v>1</v>
      </c>
      <c r="O193" s="520"/>
      <c r="P193" s="259"/>
      <c r="Q193" s="521"/>
      <c r="R193" s="259"/>
      <c r="S193" s="496"/>
      <c r="T193" s="517"/>
      <c r="U193" s="517"/>
      <c r="V193" s="517"/>
      <c r="W193" s="517"/>
      <c r="X193" s="578"/>
      <c r="Y193" s="151"/>
      <c r="Z193" s="151"/>
    </row>
    <row r="194" spans="2:26" x14ac:dyDescent="0.35">
      <c r="B194" s="518"/>
      <c r="C194" t="s">
        <v>90</v>
      </c>
      <c r="E194" s="519"/>
      <c r="F194" s="151" t="s">
        <v>177</v>
      </c>
      <c r="G194" s="316" t="s">
        <v>178</v>
      </c>
      <c r="H194" s="317"/>
      <c r="I194" s="318"/>
      <c r="J194" s="316" t="s">
        <v>179</v>
      </c>
      <c r="K194" s="433">
        <v>1</v>
      </c>
      <c r="L194" s="577">
        <v>45.36</v>
      </c>
      <c r="M194" s="258">
        <v>0.5</v>
      </c>
      <c r="N194" s="259">
        <v>2</v>
      </c>
      <c r="O194" s="520">
        <f>K194*L194*M194*N194</f>
        <v>45.36</v>
      </c>
      <c r="P194" s="261">
        <v>169122.61109699999</v>
      </c>
      <c r="Q194" s="521">
        <f>P194*$O194</f>
        <v>7671401.6393599194</v>
      </c>
      <c r="R194" s="259">
        <v>163305.33120000002</v>
      </c>
      <c r="S194" s="496">
        <f>R194*$O194</f>
        <v>7407529.8232320007</v>
      </c>
      <c r="T194" s="259">
        <v>179635.86432000002</v>
      </c>
      <c r="U194" s="517">
        <f>$O194*T194</f>
        <v>8148282.8055552011</v>
      </c>
      <c r="V194" s="259">
        <f>W194/O194</f>
        <v>170687.93553900003</v>
      </c>
      <c r="W194" s="267">
        <f>AVERAGEIF($P$3:$U$3,W$3,$P194:$U194)</f>
        <v>7742404.7560490407</v>
      </c>
      <c r="X194" s="578"/>
      <c r="Y194" s="492">
        <f t="shared" ref="Y194:Y195" si="30">Q194/$D$1</f>
        <v>169122.61109699999</v>
      </c>
      <c r="Z194" s="151"/>
    </row>
    <row r="195" spans="2:26" x14ac:dyDescent="0.35">
      <c r="B195" s="518"/>
      <c r="E195" s="519"/>
      <c r="F195" s="151" t="s">
        <v>494</v>
      </c>
      <c r="G195" s="316" t="s">
        <v>345</v>
      </c>
      <c r="H195" s="317"/>
      <c r="I195" s="318"/>
      <c r="J195" s="316" t="s">
        <v>179</v>
      </c>
      <c r="K195" s="433">
        <v>1</v>
      </c>
      <c r="L195" s="577">
        <v>45.36</v>
      </c>
      <c r="M195" s="258">
        <f>0.02*(1/2)</f>
        <v>0.01</v>
      </c>
      <c r="N195" s="259">
        <v>2</v>
      </c>
      <c r="O195" s="520">
        <f>K195*L195*M195*N195</f>
        <v>0.90720000000000001</v>
      </c>
      <c r="P195" s="261">
        <v>35018.15625</v>
      </c>
      <c r="Q195" s="521">
        <f>P195*$O195</f>
        <v>31768.47135</v>
      </c>
      <c r="R195" s="496"/>
      <c r="S195" s="496"/>
      <c r="T195" s="517"/>
      <c r="U195" s="517"/>
      <c r="V195" s="517"/>
      <c r="W195" s="517"/>
      <c r="X195" s="578"/>
      <c r="Y195" s="492">
        <f t="shared" si="30"/>
        <v>700.36312499999997</v>
      </c>
      <c r="Z195" s="151"/>
    </row>
    <row r="196" spans="2:26" x14ac:dyDescent="0.35">
      <c r="B196" s="606" t="s">
        <v>495</v>
      </c>
      <c r="C196" s="716"/>
      <c r="D196" s="716"/>
      <c r="E196" s="717"/>
      <c r="F196" s="609"/>
      <c r="G196" s="610"/>
      <c r="H196" s="611"/>
      <c r="I196" s="612"/>
      <c r="J196" s="610"/>
      <c r="K196" s="613"/>
      <c r="L196" s="614"/>
      <c r="M196" s="615"/>
      <c r="N196" s="616"/>
      <c r="O196" s="611"/>
      <c r="P196" s="617"/>
      <c r="Q196" s="618">
        <f>SUM(Q194:Q195)</f>
        <v>7703170.1107099196</v>
      </c>
      <c r="R196" s="617"/>
      <c r="S196" s="718">
        <f>SUM(S185:S195)</f>
        <v>74990863.55303897</v>
      </c>
      <c r="T196" s="605"/>
      <c r="U196" s="605"/>
      <c r="V196" s="605"/>
      <c r="W196" s="605"/>
      <c r="X196" s="611"/>
      <c r="Y196" s="645">
        <f>Q196/$D$1</f>
        <v>169822.97422199999</v>
      </c>
      <c r="Z196" s="645">
        <f>Q196/$Q$426*100</f>
        <v>1.305238791929193</v>
      </c>
    </row>
    <row r="197" spans="2:26" x14ac:dyDescent="0.35">
      <c r="B197" s="660" t="s">
        <v>496</v>
      </c>
      <c r="C197" s="729"/>
      <c r="D197" s="729"/>
      <c r="E197" s="730"/>
      <c r="F197" s="532"/>
      <c r="G197" s="587"/>
      <c r="H197" s="588"/>
      <c r="I197" s="589"/>
      <c r="J197" s="587"/>
      <c r="K197" s="590"/>
      <c r="L197" s="591"/>
      <c r="M197" s="543"/>
      <c r="N197" s="544"/>
      <c r="O197" s="588"/>
      <c r="P197" s="592"/>
      <c r="Q197" s="663">
        <f>Q184+Q191+Q196</f>
        <v>64597751.916014701</v>
      </c>
      <c r="R197" s="592"/>
      <c r="S197" s="731">
        <f>SUM(S186:S196)</f>
        <v>149981727.10607794</v>
      </c>
      <c r="T197" s="594"/>
      <c r="U197" s="594"/>
      <c r="V197" s="594"/>
      <c r="W197" s="594"/>
      <c r="X197" s="588"/>
      <c r="Y197" s="639">
        <f>Q197/$D$1</f>
        <v>1424112.6965611707</v>
      </c>
      <c r="Z197" s="639">
        <f>Q197/$Q$426*100</f>
        <v>10.945557538054976</v>
      </c>
    </row>
    <row r="198" spans="2:26" x14ac:dyDescent="0.35">
      <c r="B198" s="595" t="s">
        <v>497</v>
      </c>
      <c r="C198" s="318"/>
      <c r="D198" s="318"/>
      <c r="E198" s="582"/>
      <c r="F198" s="151"/>
      <c r="G198" s="316"/>
      <c r="H198" s="317"/>
      <c r="I198" s="318"/>
      <c r="J198" s="316"/>
      <c r="K198" s="502"/>
      <c r="L198" s="577"/>
      <c r="M198" s="258"/>
      <c r="N198" s="259"/>
      <c r="O198" s="317"/>
      <c r="P198" s="496"/>
      <c r="Q198" s="521"/>
      <c r="R198" s="496"/>
      <c r="S198" s="496"/>
      <c r="T198" s="517"/>
      <c r="U198" s="517"/>
      <c r="V198" s="517"/>
      <c r="W198" s="517"/>
      <c r="X198" s="578"/>
      <c r="Y198" s="151"/>
      <c r="Z198" s="151"/>
    </row>
    <row r="199" spans="2:26" x14ac:dyDescent="0.35">
      <c r="B199" s="595"/>
      <c r="C199" s="318" t="s">
        <v>289</v>
      </c>
      <c r="D199" s="318"/>
      <c r="E199" s="582"/>
      <c r="F199" s="151"/>
      <c r="G199" s="316"/>
      <c r="H199" s="317"/>
      <c r="I199" s="318"/>
      <c r="J199" s="316"/>
      <c r="K199" s="502"/>
      <c r="L199" s="577"/>
      <c r="M199" s="258"/>
      <c r="N199" s="259"/>
      <c r="O199" s="317"/>
      <c r="P199" s="496"/>
      <c r="Q199" s="521"/>
      <c r="R199" s="496"/>
      <c r="S199" s="496"/>
      <c r="T199" s="517"/>
      <c r="U199" s="517"/>
      <c r="V199" s="517"/>
      <c r="W199" s="517"/>
      <c r="X199" s="578"/>
      <c r="Y199" s="151"/>
      <c r="Z199" s="151"/>
    </row>
    <row r="200" spans="2:26" x14ac:dyDescent="0.35">
      <c r="B200" s="518"/>
      <c r="D200" t="s">
        <v>93</v>
      </c>
      <c r="E200" s="519"/>
      <c r="F200" s="151" t="s">
        <v>177</v>
      </c>
      <c r="G200" s="316" t="s">
        <v>178</v>
      </c>
      <c r="H200" s="317"/>
      <c r="I200" s="318"/>
      <c r="J200" s="316"/>
      <c r="K200" s="602">
        <v>0</v>
      </c>
      <c r="L200" s="577">
        <v>192.08</v>
      </c>
      <c r="M200" s="309">
        <v>0.5</v>
      </c>
      <c r="N200" s="259">
        <v>1</v>
      </c>
      <c r="O200" s="520">
        <f t="shared" ref="O200:O206" si="31">K200*L200*M200*N200</f>
        <v>0</v>
      </c>
      <c r="P200" s="261">
        <v>158800.57379999998</v>
      </c>
      <c r="Q200" s="521">
        <f t="shared" ref="Q200:Q205" si="32">P200*$O200</f>
        <v>0</v>
      </c>
      <c r="R200" s="496"/>
      <c r="S200" s="496"/>
      <c r="T200" s="517"/>
      <c r="U200" s="517"/>
      <c r="V200" s="517"/>
      <c r="W200" s="517"/>
      <c r="X200" s="578"/>
      <c r="Y200" s="492">
        <f t="shared" ref="Y200:Y228" si="33">Q200/192.08</f>
        <v>0</v>
      </c>
      <c r="Z200" s="151"/>
    </row>
    <row r="201" spans="2:26" x14ac:dyDescent="0.35">
      <c r="B201" s="518"/>
      <c r="E201" s="519"/>
      <c r="F201" s="151" t="s">
        <v>498</v>
      </c>
      <c r="G201" s="316" t="s">
        <v>328</v>
      </c>
      <c r="H201" s="317"/>
      <c r="I201" s="318"/>
      <c r="J201" s="316"/>
      <c r="K201" s="602">
        <v>0</v>
      </c>
      <c r="L201" s="577"/>
      <c r="M201" s="258"/>
      <c r="N201" s="259"/>
      <c r="O201" s="520">
        <f t="shared" si="31"/>
        <v>0</v>
      </c>
      <c r="P201" s="261">
        <v>0</v>
      </c>
      <c r="Q201" s="521">
        <f t="shared" si="32"/>
        <v>0</v>
      </c>
      <c r="R201" s="496"/>
      <c r="S201" s="496"/>
      <c r="T201" s="517"/>
      <c r="U201" s="517"/>
      <c r="V201" s="517"/>
      <c r="W201" s="517"/>
      <c r="X201" s="578"/>
      <c r="Y201" s="492">
        <f t="shared" si="33"/>
        <v>0</v>
      </c>
      <c r="Z201" s="151"/>
    </row>
    <row r="202" spans="2:26" x14ac:dyDescent="0.35">
      <c r="B202" s="518"/>
      <c r="E202" s="519"/>
      <c r="F202" s="151" t="s">
        <v>499</v>
      </c>
      <c r="G202" s="316" t="s">
        <v>328</v>
      </c>
      <c r="H202" s="317"/>
      <c r="I202" s="318"/>
      <c r="J202" s="316"/>
      <c r="K202" s="602">
        <v>0</v>
      </c>
      <c r="L202" s="577">
        <v>2188</v>
      </c>
      <c r="M202" s="309">
        <f>1350/1000</f>
        <v>1.35</v>
      </c>
      <c r="N202" s="259">
        <v>1</v>
      </c>
      <c r="O202" s="520">
        <f t="shared" si="31"/>
        <v>0</v>
      </c>
      <c r="P202" s="261">
        <v>116455.5</v>
      </c>
      <c r="Q202" s="521">
        <f t="shared" si="32"/>
        <v>0</v>
      </c>
      <c r="R202" s="496"/>
      <c r="S202" s="496"/>
      <c r="T202" s="517"/>
      <c r="U202" s="517"/>
      <c r="V202" s="517"/>
      <c r="W202" s="517"/>
      <c r="X202" s="578"/>
      <c r="Y202" s="492">
        <f t="shared" si="33"/>
        <v>0</v>
      </c>
      <c r="Z202" s="151"/>
    </row>
    <row r="203" spans="2:26" x14ac:dyDescent="0.35">
      <c r="B203" s="518"/>
      <c r="E203" s="519"/>
      <c r="F203" s="151" t="s">
        <v>205</v>
      </c>
      <c r="G203" s="316" t="s">
        <v>195</v>
      </c>
      <c r="H203" s="317"/>
      <c r="I203" s="318"/>
      <c r="J203" s="316"/>
      <c r="K203" s="602">
        <v>0</v>
      </c>
      <c r="L203" s="577">
        <v>2188</v>
      </c>
      <c r="M203" s="400">
        <v>2.8000000000000001E-2</v>
      </c>
      <c r="N203" s="259">
        <v>1</v>
      </c>
      <c r="O203" s="520">
        <f t="shared" si="31"/>
        <v>0</v>
      </c>
      <c r="P203" s="261">
        <v>761671.70213055995</v>
      </c>
      <c r="Q203" s="521">
        <f t="shared" si="32"/>
        <v>0</v>
      </c>
      <c r="R203" s="496"/>
      <c r="S203" s="496"/>
      <c r="T203" s="517"/>
      <c r="U203" s="517"/>
      <c r="V203" s="517"/>
      <c r="W203" s="517"/>
      <c r="X203" s="578"/>
      <c r="Y203" s="492">
        <f t="shared" si="33"/>
        <v>0</v>
      </c>
      <c r="Z203" s="151"/>
    </row>
    <row r="204" spans="2:26" x14ac:dyDescent="0.35">
      <c r="B204" s="518"/>
      <c r="E204" s="519"/>
      <c r="F204" s="151" t="s">
        <v>500</v>
      </c>
      <c r="G204" s="316" t="s">
        <v>195</v>
      </c>
      <c r="H204" s="317"/>
      <c r="I204" s="318"/>
      <c r="J204" s="316"/>
      <c r="K204" s="602">
        <v>0</v>
      </c>
      <c r="L204" s="577">
        <v>2188</v>
      </c>
      <c r="M204" s="258">
        <f>10/1000</f>
        <v>0.01</v>
      </c>
      <c r="N204" s="259">
        <v>1</v>
      </c>
      <c r="O204" s="520">
        <f t="shared" si="31"/>
        <v>0</v>
      </c>
      <c r="P204" s="261">
        <v>696305.06082000001</v>
      </c>
      <c r="Q204" s="521">
        <f t="shared" si="32"/>
        <v>0</v>
      </c>
      <c r="R204" s="496"/>
      <c r="S204" s="496"/>
      <c r="T204" s="517"/>
      <c r="U204" s="517"/>
      <c r="V204" s="517"/>
      <c r="W204" s="517"/>
      <c r="X204" s="578"/>
      <c r="Y204" s="492">
        <f t="shared" si="33"/>
        <v>0</v>
      </c>
      <c r="Z204" s="151"/>
    </row>
    <row r="205" spans="2:26" x14ac:dyDescent="0.35">
      <c r="B205" s="518"/>
      <c r="D205" s="580"/>
      <c r="E205" s="581"/>
      <c r="F205" s="151" t="s">
        <v>245</v>
      </c>
      <c r="G205" s="316" t="s">
        <v>195</v>
      </c>
      <c r="H205" s="317"/>
      <c r="I205" s="318"/>
      <c r="J205" s="316"/>
      <c r="K205" s="602">
        <v>0</v>
      </c>
      <c r="L205" s="577">
        <v>2188</v>
      </c>
      <c r="M205" s="258">
        <f>10/1000</f>
        <v>0.01</v>
      </c>
      <c r="N205" s="259">
        <v>1</v>
      </c>
      <c r="O205" s="520">
        <f t="shared" si="31"/>
        <v>0</v>
      </c>
      <c r="P205" s="261">
        <v>751428.66536999994</v>
      </c>
      <c r="Q205" s="521">
        <f t="shared" si="32"/>
        <v>0</v>
      </c>
      <c r="R205" s="496"/>
      <c r="S205" s="496"/>
      <c r="T205" s="517"/>
      <c r="U205" s="517"/>
      <c r="V205" s="517"/>
      <c r="W205" s="517"/>
      <c r="X205" s="578"/>
      <c r="Y205" s="492">
        <f t="shared" si="33"/>
        <v>0</v>
      </c>
      <c r="Z205" s="151"/>
    </row>
    <row r="206" spans="2:26" x14ac:dyDescent="0.35">
      <c r="B206" s="518"/>
      <c r="D206" t="s">
        <v>96</v>
      </c>
      <c r="E206" s="519"/>
      <c r="F206" s="151" t="s">
        <v>177</v>
      </c>
      <c r="G206" s="316" t="s">
        <v>178</v>
      </c>
      <c r="H206" s="317"/>
      <c r="I206" s="318"/>
      <c r="J206" s="316" t="s">
        <v>272</v>
      </c>
      <c r="K206" s="602">
        <v>0</v>
      </c>
      <c r="L206" s="577">
        <v>192.08</v>
      </c>
      <c r="M206" s="309">
        <v>0.5</v>
      </c>
      <c r="N206" s="259">
        <v>1</v>
      </c>
      <c r="O206" s="520">
        <f t="shared" si="31"/>
        <v>0</v>
      </c>
      <c r="P206" s="261">
        <v>158800.57379999998</v>
      </c>
      <c r="Q206" s="521">
        <f>P206*$O206</f>
        <v>0</v>
      </c>
      <c r="R206" s="259">
        <v>163305.33120000002</v>
      </c>
      <c r="S206" s="496">
        <f>R206*$O206</f>
        <v>0</v>
      </c>
      <c r="T206" s="259">
        <v>179635.86432000002</v>
      </c>
      <c r="U206" s="517">
        <f>$O206*T206</f>
        <v>0</v>
      </c>
      <c r="V206" s="259" t="e">
        <f>W206/O206</f>
        <v>#DIV/0!</v>
      </c>
      <c r="W206" s="267">
        <f>AVERAGEIF($P$3:$U$3,W$3,$P206:$U206)</f>
        <v>0</v>
      </c>
      <c r="X206" s="578"/>
      <c r="Y206" s="492">
        <f t="shared" si="33"/>
        <v>0</v>
      </c>
      <c r="Z206" s="151"/>
    </row>
    <row r="207" spans="2:26" x14ac:dyDescent="0.35">
      <c r="B207" s="518"/>
      <c r="E207" s="519"/>
      <c r="F207" s="151" t="s">
        <v>498</v>
      </c>
      <c r="G207" s="316" t="s">
        <v>328</v>
      </c>
      <c r="H207" s="317"/>
      <c r="I207" s="318"/>
      <c r="J207" s="316"/>
      <c r="K207" s="602">
        <v>0</v>
      </c>
      <c r="L207" s="577"/>
      <c r="M207" s="258"/>
      <c r="N207" s="259"/>
      <c r="O207" s="317"/>
      <c r="P207" s="496"/>
      <c r="Q207" s="521"/>
      <c r="R207" s="496"/>
      <c r="S207" s="496"/>
      <c r="T207" s="517"/>
      <c r="U207" s="517"/>
      <c r="V207" s="517"/>
      <c r="W207" s="517"/>
      <c r="X207" s="578"/>
      <c r="Y207" s="492">
        <f t="shared" si="33"/>
        <v>0</v>
      </c>
      <c r="Z207" s="151"/>
    </row>
    <row r="208" spans="2:26" x14ac:dyDescent="0.35">
      <c r="B208" s="518"/>
      <c r="E208" s="519"/>
      <c r="F208" s="151" t="s">
        <v>499</v>
      </c>
      <c r="G208" s="316" t="s">
        <v>328</v>
      </c>
      <c r="H208" s="317"/>
      <c r="I208" s="318"/>
      <c r="J208" s="316" t="s">
        <v>272</v>
      </c>
      <c r="K208" s="602">
        <v>0</v>
      </c>
      <c r="L208" s="577">
        <v>4007</v>
      </c>
      <c r="M208" s="400">
        <f>1050/1000</f>
        <v>1.05</v>
      </c>
      <c r="N208" s="259">
        <v>1</v>
      </c>
      <c r="O208" s="520">
        <f>K208*L208*M208*N208</f>
        <v>0</v>
      </c>
      <c r="P208" s="261">
        <v>116455.5</v>
      </c>
      <c r="Q208" s="521">
        <f>P208*$O208</f>
        <v>0</v>
      </c>
      <c r="R208" s="259">
        <v>133813.90000000002</v>
      </c>
      <c r="S208" s="496">
        <f>R208*$O208</f>
        <v>0</v>
      </c>
      <c r="T208" s="259">
        <v>147195.29000000004</v>
      </c>
      <c r="U208" s="517">
        <f>$O208*T208</f>
        <v>0</v>
      </c>
      <c r="V208" s="259" t="e">
        <f>W208/O208</f>
        <v>#DIV/0!</v>
      </c>
      <c r="W208" s="267">
        <f>AVERAGEIF($P$3:$U$3,W$3,$P208:$U208)</f>
        <v>0</v>
      </c>
      <c r="X208" s="578"/>
      <c r="Y208" s="492">
        <f t="shared" si="33"/>
        <v>0</v>
      </c>
      <c r="Z208" s="151"/>
    </row>
    <row r="209" spans="2:26" x14ac:dyDescent="0.35">
      <c r="B209" s="518"/>
      <c r="E209" s="519"/>
      <c r="F209" s="151" t="s">
        <v>205</v>
      </c>
      <c r="G209" s="316" t="s">
        <v>195</v>
      </c>
      <c r="H209" s="317"/>
      <c r="I209" s="318"/>
      <c r="J209" s="316"/>
      <c r="K209" s="602">
        <v>0</v>
      </c>
      <c r="L209" s="577">
        <v>4007</v>
      </c>
      <c r="M209" s="400">
        <v>2.8000000000000001E-2</v>
      </c>
      <c r="N209" s="259">
        <v>1</v>
      </c>
      <c r="O209" s="520">
        <f>K209*L209*M209*N209</f>
        <v>0</v>
      </c>
      <c r="P209" s="261">
        <v>761671.70213055995</v>
      </c>
      <c r="Q209" s="521">
        <f>P209*$O209</f>
        <v>0</v>
      </c>
      <c r="R209" s="496"/>
      <c r="S209" s="496"/>
      <c r="T209" s="517"/>
      <c r="U209" s="517"/>
      <c r="V209" s="517"/>
      <c r="W209" s="517"/>
      <c r="X209" s="578"/>
      <c r="Y209" s="492">
        <f t="shared" si="33"/>
        <v>0</v>
      </c>
      <c r="Z209" s="151"/>
    </row>
    <row r="210" spans="2:26" x14ac:dyDescent="0.35">
      <c r="B210" s="518"/>
      <c r="E210" s="519"/>
      <c r="F210" s="151" t="s">
        <v>500</v>
      </c>
      <c r="G210" s="316" t="s">
        <v>195</v>
      </c>
      <c r="H210" s="317"/>
      <c r="I210" s="318"/>
      <c r="J210" s="316" t="s">
        <v>272</v>
      </c>
      <c r="K210" s="602">
        <v>0</v>
      </c>
      <c r="L210" s="577">
        <v>4007</v>
      </c>
      <c r="M210" s="258">
        <f>8/1000</f>
        <v>8.0000000000000002E-3</v>
      </c>
      <c r="N210" s="259">
        <v>1</v>
      </c>
      <c r="O210" s="520">
        <f>K210*L210*M210*N210</f>
        <v>0</v>
      </c>
      <c r="P210" s="261">
        <v>696305.06082000001</v>
      </c>
      <c r="Q210" s="521">
        <f>P210*$O210</f>
        <v>0</v>
      </c>
      <c r="R210" s="259">
        <v>577911.85919999995</v>
      </c>
      <c r="S210" s="496">
        <f>R210*$O210</f>
        <v>0</v>
      </c>
      <c r="T210" s="259">
        <v>601028.333568</v>
      </c>
      <c r="U210" s="517">
        <f>$O210*T210</f>
        <v>0</v>
      </c>
      <c r="V210" s="259" t="e">
        <f>W210/O210</f>
        <v>#DIV/0!</v>
      </c>
      <c r="W210" s="267">
        <f>AVERAGEIF($P$3:$U$3,W$3,$P210:$U210)</f>
        <v>0</v>
      </c>
      <c r="X210" s="578"/>
      <c r="Y210" s="492">
        <f t="shared" si="33"/>
        <v>0</v>
      </c>
      <c r="Z210" s="151"/>
    </row>
    <row r="211" spans="2:26" x14ac:dyDescent="0.35">
      <c r="B211" s="518"/>
      <c r="D211" s="580"/>
      <c r="E211" s="581"/>
      <c r="F211" s="151" t="s">
        <v>245</v>
      </c>
      <c r="G211" s="316" t="s">
        <v>195</v>
      </c>
      <c r="H211" s="317"/>
      <c r="I211" s="318"/>
      <c r="J211" s="316" t="s">
        <v>272</v>
      </c>
      <c r="K211" s="602">
        <v>0</v>
      </c>
      <c r="L211" s="577">
        <v>4007</v>
      </c>
      <c r="M211" s="258">
        <f>8/1000</f>
        <v>8.0000000000000002E-3</v>
      </c>
      <c r="N211" s="259">
        <v>1</v>
      </c>
      <c r="O211" s="520">
        <f>K211*L211*M211*N211</f>
        <v>0</v>
      </c>
      <c r="P211" s="261">
        <v>751428.66536999994</v>
      </c>
      <c r="Q211" s="521">
        <f>P211*$O211</f>
        <v>0</v>
      </c>
      <c r="R211" s="259">
        <v>671314.50879999995</v>
      </c>
      <c r="S211" s="496">
        <f>R211*$O211</f>
        <v>0</v>
      </c>
      <c r="T211" s="259">
        <v>698167.08915200003</v>
      </c>
      <c r="U211" s="517">
        <f>$O211*T211</f>
        <v>0</v>
      </c>
      <c r="V211" s="259" t="e">
        <f>W211/O211</f>
        <v>#DIV/0!</v>
      </c>
      <c r="W211" s="267">
        <f>AVERAGEIF($P$3:$U$3,W$3,$P211:$U211)</f>
        <v>0</v>
      </c>
      <c r="X211" s="578"/>
      <c r="Y211" s="492">
        <f t="shared" si="33"/>
        <v>0</v>
      </c>
      <c r="Z211" s="151"/>
    </row>
    <row r="212" spans="2:26" x14ac:dyDescent="0.35">
      <c r="B212" s="518"/>
      <c r="D212" t="s">
        <v>97</v>
      </c>
      <c r="E212" s="519"/>
      <c r="F212" s="151" t="s">
        <v>177</v>
      </c>
      <c r="G212" s="316" t="s">
        <v>178</v>
      </c>
      <c r="H212" s="317"/>
      <c r="I212" s="318"/>
      <c r="J212" s="316" t="s">
        <v>272</v>
      </c>
      <c r="K212" s="602">
        <v>0</v>
      </c>
      <c r="L212" s="577">
        <v>192.08</v>
      </c>
      <c r="M212" s="309">
        <v>0.5</v>
      </c>
      <c r="N212" s="259">
        <v>1</v>
      </c>
      <c r="O212" s="520">
        <f>K212*L212*M212*N212</f>
        <v>0</v>
      </c>
      <c r="P212" s="261">
        <v>158800.57379999998</v>
      </c>
      <c r="Q212" s="521">
        <f>P212*$O212</f>
        <v>0</v>
      </c>
      <c r="R212" s="259">
        <v>163305.33120000002</v>
      </c>
      <c r="S212" s="496">
        <f>R212*$O212</f>
        <v>0</v>
      </c>
      <c r="T212" s="259">
        <v>179635.86432000002</v>
      </c>
      <c r="U212" s="517">
        <f>$O212*T212</f>
        <v>0</v>
      </c>
      <c r="V212" s="259" t="e">
        <f>W212/O212</f>
        <v>#DIV/0!</v>
      </c>
      <c r="W212" s="267">
        <f>AVERAGEIF($P$3:$U$3,W$3,$P212:$U212)</f>
        <v>0</v>
      </c>
      <c r="X212" s="578"/>
      <c r="Y212" s="492">
        <f t="shared" si="33"/>
        <v>0</v>
      </c>
      <c r="Z212" s="151"/>
    </row>
    <row r="213" spans="2:26" x14ac:dyDescent="0.35">
      <c r="B213" s="518"/>
      <c r="E213" s="519"/>
      <c r="F213" s="151" t="s">
        <v>498</v>
      </c>
      <c r="G213" s="316" t="s">
        <v>328</v>
      </c>
      <c r="H213" s="317"/>
      <c r="I213" s="318"/>
      <c r="J213" s="316"/>
      <c r="K213" s="602">
        <v>0</v>
      </c>
      <c r="L213" s="577"/>
      <c r="M213" s="258"/>
      <c r="N213" s="259"/>
      <c r="O213" s="317"/>
      <c r="P213" s="496"/>
      <c r="Q213" s="521"/>
      <c r="R213" s="496"/>
      <c r="S213" s="496"/>
      <c r="T213" s="517"/>
      <c r="U213" s="517"/>
      <c r="V213" s="517"/>
      <c r="W213" s="517"/>
      <c r="X213" s="578"/>
      <c r="Y213" s="492">
        <f t="shared" si="33"/>
        <v>0</v>
      </c>
      <c r="Z213" s="151"/>
    </row>
    <row r="214" spans="2:26" x14ac:dyDescent="0.35">
      <c r="B214" s="518"/>
      <c r="E214" s="519"/>
      <c r="F214" s="151" t="s">
        <v>499</v>
      </c>
      <c r="G214" s="316" t="s">
        <v>328</v>
      </c>
      <c r="H214" s="317"/>
      <c r="I214" s="318"/>
      <c r="J214" s="316"/>
      <c r="K214" s="602">
        <v>0</v>
      </c>
      <c r="L214" s="577">
        <v>131</v>
      </c>
      <c r="M214" s="400">
        <f>1050/1000</f>
        <v>1.05</v>
      </c>
      <c r="N214" s="259">
        <v>1</v>
      </c>
      <c r="O214" s="520">
        <f>K214*L214*M214*N214</f>
        <v>0</v>
      </c>
      <c r="P214" s="261">
        <v>116455.5</v>
      </c>
      <c r="Q214" s="521">
        <f>P214*$O214</f>
        <v>0</v>
      </c>
      <c r="R214" s="259">
        <v>133813.90000000002</v>
      </c>
      <c r="S214" s="496">
        <f>R214*$O214</f>
        <v>0</v>
      </c>
      <c r="T214" s="259">
        <v>147195.29000000004</v>
      </c>
      <c r="U214" s="517">
        <f>$O214*T214</f>
        <v>0</v>
      </c>
      <c r="V214" s="259" t="e">
        <f>W214/O214</f>
        <v>#DIV/0!</v>
      </c>
      <c r="W214" s="267">
        <f>AVERAGEIF($P$3:$U$3,W$3,$P214:$U214)</f>
        <v>0</v>
      </c>
      <c r="X214" s="578"/>
      <c r="Y214" s="492">
        <f t="shared" si="33"/>
        <v>0</v>
      </c>
      <c r="Z214" s="151"/>
    </row>
    <row r="215" spans="2:26" x14ac:dyDescent="0.35">
      <c r="B215" s="518"/>
      <c r="E215" s="519"/>
      <c r="F215" s="151" t="s">
        <v>205</v>
      </c>
      <c r="G215" s="316" t="s">
        <v>195</v>
      </c>
      <c r="H215" s="317"/>
      <c r="I215" s="318"/>
      <c r="J215" s="316"/>
      <c r="K215" s="602">
        <v>0</v>
      </c>
      <c r="L215" s="577">
        <v>131</v>
      </c>
      <c r="M215" s="400">
        <v>2.8000000000000001E-2</v>
      </c>
      <c r="N215" s="259">
        <v>1</v>
      </c>
      <c r="O215" s="520">
        <f>K215*L215*M215*N215</f>
        <v>0</v>
      </c>
      <c r="P215" s="261">
        <v>761671.70213055995</v>
      </c>
      <c r="Q215" s="521">
        <f>P215*$O215</f>
        <v>0</v>
      </c>
      <c r="R215" s="496"/>
      <c r="S215" s="496"/>
      <c r="T215" s="517"/>
      <c r="U215" s="517"/>
      <c r="V215" s="517"/>
      <c r="W215" s="517"/>
      <c r="X215" s="578"/>
      <c r="Y215" s="492">
        <f t="shared" si="33"/>
        <v>0</v>
      </c>
      <c r="Z215" s="151"/>
    </row>
    <row r="216" spans="2:26" x14ac:dyDescent="0.35">
      <c r="B216" s="518"/>
      <c r="E216" s="519"/>
      <c r="F216" s="151" t="s">
        <v>500</v>
      </c>
      <c r="G216" s="316" t="s">
        <v>195</v>
      </c>
      <c r="H216" s="317"/>
      <c r="I216" s="318"/>
      <c r="J216" s="316"/>
      <c r="K216" s="602">
        <v>0</v>
      </c>
      <c r="L216" s="577">
        <v>131</v>
      </c>
      <c r="M216" s="258">
        <f>8/1000</f>
        <v>8.0000000000000002E-3</v>
      </c>
      <c r="N216" s="259">
        <v>1</v>
      </c>
      <c r="O216" s="520">
        <f>K216*L216*M216*N216</f>
        <v>0</v>
      </c>
      <c r="P216" s="261">
        <v>696305.06082000001</v>
      </c>
      <c r="Q216" s="521">
        <f>P216*$O216</f>
        <v>0</v>
      </c>
      <c r="R216" s="259">
        <v>577911.85919999995</v>
      </c>
      <c r="S216" s="496">
        <f>R216*$O216</f>
        <v>0</v>
      </c>
      <c r="T216" s="259">
        <v>601028.333568</v>
      </c>
      <c r="U216" s="517">
        <f>$O216*T216</f>
        <v>0</v>
      </c>
      <c r="V216" s="259" t="e">
        <f>W216/O216</f>
        <v>#DIV/0!</v>
      </c>
      <c r="W216" s="267">
        <f>AVERAGEIF($P$3:$U$3,W$3,$P216:$U216)</f>
        <v>0</v>
      </c>
      <c r="X216" s="578"/>
      <c r="Y216" s="492">
        <f t="shared" si="33"/>
        <v>0</v>
      </c>
      <c r="Z216" s="390"/>
    </row>
    <row r="217" spans="2:26" x14ac:dyDescent="0.35">
      <c r="B217" s="518"/>
      <c r="D217" s="580"/>
      <c r="E217" s="581"/>
      <c r="F217" s="151" t="s">
        <v>245</v>
      </c>
      <c r="G217" s="316" t="s">
        <v>195</v>
      </c>
      <c r="H217" s="317"/>
      <c r="I217" s="318"/>
      <c r="J217" s="316"/>
      <c r="K217" s="602">
        <v>0</v>
      </c>
      <c r="L217" s="577">
        <v>131</v>
      </c>
      <c r="M217" s="258">
        <f>8/1000</f>
        <v>8.0000000000000002E-3</v>
      </c>
      <c r="N217" s="259">
        <v>1</v>
      </c>
      <c r="O217" s="520">
        <f>K217*L217*M217*N217</f>
        <v>0</v>
      </c>
      <c r="P217" s="261">
        <v>751428.66536999994</v>
      </c>
      <c r="Q217" s="521">
        <f>P217*$O217</f>
        <v>0</v>
      </c>
      <c r="R217" s="259">
        <v>671314.50879999995</v>
      </c>
      <c r="S217" s="496">
        <f>R217*$O217</f>
        <v>0</v>
      </c>
      <c r="T217" s="259">
        <v>698167.08915200003</v>
      </c>
      <c r="U217" s="517">
        <f>$O217*T217</f>
        <v>0</v>
      </c>
      <c r="V217" s="259" t="e">
        <f>W217/O217</f>
        <v>#DIV/0!</v>
      </c>
      <c r="W217" s="267">
        <f>AVERAGEIF($P$3:$U$3,W$3,$P217:$U217)</f>
        <v>0</v>
      </c>
      <c r="X217" s="578"/>
      <c r="Y217" s="492">
        <f t="shared" si="33"/>
        <v>0</v>
      </c>
      <c r="Z217" s="390"/>
    </row>
    <row r="218" spans="2:26" x14ac:dyDescent="0.35">
      <c r="B218" s="518"/>
      <c r="D218" t="s">
        <v>100</v>
      </c>
      <c r="E218" s="519"/>
      <c r="F218" s="151" t="s">
        <v>177</v>
      </c>
      <c r="G218" s="316" t="s">
        <v>178</v>
      </c>
      <c r="H218" s="317"/>
      <c r="I218" s="318"/>
      <c r="J218" s="316"/>
      <c r="K218" s="602">
        <v>0</v>
      </c>
      <c r="L218" s="577">
        <v>192.08</v>
      </c>
      <c r="M218" s="309">
        <v>0.5</v>
      </c>
      <c r="N218" s="259">
        <v>1</v>
      </c>
      <c r="O218" s="520">
        <f>K218*L218*M218*N218</f>
        <v>0</v>
      </c>
      <c r="P218" s="261">
        <v>158800.57379999998</v>
      </c>
      <c r="Q218" s="521">
        <f t="shared" ref="Q218:Q223" si="34">P218*$O218</f>
        <v>0</v>
      </c>
      <c r="R218" s="496"/>
      <c r="S218" s="496"/>
      <c r="T218" s="517"/>
      <c r="U218" s="517"/>
      <c r="V218" s="517"/>
      <c r="W218" s="517"/>
      <c r="X218" s="578"/>
      <c r="Y218" s="492">
        <f t="shared" si="33"/>
        <v>0</v>
      </c>
      <c r="Z218" s="151"/>
    </row>
    <row r="219" spans="2:26" x14ac:dyDescent="0.35">
      <c r="B219" s="518"/>
      <c r="E219" s="519"/>
      <c r="F219" s="151" t="s">
        <v>498</v>
      </c>
      <c r="G219" s="316" t="s">
        <v>328</v>
      </c>
      <c r="H219" s="317"/>
      <c r="I219" s="318"/>
      <c r="J219" s="316"/>
      <c r="K219" s="602">
        <v>0</v>
      </c>
      <c r="L219" s="577"/>
      <c r="M219" s="258"/>
      <c r="N219" s="259"/>
      <c r="O219" s="317"/>
      <c r="P219" s="261">
        <v>0</v>
      </c>
      <c r="Q219" s="521">
        <f t="shared" si="34"/>
        <v>0</v>
      </c>
      <c r="R219" s="496"/>
      <c r="S219" s="496"/>
      <c r="T219" s="517"/>
      <c r="U219" s="517"/>
      <c r="V219" s="517"/>
      <c r="W219" s="517"/>
      <c r="X219" s="578"/>
      <c r="Y219" s="492">
        <f t="shared" si="33"/>
        <v>0</v>
      </c>
      <c r="Z219" s="151"/>
    </row>
    <row r="220" spans="2:26" x14ac:dyDescent="0.35">
      <c r="B220" s="622"/>
      <c r="C220" s="173"/>
      <c r="D220" s="173"/>
      <c r="E220" s="623"/>
      <c r="F220" s="381" t="s">
        <v>499</v>
      </c>
      <c r="G220" s="600" t="s">
        <v>328</v>
      </c>
      <c r="H220" s="578"/>
      <c r="I220" s="601"/>
      <c r="J220" s="600"/>
      <c r="K220" s="602">
        <v>0</v>
      </c>
      <c r="L220" s="577">
        <v>6004</v>
      </c>
      <c r="M220" s="400">
        <f>1050/1000</f>
        <v>1.05</v>
      </c>
      <c r="N220" s="259">
        <v>1</v>
      </c>
      <c r="O220" s="520">
        <f t="shared" ref="O220:O228" si="35">K220*L220*M220*N220</f>
        <v>0</v>
      </c>
      <c r="P220" s="261">
        <v>116455.5</v>
      </c>
      <c r="Q220" s="521">
        <f t="shared" si="34"/>
        <v>0</v>
      </c>
      <c r="R220" s="603"/>
      <c r="S220" s="603"/>
      <c r="T220" s="605"/>
      <c r="U220" s="605"/>
      <c r="V220" s="605"/>
      <c r="W220" s="605"/>
      <c r="X220" s="578"/>
      <c r="Y220" s="492">
        <f t="shared" si="33"/>
        <v>0</v>
      </c>
      <c r="Z220" s="151"/>
    </row>
    <row r="221" spans="2:26" x14ac:dyDescent="0.35">
      <c r="B221" s="622"/>
      <c r="C221" s="173"/>
      <c r="D221" s="173"/>
      <c r="E221" s="623"/>
      <c r="F221" s="381" t="s">
        <v>205</v>
      </c>
      <c r="G221" s="600" t="s">
        <v>195</v>
      </c>
      <c r="H221" s="578"/>
      <c r="I221" s="601"/>
      <c r="J221" s="600"/>
      <c r="K221" s="602">
        <v>0</v>
      </c>
      <c r="L221" s="577">
        <v>6004</v>
      </c>
      <c r="M221" s="400">
        <v>2.8000000000000001E-2</v>
      </c>
      <c r="N221" s="259">
        <v>1</v>
      </c>
      <c r="O221" s="520">
        <f t="shared" si="35"/>
        <v>0</v>
      </c>
      <c r="P221" s="261">
        <v>761671.70213055995</v>
      </c>
      <c r="Q221" s="521">
        <f t="shared" si="34"/>
        <v>0</v>
      </c>
      <c r="R221" s="603"/>
      <c r="S221" s="603"/>
      <c r="T221" s="605"/>
      <c r="U221" s="605"/>
      <c r="V221" s="605"/>
      <c r="W221" s="605"/>
      <c r="X221" s="578"/>
      <c r="Y221" s="492">
        <f t="shared" si="33"/>
        <v>0</v>
      </c>
      <c r="Z221" s="151"/>
    </row>
    <row r="222" spans="2:26" x14ac:dyDescent="0.35">
      <c r="B222" s="622"/>
      <c r="C222" s="173"/>
      <c r="D222" s="173"/>
      <c r="E222" s="623"/>
      <c r="F222" s="381" t="s">
        <v>500</v>
      </c>
      <c r="G222" s="600" t="s">
        <v>195</v>
      </c>
      <c r="H222" s="578"/>
      <c r="I222" s="601"/>
      <c r="J222" s="600"/>
      <c r="K222" s="602">
        <v>0</v>
      </c>
      <c r="L222" s="577">
        <v>6004</v>
      </c>
      <c r="M222" s="258">
        <f>8/1000</f>
        <v>8.0000000000000002E-3</v>
      </c>
      <c r="N222" s="259">
        <v>1</v>
      </c>
      <c r="O222" s="520">
        <f t="shared" si="35"/>
        <v>0</v>
      </c>
      <c r="P222" s="261">
        <v>696305.06082000001</v>
      </c>
      <c r="Q222" s="521">
        <f t="shared" si="34"/>
        <v>0</v>
      </c>
      <c r="R222" s="603"/>
      <c r="S222" s="603"/>
      <c r="T222" s="605"/>
      <c r="U222" s="605"/>
      <c r="V222" s="605"/>
      <c r="W222" s="605"/>
      <c r="X222" s="578"/>
      <c r="Y222" s="492">
        <f t="shared" si="33"/>
        <v>0</v>
      </c>
      <c r="Z222" s="151"/>
    </row>
    <row r="223" spans="2:26" x14ac:dyDescent="0.35">
      <c r="B223" s="622"/>
      <c r="C223" s="173"/>
      <c r="D223" s="598"/>
      <c r="E223" s="599"/>
      <c r="F223" s="381" t="s">
        <v>245</v>
      </c>
      <c r="G223" s="600" t="s">
        <v>195</v>
      </c>
      <c r="H223" s="578"/>
      <c r="I223" s="601"/>
      <c r="J223" s="600"/>
      <c r="K223" s="602">
        <v>0</v>
      </c>
      <c r="L223" s="577">
        <v>6004</v>
      </c>
      <c r="M223" s="258">
        <f>8/1000</f>
        <v>8.0000000000000002E-3</v>
      </c>
      <c r="N223" s="259">
        <v>1</v>
      </c>
      <c r="O223" s="520">
        <f t="shared" si="35"/>
        <v>0</v>
      </c>
      <c r="P223" s="261">
        <v>751428.66536999994</v>
      </c>
      <c r="Q223" s="521">
        <f t="shared" si="34"/>
        <v>0</v>
      </c>
      <c r="R223" s="603"/>
      <c r="S223" s="603"/>
      <c r="T223" s="605"/>
      <c r="U223" s="605"/>
      <c r="V223" s="605"/>
      <c r="W223" s="605"/>
      <c r="X223" s="578"/>
      <c r="Y223" s="492">
        <f t="shared" si="33"/>
        <v>0</v>
      </c>
      <c r="Z223" s="151"/>
    </row>
    <row r="224" spans="2:26" x14ac:dyDescent="0.35">
      <c r="B224" s="622"/>
      <c r="C224" s="173"/>
      <c r="D224" s="170" t="s">
        <v>102</v>
      </c>
      <c r="E224" s="646"/>
      <c r="F224" s="151" t="s">
        <v>177</v>
      </c>
      <c r="G224" s="316" t="s">
        <v>178</v>
      </c>
      <c r="H224" s="317"/>
      <c r="I224" s="318"/>
      <c r="J224" s="316"/>
      <c r="K224" s="602">
        <v>0</v>
      </c>
      <c r="L224" s="577">
        <v>192.08</v>
      </c>
      <c r="M224" s="309">
        <v>0.5</v>
      </c>
      <c r="N224" s="259">
        <v>1</v>
      </c>
      <c r="O224" s="520">
        <f t="shared" si="35"/>
        <v>0</v>
      </c>
      <c r="P224" s="261">
        <v>158800.57379999998</v>
      </c>
      <c r="Q224" s="521">
        <f>P224*$O224</f>
        <v>0</v>
      </c>
      <c r="R224" s="259">
        <v>163305.33120000002</v>
      </c>
      <c r="S224" s="496">
        <f>R224*$O224</f>
        <v>0</v>
      </c>
      <c r="T224" s="259">
        <v>179635.86432000002</v>
      </c>
      <c r="U224" s="517">
        <f>$O224*T224</f>
        <v>0</v>
      </c>
      <c r="V224" s="259" t="e">
        <f>W224/O224</f>
        <v>#DIV/0!</v>
      </c>
      <c r="W224" s="267">
        <f>AVERAGEIF($P$3:$U$3,W$3,$P224:$U224)</f>
        <v>0</v>
      </c>
      <c r="X224" s="578"/>
      <c r="Y224" s="492">
        <f t="shared" si="33"/>
        <v>0</v>
      </c>
      <c r="Z224" s="151"/>
    </row>
    <row r="225" spans="2:26" x14ac:dyDescent="0.35">
      <c r="B225" s="622"/>
      <c r="C225" s="173"/>
      <c r="D225" s="173"/>
      <c r="E225" s="623"/>
      <c r="F225" s="381" t="s">
        <v>499</v>
      </c>
      <c r="G225" s="600" t="s">
        <v>328</v>
      </c>
      <c r="H225" s="578"/>
      <c r="I225" s="601"/>
      <c r="J225" s="600"/>
      <c r="K225" s="602">
        <v>0</v>
      </c>
      <c r="L225" s="577">
        <v>1106</v>
      </c>
      <c r="M225" s="400">
        <f>1050/1000</f>
        <v>1.05</v>
      </c>
      <c r="N225" s="259">
        <v>1</v>
      </c>
      <c r="O225" s="520">
        <f t="shared" si="35"/>
        <v>0</v>
      </c>
      <c r="P225" s="261">
        <v>116455.5</v>
      </c>
      <c r="Q225" s="521">
        <f>P225*$O225</f>
        <v>0</v>
      </c>
      <c r="R225" s="259">
        <v>133813.90000000002</v>
      </c>
      <c r="S225" s="496">
        <f>R225*$O225</f>
        <v>0</v>
      </c>
      <c r="T225" s="259">
        <v>147195.29000000004</v>
      </c>
      <c r="U225" s="517">
        <f>$O225*T225</f>
        <v>0</v>
      </c>
      <c r="V225" s="259" t="e">
        <f>W225/O225</f>
        <v>#DIV/0!</v>
      </c>
      <c r="W225" s="267">
        <f>AVERAGEIF($P$3:$U$3,W$3,$P225:$U225)</f>
        <v>0</v>
      </c>
      <c r="X225" s="578"/>
      <c r="Y225" s="492">
        <f t="shared" si="33"/>
        <v>0</v>
      </c>
      <c r="Z225" s="151"/>
    </row>
    <row r="226" spans="2:26" x14ac:dyDescent="0.35">
      <c r="B226" s="622"/>
      <c r="C226" s="173"/>
      <c r="D226" s="173"/>
      <c r="E226" s="623"/>
      <c r="F226" s="381" t="s">
        <v>205</v>
      </c>
      <c r="G226" s="600" t="s">
        <v>195</v>
      </c>
      <c r="H226" s="578"/>
      <c r="I226" s="601"/>
      <c r="J226" s="600"/>
      <c r="K226" s="602">
        <v>0</v>
      </c>
      <c r="L226" s="577">
        <v>1106</v>
      </c>
      <c r="M226" s="400">
        <v>2.8000000000000001E-2</v>
      </c>
      <c r="N226" s="259">
        <v>1</v>
      </c>
      <c r="O226" s="520">
        <f t="shared" si="35"/>
        <v>0</v>
      </c>
      <c r="P226" s="261">
        <v>761671.70213055995</v>
      </c>
      <c r="Q226" s="521">
        <f>P226*$O226</f>
        <v>0</v>
      </c>
      <c r="R226" s="259"/>
      <c r="S226" s="496"/>
      <c r="T226" s="259"/>
      <c r="U226" s="517"/>
      <c r="V226" s="259"/>
      <c r="W226" s="267"/>
      <c r="X226" s="578"/>
      <c r="Y226" s="492">
        <f t="shared" si="33"/>
        <v>0</v>
      </c>
      <c r="Z226" s="151"/>
    </row>
    <row r="227" spans="2:26" x14ac:dyDescent="0.35">
      <c r="B227" s="622"/>
      <c r="C227" s="173"/>
      <c r="D227" s="173"/>
      <c r="E227" s="623"/>
      <c r="F227" s="381" t="s">
        <v>500</v>
      </c>
      <c r="G227" s="600" t="s">
        <v>195</v>
      </c>
      <c r="H227" s="578"/>
      <c r="I227" s="601"/>
      <c r="J227" s="600"/>
      <c r="K227" s="602">
        <v>0</v>
      </c>
      <c r="L227" s="577">
        <v>1106</v>
      </c>
      <c r="M227" s="258">
        <f>8/1000</f>
        <v>8.0000000000000002E-3</v>
      </c>
      <c r="N227" s="259">
        <v>1</v>
      </c>
      <c r="O227" s="520">
        <f t="shared" si="35"/>
        <v>0</v>
      </c>
      <c r="P227" s="261">
        <v>696305.06082000001</v>
      </c>
      <c r="Q227" s="521">
        <f>P227*$O227</f>
        <v>0</v>
      </c>
      <c r="R227" s="259"/>
      <c r="S227" s="496"/>
      <c r="T227" s="259"/>
      <c r="U227" s="517"/>
      <c r="V227" s="259"/>
      <c r="W227" s="267"/>
      <c r="X227" s="578"/>
      <c r="Y227" s="492">
        <f t="shared" si="33"/>
        <v>0</v>
      </c>
      <c r="Z227" s="151"/>
    </row>
    <row r="228" spans="2:26" x14ac:dyDescent="0.35">
      <c r="B228" s="622"/>
      <c r="C228" s="173"/>
      <c r="D228" s="598"/>
      <c r="E228" s="599"/>
      <c r="F228" s="381" t="s">
        <v>245</v>
      </c>
      <c r="G228" s="600" t="s">
        <v>195</v>
      </c>
      <c r="H228" s="578"/>
      <c r="I228" s="601"/>
      <c r="J228" s="600"/>
      <c r="K228" s="602">
        <v>0</v>
      </c>
      <c r="L228" s="577">
        <v>1106</v>
      </c>
      <c r="M228" s="258">
        <f>8/1000</f>
        <v>8.0000000000000002E-3</v>
      </c>
      <c r="N228" s="259">
        <v>1</v>
      </c>
      <c r="O228" s="520">
        <f t="shared" si="35"/>
        <v>0</v>
      </c>
      <c r="P228" s="261">
        <v>751428.66536999994</v>
      </c>
      <c r="Q228" s="521">
        <f>P228*$O228</f>
        <v>0</v>
      </c>
      <c r="R228" s="259">
        <v>671314.50879999995</v>
      </c>
      <c r="S228" s="496">
        <f>R228*$O228</f>
        <v>0</v>
      </c>
      <c r="T228" s="259">
        <v>698167.08915200003</v>
      </c>
      <c r="U228" s="517">
        <f>$O228*T228</f>
        <v>0</v>
      </c>
      <c r="V228" s="259" t="e">
        <f>W228/O228</f>
        <v>#DIV/0!</v>
      </c>
      <c r="W228" s="267">
        <f>AVERAGEIF($P$3:$U$3,W$3,$P228:$U228)</f>
        <v>0</v>
      </c>
      <c r="X228" s="578"/>
      <c r="Y228" s="492">
        <f t="shared" si="33"/>
        <v>0</v>
      </c>
      <c r="Z228" s="151"/>
    </row>
    <row r="229" spans="2:26" hidden="1" x14ac:dyDescent="0.35">
      <c r="B229" s="622"/>
      <c r="C229" s="173"/>
      <c r="D229" s="170" t="s">
        <v>96</v>
      </c>
      <c r="E229" s="646"/>
      <c r="F229" s="381" t="s">
        <v>177</v>
      </c>
      <c r="G229" s="600" t="s">
        <v>178</v>
      </c>
      <c r="H229" s="578"/>
      <c r="I229" s="601"/>
      <c r="J229" s="600"/>
      <c r="K229" s="575"/>
      <c r="L229" s="621"/>
      <c r="M229" s="379">
        <f>1/100</f>
        <v>0.01</v>
      </c>
      <c r="N229" s="380">
        <v>2</v>
      </c>
      <c r="O229" s="578"/>
      <c r="P229" s="603"/>
      <c r="Q229" s="604"/>
      <c r="R229" s="603"/>
      <c r="S229" s="603"/>
      <c r="T229" s="605"/>
      <c r="U229" s="605"/>
      <c r="V229" s="605"/>
      <c r="W229" s="605"/>
      <c r="X229" s="578"/>
      <c r="Y229" s="151"/>
      <c r="Z229" s="151"/>
    </row>
    <row r="230" spans="2:26" hidden="1" x14ac:dyDescent="0.35">
      <c r="B230" s="622"/>
      <c r="C230" s="173"/>
      <c r="D230" s="173"/>
      <c r="E230" s="623"/>
      <c r="F230" s="381" t="s">
        <v>500</v>
      </c>
      <c r="G230" s="600" t="s">
        <v>195</v>
      </c>
      <c r="H230" s="578"/>
      <c r="I230" s="601"/>
      <c r="J230" s="316" t="s">
        <v>272</v>
      </c>
      <c r="K230" s="433">
        <v>0.5</v>
      </c>
      <c r="L230" s="621"/>
      <c r="M230" s="379">
        <f>3/1000</f>
        <v>3.0000000000000001E-3</v>
      </c>
      <c r="N230" s="380">
        <v>1</v>
      </c>
      <c r="O230" s="520">
        <f>K230*L230*M230*N230</f>
        <v>0</v>
      </c>
      <c r="P230" s="261">
        <v>696305.06082000001</v>
      </c>
      <c r="Q230" s="521">
        <f>P230*$O230</f>
        <v>0</v>
      </c>
      <c r="R230" s="259">
        <v>577911.85919999995</v>
      </c>
      <c r="S230" s="496">
        <f>R230*$O230</f>
        <v>0</v>
      </c>
      <c r="T230" s="259">
        <v>601028.333568</v>
      </c>
      <c r="U230" s="517">
        <f>$O230*T230</f>
        <v>0</v>
      </c>
      <c r="V230" s="259" t="e">
        <f>W230/O230</f>
        <v>#DIV/0!</v>
      </c>
      <c r="W230" s="267">
        <f>AVERAGEIF($P$3:$U$3,W$3,$P230:$U230)</f>
        <v>0</v>
      </c>
      <c r="X230" s="578"/>
      <c r="Y230" s="151"/>
      <c r="Z230" s="151"/>
    </row>
    <row r="231" spans="2:26" hidden="1" x14ac:dyDescent="0.35">
      <c r="B231" s="622"/>
      <c r="C231" s="173"/>
      <c r="D231" s="598"/>
      <c r="E231" s="599"/>
      <c r="F231" s="381" t="s">
        <v>245</v>
      </c>
      <c r="G231" s="600" t="s">
        <v>195</v>
      </c>
      <c r="H231" s="578"/>
      <c r="I231" s="601"/>
      <c r="J231" s="316" t="s">
        <v>272</v>
      </c>
      <c r="K231" s="433">
        <v>0.5</v>
      </c>
      <c r="L231" s="621"/>
      <c r="M231" s="379">
        <f>3/1000</f>
        <v>3.0000000000000001E-3</v>
      </c>
      <c r="N231" s="380">
        <v>1</v>
      </c>
      <c r="O231" s="520">
        <f>K231*L231*M231*N231</f>
        <v>0</v>
      </c>
      <c r="P231" s="261">
        <v>751428.66536999994</v>
      </c>
      <c r="Q231" s="521">
        <f>P231*$O231</f>
        <v>0</v>
      </c>
      <c r="R231" s="259">
        <v>671314.50879999995</v>
      </c>
      <c r="S231" s="496">
        <f>R231*$O231</f>
        <v>0</v>
      </c>
      <c r="T231" s="259">
        <v>698167.08915200003</v>
      </c>
      <c r="U231" s="517">
        <f>$O231*T231</f>
        <v>0</v>
      </c>
      <c r="V231" s="259" t="e">
        <f>W231/O231</f>
        <v>#DIV/0!</v>
      </c>
      <c r="W231" s="267">
        <f>AVERAGEIF($P$3:$U$3,W$3,$P231:$U231)</f>
        <v>0</v>
      </c>
      <c r="X231" s="578"/>
      <c r="Y231" s="151"/>
      <c r="Z231" s="151"/>
    </row>
    <row r="232" spans="2:26" hidden="1" x14ac:dyDescent="0.35">
      <c r="B232" s="622"/>
      <c r="C232" s="173"/>
      <c r="D232" s="170" t="s">
        <v>97</v>
      </c>
      <c r="E232" s="646"/>
      <c r="F232" s="381" t="s">
        <v>177</v>
      </c>
      <c r="G232" s="600" t="s">
        <v>178</v>
      </c>
      <c r="H232" s="578"/>
      <c r="I232" s="601"/>
      <c r="J232" s="600"/>
      <c r="K232" s="602"/>
      <c r="L232" s="621"/>
      <c r="M232" s="379">
        <f>1/100</f>
        <v>0.01</v>
      </c>
      <c r="N232" s="380">
        <v>2</v>
      </c>
      <c r="O232" s="578"/>
      <c r="P232" s="603"/>
      <c r="Q232" s="604"/>
      <c r="R232" s="603"/>
      <c r="S232" s="603"/>
      <c r="T232" s="605"/>
      <c r="U232" s="605"/>
      <c r="V232" s="605"/>
      <c r="W232" s="605"/>
      <c r="X232" s="578"/>
      <c r="Y232" s="151"/>
      <c r="Z232" s="151"/>
    </row>
    <row r="233" spans="2:26" hidden="1" x14ac:dyDescent="0.35">
      <c r="B233" s="622"/>
      <c r="C233" s="173"/>
      <c r="D233" s="173"/>
      <c r="E233" s="623"/>
      <c r="F233" s="381" t="s">
        <v>500</v>
      </c>
      <c r="G233" s="600" t="s">
        <v>195</v>
      </c>
      <c r="H233" s="578"/>
      <c r="I233" s="601"/>
      <c r="J233" s="316" t="s">
        <v>272</v>
      </c>
      <c r="K233" s="433">
        <v>0.5</v>
      </c>
      <c r="L233" s="577"/>
      <c r="M233" s="379">
        <f>2/1000</f>
        <v>2E-3</v>
      </c>
      <c r="N233" s="380">
        <v>1</v>
      </c>
      <c r="O233" s="520">
        <f>K233*L233*M233*N233</f>
        <v>0</v>
      </c>
      <c r="P233" s="261">
        <v>696305.06082000001</v>
      </c>
      <c r="Q233" s="521">
        <f>P233*$O233</f>
        <v>0</v>
      </c>
      <c r="R233" s="259">
        <v>577911.85919999995</v>
      </c>
      <c r="S233" s="496">
        <f>R233*$O233</f>
        <v>0</v>
      </c>
      <c r="T233" s="259">
        <v>601028.333568</v>
      </c>
      <c r="U233" s="517">
        <f>$O233*T233</f>
        <v>0</v>
      </c>
      <c r="V233" s="259" t="e">
        <f>W233/O233</f>
        <v>#DIV/0!</v>
      </c>
      <c r="W233" s="267">
        <f>AVERAGEIF($P$3:$U$3,W$3,$P233:$U233)</f>
        <v>0</v>
      </c>
      <c r="X233" s="578"/>
      <c r="Y233" s="151"/>
      <c r="Z233" s="151"/>
    </row>
    <row r="234" spans="2:26" hidden="1" x14ac:dyDescent="0.35">
      <c r="B234" s="597"/>
      <c r="C234" s="598"/>
      <c r="D234" s="598"/>
      <c r="E234" s="599"/>
      <c r="F234" s="381" t="s">
        <v>245</v>
      </c>
      <c r="G234" s="600" t="s">
        <v>195</v>
      </c>
      <c r="H234" s="578"/>
      <c r="I234" s="601"/>
      <c r="J234" s="316" t="s">
        <v>272</v>
      </c>
      <c r="K234" s="433">
        <v>0.5</v>
      </c>
      <c r="L234" s="577"/>
      <c r="M234" s="379">
        <f>2/1000</f>
        <v>2E-3</v>
      </c>
      <c r="N234" s="380">
        <v>1</v>
      </c>
      <c r="O234" s="520">
        <f>K234*L234*M234*N234</f>
        <v>0</v>
      </c>
      <c r="P234" s="261">
        <v>751428.66536999994</v>
      </c>
      <c r="Q234" s="521">
        <f>P234*$O234</f>
        <v>0</v>
      </c>
      <c r="R234" s="259">
        <v>671314.50879999995</v>
      </c>
      <c r="S234" s="496">
        <f>R234*$O234</f>
        <v>0</v>
      </c>
      <c r="T234" s="259">
        <v>698167.08915200003</v>
      </c>
      <c r="U234" s="517">
        <f>$O234*T234</f>
        <v>0</v>
      </c>
      <c r="V234" s="259" t="e">
        <f>W234/O234</f>
        <v>#DIV/0!</v>
      </c>
      <c r="W234" s="267">
        <f>AVERAGEIF($P$3:$U$3,W$3,$P234:$U234)</f>
        <v>0</v>
      </c>
      <c r="X234" s="578"/>
      <c r="Y234" s="151"/>
      <c r="Z234" s="151"/>
    </row>
    <row r="235" spans="2:26" ht="29.25" customHeight="1" x14ac:dyDescent="0.35">
      <c r="B235" s="606" t="s">
        <v>501</v>
      </c>
      <c r="C235" s="716"/>
      <c r="D235" s="716"/>
      <c r="E235" s="717"/>
      <c r="F235" s="609"/>
      <c r="G235" s="610"/>
      <c r="H235" s="611"/>
      <c r="I235" s="612"/>
      <c r="J235" s="610"/>
      <c r="K235" s="613"/>
      <c r="L235" s="614"/>
      <c r="M235" s="615"/>
      <c r="N235" s="616"/>
      <c r="O235" s="611"/>
      <c r="P235" s="617"/>
      <c r="Q235" s="618">
        <f>SUM(Q200:Q228)</f>
        <v>0</v>
      </c>
      <c r="R235" s="617"/>
      <c r="S235" s="718">
        <f>SUM(S224:S234)</f>
        <v>0</v>
      </c>
      <c r="T235" s="605"/>
      <c r="U235" s="605"/>
      <c r="V235" s="605"/>
      <c r="W235" s="605"/>
      <c r="X235" s="611"/>
      <c r="Y235" s="645">
        <f>Q235/192.08</f>
        <v>0</v>
      </c>
      <c r="Z235" s="732">
        <f>Q235/4365858560.88*100</f>
        <v>0</v>
      </c>
    </row>
    <row r="236" spans="2:26" x14ac:dyDescent="0.35">
      <c r="B236" s="578"/>
      <c r="C236" s="601" t="s">
        <v>502</v>
      </c>
      <c r="D236" s="601"/>
      <c r="E236" s="642"/>
      <c r="F236" s="381"/>
      <c r="G236" s="600"/>
      <c r="H236" s="578"/>
      <c r="I236" s="601"/>
      <c r="J236" s="600"/>
      <c r="K236" s="575"/>
      <c r="L236" s="621"/>
      <c r="M236" s="379"/>
      <c r="N236" s="380"/>
      <c r="O236" s="578"/>
      <c r="P236" s="603"/>
      <c r="Q236" s="604"/>
      <c r="R236" s="603"/>
      <c r="S236" s="603"/>
      <c r="T236" s="605"/>
      <c r="U236" s="605"/>
      <c r="V236" s="605"/>
      <c r="W236" s="605"/>
      <c r="X236" s="578"/>
      <c r="Y236" s="151"/>
      <c r="Z236" s="151"/>
    </row>
    <row r="237" spans="2:26" x14ac:dyDescent="0.35">
      <c r="B237" s="518"/>
      <c r="D237" t="s">
        <v>104</v>
      </c>
      <c r="E237" s="519"/>
      <c r="F237" s="151" t="s">
        <v>177</v>
      </c>
      <c r="G237" s="316" t="s">
        <v>178</v>
      </c>
      <c r="H237" s="317"/>
      <c r="I237" s="318"/>
      <c r="J237" s="316"/>
      <c r="K237" s="602">
        <v>0</v>
      </c>
      <c r="L237" s="577"/>
      <c r="M237" s="300">
        <v>1</v>
      </c>
      <c r="N237" s="259">
        <v>1</v>
      </c>
      <c r="O237" s="520">
        <f t="shared" ref="O237:O249" si="36">K237*L237*M237*N237</f>
        <v>0</v>
      </c>
      <c r="P237" s="496"/>
      <c r="Q237" s="521"/>
      <c r="R237" s="496"/>
      <c r="S237" s="496"/>
      <c r="T237" s="517"/>
      <c r="U237" s="517"/>
      <c r="V237" s="517"/>
      <c r="W237" s="517"/>
      <c r="X237" s="578"/>
      <c r="Y237" s="492">
        <f t="shared" ref="Y237:Y262" si="37">Q237/192.08</f>
        <v>0</v>
      </c>
      <c r="Z237" s="151"/>
    </row>
    <row r="238" spans="2:26" x14ac:dyDescent="0.35">
      <c r="B238" s="518"/>
      <c r="E238" s="519"/>
      <c r="F238" s="151" t="s">
        <v>252</v>
      </c>
      <c r="G238" s="316" t="s">
        <v>253</v>
      </c>
      <c r="H238" s="317"/>
      <c r="I238" s="318"/>
      <c r="J238" s="316"/>
      <c r="K238" s="602">
        <v>0</v>
      </c>
      <c r="L238" s="577"/>
      <c r="M238" s="300">
        <v>1</v>
      </c>
      <c r="N238" s="259">
        <v>1</v>
      </c>
      <c r="O238" s="520">
        <f t="shared" si="36"/>
        <v>0</v>
      </c>
      <c r="P238" s="496"/>
      <c r="Q238" s="521"/>
      <c r="R238" s="496"/>
      <c r="S238" s="496"/>
      <c r="T238" s="517"/>
      <c r="U238" s="517"/>
      <c r="V238" s="517"/>
      <c r="W238" s="517"/>
      <c r="X238" s="578"/>
      <c r="Y238" s="492">
        <f t="shared" si="37"/>
        <v>0</v>
      </c>
      <c r="Z238" s="151"/>
    </row>
    <row r="239" spans="2:26" x14ac:dyDescent="0.35">
      <c r="B239" s="518"/>
      <c r="E239" s="519"/>
      <c r="F239" s="381" t="s">
        <v>503</v>
      </c>
      <c r="G239" s="600" t="s">
        <v>253</v>
      </c>
      <c r="H239" s="578"/>
      <c r="I239" s="601"/>
      <c r="J239" s="600"/>
      <c r="K239" s="602">
        <v>0</v>
      </c>
      <c r="L239" s="621">
        <v>6</v>
      </c>
      <c r="M239" s="668">
        <v>1</v>
      </c>
      <c r="N239" s="669">
        <v>1</v>
      </c>
      <c r="O239" s="500">
        <f t="shared" si="36"/>
        <v>0</v>
      </c>
      <c r="P239" s="733">
        <f>63525000*110%</f>
        <v>69877500</v>
      </c>
      <c r="Q239" s="604">
        <f t="shared" ref="Q239:Q245" si="38">P239*$O239</f>
        <v>0</v>
      </c>
      <c r="R239" s="670"/>
      <c r="S239" s="670"/>
      <c r="T239" s="671"/>
      <c r="U239" s="671"/>
      <c r="V239" s="671"/>
      <c r="W239" s="671"/>
      <c r="X239" s="578"/>
      <c r="Y239" s="492">
        <f t="shared" si="37"/>
        <v>0</v>
      </c>
      <c r="Z239" s="151"/>
    </row>
    <row r="240" spans="2:26" x14ac:dyDescent="0.35">
      <c r="B240" s="518"/>
      <c r="E240" s="519"/>
      <c r="F240" s="381" t="s">
        <v>504</v>
      </c>
      <c r="G240" s="600" t="s">
        <v>253</v>
      </c>
      <c r="H240" s="578"/>
      <c r="I240" s="601"/>
      <c r="J240" s="600"/>
      <c r="K240" s="602">
        <v>0</v>
      </c>
      <c r="L240" s="621">
        <v>1</v>
      </c>
      <c r="M240" s="668">
        <v>1</v>
      </c>
      <c r="N240" s="669">
        <v>1</v>
      </c>
      <c r="O240" s="500">
        <f t="shared" si="36"/>
        <v>0</v>
      </c>
      <c r="P240" s="733">
        <f>114345000*110%</f>
        <v>125779500.00000001</v>
      </c>
      <c r="Q240" s="604">
        <f t="shared" si="38"/>
        <v>0</v>
      </c>
      <c r="R240" s="670"/>
      <c r="S240" s="670"/>
      <c r="T240" s="671"/>
      <c r="U240" s="671"/>
      <c r="V240" s="671"/>
      <c r="W240" s="671"/>
      <c r="X240" s="578"/>
      <c r="Y240" s="492">
        <f t="shared" si="37"/>
        <v>0</v>
      </c>
      <c r="Z240" s="151"/>
    </row>
    <row r="241" spans="2:26" x14ac:dyDescent="0.35">
      <c r="B241" s="518"/>
      <c r="E241" s="519"/>
      <c r="F241" s="381" t="s">
        <v>505</v>
      </c>
      <c r="G241" s="600" t="s">
        <v>253</v>
      </c>
      <c r="H241" s="578"/>
      <c r="I241" s="601"/>
      <c r="J241" s="600"/>
      <c r="K241" s="602">
        <v>0</v>
      </c>
      <c r="L241" s="621">
        <v>4</v>
      </c>
      <c r="M241" s="668">
        <v>1</v>
      </c>
      <c r="N241" s="669">
        <v>1</v>
      </c>
      <c r="O241" s="500">
        <f t="shared" si="36"/>
        <v>0</v>
      </c>
      <c r="P241" s="733">
        <f>114345000*110%</f>
        <v>125779500.00000001</v>
      </c>
      <c r="Q241" s="604">
        <f t="shared" si="38"/>
        <v>0</v>
      </c>
      <c r="R241" s="670"/>
      <c r="S241" s="670"/>
      <c r="T241" s="671"/>
      <c r="U241" s="671"/>
      <c r="V241" s="671"/>
      <c r="W241" s="671"/>
      <c r="X241" s="578"/>
      <c r="Y241" s="492">
        <f t="shared" si="37"/>
        <v>0</v>
      </c>
      <c r="Z241" s="151"/>
    </row>
    <row r="242" spans="2:26" x14ac:dyDescent="0.35">
      <c r="B242" s="518"/>
      <c r="E242" s="519"/>
      <c r="F242" s="381" t="s">
        <v>506</v>
      </c>
      <c r="G242" s="600" t="s">
        <v>253</v>
      </c>
      <c r="H242" s="578"/>
      <c r="I242" s="601"/>
      <c r="J242" s="600"/>
      <c r="K242" s="602">
        <v>0</v>
      </c>
      <c r="L242" s="621">
        <v>4</v>
      </c>
      <c r="M242" s="668">
        <v>1</v>
      </c>
      <c r="N242" s="669">
        <v>1</v>
      </c>
      <c r="O242" s="500">
        <f t="shared" si="36"/>
        <v>0</v>
      </c>
      <c r="P242" s="393">
        <f>139755000*110%</f>
        <v>153730500</v>
      </c>
      <c r="Q242" s="604">
        <f t="shared" si="38"/>
        <v>0</v>
      </c>
      <c r="R242" s="734" t="e">
        <v>#N/A</v>
      </c>
      <c r="S242" s="735" t="e">
        <f>R242*$O242</f>
        <v>#N/A</v>
      </c>
      <c r="T242" s="734" t="e">
        <v>#N/A</v>
      </c>
      <c r="U242" s="736" t="e">
        <f>$O242*T242</f>
        <v>#N/A</v>
      </c>
      <c r="V242" s="734" t="e">
        <f>W242/O242</f>
        <v>#N/A</v>
      </c>
      <c r="W242" s="737" t="e">
        <f>AVERAGEIF($P$3:$U$3,W$3,$P242:$U242)</f>
        <v>#N/A</v>
      </c>
      <c r="X242" s="578"/>
      <c r="Y242" s="492">
        <f t="shared" si="37"/>
        <v>0</v>
      </c>
      <c r="Z242" s="151"/>
    </row>
    <row r="243" spans="2:26" x14ac:dyDescent="0.35">
      <c r="B243" s="518"/>
      <c r="E243" s="519"/>
      <c r="F243" s="381" t="s">
        <v>507</v>
      </c>
      <c r="G243" s="600" t="s">
        <v>253</v>
      </c>
      <c r="H243" s="578"/>
      <c r="I243" s="601"/>
      <c r="J243" s="600"/>
      <c r="K243" s="602">
        <v>0</v>
      </c>
      <c r="L243" s="621">
        <v>1</v>
      </c>
      <c r="M243" s="668">
        <v>1</v>
      </c>
      <c r="N243" s="669">
        <v>1</v>
      </c>
      <c r="O243" s="500">
        <f t="shared" si="36"/>
        <v>0</v>
      </c>
      <c r="P243" s="733">
        <f>165165000*110%</f>
        <v>181681500</v>
      </c>
      <c r="Q243" s="604">
        <f t="shared" si="38"/>
        <v>0</v>
      </c>
      <c r="R243" s="670"/>
      <c r="S243" s="670"/>
      <c r="T243" s="671"/>
      <c r="U243" s="671"/>
      <c r="V243" s="671"/>
      <c r="W243" s="671"/>
      <c r="X243" s="578"/>
      <c r="Y243" s="492">
        <f t="shared" si="37"/>
        <v>0</v>
      </c>
      <c r="Z243" s="151"/>
    </row>
    <row r="244" spans="2:26" x14ac:dyDescent="0.35">
      <c r="B244" s="518"/>
      <c r="E244" s="519"/>
      <c r="F244" s="381" t="s">
        <v>262</v>
      </c>
      <c r="G244" s="600" t="s">
        <v>253</v>
      </c>
      <c r="H244" s="578"/>
      <c r="I244" s="601"/>
      <c r="J244" s="600"/>
      <c r="K244" s="602">
        <v>0</v>
      </c>
      <c r="L244" s="621">
        <v>1</v>
      </c>
      <c r="M244" s="668">
        <v>1</v>
      </c>
      <c r="N244" s="669">
        <v>1</v>
      </c>
      <c r="O244" s="500">
        <f t="shared" si="36"/>
        <v>0</v>
      </c>
      <c r="P244" s="733">
        <f>51809625*110%</f>
        <v>56990587.500000007</v>
      </c>
      <c r="Q244" s="604">
        <f t="shared" si="38"/>
        <v>0</v>
      </c>
      <c r="R244" s="670"/>
      <c r="S244" s="670"/>
      <c r="T244" s="671"/>
      <c r="U244" s="671"/>
      <c r="V244" s="671"/>
      <c r="W244" s="671"/>
      <c r="X244" s="578"/>
      <c r="Y244" s="492">
        <f t="shared" si="37"/>
        <v>0</v>
      </c>
      <c r="Z244" s="151"/>
    </row>
    <row r="245" spans="2:26" x14ac:dyDescent="0.35">
      <c r="B245" s="518"/>
      <c r="E245" s="519"/>
      <c r="F245" s="381" t="s">
        <v>508</v>
      </c>
      <c r="G245" s="600" t="s">
        <v>253</v>
      </c>
      <c r="H245" s="578"/>
      <c r="I245" s="601"/>
      <c r="J245" s="600"/>
      <c r="K245" s="602">
        <v>0</v>
      </c>
      <c r="L245" s="621">
        <v>1</v>
      </c>
      <c r="M245" s="672">
        <v>1</v>
      </c>
      <c r="N245" s="669">
        <v>1</v>
      </c>
      <c r="O245" s="500">
        <f t="shared" si="36"/>
        <v>0</v>
      </c>
      <c r="P245" s="393">
        <f>82895400*110%</f>
        <v>91184940</v>
      </c>
      <c r="Q245" s="604">
        <f t="shared" si="38"/>
        <v>0</v>
      </c>
      <c r="R245" s="734">
        <v>87040170</v>
      </c>
      <c r="S245" s="735">
        <f>R245*$O245</f>
        <v>0</v>
      </c>
      <c r="T245" s="734">
        <v>91392178.5</v>
      </c>
      <c r="U245" s="736">
        <f>$O245*T245</f>
        <v>0</v>
      </c>
      <c r="V245" s="734" t="e">
        <f>W245/O245</f>
        <v>#DIV/0!</v>
      </c>
      <c r="W245" s="737">
        <f>AVERAGEIF($P$3:$U$3,W$3,$P245:$U245)</f>
        <v>0</v>
      </c>
      <c r="X245" s="578"/>
      <c r="Y245" s="492">
        <f t="shared" si="37"/>
        <v>0</v>
      </c>
      <c r="Z245" s="151"/>
    </row>
    <row r="246" spans="2:26" x14ac:dyDescent="0.35">
      <c r="B246" s="518"/>
      <c r="E246" s="519"/>
      <c r="F246" s="381" t="s">
        <v>509</v>
      </c>
      <c r="G246" s="600" t="s">
        <v>253</v>
      </c>
      <c r="H246" s="578"/>
      <c r="I246" s="601"/>
      <c r="J246" s="600"/>
      <c r="K246" s="602">
        <v>0</v>
      </c>
      <c r="L246" s="621"/>
      <c r="M246" s="672">
        <v>1</v>
      </c>
      <c r="N246" s="669">
        <v>1</v>
      </c>
      <c r="O246" s="500">
        <f t="shared" si="36"/>
        <v>0</v>
      </c>
      <c r="P246" s="604"/>
      <c r="Q246" s="604"/>
      <c r="R246" s="735"/>
      <c r="S246" s="735"/>
      <c r="T246" s="735"/>
      <c r="U246" s="736"/>
      <c r="V246" s="735"/>
      <c r="W246" s="737"/>
      <c r="X246" s="578"/>
      <c r="Y246" s="492">
        <f t="shared" si="37"/>
        <v>0</v>
      </c>
      <c r="Z246" s="151"/>
    </row>
    <row r="247" spans="2:26" x14ac:dyDescent="0.35">
      <c r="B247" s="518"/>
      <c r="E247" s="519"/>
      <c r="F247" s="381" t="s">
        <v>510</v>
      </c>
      <c r="G247" s="600"/>
      <c r="H247" s="578"/>
      <c r="I247" s="601"/>
      <c r="J247" s="600"/>
      <c r="K247" s="602">
        <v>0</v>
      </c>
      <c r="L247" s="621">
        <v>2</v>
      </c>
      <c r="M247" s="672">
        <v>1</v>
      </c>
      <c r="N247" s="669">
        <v>1</v>
      </c>
      <c r="O247" s="500">
        <f t="shared" si="36"/>
        <v>0</v>
      </c>
      <c r="P247" s="604">
        <f>51809625*110%</f>
        <v>56990587.500000007</v>
      </c>
      <c r="Q247" s="604">
        <f>P247*$O247</f>
        <v>0</v>
      </c>
      <c r="R247" s="735"/>
      <c r="S247" s="735"/>
      <c r="T247" s="735"/>
      <c r="U247" s="736"/>
      <c r="V247" s="735"/>
      <c r="W247" s="737"/>
      <c r="X247" s="578"/>
      <c r="Y247" s="492">
        <f t="shared" si="37"/>
        <v>0</v>
      </c>
      <c r="Z247" s="151"/>
    </row>
    <row r="248" spans="2:26" x14ac:dyDescent="0.35">
      <c r="B248" s="518"/>
      <c r="E248" s="519"/>
      <c r="F248" s="381" t="s">
        <v>205</v>
      </c>
      <c r="G248" s="600" t="s">
        <v>195</v>
      </c>
      <c r="H248" s="578"/>
      <c r="I248" s="601"/>
      <c r="J248" s="600"/>
      <c r="K248" s="602">
        <v>0</v>
      </c>
      <c r="L248" s="621">
        <v>20</v>
      </c>
      <c r="M248" s="672">
        <v>6</v>
      </c>
      <c r="N248" s="669">
        <v>1</v>
      </c>
      <c r="O248" s="658">
        <f t="shared" si="36"/>
        <v>0</v>
      </c>
      <c r="P248" s="393">
        <v>761671.70213055995</v>
      </c>
      <c r="Q248" s="604">
        <f>P248*$O248</f>
        <v>0</v>
      </c>
      <c r="R248" s="735"/>
      <c r="S248" s="735"/>
      <c r="T248" s="735"/>
      <c r="U248" s="736"/>
      <c r="V248" s="735"/>
      <c r="W248" s="737"/>
      <c r="X248" s="578"/>
      <c r="Y248" s="492">
        <f t="shared" si="37"/>
        <v>0</v>
      </c>
      <c r="Z248" s="151"/>
    </row>
    <row r="249" spans="2:26" x14ac:dyDescent="0.35">
      <c r="B249" s="518"/>
      <c r="E249" s="519"/>
      <c r="F249" s="381" t="s">
        <v>254</v>
      </c>
      <c r="G249" s="600" t="s">
        <v>195</v>
      </c>
      <c r="H249" s="578"/>
      <c r="I249" s="601"/>
      <c r="J249" s="600"/>
      <c r="K249" s="602">
        <v>0</v>
      </c>
      <c r="L249" s="621">
        <v>20</v>
      </c>
      <c r="M249" s="672">
        <v>7</v>
      </c>
      <c r="N249" s="669">
        <v>1</v>
      </c>
      <c r="O249" s="658">
        <f t="shared" si="36"/>
        <v>0</v>
      </c>
      <c r="P249" s="393">
        <v>715015.96154999989</v>
      </c>
      <c r="Q249" s="604">
        <f>P249*$O249</f>
        <v>0</v>
      </c>
      <c r="R249" s="735"/>
      <c r="S249" s="735"/>
      <c r="T249" s="735"/>
      <c r="U249" s="736"/>
      <c r="V249" s="735"/>
      <c r="W249" s="737"/>
      <c r="X249" s="578"/>
      <c r="Y249" s="492">
        <f t="shared" si="37"/>
        <v>0</v>
      </c>
      <c r="Z249" s="151"/>
    </row>
    <row r="250" spans="2:26" x14ac:dyDescent="0.35">
      <c r="B250" s="518"/>
      <c r="D250" s="172" t="s">
        <v>511</v>
      </c>
      <c r="E250" s="506"/>
      <c r="F250" s="151" t="s">
        <v>177</v>
      </c>
      <c r="G250" s="316" t="s">
        <v>178</v>
      </c>
      <c r="H250" s="317"/>
      <c r="I250" s="318"/>
      <c r="J250" s="316"/>
      <c r="K250" s="502"/>
      <c r="L250" s="577"/>
      <c r="M250" s="258"/>
      <c r="N250" s="259">
        <v>1</v>
      </c>
      <c r="O250" s="317"/>
      <c r="P250" s="496"/>
      <c r="Q250" s="521"/>
      <c r="R250" s="496"/>
      <c r="S250" s="496"/>
      <c r="T250" s="517"/>
      <c r="U250" s="517"/>
      <c r="V250" s="517"/>
      <c r="W250" s="517"/>
      <c r="X250" s="578"/>
      <c r="Y250" s="492">
        <f t="shared" si="37"/>
        <v>0</v>
      </c>
      <c r="Z250" s="151"/>
    </row>
    <row r="251" spans="2:26" x14ac:dyDescent="0.35">
      <c r="B251" s="518"/>
      <c r="E251" s="519"/>
      <c r="F251" s="151" t="s">
        <v>260</v>
      </c>
      <c r="G251" s="316" t="s">
        <v>253</v>
      </c>
      <c r="H251" s="317"/>
      <c r="I251" s="318"/>
      <c r="J251" s="316"/>
      <c r="K251" s="502"/>
      <c r="L251" s="577"/>
      <c r="M251" s="258"/>
      <c r="N251" s="259">
        <v>1</v>
      </c>
      <c r="O251" s="317"/>
      <c r="P251" s="496"/>
      <c r="Q251" s="521"/>
      <c r="R251" s="496"/>
      <c r="S251" s="496"/>
      <c r="T251" s="517"/>
      <c r="U251" s="517"/>
      <c r="V251" s="517"/>
      <c r="W251" s="517"/>
      <c r="X251" s="578"/>
      <c r="Y251" s="492">
        <f t="shared" si="37"/>
        <v>0</v>
      </c>
      <c r="Z251" s="151"/>
    </row>
    <row r="252" spans="2:26" x14ac:dyDescent="0.35">
      <c r="B252" s="518"/>
      <c r="D252" s="580"/>
      <c r="E252" s="581"/>
      <c r="F252" s="151" t="s">
        <v>205</v>
      </c>
      <c r="G252" s="316" t="s">
        <v>195</v>
      </c>
      <c r="H252" s="317"/>
      <c r="I252" s="318"/>
      <c r="J252" s="316"/>
      <c r="K252" s="502"/>
      <c r="L252" s="577"/>
      <c r="M252" s="258">
        <v>10</v>
      </c>
      <c r="N252" s="259">
        <v>1</v>
      </c>
      <c r="O252" s="317"/>
      <c r="P252" s="496"/>
      <c r="Q252" s="521"/>
      <c r="R252" s="496"/>
      <c r="S252" s="496"/>
      <c r="T252" s="517"/>
      <c r="U252" s="517"/>
      <c r="V252" s="517"/>
      <c r="W252" s="517"/>
      <c r="X252" s="578"/>
      <c r="Y252" s="492">
        <f t="shared" si="37"/>
        <v>0</v>
      </c>
      <c r="Z252" s="151"/>
    </row>
    <row r="253" spans="2:26" x14ac:dyDescent="0.35">
      <c r="B253" s="622"/>
      <c r="C253" s="173"/>
      <c r="D253" s="173" t="s">
        <v>106</v>
      </c>
      <c r="E253" s="623"/>
      <c r="F253" s="381" t="s">
        <v>177</v>
      </c>
      <c r="G253" s="600" t="s">
        <v>178</v>
      </c>
      <c r="H253" s="578"/>
      <c r="I253" s="601"/>
      <c r="J253" s="600" t="s">
        <v>253</v>
      </c>
      <c r="K253" s="602">
        <v>0</v>
      </c>
      <c r="L253" s="621">
        <v>11</v>
      </c>
      <c r="M253" s="669">
        <v>2</v>
      </c>
      <c r="N253" s="380">
        <v>1</v>
      </c>
      <c r="O253" s="520">
        <f t="shared" ref="O253:O259" si="39">K253*L253*M253*N253</f>
        <v>0</v>
      </c>
      <c r="P253" s="261">
        <v>158800.57379999998</v>
      </c>
      <c r="Q253" s="521">
        <f t="shared" ref="Q253:Q261" si="40">P253*$O253</f>
        <v>0</v>
      </c>
      <c r="R253" s="603"/>
      <c r="S253" s="603"/>
      <c r="T253" s="605"/>
      <c r="U253" s="605"/>
      <c r="V253" s="605"/>
      <c r="W253" s="605"/>
      <c r="X253" s="578"/>
      <c r="Y253" s="492">
        <f t="shared" si="37"/>
        <v>0</v>
      </c>
      <c r="Z253" s="151"/>
    </row>
    <row r="254" spans="2:26" x14ac:dyDescent="0.35">
      <c r="B254" s="622"/>
      <c r="C254" s="173"/>
      <c r="D254" s="173"/>
      <c r="E254" s="623"/>
      <c r="F254" s="381" t="s">
        <v>106</v>
      </c>
      <c r="G254" s="600" t="s">
        <v>253</v>
      </c>
      <c r="H254" s="578"/>
      <c r="I254" s="601"/>
      <c r="J254" s="600" t="s">
        <v>253</v>
      </c>
      <c r="K254" s="602">
        <v>0</v>
      </c>
      <c r="L254" s="621">
        <v>11</v>
      </c>
      <c r="M254" s="669">
        <v>6</v>
      </c>
      <c r="N254" s="380">
        <v>1</v>
      </c>
      <c r="O254" s="520">
        <f t="shared" si="39"/>
        <v>0</v>
      </c>
      <c r="P254" s="261">
        <v>484000.00000000012</v>
      </c>
      <c r="Q254" s="521">
        <f t="shared" si="40"/>
        <v>0</v>
      </c>
      <c r="R254" s="603"/>
      <c r="S254" s="603"/>
      <c r="T254" s="605"/>
      <c r="U254" s="605"/>
      <c r="V254" s="605"/>
      <c r="W254" s="605"/>
      <c r="X254" s="578"/>
      <c r="Y254" s="492">
        <f t="shared" si="37"/>
        <v>0</v>
      </c>
      <c r="Z254" s="151"/>
    </row>
    <row r="255" spans="2:26" x14ac:dyDescent="0.35">
      <c r="B255" s="622"/>
      <c r="C255" s="173"/>
      <c r="D255" s="598"/>
      <c r="E255" s="599"/>
      <c r="F255" s="381" t="s">
        <v>254</v>
      </c>
      <c r="G255" s="600" t="s">
        <v>195</v>
      </c>
      <c r="H255" s="578"/>
      <c r="I255" s="601"/>
      <c r="J255" s="600" t="s">
        <v>253</v>
      </c>
      <c r="K255" s="602">
        <v>0</v>
      </c>
      <c r="L255" s="621">
        <v>11</v>
      </c>
      <c r="M255" s="669">
        <v>5</v>
      </c>
      <c r="N255" s="380">
        <v>1</v>
      </c>
      <c r="O255" s="520">
        <f t="shared" si="39"/>
        <v>0</v>
      </c>
      <c r="P255" s="261">
        <v>715015.96154999989</v>
      </c>
      <c r="Q255" s="521">
        <f t="shared" si="40"/>
        <v>0</v>
      </c>
      <c r="R255" s="603"/>
      <c r="S255" s="603"/>
      <c r="T255" s="605"/>
      <c r="U255" s="605"/>
      <c r="V255" s="605"/>
      <c r="W255" s="605"/>
      <c r="X255" s="578"/>
      <c r="Y255" s="492">
        <f t="shared" si="37"/>
        <v>0</v>
      </c>
      <c r="Z255" s="151"/>
    </row>
    <row r="256" spans="2:26" x14ac:dyDescent="0.35">
      <c r="B256" s="622"/>
      <c r="C256" s="173"/>
      <c r="D256" s="170" t="s">
        <v>108</v>
      </c>
      <c r="E256" s="646"/>
      <c r="F256" s="381" t="s">
        <v>177</v>
      </c>
      <c r="G256" s="600" t="s">
        <v>178</v>
      </c>
      <c r="H256" s="578"/>
      <c r="I256" s="601"/>
      <c r="J256" s="600" t="s">
        <v>253</v>
      </c>
      <c r="K256" s="602">
        <v>0</v>
      </c>
      <c r="L256" s="621">
        <v>5</v>
      </c>
      <c r="M256" s="669">
        <v>2</v>
      </c>
      <c r="N256" s="380">
        <v>1</v>
      </c>
      <c r="O256" s="520">
        <f t="shared" si="39"/>
        <v>0</v>
      </c>
      <c r="P256" s="261">
        <v>158800.57379999998</v>
      </c>
      <c r="Q256" s="521">
        <f t="shared" si="40"/>
        <v>0</v>
      </c>
      <c r="R256" s="603"/>
      <c r="S256" s="603"/>
      <c r="T256" s="605"/>
      <c r="U256" s="605"/>
      <c r="V256" s="605"/>
      <c r="W256" s="605"/>
      <c r="X256" s="578"/>
      <c r="Y256" s="492">
        <f t="shared" si="37"/>
        <v>0</v>
      </c>
      <c r="Z256" s="151"/>
    </row>
    <row r="257" spans="2:26" x14ac:dyDescent="0.35">
      <c r="B257" s="622"/>
      <c r="C257" s="173"/>
      <c r="D257" s="173"/>
      <c r="E257" s="623"/>
      <c r="F257" s="381" t="s">
        <v>512</v>
      </c>
      <c r="G257" s="600" t="s">
        <v>253</v>
      </c>
      <c r="H257" s="578"/>
      <c r="I257" s="601"/>
      <c r="J257" s="600" t="s">
        <v>253</v>
      </c>
      <c r="K257" s="602">
        <v>0</v>
      </c>
      <c r="L257" s="621">
        <v>5</v>
      </c>
      <c r="M257" s="669">
        <v>6</v>
      </c>
      <c r="N257" s="380">
        <v>1</v>
      </c>
      <c r="O257" s="520">
        <f t="shared" si="39"/>
        <v>0</v>
      </c>
      <c r="P257" s="261">
        <v>665500</v>
      </c>
      <c r="Q257" s="521">
        <f t="shared" si="40"/>
        <v>0</v>
      </c>
      <c r="R257" s="603"/>
      <c r="S257" s="603"/>
      <c r="T257" s="605"/>
      <c r="U257" s="605"/>
      <c r="V257" s="605"/>
      <c r="W257" s="605"/>
      <c r="X257" s="578"/>
      <c r="Y257" s="492">
        <f t="shared" si="37"/>
        <v>0</v>
      </c>
      <c r="Z257" s="151"/>
    </row>
    <row r="258" spans="2:26" x14ac:dyDescent="0.35">
      <c r="B258" s="622"/>
      <c r="C258" s="173"/>
      <c r="D258" s="598"/>
      <c r="E258" s="599"/>
      <c r="F258" s="381" t="s">
        <v>254</v>
      </c>
      <c r="G258" s="600" t="s">
        <v>195</v>
      </c>
      <c r="H258" s="578"/>
      <c r="I258" s="601"/>
      <c r="J258" s="600" t="s">
        <v>253</v>
      </c>
      <c r="K258" s="602">
        <v>0</v>
      </c>
      <c r="L258" s="621">
        <v>5</v>
      </c>
      <c r="M258" s="669">
        <v>5</v>
      </c>
      <c r="N258" s="380">
        <v>1</v>
      </c>
      <c r="O258" s="520">
        <f t="shared" si="39"/>
        <v>0</v>
      </c>
      <c r="P258" s="261">
        <v>715015.96154999989</v>
      </c>
      <c r="Q258" s="521">
        <f t="shared" si="40"/>
        <v>0</v>
      </c>
      <c r="R258" s="603"/>
      <c r="S258" s="603"/>
      <c r="T258" s="605"/>
      <c r="U258" s="605"/>
      <c r="V258" s="605"/>
      <c r="W258" s="605"/>
      <c r="X258" s="578"/>
      <c r="Y258" s="492">
        <f t="shared" si="37"/>
        <v>0</v>
      </c>
      <c r="Z258" s="151"/>
    </row>
    <row r="259" spans="2:26" x14ac:dyDescent="0.35">
      <c r="B259" s="622"/>
      <c r="C259" s="173"/>
      <c r="D259" s="170" t="s">
        <v>110</v>
      </c>
      <c r="E259" s="646"/>
      <c r="F259" s="381" t="s">
        <v>177</v>
      </c>
      <c r="G259" s="600" t="s">
        <v>178</v>
      </c>
      <c r="H259" s="578"/>
      <c r="I259" s="601"/>
      <c r="J259" s="600" t="s">
        <v>253</v>
      </c>
      <c r="K259" s="602">
        <v>0</v>
      </c>
      <c r="L259" s="621">
        <v>3</v>
      </c>
      <c r="M259" s="669">
        <v>2</v>
      </c>
      <c r="N259" s="380">
        <v>1</v>
      </c>
      <c r="O259" s="520">
        <f t="shared" si="39"/>
        <v>0</v>
      </c>
      <c r="P259" s="261">
        <v>158800.57379999998</v>
      </c>
      <c r="Q259" s="521">
        <f t="shared" si="40"/>
        <v>0</v>
      </c>
      <c r="R259" s="603"/>
      <c r="S259" s="603"/>
      <c r="T259" s="605"/>
      <c r="U259" s="605"/>
      <c r="V259" s="605"/>
      <c r="W259" s="605"/>
      <c r="X259" s="578"/>
      <c r="Y259" s="492">
        <f t="shared" si="37"/>
        <v>0</v>
      </c>
      <c r="Z259" s="151"/>
    </row>
    <row r="260" spans="2:26" x14ac:dyDescent="0.35">
      <c r="B260" s="622"/>
      <c r="C260" s="173"/>
      <c r="D260" s="173"/>
      <c r="E260" s="623"/>
      <c r="F260" s="381" t="s">
        <v>513</v>
      </c>
      <c r="G260" s="600" t="s">
        <v>253</v>
      </c>
      <c r="H260" s="578"/>
      <c r="I260" s="601"/>
      <c r="J260" s="600" t="s">
        <v>253</v>
      </c>
      <c r="K260" s="602">
        <v>0</v>
      </c>
      <c r="L260" s="621">
        <v>3</v>
      </c>
      <c r="M260" s="669">
        <v>6</v>
      </c>
      <c r="N260" s="380">
        <v>1</v>
      </c>
      <c r="O260" s="520">
        <f>K260*L260*M260*N260</f>
        <v>0</v>
      </c>
      <c r="P260" s="261">
        <v>786500.00000000012</v>
      </c>
      <c r="Q260" s="521">
        <f t="shared" si="40"/>
        <v>0</v>
      </c>
      <c r="R260" s="259">
        <v>716625</v>
      </c>
      <c r="S260" s="496">
        <f>R260*$O260</f>
        <v>0</v>
      </c>
      <c r="T260" s="259">
        <v>752456.25</v>
      </c>
      <c r="U260" s="517">
        <f>$O260*T260</f>
        <v>0</v>
      </c>
      <c r="V260" s="259" t="e">
        <f>W260/O260</f>
        <v>#DIV/0!</v>
      </c>
      <c r="W260" s="267">
        <f>AVERAGEIF($P$3:$U$3,W$3,$P260:$U260)</f>
        <v>0</v>
      </c>
      <c r="X260" s="578"/>
      <c r="Y260" s="492">
        <f t="shared" si="37"/>
        <v>0</v>
      </c>
      <c r="Z260" s="151"/>
    </row>
    <row r="261" spans="2:26" x14ac:dyDescent="0.35">
      <c r="B261" s="597"/>
      <c r="C261" s="598"/>
      <c r="D261" s="598"/>
      <c r="E261" s="599"/>
      <c r="F261" s="381" t="s">
        <v>254</v>
      </c>
      <c r="G261" s="600" t="s">
        <v>195</v>
      </c>
      <c r="H261" s="578"/>
      <c r="I261" s="601"/>
      <c r="J261" s="600" t="s">
        <v>253</v>
      </c>
      <c r="K261" s="602">
        <v>0</v>
      </c>
      <c r="L261" s="621">
        <v>3</v>
      </c>
      <c r="M261" s="669">
        <v>5</v>
      </c>
      <c r="N261" s="380">
        <v>1</v>
      </c>
      <c r="O261" s="520">
        <f>K261*L261*M261*N261</f>
        <v>0</v>
      </c>
      <c r="P261" s="261">
        <v>715015.96154999989</v>
      </c>
      <c r="Q261" s="521">
        <f t="shared" si="40"/>
        <v>0</v>
      </c>
      <c r="R261" s="259">
        <v>582130.09920000006</v>
      </c>
      <c r="S261" s="496">
        <f>R261*$O261</f>
        <v>0</v>
      </c>
      <c r="T261" s="259">
        <v>605415.30316800007</v>
      </c>
      <c r="U261" s="517">
        <f>$O261*T261</f>
        <v>0</v>
      </c>
      <c r="V261" s="259" t="e">
        <f>W261/O261</f>
        <v>#DIV/0!</v>
      </c>
      <c r="W261" s="267">
        <f>AVERAGEIF($P$3:$U$3,W$3,$P261:$U261)</f>
        <v>0</v>
      </c>
      <c r="X261" s="578"/>
      <c r="Y261" s="492">
        <f t="shared" si="37"/>
        <v>0</v>
      </c>
      <c r="Z261" s="151"/>
    </row>
    <row r="262" spans="2:26" ht="29.25" customHeight="1" x14ac:dyDescent="0.35">
      <c r="B262" s="606" t="s">
        <v>514</v>
      </c>
      <c r="C262" s="716"/>
      <c r="D262" s="716"/>
      <c r="E262" s="717"/>
      <c r="F262" s="609"/>
      <c r="G262" s="610"/>
      <c r="H262" s="611"/>
      <c r="I262" s="612"/>
      <c r="J262" s="610"/>
      <c r="K262" s="613"/>
      <c r="L262" s="614"/>
      <c r="M262" s="615"/>
      <c r="N262" s="616"/>
      <c r="O262" s="611"/>
      <c r="P262" s="617"/>
      <c r="Q262" s="618">
        <f>SUM(Q237:Q261)</f>
        <v>0</v>
      </c>
      <c r="R262" s="617"/>
      <c r="S262" s="718">
        <f>SUM(S251:S261)</f>
        <v>0</v>
      </c>
      <c r="T262" s="605"/>
      <c r="U262" s="605"/>
      <c r="V262" s="605"/>
      <c r="W262" s="605"/>
      <c r="X262" s="611"/>
      <c r="Y262" s="645">
        <f t="shared" si="37"/>
        <v>0</v>
      </c>
      <c r="Z262" s="645">
        <f>Q262/4365858560.88*100</f>
        <v>0</v>
      </c>
    </row>
    <row r="263" spans="2:26" x14ac:dyDescent="0.35">
      <c r="B263" s="578"/>
      <c r="C263" s="601" t="s">
        <v>515</v>
      </c>
      <c r="D263" s="601"/>
      <c r="E263" s="642"/>
      <c r="F263" s="381"/>
      <c r="G263" s="600"/>
      <c r="H263" s="578"/>
      <c r="I263" s="601"/>
      <c r="J263" s="600"/>
      <c r="K263" s="575"/>
      <c r="L263" s="674"/>
      <c r="M263" s="379"/>
      <c r="N263" s="380"/>
      <c r="O263" s="578"/>
      <c r="P263" s="603"/>
      <c r="Q263" s="604"/>
      <c r="R263" s="603"/>
      <c r="S263" s="603"/>
      <c r="T263" s="605"/>
      <c r="U263" s="605"/>
      <c r="V263" s="605"/>
      <c r="W263" s="605"/>
      <c r="X263" s="578"/>
      <c r="Y263" s="151"/>
      <c r="Z263" s="151"/>
    </row>
    <row r="264" spans="2:26" x14ac:dyDescent="0.35">
      <c r="B264" s="518"/>
      <c r="D264" t="s">
        <v>516</v>
      </c>
      <c r="E264" s="519"/>
      <c r="F264" s="151" t="s">
        <v>177</v>
      </c>
      <c r="G264" s="316" t="s">
        <v>178</v>
      </c>
      <c r="H264" s="317"/>
      <c r="I264" s="318"/>
      <c r="J264" s="316"/>
      <c r="K264" s="502"/>
      <c r="L264" s="577"/>
      <c r="M264" s="258"/>
      <c r="N264" s="259">
        <v>1</v>
      </c>
      <c r="O264" s="317"/>
      <c r="P264" s="496"/>
      <c r="Q264" s="521"/>
      <c r="R264" s="496"/>
      <c r="S264" s="496"/>
      <c r="T264" s="517"/>
      <c r="U264" s="517"/>
      <c r="V264" s="517"/>
      <c r="W264" s="517"/>
      <c r="X264" s="578"/>
      <c r="Y264" s="151"/>
      <c r="Z264" s="151"/>
    </row>
    <row r="265" spans="2:26" x14ac:dyDescent="0.35">
      <c r="B265" s="518"/>
      <c r="E265" s="519"/>
      <c r="F265" s="151" t="s">
        <v>205</v>
      </c>
      <c r="G265" s="316" t="s">
        <v>195</v>
      </c>
      <c r="H265" s="317"/>
      <c r="I265" s="318"/>
      <c r="J265" s="316"/>
      <c r="K265" s="502"/>
      <c r="L265" s="577"/>
      <c r="M265" s="258">
        <f>1/100</f>
        <v>0.01</v>
      </c>
      <c r="N265" s="259">
        <v>1</v>
      </c>
      <c r="O265" s="317"/>
      <c r="P265" s="496"/>
      <c r="Q265" s="521"/>
      <c r="R265" s="496"/>
      <c r="S265" s="496"/>
      <c r="T265" s="517"/>
      <c r="U265" s="517"/>
      <c r="V265" s="517"/>
      <c r="W265" s="517"/>
      <c r="X265" s="578"/>
      <c r="Y265" s="151"/>
      <c r="Z265" s="151"/>
    </row>
    <row r="266" spans="2:26" x14ac:dyDescent="0.35">
      <c r="B266" s="518"/>
      <c r="D266" s="580"/>
      <c r="E266" s="581"/>
      <c r="F266" s="151"/>
      <c r="G266" s="316"/>
      <c r="H266" s="317"/>
      <c r="I266" s="318"/>
      <c r="J266" s="316"/>
      <c r="K266" s="502"/>
      <c r="L266" s="577"/>
      <c r="M266" s="258"/>
      <c r="N266" s="259">
        <v>1</v>
      </c>
      <c r="O266" s="317"/>
      <c r="P266" s="496"/>
      <c r="Q266" s="521"/>
      <c r="R266" s="496"/>
      <c r="S266" s="496"/>
      <c r="T266" s="517"/>
      <c r="U266" s="517"/>
      <c r="V266" s="517"/>
      <c r="W266" s="517"/>
      <c r="X266" s="578"/>
      <c r="Y266" s="151"/>
      <c r="Z266" s="151"/>
    </row>
    <row r="267" spans="2:26" x14ac:dyDescent="0.35">
      <c r="B267" s="518"/>
      <c r="D267" t="s">
        <v>517</v>
      </c>
      <c r="E267" s="519"/>
      <c r="F267" s="151" t="s">
        <v>177</v>
      </c>
      <c r="G267" s="316" t="s">
        <v>178</v>
      </c>
      <c r="H267" s="317"/>
      <c r="I267" s="318"/>
      <c r="J267" s="316"/>
      <c r="K267" s="502"/>
      <c r="L267" s="577"/>
      <c r="M267" s="258"/>
      <c r="N267" s="259">
        <v>1</v>
      </c>
      <c r="O267" s="317"/>
      <c r="P267" s="496"/>
      <c r="Q267" s="521"/>
      <c r="R267" s="496"/>
      <c r="S267" s="496"/>
      <c r="T267" s="517"/>
      <c r="U267" s="517"/>
      <c r="V267" s="517"/>
      <c r="W267" s="517"/>
      <c r="X267" s="578"/>
      <c r="Y267" s="151"/>
      <c r="Z267" s="151"/>
    </row>
    <row r="268" spans="2:26" x14ac:dyDescent="0.35">
      <c r="B268" s="518"/>
      <c r="E268" s="519"/>
      <c r="F268" s="151" t="s">
        <v>205</v>
      </c>
      <c r="G268" s="316" t="s">
        <v>195</v>
      </c>
      <c r="H268" s="317"/>
      <c r="I268" s="318"/>
      <c r="J268" s="316"/>
      <c r="K268" s="502"/>
      <c r="L268" s="577"/>
      <c r="M268" s="258">
        <f>1/30</f>
        <v>3.3333333333333333E-2</v>
      </c>
      <c r="N268" s="259">
        <v>1</v>
      </c>
      <c r="O268" s="317"/>
      <c r="P268" s="496"/>
      <c r="Q268" s="521"/>
      <c r="R268" s="496"/>
      <c r="S268" s="496"/>
      <c r="T268" s="517"/>
      <c r="U268" s="517"/>
      <c r="V268" s="517"/>
      <c r="W268" s="517"/>
      <c r="X268" s="578"/>
      <c r="Y268" s="151"/>
      <c r="Z268" s="151"/>
    </row>
    <row r="269" spans="2:26" x14ac:dyDescent="0.35">
      <c r="B269" s="518"/>
      <c r="D269" s="580"/>
      <c r="E269" s="581"/>
      <c r="F269" s="151"/>
      <c r="G269" s="316"/>
      <c r="H269" s="317"/>
      <c r="I269" s="318"/>
      <c r="J269" s="316"/>
      <c r="K269" s="502"/>
      <c r="L269" s="577"/>
      <c r="M269" s="258"/>
      <c r="N269" s="259">
        <v>1</v>
      </c>
      <c r="O269" s="317"/>
      <c r="P269" s="496"/>
      <c r="Q269" s="521"/>
      <c r="R269" s="496"/>
      <c r="S269" s="496"/>
      <c r="T269" s="517"/>
      <c r="U269" s="517"/>
      <c r="V269" s="517"/>
      <c r="W269" s="517"/>
      <c r="X269" s="578"/>
      <c r="Y269" s="151"/>
      <c r="Z269" s="151"/>
    </row>
    <row r="270" spans="2:26" x14ac:dyDescent="0.35">
      <c r="B270" s="518"/>
      <c r="D270" t="s">
        <v>518</v>
      </c>
      <c r="E270" s="519"/>
      <c r="F270" s="151" t="s">
        <v>177</v>
      </c>
      <c r="G270" s="316" t="s">
        <v>178</v>
      </c>
      <c r="H270" s="317"/>
      <c r="I270" s="318"/>
      <c r="J270" s="316"/>
      <c r="K270" s="502"/>
      <c r="L270" s="577"/>
      <c r="M270" s="258">
        <f>1/30</f>
        <v>3.3333333333333333E-2</v>
      </c>
      <c r="N270" s="259">
        <v>1</v>
      </c>
      <c r="O270" s="317"/>
      <c r="P270" s="496"/>
      <c r="Q270" s="521"/>
      <c r="R270" s="496"/>
      <c r="S270" s="496"/>
      <c r="T270" s="517"/>
      <c r="U270" s="517"/>
      <c r="V270" s="517"/>
      <c r="W270" s="517"/>
      <c r="X270" s="578"/>
      <c r="Y270" s="151"/>
      <c r="Z270" s="151"/>
    </row>
    <row r="271" spans="2:26" x14ac:dyDescent="0.35">
      <c r="B271" s="518"/>
      <c r="E271" s="519"/>
      <c r="F271" s="151" t="s">
        <v>205</v>
      </c>
      <c r="G271" s="316" t="s">
        <v>195</v>
      </c>
      <c r="H271" s="317"/>
      <c r="I271" s="318"/>
      <c r="J271" s="316"/>
      <c r="K271" s="502"/>
      <c r="L271" s="577"/>
      <c r="M271" s="258">
        <f>1/60</f>
        <v>1.6666666666666666E-2</v>
      </c>
      <c r="N271" s="259">
        <v>1</v>
      </c>
      <c r="O271" s="317"/>
      <c r="P271" s="496"/>
      <c r="Q271" s="521"/>
      <c r="R271" s="496"/>
      <c r="S271" s="496"/>
      <c r="T271" s="517"/>
      <c r="U271" s="517"/>
      <c r="V271" s="517"/>
      <c r="W271" s="517"/>
      <c r="X271" s="578"/>
      <c r="Y271" s="151"/>
      <c r="Z271" s="151"/>
    </row>
    <row r="272" spans="2:26" x14ac:dyDescent="0.35">
      <c r="B272" s="518"/>
      <c r="D272" s="580"/>
      <c r="E272" s="581"/>
      <c r="F272" s="151"/>
      <c r="G272" s="316"/>
      <c r="H272" s="317"/>
      <c r="I272" s="318"/>
      <c r="J272" s="316"/>
      <c r="K272" s="502"/>
      <c r="L272" s="577"/>
      <c r="M272" s="258"/>
      <c r="N272" s="259">
        <v>1</v>
      </c>
      <c r="O272" s="317"/>
      <c r="P272" s="496"/>
      <c r="Q272" s="521"/>
      <c r="R272" s="496"/>
      <c r="S272" s="496"/>
      <c r="T272" s="517"/>
      <c r="U272" s="517"/>
      <c r="V272" s="517"/>
      <c r="W272" s="517"/>
      <c r="X272" s="578"/>
      <c r="Y272" s="151"/>
      <c r="Z272" s="151"/>
    </row>
    <row r="273" spans="2:26" x14ac:dyDescent="0.35">
      <c r="B273" s="518"/>
      <c r="D273" t="s">
        <v>519</v>
      </c>
      <c r="E273" s="519"/>
      <c r="F273" s="151" t="s">
        <v>177</v>
      </c>
      <c r="G273" s="316" t="s">
        <v>178</v>
      </c>
      <c r="H273" s="317"/>
      <c r="I273" s="318"/>
      <c r="J273" s="316"/>
      <c r="K273" s="502"/>
      <c r="L273" s="577"/>
      <c r="M273" s="258"/>
      <c r="N273" s="259">
        <v>1</v>
      </c>
      <c r="O273" s="317"/>
      <c r="P273" s="496"/>
      <c r="Q273" s="521"/>
      <c r="R273" s="496"/>
      <c r="S273" s="496"/>
      <c r="T273" s="517"/>
      <c r="U273" s="517"/>
      <c r="V273" s="517"/>
      <c r="W273" s="517"/>
      <c r="X273" s="578"/>
      <c r="Y273" s="151"/>
      <c r="Z273" s="151"/>
    </row>
    <row r="274" spans="2:26" x14ac:dyDescent="0.35">
      <c r="B274" s="518"/>
      <c r="E274" s="519"/>
      <c r="F274" s="151" t="s">
        <v>282</v>
      </c>
      <c r="G274" s="316" t="s">
        <v>253</v>
      </c>
      <c r="H274" s="317"/>
      <c r="I274" s="318"/>
      <c r="J274" s="316"/>
      <c r="K274" s="502"/>
      <c r="L274" s="577"/>
      <c r="M274" s="258"/>
      <c r="N274" s="259">
        <v>1</v>
      </c>
      <c r="O274" s="317"/>
      <c r="P274" s="496"/>
      <c r="Q274" s="521"/>
      <c r="R274" s="496"/>
      <c r="S274" s="496"/>
      <c r="T274" s="517"/>
      <c r="U274" s="517"/>
      <c r="V274" s="517"/>
      <c r="W274" s="517"/>
      <c r="X274" s="578"/>
      <c r="Y274" s="151"/>
      <c r="Z274" s="151"/>
    </row>
    <row r="275" spans="2:26" x14ac:dyDescent="0.35">
      <c r="B275" s="518"/>
      <c r="E275" s="519"/>
      <c r="F275" s="151" t="s">
        <v>205</v>
      </c>
      <c r="G275" s="316" t="s">
        <v>195</v>
      </c>
      <c r="H275" s="317"/>
      <c r="I275" s="318"/>
      <c r="J275" s="316"/>
      <c r="K275" s="502"/>
      <c r="L275" s="577"/>
      <c r="M275" s="258"/>
      <c r="N275" s="259">
        <v>1</v>
      </c>
      <c r="O275" s="317"/>
      <c r="P275" s="496"/>
      <c r="Q275" s="521"/>
      <c r="R275" s="496"/>
      <c r="S275" s="496"/>
      <c r="T275" s="517"/>
      <c r="U275" s="517"/>
      <c r="V275" s="517"/>
      <c r="W275" s="517"/>
      <c r="X275" s="578"/>
      <c r="Y275" s="151"/>
      <c r="Z275" s="151"/>
    </row>
    <row r="276" spans="2:26" x14ac:dyDescent="0.35">
      <c r="B276" s="504"/>
      <c r="C276" s="172" t="s">
        <v>520</v>
      </c>
      <c r="D276" s="172"/>
      <c r="E276" s="506"/>
      <c r="F276" s="151" t="s">
        <v>177</v>
      </c>
      <c r="G276" s="316" t="s">
        <v>178</v>
      </c>
      <c r="H276" s="317"/>
      <c r="I276" s="318"/>
      <c r="J276" s="316"/>
      <c r="K276" s="502"/>
      <c r="L276" s="577"/>
      <c r="M276" s="258"/>
      <c r="N276" s="259">
        <v>1</v>
      </c>
      <c r="O276" s="317"/>
      <c r="P276" s="496"/>
      <c r="Q276" s="521"/>
      <c r="R276" s="496"/>
      <c r="S276" s="496"/>
      <c r="T276" s="517"/>
      <c r="U276" s="517"/>
      <c r="V276" s="517"/>
      <c r="W276" s="517"/>
      <c r="X276" s="578"/>
      <c r="Y276" s="151"/>
      <c r="Z276" s="151"/>
    </row>
    <row r="277" spans="2:26" x14ac:dyDescent="0.35">
      <c r="B277" s="518"/>
      <c r="E277" s="519"/>
      <c r="F277" s="151" t="s">
        <v>245</v>
      </c>
      <c r="G277" s="316" t="s">
        <v>195</v>
      </c>
      <c r="H277" s="317"/>
      <c r="I277" s="318"/>
      <c r="J277" s="316"/>
      <c r="K277" s="502"/>
      <c r="L277" s="577"/>
      <c r="M277" s="258">
        <f>2/1000</f>
        <v>2E-3</v>
      </c>
      <c r="N277" s="259">
        <v>1</v>
      </c>
      <c r="O277" s="317"/>
      <c r="P277" s="496"/>
      <c r="Q277" s="521"/>
      <c r="R277" s="496"/>
      <c r="S277" s="496"/>
      <c r="T277" s="517"/>
      <c r="U277" s="517"/>
      <c r="V277" s="517"/>
      <c r="W277" s="517"/>
      <c r="X277" s="578"/>
      <c r="Y277" s="151"/>
      <c r="Z277" s="151"/>
    </row>
    <row r="278" spans="2:26" x14ac:dyDescent="0.35">
      <c r="B278" s="518"/>
      <c r="E278" s="519"/>
      <c r="F278" s="151" t="s">
        <v>205</v>
      </c>
      <c r="G278" s="316" t="s">
        <v>195</v>
      </c>
      <c r="H278" s="317"/>
      <c r="I278" s="318"/>
      <c r="J278" s="316"/>
      <c r="K278" s="502"/>
      <c r="L278" s="577"/>
      <c r="M278" s="258"/>
      <c r="N278" s="259">
        <v>1</v>
      </c>
      <c r="O278" s="317"/>
      <c r="P278" s="496"/>
      <c r="Q278" s="521"/>
      <c r="R278" s="496"/>
      <c r="S278" s="496"/>
      <c r="T278" s="517"/>
      <c r="U278" s="517"/>
      <c r="V278" s="517"/>
      <c r="W278" s="517"/>
      <c r="X278" s="578"/>
      <c r="Y278" s="151"/>
      <c r="Z278" s="151"/>
    </row>
    <row r="279" spans="2:26" x14ac:dyDescent="0.35">
      <c r="B279" s="504"/>
      <c r="C279" s="172" t="s">
        <v>521</v>
      </c>
      <c r="D279" s="172"/>
      <c r="E279" s="506"/>
      <c r="F279" s="151" t="s">
        <v>177</v>
      </c>
      <c r="G279" s="316" t="s">
        <v>178</v>
      </c>
      <c r="H279" s="317"/>
      <c r="I279" s="318"/>
      <c r="J279" s="316"/>
      <c r="K279" s="502"/>
      <c r="L279" s="577"/>
      <c r="M279" s="258"/>
      <c r="N279" s="259">
        <v>1</v>
      </c>
      <c r="O279" s="317"/>
      <c r="P279" s="496"/>
      <c r="Q279" s="521"/>
      <c r="R279" s="496"/>
      <c r="S279" s="496"/>
      <c r="T279" s="517"/>
      <c r="U279" s="517"/>
      <c r="V279" s="517"/>
      <c r="W279" s="517"/>
      <c r="X279" s="578"/>
      <c r="Y279" s="151"/>
      <c r="Z279" s="151"/>
    </row>
    <row r="280" spans="2:26" x14ac:dyDescent="0.35">
      <c r="B280" s="579"/>
      <c r="C280" s="580"/>
      <c r="D280" s="580"/>
      <c r="E280" s="581"/>
      <c r="F280" s="151"/>
      <c r="G280" s="316"/>
      <c r="H280" s="317"/>
      <c r="I280" s="318"/>
      <c r="J280" s="316"/>
      <c r="K280" s="502"/>
      <c r="L280" s="577"/>
      <c r="M280" s="258"/>
      <c r="N280" s="259">
        <v>1</v>
      </c>
      <c r="O280" s="317"/>
      <c r="P280" s="496"/>
      <c r="Q280" s="521"/>
      <c r="R280" s="496"/>
      <c r="S280" s="496"/>
      <c r="T280" s="517"/>
      <c r="U280" s="517"/>
      <c r="V280" s="517"/>
      <c r="W280" s="517"/>
      <c r="X280" s="578"/>
      <c r="Y280" s="151"/>
      <c r="Z280" s="151"/>
    </row>
    <row r="281" spans="2:26" x14ac:dyDescent="0.35">
      <c r="B281" s="518"/>
      <c r="C281" t="s">
        <v>522</v>
      </c>
      <c r="E281" s="519"/>
      <c r="F281" s="151" t="s">
        <v>177</v>
      </c>
      <c r="G281" s="316" t="s">
        <v>178</v>
      </c>
      <c r="H281" s="317"/>
      <c r="I281" s="318"/>
      <c r="J281" s="316"/>
      <c r="K281" s="502"/>
      <c r="L281" s="577"/>
      <c r="M281" s="258"/>
      <c r="N281" s="259">
        <v>1</v>
      </c>
      <c r="O281" s="317"/>
      <c r="P281" s="496"/>
      <c r="Q281" s="521"/>
      <c r="R281" s="496"/>
      <c r="S281" s="496"/>
      <c r="T281" s="517"/>
      <c r="U281" s="517"/>
      <c r="V281" s="517"/>
      <c r="W281" s="517"/>
      <c r="X281" s="578"/>
      <c r="Y281" s="151"/>
      <c r="Z281" s="151"/>
    </row>
    <row r="282" spans="2:26" x14ac:dyDescent="0.35">
      <c r="B282" s="518"/>
      <c r="E282" s="519"/>
      <c r="F282" s="151" t="s">
        <v>523</v>
      </c>
      <c r="G282" s="316" t="s">
        <v>253</v>
      </c>
      <c r="H282" s="317"/>
      <c r="I282" s="318"/>
      <c r="J282" s="316"/>
      <c r="K282" s="502"/>
      <c r="L282" s="577"/>
      <c r="M282" s="258"/>
      <c r="N282" s="259">
        <v>1</v>
      </c>
      <c r="O282" s="317"/>
      <c r="P282" s="496"/>
      <c r="Q282" s="521"/>
      <c r="R282" s="496"/>
      <c r="S282" s="496"/>
      <c r="T282" s="517"/>
      <c r="U282" s="517"/>
      <c r="V282" s="517"/>
      <c r="W282" s="517"/>
      <c r="X282" s="578"/>
      <c r="Y282" s="151"/>
      <c r="Z282" s="151"/>
    </row>
    <row r="283" spans="2:26" x14ac:dyDescent="0.35">
      <c r="B283" s="579"/>
      <c r="C283" s="580"/>
      <c r="D283" s="580"/>
      <c r="E283" s="581"/>
      <c r="F283" s="151"/>
      <c r="G283" s="316"/>
      <c r="H283" s="317"/>
      <c r="I283" s="318"/>
      <c r="J283" s="316"/>
      <c r="K283" s="502"/>
      <c r="L283" s="577"/>
      <c r="M283" s="258"/>
      <c r="N283" s="259">
        <v>1</v>
      </c>
      <c r="O283" s="317"/>
      <c r="P283" s="496"/>
      <c r="Q283" s="521"/>
      <c r="R283" s="496"/>
      <c r="S283" s="496"/>
      <c r="T283" s="517"/>
      <c r="U283" s="517"/>
      <c r="V283" s="517"/>
      <c r="W283" s="517"/>
      <c r="X283" s="578"/>
      <c r="Y283" s="151"/>
      <c r="Z283" s="151"/>
    </row>
    <row r="284" spans="2:26" ht="29.25" customHeight="1" x14ac:dyDescent="0.35">
      <c r="B284" s="660" t="s">
        <v>524</v>
      </c>
      <c r="C284" s="729"/>
      <c r="D284" s="729"/>
      <c r="E284" s="730"/>
      <c r="F284" s="532"/>
      <c r="G284" s="587"/>
      <c r="H284" s="588"/>
      <c r="I284" s="589"/>
      <c r="J284" s="587"/>
      <c r="K284" s="590"/>
      <c r="L284" s="591"/>
      <c r="M284" s="543"/>
      <c r="N284" s="544"/>
      <c r="O284" s="588"/>
      <c r="P284" s="592"/>
      <c r="Q284" s="663">
        <f>Q235+Q262</f>
        <v>0</v>
      </c>
      <c r="R284" s="592"/>
      <c r="S284" s="731">
        <f>SUM(S273:S283)</f>
        <v>0</v>
      </c>
      <c r="T284" s="594"/>
      <c r="U284" s="594"/>
      <c r="V284" s="594"/>
      <c r="W284" s="594"/>
      <c r="X284" s="588"/>
      <c r="Y284" s="639">
        <f>Q284/192.08</f>
        <v>0</v>
      </c>
      <c r="Z284" s="639">
        <f>Q284/4365858560.88*100</f>
        <v>0</v>
      </c>
    </row>
    <row r="285" spans="2:26" x14ac:dyDescent="0.35">
      <c r="B285" s="595" t="s">
        <v>284</v>
      </c>
      <c r="C285" s="318"/>
      <c r="D285" s="318"/>
      <c r="E285" s="582"/>
      <c r="F285" s="151"/>
      <c r="G285" s="316"/>
      <c r="H285" s="317"/>
      <c r="I285" s="318"/>
      <c r="J285" s="316"/>
      <c r="K285" s="502"/>
      <c r="L285" s="577"/>
      <c r="M285" s="258"/>
      <c r="N285" s="259"/>
      <c r="O285" s="317"/>
      <c r="P285" s="496"/>
      <c r="Q285" s="521"/>
      <c r="R285" s="496"/>
      <c r="S285" s="496"/>
      <c r="T285" s="517"/>
      <c r="U285" s="517"/>
      <c r="V285" s="517"/>
      <c r="W285" s="517"/>
      <c r="X285" s="578"/>
      <c r="Y285" s="151"/>
      <c r="Z285" s="151"/>
    </row>
    <row r="286" spans="2:26" x14ac:dyDescent="0.35">
      <c r="B286" s="518"/>
      <c r="C286" t="s">
        <v>113</v>
      </c>
      <c r="E286" s="519"/>
      <c r="F286" s="151" t="s">
        <v>177</v>
      </c>
      <c r="G286" s="316" t="s">
        <v>178</v>
      </c>
      <c r="H286" s="317"/>
      <c r="I286" s="318"/>
      <c r="J286" s="316"/>
      <c r="K286" s="738">
        <v>0</v>
      </c>
      <c r="L286" s="682">
        <f>45.36*136</f>
        <v>6168.96</v>
      </c>
      <c r="M286" s="739">
        <v>0.33333333333333331</v>
      </c>
      <c r="N286" s="739">
        <v>1</v>
      </c>
      <c r="O286" s="740">
        <f>K286*L286*M286*N286</f>
        <v>0</v>
      </c>
      <c r="P286" s="741">
        <v>158800.57379999998</v>
      </c>
      <c r="Q286" s="742">
        <f>P286*$O286</f>
        <v>0</v>
      </c>
      <c r="R286" s="743">
        <v>163305.33120000002</v>
      </c>
      <c r="S286" s="744">
        <f>R286*$O286</f>
        <v>0</v>
      </c>
      <c r="T286" s="743">
        <v>179635.86432000002</v>
      </c>
      <c r="U286" s="745">
        <f>$O286*T286</f>
        <v>0</v>
      </c>
      <c r="V286" s="743" t="e">
        <f>W286/O286</f>
        <v>#DIV/0!</v>
      </c>
      <c r="W286" s="746">
        <f>AVERAGEIF($P$3:$U$3,W$3,$P286:$U286)</f>
        <v>0</v>
      </c>
      <c r="X286" s="578"/>
      <c r="Y286" s="492">
        <f>Q286/192.08</f>
        <v>0</v>
      </c>
      <c r="Z286" s="151"/>
    </row>
    <row r="287" spans="2:26" x14ac:dyDescent="0.35">
      <c r="B287" s="518"/>
      <c r="D287" s="580"/>
      <c r="E287" s="581"/>
      <c r="F287" s="151"/>
      <c r="G287" s="316"/>
      <c r="H287" s="317"/>
      <c r="I287" s="318"/>
      <c r="J287" s="316"/>
      <c r="K287" s="747"/>
      <c r="L287" s="748"/>
      <c r="M287" s="739"/>
      <c r="N287" s="739">
        <v>1</v>
      </c>
      <c r="O287" s="749"/>
      <c r="P287" s="750"/>
      <c r="Q287" s="742"/>
      <c r="R287" s="744"/>
      <c r="S287" s="744"/>
      <c r="T287" s="745"/>
      <c r="U287" s="745"/>
      <c r="V287" s="745"/>
      <c r="W287" s="745"/>
      <c r="X287" s="578"/>
      <c r="Y287" s="151"/>
      <c r="Z287" s="151"/>
    </row>
    <row r="288" spans="2:26" x14ac:dyDescent="0.35">
      <c r="B288" s="518"/>
      <c r="D288" t="s">
        <v>115</v>
      </c>
      <c r="E288" s="519"/>
      <c r="F288" s="151" t="s">
        <v>177</v>
      </c>
      <c r="G288" s="316" t="s">
        <v>178</v>
      </c>
      <c r="H288" s="317"/>
      <c r="I288" s="318"/>
      <c r="J288" s="316"/>
      <c r="K288" s="738">
        <v>0</v>
      </c>
      <c r="L288" s="682">
        <f>45.36*136</f>
        <v>6168.96</v>
      </c>
      <c r="M288" s="739">
        <v>0.33333333333333331</v>
      </c>
      <c r="N288" s="739">
        <v>1</v>
      </c>
      <c r="O288" s="740">
        <f>K288*L288*M288*N288</f>
        <v>0</v>
      </c>
      <c r="P288" s="741">
        <v>158800.57379999998</v>
      </c>
      <c r="Q288" s="742">
        <f>P288*$O288</f>
        <v>0</v>
      </c>
      <c r="R288" s="743">
        <v>163305.33120000002</v>
      </c>
      <c r="S288" s="744">
        <f>R288*$O288</f>
        <v>0</v>
      </c>
      <c r="T288" s="743">
        <v>179635.86432000002</v>
      </c>
      <c r="U288" s="745">
        <f>$O288*T288</f>
        <v>0</v>
      </c>
      <c r="V288" s="743" t="e">
        <f>W288/O288</f>
        <v>#DIV/0!</v>
      </c>
      <c r="W288" s="746">
        <f>AVERAGEIF($P$3:$U$3,W$3,$P288:$U288)</f>
        <v>0</v>
      </c>
      <c r="X288" s="578"/>
      <c r="Y288" s="492">
        <f>Q288/192.08</f>
        <v>0</v>
      </c>
      <c r="Z288" s="151"/>
    </row>
    <row r="289" spans="2:26" x14ac:dyDescent="0.35">
      <c r="B289" s="579"/>
      <c r="C289" s="580"/>
      <c r="D289" s="580"/>
      <c r="E289" s="581"/>
      <c r="F289" s="151"/>
      <c r="G289" s="316"/>
      <c r="H289" s="317"/>
      <c r="I289" s="318"/>
      <c r="J289" s="316"/>
      <c r="K289" s="747"/>
      <c r="L289" s="577"/>
      <c r="M289" s="258"/>
      <c r="N289" s="259">
        <v>1</v>
      </c>
      <c r="O289" s="317"/>
      <c r="P289" s="496"/>
      <c r="Q289" s="521"/>
      <c r="R289" s="496"/>
      <c r="S289" s="496"/>
      <c r="T289" s="517"/>
      <c r="U289" s="517"/>
      <c r="V289" s="517"/>
      <c r="W289" s="517"/>
      <c r="X289" s="578"/>
      <c r="Y289" s="151"/>
      <c r="Z289" s="151"/>
    </row>
    <row r="290" spans="2:26" x14ac:dyDescent="0.35">
      <c r="B290" s="518"/>
      <c r="C290" t="s">
        <v>286</v>
      </c>
      <c r="E290" s="519"/>
      <c r="F290" s="151" t="s">
        <v>177</v>
      </c>
      <c r="G290" s="316" t="s">
        <v>178</v>
      </c>
      <c r="H290" s="317"/>
      <c r="I290" s="318"/>
      <c r="J290" s="316"/>
      <c r="K290" s="502"/>
      <c r="L290" s="577"/>
      <c r="M290" s="258">
        <f>1/3</f>
        <v>0.33333333333333331</v>
      </c>
      <c r="N290" s="259">
        <v>1</v>
      </c>
      <c r="O290" s="317"/>
      <c r="P290" s="496"/>
      <c r="Q290" s="521"/>
      <c r="R290" s="496"/>
      <c r="S290" s="496"/>
      <c r="T290" s="517"/>
      <c r="U290" s="517"/>
      <c r="V290" s="517"/>
      <c r="W290" s="517"/>
      <c r="X290" s="578"/>
      <c r="Y290" s="151"/>
      <c r="Z290" s="151"/>
    </row>
    <row r="291" spans="2:26" x14ac:dyDescent="0.35">
      <c r="B291" s="579"/>
      <c r="C291" s="580"/>
      <c r="D291" s="580"/>
      <c r="E291" s="581"/>
      <c r="F291" s="151"/>
      <c r="G291" s="316"/>
      <c r="H291" s="317"/>
      <c r="I291" s="318"/>
      <c r="J291" s="316"/>
      <c r="K291" s="502"/>
      <c r="L291" s="577"/>
      <c r="M291" s="258"/>
      <c r="N291" s="259">
        <v>1</v>
      </c>
      <c r="O291" s="317"/>
      <c r="P291" s="496"/>
      <c r="Q291" s="521"/>
      <c r="R291" s="496"/>
      <c r="S291" s="496"/>
      <c r="T291" s="517"/>
      <c r="U291" s="517"/>
      <c r="V291" s="517"/>
      <c r="W291" s="517"/>
      <c r="X291" s="578"/>
      <c r="Y291" s="151"/>
      <c r="Z291" s="151"/>
    </row>
    <row r="292" spans="2:26" x14ac:dyDescent="0.35">
      <c r="B292" s="518"/>
      <c r="C292" t="s">
        <v>525</v>
      </c>
      <c r="E292" s="519"/>
      <c r="F292" s="151" t="s">
        <v>177</v>
      </c>
      <c r="G292" s="316" t="s">
        <v>178</v>
      </c>
      <c r="H292" s="317"/>
      <c r="I292" s="318"/>
      <c r="J292" s="316"/>
      <c r="K292" s="502"/>
      <c r="L292" s="577"/>
      <c r="M292" s="258"/>
      <c r="N292" s="259">
        <v>1</v>
      </c>
      <c r="O292" s="317"/>
      <c r="P292" s="496"/>
      <c r="Q292" s="521"/>
      <c r="R292" s="496"/>
      <c r="S292" s="496"/>
      <c r="T292" s="517"/>
      <c r="U292" s="517"/>
      <c r="V292" s="517"/>
      <c r="W292" s="517"/>
      <c r="X292" s="578"/>
      <c r="Y292" s="151"/>
      <c r="Z292" s="151"/>
    </row>
    <row r="293" spans="2:26" x14ac:dyDescent="0.35">
      <c r="B293" s="579"/>
      <c r="C293" s="580"/>
      <c r="D293" s="580"/>
      <c r="E293" s="581"/>
      <c r="F293" s="151"/>
      <c r="G293" s="316"/>
      <c r="H293" s="317"/>
      <c r="I293" s="318"/>
      <c r="J293" s="316"/>
      <c r="K293" s="502"/>
      <c r="L293" s="577"/>
      <c r="M293" s="258"/>
      <c r="N293" s="259">
        <v>1</v>
      </c>
      <c r="O293" s="317"/>
      <c r="P293" s="496"/>
      <c r="Q293" s="521"/>
      <c r="R293" s="496"/>
      <c r="S293" s="496"/>
      <c r="T293" s="517"/>
      <c r="U293" s="517"/>
      <c r="V293" s="517"/>
      <c r="W293" s="517"/>
      <c r="X293" s="578"/>
      <c r="Y293" s="151"/>
      <c r="Z293" s="151"/>
    </row>
    <row r="294" spans="2:26" ht="29.25" customHeight="1" x14ac:dyDescent="0.35">
      <c r="B294" s="660" t="s">
        <v>526</v>
      </c>
      <c r="C294" s="729"/>
      <c r="D294" s="729"/>
      <c r="E294" s="730"/>
      <c r="F294" s="532"/>
      <c r="G294" s="587"/>
      <c r="H294" s="588"/>
      <c r="I294" s="589"/>
      <c r="J294" s="587"/>
      <c r="K294" s="590"/>
      <c r="L294" s="591"/>
      <c r="M294" s="543"/>
      <c r="N294" s="544"/>
      <c r="O294" s="588"/>
      <c r="P294" s="592"/>
      <c r="Q294" s="663">
        <f>Q286+Q288</f>
        <v>0</v>
      </c>
      <c r="R294" s="592"/>
      <c r="S294" s="731">
        <f>SUM(S283:S293)</f>
        <v>0</v>
      </c>
      <c r="T294" s="594"/>
      <c r="U294" s="594"/>
      <c r="V294" s="594"/>
      <c r="W294" s="594"/>
      <c r="X294" s="588"/>
      <c r="Y294" s="639">
        <f>Q294/192.08</f>
        <v>0</v>
      </c>
      <c r="Z294" s="639">
        <f>Q294/4365858560.88*100</f>
        <v>0</v>
      </c>
    </row>
    <row r="295" spans="2:26" x14ac:dyDescent="0.35">
      <c r="B295" s="595" t="s">
        <v>527</v>
      </c>
      <c r="C295" s="318"/>
      <c r="D295" s="318"/>
      <c r="E295" s="582"/>
      <c r="F295" s="151"/>
      <c r="G295" s="316"/>
      <c r="H295" s="317"/>
      <c r="I295" s="318"/>
      <c r="J295" s="316"/>
      <c r="K295" s="502"/>
      <c r="L295" s="577"/>
      <c r="M295" s="258"/>
      <c r="N295" s="259"/>
      <c r="O295" s="317"/>
      <c r="P295" s="496"/>
      <c r="Q295" s="521"/>
      <c r="R295" s="496"/>
      <c r="S295" s="496"/>
      <c r="T295" s="517"/>
      <c r="U295" s="517"/>
      <c r="V295" s="517"/>
      <c r="W295" s="517"/>
      <c r="X295" s="578"/>
      <c r="Y295" s="151"/>
      <c r="Z295" s="151"/>
    </row>
    <row r="296" spans="2:26" x14ac:dyDescent="0.35">
      <c r="B296" s="518"/>
      <c r="C296" t="s">
        <v>118</v>
      </c>
      <c r="E296" s="519"/>
      <c r="F296" s="151" t="s">
        <v>177</v>
      </c>
      <c r="G296" s="316" t="s">
        <v>178</v>
      </c>
      <c r="H296" s="317"/>
      <c r="I296" s="318"/>
      <c r="J296" s="316" t="s">
        <v>179</v>
      </c>
      <c r="K296" s="602">
        <v>1</v>
      </c>
      <c r="L296" s="577">
        <v>45.36</v>
      </c>
      <c r="M296" s="258">
        <v>0.5</v>
      </c>
      <c r="N296" s="259">
        <v>3</v>
      </c>
      <c r="O296" s="520">
        <f>K296*L296*M296*N296</f>
        <v>68.039999999999992</v>
      </c>
      <c r="P296" s="261">
        <v>169122.61109699999</v>
      </c>
      <c r="Q296" s="521">
        <f>P296*$O296</f>
        <v>11507102.459039878</v>
      </c>
      <c r="R296" s="259">
        <v>163305.33120000002</v>
      </c>
      <c r="S296" s="496">
        <f>R296*$O296</f>
        <v>11111294.734848</v>
      </c>
      <c r="T296" s="259">
        <v>179635.86432000002</v>
      </c>
      <c r="U296" s="517">
        <f>$O296*T296</f>
        <v>12222424.208332799</v>
      </c>
      <c r="V296" s="259">
        <f>W296/O296</f>
        <v>170687.93553900003</v>
      </c>
      <c r="W296" s="267">
        <f>AVERAGEIF($P$3:$U$3,W$3,$P296:$U296)</f>
        <v>11613607.134073561</v>
      </c>
      <c r="X296" s="578"/>
      <c r="Y296" s="492">
        <f t="shared" ref="Y296:Y297" si="41">Q296/$D$1</f>
        <v>253683.91664549996</v>
      </c>
      <c r="Z296" s="151"/>
    </row>
    <row r="297" spans="2:26" x14ac:dyDescent="0.35">
      <c r="B297" s="518"/>
      <c r="E297" s="519"/>
      <c r="F297" s="151" t="s">
        <v>391</v>
      </c>
      <c r="G297" s="316" t="s">
        <v>181</v>
      </c>
      <c r="H297" s="317"/>
      <c r="I297" s="318"/>
      <c r="J297" s="316" t="s">
        <v>179</v>
      </c>
      <c r="K297" s="602">
        <v>1</v>
      </c>
      <c r="L297" s="577">
        <v>45.36</v>
      </c>
      <c r="M297" s="258">
        <v>0.186</v>
      </c>
      <c r="N297" s="259">
        <v>3</v>
      </c>
      <c r="O297" s="520">
        <f>K297*L297*M297*N297</f>
        <v>25.310879999999997</v>
      </c>
      <c r="P297" s="261">
        <v>37784.879999999997</v>
      </c>
      <c r="Q297" s="521">
        <f>P297*$O297</f>
        <v>956368.56349439989</v>
      </c>
      <c r="R297" s="259">
        <v>40359.098880000005</v>
      </c>
      <c r="S297" s="496">
        <f>R297*$O297</f>
        <v>1021524.3086598144</v>
      </c>
      <c r="T297" s="259">
        <v>43184.235801600007</v>
      </c>
      <c r="U297" s="517">
        <f>$O297*T297</f>
        <v>1093031.0102660016</v>
      </c>
      <c r="V297" s="259">
        <f>W297/O297</f>
        <v>40442.738227200003</v>
      </c>
      <c r="W297" s="267">
        <f>AVERAGEIF($P$3:$U$3,W$3,$P297:$U297)</f>
        <v>1023641.294140072</v>
      </c>
      <c r="X297" s="578"/>
      <c r="Y297" s="492">
        <f t="shared" si="41"/>
        <v>21083.963039999999</v>
      </c>
      <c r="Z297" s="151"/>
    </row>
    <row r="298" spans="2:26" ht="29.25" customHeight="1" x14ac:dyDescent="0.35">
      <c r="B298" s="606" t="s">
        <v>529</v>
      </c>
      <c r="C298" s="716"/>
      <c r="D298" s="716"/>
      <c r="E298" s="717"/>
      <c r="F298" s="609"/>
      <c r="G298" s="610"/>
      <c r="H298" s="611"/>
      <c r="I298" s="612"/>
      <c r="J298" s="610"/>
      <c r="K298" s="613"/>
      <c r="L298" s="614"/>
      <c r="M298" s="615"/>
      <c r="N298" s="616"/>
      <c r="O298" s="611"/>
      <c r="P298" s="617"/>
      <c r="Q298" s="618">
        <f>SUM(Q296:Q297)</f>
        <v>12463471.022534277</v>
      </c>
      <c r="R298" s="617"/>
      <c r="S298" s="718">
        <f>SUM(S287:S297)</f>
        <v>12132819.043507814</v>
      </c>
      <c r="T298" s="605"/>
      <c r="U298" s="605"/>
      <c r="V298" s="605"/>
      <c r="W298" s="605"/>
      <c r="X298" s="611"/>
      <c r="Y298" s="645">
        <f>Q298/$D$1</f>
        <v>274767.87968549994</v>
      </c>
      <c r="Z298" s="645">
        <f>Q298/$Q$426*100</f>
        <v>2.1118326126641795</v>
      </c>
    </row>
    <row r="299" spans="2:26" x14ac:dyDescent="0.35">
      <c r="B299" s="518"/>
      <c r="C299" t="s">
        <v>530</v>
      </c>
      <c r="E299" s="519"/>
      <c r="F299" s="151" t="s">
        <v>177</v>
      </c>
      <c r="G299" s="316" t="s">
        <v>178</v>
      </c>
      <c r="H299" s="317"/>
      <c r="I299" s="318"/>
      <c r="J299" s="316"/>
      <c r="K299" s="502"/>
      <c r="L299" s="577"/>
      <c r="M299" s="258"/>
      <c r="N299" s="259"/>
      <c r="O299" s="317"/>
      <c r="P299" s="496"/>
      <c r="Q299" s="521"/>
      <c r="R299" s="496"/>
      <c r="S299" s="496"/>
      <c r="T299" s="517"/>
      <c r="U299" s="517"/>
      <c r="V299" s="517"/>
      <c r="W299" s="517"/>
      <c r="X299" s="578"/>
      <c r="Y299" s="151"/>
      <c r="Z299" s="151"/>
    </row>
    <row r="300" spans="2:26" x14ac:dyDescent="0.35">
      <c r="B300" s="579"/>
      <c r="C300" s="580"/>
      <c r="D300" s="580"/>
      <c r="E300" s="581"/>
      <c r="F300" s="151"/>
      <c r="G300" s="316"/>
      <c r="H300" s="317"/>
      <c r="I300" s="318"/>
      <c r="J300" s="316"/>
      <c r="K300" s="502"/>
      <c r="L300" s="577"/>
      <c r="M300" s="258"/>
      <c r="N300" s="259"/>
      <c r="O300" s="317"/>
      <c r="P300" s="496"/>
      <c r="Q300" s="521"/>
      <c r="R300" s="496"/>
      <c r="S300" s="496"/>
      <c r="T300" s="517"/>
      <c r="U300" s="517"/>
      <c r="V300" s="517"/>
      <c r="W300" s="517"/>
      <c r="X300" s="578"/>
      <c r="Y300" s="151"/>
      <c r="Z300" s="151"/>
    </row>
    <row r="301" spans="2:26" x14ac:dyDescent="0.35">
      <c r="B301" s="518"/>
      <c r="C301" t="s">
        <v>120</v>
      </c>
      <c r="E301" s="519"/>
      <c r="F301" s="151" t="s">
        <v>177</v>
      </c>
      <c r="G301" s="316" t="s">
        <v>178</v>
      </c>
      <c r="H301" s="317"/>
      <c r="I301" s="318"/>
      <c r="J301" s="316" t="s">
        <v>179</v>
      </c>
      <c r="K301" s="751">
        <v>0.1</v>
      </c>
      <c r="L301" s="577">
        <v>45.36</v>
      </c>
      <c r="M301" s="258">
        <v>0.1</v>
      </c>
      <c r="N301" s="259">
        <v>6</v>
      </c>
      <c r="O301" s="520">
        <f>K301*L301*M301*N301</f>
        <v>2.7216000000000005</v>
      </c>
      <c r="P301" s="261">
        <v>169122.61109699999</v>
      </c>
      <c r="Q301" s="521">
        <f t="shared" ref="Q301:Q309" si="42">P301*$O301</f>
        <v>460284.09836159524</v>
      </c>
      <c r="R301" s="259">
        <v>163305.33120000002</v>
      </c>
      <c r="S301" s="496">
        <f>R301*$O301</f>
        <v>444451.7893939201</v>
      </c>
      <c r="T301" s="259">
        <v>179635.86432000002</v>
      </c>
      <c r="U301" s="517">
        <f>$O301*T301</f>
        <v>488896.96833331214</v>
      </c>
      <c r="V301" s="259">
        <f>W301/O301</f>
        <v>170687.935539</v>
      </c>
      <c r="W301" s="267">
        <f>AVERAGEIF($P$3:$U$3,W$3,$P301:$U301)</f>
        <v>464544.28536294244</v>
      </c>
      <c r="X301" s="578"/>
      <c r="Y301" s="492">
        <f t="shared" ref="Y301:Y309" si="43">Q301/$D$1</f>
        <v>10147.356665820002</v>
      </c>
      <c r="Z301" s="151"/>
    </row>
    <row r="302" spans="2:26" x14ac:dyDescent="0.35">
      <c r="B302" s="518"/>
      <c r="E302" s="519"/>
      <c r="F302" s="151" t="s">
        <v>388</v>
      </c>
      <c r="G302" s="316" t="s">
        <v>222</v>
      </c>
      <c r="H302" s="317"/>
      <c r="I302" s="318"/>
      <c r="J302" s="316" t="s">
        <v>179</v>
      </c>
      <c r="K302" s="751">
        <v>0.1</v>
      </c>
      <c r="L302" s="577">
        <v>45.36</v>
      </c>
      <c r="M302" s="258">
        <v>0.1</v>
      </c>
      <c r="N302" s="259">
        <v>1</v>
      </c>
      <c r="O302" s="520">
        <f>K302*L302*M302*N302</f>
        <v>0.45360000000000006</v>
      </c>
      <c r="P302" s="261">
        <v>123981.63750000001</v>
      </c>
      <c r="Q302" s="521">
        <f t="shared" si="42"/>
        <v>56238.070770000013</v>
      </c>
      <c r="R302" s="259">
        <v>122618.79000000001</v>
      </c>
      <c r="S302" s="496">
        <f>R302*$O302</f>
        <v>55619.883144000014</v>
      </c>
      <c r="T302" s="259">
        <v>131202.10530000002</v>
      </c>
      <c r="U302" s="517">
        <f>$O302*T302</f>
        <v>59513.274964080018</v>
      </c>
      <c r="V302" s="259">
        <f>W302/O302</f>
        <v>125934.17760000001</v>
      </c>
      <c r="W302" s="267">
        <f>AVERAGEIF($P$3:$U$3,W$3,$P302:$U302)</f>
        <v>57123.74295936001</v>
      </c>
      <c r="X302" s="578"/>
      <c r="Y302" s="492">
        <f t="shared" si="43"/>
        <v>1239.8163750000003</v>
      </c>
      <c r="Z302" s="151"/>
    </row>
    <row r="303" spans="2:26" x14ac:dyDescent="0.35">
      <c r="B303" s="518"/>
      <c r="E303" s="519"/>
      <c r="F303" s="151" t="s">
        <v>226</v>
      </c>
      <c r="G303" s="316" t="s">
        <v>222</v>
      </c>
      <c r="H303" s="317"/>
      <c r="I303" s="318"/>
      <c r="J303" s="316" t="s">
        <v>179</v>
      </c>
      <c r="K303" s="751">
        <v>0.1</v>
      </c>
      <c r="L303" s="577">
        <v>45.36</v>
      </c>
      <c r="M303" s="379">
        <v>0.1</v>
      </c>
      <c r="N303" s="259">
        <v>6</v>
      </c>
      <c r="O303" s="520">
        <f>K303*L303*M303*N303</f>
        <v>2.7216000000000005</v>
      </c>
      <c r="P303" s="261">
        <v>4469.4136124999995</v>
      </c>
      <c r="Q303" s="521">
        <f t="shared" si="42"/>
        <v>12163.956087780001</v>
      </c>
      <c r="R303" s="259">
        <v>4158</v>
      </c>
      <c r="S303" s="496">
        <f>R303*$O303</f>
        <v>11316.412800000002</v>
      </c>
      <c r="T303" s="517">
        <f>R303*1.1</f>
        <v>4573.8</v>
      </c>
      <c r="U303" s="517">
        <f>O303*T303</f>
        <v>12448.054080000002</v>
      </c>
      <c r="V303" s="259">
        <f>W303/O303</f>
        <v>4400.4045374999996</v>
      </c>
      <c r="W303" s="267">
        <f>AVERAGEIF($P$3:$U$3,W$3,$P303:$U303)</f>
        <v>11976.14098926</v>
      </c>
      <c r="X303" s="578"/>
      <c r="Y303" s="492">
        <f t="shared" si="43"/>
        <v>268.16481675000006</v>
      </c>
      <c r="Z303" s="151"/>
    </row>
    <row r="304" spans="2:26" x14ac:dyDescent="0.35">
      <c r="B304" s="518"/>
      <c r="E304" s="519"/>
      <c r="F304" s="151" t="s">
        <v>227</v>
      </c>
      <c r="G304" s="316" t="s">
        <v>183</v>
      </c>
      <c r="H304" s="317">
        <v>4</v>
      </c>
      <c r="I304" s="318"/>
      <c r="J304" s="316" t="s">
        <v>179</v>
      </c>
      <c r="K304" s="751">
        <v>0.1</v>
      </c>
      <c r="L304" s="577">
        <v>45.36</v>
      </c>
      <c r="M304" s="379">
        <f>((M$301*N$301)/240*($H304/N304))</f>
        <v>1.0000000000000002E-2</v>
      </c>
      <c r="N304" s="259">
        <v>1</v>
      </c>
      <c r="O304" s="520">
        <f t="shared" ref="O304:O309" si="44">K304*L304*M304*N304</f>
        <v>4.5360000000000011E-2</v>
      </c>
      <c r="P304" s="261">
        <v>49592.654999999999</v>
      </c>
      <c r="Q304" s="521">
        <f t="shared" si="42"/>
        <v>2249.5228308000005</v>
      </c>
      <c r="R304" s="259">
        <v>46267.200000000004</v>
      </c>
      <c r="S304" s="496">
        <f>R304*$O304</f>
        <v>2098.6801920000007</v>
      </c>
      <c r="T304" s="517">
        <f>R304*1.1</f>
        <v>50893.920000000006</v>
      </c>
      <c r="U304" s="517">
        <f>O304*T304</f>
        <v>2308.5482112000009</v>
      </c>
      <c r="V304" s="259">
        <f>W304/O304</f>
        <v>48917.92500000001</v>
      </c>
      <c r="W304" s="267">
        <f>AVERAGEIF($P$3:$U$3,W$3,$P304:$U304)</f>
        <v>2218.9170780000009</v>
      </c>
      <c r="X304" s="578"/>
      <c r="Y304" s="492">
        <f t="shared" si="43"/>
        <v>49.592655000000015</v>
      </c>
      <c r="Z304" s="151"/>
    </row>
    <row r="305" spans="2:28" x14ac:dyDescent="0.35">
      <c r="B305" s="518"/>
      <c r="E305" s="519"/>
      <c r="F305" s="151" t="s">
        <v>220</v>
      </c>
      <c r="G305" s="316"/>
      <c r="H305" s="317"/>
      <c r="I305" s="318"/>
      <c r="J305" s="316"/>
      <c r="K305" s="751">
        <v>0.1</v>
      </c>
      <c r="L305" s="577">
        <v>45.36</v>
      </c>
      <c r="M305" s="379">
        <v>6.2500000000000003E-3</v>
      </c>
      <c r="N305" s="259">
        <v>1</v>
      </c>
      <c r="O305" s="520">
        <f t="shared" si="44"/>
        <v>2.8350000000000004E-2</v>
      </c>
      <c r="P305" s="261">
        <v>1581858.0973125002</v>
      </c>
      <c r="Q305" s="521">
        <f t="shared" si="42"/>
        <v>44845.677058809386</v>
      </c>
      <c r="R305" s="496"/>
      <c r="S305" s="496"/>
      <c r="T305" s="517"/>
      <c r="U305" s="517"/>
      <c r="V305" s="496"/>
      <c r="W305" s="267"/>
      <c r="X305" s="578"/>
      <c r="Y305" s="492">
        <f t="shared" si="43"/>
        <v>988.66131082031279</v>
      </c>
      <c r="Z305" s="151"/>
    </row>
    <row r="306" spans="2:28" x14ac:dyDescent="0.35">
      <c r="B306" s="518"/>
      <c r="E306" s="519"/>
      <c r="F306" s="151" t="s">
        <v>229</v>
      </c>
      <c r="G306" s="316"/>
      <c r="H306" s="317">
        <v>12</v>
      </c>
      <c r="I306" s="318"/>
      <c r="J306" s="316"/>
      <c r="K306" s="751">
        <v>0.1</v>
      </c>
      <c r="L306" s="577">
        <v>45.36</v>
      </c>
      <c r="M306" s="379">
        <f>((M$301*N$301)/240*($H306/N306))</f>
        <v>3.0000000000000006E-2</v>
      </c>
      <c r="N306" s="259">
        <v>1</v>
      </c>
      <c r="O306" s="520">
        <f t="shared" si="44"/>
        <v>0.13608000000000003</v>
      </c>
      <c r="P306" s="261">
        <v>16206.75</v>
      </c>
      <c r="Q306" s="521">
        <f t="shared" si="42"/>
        <v>2205.4145400000007</v>
      </c>
      <c r="R306" s="496"/>
      <c r="S306" s="496"/>
      <c r="T306" s="517"/>
      <c r="U306" s="517"/>
      <c r="V306" s="496"/>
      <c r="W306" s="267"/>
      <c r="X306" s="578"/>
      <c r="Y306" s="492">
        <f t="shared" si="43"/>
        <v>48.620250000000013</v>
      </c>
      <c r="Z306" s="151"/>
    </row>
    <row r="307" spans="2:28" x14ac:dyDescent="0.35">
      <c r="B307" s="518"/>
      <c r="E307" s="519"/>
      <c r="F307" s="151" t="s">
        <v>230</v>
      </c>
      <c r="G307" s="316"/>
      <c r="H307" s="317">
        <v>1</v>
      </c>
      <c r="I307" s="318"/>
      <c r="J307" s="316"/>
      <c r="K307" s="751">
        <v>0.1</v>
      </c>
      <c r="L307" s="577">
        <v>45.36</v>
      </c>
      <c r="M307" s="379">
        <f>((M$301*N$301)/240*($H307/N307))</f>
        <v>2.5000000000000005E-3</v>
      </c>
      <c r="N307" s="259">
        <v>1</v>
      </c>
      <c r="O307" s="520">
        <f t="shared" si="44"/>
        <v>1.1340000000000003E-2</v>
      </c>
      <c r="P307" s="261">
        <v>43393.573125000003</v>
      </c>
      <c r="Q307" s="521">
        <f t="shared" si="42"/>
        <v>492.08311923750017</v>
      </c>
      <c r="R307" s="496"/>
      <c r="S307" s="496"/>
      <c r="T307" s="517"/>
      <c r="U307" s="517"/>
      <c r="V307" s="496"/>
      <c r="W307" s="267"/>
      <c r="X307" s="578"/>
      <c r="Y307" s="492">
        <f t="shared" si="43"/>
        <v>10.848393281250004</v>
      </c>
      <c r="Z307" s="151"/>
    </row>
    <row r="308" spans="2:28" x14ac:dyDescent="0.35">
      <c r="B308" s="518"/>
      <c r="E308" s="519"/>
      <c r="F308" s="151" t="s">
        <v>231</v>
      </c>
      <c r="G308" s="316"/>
      <c r="H308" s="317">
        <v>2</v>
      </c>
      <c r="I308" s="318"/>
      <c r="J308" s="316"/>
      <c r="K308" s="751">
        <v>0.1</v>
      </c>
      <c r="L308" s="577">
        <v>45.36</v>
      </c>
      <c r="M308" s="379">
        <f>((M$301*N$301)/240*($H308/N308))</f>
        <v>5.000000000000001E-3</v>
      </c>
      <c r="N308" s="259">
        <v>1</v>
      </c>
      <c r="O308" s="520">
        <f t="shared" si="44"/>
        <v>2.2680000000000006E-2</v>
      </c>
      <c r="P308" s="261">
        <v>37194.491250000006</v>
      </c>
      <c r="Q308" s="521">
        <f t="shared" si="42"/>
        <v>843.57106155000031</v>
      </c>
      <c r="R308" s="496"/>
      <c r="S308" s="496"/>
      <c r="T308" s="517"/>
      <c r="U308" s="517"/>
      <c r="V308" s="496"/>
      <c r="W308" s="267"/>
      <c r="X308" s="578"/>
      <c r="Y308" s="492">
        <f t="shared" si="43"/>
        <v>18.597245625000006</v>
      </c>
      <c r="Z308" s="151"/>
    </row>
    <row r="309" spans="2:28" x14ac:dyDescent="0.35">
      <c r="B309" s="518"/>
      <c r="E309" s="519"/>
      <c r="F309" s="151" t="s">
        <v>232</v>
      </c>
      <c r="G309" s="316"/>
      <c r="H309" s="317">
        <v>1</v>
      </c>
      <c r="I309" s="318"/>
      <c r="J309" s="316"/>
      <c r="K309" s="751">
        <v>0.1</v>
      </c>
      <c r="L309" s="577">
        <v>45.36</v>
      </c>
      <c r="M309" s="379">
        <f>((M$301*N$301)/240*($H309/N309))</f>
        <v>2.5000000000000005E-3</v>
      </c>
      <c r="N309" s="259">
        <v>1</v>
      </c>
      <c r="O309" s="520">
        <f t="shared" si="44"/>
        <v>1.1340000000000003E-2</v>
      </c>
      <c r="P309" s="261">
        <v>99185.31</v>
      </c>
      <c r="Q309" s="521">
        <f t="shared" si="42"/>
        <v>1124.7614154000003</v>
      </c>
      <c r="R309" s="496"/>
      <c r="S309" s="496"/>
      <c r="T309" s="517"/>
      <c r="U309" s="517"/>
      <c r="V309" s="496"/>
      <c r="W309" s="267"/>
      <c r="X309" s="578"/>
      <c r="Y309" s="492">
        <f t="shared" si="43"/>
        <v>24.796327500000007</v>
      </c>
      <c r="Z309" s="151"/>
    </row>
    <row r="310" spans="2:28" x14ac:dyDescent="0.35">
      <c r="B310" s="579"/>
      <c r="C310" s="580"/>
      <c r="D310" s="580"/>
      <c r="E310" s="581"/>
      <c r="F310" s="151"/>
      <c r="G310" s="316"/>
      <c r="H310" s="317"/>
      <c r="I310" s="318"/>
      <c r="J310" s="316"/>
      <c r="K310" s="502"/>
      <c r="L310" s="577"/>
      <c r="M310" s="379"/>
      <c r="N310" s="259"/>
      <c r="O310" s="317"/>
      <c r="P310" s="496"/>
      <c r="Q310" s="521"/>
      <c r="R310" s="496"/>
      <c r="S310" s="496"/>
      <c r="T310" s="517"/>
      <c r="U310" s="517"/>
      <c r="V310" s="517"/>
      <c r="W310" s="517"/>
      <c r="X310" s="578"/>
      <c r="Y310" s="151"/>
      <c r="Z310" s="151"/>
    </row>
    <row r="311" spans="2:28" ht="29.25" customHeight="1" x14ac:dyDescent="0.35">
      <c r="B311" s="606" t="s">
        <v>531</v>
      </c>
      <c r="C311" s="716"/>
      <c r="D311" s="716"/>
      <c r="E311" s="717"/>
      <c r="F311" s="609"/>
      <c r="G311" s="610"/>
      <c r="H311" s="611"/>
      <c r="I311" s="612"/>
      <c r="J311" s="610"/>
      <c r="K311" s="613"/>
      <c r="L311" s="614"/>
      <c r="M311" s="615"/>
      <c r="N311" s="616"/>
      <c r="O311" s="611"/>
      <c r="P311" s="617"/>
      <c r="Q311" s="618">
        <f>SUM(Q301:Q310)</f>
        <v>580447.15524517221</v>
      </c>
      <c r="R311" s="617"/>
      <c r="S311" s="718">
        <f>SUM(S300:S310)</f>
        <v>513486.76552992011</v>
      </c>
      <c r="T311" s="605"/>
      <c r="U311" s="605"/>
      <c r="V311" s="605"/>
      <c r="W311" s="605"/>
      <c r="X311" s="611"/>
      <c r="Y311" s="645">
        <f>Q311/$D$1</f>
        <v>12796.454039796565</v>
      </c>
      <c r="Z311" s="645">
        <f>Q311/$Q$426*100</f>
        <v>9.8351994413001909E-2</v>
      </c>
    </row>
    <row r="312" spans="2:28" x14ac:dyDescent="0.35">
      <c r="B312" s="504"/>
      <c r="C312" s="172" t="s">
        <v>532</v>
      </c>
      <c r="D312" s="172"/>
      <c r="E312" s="506"/>
      <c r="F312" s="151" t="s">
        <v>177</v>
      </c>
      <c r="G312" s="502" t="s">
        <v>178</v>
      </c>
      <c r="H312" s="317"/>
      <c r="I312" s="318"/>
      <c r="J312" s="316"/>
      <c r="K312" s="502"/>
      <c r="L312" s="577"/>
      <c r="M312" s="258">
        <v>0.5</v>
      </c>
      <c r="N312" s="309">
        <v>1</v>
      </c>
      <c r="O312" s="684"/>
      <c r="P312" s="685"/>
      <c r="Q312" s="686"/>
      <c r="R312" s="685"/>
      <c r="S312" s="685"/>
      <c r="T312" s="687"/>
      <c r="U312" s="687"/>
      <c r="V312" s="687"/>
      <c r="W312" s="687"/>
      <c r="X312" s="578"/>
      <c r="Y312" s="151"/>
      <c r="Z312" s="151"/>
      <c r="AB312" s="429"/>
    </row>
    <row r="313" spans="2:28" x14ac:dyDescent="0.35">
      <c r="B313" s="579"/>
      <c r="C313" s="580"/>
      <c r="D313" s="580"/>
      <c r="E313" s="581"/>
      <c r="F313" s="151" t="s">
        <v>397</v>
      </c>
      <c r="G313" s="502" t="s">
        <v>181</v>
      </c>
      <c r="H313" s="317"/>
      <c r="I313" s="318"/>
      <c r="J313" s="316"/>
      <c r="K313" s="502"/>
      <c r="L313" s="577"/>
      <c r="M313" s="258">
        <v>1.92</v>
      </c>
      <c r="N313" s="309">
        <v>1</v>
      </c>
      <c r="O313" s="684"/>
      <c r="P313" s="685"/>
      <c r="Q313" s="686"/>
      <c r="R313" s="685"/>
      <c r="S313" s="685"/>
      <c r="T313" s="687"/>
      <c r="U313" s="687"/>
      <c r="V313" s="687"/>
      <c r="W313" s="687"/>
      <c r="X313" s="578"/>
      <c r="Y313" s="151"/>
      <c r="Z313" s="151"/>
    </row>
    <row r="314" spans="2:28" x14ac:dyDescent="0.35">
      <c r="B314" s="518"/>
      <c r="C314" t="s">
        <v>533</v>
      </c>
      <c r="E314" s="519"/>
      <c r="F314" s="151" t="s">
        <v>177</v>
      </c>
      <c r="G314" s="316" t="s">
        <v>178</v>
      </c>
      <c r="H314" s="317"/>
      <c r="I314" s="318"/>
      <c r="J314" s="316" t="s">
        <v>179</v>
      </c>
      <c r="K314" s="602">
        <v>0</v>
      </c>
      <c r="L314" s="577">
        <v>45.36</v>
      </c>
      <c r="M314" s="258">
        <v>0.25</v>
      </c>
      <c r="N314" s="261">
        <v>12</v>
      </c>
      <c r="O314" s="520">
        <f>K314*L314*M314*N314</f>
        <v>0</v>
      </c>
      <c r="P314" s="261">
        <v>169122.61109699999</v>
      </c>
      <c r="Q314" s="521">
        <f>P314*$O314</f>
        <v>0</v>
      </c>
      <c r="R314" s="259">
        <v>163305.33120000002</v>
      </c>
      <c r="S314" s="496">
        <f>R314*$O314</f>
        <v>0</v>
      </c>
      <c r="T314" s="259">
        <v>179635.86432000002</v>
      </c>
      <c r="U314" s="517">
        <f>$O314*T314</f>
        <v>0</v>
      </c>
      <c r="V314" s="259" t="e">
        <f>W314/O314</f>
        <v>#DIV/0!</v>
      </c>
      <c r="W314" s="267">
        <f>AVERAGEIF($P$3:$U$3,W$3,$P314:$U314)</f>
        <v>0</v>
      </c>
      <c r="X314" s="578"/>
      <c r="Y314" s="492">
        <f t="shared" ref="Y314:Y316" si="45">Q314/192.08</f>
        <v>0</v>
      </c>
      <c r="Z314" s="151"/>
    </row>
    <row r="315" spans="2:28" x14ac:dyDescent="0.35">
      <c r="B315" s="518"/>
      <c r="E315" s="519"/>
      <c r="F315" s="151" t="s">
        <v>534</v>
      </c>
      <c r="G315" s="316" t="s">
        <v>535</v>
      </c>
      <c r="H315" s="317"/>
      <c r="I315" s="318"/>
      <c r="J315" s="316" t="s">
        <v>179</v>
      </c>
      <c r="K315" s="602">
        <v>0</v>
      </c>
      <c r="L315" s="577">
        <v>45.36</v>
      </c>
      <c r="M315" s="258">
        <f>1/2</f>
        <v>0.5</v>
      </c>
      <c r="N315" s="261">
        <v>6</v>
      </c>
      <c r="O315" s="520">
        <f>K315*L315*M315*N315</f>
        <v>0</v>
      </c>
      <c r="P315" s="261">
        <v>85441.059899999993</v>
      </c>
      <c r="Q315" s="521">
        <f>P315*$O315</f>
        <v>0</v>
      </c>
      <c r="R315" s="259">
        <v>84501.863280000005</v>
      </c>
      <c r="S315" s="496">
        <f>R315*$O315</f>
        <v>0</v>
      </c>
      <c r="T315" s="259">
        <v>90416.993709600007</v>
      </c>
      <c r="U315" s="517">
        <f>$O315*T315</f>
        <v>0</v>
      </c>
      <c r="V315" s="259" t="e">
        <f>W315/O315</f>
        <v>#DIV/0!</v>
      </c>
      <c r="W315" s="267">
        <f>AVERAGEIF($P$3:$U$3,W$3,$P315:$U315)</f>
        <v>0</v>
      </c>
      <c r="X315" s="578"/>
      <c r="Y315" s="492">
        <f t="shared" si="45"/>
        <v>0</v>
      </c>
      <c r="Z315" s="151"/>
    </row>
    <row r="316" spans="2:28" x14ac:dyDescent="0.35">
      <c r="B316" s="518"/>
      <c r="E316" s="519"/>
      <c r="F316" s="151" t="s">
        <v>536</v>
      </c>
      <c r="G316" s="316" t="s">
        <v>183</v>
      </c>
      <c r="H316" s="317"/>
      <c r="I316" s="318"/>
      <c r="J316" s="316" t="s">
        <v>179</v>
      </c>
      <c r="K316" s="602">
        <v>0</v>
      </c>
      <c r="L316" s="577">
        <v>45.36</v>
      </c>
      <c r="M316" s="379">
        <f>1/2</f>
        <v>0.5</v>
      </c>
      <c r="N316" s="261">
        <v>3</v>
      </c>
      <c r="O316" s="520">
        <f>K316*L316*M316*N316</f>
        <v>0</v>
      </c>
      <c r="P316" s="261">
        <v>57881.25</v>
      </c>
      <c r="Q316" s="521">
        <f>P316*$O316</f>
        <v>0</v>
      </c>
      <c r="R316" s="259"/>
      <c r="S316" s="496"/>
      <c r="T316" s="259"/>
      <c r="U316" s="517"/>
      <c r="V316" s="259"/>
      <c r="W316" s="267"/>
      <c r="X316" s="578"/>
      <c r="Y316" s="492">
        <f t="shared" si="45"/>
        <v>0</v>
      </c>
      <c r="Z316" s="151"/>
    </row>
    <row r="317" spans="2:28" x14ac:dyDescent="0.35">
      <c r="B317" s="518"/>
      <c r="E317" s="519"/>
      <c r="F317" s="151" t="s">
        <v>177</v>
      </c>
      <c r="G317" s="316" t="s">
        <v>178</v>
      </c>
      <c r="H317" s="317"/>
      <c r="I317" s="318"/>
      <c r="J317" s="316" t="s">
        <v>179</v>
      </c>
      <c r="K317" s="602">
        <v>1</v>
      </c>
      <c r="L317" s="577">
        <v>45.36</v>
      </c>
      <c r="M317" s="379">
        <v>0.25</v>
      </c>
      <c r="N317" s="261">
        <v>6</v>
      </c>
      <c r="O317" s="520">
        <f>K317*L317*M317*N317</f>
        <v>68.039999999999992</v>
      </c>
      <c r="P317" s="261">
        <v>169122.61109699999</v>
      </c>
      <c r="Q317" s="521">
        <f t="shared" ref="Q317:Q324" si="46">P317*$O317</f>
        <v>11507102.459039878</v>
      </c>
      <c r="R317" s="259"/>
      <c r="S317" s="496"/>
      <c r="T317" s="259"/>
      <c r="U317" s="517"/>
      <c r="V317" s="259"/>
      <c r="W317" s="267"/>
      <c r="X317" s="578"/>
      <c r="Y317" s="492">
        <f>Q317/$D$1</f>
        <v>253683.91664549996</v>
      </c>
      <c r="Z317" s="151"/>
    </row>
    <row r="318" spans="2:28" x14ac:dyDescent="0.35">
      <c r="B318" s="518"/>
      <c r="E318" s="519"/>
      <c r="F318" s="151" t="s">
        <v>226</v>
      </c>
      <c r="G318" s="316" t="s">
        <v>178</v>
      </c>
      <c r="H318" s="317"/>
      <c r="I318" s="318"/>
      <c r="J318" s="316" t="s">
        <v>179</v>
      </c>
      <c r="K318" s="602">
        <v>1</v>
      </c>
      <c r="L318" s="577">
        <v>45.36</v>
      </c>
      <c r="M318" s="379">
        <v>0.25</v>
      </c>
      <c r="N318" s="261">
        <v>6</v>
      </c>
      <c r="O318" s="520">
        <f t="shared" ref="O318:O324" si="47">K318*L318*M318*N318</f>
        <v>68.039999999999992</v>
      </c>
      <c r="P318" s="261">
        <v>4469.4136124999995</v>
      </c>
      <c r="Q318" s="521">
        <f t="shared" si="46"/>
        <v>304098.90219449991</v>
      </c>
      <c r="R318" s="259"/>
      <c r="S318" s="496"/>
      <c r="T318" s="259"/>
      <c r="U318" s="517"/>
      <c r="V318" s="259"/>
      <c r="W318" s="267"/>
      <c r="X318" s="578"/>
      <c r="Y318" s="492">
        <f t="shared" ref="Y318:Y327" si="48">Q318/$D$1</f>
        <v>6704.120418749998</v>
      </c>
      <c r="Z318" s="151"/>
    </row>
    <row r="319" spans="2:28" x14ac:dyDescent="0.35">
      <c r="B319" s="518"/>
      <c r="E319" s="519"/>
      <c r="F319" s="151" t="s">
        <v>227</v>
      </c>
      <c r="G319" s="316" t="s">
        <v>183</v>
      </c>
      <c r="H319" s="317">
        <v>4</v>
      </c>
      <c r="I319" s="318" t="s">
        <v>228</v>
      </c>
      <c r="J319" s="316" t="s">
        <v>179</v>
      </c>
      <c r="K319" s="602">
        <v>1</v>
      </c>
      <c r="L319" s="577">
        <v>45.36</v>
      </c>
      <c r="M319" s="379">
        <f>((M$317*N$317)/240*($H319/N319))</f>
        <v>1.2500000000000001E-2</v>
      </c>
      <c r="N319" s="261">
        <v>2</v>
      </c>
      <c r="O319" s="520">
        <f t="shared" si="47"/>
        <v>1.1340000000000001</v>
      </c>
      <c r="P319" s="261">
        <v>49592.654999999999</v>
      </c>
      <c r="Q319" s="521">
        <f t="shared" si="46"/>
        <v>56238.070770000006</v>
      </c>
      <c r="R319" s="259"/>
      <c r="S319" s="496"/>
      <c r="T319" s="259"/>
      <c r="U319" s="517"/>
      <c r="V319" s="259"/>
      <c r="W319" s="267"/>
      <c r="X319" s="578"/>
      <c r="Y319" s="492">
        <f t="shared" si="48"/>
        <v>1239.8163750000001</v>
      </c>
      <c r="Z319" s="151"/>
    </row>
    <row r="320" spans="2:28" x14ac:dyDescent="0.35">
      <c r="B320" s="518"/>
      <c r="E320" s="519"/>
      <c r="F320" s="151" t="s">
        <v>220</v>
      </c>
      <c r="G320" s="316" t="s">
        <v>183</v>
      </c>
      <c r="H320" s="317"/>
      <c r="I320" s="318"/>
      <c r="J320" s="316"/>
      <c r="K320" s="602">
        <v>1</v>
      </c>
      <c r="L320" s="577">
        <v>45.36</v>
      </c>
      <c r="M320" s="379">
        <v>6.2500000000000003E-3</v>
      </c>
      <c r="N320" s="261">
        <v>1</v>
      </c>
      <c r="O320" s="520">
        <f t="shared" si="47"/>
        <v>0.28350000000000003</v>
      </c>
      <c r="P320" s="261">
        <v>1581858.0973125002</v>
      </c>
      <c r="Q320" s="521">
        <f t="shared" si="46"/>
        <v>448456.77058809384</v>
      </c>
      <c r="R320" s="259"/>
      <c r="S320" s="496"/>
      <c r="T320" s="259"/>
      <c r="U320" s="517"/>
      <c r="V320" s="259"/>
      <c r="W320" s="267"/>
      <c r="X320" s="578"/>
      <c r="Y320" s="492">
        <f t="shared" si="48"/>
        <v>9886.6131082031279</v>
      </c>
      <c r="Z320" s="151"/>
    </row>
    <row r="321" spans="2:26" x14ac:dyDescent="0.35">
      <c r="B321" s="518"/>
      <c r="E321" s="519"/>
      <c r="F321" s="151" t="s">
        <v>229</v>
      </c>
      <c r="G321" s="316" t="s">
        <v>183</v>
      </c>
      <c r="H321" s="317">
        <v>12</v>
      </c>
      <c r="I321" s="318" t="s">
        <v>228</v>
      </c>
      <c r="J321" s="316" t="s">
        <v>179</v>
      </c>
      <c r="K321" s="602">
        <v>1</v>
      </c>
      <c r="L321" s="577">
        <v>45.36</v>
      </c>
      <c r="M321" s="379">
        <f>((M$317*N$317)/240*($H321/N321))</f>
        <v>3.7500000000000006E-2</v>
      </c>
      <c r="N321" s="261">
        <v>2</v>
      </c>
      <c r="O321" s="520">
        <f t="shared" si="47"/>
        <v>3.4020000000000006</v>
      </c>
      <c r="P321" s="261">
        <v>16206.75</v>
      </c>
      <c r="Q321" s="521">
        <f t="shared" si="46"/>
        <v>55135.363500000007</v>
      </c>
      <c r="R321" s="259"/>
      <c r="S321" s="496"/>
      <c r="T321" s="259"/>
      <c r="U321" s="517"/>
      <c r="V321" s="259"/>
      <c r="W321" s="267"/>
      <c r="X321" s="578"/>
      <c r="Y321" s="492">
        <f t="shared" si="48"/>
        <v>1215.5062500000001</v>
      </c>
      <c r="Z321" s="151"/>
    </row>
    <row r="322" spans="2:26" x14ac:dyDescent="0.35">
      <c r="B322" s="518"/>
      <c r="E322" s="519"/>
      <c r="F322" s="151" t="s">
        <v>230</v>
      </c>
      <c r="G322" s="316" t="s">
        <v>183</v>
      </c>
      <c r="H322" s="317">
        <v>1</v>
      </c>
      <c r="I322" s="318" t="s">
        <v>228</v>
      </c>
      <c r="J322" s="316" t="s">
        <v>179</v>
      </c>
      <c r="K322" s="602">
        <v>1</v>
      </c>
      <c r="L322" s="577">
        <v>45.36</v>
      </c>
      <c r="M322" s="379">
        <f>((M$317*N$317)/240*($H322/N322))</f>
        <v>3.1250000000000002E-3</v>
      </c>
      <c r="N322" s="261">
        <v>2</v>
      </c>
      <c r="O322" s="520">
        <f t="shared" si="47"/>
        <v>0.28350000000000003</v>
      </c>
      <c r="P322" s="261">
        <v>43393.573125000003</v>
      </c>
      <c r="Q322" s="521">
        <f t="shared" si="46"/>
        <v>12302.077980937502</v>
      </c>
      <c r="R322" s="259"/>
      <c r="S322" s="496"/>
      <c r="T322" s="259"/>
      <c r="U322" s="517"/>
      <c r="V322" s="259"/>
      <c r="W322" s="267"/>
      <c r="X322" s="578"/>
      <c r="Y322" s="492">
        <f t="shared" si="48"/>
        <v>271.20983203125002</v>
      </c>
      <c r="Z322" s="151"/>
    </row>
    <row r="323" spans="2:26" x14ac:dyDescent="0.35">
      <c r="B323" s="518"/>
      <c r="E323" s="519"/>
      <c r="F323" s="151" t="s">
        <v>231</v>
      </c>
      <c r="G323" s="316" t="s">
        <v>183</v>
      </c>
      <c r="H323" s="317">
        <v>2</v>
      </c>
      <c r="I323" s="318" t="s">
        <v>228</v>
      </c>
      <c r="J323" s="316" t="s">
        <v>179</v>
      </c>
      <c r="K323" s="602">
        <v>1</v>
      </c>
      <c r="L323" s="577">
        <v>45.36</v>
      </c>
      <c r="M323" s="379">
        <f>((M$317*N$317)/240*($H323/N323))</f>
        <v>6.2500000000000003E-3</v>
      </c>
      <c r="N323" s="261">
        <v>2</v>
      </c>
      <c r="O323" s="520">
        <f t="shared" si="47"/>
        <v>0.56700000000000006</v>
      </c>
      <c r="P323" s="261">
        <v>37194.491250000006</v>
      </c>
      <c r="Q323" s="521">
        <f t="shared" si="46"/>
        <v>21089.276538750008</v>
      </c>
      <c r="R323" s="259"/>
      <c r="S323" s="496"/>
      <c r="T323" s="259"/>
      <c r="U323" s="517"/>
      <c r="V323" s="259"/>
      <c r="W323" s="267"/>
      <c r="X323" s="578"/>
      <c r="Y323" s="492">
        <f t="shared" si="48"/>
        <v>464.93114062500018</v>
      </c>
      <c r="Z323" s="151"/>
    </row>
    <row r="324" spans="2:26" x14ac:dyDescent="0.35">
      <c r="B324" s="518"/>
      <c r="E324" s="519"/>
      <c r="F324" s="151" t="s">
        <v>232</v>
      </c>
      <c r="G324" s="316" t="s">
        <v>183</v>
      </c>
      <c r="H324" s="317">
        <v>1</v>
      </c>
      <c r="I324" s="318" t="s">
        <v>228</v>
      </c>
      <c r="J324" s="316" t="s">
        <v>179</v>
      </c>
      <c r="K324" s="602">
        <v>1</v>
      </c>
      <c r="L324" s="577">
        <v>45.36</v>
      </c>
      <c r="M324" s="379">
        <f>((M$317*N$317)/240*($H324/N324))</f>
        <v>6.2500000000000003E-3</v>
      </c>
      <c r="N324" s="261">
        <v>1</v>
      </c>
      <c r="O324" s="520">
        <f t="shared" si="47"/>
        <v>0.28350000000000003</v>
      </c>
      <c r="P324" s="261">
        <v>99185.31</v>
      </c>
      <c r="Q324" s="521">
        <f t="shared" si="46"/>
        <v>28119.035385000003</v>
      </c>
      <c r="R324" s="259"/>
      <c r="S324" s="496"/>
      <c r="T324" s="259"/>
      <c r="U324" s="517"/>
      <c r="V324" s="259"/>
      <c r="W324" s="267"/>
      <c r="X324" s="578"/>
      <c r="Y324" s="492">
        <f t="shared" si="48"/>
        <v>619.90818750000005</v>
      </c>
      <c r="Z324" s="151"/>
    </row>
    <row r="325" spans="2:26" x14ac:dyDescent="0.35">
      <c r="B325" s="518"/>
      <c r="E325" s="519"/>
      <c r="F325" s="151" t="s">
        <v>334</v>
      </c>
      <c r="G325" s="316" t="s">
        <v>222</v>
      </c>
      <c r="H325" s="317"/>
      <c r="I325" s="318"/>
      <c r="J325" s="316" t="s">
        <v>179</v>
      </c>
      <c r="K325" s="602">
        <v>1</v>
      </c>
      <c r="L325" s="577">
        <v>45.36</v>
      </c>
      <c r="M325" s="379">
        <f>91.08/1000</f>
        <v>9.1079999999999994E-2</v>
      </c>
      <c r="N325" s="261">
        <v>6</v>
      </c>
      <c r="O325" s="520">
        <f>K325*L325*M325*N325</f>
        <v>24.788332799999999</v>
      </c>
      <c r="P325" s="261">
        <v>58979.836125000002</v>
      </c>
      <c r="Q325" s="521">
        <f>P325*$O325</f>
        <v>1462011.8063559623</v>
      </c>
      <c r="R325" s="259"/>
      <c r="S325" s="496"/>
      <c r="T325" s="259"/>
      <c r="U325" s="517"/>
      <c r="V325" s="259"/>
      <c r="W325" s="267"/>
      <c r="X325" s="578"/>
      <c r="Y325" s="492">
        <f t="shared" si="48"/>
        <v>32231.300845589998</v>
      </c>
      <c r="Z325" s="151"/>
    </row>
    <row r="326" spans="2:26" x14ac:dyDescent="0.35">
      <c r="B326" s="518"/>
      <c r="E326" s="519"/>
      <c r="F326" s="252" t="s">
        <v>177</v>
      </c>
      <c r="G326" s="253" t="s">
        <v>178</v>
      </c>
      <c r="H326" s="254"/>
      <c r="I326" s="255"/>
      <c r="J326" s="256"/>
      <c r="K326" s="265">
        <v>1</v>
      </c>
      <c r="L326" s="577">
        <v>45.36</v>
      </c>
      <c r="M326" s="309">
        <v>0.25</v>
      </c>
      <c r="N326" s="261">
        <v>12</v>
      </c>
      <c r="O326" s="309">
        <f>K326*L326*M326*N326</f>
        <v>136.07999999999998</v>
      </c>
      <c r="P326" s="261">
        <v>169122.61109699999</v>
      </c>
      <c r="Q326" s="521">
        <f>P326*$O326</f>
        <v>23014204.918079756</v>
      </c>
      <c r="R326" s="259"/>
      <c r="S326" s="496"/>
      <c r="T326" s="259"/>
      <c r="U326" s="517"/>
      <c r="V326" s="259"/>
      <c r="W326" s="267"/>
      <c r="X326" s="578" t="s">
        <v>578</v>
      </c>
      <c r="Y326" s="492">
        <f t="shared" si="48"/>
        <v>507367.83329099993</v>
      </c>
      <c r="Z326" s="151"/>
    </row>
    <row r="327" spans="2:26" x14ac:dyDescent="0.35">
      <c r="B327" s="579"/>
      <c r="C327" s="580"/>
      <c r="D327" s="580"/>
      <c r="E327" s="581"/>
      <c r="F327" s="252" t="s">
        <v>393</v>
      </c>
      <c r="G327" s="253" t="s">
        <v>394</v>
      </c>
      <c r="H327" s="254"/>
      <c r="I327" s="255"/>
      <c r="J327" s="256"/>
      <c r="K327" s="265">
        <v>1</v>
      </c>
      <c r="L327" s="577">
        <v>45.36</v>
      </c>
      <c r="M327" s="309">
        <f>5*136/1000</f>
        <v>0.68</v>
      </c>
      <c r="N327" s="261">
        <v>12</v>
      </c>
      <c r="O327" s="309">
        <f>K327*L327*M327*N327</f>
        <v>370.13760000000002</v>
      </c>
      <c r="P327" s="261">
        <v>35706.711600000002</v>
      </c>
      <c r="Q327" s="521">
        <f>P327*$O327</f>
        <v>13216396.535516161</v>
      </c>
      <c r="R327" s="259">
        <v>0</v>
      </c>
      <c r="S327" s="496">
        <f>R327*$O327</f>
        <v>0</v>
      </c>
      <c r="T327" s="259">
        <v>0</v>
      </c>
      <c r="U327" s="517">
        <f>$O327*T327</f>
        <v>0</v>
      </c>
      <c r="V327" s="259">
        <f>W327/O327</f>
        <v>11902.2372</v>
      </c>
      <c r="W327" s="267">
        <f>AVERAGEIF($P$3:$U$3,W$3,$P327:$U327)</f>
        <v>4405465.5118387202</v>
      </c>
      <c r="X327" s="578"/>
      <c r="Y327" s="492">
        <f t="shared" si="48"/>
        <v>291366.76665600005</v>
      </c>
      <c r="Z327" s="151"/>
    </row>
    <row r="328" spans="2:26" ht="29.25" customHeight="1" x14ac:dyDescent="0.35">
      <c r="B328" s="606" t="s">
        <v>537</v>
      </c>
      <c r="C328" s="716"/>
      <c r="D328" s="716"/>
      <c r="E328" s="717"/>
      <c r="F328" s="609"/>
      <c r="G328" s="610"/>
      <c r="H328" s="611"/>
      <c r="I328" s="612"/>
      <c r="J328" s="610"/>
      <c r="K328" s="613"/>
      <c r="L328" s="614"/>
      <c r="M328" s="615"/>
      <c r="N328" s="616"/>
      <c r="O328" s="611"/>
      <c r="P328" s="617"/>
      <c r="Q328" s="618">
        <f>SUM(Q314:Q327)</f>
        <v>50125155.215949044</v>
      </c>
      <c r="R328" s="617"/>
      <c r="S328" s="718">
        <f>SUM(S317:S327)</f>
        <v>0</v>
      </c>
      <c r="T328" s="605"/>
      <c r="U328" s="605"/>
      <c r="V328" s="605"/>
      <c r="W328" s="605"/>
      <c r="X328" s="611"/>
      <c r="Y328" s="645">
        <f>Q328/$D$1</f>
        <v>1105051.9227501994</v>
      </c>
      <c r="Z328" s="645">
        <f>Q328/$Q$426*100</f>
        <v>8.4932951108487273</v>
      </c>
    </row>
    <row r="329" spans="2:26" x14ac:dyDescent="0.35">
      <c r="B329" s="518"/>
      <c r="C329" t="s">
        <v>538</v>
      </c>
      <c r="E329" s="519"/>
      <c r="F329" s="151" t="s">
        <v>177</v>
      </c>
      <c r="G329" s="316" t="s">
        <v>178</v>
      </c>
      <c r="H329" s="317"/>
      <c r="I329" s="318"/>
      <c r="J329" s="316"/>
      <c r="K329" s="502"/>
      <c r="L329" s="577"/>
      <c r="M329" s="258"/>
      <c r="N329" s="259"/>
      <c r="O329" s="317"/>
      <c r="P329" s="496"/>
      <c r="Q329" s="521"/>
      <c r="R329" s="496"/>
      <c r="S329" s="496"/>
      <c r="T329" s="517"/>
      <c r="U329" s="517"/>
      <c r="V329" s="517"/>
      <c r="W329" s="517"/>
      <c r="X329" s="578"/>
      <c r="Y329" s="151"/>
      <c r="Z329" s="151"/>
    </row>
    <row r="330" spans="2:26" x14ac:dyDescent="0.35">
      <c r="B330" s="518"/>
      <c r="E330" s="519"/>
      <c r="F330" s="151" t="s">
        <v>539</v>
      </c>
      <c r="G330" s="316" t="s">
        <v>222</v>
      </c>
      <c r="H330" s="317"/>
      <c r="I330" s="318"/>
      <c r="J330" s="316"/>
      <c r="K330" s="502"/>
      <c r="L330" s="577"/>
      <c r="M330" s="258"/>
      <c r="N330" s="259"/>
      <c r="O330" s="317"/>
      <c r="P330" s="496"/>
      <c r="Q330" s="521"/>
      <c r="R330" s="496"/>
      <c r="S330" s="496"/>
      <c r="T330" s="517"/>
      <c r="U330" s="517"/>
      <c r="V330" s="517"/>
      <c r="W330" s="517"/>
      <c r="X330" s="578"/>
      <c r="Y330" s="151"/>
      <c r="Z330" s="151"/>
    </row>
    <row r="331" spans="2:26" x14ac:dyDescent="0.35">
      <c r="B331" s="579"/>
      <c r="C331" s="580"/>
      <c r="D331" s="580"/>
      <c r="E331" s="581"/>
      <c r="F331" s="151"/>
      <c r="G331" s="316"/>
      <c r="H331" s="317"/>
      <c r="I331" s="318"/>
      <c r="J331" s="316"/>
      <c r="K331" s="502"/>
      <c r="L331" s="577"/>
      <c r="M331" s="258"/>
      <c r="N331" s="259"/>
      <c r="O331" s="317"/>
      <c r="P331" s="496"/>
      <c r="Q331" s="521"/>
      <c r="R331" s="496"/>
      <c r="S331" s="496"/>
      <c r="T331" s="517"/>
      <c r="U331" s="517"/>
      <c r="V331" s="517"/>
      <c r="W331" s="517"/>
      <c r="X331" s="578"/>
      <c r="Y331" s="151"/>
      <c r="Z331" s="151"/>
    </row>
    <row r="332" spans="2:26" ht="15" customHeight="1" x14ac:dyDescent="0.35">
      <c r="B332" s="504"/>
      <c r="C332" s="172" t="s">
        <v>540</v>
      </c>
      <c r="D332" s="172"/>
      <c r="E332" s="506"/>
      <c r="F332" s="752" t="s">
        <v>177</v>
      </c>
      <c r="G332" s="753" t="s">
        <v>178</v>
      </c>
      <c r="H332" s="719"/>
      <c r="I332" s="720"/>
      <c r="J332" s="754"/>
      <c r="K332" s="755"/>
      <c r="L332" s="756"/>
      <c r="M332" s="728">
        <v>11.5</v>
      </c>
      <c r="N332" s="757">
        <v>1</v>
      </c>
      <c r="O332" s="758"/>
      <c r="P332" s="757"/>
      <c r="Q332" s="759"/>
      <c r="R332" s="760"/>
      <c r="S332" s="760"/>
      <c r="T332" s="694"/>
      <c r="U332" s="694"/>
      <c r="V332" s="694"/>
      <c r="W332" s="694"/>
      <c r="X332" s="578"/>
      <c r="Y332" s="151"/>
      <c r="Z332" s="151"/>
    </row>
    <row r="333" spans="2:26" x14ac:dyDescent="0.35">
      <c r="B333" s="518"/>
      <c r="E333" s="519"/>
      <c r="F333" s="752" t="s">
        <v>403</v>
      </c>
      <c r="G333" s="753" t="s">
        <v>404</v>
      </c>
      <c r="H333" s="725"/>
      <c r="I333" s="726"/>
      <c r="J333" s="761"/>
      <c r="K333" s="762"/>
      <c r="L333" s="763"/>
      <c r="M333" s="728">
        <f>0.002*136</f>
        <v>0.27200000000000002</v>
      </c>
      <c r="N333" s="757">
        <v>1</v>
      </c>
      <c r="O333" s="758"/>
      <c r="P333" s="757"/>
      <c r="Q333" s="759"/>
      <c r="R333" s="760"/>
      <c r="S333" s="760"/>
      <c r="T333" s="694"/>
      <c r="U333" s="694"/>
      <c r="V333" s="694"/>
      <c r="W333" s="694"/>
      <c r="X333" s="578"/>
      <c r="Y333" s="151"/>
      <c r="Z333" s="151"/>
    </row>
    <row r="334" spans="2:26" x14ac:dyDescent="0.35">
      <c r="B334" s="518"/>
      <c r="E334" s="519"/>
      <c r="F334" s="752" t="s">
        <v>405</v>
      </c>
      <c r="G334" s="753" t="s">
        <v>181</v>
      </c>
      <c r="H334" s="764"/>
      <c r="I334" s="765"/>
      <c r="J334" s="766"/>
      <c r="K334" s="767"/>
      <c r="L334" s="768"/>
      <c r="M334" s="728">
        <f>0.001*136</f>
        <v>0.13600000000000001</v>
      </c>
      <c r="N334" s="757">
        <v>1</v>
      </c>
      <c r="O334" s="758"/>
      <c r="P334" s="757"/>
      <c r="Q334" s="759"/>
      <c r="R334" s="760"/>
      <c r="S334" s="760"/>
      <c r="T334" s="694"/>
      <c r="U334" s="694"/>
      <c r="V334" s="694"/>
      <c r="W334" s="694"/>
      <c r="X334" s="578"/>
      <c r="Y334" s="151"/>
      <c r="Z334" s="151"/>
    </row>
    <row r="335" spans="2:26" x14ac:dyDescent="0.35">
      <c r="B335" s="504"/>
      <c r="C335" s="172" t="s">
        <v>542</v>
      </c>
      <c r="D335" s="172"/>
      <c r="E335" s="506"/>
      <c r="F335" s="151" t="s">
        <v>177</v>
      </c>
      <c r="G335" s="316" t="s">
        <v>178</v>
      </c>
      <c r="H335" s="317"/>
      <c r="I335" s="318"/>
      <c r="J335" s="316"/>
      <c r="K335" s="502"/>
      <c r="L335" s="577"/>
      <c r="M335" s="258"/>
      <c r="N335" s="259"/>
      <c r="O335" s="317"/>
      <c r="P335" s="496"/>
      <c r="Q335" s="521"/>
      <c r="R335" s="496"/>
      <c r="S335" s="496"/>
      <c r="T335" s="517"/>
      <c r="U335" s="517"/>
      <c r="V335" s="517"/>
      <c r="W335" s="517"/>
      <c r="X335" s="578"/>
      <c r="Y335" s="151"/>
      <c r="Z335" s="151"/>
    </row>
    <row r="336" spans="2:26" x14ac:dyDescent="0.35">
      <c r="B336" s="579"/>
      <c r="C336" s="580"/>
      <c r="D336" s="580"/>
      <c r="E336" s="581"/>
      <c r="F336" s="151"/>
      <c r="G336" s="316"/>
      <c r="H336" s="317"/>
      <c r="I336" s="318"/>
      <c r="J336" s="316"/>
      <c r="K336" s="502"/>
      <c r="L336" s="577"/>
      <c r="M336" s="258"/>
      <c r="N336" s="259"/>
      <c r="O336" s="317"/>
      <c r="P336" s="496"/>
      <c r="Q336" s="521"/>
      <c r="R336" s="496"/>
      <c r="S336" s="496"/>
      <c r="T336" s="517"/>
      <c r="U336" s="517"/>
      <c r="V336" s="517"/>
      <c r="W336" s="517"/>
      <c r="X336" s="578"/>
      <c r="Y336" s="151"/>
      <c r="Z336" s="151"/>
    </row>
    <row r="337" spans="2:26" ht="29.25" customHeight="1" x14ac:dyDescent="0.35">
      <c r="B337" s="660" t="s">
        <v>579</v>
      </c>
      <c r="C337" s="729"/>
      <c r="D337" s="729"/>
      <c r="E337" s="730"/>
      <c r="F337" s="532"/>
      <c r="G337" s="587"/>
      <c r="H337" s="588"/>
      <c r="I337" s="589"/>
      <c r="J337" s="587"/>
      <c r="K337" s="590"/>
      <c r="L337" s="591"/>
      <c r="M337" s="543"/>
      <c r="N337" s="544"/>
      <c r="O337" s="588"/>
      <c r="P337" s="592"/>
      <c r="Q337" s="663">
        <f>Q298+Q311+Q328</f>
        <v>63169073.393728495</v>
      </c>
      <c r="R337" s="592"/>
      <c r="S337" s="731">
        <f>SUM(S326:S336)</f>
        <v>0</v>
      </c>
      <c r="T337" s="594"/>
      <c r="U337" s="594"/>
      <c r="V337" s="594"/>
      <c r="W337" s="594"/>
      <c r="X337" s="588"/>
      <c r="Y337" s="639">
        <f>Q337/$D$1</f>
        <v>1392616.2564754959</v>
      </c>
      <c r="Z337" s="639">
        <f>Q337/$Q$426*100</f>
        <v>10.70347971792591</v>
      </c>
    </row>
    <row r="338" spans="2:26" x14ac:dyDescent="0.35">
      <c r="B338" s="595" t="s">
        <v>544</v>
      </c>
      <c r="C338" s="318"/>
      <c r="D338" s="318"/>
      <c r="E338" s="582"/>
      <c r="F338" s="151"/>
      <c r="G338" s="316"/>
      <c r="H338" s="317"/>
      <c r="I338" s="318"/>
      <c r="J338" s="316"/>
      <c r="K338" s="502"/>
      <c r="L338" s="577"/>
      <c r="M338" s="258"/>
      <c r="N338" s="259"/>
      <c r="O338" s="317"/>
      <c r="P338" s="496"/>
      <c r="Q338" s="521"/>
      <c r="R338" s="496"/>
      <c r="S338" s="496"/>
      <c r="T338" s="517"/>
      <c r="U338" s="517"/>
      <c r="V338" s="517"/>
      <c r="W338" s="517"/>
      <c r="X338" s="578"/>
      <c r="Y338" s="151"/>
      <c r="Z338" s="151"/>
    </row>
    <row r="339" spans="2:26" x14ac:dyDescent="0.35">
      <c r="B339" s="317"/>
      <c r="C339" s="318" t="s">
        <v>545</v>
      </c>
      <c r="D339" s="318"/>
      <c r="E339" s="582"/>
      <c r="F339" s="151"/>
      <c r="G339" s="316"/>
      <c r="H339" s="317"/>
      <c r="I339" s="318"/>
      <c r="J339" s="316"/>
      <c r="K339" s="502"/>
      <c r="L339" s="577"/>
      <c r="M339" s="258"/>
      <c r="N339" s="259"/>
      <c r="O339" s="317"/>
      <c r="P339" s="496"/>
      <c r="Q339" s="521"/>
      <c r="R339" s="496"/>
      <c r="S339" s="496"/>
      <c r="T339" s="517"/>
      <c r="U339" s="517"/>
      <c r="V339" s="517"/>
      <c r="W339" s="517"/>
      <c r="X339" s="578"/>
      <c r="Y339" s="151"/>
      <c r="Z339" s="151"/>
    </row>
    <row r="340" spans="2:26" x14ac:dyDescent="0.35">
      <c r="B340" s="472"/>
      <c r="C340" s="473"/>
      <c r="D340" s="700" t="s">
        <v>376</v>
      </c>
      <c r="E340" s="474"/>
      <c r="F340" s="151" t="s">
        <v>177</v>
      </c>
      <c r="G340" s="316" t="s">
        <v>178</v>
      </c>
      <c r="H340" s="317"/>
      <c r="I340" s="318"/>
      <c r="J340" s="316" t="s">
        <v>179</v>
      </c>
      <c r="K340" s="433">
        <v>0</v>
      </c>
      <c r="L340" s="577">
        <v>45.36</v>
      </c>
      <c r="M340" s="769">
        <v>0.5</v>
      </c>
      <c r="N340" s="309">
        <v>1</v>
      </c>
      <c r="O340" s="520">
        <f t="shared" ref="O340:O368" si="49">K340*L340*M340*N340</f>
        <v>0</v>
      </c>
      <c r="P340" s="261">
        <v>169122.61109699999</v>
      </c>
      <c r="Q340" s="521">
        <f t="shared" ref="Q340:Q368" si="50">P340*$O340</f>
        <v>0</v>
      </c>
      <c r="R340" s="259">
        <v>163305.33120000002</v>
      </c>
      <c r="S340" s="496">
        <f t="shared" ref="S340:S368" si="51">R340*$O340</f>
        <v>0</v>
      </c>
      <c r="T340" s="259">
        <v>179635.86432000002</v>
      </c>
      <c r="U340" s="517">
        <f t="shared" ref="U340:U368" si="52">$O340*T340</f>
        <v>0</v>
      </c>
      <c r="V340" s="259" t="e">
        <f>W340/O340</f>
        <v>#DIV/0!</v>
      </c>
      <c r="W340" s="267">
        <f t="shared" ref="W340:W368" si="53">AVERAGEIF($P$3:$U$3,W$3,$P340:$U340)</f>
        <v>0</v>
      </c>
      <c r="X340" s="578"/>
      <c r="Y340" s="492">
        <f t="shared" ref="Y340:Y401" si="54">Q340/192.08</f>
        <v>0</v>
      </c>
      <c r="Z340" s="151"/>
    </row>
    <row r="341" spans="2:26" x14ac:dyDescent="0.35">
      <c r="B341" s="518"/>
      <c r="D341" t="s">
        <v>580</v>
      </c>
      <c r="E341" s="519"/>
      <c r="F341" s="151" t="s">
        <v>353</v>
      </c>
      <c r="G341" s="316" t="s">
        <v>178</v>
      </c>
      <c r="H341" s="317"/>
      <c r="I341" s="318"/>
      <c r="J341" s="316" t="s">
        <v>179</v>
      </c>
      <c r="K341" s="433">
        <v>0</v>
      </c>
      <c r="L341" s="577">
        <v>45.36</v>
      </c>
      <c r="M341" s="476">
        <v>0.18</v>
      </c>
      <c r="N341" s="309">
        <f>N340</f>
        <v>1</v>
      </c>
      <c r="O341" s="520">
        <f t="shared" si="49"/>
        <v>0</v>
      </c>
      <c r="P341" s="261">
        <v>169122.61109699999</v>
      </c>
      <c r="Q341" s="521">
        <f t="shared" si="50"/>
        <v>0</v>
      </c>
      <c r="R341" s="259">
        <v>163305.33120000002</v>
      </c>
      <c r="S341" s="496">
        <f t="shared" si="51"/>
        <v>0</v>
      </c>
      <c r="T341" s="259">
        <v>179635.86432000002</v>
      </c>
      <c r="U341" s="517">
        <f t="shared" si="52"/>
        <v>0</v>
      </c>
      <c r="V341" s="259" t="e">
        <f>W341/O341</f>
        <v>#DIV/0!</v>
      </c>
      <c r="W341" s="267">
        <f t="shared" si="53"/>
        <v>0</v>
      </c>
      <c r="X341" s="578"/>
      <c r="Y341" s="492">
        <f t="shared" si="54"/>
        <v>0</v>
      </c>
      <c r="Z341" s="151"/>
    </row>
    <row r="342" spans="2:26" x14ac:dyDescent="0.35">
      <c r="B342" s="518"/>
      <c r="E342" s="519"/>
      <c r="F342" s="151" t="s">
        <v>226</v>
      </c>
      <c r="G342" s="316" t="s">
        <v>178</v>
      </c>
      <c r="H342" s="317"/>
      <c r="I342" s="318"/>
      <c r="J342" s="316" t="s">
        <v>179</v>
      </c>
      <c r="K342" s="433">
        <v>0</v>
      </c>
      <c r="L342" s="577">
        <v>45.36</v>
      </c>
      <c r="M342" s="476">
        <f>M340</f>
        <v>0.5</v>
      </c>
      <c r="N342" s="309">
        <f t="shared" ref="N342:N348" si="55">N341</f>
        <v>1</v>
      </c>
      <c r="O342" s="520">
        <f t="shared" si="49"/>
        <v>0</v>
      </c>
      <c r="P342" s="261">
        <v>4469.4136124999995</v>
      </c>
      <c r="Q342" s="521">
        <f t="shared" si="50"/>
        <v>0</v>
      </c>
      <c r="R342" s="259">
        <v>4490.6400000000003</v>
      </c>
      <c r="S342" s="496">
        <f t="shared" si="51"/>
        <v>0</v>
      </c>
      <c r="T342" s="259">
        <v>4849.8912000000009</v>
      </c>
      <c r="U342" s="517">
        <f t="shared" si="52"/>
        <v>0</v>
      </c>
      <c r="V342" s="259" t="e">
        <f t="shared" ref="V342:V368" si="56">W342/O342</f>
        <v>#DIV/0!</v>
      </c>
      <c r="W342" s="267">
        <f t="shared" si="53"/>
        <v>0</v>
      </c>
      <c r="X342" s="578"/>
      <c r="Y342" s="492">
        <f t="shared" si="54"/>
        <v>0</v>
      </c>
      <c r="Z342" s="151"/>
    </row>
    <row r="343" spans="2:26" x14ac:dyDescent="0.35">
      <c r="B343" s="518"/>
      <c r="E343" s="519"/>
      <c r="F343" s="151" t="s">
        <v>354</v>
      </c>
      <c r="G343" s="316" t="s">
        <v>183</v>
      </c>
      <c r="H343" s="317">
        <v>1</v>
      </c>
      <c r="I343" s="318" t="s">
        <v>228</v>
      </c>
      <c r="J343" s="316" t="s">
        <v>179</v>
      </c>
      <c r="K343" s="433">
        <v>0</v>
      </c>
      <c r="L343" s="577">
        <v>45.36</v>
      </c>
      <c r="M343" s="476">
        <f>((M$340*N$340)/240)*($H343/N343)</f>
        <v>2.0833333333333333E-3</v>
      </c>
      <c r="N343" s="309">
        <f t="shared" si="55"/>
        <v>1</v>
      </c>
      <c r="O343" s="520">
        <f t="shared" si="49"/>
        <v>0</v>
      </c>
      <c r="P343" s="261">
        <v>5788.125</v>
      </c>
      <c r="Q343" s="521">
        <f t="shared" si="50"/>
        <v>0</v>
      </c>
      <c r="R343" s="259">
        <v>5832</v>
      </c>
      <c r="S343" s="496">
        <f t="shared" si="51"/>
        <v>0</v>
      </c>
      <c r="T343" s="259">
        <v>6298.56</v>
      </c>
      <c r="U343" s="517">
        <f t="shared" si="52"/>
        <v>0</v>
      </c>
      <c r="V343" s="259" t="e">
        <f t="shared" si="56"/>
        <v>#DIV/0!</v>
      </c>
      <c r="W343" s="267">
        <f t="shared" si="53"/>
        <v>0</v>
      </c>
      <c r="X343" s="578"/>
      <c r="Y343" s="492">
        <f t="shared" si="54"/>
        <v>0</v>
      </c>
      <c r="Z343" s="390"/>
    </row>
    <row r="344" spans="2:26" x14ac:dyDescent="0.35">
      <c r="B344" s="518"/>
      <c r="E344" s="519"/>
      <c r="F344" s="151" t="s">
        <v>227</v>
      </c>
      <c r="G344" s="316" t="s">
        <v>183</v>
      </c>
      <c r="H344" s="317">
        <v>4</v>
      </c>
      <c r="I344" s="318" t="s">
        <v>228</v>
      </c>
      <c r="J344" s="316" t="s">
        <v>179</v>
      </c>
      <c r="K344" s="433">
        <v>0</v>
      </c>
      <c r="L344" s="577">
        <v>45.36</v>
      </c>
      <c r="M344" s="476">
        <f>((M$340*N$340)/240)*($H344/N344)</f>
        <v>8.3333333333333332E-3</v>
      </c>
      <c r="N344" s="309">
        <f t="shared" si="55"/>
        <v>1</v>
      </c>
      <c r="O344" s="520">
        <f t="shared" si="49"/>
        <v>0</v>
      </c>
      <c r="P344" s="261">
        <v>49592.654999999999</v>
      </c>
      <c r="Q344" s="521">
        <f t="shared" si="50"/>
        <v>0</v>
      </c>
      <c r="R344" s="259">
        <v>49968.576000000008</v>
      </c>
      <c r="S344" s="496">
        <f t="shared" si="51"/>
        <v>0</v>
      </c>
      <c r="T344" s="259">
        <v>53966.062080000011</v>
      </c>
      <c r="U344" s="517">
        <f t="shared" si="52"/>
        <v>0</v>
      </c>
      <c r="V344" s="259" t="e">
        <f t="shared" si="56"/>
        <v>#DIV/0!</v>
      </c>
      <c r="W344" s="267">
        <f t="shared" si="53"/>
        <v>0</v>
      </c>
      <c r="X344" s="578"/>
      <c r="Y344" s="492">
        <f t="shared" si="54"/>
        <v>0</v>
      </c>
      <c r="Z344" s="151"/>
    </row>
    <row r="345" spans="2:26" x14ac:dyDescent="0.35">
      <c r="B345" s="518"/>
      <c r="E345" s="519"/>
      <c r="F345" s="151" t="s">
        <v>229</v>
      </c>
      <c r="G345" s="316" t="s">
        <v>183</v>
      </c>
      <c r="H345" s="317">
        <v>12</v>
      </c>
      <c r="I345" s="318" t="s">
        <v>228</v>
      </c>
      <c r="J345" s="316" t="s">
        <v>179</v>
      </c>
      <c r="K345" s="433">
        <v>0</v>
      </c>
      <c r="L345" s="577">
        <v>45.36</v>
      </c>
      <c r="M345" s="476">
        <f>((M$340*N$340)/240)*($H345/N345)</f>
        <v>2.5000000000000001E-2</v>
      </c>
      <c r="N345" s="309">
        <f t="shared" si="55"/>
        <v>1</v>
      </c>
      <c r="O345" s="520">
        <f t="shared" si="49"/>
        <v>0</v>
      </c>
      <c r="P345" s="261">
        <v>16206.75</v>
      </c>
      <c r="Q345" s="521">
        <f t="shared" si="50"/>
        <v>0</v>
      </c>
      <c r="R345" s="259">
        <v>16329.600000000002</v>
      </c>
      <c r="S345" s="496">
        <f t="shared" si="51"/>
        <v>0</v>
      </c>
      <c r="T345" s="259">
        <v>17635.968000000004</v>
      </c>
      <c r="U345" s="517">
        <f t="shared" si="52"/>
        <v>0</v>
      </c>
      <c r="V345" s="259" t="e">
        <f t="shared" si="56"/>
        <v>#DIV/0!</v>
      </c>
      <c r="W345" s="267">
        <f t="shared" si="53"/>
        <v>0</v>
      </c>
      <c r="X345" s="578"/>
      <c r="Y345" s="492">
        <f t="shared" si="54"/>
        <v>0</v>
      </c>
      <c r="Z345" s="151"/>
    </row>
    <row r="346" spans="2:26" x14ac:dyDescent="0.35">
      <c r="B346" s="518"/>
      <c r="E346" s="519"/>
      <c r="F346" s="151" t="s">
        <v>231</v>
      </c>
      <c r="G346" s="316" t="s">
        <v>183</v>
      </c>
      <c r="H346" s="317">
        <v>2</v>
      </c>
      <c r="I346" s="318" t="s">
        <v>228</v>
      </c>
      <c r="J346" s="316" t="s">
        <v>179</v>
      </c>
      <c r="K346" s="433">
        <v>0</v>
      </c>
      <c r="L346" s="577">
        <v>45.36</v>
      </c>
      <c r="M346" s="476">
        <f>((M$340*N$340)/240)*($H346/N346)</f>
        <v>4.1666666666666666E-3</v>
      </c>
      <c r="N346" s="309">
        <f t="shared" si="55"/>
        <v>1</v>
      </c>
      <c r="O346" s="520">
        <f t="shared" si="49"/>
        <v>0</v>
      </c>
      <c r="P346" s="261">
        <v>37194.491250000006</v>
      </c>
      <c r="Q346" s="521">
        <f t="shared" si="50"/>
        <v>0</v>
      </c>
      <c r="R346" s="259">
        <v>37476.432000000001</v>
      </c>
      <c r="S346" s="496">
        <f t="shared" si="51"/>
        <v>0</v>
      </c>
      <c r="T346" s="259">
        <v>40474.546560000003</v>
      </c>
      <c r="U346" s="517">
        <f t="shared" si="52"/>
        <v>0</v>
      </c>
      <c r="V346" s="259" t="e">
        <f t="shared" si="56"/>
        <v>#DIV/0!</v>
      </c>
      <c r="W346" s="267">
        <f t="shared" si="53"/>
        <v>0</v>
      </c>
      <c r="X346" s="578"/>
      <c r="Y346" s="492">
        <f t="shared" si="54"/>
        <v>0</v>
      </c>
      <c r="Z346" s="151"/>
    </row>
    <row r="347" spans="2:26" x14ac:dyDescent="0.35">
      <c r="B347" s="518"/>
      <c r="E347" s="519"/>
      <c r="F347" s="151" t="s">
        <v>232</v>
      </c>
      <c r="G347" s="316" t="s">
        <v>183</v>
      </c>
      <c r="H347" s="317">
        <v>1</v>
      </c>
      <c r="I347" s="318" t="s">
        <v>228</v>
      </c>
      <c r="J347" s="316" t="s">
        <v>179</v>
      </c>
      <c r="K347" s="433">
        <v>0</v>
      </c>
      <c r="L347" s="577">
        <v>45.36</v>
      </c>
      <c r="M347" s="476">
        <f>((M$340*N$340)/240)*($H347/N347)</f>
        <v>2.0833333333333333E-3</v>
      </c>
      <c r="N347" s="309">
        <f t="shared" si="55"/>
        <v>1</v>
      </c>
      <c r="O347" s="520">
        <f t="shared" si="49"/>
        <v>0</v>
      </c>
      <c r="P347" s="261">
        <v>99185.31</v>
      </c>
      <c r="Q347" s="521">
        <f t="shared" si="50"/>
        <v>0</v>
      </c>
      <c r="R347" s="259">
        <v>99937.152000000016</v>
      </c>
      <c r="S347" s="496">
        <f t="shared" si="51"/>
        <v>0</v>
      </c>
      <c r="T347" s="259">
        <v>107932.12416000002</v>
      </c>
      <c r="U347" s="517">
        <f t="shared" si="52"/>
        <v>0</v>
      </c>
      <c r="V347" s="259" t="e">
        <f t="shared" si="56"/>
        <v>#DIV/0!</v>
      </c>
      <c r="W347" s="267">
        <f t="shared" si="53"/>
        <v>0</v>
      </c>
      <c r="X347" s="578"/>
      <c r="Y347" s="492">
        <f t="shared" si="54"/>
        <v>0</v>
      </c>
      <c r="Z347" s="151"/>
    </row>
    <row r="348" spans="2:26" x14ac:dyDescent="0.35">
      <c r="B348" s="518"/>
      <c r="E348" s="519"/>
      <c r="F348" s="700" t="s">
        <v>376</v>
      </c>
      <c r="G348" s="316" t="s">
        <v>181</v>
      </c>
      <c r="H348" s="317"/>
      <c r="I348" s="318"/>
      <c r="J348" s="316" t="s">
        <v>319</v>
      </c>
      <c r="K348" s="433">
        <v>0</v>
      </c>
      <c r="L348" s="577">
        <v>45.36</v>
      </c>
      <c r="M348" s="770">
        <f>(500*136)/1000</f>
        <v>68</v>
      </c>
      <c r="N348" s="309">
        <f t="shared" si="55"/>
        <v>1</v>
      </c>
      <c r="O348" s="520">
        <f t="shared" si="49"/>
        <v>0</v>
      </c>
      <c r="P348" s="261">
        <v>5556.6</v>
      </c>
      <c r="Q348" s="521">
        <f t="shared" si="50"/>
        <v>0</v>
      </c>
      <c r="R348" s="259">
        <v>6478.9450000000015</v>
      </c>
      <c r="S348" s="496">
        <f t="shared" si="51"/>
        <v>0</v>
      </c>
      <c r="T348" s="259">
        <v>7126.8395000000019</v>
      </c>
      <c r="U348" s="517">
        <f t="shared" si="52"/>
        <v>0</v>
      </c>
      <c r="V348" s="259" t="e">
        <f t="shared" si="56"/>
        <v>#DIV/0!</v>
      </c>
      <c r="W348" s="267">
        <f t="shared" si="53"/>
        <v>0</v>
      </c>
      <c r="X348" s="578"/>
      <c r="Y348" s="492">
        <f t="shared" si="54"/>
        <v>0</v>
      </c>
      <c r="Z348" s="151"/>
    </row>
    <row r="349" spans="2:26" x14ac:dyDescent="0.35">
      <c r="B349" s="606" t="s">
        <v>581</v>
      </c>
      <c r="C349" s="716"/>
      <c r="D349" s="716"/>
      <c r="E349" s="717"/>
      <c r="F349" s="609"/>
      <c r="G349" s="610"/>
      <c r="H349" s="611"/>
      <c r="I349" s="612"/>
      <c r="J349" s="610"/>
      <c r="K349" s="613"/>
      <c r="L349" s="614"/>
      <c r="M349" s="615"/>
      <c r="N349" s="616"/>
      <c r="O349" s="611"/>
      <c r="P349" s="617"/>
      <c r="Q349" s="618">
        <f>SUM(Q340:Q348)</f>
        <v>0</v>
      </c>
      <c r="R349" s="617"/>
      <c r="S349" s="718">
        <f>SUM(S338:S348)</f>
        <v>0</v>
      </c>
      <c r="T349" s="605"/>
      <c r="U349" s="605"/>
      <c r="V349" s="605"/>
      <c r="W349" s="605"/>
      <c r="X349" s="611"/>
      <c r="Y349" s="645">
        <f t="shared" si="54"/>
        <v>0</v>
      </c>
      <c r="Z349" s="619">
        <f>Q349/4365858560.88*100</f>
        <v>0</v>
      </c>
    </row>
    <row r="350" spans="2:26" x14ac:dyDescent="0.35">
      <c r="B350" s="472"/>
      <c r="C350" s="473"/>
      <c r="D350" s="700" t="s">
        <v>554</v>
      </c>
      <c r="E350" s="701"/>
      <c r="F350" s="151" t="s">
        <v>177</v>
      </c>
      <c r="G350" s="316" t="s">
        <v>178</v>
      </c>
      <c r="H350" s="317"/>
      <c r="I350" s="318"/>
      <c r="J350" s="316" t="s">
        <v>179</v>
      </c>
      <c r="K350" s="433">
        <v>1</v>
      </c>
      <c r="L350" s="577">
        <v>45.36</v>
      </c>
      <c r="M350" s="769">
        <v>0.5</v>
      </c>
      <c r="N350" s="309">
        <v>3</v>
      </c>
      <c r="O350" s="520">
        <f t="shared" si="49"/>
        <v>68.039999999999992</v>
      </c>
      <c r="P350" s="261">
        <v>169122.61109699999</v>
      </c>
      <c r="Q350" s="521">
        <f t="shared" si="50"/>
        <v>11507102.459039878</v>
      </c>
      <c r="R350" s="259">
        <v>163305.33120000002</v>
      </c>
      <c r="S350" s="496">
        <f t="shared" si="51"/>
        <v>11111294.734848</v>
      </c>
      <c r="T350" s="259">
        <v>179635.86432000002</v>
      </c>
      <c r="U350" s="517">
        <f t="shared" si="52"/>
        <v>12222424.208332799</v>
      </c>
      <c r="V350" s="259">
        <f t="shared" si="56"/>
        <v>170687.93553900003</v>
      </c>
      <c r="W350" s="267">
        <f t="shared" si="53"/>
        <v>11613607.134073561</v>
      </c>
      <c r="X350" s="578"/>
      <c r="Y350" s="492">
        <f>Q350/$D$1</f>
        <v>253683.91664549996</v>
      </c>
      <c r="Z350" s="151"/>
    </row>
    <row r="351" spans="2:26" x14ac:dyDescent="0.35">
      <c r="B351" s="518"/>
      <c r="D351" t="s">
        <v>582</v>
      </c>
      <c r="E351" s="519"/>
      <c r="F351" s="151" t="s">
        <v>353</v>
      </c>
      <c r="G351" s="316" t="s">
        <v>178</v>
      </c>
      <c r="H351" s="317"/>
      <c r="I351" s="318"/>
      <c r="J351" s="316" t="s">
        <v>179</v>
      </c>
      <c r="K351" s="433">
        <v>1</v>
      </c>
      <c r="L351" s="577">
        <v>45.36</v>
      </c>
      <c r="M351" s="476">
        <v>0.18</v>
      </c>
      <c r="N351" s="309">
        <f>N350</f>
        <v>3</v>
      </c>
      <c r="O351" s="520">
        <f t="shared" si="49"/>
        <v>24.494399999999999</v>
      </c>
      <c r="P351" s="261">
        <v>169122.61109699999</v>
      </c>
      <c r="Q351" s="521">
        <f t="shared" si="50"/>
        <v>4142556.8852543561</v>
      </c>
      <c r="R351" s="259">
        <v>163305.33120000002</v>
      </c>
      <c r="S351" s="496">
        <f t="shared" si="51"/>
        <v>4000066.1045452803</v>
      </c>
      <c r="T351" s="259">
        <v>179635.86432000002</v>
      </c>
      <c r="U351" s="517">
        <f t="shared" si="52"/>
        <v>4400072.714999808</v>
      </c>
      <c r="V351" s="259">
        <f t="shared" si="56"/>
        <v>170687.935539</v>
      </c>
      <c r="W351" s="267">
        <f t="shared" si="53"/>
        <v>4180898.5682664812</v>
      </c>
      <c r="X351" s="578"/>
      <c r="Y351" s="492">
        <f t="shared" ref="Y351:Y378" si="57">Q351/$D$1</f>
        <v>91326.209992379983</v>
      </c>
      <c r="Z351" s="151"/>
    </row>
    <row r="352" spans="2:26" x14ac:dyDescent="0.35">
      <c r="B352" s="518"/>
      <c r="D352" t="s">
        <v>583</v>
      </c>
      <c r="E352" s="519"/>
      <c r="F352" s="151" t="s">
        <v>226</v>
      </c>
      <c r="G352" s="316" t="s">
        <v>178</v>
      </c>
      <c r="H352" s="317"/>
      <c r="I352" s="318"/>
      <c r="J352" s="316" t="s">
        <v>179</v>
      </c>
      <c r="K352" s="433">
        <v>1</v>
      </c>
      <c r="L352" s="577">
        <v>45.36</v>
      </c>
      <c r="M352" s="476">
        <f>M350</f>
        <v>0.5</v>
      </c>
      <c r="N352" s="309">
        <f t="shared" ref="N352:N357" si="58">N351</f>
        <v>3</v>
      </c>
      <c r="O352" s="520">
        <f t="shared" si="49"/>
        <v>68.039999999999992</v>
      </c>
      <c r="P352" s="261">
        <v>4469.4136124999995</v>
      </c>
      <c r="Q352" s="521">
        <f t="shared" si="50"/>
        <v>304098.90219449991</v>
      </c>
      <c r="R352" s="259">
        <v>4490.6400000000003</v>
      </c>
      <c r="S352" s="496">
        <f t="shared" si="51"/>
        <v>305543.14559999999</v>
      </c>
      <c r="T352" s="259">
        <v>4849.8912000000009</v>
      </c>
      <c r="U352" s="517">
        <f t="shared" si="52"/>
        <v>329986.59724800003</v>
      </c>
      <c r="V352" s="259">
        <f t="shared" si="56"/>
        <v>4603.3149375000003</v>
      </c>
      <c r="W352" s="267">
        <f t="shared" si="53"/>
        <v>313209.54834749998</v>
      </c>
      <c r="X352" s="578"/>
      <c r="Y352" s="492">
        <f t="shared" si="57"/>
        <v>6704.120418749998</v>
      </c>
      <c r="Z352" s="151"/>
    </row>
    <row r="353" spans="2:26" x14ac:dyDescent="0.35">
      <c r="B353" s="518"/>
      <c r="D353" t="s">
        <v>584</v>
      </c>
      <c r="E353" s="519"/>
      <c r="F353" s="151" t="s">
        <v>354</v>
      </c>
      <c r="G353" s="316" t="s">
        <v>183</v>
      </c>
      <c r="H353" s="317">
        <v>1</v>
      </c>
      <c r="I353" s="318" t="s">
        <v>228</v>
      </c>
      <c r="J353" s="316" t="s">
        <v>179</v>
      </c>
      <c r="K353" s="433">
        <v>1</v>
      </c>
      <c r="L353" s="577">
        <v>45.36</v>
      </c>
      <c r="M353" s="476">
        <f>((M$350*N$350)/240)*($H353/N353)</f>
        <v>2.0833333333333333E-3</v>
      </c>
      <c r="N353" s="309">
        <f t="shared" si="58"/>
        <v>3</v>
      </c>
      <c r="O353" s="520">
        <f t="shared" si="49"/>
        <v>0.28349999999999997</v>
      </c>
      <c r="P353" s="261">
        <v>5788.125</v>
      </c>
      <c r="Q353" s="521">
        <f t="shared" si="50"/>
        <v>1640.9334374999999</v>
      </c>
      <c r="R353" s="259">
        <v>5832</v>
      </c>
      <c r="S353" s="496">
        <f t="shared" si="51"/>
        <v>1653.3719999999998</v>
      </c>
      <c r="T353" s="259">
        <v>6298.56</v>
      </c>
      <c r="U353" s="517">
        <f t="shared" si="52"/>
        <v>1785.64176</v>
      </c>
      <c r="V353" s="259">
        <f t="shared" si="56"/>
        <v>5972.8950000000004</v>
      </c>
      <c r="W353" s="267">
        <f t="shared" si="53"/>
        <v>1693.3157325</v>
      </c>
      <c r="X353" s="578"/>
      <c r="Y353" s="492">
        <f t="shared" si="57"/>
        <v>36.17578125</v>
      </c>
      <c r="Z353" s="151"/>
    </row>
    <row r="354" spans="2:26" x14ac:dyDescent="0.35">
      <c r="B354" s="518"/>
      <c r="E354" s="519"/>
      <c r="F354" s="151" t="s">
        <v>227</v>
      </c>
      <c r="G354" s="316" t="s">
        <v>183</v>
      </c>
      <c r="H354" s="317">
        <v>4</v>
      </c>
      <c r="I354" s="318" t="s">
        <v>228</v>
      </c>
      <c r="J354" s="316" t="s">
        <v>179</v>
      </c>
      <c r="K354" s="433">
        <v>1</v>
      </c>
      <c r="L354" s="577">
        <v>45.36</v>
      </c>
      <c r="M354" s="476">
        <f>((M$350*N$350)/240)*($H354/N354)</f>
        <v>8.3333333333333332E-3</v>
      </c>
      <c r="N354" s="309">
        <f t="shared" si="58"/>
        <v>3</v>
      </c>
      <c r="O354" s="520">
        <f t="shared" si="49"/>
        <v>1.1339999999999999</v>
      </c>
      <c r="P354" s="261">
        <v>49592.654999999999</v>
      </c>
      <c r="Q354" s="521">
        <f t="shared" si="50"/>
        <v>56238.070769999991</v>
      </c>
      <c r="R354" s="259">
        <v>49968.576000000008</v>
      </c>
      <c r="S354" s="496">
        <f t="shared" si="51"/>
        <v>56664.365184000002</v>
      </c>
      <c r="T354" s="259">
        <v>53966.062080000011</v>
      </c>
      <c r="U354" s="517">
        <f t="shared" si="52"/>
        <v>61197.514398720006</v>
      </c>
      <c r="V354" s="259">
        <f t="shared" si="56"/>
        <v>51175.764360000001</v>
      </c>
      <c r="W354" s="267">
        <f t="shared" si="53"/>
        <v>58033.316784239993</v>
      </c>
      <c r="X354" s="578"/>
      <c r="Y354" s="492">
        <f t="shared" si="57"/>
        <v>1239.8163749999999</v>
      </c>
      <c r="Z354" s="151"/>
    </row>
    <row r="355" spans="2:26" x14ac:dyDescent="0.35">
      <c r="B355" s="518"/>
      <c r="E355" s="519"/>
      <c r="F355" s="151" t="s">
        <v>229</v>
      </c>
      <c r="G355" s="316" t="s">
        <v>183</v>
      </c>
      <c r="H355" s="317">
        <v>12</v>
      </c>
      <c r="I355" s="318" t="s">
        <v>228</v>
      </c>
      <c r="J355" s="316" t="s">
        <v>179</v>
      </c>
      <c r="K355" s="433">
        <v>1</v>
      </c>
      <c r="L355" s="577">
        <v>45.36</v>
      </c>
      <c r="M355" s="476">
        <f>((M$350*N$350)/240)*($H355/N355)</f>
        <v>2.5000000000000001E-2</v>
      </c>
      <c r="N355" s="309">
        <f t="shared" si="58"/>
        <v>3</v>
      </c>
      <c r="O355" s="520">
        <f t="shared" si="49"/>
        <v>3.4020000000000001</v>
      </c>
      <c r="P355" s="261">
        <v>16206.75</v>
      </c>
      <c r="Q355" s="521">
        <f t="shared" si="50"/>
        <v>55135.363499999999</v>
      </c>
      <c r="R355" s="259">
        <v>16329.600000000002</v>
      </c>
      <c r="S355" s="496">
        <f t="shared" si="51"/>
        <v>55553.299200000009</v>
      </c>
      <c r="T355" s="259">
        <v>17635.968000000004</v>
      </c>
      <c r="U355" s="517">
        <f t="shared" si="52"/>
        <v>59997.563136000019</v>
      </c>
      <c r="V355" s="259">
        <f t="shared" si="56"/>
        <v>16724.106</v>
      </c>
      <c r="W355" s="267">
        <f t="shared" si="53"/>
        <v>56895.408612000007</v>
      </c>
      <c r="X355" s="578"/>
      <c r="Y355" s="492">
        <f t="shared" si="57"/>
        <v>1215.5062499999999</v>
      </c>
      <c r="Z355" s="151"/>
    </row>
    <row r="356" spans="2:26" x14ac:dyDescent="0.35">
      <c r="B356" s="518"/>
      <c r="E356" s="519"/>
      <c r="F356" s="151" t="s">
        <v>231</v>
      </c>
      <c r="G356" s="316" t="s">
        <v>183</v>
      </c>
      <c r="H356" s="317">
        <v>2</v>
      </c>
      <c r="I356" s="318" t="s">
        <v>228</v>
      </c>
      <c r="J356" s="316" t="s">
        <v>179</v>
      </c>
      <c r="K356" s="433">
        <v>1</v>
      </c>
      <c r="L356" s="577">
        <v>45.36</v>
      </c>
      <c r="M356" s="476">
        <f>((M$350*N$350)/240)*($H356/N356)</f>
        <v>4.1666666666666666E-3</v>
      </c>
      <c r="N356" s="309">
        <f t="shared" si="58"/>
        <v>3</v>
      </c>
      <c r="O356" s="520">
        <f t="shared" si="49"/>
        <v>0.56699999999999995</v>
      </c>
      <c r="P356" s="261">
        <v>37194.491250000006</v>
      </c>
      <c r="Q356" s="521">
        <f t="shared" si="50"/>
        <v>21089.27653875</v>
      </c>
      <c r="R356" s="259">
        <v>37476.432000000001</v>
      </c>
      <c r="S356" s="496">
        <f t="shared" si="51"/>
        <v>21249.136943999998</v>
      </c>
      <c r="T356" s="259">
        <v>40474.546560000003</v>
      </c>
      <c r="U356" s="517">
        <f t="shared" si="52"/>
        <v>22949.06789952</v>
      </c>
      <c r="V356" s="259">
        <f t="shared" si="56"/>
        <v>38381.823270000001</v>
      </c>
      <c r="W356" s="267">
        <f t="shared" si="53"/>
        <v>21762.493794089998</v>
      </c>
      <c r="X356" s="578"/>
      <c r="Y356" s="492">
        <f t="shared" si="57"/>
        <v>464.93114062500001</v>
      </c>
      <c r="Z356" s="151"/>
    </row>
    <row r="357" spans="2:26" x14ac:dyDescent="0.35">
      <c r="B357" s="518"/>
      <c r="E357" s="519"/>
      <c r="F357" s="151" t="s">
        <v>232</v>
      </c>
      <c r="G357" s="316" t="s">
        <v>183</v>
      </c>
      <c r="H357" s="317">
        <v>1</v>
      </c>
      <c r="I357" s="318" t="s">
        <v>228</v>
      </c>
      <c r="J357" s="316" t="s">
        <v>179</v>
      </c>
      <c r="K357" s="433">
        <v>1</v>
      </c>
      <c r="L357" s="577">
        <v>45.36</v>
      </c>
      <c r="M357" s="476">
        <f>((M$350*N$350)/240)*($H357/N357)</f>
        <v>2.0833333333333333E-3</v>
      </c>
      <c r="N357" s="309">
        <f t="shared" si="58"/>
        <v>3</v>
      </c>
      <c r="O357" s="520">
        <f t="shared" si="49"/>
        <v>0.28349999999999997</v>
      </c>
      <c r="P357" s="261">
        <v>99185.31</v>
      </c>
      <c r="Q357" s="521">
        <f t="shared" si="50"/>
        <v>28119.035384999996</v>
      </c>
      <c r="R357" s="259">
        <v>99937.152000000016</v>
      </c>
      <c r="S357" s="496">
        <f t="shared" si="51"/>
        <v>28332.182592000001</v>
      </c>
      <c r="T357" s="259">
        <v>107932.12416000002</v>
      </c>
      <c r="U357" s="517">
        <f t="shared" si="52"/>
        <v>30598.757199360003</v>
      </c>
      <c r="V357" s="259">
        <f t="shared" si="56"/>
        <v>102351.52872</v>
      </c>
      <c r="W357" s="267">
        <f t="shared" si="53"/>
        <v>29016.658392119996</v>
      </c>
      <c r="X357" s="578"/>
      <c r="Y357" s="492">
        <f t="shared" si="57"/>
        <v>619.90818749999994</v>
      </c>
      <c r="Z357" s="151"/>
    </row>
    <row r="358" spans="2:26" x14ac:dyDescent="0.35">
      <c r="B358" s="518"/>
      <c r="E358" s="519"/>
      <c r="F358" s="428" t="s">
        <v>379</v>
      </c>
      <c r="G358" s="316" t="s">
        <v>181</v>
      </c>
      <c r="H358" s="317"/>
      <c r="I358" s="318"/>
      <c r="J358" s="316" t="s">
        <v>319</v>
      </c>
      <c r="K358" s="433">
        <v>1</v>
      </c>
      <c r="L358" s="577">
        <v>45.36</v>
      </c>
      <c r="M358" s="770">
        <f>(375*136)/1000</f>
        <v>51</v>
      </c>
      <c r="N358" s="309">
        <v>3</v>
      </c>
      <c r="O358" s="520">
        <f t="shared" si="49"/>
        <v>6940.08</v>
      </c>
      <c r="P358" s="261">
        <v>1007.1337500000001</v>
      </c>
      <c r="Q358" s="521">
        <f t="shared" si="50"/>
        <v>6989588.7957000006</v>
      </c>
      <c r="R358" s="259">
        <v>1052.7000000000003</v>
      </c>
      <c r="S358" s="496">
        <f t="shared" si="51"/>
        <v>7305822.2160000019</v>
      </c>
      <c r="T358" s="259">
        <v>1157.9700000000005</v>
      </c>
      <c r="U358" s="517">
        <f t="shared" si="52"/>
        <v>8036404.4376000036</v>
      </c>
      <c r="V358" s="259">
        <f t="shared" si="56"/>
        <v>1072.6012500000002</v>
      </c>
      <c r="W358" s="267">
        <f t="shared" si="53"/>
        <v>7443938.4831000017</v>
      </c>
      <c r="X358" s="578"/>
      <c r="Y358" s="492">
        <f t="shared" si="57"/>
        <v>154091.46375000002</v>
      </c>
      <c r="Z358" s="151"/>
    </row>
    <row r="359" spans="2:26" x14ac:dyDescent="0.35">
      <c r="B359" s="606" t="s">
        <v>585</v>
      </c>
      <c r="C359" s="716"/>
      <c r="D359" s="716"/>
      <c r="E359" s="717"/>
      <c r="F359" s="609"/>
      <c r="G359" s="610"/>
      <c r="H359" s="611"/>
      <c r="I359" s="612"/>
      <c r="J359" s="610"/>
      <c r="K359" s="613"/>
      <c r="L359" s="614"/>
      <c r="M359" s="615"/>
      <c r="N359" s="616"/>
      <c r="O359" s="611"/>
      <c r="P359" s="617"/>
      <c r="Q359" s="618">
        <f>SUM(Q350:Q358)</f>
        <v>23105569.721819986</v>
      </c>
      <c r="R359" s="617"/>
      <c r="S359" s="718">
        <f>SUM(S348:S358)</f>
        <v>22886178.556913283</v>
      </c>
      <c r="T359" s="605"/>
      <c r="U359" s="605"/>
      <c r="V359" s="605"/>
      <c r="W359" s="605"/>
      <c r="X359" s="611"/>
      <c r="Y359" s="645">
        <f>Q359/$D$1</f>
        <v>509382.048541005</v>
      </c>
      <c r="Z359" s="645">
        <f>Q359/$Q$426*100</f>
        <v>3.9150486717947719</v>
      </c>
    </row>
    <row r="360" spans="2:26" x14ac:dyDescent="0.35">
      <c r="B360" s="472"/>
      <c r="C360" s="473"/>
      <c r="D360" s="700" t="s">
        <v>586</v>
      </c>
      <c r="E360" s="701"/>
      <c r="F360" s="151" t="s">
        <v>177</v>
      </c>
      <c r="G360" s="316" t="s">
        <v>178</v>
      </c>
      <c r="H360" s="317"/>
      <c r="I360" s="318"/>
      <c r="J360" s="316" t="s">
        <v>179</v>
      </c>
      <c r="K360" s="433">
        <v>1</v>
      </c>
      <c r="L360" s="577">
        <v>45.36</v>
      </c>
      <c r="M360" s="769">
        <v>0.5</v>
      </c>
      <c r="N360" s="309">
        <v>3</v>
      </c>
      <c r="O360" s="520">
        <f t="shared" si="49"/>
        <v>68.039999999999992</v>
      </c>
      <c r="P360" s="261">
        <v>169122.61109699999</v>
      </c>
      <c r="Q360" s="521">
        <f t="shared" si="50"/>
        <v>11507102.459039878</v>
      </c>
      <c r="R360" s="259">
        <v>163305.33120000002</v>
      </c>
      <c r="S360" s="496">
        <f t="shared" si="51"/>
        <v>11111294.734848</v>
      </c>
      <c r="T360" s="259">
        <v>179635.86432000002</v>
      </c>
      <c r="U360" s="517">
        <f t="shared" si="52"/>
        <v>12222424.208332799</v>
      </c>
      <c r="V360" s="259">
        <f t="shared" si="56"/>
        <v>170687.93553900003</v>
      </c>
      <c r="W360" s="267">
        <f t="shared" si="53"/>
        <v>11613607.134073561</v>
      </c>
      <c r="X360" s="578"/>
      <c r="Y360" s="492">
        <f t="shared" si="57"/>
        <v>253683.91664549996</v>
      </c>
      <c r="Z360" s="151"/>
    </row>
    <row r="361" spans="2:26" x14ac:dyDescent="0.35">
      <c r="B361" s="518"/>
      <c r="D361" t="s">
        <v>587</v>
      </c>
      <c r="E361" s="519"/>
      <c r="F361" s="151" t="s">
        <v>353</v>
      </c>
      <c r="G361" s="316" t="s">
        <v>178</v>
      </c>
      <c r="H361" s="317"/>
      <c r="I361" s="318"/>
      <c r="J361" s="316" t="s">
        <v>179</v>
      </c>
      <c r="K361" s="433">
        <v>1</v>
      </c>
      <c r="L361" s="577">
        <v>45.36</v>
      </c>
      <c r="M361" s="769">
        <v>0.18</v>
      </c>
      <c r="N361" s="309">
        <f>N360</f>
        <v>3</v>
      </c>
      <c r="O361" s="520">
        <f t="shared" si="49"/>
        <v>24.494399999999999</v>
      </c>
      <c r="P361" s="261">
        <v>169122.61109699999</v>
      </c>
      <c r="Q361" s="521">
        <f t="shared" si="50"/>
        <v>4142556.8852543561</v>
      </c>
      <c r="R361" s="259">
        <v>163305.33120000002</v>
      </c>
      <c r="S361" s="496">
        <f t="shared" si="51"/>
        <v>4000066.1045452803</v>
      </c>
      <c r="T361" s="259">
        <v>179635.86432000002</v>
      </c>
      <c r="U361" s="517">
        <f t="shared" si="52"/>
        <v>4400072.714999808</v>
      </c>
      <c r="V361" s="259">
        <f t="shared" si="56"/>
        <v>170687.935539</v>
      </c>
      <c r="W361" s="267">
        <f t="shared" si="53"/>
        <v>4180898.5682664812</v>
      </c>
      <c r="X361" s="578"/>
      <c r="Y361" s="492">
        <f t="shared" si="57"/>
        <v>91326.209992379983</v>
      </c>
      <c r="Z361" s="151"/>
    </row>
    <row r="362" spans="2:26" x14ac:dyDescent="0.35">
      <c r="B362" s="518"/>
      <c r="D362" t="s">
        <v>588</v>
      </c>
      <c r="E362" s="519"/>
      <c r="F362" s="151" t="s">
        <v>226</v>
      </c>
      <c r="G362" s="316" t="s">
        <v>178</v>
      </c>
      <c r="H362" s="317"/>
      <c r="I362" s="318"/>
      <c r="J362" s="316" t="s">
        <v>179</v>
      </c>
      <c r="K362" s="433">
        <v>1</v>
      </c>
      <c r="L362" s="577">
        <v>45.36</v>
      </c>
      <c r="M362" s="769">
        <f>M360</f>
        <v>0.5</v>
      </c>
      <c r="N362" s="309">
        <f t="shared" ref="N362:N367" si="59">N361</f>
        <v>3</v>
      </c>
      <c r="O362" s="520">
        <f t="shared" si="49"/>
        <v>68.039999999999992</v>
      </c>
      <c r="P362" s="261">
        <v>4469.4136124999995</v>
      </c>
      <c r="Q362" s="521">
        <f t="shared" si="50"/>
        <v>304098.90219449991</v>
      </c>
      <c r="R362" s="259">
        <v>4490.6400000000003</v>
      </c>
      <c r="S362" s="496">
        <f t="shared" si="51"/>
        <v>305543.14559999999</v>
      </c>
      <c r="T362" s="259">
        <v>4849.8912000000009</v>
      </c>
      <c r="U362" s="517">
        <f t="shared" si="52"/>
        <v>329986.59724800003</v>
      </c>
      <c r="V362" s="259">
        <f t="shared" si="56"/>
        <v>4603.3149375000003</v>
      </c>
      <c r="W362" s="267">
        <f t="shared" si="53"/>
        <v>313209.54834749998</v>
      </c>
      <c r="X362" s="578"/>
      <c r="Y362" s="492">
        <f t="shared" si="57"/>
        <v>6704.120418749998</v>
      </c>
      <c r="Z362" s="151"/>
    </row>
    <row r="363" spans="2:26" x14ac:dyDescent="0.35">
      <c r="B363" s="518"/>
      <c r="D363" t="s">
        <v>589</v>
      </c>
      <c r="E363" s="519"/>
      <c r="F363" s="151" t="s">
        <v>354</v>
      </c>
      <c r="G363" s="316" t="s">
        <v>183</v>
      </c>
      <c r="H363" s="317">
        <v>1</v>
      </c>
      <c r="I363" s="318" t="s">
        <v>228</v>
      </c>
      <c r="J363" s="316" t="s">
        <v>179</v>
      </c>
      <c r="K363" s="433">
        <v>1</v>
      </c>
      <c r="L363" s="577">
        <v>45.36</v>
      </c>
      <c r="M363" s="476">
        <f>((M$350*N$350)/240)*($H363/N363)</f>
        <v>2.0833333333333333E-3</v>
      </c>
      <c r="N363" s="309">
        <f t="shared" si="59"/>
        <v>3</v>
      </c>
      <c r="O363" s="520">
        <f t="shared" si="49"/>
        <v>0.28349999999999997</v>
      </c>
      <c r="P363" s="261">
        <v>5788.125</v>
      </c>
      <c r="Q363" s="521">
        <f t="shared" si="50"/>
        <v>1640.9334374999999</v>
      </c>
      <c r="R363" s="259">
        <v>5832</v>
      </c>
      <c r="S363" s="496">
        <f t="shared" si="51"/>
        <v>1653.3719999999998</v>
      </c>
      <c r="T363" s="259">
        <v>6298.56</v>
      </c>
      <c r="U363" s="517">
        <f t="shared" si="52"/>
        <v>1785.64176</v>
      </c>
      <c r="V363" s="259">
        <f t="shared" si="56"/>
        <v>5972.8950000000004</v>
      </c>
      <c r="W363" s="267">
        <f t="shared" si="53"/>
        <v>1693.3157325</v>
      </c>
      <c r="X363" s="578"/>
      <c r="Y363" s="492">
        <f t="shared" si="57"/>
        <v>36.17578125</v>
      </c>
      <c r="Z363" s="151"/>
    </row>
    <row r="364" spans="2:26" x14ac:dyDescent="0.35">
      <c r="B364" s="518"/>
      <c r="E364" s="519"/>
      <c r="F364" s="151" t="s">
        <v>227</v>
      </c>
      <c r="G364" s="316" t="s">
        <v>183</v>
      </c>
      <c r="H364" s="317">
        <v>4</v>
      </c>
      <c r="I364" s="318" t="s">
        <v>228</v>
      </c>
      <c r="J364" s="316" t="s">
        <v>179</v>
      </c>
      <c r="K364" s="433">
        <v>1</v>
      </c>
      <c r="L364" s="577">
        <v>45.36</v>
      </c>
      <c r="M364" s="476">
        <f>((M$350*N$350)/240)*($H364/N364)</f>
        <v>8.3333333333333332E-3</v>
      </c>
      <c r="N364" s="309">
        <f t="shared" si="59"/>
        <v>3</v>
      </c>
      <c r="O364" s="520">
        <f t="shared" si="49"/>
        <v>1.1339999999999999</v>
      </c>
      <c r="P364" s="261">
        <v>49592.654999999999</v>
      </c>
      <c r="Q364" s="521">
        <f t="shared" si="50"/>
        <v>56238.070769999991</v>
      </c>
      <c r="R364" s="259">
        <v>49968.576000000008</v>
      </c>
      <c r="S364" s="496">
        <f t="shared" si="51"/>
        <v>56664.365184000002</v>
      </c>
      <c r="T364" s="259">
        <v>53966.062080000011</v>
      </c>
      <c r="U364" s="517">
        <f t="shared" si="52"/>
        <v>61197.514398720006</v>
      </c>
      <c r="V364" s="259">
        <f t="shared" si="56"/>
        <v>51175.764360000001</v>
      </c>
      <c r="W364" s="267">
        <f t="shared" si="53"/>
        <v>58033.316784239993</v>
      </c>
      <c r="X364" s="578"/>
      <c r="Y364" s="492">
        <f t="shared" si="57"/>
        <v>1239.8163749999999</v>
      </c>
      <c r="Z364" s="151"/>
    </row>
    <row r="365" spans="2:26" x14ac:dyDescent="0.35">
      <c r="B365" s="518"/>
      <c r="E365" s="519"/>
      <c r="F365" s="151" t="s">
        <v>229</v>
      </c>
      <c r="G365" s="316" t="s">
        <v>183</v>
      </c>
      <c r="H365" s="317">
        <v>12</v>
      </c>
      <c r="I365" s="318" t="s">
        <v>228</v>
      </c>
      <c r="J365" s="316" t="s">
        <v>179</v>
      </c>
      <c r="K365" s="433">
        <v>1</v>
      </c>
      <c r="L365" s="577">
        <v>45.36</v>
      </c>
      <c r="M365" s="476">
        <f>((M$350*N$350)/240)*($H365/N365)</f>
        <v>2.5000000000000001E-2</v>
      </c>
      <c r="N365" s="309">
        <f t="shared" si="59"/>
        <v>3</v>
      </c>
      <c r="O365" s="520">
        <f t="shared" si="49"/>
        <v>3.4020000000000001</v>
      </c>
      <c r="P365" s="261">
        <v>16206.75</v>
      </c>
      <c r="Q365" s="521">
        <f t="shared" si="50"/>
        <v>55135.363499999999</v>
      </c>
      <c r="R365" s="259">
        <v>16329.600000000002</v>
      </c>
      <c r="S365" s="496">
        <f t="shared" si="51"/>
        <v>55553.299200000009</v>
      </c>
      <c r="T365" s="259">
        <v>17635.968000000004</v>
      </c>
      <c r="U365" s="517">
        <f t="shared" si="52"/>
        <v>59997.563136000019</v>
      </c>
      <c r="V365" s="259">
        <f t="shared" si="56"/>
        <v>16724.106</v>
      </c>
      <c r="W365" s="267">
        <f t="shared" si="53"/>
        <v>56895.408612000007</v>
      </c>
      <c r="X365" s="578"/>
      <c r="Y365" s="492">
        <f t="shared" si="57"/>
        <v>1215.5062499999999</v>
      </c>
      <c r="Z365" s="151"/>
    </row>
    <row r="366" spans="2:26" x14ac:dyDescent="0.35">
      <c r="B366" s="518"/>
      <c r="E366" s="519"/>
      <c r="F366" s="151" t="s">
        <v>231</v>
      </c>
      <c r="G366" s="316" t="s">
        <v>183</v>
      </c>
      <c r="H366" s="317">
        <v>2</v>
      </c>
      <c r="I366" s="318" t="s">
        <v>228</v>
      </c>
      <c r="J366" s="316" t="s">
        <v>179</v>
      </c>
      <c r="K366" s="433">
        <v>1</v>
      </c>
      <c r="L366" s="577">
        <v>45.36</v>
      </c>
      <c r="M366" s="476">
        <f>((M$350*N$350)/240)*($H366/N366)</f>
        <v>4.1666666666666666E-3</v>
      </c>
      <c r="N366" s="309">
        <f t="shared" si="59"/>
        <v>3</v>
      </c>
      <c r="O366" s="520">
        <f t="shared" si="49"/>
        <v>0.56699999999999995</v>
      </c>
      <c r="P366" s="261">
        <v>37194.491250000006</v>
      </c>
      <c r="Q366" s="521">
        <f t="shared" si="50"/>
        <v>21089.27653875</v>
      </c>
      <c r="R366" s="259">
        <v>37476.432000000001</v>
      </c>
      <c r="S366" s="496">
        <f t="shared" si="51"/>
        <v>21249.136943999998</v>
      </c>
      <c r="T366" s="259">
        <v>40474.546560000003</v>
      </c>
      <c r="U366" s="517">
        <f t="shared" si="52"/>
        <v>22949.06789952</v>
      </c>
      <c r="V366" s="259">
        <f t="shared" si="56"/>
        <v>38381.823270000001</v>
      </c>
      <c r="W366" s="267">
        <f t="shared" si="53"/>
        <v>21762.493794089998</v>
      </c>
      <c r="X366" s="578"/>
      <c r="Y366" s="492">
        <f t="shared" si="57"/>
        <v>464.93114062500001</v>
      </c>
      <c r="Z366" s="151"/>
    </row>
    <row r="367" spans="2:26" x14ac:dyDescent="0.35">
      <c r="B367" s="518"/>
      <c r="E367" s="519"/>
      <c r="F367" s="151" t="s">
        <v>232</v>
      </c>
      <c r="G367" s="316" t="s">
        <v>183</v>
      </c>
      <c r="H367" s="317">
        <v>1</v>
      </c>
      <c r="I367" s="318" t="s">
        <v>228</v>
      </c>
      <c r="J367" s="316" t="s">
        <v>179</v>
      </c>
      <c r="K367" s="433">
        <v>1</v>
      </c>
      <c r="L367" s="577">
        <v>45.36</v>
      </c>
      <c r="M367" s="476">
        <f>((M$350*N$350)/240)*($H367/N367)</f>
        <v>2.0833333333333333E-3</v>
      </c>
      <c r="N367" s="309">
        <f t="shared" si="59"/>
        <v>3</v>
      </c>
      <c r="O367" s="520">
        <f t="shared" si="49"/>
        <v>0.28349999999999997</v>
      </c>
      <c r="P367" s="261">
        <v>99185.31</v>
      </c>
      <c r="Q367" s="521">
        <f t="shared" si="50"/>
        <v>28119.035384999996</v>
      </c>
      <c r="R367" s="259">
        <v>99937.152000000016</v>
      </c>
      <c r="S367" s="496">
        <f t="shared" si="51"/>
        <v>28332.182592000001</v>
      </c>
      <c r="T367" s="259">
        <v>107932.12416000002</v>
      </c>
      <c r="U367" s="517">
        <f t="shared" si="52"/>
        <v>30598.757199360003</v>
      </c>
      <c r="V367" s="259">
        <f t="shared" si="56"/>
        <v>102351.52872</v>
      </c>
      <c r="W367" s="267">
        <f t="shared" si="53"/>
        <v>29016.658392119996</v>
      </c>
      <c r="X367" s="578"/>
      <c r="Y367" s="492">
        <f t="shared" si="57"/>
        <v>619.90818749999994</v>
      </c>
      <c r="Z367" s="151"/>
    </row>
    <row r="368" spans="2:26" x14ac:dyDescent="0.35">
      <c r="B368" s="518"/>
      <c r="E368" s="519"/>
      <c r="F368" s="428" t="s">
        <v>552</v>
      </c>
      <c r="G368" s="316" t="s">
        <v>181</v>
      </c>
      <c r="H368" s="317"/>
      <c r="I368" s="318"/>
      <c r="J368" s="316" t="s">
        <v>319</v>
      </c>
      <c r="K368" s="433">
        <v>1</v>
      </c>
      <c r="L368" s="577">
        <v>45.36</v>
      </c>
      <c r="M368" s="477">
        <f>(4125*136)/1000</f>
        <v>561</v>
      </c>
      <c r="N368" s="259">
        <v>1</v>
      </c>
      <c r="O368" s="520">
        <f t="shared" si="49"/>
        <v>25446.959999999999</v>
      </c>
      <c r="P368" s="261">
        <v>7122.2878125000007</v>
      </c>
      <c r="Q368" s="521">
        <f t="shared" si="50"/>
        <v>181240573.07317501</v>
      </c>
      <c r="R368" s="259">
        <v>7444.5250000000015</v>
      </c>
      <c r="S368" s="496">
        <f t="shared" si="51"/>
        <v>189440529.89400002</v>
      </c>
      <c r="T368" s="259">
        <v>8188.9775000000027</v>
      </c>
      <c r="U368" s="517">
        <f t="shared" si="52"/>
        <v>208384582.88340005</v>
      </c>
      <c r="V368" s="259">
        <f t="shared" si="56"/>
        <v>7585.2634375000007</v>
      </c>
      <c r="W368" s="267">
        <f t="shared" si="53"/>
        <v>193021895.28352502</v>
      </c>
      <c r="X368" s="578"/>
      <c r="Y368" s="492">
        <f t="shared" si="57"/>
        <v>3995603.4628125005</v>
      </c>
      <c r="Z368" s="151"/>
    </row>
    <row r="369" spans="2:26" x14ac:dyDescent="0.35">
      <c r="B369" s="606" t="s">
        <v>590</v>
      </c>
      <c r="C369" s="716"/>
      <c r="D369" s="716"/>
      <c r="E369" s="717"/>
      <c r="F369" s="609"/>
      <c r="G369" s="610"/>
      <c r="H369" s="611"/>
      <c r="I369" s="612"/>
      <c r="J369" s="610"/>
      <c r="K369" s="613"/>
      <c r="L369" s="614"/>
      <c r="M369" s="615"/>
      <c r="N369" s="616"/>
      <c r="O369" s="611"/>
      <c r="P369" s="617"/>
      <c r="Q369" s="618">
        <f>SUM(Q360:Q368)</f>
        <v>197356553.999295</v>
      </c>
      <c r="R369" s="617"/>
      <c r="S369" s="718">
        <f>SUM(S358:S368)</f>
        <v>235212887.0078266</v>
      </c>
      <c r="T369" s="605"/>
      <c r="U369" s="605"/>
      <c r="V369" s="605"/>
      <c r="W369" s="605"/>
      <c r="X369" s="611"/>
      <c r="Y369" s="645">
        <f>Q369/$D$1</f>
        <v>4350894.0476035057</v>
      </c>
      <c r="Z369" s="645">
        <f>Q369/$Q$426*100</f>
        <v>33.440444183259551</v>
      </c>
    </row>
    <row r="370" spans="2:26" x14ac:dyDescent="0.35">
      <c r="B370" s="518"/>
      <c r="D370" s="700" t="s">
        <v>560</v>
      </c>
      <c r="E370" s="701"/>
      <c r="F370" s="151" t="s">
        <v>177</v>
      </c>
      <c r="G370" s="316" t="s">
        <v>178</v>
      </c>
      <c r="H370" s="317"/>
      <c r="I370" s="318"/>
      <c r="J370" s="316" t="s">
        <v>179</v>
      </c>
      <c r="K370" s="433">
        <v>1</v>
      </c>
      <c r="L370" s="577">
        <v>45.36</v>
      </c>
      <c r="M370" s="769">
        <v>0.2</v>
      </c>
      <c r="N370" s="309">
        <v>1</v>
      </c>
      <c r="O370" s="520">
        <f t="shared" ref="O370:O378" si="60">K370*L370*M370*N370</f>
        <v>9.072000000000001</v>
      </c>
      <c r="P370" s="261">
        <v>169122.61109699999</v>
      </c>
      <c r="Q370" s="521">
        <f t="shared" ref="Q370:Q378" si="61">P370*$O370</f>
        <v>1534280.3278719841</v>
      </c>
      <c r="R370" s="496"/>
      <c r="S370" s="496"/>
      <c r="T370" s="496"/>
      <c r="U370" s="517"/>
      <c r="V370" s="496"/>
      <c r="W370" s="267"/>
      <c r="X370" s="578"/>
      <c r="Y370" s="492">
        <f t="shared" si="57"/>
        <v>33824.522219400002</v>
      </c>
      <c r="Z370" s="151"/>
    </row>
    <row r="371" spans="2:26" x14ac:dyDescent="0.35">
      <c r="B371" s="518"/>
      <c r="D371" t="s">
        <v>591</v>
      </c>
      <c r="E371" s="519"/>
      <c r="F371" s="151" t="s">
        <v>353</v>
      </c>
      <c r="G371" s="316" t="s">
        <v>178</v>
      </c>
      <c r="H371" s="317"/>
      <c r="I371" s="318"/>
      <c r="J371" s="316" t="s">
        <v>179</v>
      </c>
      <c r="K371" s="433">
        <v>1</v>
      </c>
      <c r="L371" s="577">
        <v>45.36</v>
      </c>
      <c r="M371" s="476">
        <v>0.18</v>
      </c>
      <c r="N371" s="309">
        <f>N370</f>
        <v>1</v>
      </c>
      <c r="O371" s="520">
        <f t="shared" si="60"/>
        <v>8.1647999999999996</v>
      </c>
      <c r="P371" s="261">
        <v>169122.61109699999</v>
      </c>
      <c r="Q371" s="521">
        <f t="shared" si="61"/>
        <v>1380852.2950847854</v>
      </c>
      <c r="R371" s="496"/>
      <c r="S371" s="496"/>
      <c r="T371" s="496"/>
      <c r="U371" s="517"/>
      <c r="V371" s="496"/>
      <c r="W371" s="267"/>
      <c r="X371" s="578"/>
      <c r="Y371" s="492">
        <f t="shared" si="57"/>
        <v>30442.069997459996</v>
      </c>
      <c r="Z371" s="151"/>
    </row>
    <row r="372" spans="2:26" x14ac:dyDescent="0.35">
      <c r="B372" s="518"/>
      <c r="E372" s="519"/>
      <c r="F372" s="151" t="s">
        <v>226</v>
      </c>
      <c r="G372" s="316" t="s">
        <v>178</v>
      </c>
      <c r="H372" s="317"/>
      <c r="I372" s="318"/>
      <c r="J372" s="316" t="s">
        <v>179</v>
      </c>
      <c r="K372" s="433">
        <v>1</v>
      </c>
      <c r="L372" s="577">
        <v>45.36</v>
      </c>
      <c r="M372" s="476">
        <f>M370</f>
        <v>0.2</v>
      </c>
      <c r="N372" s="309">
        <f t="shared" ref="N372:N377" si="62">N371</f>
        <v>1</v>
      </c>
      <c r="O372" s="520">
        <f t="shared" si="60"/>
        <v>9.072000000000001</v>
      </c>
      <c r="P372" s="261">
        <v>4469.4136124999995</v>
      </c>
      <c r="Q372" s="521">
        <f t="shared" si="61"/>
        <v>40546.520292599998</v>
      </c>
      <c r="R372" s="496"/>
      <c r="S372" s="496"/>
      <c r="T372" s="496"/>
      <c r="U372" s="517"/>
      <c r="V372" s="496"/>
      <c r="W372" s="267"/>
      <c r="X372" s="578"/>
      <c r="Y372" s="492">
        <f t="shared" si="57"/>
        <v>893.8827225</v>
      </c>
      <c r="Z372" s="151"/>
    </row>
    <row r="373" spans="2:26" x14ac:dyDescent="0.35">
      <c r="B373" s="518"/>
      <c r="E373" s="519"/>
      <c r="F373" s="151" t="s">
        <v>354</v>
      </c>
      <c r="G373" s="316" t="s">
        <v>183</v>
      </c>
      <c r="H373" s="317">
        <v>1</v>
      </c>
      <c r="I373" s="318" t="s">
        <v>228</v>
      </c>
      <c r="J373" s="316" t="s">
        <v>179</v>
      </c>
      <c r="K373" s="433">
        <v>1</v>
      </c>
      <c r="L373" s="577">
        <v>45.36</v>
      </c>
      <c r="M373" s="476">
        <f>((M$350*N$350)/240)*($H373/N373)</f>
        <v>6.2500000000000003E-3</v>
      </c>
      <c r="N373" s="309">
        <f t="shared" si="62"/>
        <v>1</v>
      </c>
      <c r="O373" s="520">
        <f t="shared" si="60"/>
        <v>0.28350000000000003</v>
      </c>
      <c r="P373" s="261">
        <v>5788.125</v>
      </c>
      <c r="Q373" s="521">
        <f t="shared" si="61"/>
        <v>1640.9334375000001</v>
      </c>
      <c r="R373" s="496"/>
      <c r="S373" s="496"/>
      <c r="T373" s="496"/>
      <c r="U373" s="517"/>
      <c r="V373" s="496"/>
      <c r="W373" s="267"/>
      <c r="X373" s="578"/>
      <c r="Y373" s="492">
        <f t="shared" si="57"/>
        <v>36.17578125</v>
      </c>
      <c r="Z373" s="151"/>
    </row>
    <row r="374" spans="2:26" x14ac:dyDescent="0.35">
      <c r="B374" s="518"/>
      <c r="E374" s="519"/>
      <c r="F374" s="151" t="s">
        <v>227</v>
      </c>
      <c r="G374" s="316" t="s">
        <v>183</v>
      </c>
      <c r="H374" s="317">
        <v>4</v>
      </c>
      <c r="I374" s="318" t="s">
        <v>228</v>
      </c>
      <c r="J374" s="316" t="s">
        <v>179</v>
      </c>
      <c r="K374" s="433">
        <v>1</v>
      </c>
      <c r="L374" s="577">
        <v>45.36</v>
      </c>
      <c r="M374" s="476">
        <f>((M$350*N$350)/240)*($H374/N374)</f>
        <v>2.5000000000000001E-2</v>
      </c>
      <c r="N374" s="309">
        <f t="shared" si="62"/>
        <v>1</v>
      </c>
      <c r="O374" s="520">
        <f t="shared" si="60"/>
        <v>1.1340000000000001</v>
      </c>
      <c r="P374" s="261">
        <v>49592.654999999999</v>
      </c>
      <c r="Q374" s="521">
        <f t="shared" si="61"/>
        <v>56238.070770000006</v>
      </c>
      <c r="R374" s="496"/>
      <c r="S374" s="496"/>
      <c r="T374" s="496"/>
      <c r="U374" s="517"/>
      <c r="V374" s="496"/>
      <c r="W374" s="267"/>
      <c r="X374" s="578"/>
      <c r="Y374" s="492">
        <f t="shared" si="57"/>
        <v>1239.8163750000001</v>
      </c>
      <c r="Z374" s="151"/>
    </row>
    <row r="375" spans="2:26" x14ac:dyDescent="0.35">
      <c r="B375" s="518"/>
      <c r="E375" s="519"/>
      <c r="F375" s="151" t="s">
        <v>229</v>
      </c>
      <c r="G375" s="316" t="s">
        <v>183</v>
      </c>
      <c r="H375" s="317">
        <v>12</v>
      </c>
      <c r="I375" s="318" t="s">
        <v>228</v>
      </c>
      <c r="J375" s="316" t="s">
        <v>179</v>
      </c>
      <c r="K375" s="433">
        <v>1</v>
      </c>
      <c r="L375" s="577">
        <v>45.36</v>
      </c>
      <c r="M375" s="476">
        <f>((M$350*N$350)/240)*($H375/N375)</f>
        <v>7.5000000000000011E-2</v>
      </c>
      <c r="N375" s="309">
        <f t="shared" si="62"/>
        <v>1</v>
      </c>
      <c r="O375" s="520">
        <f t="shared" si="60"/>
        <v>3.4020000000000006</v>
      </c>
      <c r="P375" s="261">
        <v>16206.75</v>
      </c>
      <c r="Q375" s="521">
        <f t="shared" si="61"/>
        <v>55135.363500000007</v>
      </c>
      <c r="R375" s="496"/>
      <c r="S375" s="496"/>
      <c r="T375" s="496"/>
      <c r="U375" s="517"/>
      <c r="V375" s="496"/>
      <c r="W375" s="267"/>
      <c r="X375" s="578"/>
      <c r="Y375" s="492">
        <f t="shared" si="57"/>
        <v>1215.5062500000001</v>
      </c>
      <c r="Z375" s="151"/>
    </row>
    <row r="376" spans="2:26" x14ac:dyDescent="0.35">
      <c r="B376" s="518"/>
      <c r="E376" s="519"/>
      <c r="F376" s="151" t="s">
        <v>231</v>
      </c>
      <c r="G376" s="316" t="s">
        <v>183</v>
      </c>
      <c r="H376" s="317">
        <v>2</v>
      </c>
      <c r="I376" s="318" t="s">
        <v>228</v>
      </c>
      <c r="J376" s="316" t="s">
        <v>179</v>
      </c>
      <c r="K376" s="433">
        <v>1</v>
      </c>
      <c r="L376" s="577">
        <v>45.36</v>
      </c>
      <c r="M376" s="476">
        <f>((M$350*N$350)/240)*($H376/N376)</f>
        <v>1.2500000000000001E-2</v>
      </c>
      <c r="N376" s="309">
        <f t="shared" si="62"/>
        <v>1</v>
      </c>
      <c r="O376" s="520">
        <f t="shared" si="60"/>
        <v>0.56700000000000006</v>
      </c>
      <c r="P376" s="261">
        <v>37194.491250000006</v>
      </c>
      <c r="Q376" s="521">
        <f t="shared" si="61"/>
        <v>21089.276538750008</v>
      </c>
      <c r="R376" s="496"/>
      <c r="S376" s="496"/>
      <c r="T376" s="496"/>
      <c r="U376" s="517"/>
      <c r="V376" s="496"/>
      <c r="W376" s="267"/>
      <c r="X376" s="578"/>
      <c r="Y376" s="492">
        <f t="shared" si="57"/>
        <v>464.93114062500018</v>
      </c>
      <c r="Z376" s="151"/>
    </row>
    <row r="377" spans="2:26" x14ac:dyDescent="0.35">
      <c r="B377" s="518"/>
      <c r="E377" s="519"/>
      <c r="F377" s="151" t="s">
        <v>232</v>
      </c>
      <c r="G377" s="316" t="s">
        <v>183</v>
      </c>
      <c r="H377" s="317">
        <v>1</v>
      </c>
      <c r="I377" s="318" t="s">
        <v>228</v>
      </c>
      <c r="J377" s="316" t="s">
        <v>179</v>
      </c>
      <c r="K377" s="433">
        <v>1</v>
      </c>
      <c r="L377" s="577">
        <v>45.36</v>
      </c>
      <c r="M377" s="476">
        <f>((M$350*N$350)/240)*($H377/N377)</f>
        <v>6.2500000000000003E-3</v>
      </c>
      <c r="N377" s="309">
        <f t="shared" si="62"/>
        <v>1</v>
      </c>
      <c r="O377" s="520">
        <f t="shared" si="60"/>
        <v>0.28350000000000003</v>
      </c>
      <c r="P377" s="261">
        <v>99185.31</v>
      </c>
      <c r="Q377" s="521">
        <f t="shared" si="61"/>
        <v>28119.035385000003</v>
      </c>
      <c r="R377" s="496"/>
      <c r="S377" s="496"/>
      <c r="T377" s="496"/>
      <c r="U377" s="517"/>
      <c r="V377" s="496"/>
      <c r="W377" s="267"/>
      <c r="X377" s="578"/>
      <c r="Y377" s="492">
        <f t="shared" si="57"/>
        <v>619.90818750000005</v>
      </c>
      <c r="Z377" s="151"/>
    </row>
    <row r="378" spans="2:26" x14ac:dyDescent="0.35">
      <c r="B378" s="518"/>
      <c r="E378" s="519"/>
      <c r="F378" s="428" t="s">
        <v>418</v>
      </c>
      <c r="G378" s="316" t="s">
        <v>181</v>
      </c>
      <c r="H378" s="317"/>
      <c r="I378" s="318"/>
      <c r="J378" s="316" t="s">
        <v>319</v>
      </c>
      <c r="K378" s="433">
        <v>1</v>
      </c>
      <c r="L378" s="577">
        <v>45.36</v>
      </c>
      <c r="M378" s="476">
        <f>(50*136)/1000</f>
        <v>6.8</v>
      </c>
      <c r="N378" s="309">
        <v>1</v>
      </c>
      <c r="O378" s="520">
        <f t="shared" si="60"/>
        <v>308.44799999999998</v>
      </c>
      <c r="P378" s="261">
        <v>12872.79</v>
      </c>
      <c r="Q378" s="521">
        <f t="shared" si="61"/>
        <v>3970586.3299199999</v>
      </c>
      <c r="R378" s="496"/>
      <c r="S378" s="496"/>
      <c r="T378" s="496"/>
      <c r="U378" s="517"/>
      <c r="V378" s="496"/>
      <c r="W378" s="267"/>
      <c r="X378" s="578"/>
      <c r="Y378" s="492">
        <f t="shared" si="57"/>
        <v>87534.971999999994</v>
      </c>
      <c r="Z378" s="151"/>
    </row>
    <row r="379" spans="2:26" x14ac:dyDescent="0.35">
      <c r="B379" s="518"/>
      <c r="E379" s="519"/>
      <c r="F379" s="428"/>
      <c r="G379" s="316"/>
      <c r="H379" s="317"/>
      <c r="I379" s="318"/>
      <c r="J379" s="316"/>
      <c r="K379" s="433"/>
      <c r="L379" s="577"/>
      <c r="M379" s="477"/>
      <c r="N379" s="259"/>
      <c r="O379" s="520"/>
      <c r="P379" s="521"/>
      <c r="Q379" s="521"/>
      <c r="R379" s="496"/>
      <c r="S379" s="496"/>
      <c r="T379" s="496"/>
      <c r="U379" s="517"/>
      <c r="V379" s="496"/>
      <c r="W379" s="267"/>
      <c r="X379" s="578"/>
      <c r="Y379" s="492">
        <f t="shared" si="54"/>
        <v>0</v>
      </c>
      <c r="Z379" s="151"/>
    </row>
    <row r="380" spans="2:26" x14ac:dyDescent="0.35">
      <c r="B380" s="606" t="s">
        <v>592</v>
      </c>
      <c r="C380" s="716"/>
      <c r="D380" s="716"/>
      <c r="E380" s="717"/>
      <c r="F380" s="609"/>
      <c r="G380" s="610"/>
      <c r="H380" s="611"/>
      <c r="I380" s="612"/>
      <c r="J380" s="610"/>
      <c r="K380" s="613"/>
      <c r="L380" s="614"/>
      <c r="M380" s="615"/>
      <c r="N380" s="616"/>
      <c r="O380" s="611"/>
      <c r="P380" s="617"/>
      <c r="Q380" s="618">
        <f>SUM(Q370:Q379)</f>
        <v>7088488.1528006196</v>
      </c>
      <c r="R380" s="617"/>
      <c r="S380" s="718">
        <f>SUM(S369:S379)</f>
        <v>235212887.0078266</v>
      </c>
      <c r="T380" s="605"/>
      <c r="U380" s="605"/>
      <c r="V380" s="605"/>
      <c r="W380" s="605"/>
      <c r="X380" s="611"/>
      <c r="Y380" s="645">
        <f>Q380/$D$1</f>
        <v>156271.784673735</v>
      </c>
      <c r="Z380" s="645">
        <f>Q380/$Q$426*100</f>
        <v>1.2010859918960304</v>
      </c>
    </row>
    <row r="381" spans="2:26" x14ac:dyDescent="0.35">
      <c r="B381" s="504"/>
      <c r="C381" s="172" t="s">
        <v>563</v>
      </c>
      <c r="D381" s="172"/>
      <c r="E381" s="506"/>
      <c r="F381" s="151" t="s">
        <v>177</v>
      </c>
      <c r="G381" s="316" t="s">
        <v>178</v>
      </c>
      <c r="H381" s="317"/>
      <c r="I381" s="318"/>
      <c r="J381" s="316"/>
      <c r="K381" s="433">
        <v>1</v>
      </c>
      <c r="L381" s="577">
        <v>45.36</v>
      </c>
      <c r="M381" s="430">
        <v>5</v>
      </c>
      <c r="N381" s="259">
        <v>1</v>
      </c>
      <c r="O381" s="520">
        <f t="shared" ref="O381:O390" si="63">K381*L381*M381*N381</f>
        <v>226.8</v>
      </c>
      <c r="P381" s="261">
        <v>169122.61109699999</v>
      </c>
      <c r="Q381" s="521">
        <f t="shared" ref="Q381:Q390" si="64">P381*$O381</f>
        <v>38357008.196799599</v>
      </c>
      <c r="R381" s="496"/>
      <c r="S381" s="496"/>
      <c r="T381" s="517"/>
      <c r="U381" s="517"/>
      <c r="V381" s="517"/>
      <c r="W381" s="517"/>
      <c r="X381" s="771"/>
      <c r="Y381" s="492">
        <f t="shared" ref="Y381:Y383" si="65">Q381/$D$1</f>
        <v>845613.05548500002</v>
      </c>
      <c r="Z381" s="151"/>
    </row>
    <row r="382" spans="2:26" x14ac:dyDescent="0.35">
      <c r="B382" s="518"/>
      <c r="E382" s="519"/>
      <c r="F382" s="151" t="s">
        <v>421</v>
      </c>
      <c r="G382" s="316" t="s">
        <v>361</v>
      </c>
      <c r="H382" s="317"/>
      <c r="I382" s="318"/>
      <c r="J382" s="316"/>
      <c r="K382" s="433">
        <v>1</v>
      </c>
      <c r="L382" s="577">
        <v>45.36</v>
      </c>
      <c r="M382" s="258">
        <f>78*136/1000</f>
        <v>10.608000000000001</v>
      </c>
      <c r="N382" s="259">
        <v>1</v>
      </c>
      <c r="O382" s="520">
        <f t="shared" si="63"/>
        <v>481.17887999999999</v>
      </c>
      <c r="P382" s="261">
        <v>86757</v>
      </c>
      <c r="Q382" s="521">
        <f t="shared" si="64"/>
        <v>41745636.092160001</v>
      </c>
      <c r="R382" s="496"/>
      <c r="S382" s="496"/>
      <c r="T382" s="517"/>
      <c r="U382" s="517"/>
      <c r="V382" s="517"/>
      <c r="W382" s="517"/>
      <c r="X382" s="578" t="s">
        <v>593</v>
      </c>
      <c r="Y382" s="492">
        <f t="shared" si="65"/>
        <v>920318.25600000005</v>
      </c>
      <c r="Z382" s="151"/>
    </row>
    <row r="383" spans="2:26" x14ac:dyDescent="0.35">
      <c r="B383" s="518"/>
      <c r="E383" s="519"/>
      <c r="F383" s="151" t="s">
        <v>422</v>
      </c>
      <c r="G383" s="316" t="s">
        <v>183</v>
      </c>
      <c r="H383" s="317"/>
      <c r="I383" s="318"/>
      <c r="J383" s="316"/>
      <c r="K383" s="433">
        <v>1</v>
      </c>
      <c r="L383" s="577">
        <v>45.36</v>
      </c>
      <c r="M383" s="258">
        <v>1.67E-2</v>
      </c>
      <c r="N383" s="259">
        <v>1</v>
      </c>
      <c r="O383" s="520">
        <f t="shared" si="63"/>
        <v>0.75751199999999996</v>
      </c>
      <c r="P383" s="261">
        <v>622201.44262500014</v>
      </c>
      <c r="Q383" s="521">
        <f t="shared" si="64"/>
        <v>471325.05920574907</v>
      </c>
      <c r="R383" s="496"/>
      <c r="S383" s="496"/>
      <c r="T383" s="517"/>
      <c r="U383" s="517"/>
      <c r="V383" s="517"/>
      <c r="W383" s="517"/>
      <c r="X383" s="578" t="s">
        <v>594</v>
      </c>
      <c r="Y383" s="492">
        <f t="shared" si="65"/>
        <v>10390.764091837502</v>
      </c>
      <c r="Z383" s="151"/>
    </row>
    <row r="384" spans="2:26" x14ac:dyDescent="0.35">
      <c r="B384" s="518"/>
      <c r="E384" s="519"/>
      <c r="F384" s="151" t="s">
        <v>423</v>
      </c>
      <c r="G384" s="316" t="s">
        <v>183</v>
      </c>
      <c r="H384" s="317"/>
      <c r="I384" s="318"/>
      <c r="J384" s="316"/>
      <c r="K384" s="433">
        <v>1</v>
      </c>
      <c r="L384" s="577">
        <v>45.36</v>
      </c>
      <c r="M384" s="258">
        <v>1.67E-2</v>
      </c>
      <c r="N384" s="259">
        <v>1</v>
      </c>
      <c r="O384" s="520">
        <f t="shared" si="63"/>
        <v>0.75751199999999996</v>
      </c>
      <c r="P384" s="261">
        <v>0</v>
      </c>
      <c r="Q384" s="521">
        <f t="shared" si="64"/>
        <v>0</v>
      </c>
      <c r="R384" s="496"/>
      <c r="S384" s="496"/>
      <c r="T384" s="517"/>
      <c r="U384" s="517"/>
      <c r="V384" s="517"/>
      <c r="W384" s="517"/>
      <c r="X384" s="578"/>
      <c r="Y384" s="492">
        <f t="shared" si="54"/>
        <v>0</v>
      </c>
      <c r="Z384" s="151"/>
    </row>
    <row r="385" spans="2:26" x14ac:dyDescent="0.35">
      <c r="B385" s="518"/>
      <c r="E385" s="519"/>
      <c r="F385" s="151" t="s">
        <v>232</v>
      </c>
      <c r="G385" s="316" t="s">
        <v>183</v>
      </c>
      <c r="H385" s="317"/>
      <c r="I385" s="318"/>
      <c r="J385" s="316"/>
      <c r="K385" s="433">
        <v>1</v>
      </c>
      <c r="L385" s="577">
        <v>45.36</v>
      </c>
      <c r="M385" s="258">
        <v>1.67E-2</v>
      </c>
      <c r="N385" s="259">
        <v>1</v>
      </c>
      <c r="O385" s="520">
        <f t="shared" si="63"/>
        <v>0.75751199999999996</v>
      </c>
      <c r="P385" s="261">
        <v>99185.31</v>
      </c>
      <c r="Q385" s="521">
        <f t="shared" si="64"/>
        <v>75134.062548720001</v>
      </c>
      <c r="R385" s="496"/>
      <c r="S385" s="496"/>
      <c r="T385" s="517"/>
      <c r="U385" s="517"/>
      <c r="V385" s="517"/>
      <c r="W385" s="517"/>
      <c r="X385" s="578"/>
      <c r="Y385" s="492">
        <f t="shared" ref="Y385:Y386" si="66">Q385/$D$1</f>
        <v>1656.394677</v>
      </c>
      <c r="Z385" s="151"/>
    </row>
    <row r="386" spans="2:26" ht="42.65" customHeight="1" x14ac:dyDescent="0.35">
      <c r="B386" s="504"/>
      <c r="C386" s="505" t="s">
        <v>149</v>
      </c>
      <c r="D386" s="505"/>
      <c r="E386" s="506"/>
      <c r="F386" s="174" t="s">
        <v>177</v>
      </c>
      <c r="G386" s="507" t="s">
        <v>178</v>
      </c>
      <c r="H386" s="508"/>
      <c r="I386" s="509"/>
      <c r="J386" s="507"/>
      <c r="K386" s="510">
        <v>0.25</v>
      </c>
      <c r="L386" s="511">
        <v>45.36</v>
      </c>
      <c r="M386" s="512">
        <v>2.5</v>
      </c>
      <c r="N386" s="513">
        <v>1</v>
      </c>
      <c r="O386" s="514">
        <f t="shared" si="63"/>
        <v>28.35</v>
      </c>
      <c r="P386" s="261">
        <v>169122.61109699999</v>
      </c>
      <c r="Q386" s="515">
        <f t="shared" si="64"/>
        <v>4794626.0245999498</v>
      </c>
      <c r="R386" s="274">
        <v>158800.57379999998</v>
      </c>
      <c r="S386" s="516">
        <f>R386*$O386</f>
        <v>4501996.2672299994</v>
      </c>
      <c r="T386" s="259">
        <v>163305.33120000002</v>
      </c>
      <c r="U386" s="517">
        <f>$O386*T386</f>
        <v>4629706.1395200007</v>
      </c>
      <c r="V386" s="259">
        <f>W386/O386</f>
        <v>163742.83869899999</v>
      </c>
      <c r="W386" s="267">
        <f>AVERAGEIF($P$3:$U$3,W$3,$P386:$U386)</f>
        <v>4642109.47711665</v>
      </c>
      <c r="X386" s="702"/>
      <c r="Y386" s="703">
        <f t="shared" si="66"/>
        <v>105701.631935625</v>
      </c>
      <c r="Z386" s="492"/>
    </row>
    <row r="387" spans="2:26" x14ac:dyDescent="0.35">
      <c r="B387" s="518"/>
      <c r="E387" s="519"/>
      <c r="F387" s="151" t="s">
        <v>421</v>
      </c>
      <c r="G387" s="316" t="s">
        <v>361</v>
      </c>
      <c r="H387" s="317"/>
      <c r="I387" s="318"/>
      <c r="J387" s="316"/>
      <c r="K387" s="433">
        <v>0.25</v>
      </c>
      <c r="L387" s="511">
        <f>L386</f>
        <v>45.36</v>
      </c>
      <c r="M387" s="400">
        <f>5*136/1000</f>
        <v>0.68</v>
      </c>
      <c r="N387" s="494">
        <v>1</v>
      </c>
      <c r="O387" s="520">
        <f t="shared" si="63"/>
        <v>7.7112000000000007</v>
      </c>
      <c r="P387" s="261">
        <v>86757</v>
      </c>
      <c r="Q387" s="521">
        <f t="shared" si="64"/>
        <v>669000.57840000011</v>
      </c>
      <c r="R387" s="274">
        <v>78870</v>
      </c>
      <c r="S387" s="496">
        <f>R387*$O387</f>
        <v>608182.34400000004</v>
      </c>
      <c r="T387" s="259">
        <v>52349.440000000002</v>
      </c>
      <c r="U387" s="517">
        <f>$O387*T387</f>
        <v>403677.00172800006</v>
      </c>
      <c r="V387" s="259">
        <f>W387/O387</f>
        <v>72658.813333333324</v>
      </c>
      <c r="W387" s="267">
        <f>AVERAGEIF($P$3:$U$3,W$3,$P387:$U387)</f>
        <v>560286.64137600001</v>
      </c>
      <c r="X387" s="578"/>
      <c r="Y387" s="492"/>
      <c r="Z387" s="151"/>
    </row>
    <row r="388" spans="2:26" x14ac:dyDescent="0.35">
      <c r="B388" s="518"/>
      <c r="E388" s="519"/>
      <c r="F388" s="151" t="s">
        <v>422</v>
      </c>
      <c r="G388" s="316" t="s">
        <v>183</v>
      </c>
      <c r="H388" s="317"/>
      <c r="I388" s="318"/>
      <c r="J388" s="316"/>
      <c r="K388" s="433">
        <v>0.2</v>
      </c>
      <c r="L388" s="511">
        <f>L386</f>
        <v>45.36</v>
      </c>
      <c r="M388" s="400">
        <v>1.67E-2</v>
      </c>
      <c r="N388" s="494">
        <v>1</v>
      </c>
      <c r="O388" s="520">
        <f t="shared" si="63"/>
        <v>0.15150240000000001</v>
      </c>
      <c r="P388" s="261">
        <v>622201.44262500014</v>
      </c>
      <c r="Q388" s="521">
        <f t="shared" si="64"/>
        <v>94265.011841149826</v>
      </c>
      <c r="R388" s="274">
        <v>592572.80250000011</v>
      </c>
      <c r="S388" s="496">
        <f>R388*$O388</f>
        <v>89776.201753476023</v>
      </c>
      <c r="T388" s="259">
        <v>626917.83840000001</v>
      </c>
      <c r="U388" s="517">
        <f>$O388*T388</f>
        <v>94979.557120412166</v>
      </c>
      <c r="V388" s="259">
        <f>W388/O388</f>
        <v>613897.36117500009</v>
      </c>
      <c r="W388" s="267">
        <f>AVERAGEIF($P$3:$U$3,W$3,$P388:$U388)</f>
        <v>93006.923571679334</v>
      </c>
      <c r="X388" s="151"/>
      <c r="Y388" s="492"/>
      <c r="Z388" s="492"/>
    </row>
    <row r="389" spans="2:26" x14ac:dyDescent="0.35">
      <c r="B389" s="518"/>
      <c r="E389" s="519"/>
      <c r="F389" s="151" t="s">
        <v>423</v>
      </c>
      <c r="G389" s="316" t="s">
        <v>183</v>
      </c>
      <c r="H389" s="317"/>
      <c r="I389" s="318"/>
      <c r="J389" s="316"/>
      <c r="K389" s="433">
        <v>0</v>
      </c>
      <c r="L389" s="511"/>
      <c r="M389" s="400">
        <v>1.67E-2</v>
      </c>
      <c r="N389" s="494">
        <v>1</v>
      </c>
      <c r="O389" s="520">
        <f t="shared" si="63"/>
        <v>0</v>
      </c>
      <c r="P389" s="261">
        <v>0</v>
      </c>
      <c r="Q389" s="521">
        <f t="shared" si="64"/>
        <v>0</v>
      </c>
      <c r="R389" s="274">
        <v>0</v>
      </c>
      <c r="S389" s="496">
        <f>R389*$O389</f>
        <v>0</v>
      </c>
      <c r="T389" s="259">
        <v>0</v>
      </c>
      <c r="U389" s="517">
        <f>$O389*T389</f>
        <v>0</v>
      </c>
      <c r="V389" s="259" t="e">
        <f>W389/O389</f>
        <v>#DIV/0!</v>
      </c>
      <c r="W389" s="267">
        <f>AVERAGEIF($P$3:$U$3,W$3,$P389:$U389)</f>
        <v>0</v>
      </c>
      <c r="Y389" s="492">
        <f>S389/192.08</f>
        <v>0</v>
      </c>
      <c r="Z389" s="151"/>
    </row>
    <row r="390" spans="2:26" x14ac:dyDescent="0.35">
      <c r="B390" s="518"/>
      <c r="E390" s="519"/>
      <c r="F390" s="151" t="s">
        <v>232</v>
      </c>
      <c r="G390" s="316" t="s">
        <v>183</v>
      </c>
      <c r="H390" s="317"/>
      <c r="I390" s="318"/>
      <c r="J390" s="316"/>
      <c r="K390" s="433">
        <v>0.25</v>
      </c>
      <c r="L390" s="511">
        <f>L386</f>
        <v>45.36</v>
      </c>
      <c r="M390" s="400">
        <v>1.67E-2</v>
      </c>
      <c r="N390" s="494">
        <v>1</v>
      </c>
      <c r="O390" s="520">
        <f t="shared" si="63"/>
        <v>0.18937799999999999</v>
      </c>
      <c r="P390" s="261">
        <v>99185.31</v>
      </c>
      <c r="Q390" s="521">
        <f t="shared" si="64"/>
        <v>18783.51563718</v>
      </c>
      <c r="R390" s="274">
        <v>94462.2</v>
      </c>
      <c r="S390" s="496">
        <f>R390*$O390</f>
        <v>17889.062511599997</v>
      </c>
      <c r="T390" s="259">
        <v>99937.152000000016</v>
      </c>
      <c r="U390" s="517">
        <f>$O390*T390</f>
        <v>18925.897971456001</v>
      </c>
      <c r="V390" s="259">
        <f>W390/O390</f>
        <v>97861.553999999989</v>
      </c>
      <c r="W390" s="267">
        <f>AVERAGEIF($P$3:$U$3,W$3,$P390:$U390)</f>
        <v>18532.825373411997</v>
      </c>
      <c r="X390" s="578"/>
      <c r="Y390" s="703">
        <f t="shared" ref="Y390" si="67">Q390/$D$1</f>
        <v>414.09866925</v>
      </c>
      <c r="Z390" s="151"/>
    </row>
    <row r="391" spans="2:26" x14ac:dyDescent="0.35">
      <c r="B391" s="606" t="s">
        <v>595</v>
      </c>
      <c r="C391" s="716"/>
      <c r="D391" s="716"/>
      <c r="E391" s="717"/>
      <c r="F391" s="609"/>
      <c r="G391" s="610"/>
      <c r="H391" s="611"/>
      <c r="I391" s="612"/>
      <c r="J391" s="610"/>
      <c r="K391" s="613"/>
      <c r="L391" s="614"/>
      <c r="M391" s="615"/>
      <c r="N391" s="616"/>
      <c r="O391" s="611"/>
      <c r="P391" s="617"/>
      <c r="Q391" s="618">
        <f>SUM(Q381:Q385)</f>
        <v>80649103.410714075</v>
      </c>
      <c r="R391" s="617"/>
      <c r="S391" s="718">
        <f>SUM(S375:S385)</f>
        <v>235212887.0078266</v>
      </c>
      <c r="T391" s="605"/>
      <c r="U391" s="605"/>
      <c r="V391" s="605"/>
      <c r="W391" s="605"/>
      <c r="X391" s="611"/>
      <c r="Y391" s="645">
        <f>Q391/$D$1</f>
        <v>1777978.4702538378</v>
      </c>
      <c r="Z391" s="645">
        <f>Q391/$Q$426*100</f>
        <v>13.665326974879921</v>
      </c>
    </row>
    <row r="392" spans="2:26" x14ac:dyDescent="0.35">
      <c r="B392" s="504"/>
      <c r="C392" s="172" t="s">
        <v>566</v>
      </c>
      <c r="D392" s="172"/>
      <c r="E392" s="506"/>
      <c r="F392" s="151" t="s">
        <v>177</v>
      </c>
      <c r="G392" s="316" t="s">
        <v>178</v>
      </c>
      <c r="H392" s="317"/>
      <c r="I392" s="318"/>
      <c r="J392" s="316"/>
      <c r="K392" s="502"/>
      <c r="L392" s="577"/>
      <c r="M392" s="258"/>
      <c r="N392" s="259"/>
      <c r="O392" s="317"/>
      <c r="P392" s="496"/>
      <c r="Q392" s="521"/>
      <c r="R392" s="496"/>
      <c r="S392" s="496"/>
      <c r="T392" s="517"/>
      <c r="U392" s="517"/>
      <c r="V392" s="517"/>
      <c r="W392" s="517"/>
      <c r="X392" s="578"/>
      <c r="Y392" s="492">
        <f t="shared" si="54"/>
        <v>0</v>
      </c>
      <c r="Z392" s="151"/>
    </row>
    <row r="393" spans="2:26" x14ac:dyDescent="0.35">
      <c r="B393" s="579"/>
      <c r="C393" s="580"/>
      <c r="D393" s="580"/>
      <c r="E393" s="581"/>
      <c r="F393" s="151"/>
      <c r="G393" s="316"/>
      <c r="H393" s="317"/>
      <c r="I393" s="318"/>
      <c r="J393" s="316"/>
      <c r="K393" s="502"/>
      <c r="L393" s="577"/>
      <c r="M393" s="258"/>
      <c r="N393" s="259"/>
      <c r="O393" s="317"/>
      <c r="P393" s="496"/>
      <c r="Q393" s="521"/>
      <c r="R393" s="496"/>
      <c r="S393" s="496"/>
      <c r="T393" s="517"/>
      <c r="U393" s="517"/>
      <c r="V393" s="517"/>
      <c r="W393" s="517"/>
      <c r="X393" s="578"/>
      <c r="Y393" s="492">
        <f t="shared" si="54"/>
        <v>0</v>
      </c>
      <c r="Z393" s="151"/>
    </row>
    <row r="394" spans="2:26" x14ac:dyDescent="0.35">
      <c r="B394" s="518"/>
      <c r="C394" t="s">
        <v>357</v>
      </c>
      <c r="E394" s="519"/>
      <c r="F394" s="151" t="s">
        <v>177</v>
      </c>
      <c r="G394" s="316" t="s">
        <v>178</v>
      </c>
      <c r="H394" s="317"/>
      <c r="I394" s="318"/>
      <c r="J394" s="316"/>
      <c r="K394" s="502"/>
      <c r="L394" s="577"/>
      <c r="M394" s="258"/>
      <c r="N394" s="259"/>
      <c r="O394" s="317"/>
      <c r="P394" s="496"/>
      <c r="Q394" s="521"/>
      <c r="R394" s="496"/>
      <c r="S394" s="496"/>
      <c r="T394" s="517"/>
      <c r="U394" s="517"/>
      <c r="V394" s="517"/>
      <c r="W394" s="517"/>
      <c r="X394" s="578"/>
      <c r="Y394" s="492">
        <f t="shared" si="54"/>
        <v>0</v>
      </c>
      <c r="Z394" s="151"/>
    </row>
    <row r="395" spans="2:26" x14ac:dyDescent="0.35">
      <c r="B395" s="518"/>
      <c r="E395" s="519"/>
      <c r="F395" s="151"/>
      <c r="G395" s="316"/>
      <c r="H395" s="317"/>
      <c r="I395" s="318"/>
      <c r="J395" s="316"/>
      <c r="K395" s="502"/>
      <c r="L395" s="577"/>
      <c r="M395" s="258"/>
      <c r="N395" s="259"/>
      <c r="O395" s="317"/>
      <c r="P395" s="496"/>
      <c r="Q395" s="521"/>
      <c r="R395" s="496"/>
      <c r="S395" s="496"/>
      <c r="T395" s="517"/>
      <c r="U395" s="517"/>
      <c r="V395" s="517"/>
      <c r="W395" s="517"/>
      <c r="X395" s="659"/>
      <c r="Y395" s="492">
        <f t="shared" si="54"/>
        <v>0</v>
      </c>
      <c r="Z395" s="151"/>
    </row>
    <row r="396" spans="2:26" x14ac:dyDescent="0.35">
      <c r="B396" s="579"/>
      <c r="C396" s="580"/>
      <c r="D396" s="580"/>
      <c r="E396" s="581"/>
      <c r="F396" s="151"/>
      <c r="G396" s="316"/>
      <c r="H396" s="317"/>
      <c r="I396" s="318"/>
      <c r="J396" s="316"/>
      <c r="K396" s="502"/>
      <c r="L396" s="577"/>
      <c r="M396" s="258"/>
      <c r="N396" s="259"/>
      <c r="O396" s="317"/>
      <c r="P396" s="496"/>
      <c r="Q396" s="521"/>
      <c r="R396" s="496"/>
      <c r="S396" s="496"/>
      <c r="T396" s="517"/>
      <c r="U396" s="517"/>
      <c r="V396" s="517"/>
      <c r="W396" s="517"/>
      <c r="X396" s="578"/>
      <c r="Y396" s="492">
        <f t="shared" si="54"/>
        <v>0</v>
      </c>
      <c r="Z396" s="151"/>
    </row>
    <row r="397" spans="2:26" x14ac:dyDescent="0.35">
      <c r="B397" s="518"/>
      <c r="C397" t="s">
        <v>137</v>
      </c>
      <c r="E397" s="519"/>
      <c r="F397" s="151" t="s">
        <v>362</v>
      </c>
      <c r="G397" s="316" t="s">
        <v>178</v>
      </c>
      <c r="H397" s="317"/>
      <c r="I397" s="318"/>
      <c r="J397" s="316" t="s">
        <v>361</v>
      </c>
      <c r="K397" s="433">
        <v>1</v>
      </c>
      <c r="L397" s="683">
        <f>(O378+O368+O358+O348)/1000</f>
        <v>32.695487999999997</v>
      </c>
      <c r="M397" s="669">
        <v>1</v>
      </c>
      <c r="N397" s="380">
        <v>1</v>
      </c>
      <c r="O397" s="500">
        <f>K397*L397*M397*N397</f>
        <v>32.695487999999997</v>
      </c>
      <c r="P397" s="261">
        <v>23555.017687499996</v>
      </c>
      <c r="Q397" s="521">
        <f>P397*$O397</f>
        <v>770142.79814144387</v>
      </c>
      <c r="R397" s="259">
        <v>22744.800000000003</v>
      </c>
      <c r="S397" s="496">
        <f>R397*$O397</f>
        <v>743652.33546239999</v>
      </c>
      <c r="T397" s="259">
        <v>24564.384000000005</v>
      </c>
      <c r="U397" s="517">
        <f>$O397*T397</f>
        <v>803144.52229939215</v>
      </c>
      <c r="V397" s="259">
        <f>W397/O397</f>
        <v>23621.400562500003</v>
      </c>
      <c r="W397" s="267">
        <f>AVERAGEIF($P$3:$U$3,W$3,$P397:$U397)</f>
        <v>772313.21863441204</v>
      </c>
      <c r="X397" s="578"/>
      <c r="Y397" s="703">
        <f t="shared" ref="Y397" si="68">Q397/$D$1</f>
        <v>16978.456749149998</v>
      </c>
      <c r="Z397" s="151"/>
    </row>
    <row r="398" spans="2:26" x14ac:dyDescent="0.35">
      <c r="B398" s="518"/>
      <c r="E398" s="519"/>
      <c r="F398" s="151" t="s">
        <v>359</v>
      </c>
      <c r="G398" s="316" t="s">
        <v>195</v>
      </c>
      <c r="H398" s="317"/>
      <c r="I398" s="318"/>
      <c r="J398" s="316" t="s">
        <v>361</v>
      </c>
      <c r="K398" s="433"/>
      <c r="L398" s="577"/>
      <c r="M398" s="669"/>
      <c r="N398" s="380"/>
      <c r="O398" s="500"/>
      <c r="P398" s="259"/>
      <c r="Q398" s="521"/>
      <c r="R398" s="259"/>
      <c r="S398" s="496"/>
      <c r="T398" s="259"/>
      <c r="U398" s="517"/>
      <c r="V398" s="259" t="e">
        <f>W398/O398</f>
        <v>#DIV/0!</v>
      </c>
      <c r="W398" s="267"/>
      <c r="X398" s="578"/>
      <c r="Y398" s="492">
        <f t="shared" si="54"/>
        <v>0</v>
      </c>
      <c r="Z398" s="151"/>
    </row>
    <row r="399" spans="2:26" x14ac:dyDescent="0.35">
      <c r="B399" s="579"/>
      <c r="C399" s="580"/>
      <c r="D399" s="580"/>
      <c r="E399" s="581"/>
      <c r="F399" s="151" t="s">
        <v>364</v>
      </c>
      <c r="G399" s="502" t="s">
        <v>361</v>
      </c>
      <c r="H399" s="317"/>
      <c r="I399" s="318"/>
      <c r="J399" s="316" t="s">
        <v>361</v>
      </c>
      <c r="K399" s="433">
        <v>1</v>
      </c>
      <c r="L399" s="577">
        <f>L397</f>
        <v>32.695487999999997</v>
      </c>
      <c r="M399" s="668">
        <v>1</v>
      </c>
      <c r="N399" s="436">
        <v>1</v>
      </c>
      <c r="O399" s="500">
        <f>K399*L399*M399*N399</f>
        <v>32.695487999999997</v>
      </c>
      <c r="P399" s="261">
        <v>87604</v>
      </c>
      <c r="Q399" s="521">
        <f>P399*$O399</f>
        <v>2864255.5307519999</v>
      </c>
      <c r="R399" s="259">
        <v>53647.360000000001</v>
      </c>
      <c r="S399" s="496">
        <f>R399*$O399</f>
        <v>1754026.6151116798</v>
      </c>
      <c r="T399" s="259">
        <v>55793.254400000005</v>
      </c>
      <c r="U399" s="517">
        <f>$O399*T399</f>
        <v>1824187.6797161472</v>
      </c>
      <c r="V399" s="259">
        <f>W399/O399</f>
        <v>65681.538133333335</v>
      </c>
      <c r="W399" s="267">
        <f>AVERAGEIF($P$3:$U$3,W$3,$P399:$U399)</f>
        <v>2147489.9418599424</v>
      </c>
      <c r="X399" s="578"/>
      <c r="Y399" s="703">
        <f t="shared" ref="Y399:Y400" si="69">Q399/$D$1</f>
        <v>63144.963199999998</v>
      </c>
      <c r="Z399" s="151"/>
    </row>
    <row r="400" spans="2:26" x14ac:dyDescent="0.35">
      <c r="B400" s="518"/>
      <c r="C400" t="s">
        <v>140</v>
      </c>
      <c r="E400" s="519"/>
      <c r="F400" s="151" t="s">
        <v>365</v>
      </c>
      <c r="G400" s="316" t="s">
        <v>178</v>
      </c>
      <c r="H400" s="317"/>
      <c r="I400" s="318"/>
      <c r="J400" s="316" t="s">
        <v>361</v>
      </c>
      <c r="K400" s="433">
        <v>1</v>
      </c>
      <c r="L400" s="577">
        <f>L397</f>
        <v>32.695487999999997</v>
      </c>
      <c r="M400" s="669">
        <v>1</v>
      </c>
      <c r="N400" s="380">
        <v>1</v>
      </c>
      <c r="O400" s="500">
        <f>K400*L400*M400*N400</f>
        <v>32.695487999999997</v>
      </c>
      <c r="P400" s="261">
        <v>38654.387999999992</v>
      </c>
      <c r="Q400" s="521">
        <f>P400*$O400</f>
        <v>1263824.0790013436</v>
      </c>
      <c r="R400" s="259">
        <v>37324.800000000003</v>
      </c>
      <c r="S400" s="496">
        <f>R400*$O400</f>
        <v>1220352.5505023999</v>
      </c>
      <c r="T400" s="259">
        <v>40310.784000000007</v>
      </c>
      <c r="U400" s="517">
        <f>$O400*T400</f>
        <v>1317980.7545425922</v>
      </c>
      <c r="V400" s="259">
        <f>W400/O400</f>
        <v>38763.324000000001</v>
      </c>
      <c r="W400" s="267">
        <f>AVERAGEIF($P$3:$U$3,W$3,$P400:$U400)</f>
        <v>1267385.7946821118</v>
      </c>
      <c r="X400" s="578"/>
      <c r="Y400" s="703">
        <f t="shared" si="69"/>
        <v>27862.08287039999</v>
      </c>
      <c r="Z400" s="151"/>
    </row>
    <row r="401" spans="2:26" x14ac:dyDescent="0.35">
      <c r="B401" s="518"/>
      <c r="E401" s="519"/>
      <c r="F401" s="151" t="s">
        <v>427</v>
      </c>
      <c r="G401" s="316" t="s">
        <v>361</v>
      </c>
      <c r="H401" s="317"/>
      <c r="I401" s="318"/>
      <c r="J401" s="316" t="s">
        <v>361</v>
      </c>
      <c r="K401" s="433"/>
      <c r="L401" s="577">
        <f>L400</f>
        <v>32.695487999999997</v>
      </c>
      <c r="M401" s="693">
        <v>1</v>
      </c>
      <c r="N401" s="309">
        <v>1</v>
      </c>
      <c r="O401" s="500">
        <f>K401*L401*M401*N401</f>
        <v>0</v>
      </c>
      <c r="P401" s="259">
        <v>0</v>
      </c>
      <c r="Q401" s="521">
        <f>P401*$O401</f>
        <v>0</v>
      </c>
      <c r="R401" s="259">
        <v>0</v>
      </c>
      <c r="S401" s="496">
        <f>R401*$O401</f>
        <v>0</v>
      </c>
      <c r="T401" s="259">
        <v>0</v>
      </c>
      <c r="U401" s="517">
        <f>$O401*T401</f>
        <v>0</v>
      </c>
      <c r="V401" s="687"/>
      <c r="W401" s="687"/>
      <c r="X401" s="578"/>
      <c r="Y401" s="492">
        <f t="shared" si="54"/>
        <v>0</v>
      </c>
      <c r="Z401" s="151"/>
    </row>
    <row r="402" spans="2:26" x14ac:dyDescent="0.35">
      <c r="B402" s="606" t="s">
        <v>567</v>
      </c>
      <c r="C402" s="716"/>
      <c r="D402" s="716"/>
      <c r="E402" s="717"/>
      <c r="F402" s="609"/>
      <c r="G402" s="610"/>
      <c r="H402" s="611"/>
      <c r="I402" s="612"/>
      <c r="J402" s="610"/>
      <c r="K402" s="613"/>
      <c r="L402" s="614"/>
      <c r="M402" s="615"/>
      <c r="N402" s="616"/>
      <c r="O402" s="611"/>
      <c r="P402" s="617"/>
      <c r="Q402" s="618">
        <f>SUM(Q397:Q401)</f>
        <v>4898222.4078947874</v>
      </c>
      <c r="R402" s="617"/>
      <c r="S402" s="718">
        <f>SUM(S391:S401)</f>
        <v>238930918.50890306</v>
      </c>
      <c r="T402" s="605"/>
      <c r="U402" s="605"/>
      <c r="V402" s="605"/>
      <c r="W402" s="605"/>
      <c r="X402" s="611"/>
      <c r="Y402" s="645">
        <f>Q402/$D$1</f>
        <v>107985.50281954999</v>
      </c>
      <c r="Z402" s="645">
        <f>Q402/$Q$426*100</f>
        <v>0.82996348339656323</v>
      </c>
    </row>
    <row r="403" spans="2:26" ht="29.25" customHeight="1" x14ac:dyDescent="0.35">
      <c r="B403" s="660" t="s">
        <v>568</v>
      </c>
      <c r="C403" s="729"/>
      <c r="D403" s="729"/>
      <c r="E403" s="730"/>
      <c r="F403" s="532"/>
      <c r="G403" s="587"/>
      <c r="H403" s="588"/>
      <c r="I403" s="589"/>
      <c r="J403" s="587"/>
      <c r="K403" s="590"/>
      <c r="L403" s="591"/>
      <c r="M403" s="543"/>
      <c r="N403" s="544"/>
      <c r="O403" s="588"/>
      <c r="P403" s="592"/>
      <c r="Q403" s="663">
        <f>Q349+Q359+Q369+Q380+Q391+Q402</f>
        <v>313097937.69252449</v>
      </c>
      <c r="R403" s="592"/>
      <c r="S403" s="731">
        <f>SUM(S392:S402)</f>
        <v>242648950.00997955</v>
      </c>
      <c r="T403" s="594"/>
      <c r="U403" s="594"/>
      <c r="V403" s="594"/>
      <c r="W403" s="594"/>
      <c r="X403" s="588"/>
      <c r="Y403" s="639">
        <f>Q403/$D$1</f>
        <v>6902511.8538916335</v>
      </c>
      <c r="Z403" s="639">
        <f>Q403/$Q$426*100</f>
        <v>53.051869305226838</v>
      </c>
    </row>
    <row r="404" spans="2:26" x14ac:dyDescent="0.35">
      <c r="B404" s="595" t="s">
        <v>350</v>
      </c>
      <c r="C404" s="318"/>
      <c r="D404" s="318"/>
      <c r="E404" s="582"/>
      <c r="F404" s="151"/>
      <c r="G404" s="316"/>
      <c r="H404" s="317"/>
      <c r="I404" s="318"/>
      <c r="J404" s="316"/>
      <c r="K404" s="502"/>
      <c r="L404" s="577"/>
      <c r="M404" s="258"/>
      <c r="N404" s="259"/>
      <c r="O404" s="317"/>
      <c r="P404" s="496"/>
      <c r="Q404" s="521"/>
      <c r="R404" s="496"/>
      <c r="S404" s="496"/>
      <c r="T404" s="517"/>
      <c r="U404" s="517"/>
      <c r="V404" s="517"/>
      <c r="W404" s="517"/>
      <c r="X404" s="578"/>
      <c r="Y404" s="151"/>
      <c r="Z404" s="151"/>
    </row>
    <row r="405" spans="2:26" x14ac:dyDescent="0.35">
      <c r="B405" s="518"/>
      <c r="C405" t="s">
        <v>545</v>
      </c>
      <c r="E405" s="519"/>
      <c r="F405" s="151" t="s">
        <v>177</v>
      </c>
      <c r="G405" s="316" t="s">
        <v>178</v>
      </c>
      <c r="H405" s="317"/>
      <c r="I405" s="318"/>
      <c r="J405" s="316"/>
      <c r="K405" s="502"/>
      <c r="L405" s="577"/>
      <c r="M405" s="258">
        <v>1</v>
      </c>
      <c r="N405" s="259">
        <v>1</v>
      </c>
      <c r="O405" s="317"/>
      <c r="P405" s="496"/>
      <c r="Q405" s="521"/>
      <c r="R405" s="496"/>
      <c r="S405" s="496"/>
      <c r="T405" s="517"/>
      <c r="U405" s="517"/>
      <c r="V405" s="517"/>
      <c r="W405" s="517"/>
      <c r="X405" s="578"/>
      <c r="Y405" s="151"/>
      <c r="Z405" s="151"/>
    </row>
    <row r="406" spans="2:26" x14ac:dyDescent="0.35">
      <c r="B406" s="518"/>
      <c r="E406" s="519"/>
      <c r="F406" s="151" t="s">
        <v>410</v>
      </c>
      <c r="G406" s="316" t="s">
        <v>181</v>
      </c>
      <c r="H406" s="317"/>
      <c r="I406" s="318"/>
      <c r="J406" s="316"/>
      <c r="K406" s="502"/>
      <c r="L406" s="577"/>
      <c r="M406" s="258">
        <v>25</v>
      </c>
      <c r="N406" s="259">
        <v>1</v>
      </c>
      <c r="O406" s="317"/>
      <c r="P406" s="496"/>
      <c r="Q406" s="521"/>
      <c r="R406" s="496"/>
      <c r="S406" s="496"/>
      <c r="T406" s="517"/>
      <c r="U406" s="517"/>
      <c r="V406" s="517"/>
      <c r="W406" s="517"/>
      <c r="X406" s="578"/>
      <c r="Y406" s="151"/>
      <c r="Z406" s="151"/>
    </row>
    <row r="407" spans="2:26" x14ac:dyDescent="0.35">
      <c r="B407" s="579"/>
      <c r="C407" s="580"/>
      <c r="D407" s="580"/>
      <c r="E407" s="581"/>
      <c r="F407" s="151"/>
      <c r="G407" s="316"/>
      <c r="H407" s="317"/>
      <c r="I407" s="318"/>
      <c r="J407" s="316"/>
      <c r="K407" s="502"/>
      <c r="L407" s="577"/>
      <c r="M407" s="258"/>
      <c r="N407" s="259"/>
      <c r="O407" s="317"/>
      <c r="P407" s="496"/>
      <c r="Q407" s="521"/>
      <c r="R407" s="496"/>
      <c r="S407" s="496"/>
      <c r="T407" s="517"/>
      <c r="U407" s="517"/>
      <c r="V407" s="517"/>
      <c r="W407" s="517"/>
      <c r="X407" s="578"/>
      <c r="Y407" s="151"/>
      <c r="Z407" s="151"/>
    </row>
    <row r="408" spans="2:26" x14ac:dyDescent="0.35">
      <c r="B408" s="518"/>
      <c r="C408" t="s">
        <v>357</v>
      </c>
      <c r="E408" s="519"/>
      <c r="F408" s="151" t="s">
        <v>177</v>
      </c>
      <c r="G408" s="316" t="s">
        <v>178</v>
      </c>
      <c r="H408" s="317"/>
      <c r="I408" s="318"/>
      <c r="J408" s="316"/>
      <c r="K408" s="502"/>
      <c r="L408" s="577"/>
      <c r="M408" s="258"/>
      <c r="N408" s="259"/>
      <c r="O408" s="317"/>
      <c r="P408" s="496"/>
      <c r="Q408" s="521"/>
      <c r="R408" s="496"/>
      <c r="S408" s="496"/>
      <c r="T408" s="517"/>
      <c r="U408" s="517"/>
      <c r="V408" s="517"/>
      <c r="W408" s="517"/>
      <c r="X408" s="578"/>
      <c r="Y408" s="151"/>
      <c r="Z408" s="151"/>
    </row>
    <row r="409" spans="2:26" x14ac:dyDescent="0.35">
      <c r="B409" s="518"/>
      <c r="E409" s="519"/>
      <c r="F409" s="151"/>
      <c r="G409" s="316"/>
      <c r="H409" s="317"/>
      <c r="I409" s="318"/>
      <c r="J409" s="316"/>
      <c r="K409" s="502"/>
      <c r="L409" s="577"/>
      <c r="M409" s="258"/>
      <c r="N409" s="259"/>
      <c r="O409" s="317"/>
      <c r="P409" s="496"/>
      <c r="Q409" s="521"/>
      <c r="R409" s="496"/>
      <c r="S409" s="496"/>
      <c r="T409" s="517"/>
      <c r="U409" s="517"/>
      <c r="V409" s="517"/>
      <c r="W409" s="517"/>
      <c r="X409" s="578"/>
      <c r="Y409" s="151"/>
      <c r="Z409" s="151"/>
    </row>
    <row r="410" spans="2:26" x14ac:dyDescent="0.35">
      <c r="B410" s="579"/>
      <c r="C410" s="580"/>
      <c r="D410" s="580"/>
      <c r="E410" s="581"/>
      <c r="F410" s="151"/>
      <c r="G410" s="316"/>
      <c r="H410" s="317"/>
      <c r="I410" s="318"/>
      <c r="J410" s="316"/>
      <c r="K410" s="502"/>
      <c r="L410" s="577"/>
      <c r="M410" s="728"/>
      <c r="N410" s="259"/>
      <c r="O410" s="317"/>
      <c r="P410" s="496"/>
      <c r="Q410" s="521"/>
      <c r="R410" s="496"/>
      <c r="S410" s="496"/>
      <c r="T410" s="517"/>
      <c r="U410" s="517"/>
      <c r="V410" s="517"/>
      <c r="W410" s="517"/>
      <c r="X410" s="578"/>
      <c r="Y410" s="151"/>
      <c r="Z410" s="151"/>
    </row>
    <row r="411" spans="2:26" x14ac:dyDescent="0.35">
      <c r="B411" s="518"/>
      <c r="C411" t="s">
        <v>137</v>
      </c>
      <c r="E411" s="519"/>
      <c r="F411" s="151" t="s">
        <v>362</v>
      </c>
      <c r="G411" s="502" t="s">
        <v>361</v>
      </c>
      <c r="H411" s="317"/>
      <c r="I411" s="318"/>
      <c r="J411" s="316"/>
      <c r="K411" s="502"/>
      <c r="L411" s="577"/>
      <c r="M411" s="772">
        <v>1</v>
      </c>
      <c r="N411" s="436">
        <v>1</v>
      </c>
      <c r="O411" s="693"/>
      <c r="P411" s="436"/>
      <c r="Q411" s="669"/>
      <c r="R411" s="436"/>
      <c r="S411" s="436"/>
      <c r="T411" s="706"/>
      <c r="U411" s="706"/>
      <c r="V411" s="706"/>
      <c r="W411" s="706"/>
      <c r="X411" s="578"/>
      <c r="Y411" s="151"/>
      <c r="Z411" s="151"/>
    </row>
    <row r="412" spans="2:26" x14ac:dyDescent="0.35">
      <c r="B412" s="518"/>
      <c r="E412" s="519"/>
      <c r="F412" s="151" t="s">
        <v>359</v>
      </c>
      <c r="G412" s="502" t="s">
        <v>195</v>
      </c>
      <c r="H412" s="317"/>
      <c r="I412" s="318"/>
      <c r="J412" s="316"/>
      <c r="K412" s="502"/>
      <c r="L412" s="577"/>
      <c r="M412" s="772">
        <f>2/4</f>
        <v>0.5</v>
      </c>
      <c r="N412" s="436">
        <v>1</v>
      </c>
      <c r="O412" s="693"/>
      <c r="P412" s="436"/>
      <c r="Q412" s="669"/>
      <c r="R412" s="436"/>
      <c r="S412" s="436"/>
      <c r="T412" s="706"/>
      <c r="U412" s="706"/>
      <c r="V412" s="706"/>
      <c r="W412" s="706"/>
      <c r="X412" s="578"/>
      <c r="Y412" s="151"/>
      <c r="Z412" s="151"/>
    </row>
    <row r="413" spans="2:26" x14ac:dyDescent="0.35">
      <c r="B413" s="579"/>
      <c r="C413" s="580"/>
      <c r="D413" s="580"/>
      <c r="E413" s="581"/>
      <c r="F413" s="151" t="s">
        <v>364</v>
      </c>
      <c r="G413" s="502" t="s">
        <v>361</v>
      </c>
      <c r="H413" s="317"/>
      <c r="I413" s="318"/>
      <c r="J413" s="316"/>
      <c r="K413" s="502"/>
      <c r="L413" s="577"/>
      <c r="M413" s="772">
        <v>1</v>
      </c>
      <c r="N413" s="436">
        <v>1</v>
      </c>
      <c r="O413" s="693"/>
      <c r="P413" s="436"/>
      <c r="Q413" s="669"/>
      <c r="R413" s="436"/>
      <c r="S413" s="436"/>
      <c r="T413" s="706"/>
      <c r="U413" s="706"/>
      <c r="V413" s="706"/>
      <c r="W413" s="706"/>
      <c r="X413" s="578"/>
      <c r="Y413" s="151"/>
      <c r="Z413" s="151"/>
    </row>
    <row r="414" spans="2:26" x14ac:dyDescent="0.35">
      <c r="B414" s="518"/>
      <c r="C414" t="s">
        <v>140</v>
      </c>
      <c r="E414" s="519"/>
      <c r="F414" s="151" t="s">
        <v>365</v>
      </c>
      <c r="G414" s="502" t="s">
        <v>361</v>
      </c>
      <c r="H414" s="317"/>
      <c r="I414" s="318"/>
      <c r="J414" s="316"/>
      <c r="K414" s="502"/>
      <c r="L414" s="577"/>
      <c r="M414" s="772">
        <v>1</v>
      </c>
      <c r="N414" s="309">
        <v>1</v>
      </c>
      <c r="O414" s="489"/>
      <c r="P414" s="309"/>
      <c r="Q414" s="300"/>
      <c r="R414" s="309"/>
      <c r="S414" s="309"/>
      <c r="T414" s="707"/>
      <c r="U414" s="707"/>
      <c r="V414" s="707"/>
      <c r="W414" s="707"/>
      <c r="X414" s="578"/>
      <c r="Y414" s="151"/>
      <c r="Z414" s="151"/>
    </row>
    <row r="415" spans="2:26" x14ac:dyDescent="0.35">
      <c r="B415" s="518"/>
      <c r="E415" s="519"/>
      <c r="F415" s="151" t="s">
        <v>364</v>
      </c>
      <c r="G415" s="502" t="s">
        <v>361</v>
      </c>
      <c r="H415" s="317"/>
      <c r="I415" s="318"/>
      <c r="J415" s="316"/>
      <c r="K415" s="502"/>
      <c r="L415" s="577"/>
      <c r="M415" s="772">
        <v>1</v>
      </c>
      <c r="N415" s="309">
        <v>1</v>
      </c>
      <c r="O415" s="684"/>
      <c r="P415" s="685"/>
      <c r="Q415" s="686"/>
      <c r="R415" s="685"/>
      <c r="S415" s="685"/>
      <c r="T415" s="687"/>
      <c r="U415" s="687"/>
      <c r="V415" s="687"/>
      <c r="W415" s="687"/>
      <c r="X415" s="578"/>
      <c r="Y415" s="151"/>
      <c r="Z415" s="151"/>
    </row>
    <row r="416" spans="2:26" x14ac:dyDescent="0.35">
      <c r="B416" s="579"/>
      <c r="C416" s="580"/>
      <c r="D416" s="580"/>
      <c r="E416" s="581"/>
      <c r="F416" s="151"/>
      <c r="G416" s="316"/>
      <c r="H416" s="317"/>
      <c r="I416" s="318"/>
      <c r="J416" s="316"/>
      <c r="K416" s="502"/>
      <c r="L416" s="577"/>
      <c r="M416" s="258"/>
      <c r="N416" s="259"/>
      <c r="O416" s="317"/>
      <c r="P416" s="496"/>
      <c r="Q416" s="521"/>
      <c r="R416" s="496"/>
      <c r="S416" s="496"/>
      <c r="T416" s="517"/>
      <c r="U416" s="517"/>
      <c r="V416" s="517"/>
      <c r="W416" s="517"/>
      <c r="X416" s="578"/>
      <c r="Y416" s="151"/>
      <c r="Z416" s="151"/>
    </row>
    <row r="417" spans="2:26" x14ac:dyDescent="0.35">
      <c r="B417" s="595" t="s">
        <v>430</v>
      </c>
      <c r="C417" s="318"/>
      <c r="D417" s="318"/>
      <c r="E417" s="582"/>
      <c r="F417" s="151"/>
      <c r="G417" s="316"/>
      <c r="H417" s="317"/>
      <c r="I417" s="318"/>
      <c r="J417" s="316"/>
      <c r="K417" s="502"/>
      <c r="L417" s="577"/>
      <c r="M417" s="258"/>
      <c r="N417" s="259"/>
      <c r="O417" s="317"/>
      <c r="P417" s="496"/>
      <c r="Q417" s="521"/>
      <c r="R417" s="496"/>
      <c r="S417" s="496"/>
      <c r="T417" s="517">
        <f>R417*1.1</f>
        <v>0</v>
      </c>
      <c r="U417" s="517">
        <f>O417*T417</f>
        <v>0</v>
      </c>
      <c r="V417" s="259"/>
      <c r="W417" s="259"/>
      <c r="X417" s="578"/>
      <c r="Y417" s="151"/>
      <c r="Z417" s="151"/>
    </row>
    <row r="418" spans="2:26" x14ac:dyDescent="0.35">
      <c r="B418" s="518"/>
      <c r="C418" t="s">
        <v>143</v>
      </c>
      <c r="E418" s="519"/>
      <c r="F418" s="151" t="s">
        <v>177</v>
      </c>
      <c r="G418" s="316" t="s">
        <v>178</v>
      </c>
      <c r="H418" s="317"/>
      <c r="I418" s="318"/>
      <c r="J418" s="316" t="s">
        <v>179</v>
      </c>
      <c r="K418" s="433">
        <v>1</v>
      </c>
      <c r="L418" s="577">
        <v>45.36</v>
      </c>
      <c r="M418" s="258">
        <f>(0.12/15)*25</f>
        <v>0.2</v>
      </c>
      <c r="N418" s="380">
        <v>12</v>
      </c>
      <c r="O418" s="520">
        <f>K418*L418*M418*N418</f>
        <v>108.864</v>
      </c>
      <c r="P418" s="261">
        <v>169122.61109699999</v>
      </c>
      <c r="Q418" s="521">
        <f>P418*$O418</f>
        <v>18411363.934463806</v>
      </c>
      <c r="R418" s="259">
        <v>163305.33120000002</v>
      </c>
      <c r="S418" s="496">
        <f>R418*$O418</f>
        <v>17778071.575756803</v>
      </c>
      <c r="T418" s="259">
        <v>179635.86432000002</v>
      </c>
      <c r="U418" s="517">
        <f>$O418*T418</f>
        <v>19555878.733332485</v>
      </c>
      <c r="V418" s="259">
        <f>W418/O418</f>
        <v>170687.935539</v>
      </c>
      <c r="W418" s="267">
        <f>AVERAGEIF($P$3:$U$3,W$3,$P418:$U418)</f>
        <v>18581771.414517697</v>
      </c>
      <c r="X418" s="578"/>
      <c r="Y418" s="703">
        <f t="shared" ref="Y418" si="70">Q418/$D$1</f>
        <v>405894.26663279999</v>
      </c>
      <c r="Z418" s="151"/>
    </row>
    <row r="419" spans="2:26" x14ac:dyDescent="0.35">
      <c r="B419" s="518"/>
      <c r="E419" s="519"/>
      <c r="F419" s="151" t="s">
        <v>431</v>
      </c>
      <c r="G419" s="316" t="s">
        <v>569</v>
      </c>
      <c r="H419" s="317"/>
      <c r="I419" s="318"/>
      <c r="J419" s="316" t="s">
        <v>179</v>
      </c>
      <c r="K419" s="433">
        <v>0</v>
      </c>
      <c r="L419" s="577">
        <v>45.36</v>
      </c>
      <c r="M419" s="258">
        <v>1</v>
      </c>
      <c r="N419" s="380">
        <v>12</v>
      </c>
      <c r="O419" s="520">
        <f>K419*L419*M419*N419</f>
        <v>0</v>
      </c>
      <c r="P419" s="261">
        <v>2892.1408425000004</v>
      </c>
      <c r="Q419" s="521">
        <f>P419*$O419</f>
        <v>0</v>
      </c>
      <c r="R419" s="259">
        <v>2754.4198500000002</v>
      </c>
      <c r="S419" s="496">
        <f>R419*$O419</f>
        <v>0</v>
      </c>
      <c r="T419" s="259">
        <v>2892.1408425000004</v>
      </c>
      <c r="U419" s="517">
        <f>$O419*T419</f>
        <v>0</v>
      </c>
      <c r="V419" s="259" t="e">
        <f>W419/O419</f>
        <v>#DIV/0!</v>
      </c>
      <c r="W419" s="267">
        <f>AVERAGEIF($P$3:$U$3,W$3,$P419:$U419)</f>
        <v>0</v>
      </c>
      <c r="X419" s="578"/>
      <c r="Y419" s="492">
        <f>Q419/192.08</f>
        <v>0</v>
      </c>
      <c r="Z419" s="151"/>
    </row>
    <row r="420" spans="2:26" x14ac:dyDescent="0.35">
      <c r="B420" s="518"/>
      <c r="E420" s="519"/>
      <c r="F420" s="151" t="s">
        <v>434</v>
      </c>
      <c r="G420" s="316" t="s">
        <v>569</v>
      </c>
      <c r="H420" s="317"/>
      <c r="I420" s="318"/>
      <c r="J420" s="316" t="s">
        <v>179</v>
      </c>
      <c r="K420" s="433">
        <v>1</v>
      </c>
      <c r="L420" s="577">
        <v>45.36</v>
      </c>
      <c r="M420" s="258">
        <v>1</v>
      </c>
      <c r="N420" s="380">
        <v>12</v>
      </c>
      <c r="O420" s="520">
        <f>K420*L420*M420*N420</f>
        <v>544.31999999999994</v>
      </c>
      <c r="P420" s="261">
        <v>1404.2338537500002</v>
      </c>
      <c r="Q420" s="521">
        <f>P420*$O420</f>
        <v>764352.57127319998</v>
      </c>
      <c r="R420" s="259">
        <v>1337.365575</v>
      </c>
      <c r="S420" s="496">
        <f>R420*$O420</f>
        <v>727954.82978399994</v>
      </c>
      <c r="T420" s="259">
        <v>1404.2338537500002</v>
      </c>
      <c r="U420" s="517">
        <f>$O420*T420</f>
        <v>764352.57127319998</v>
      </c>
      <c r="V420" s="259">
        <f>W420/O420</f>
        <v>1381.9444275000001</v>
      </c>
      <c r="W420" s="267">
        <f>AVERAGEIF($P$3:$U$3,W$3,$P420:$U420)</f>
        <v>752219.99077679997</v>
      </c>
      <c r="X420" s="578"/>
      <c r="Y420" s="703">
        <f t="shared" ref="Y420" si="71">Q420/$D$1</f>
        <v>16850.806245</v>
      </c>
      <c r="Z420" s="151"/>
    </row>
    <row r="421" spans="2:26" x14ac:dyDescent="0.35">
      <c r="B421" s="579"/>
      <c r="C421" s="580"/>
      <c r="D421" s="580"/>
      <c r="E421" s="581"/>
      <c r="F421" s="151"/>
      <c r="G421" s="316"/>
      <c r="H421" s="317"/>
      <c r="I421" s="318"/>
      <c r="J421" s="316"/>
      <c r="K421" s="502"/>
      <c r="L421" s="577"/>
      <c r="M421" s="258"/>
      <c r="N421" s="380"/>
      <c r="O421" s="578"/>
      <c r="P421" s="259"/>
      <c r="Q421" s="604"/>
      <c r="R421" s="603"/>
      <c r="S421" s="603"/>
      <c r="T421" s="605"/>
      <c r="U421" s="605"/>
      <c r="V421" s="605"/>
      <c r="W421" s="267"/>
      <c r="X421" s="578"/>
      <c r="Y421" s="151"/>
      <c r="Z421" s="151"/>
    </row>
    <row r="422" spans="2:26" x14ac:dyDescent="0.35">
      <c r="B422" s="518"/>
      <c r="C422" t="s">
        <v>144</v>
      </c>
      <c r="E422" s="519"/>
      <c r="F422" s="151" t="s">
        <v>177</v>
      </c>
      <c r="G422" s="316" t="s">
        <v>178</v>
      </c>
      <c r="H422" s="317"/>
      <c r="I422" s="318"/>
      <c r="J422" s="316" t="s">
        <v>179</v>
      </c>
      <c r="K422" s="433">
        <v>1</v>
      </c>
      <c r="L422" s="577">
        <v>45.36</v>
      </c>
      <c r="M422" s="258">
        <f>(1/500)*25</f>
        <v>0.05</v>
      </c>
      <c r="N422" s="380">
        <v>12</v>
      </c>
      <c r="O422" s="520">
        <f>K422*L422*M422*N422</f>
        <v>27.216000000000001</v>
      </c>
      <c r="P422" s="261">
        <v>169122.61109699999</v>
      </c>
      <c r="Q422" s="521">
        <f>P422*$O422</f>
        <v>4602840.9836159516</v>
      </c>
      <c r="R422" s="259">
        <v>163305.33120000002</v>
      </c>
      <c r="S422" s="496">
        <f>R422*$O422</f>
        <v>4444517.8939392008</v>
      </c>
      <c r="T422" s="259">
        <v>179635.86432000002</v>
      </c>
      <c r="U422" s="517">
        <f>$O422*T422</f>
        <v>4888969.6833331212</v>
      </c>
      <c r="V422" s="259">
        <f>W422/O422</f>
        <v>170687.935539</v>
      </c>
      <c r="W422" s="267">
        <f>AVERAGEIF($P$3:$U$3,W$3,$P422:$U422)</f>
        <v>4645442.8536294242</v>
      </c>
      <c r="X422" s="578"/>
      <c r="Y422" s="703">
        <f t="shared" ref="Y422:Y423" si="72">Q422/$D$1</f>
        <v>101473.5666582</v>
      </c>
      <c r="Z422" s="151"/>
    </row>
    <row r="423" spans="2:26" x14ac:dyDescent="0.35">
      <c r="B423" s="518"/>
      <c r="E423" s="519"/>
      <c r="F423" s="151" t="s">
        <v>436</v>
      </c>
      <c r="G423" s="316" t="s">
        <v>345</v>
      </c>
      <c r="H423" s="317"/>
      <c r="I423" s="318"/>
      <c r="J423" s="316" t="s">
        <v>179</v>
      </c>
      <c r="K423" s="433">
        <v>1</v>
      </c>
      <c r="L423" s="577">
        <v>45.36</v>
      </c>
      <c r="M423" s="476">
        <v>0.08</v>
      </c>
      <c r="N423" s="380">
        <v>12</v>
      </c>
      <c r="O423" s="520">
        <f>K423*L423*M423*N423</f>
        <v>43.5456</v>
      </c>
      <c r="P423" s="261">
        <v>23152.5</v>
      </c>
      <c r="Q423" s="521">
        <f>P423*$O423</f>
        <v>1008189.504</v>
      </c>
      <c r="R423" s="259">
        <v>23328</v>
      </c>
      <c r="S423" s="496">
        <f>R423*$O423</f>
        <v>1015831.7568</v>
      </c>
      <c r="T423" s="259">
        <v>25194.240000000002</v>
      </c>
      <c r="U423" s="517">
        <f>$O423*T423</f>
        <v>1097098.2973440001</v>
      </c>
      <c r="V423" s="259">
        <f>W423/O423</f>
        <v>23891.579999999998</v>
      </c>
      <c r="W423" s="267">
        <f>AVERAGEIF($P$3:$U$3,W$3,$P423:$U423)</f>
        <v>1040373.186048</v>
      </c>
      <c r="X423" s="578"/>
      <c r="Y423" s="703">
        <f t="shared" si="72"/>
        <v>22226.399999999998</v>
      </c>
      <c r="Z423" s="151"/>
    </row>
    <row r="424" spans="2:26" x14ac:dyDescent="0.35">
      <c r="B424" s="518"/>
      <c r="E424" s="519"/>
      <c r="F424" s="151"/>
      <c r="G424" s="316"/>
      <c r="H424" s="317"/>
      <c r="I424" s="318"/>
      <c r="J424" s="316"/>
      <c r="K424" s="502"/>
      <c r="L424" s="577"/>
      <c r="M424" s="476"/>
      <c r="N424" s="380"/>
      <c r="O424" s="603"/>
      <c r="P424" s="603"/>
      <c r="Q424" s="604"/>
      <c r="R424" s="603"/>
      <c r="S424" s="603"/>
      <c r="T424" s="605"/>
      <c r="U424" s="605"/>
      <c r="V424" s="605"/>
      <c r="W424" s="605"/>
      <c r="X424" s="578"/>
      <c r="Y424" s="151"/>
      <c r="Z424" s="151"/>
    </row>
    <row r="425" spans="2:26" x14ac:dyDescent="0.35">
      <c r="B425" s="660" t="s">
        <v>596</v>
      </c>
      <c r="C425" s="729"/>
      <c r="D425" s="729"/>
      <c r="E425" s="730"/>
      <c r="F425" s="532"/>
      <c r="G425" s="587"/>
      <c r="H425" s="588"/>
      <c r="I425" s="589"/>
      <c r="J425" s="587"/>
      <c r="K425" s="590"/>
      <c r="L425" s="591"/>
      <c r="M425" s="543"/>
      <c r="N425" s="544"/>
      <c r="O425" s="588"/>
      <c r="P425" s="592"/>
      <c r="Q425" s="663">
        <f>SUM(Q418:Q424)</f>
        <v>24786746.993352957</v>
      </c>
      <c r="R425" s="592"/>
      <c r="S425" s="731">
        <f>SUM(S414:S424)</f>
        <v>23966376.056280002</v>
      </c>
      <c r="T425" s="594"/>
      <c r="U425" s="594"/>
      <c r="V425" s="594"/>
      <c r="W425" s="594"/>
      <c r="X425" s="588"/>
      <c r="Y425" s="426">
        <f>Q425/$D$1</f>
        <v>546445.039536</v>
      </c>
      <c r="Z425" s="426">
        <f>Q425/$Q$426*100</f>
        <v>4.1999103273700102</v>
      </c>
    </row>
    <row r="426" spans="2:26" x14ac:dyDescent="0.35">
      <c r="B426" s="660" t="s">
        <v>597</v>
      </c>
      <c r="C426" s="729"/>
      <c r="D426" s="729"/>
      <c r="E426" s="730"/>
      <c r="F426" s="532"/>
      <c r="G426" s="587"/>
      <c r="H426" s="588"/>
      <c r="I426" s="589"/>
      <c r="J426" s="587"/>
      <c r="K426" s="590"/>
      <c r="L426" s="591"/>
      <c r="M426" s="543"/>
      <c r="N426" s="544"/>
      <c r="O426" s="588"/>
      <c r="P426" s="592"/>
      <c r="Q426" s="663">
        <f>Q35+Q56+Q173+Q197+Q284+Q294+Q337+Q403+Q425</f>
        <v>590173243.26718318</v>
      </c>
      <c r="R426" s="592"/>
      <c r="S426" s="731">
        <f>SUM(S415:S425)</f>
        <v>47932752.112560004</v>
      </c>
      <c r="T426" s="594"/>
      <c r="U426" s="594"/>
      <c r="V426" s="594"/>
      <c r="W426" s="594"/>
      <c r="X426" s="588"/>
      <c r="Y426" s="426">
        <f>Q426/$D$1</f>
        <v>13010873.969735079</v>
      </c>
      <c r="Z426" s="426">
        <f>Q426/$Q$426*100</f>
        <v>100</v>
      </c>
    </row>
    <row r="428" spans="2:26" x14ac:dyDescent="0.35">
      <c r="Q428" s="475"/>
    </row>
  </sheetData>
  <mergeCells count="55">
    <mergeCell ref="B391:E391"/>
    <mergeCell ref="B402:E402"/>
    <mergeCell ref="B403:E403"/>
    <mergeCell ref="B425:E425"/>
    <mergeCell ref="B426:E426"/>
    <mergeCell ref="K332:K334"/>
    <mergeCell ref="B337:E337"/>
    <mergeCell ref="B349:E349"/>
    <mergeCell ref="B359:E359"/>
    <mergeCell ref="B369:E369"/>
    <mergeCell ref="B380:E380"/>
    <mergeCell ref="B262:E262"/>
    <mergeCell ref="B284:E284"/>
    <mergeCell ref="B294:E294"/>
    <mergeCell ref="B298:E298"/>
    <mergeCell ref="B311:E311"/>
    <mergeCell ref="B328:E328"/>
    <mergeCell ref="B173:E173"/>
    <mergeCell ref="B184:E184"/>
    <mergeCell ref="B191:E191"/>
    <mergeCell ref="B196:E196"/>
    <mergeCell ref="B197:E197"/>
    <mergeCell ref="B235:E235"/>
    <mergeCell ref="B56:E56"/>
    <mergeCell ref="B69:E69"/>
    <mergeCell ref="B83:E83"/>
    <mergeCell ref="B109:E109"/>
    <mergeCell ref="B125:E125"/>
    <mergeCell ref="B172:E172"/>
    <mergeCell ref="S3:S4"/>
    <mergeCell ref="T3:T4"/>
    <mergeCell ref="U3:U4"/>
    <mergeCell ref="V3:V4"/>
    <mergeCell ref="W3:W4"/>
    <mergeCell ref="B35:D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5" bottom="0.25" header="0.3" footer="0.3"/>
  <pageSetup paperSize="9" scale="59" orientation="landscape" r:id="rId1"/>
  <rowBreaks count="7" manualBreakCount="7">
    <brk id="56" max="16383" man="1"/>
    <brk id="109" max="16383" man="1"/>
    <brk id="165" max="25" man="1"/>
    <brk id="221" max="25" man="1"/>
    <brk id="283" max="25" man="1"/>
    <brk id="336" max="25" man="1"/>
    <brk id="3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2C64F-EA51-40F8-8330-C8A6510E6C6C}">
  <sheetPr>
    <tabColor theme="9" tint="-0.249977111117893"/>
  </sheetPr>
  <dimension ref="B1:AB432"/>
  <sheetViews>
    <sheetView view="pageBreakPreview" zoomScale="60" zoomScaleNormal="70" workbookViewId="0">
      <pane xSplit="7" ySplit="5" topLeftCell="H300" activePane="bottomRight" state="frozen"/>
      <selection activeCell="F14" sqref="F14"/>
      <selection pane="topRight" activeCell="F14" sqref="F14"/>
      <selection pane="bottomLeft" activeCell="F14" sqref="F14"/>
      <selection pane="bottomRight" activeCell="F14" sqref="F14"/>
    </sheetView>
  </sheetViews>
  <sheetFormatPr defaultColWidth="9.1796875" defaultRowHeight="14.5" x14ac:dyDescent="0.35"/>
  <cols>
    <col min="1" max="1" width="2.1796875" style="173" customWidth="1"/>
    <col min="2" max="2" width="5.81640625" style="173" customWidth="1"/>
    <col min="3" max="3" width="8.81640625" style="173" customWidth="1"/>
    <col min="4" max="4" width="18" style="173" customWidth="1"/>
    <col min="5" max="5" width="13.81640625" style="173" customWidth="1"/>
    <col min="6" max="6" width="29" style="173" customWidth="1"/>
    <col min="7" max="7" width="7.54296875" style="576" bestFit="1" customWidth="1"/>
    <col min="8" max="8" width="7.54296875" style="173" customWidth="1"/>
    <col min="9" max="9" width="6" style="173" customWidth="1"/>
    <col min="10" max="10" width="6" style="576" customWidth="1"/>
    <col min="11" max="11" width="9.7265625" style="576" customWidth="1"/>
    <col min="12" max="12" width="11.1796875" style="576" customWidth="1"/>
    <col min="13" max="13" width="11.36328125" style="773" bestFit="1" customWidth="1"/>
    <col min="14" max="14" width="7.26953125" style="774" bestFit="1" customWidth="1"/>
    <col min="15" max="15" width="12.36328125" style="173" customWidth="1"/>
    <col min="16" max="16" width="16.81640625" style="173" bestFit="1" customWidth="1"/>
    <col min="17" max="17" width="16.54296875" style="173" customWidth="1"/>
    <col min="18" max="19" width="15" style="173" hidden="1" customWidth="1"/>
    <col min="20" max="20" width="16.26953125" style="173" hidden="1" customWidth="1"/>
    <col min="21" max="21" width="15" style="173" hidden="1" customWidth="1"/>
    <col min="22" max="22" width="16.26953125" style="173" hidden="1" customWidth="1"/>
    <col min="23" max="23" width="15" style="173" hidden="1" customWidth="1"/>
    <col min="24" max="24" width="28.81640625" style="173" customWidth="1"/>
    <col min="25" max="25" width="17.36328125" style="173" customWidth="1"/>
    <col min="26" max="26" width="10.81640625" style="173" bestFit="1" customWidth="1"/>
    <col min="27" max="16384" width="9.1796875" style="173"/>
  </cols>
  <sheetData>
    <row r="1" spans="2:26" x14ac:dyDescent="0.35">
      <c r="C1" s="190" t="s">
        <v>157</v>
      </c>
      <c r="D1" s="191">
        <v>45.36</v>
      </c>
    </row>
    <row r="2" spans="2:26" customFormat="1" ht="15" customHeight="1" x14ac:dyDescent="0.35">
      <c r="B2" s="201" t="s">
        <v>7</v>
      </c>
      <c r="C2" s="551"/>
      <c r="D2" s="551"/>
      <c r="E2" s="202"/>
      <c r="F2" s="199" t="s">
        <v>158</v>
      </c>
      <c r="G2" s="200"/>
      <c r="H2" s="201" t="s">
        <v>159</v>
      </c>
      <c r="I2" s="202"/>
      <c r="J2" s="199" t="s">
        <v>55</v>
      </c>
      <c r="K2" s="552"/>
      <c r="L2" s="552"/>
      <c r="M2" s="552"/>
      <c r="N2" s="552"/>
      <c r="O2" s="200"/>
      <c r="P2" s="206">
        <v>2029</v>
      </c>
      <c r="Q2" s="207"/>
      <c r="R2" s="206">
        <v>2029</v>
      </c>
      <c r="S2" s="207"/>
      <c r="T2" s="208">
        <v>2029</v>
      </c>
      <c r="U2" s="209"/>
      <c r="V2" s="212" t="s">
        <v>161</v>
      </c>
      <c r="W2" s="213"/>
      <c r="X2" s="553"/>
      <c r="Y2" s="558" t="s">
        <v>59</v>
      </c>
      <c r="Z2" s="554" t="s">
        <v>60</v>
      </c>
    </row>
    <row r="3" spans="2:26" s="550" customFormat="1" x14ac:dyDescent="0.35">
      <c r="B3" s="221"/>
      <c r="C3" s="555"/>
      <c r="D3" s="555"/>
      <c r="E3" s="222"/>
      <c r="F3" s="220" t="s">
        <v>165</v>
      </c>
      <c r="G3" s="220" t="s">
        <v>166</v>
      </c>
      <c r="H3" s="221"/>
      <c r="I3" s="222"/>
      <c r="J3" s="220" t="s">
        <v>166</v>
      </c>
      <c r="K3" s="199" t="s">
        <v>167</v>
      </c>
      <c r="L3" s="200"/>
      <c r="M3" s="223" t="s">
        <v>168</v>
      </c>
      <c r="N3" s="556" t="s">
        <v>169</v>
      </c>
      <c r="O3" s="557" t="s">
        <v>170</v>
      </c>
      <c r="P3" s="225" t="s">
        <v>171</v>
      </c>
      <c r="Q3" s="225" t="s">
        <v>172</v>
      </c>
      <c r="R3" s="225" t="s">
        <v>171</v>
      </c>
      <c r="S3" s="225" t="s">
        <v>172</v>
      </c>
      <c r="T3" s="227" t="s">
        <v>171</v>
      </c>
      <c r="U3" s="227" t="s">
        <v>172</v>
      </c>
      <c r="V3" s="229" t="s">
        <v>171</v>
      </c>
      <c r="W3" s="229" t="s">
        <v>172</v>
      </c>
      <c r="X3" s="711" t="s">
        <v>162</v>
      </c>
      <c r="Y3" s="558"/>
      <c r="Z3" s="558"/>
    </row>
    <row r="4" spans="2:26" s="550" customFormat="1" ht="29" x14ac:dyDescent="0.35">
      <c r="B4" s="236"/>
      <c r="C4" s="712"/>
      <c r="D4" s="712"/>
      <c r="E4" s="237"/>
      <c r="F4" s="235"/>
      <c r="G4" s="235"/>
      <c r="H4" s="236"/>
      <c r="I4" s="237"/>
      <c r="J4" s="235"/>
      <c r="K4" s="238" t="s">
        <v>173</v>
      </c>
      <c r="L4" s="239" t="s">
        <v>174</v>
      </c>
      <c r="M4" s="240"/>
      <c r="N4" s="559"/>
      <c r="O4" s="560"/>
      <c r="P4" s="242"/>
      <c r="Q4" s="242"/>
      <c r="R4" s="242"/>
      <c r="S4" s="242"/>
      <c r="T4" s="244"/>
      <c r="U4" s="244"/>
      <c r="V4" s="246"/>
      <c r="W4" s="246"/>
      <c r="X4" s="711"/>
      <c r="Y4" s="558"/>
      <c r="Z4" s="558"/>
    </row>
    <row r="5" spans="2:26" s="576" customFormat="1" x14ac:dyDescent="0.35">
      <c r="B5" s="561" t="s">
        <v>308</v>
      </c>
      <c r="C5" s="562"/>
      <c r="D5" s="563"/>
      <c r="E5" s="564"/>
      <c r="F5" s="565"/>
      <c r="G5" s="566"/>
      <c r="H5" s="566"/>
      <c r="I5" s="567"/>
      <c r="J5" s="566"/>
      <c r="K5" s="568"/>
      <c r="L5" s="569"/>
      <c r="M5" s="570"/>
      <c r="N5" s="571"/>
      <c r="O5" s="572"/>
      <c r="P5" s="573"/>
      <c r="Q5" s="573"/>
      <c r="R5" s="573"/>
      <c r="S5" s="573"/>
      <c r="T5" s="267"/>
      <c r="U5" s="267"/>
      <c r="V5" s="267"/>
      <c r="W5" s="267"/>
      <c r="X5" s="574"/>
      <c r="Y5" s="575"/>
      <c r="Z5" s="575"/>
    </row>
    <row r="6" spans="2:26" x14ac:dyDescent="0.35">
      <c r="B6" s="624"/>
      <c r="C6" s="170" t="s">
        <v>111</v>
      </c>
      <c r="D6" s="170"/>
      <c r="E6" s="646"/>
      <c r="F6" s="381" t="s">
        <v>177</v>
      </c>
      <c r="G6" s="600" t="s">
        <v>178</v>
      </c>
      <c r="H6" s="578"/>
      <c r="I6" s="601"/>
      <c r="J6" s="600"/>
      <c r="K6" s="575"/>
      <c r="L6" s="621"/>
      <c r="M6" s="379"/>
      <c r="N6" s="380"/>
      <c r="O6" s="578"/>
      <c r="P6" s="603"/>
      <c r="Q6" s="603"/>
      <c r="R6" s="603"/>
      <c r="S6" s="603"/>
      <c r="T6" s="605"/>
      <c r="U6" s="605"/>
      <c r="V6" s="605"/>
      <c r="W6" s="605"/>
      <c r="X6" s="578"/>
      <c r="Y6" s="381"/>
      <c r="Z6" s="381"/>
    </row>
    <row r="7" spans="2:26" x14ac:dyDescent="0.35">
      <c r="B7" s="622"/>
      <c r="E7" s="623"/>
      <c r="F7" s="381" t="s">
        <v>310</v>
      </c>
      <c r="G7" s="600" t="s">
        <v>181</v>
      </c>
      <c r="H7" s="578"/>
      <c r="I7" s="601"/>
      <c r="J7" s="600"/>
      <c r="K7" s="575"/>
      <c r="L7" s="621"/>
      <c r="M7" s="379"/>
      <c r="N7" s="380"/>
      <c r="O7" s="578"/>
      <c r="P7" s="603"/>
      <c r="Q7" s="603"/>
      <c r="R7" s="603"/>
      <c r="S7" s="603"/>
      <c r="T7" s="605"/>
      <c r="U7" s="605"/>
      <c r="V7" s="605"/>
      <c r="W7" s="605"/>
      <c r="X7" s="578"/>
      <c r="Y7" s="381"/>
      <c r="Z7" s="381"/>
    </row>
    <row r="8" spans="2:26" x14ac:dyDescent="0.35">
      <c r="B8" s="622"/>
      <c r="E8" s="623"/>
      <c r="F8" s="381" t="s">
        <v>311</v>
      </c>
      <c r="G8" s="600" t="s">
        <v>181</v>
      </c>
      <c r="H8" s="578"/>
      <c r="I8" s="601"/>
      <c r="J8" s="600"/>
      <c r="K8" s="575"/>
      <c r="L8" s="621"/>
      <c r="M8" s="379"/>
      <c r="N8" s="380"/>
      <c r="O8" s="578"/>
      <c r="P8" s="603"/>
      <c r="Q8" s="603"/>
      <c r="R8" s="603"/>
      <c r="S8" s="603"/>
      <c r="T8" s="605"/>
      <c r="U8" s="605"/>
      <c r="V8" s="605"/>
      <c r="W8" s="605"/>
      <c r="X8" s="578"/>
      <c r="Y8" s="381"/>
      <c r="Z8" s="381"/>
    </row>
    <row r="9" spans="2:26" customFormat="1" x14ac:dyDescent="0.35">
      <c r="B9" s="622"/>
      <c r="C9" s="173"/>
      <c r="D9" s="173"/>
      <c r="E9" s="623"/>
      <c r="F9" s="151" t="s">
        <v>318</v>
      </c>
      <c r="G9" s="600" t="s">
        <v>181</v>
      </c>
      <c r="H9" s="317"/>
      <c r="I9" s="318"/>
      <c r="J9" s="316"/>
      <c r="K9" s="502"/>
      <c r="L9" s="577"/>
      <c r="M9" s="258"/>
      <c r="N9" s="259"/>
      <c r="O9" s="317"/>
      <c r="P9" s="496"/>
      <c r="Q9" s="496"/>
      <c r="R9" s="496"/>
      <c r="S9" s="496"/>
      <c r="T9" s="517"/>
      <c r="U9" s="517"/>
      <c r="V9" s="517"/>
      <c r="W9" s="517"/>
      <c r="X9" s="578"/>
      <c r="Y9" s="151"/>
      <c r="Z9" s="151"/>
    </row>
    <row r="10" spans="2:26" x14ac:dyDescent="0.35">
      <c r="B10" s="622"/>
      <c r="E10" s="623"/>
      <c r="F10" s="381" t="s">
        <v>451</v>
      </c>
      <c r="G10" s="600" t="s">
        <v>181</v>
      </c>
      <c r="H10" s="578"/>
      <c r="I10" s="601"/>
      <c r="J10" s="600"/>
      <c r="K10" s="575"/>
      <c r="L10" s="621"/>
      <c r="M10" s="379"/>
      <c r="N10" s="380"/>
      <c r="O10" s="578"/>
      <c r="P10" s="603"/>
      <c r="Q10" s="603"/>
      <c r="R10" s="603"/>
      <c r="S10" s="603"/>
      <c r="T10" s="605"/>
      <c r="U10" s="605"/>
      <c r="V10" s="605"/>
      <c r="W10" s="605"/>
      <c r="X10" s="578"/>
      <c r="Y10" s="381"/>
      <c r="Z10" s="381"/>
    </row>
    <row r="11" spans="2:26" x14ac:dyDescent="0.35">
      <c r="B11" s="622"/>
      <c r="E11" s="623"/>
      <c r="F11" s="381" t="s">
        <v>316</v>
      </c>
      <c r="G11" s="600" t="s">
        <v>181</v>
      </c>
      <c r="H11" s="578"/>
      <c r="I11" s="601"/>
      <c r="J11" s="600"/>
      <c r="K11" s="575"/>
      <c r="L11" s="621"/>
      <c r="M11" s="379"/>
      <c r="N11" s="380"/>
      <c r="O11" s="578"/>
      <c r="P11" s="603"/>
      <c r="Q11" s="603"/>
      <c r="R11" s="603"/>
      <c r="S11" s="603"/>
      <c r="T11" s="605"/>
      <c r="U11" s="605"/>
      <c r="V11" s="605"/>
      <c r="W11" s="605"/>
      <c r="X11" s="578"/>
      <c r="Y11" s="381"/>
      <c r="Z11" s="381"/>
    </row>
    <row r="12" spans="2:26" x14ac:dyDescent="0.35">
      <c r="B12" s="597"/>
      <c r="C12" s="598"/>
      <c r="D12" s="598"/>
      <c r="E12" s="599"/>
      <c r="F12" s="381" t="s">
        <v>232</v>
      </c>
      <c r="G12" s="600" t="s">
        <v>183</v>
      </c>
      <c r="H12" s="578">
        <v>1</v>
      </c>
      <c r="I12" s="601" t="s">
        <v>228</v>
      </c>
      <c r="J12" s="600"/>
      <c r="K12" s="575"/>
      <c r="L12" s="621"/>
      <c r="M12" s="379"/>
      <c r="N12" s="380"/>
      <c r="O12" s="578"/>
      <c r="P12" s="603"/>
      <c r="Q12" s="603"/>
      <c r="R12" s="603"/>
      <c r="S12" s="603"/>
      <c r="T12" s="605"/>
      <c r="U12" s="605"/>
      <c r="V12" s="605"/>
      <c r="W12" s="605"/>
      <c r="X12" s="578"/>
      <c r="Y12" s="381"/>
      <c r="Z12" s="381"/>
    </row>
    <row r="13" spans="2:26" x14ac:dyDescent="0.35">
      <c r="B13" s="578"/>
      <c r="C13" s="601" t="s">
        <v>128</v>
      </c>
      <c r="D13" s="601"/>
      <c r="E13" s="642"/>
      <c r="F13" s="381" t="s">
        <v>177</v>
      </c>
      <c r="G13" s="600" t="s">
        <v>178</v>
      </c>
      <c r="H13" s="578"/>
      <c r="I13" s="601"/>
      <c r="J13" s="600"/>
      <c r="K13" s="575"/>
      <c r="L13" s="621"/>
      <c r="M13" s="379"/>
      <c r="N13" s="380"/>
      <c r="O13" s="578"/>
      <c r="P13" s="603"/>
      <c r="Q13" s="603"/>
      <c r="R13" s="603"/>
      <c r="S13" s="603"/>
      <c r="T13" s="605"/>
      <c r="U13" s="605"/>
      <c r="V13" s="605"/>
      <c r="W13" s="605"/>
      <c r="X13" s="578"/>
      <c r="Y13" s="381"/>
      <c r="Z13" s="381"/>
    </row>
    <row r="14" spans="2:26" x14ac:dyDescent="0.35">
      <c r="B14" s="624"/>
      <c r="C14" s="170" t="s">
        <v>452</v>
      </c>
      <c r="D14" s="170"/>
      <c r="E14" s="646"/>
      <c r="F14" s="381" t="s">
        <v>177</v>
      </c>
      <c r="G14" s="600" t="s">
        <v>178</v>
      </c>
      <c r="H14" s="578"/>
      <c r="I14" s="601"/>
      <c r="J14" s="600"/>
      <c r="K14" s="575"/>
      <c r="L14" s="621"/>
      <c r="M14" s="379"/>
      <c r="N14" s="380"/>
      <c r="O14" s="578"/>
      <c r="P14" s="603"/>
      <c r="Q14" s="603"/>
      <c r="R14" s="603"/>
      <c r="S14" s="603"/>
      <c r="T14" s="605"/>
      <c r="U14" s="605"/>
      <c r="V14" s="605"/>
      <c r="W14" s="605"/>
      <c r="X14" s="583"/>
      <c r="Y14" s="381"/>
      <c r="Z14" s="381"/>
    </row>
    <row r="15" spans="2:26" x14ac:dyDescent="0.35">
      <c r="B15" s="622"/>
      <c r="E15" s="623"/>
      <c r="F15" s="381" t="s">
        <v>221</v>
      </c>
      <c r="G15" s="600" t="s">
        <v>222</v>
      </c>
      <c r="H15" s="578"/>
      <c r="I15" s="601"/>
      <c r="J15" s="600"/>
      <c r="K15" s="575"/>
      <c r="L15" s="621"/>
      <c r="M15" s="379"/>
      <c r="N15" s="380"/>
      <c r="O15" s="578"/>
      <c r="P15" s="603"/>
      <c r="Q15" s="603"/>
      <c r="R15" s="603"/>
      <c r="S15" s="603"/>
      <c r="T15" s="605"/>
      <c r="U15" s="605"/>
      <c r="V15" s="605"/>
      <c r="W15" s="605"/>
      <c r="X15" s="578"/>
      <c r="Y15" s="381"/>
      <c r="Z15" s="381"/>
    </row>
    <row r="16" spans="2:26" x14ac:dyDescent="0.35">
      <c r="B16" s="622"/>
      <c r="E16" s="623"/>
      <c r="F16" s="381" t="s">
        <v>223</v>
      </c>
      <c r="G16" s="600" t="s">
        <v>181</v>
      </c>
      <c r="H16" s="578"/>
      <c r="I16" s="601"/>
      <c r="J16" s="600"/>
      <c r="K16" s="575"/>
      <c r="L16" s="621"/>
      <c r="M16" s="379"/>
      <c r="N16" s="380"/>
      <c r="O16" s="578"/>
      <c r="P16" s="603"/>
      <c r="Q16" s="603"/>
      <c r="R16" s="603"/>
      <c r="S16" s="603"/>
      <c r="T16" s="605"/>
      <c r="U16" s="605"/>
      <c r="V16" s="605"/>
      <c r="W16" s="605"/>
      <c r="X16" s="578"/>
      <c r="Y16" s="381"/>
      <c r="Z16" s="381"/>
    </row>
    <row r="17" spans="2:26" x14ac:dyDescent="0.35">
      <c r="B17" s="622"/>
      <c r="E17" s="623"/>
      <c r="F17" s="381" t="s">
        <v>225</v>
      </c>
      <c r="G17" s="600" t="s">
        <v>222</v>
      </c>
      <c r="H17" s="578"/>
      <c r="I17" s="601"/>
      <c r="J17" s="600"/>
      <c r="K17" s="575"/>
      <c r="L17" s="621"/>
      <c r="M17" s="379"/>
      <c r="N17" s="380"/>
      <c r="O17" s="578"/>
      <c r="P17" s="603"/>
      <c r="Q17" s="603"/>
      <c r="R17" s="603"/>
      <c r="S17" s="603"/>
      <c r="T17" s="605"/>
      <c r="U17" s="605"/>
      <c r="V17" s="605"/>
      <c r="W17" s="605"/>
      <c r="X17" s="578"/>
      <c r="Y17" s="381"/>
      <c r="Z17" s="381"/>
    </row>
    <row r="18" spans="2:26" x14ac:dyDescent="0.35">
      <c r="B18" s="622"/>
      <c r="E18" s="623"/>
      <c r="F18" s="381" t="s">
        <v>389</v>
      </c>
      <c r="G18" s="600" t="s">
        <v>183</v>
      </c>
      <c r="H18" s="578"/>
      <c r="I18" s="601"/>
      <c r="J18" s="600"/>
      <c r="K18" s="575"/>
      <c r="L18" s="621"/>
      <c r="M18" s="379"/>
      <c r="N18" s="380"/>
      <c r="O18" s="578"/>
      <c r="P18" s="603"/>
      <c r="Q18" s="603"/>
      <c r="R18" s="603"/>
      <c r="S18" s="603"/>
      <c r="T18" s="605"/>
      <c r="U18" s="605"/>
      <c r="V18" s="605"/>
      <c r="W18" s="605"/>
      <c r="X18" s="578"/>
      <c r="Y18" s="381"/>
      <c r="Z18" s="381"/>
    </row>
    <row r="19" spans="2:26" x14ac:dyDescent="0.35">
      <c r="B19" s="622"/>
      <c r="E19" s="623"/>
      <c r="F19" s="381" t="s">
        <v>226</v>
      </c>
      <c r="G19" s="600" t="s">
        <v>178</v>
      </c>
      <c r="H19" s="578"/>
      <c r="I19" s="601"/>
      <c r="J19" s="600"/>
      <c r="K19" s="575"/>
      <c r="L19" s="621"/>
      <c r="M19" s="379"/>
      <c r="N19" s="380"/>
      <c r="O19" s="578"/>
      <c r="P19" s="603"/>
      <c r="Q19" s="603"/>
      <c r="R19" s="603"/>
      <c r="S19" s="603"/>
      <c r="T19" s="605"/>
      <c r="U19" s="605"/>
      <c r="V19" s="605"/>
      <c r="W19" s="605"/>
      <c r="X19" s="578"/>
      <c r="Y19" s="381"/>
      <c r="Z19" s="381"/>
    </row>
    <row r="20" spans="2:26" x14ac:dyDescent="0.35">
      <c r="B20" s="622"/>
      <c r="E20" s="623"/>
      <c r="F20" s="381" t="s">
        <v>227</v>
      </c>
      <c r="G20" s="600" t="s">
        <v>183</v>
      </c>
      <c r="H20" s="578">
        <v>4</v>
      </c>
      <c r="I20" s="601" t="s">
        <v>228</v>
      </c>
      <c r="J20" s="600"/>
      <c r="K20" s="575"/>
      <c r="L20" s="621"/>
      <c r="M20" s="379"/>
      <c r="N20" s="380"/>
      <c r="O20" s="578"/>
      <c r="P20" s="603"/>
      <c r="Q20" s="603"/>
      <c r="R20" s="603"/>
      <c r="S20" s="603"/>
      <c r="T20" s="605"/>
      <c r="U20" s="605"/>
      <c r="V20" s="605"/>
      <c r="W20" s="605"/>
      <c r="X20" s="578"/>
      <c r="Y20" s="381"/>
      <c r="Z20" s="381"/>
    </row>
    <row r="21" spans="2:26" x14ac:dyDescent="0.35">
      <c r="B21" s="622"/>
      <c r="E21" s="623"/>
      <c r="F21" s="381" t="s">
        <v>229</v>
      </c>
      <c r="G21" s="600" t="s">
        <v>183</v>
      </c>
      <c r="H21" s="578">
        <v>12</v>
      </c>
      <c r="I21" s="601" t="s">
        <v>228</v>
      </c>
      <c r="J21" s="600"/>
      <c r="K21" s="575"/>
      <c r="L21" s="621"/>
      <c r="M21" s="379"/>
      <c r="N21" s="380"/>
      <c r="O21" s="578"/>
      <c r="P21" s="603"/>
      <c r="Q21" s="603"/>
      <c r="R21" s="603"/>
      <c r="S21" s="603"/>
      <c r="T21" s="605"/>
      <c r="U21" s="605"/>
      <c r="V21" s="605"/>
      <c r="W21" s="605"/>
      <c r="X21" s="578"/>
      <c r="Y21" s="381"/>
      <c r="Z21" s="381"/>
    </row>
    <row r="22" spans="2:26" x14ac:dyDescent="0.35">
      <c r="B22" s="622"/>
      <c r="E22" s="623"/>
      <c r="F22" s="381" t="s">
        <v>230</v>
      </c>
      <c r="G22" s="600" t="s">
        <v>183</v>
      </c>
      <c r="H22" s="578">
        <v>1</v>
      </c>
      <c r="I22" s="601" t="s">
        <v>228</v>
      </c>
      <c r="J22" s="600"/>
      <c r="K22" s="575"/>
      <c r="L22" s="621"/>
      <c r="M22" s="379"/>
      <c r="N22" s="380"/>
      <c r="O22" s="578"/>
      <c r="P22" s="603"/>
      <c r="Q22" s="603"/>
      <c r="R22" s="603"/>
      <c r="S22" s="603"/>
      <c r="T22" s="605"/>
      <c r="U22" s="605"/>
      <c r="V22" s="605"/>
      <c r="W22" s="605"/>
      <c r="X22" s="578"/>
      <c r="Y22" s="381"/>
      <c r="Z22" s="381"/>
    </row>
    <row r="23" spans="2:26" x14ac:dyDescent="0.35">
      <c r="B23" s="622"/>
      <c r="E23" s="623"/>
      <c r="F23" s="381" t="s">
        <v>231</v>
      </c>
      <c r="G23" s="600" t="s">
        <v>183</v>
      </c>
      <c r="H23" s="578">
        <v>2</v>
      </c>
      <c r="I23" s="601" t="s">
        <v>228</v>
      </c>
      <c r="J23" s="600"/>
      <c r="K23" s="575"/>
      <c r="L23" s="621"/>
      <c r="M23" s="379"/>
      <c r="N23" s="380"/>
      <c r="O23" s="578"/>
      <c r="P23" s="603"/>
      <c r="Q23" s="603"/>
      <c r="R23" s="603"/>
      <c r="S23" s="603"/>
      <c r="T23" s="605"/>
      <c r="U23" s="605"/>
      <c r="V23" s="605"/>
      <c r="W23" s="605"/>
      <c r="X23" s="578"/>
      <c r="Y23" s="381"/>
      <c r="Z23" s="381"/>
    </row>
    <row r="24" spans="2:26" x14ac:dyDescent="0.35">
      <c r="B24" s="597"/>
      <c r="C24" s="598"/>
      <c r="D24" s="598"/>
      <c r="E24" s="599"/>
      <c r="F24" s="381" t="s">
        <v>232</v>
      </c>
      <c r="G24" s="600" t="s">
        <v>183</v>
      </c>
      <c r="H24" s="578">
        <v>1</v>
      </c>
      <c r="I24" s="601" t="s">
        <v>228</v>
      </c>
      <c r="J24" s="600"/>
      <c r="K24" s="575"/>
      <c r="L24" s="621"/>
      <c r="M24" s="379"/>
      <c r="N24" s="380"/>
      <c r="O24" s="578"/>
      <c r="P24" s="603"/>
      <c r="Q24" s="603"/>
      <c r="R24" s="603"/>
      <c r="S24" s="603"/>
      <c r="T24" s="605"/>
      <c r="U24" s="605"/>
      <c r="V24" s="605"/>
      <c r="W24" s="605"/>
      <c r="X24" s="578"/>
      <c r="Y24" s="381"/>
      <c r="Z24" s="381"/>
    </row>
    <row r="25" spans="2:26" x14ac:dyDescent="0.35">
      <c r="B25" s="624"/>
      <c r="C25" s="170" t="s">
        <v>78</v>
      </c>
      <c r="D25" s="170"/>
      <c r="E25" s="646"/>
      <c r="F25" s="381" t="s">
        <v>177</v>
      </c>
      <c r="G25" s="600" t="s">
        <v>178</v>
      </c>
      <c r="H25" s="578"/>
      <c r="I25" s="601"/>
      <c r="J25" s="600"/>
      <c r="K25" s="575"/>
      <c r="L25" s="621"/>
      <c r="M25" s="379"/>
      <c r="N25" s="380"/>
      <c r="O25" s="578"/>
      <c r="P25" s="603"/>
      <c r="Q25" s="603"/>
      <c r="R25" s="603"/>
      <c r="S25" s="603"/>
      <c r="T25" s="605"/>
      <c r="U25" s="605"/>
      <c r="V25" s="605"/>
      <c r="W25" s="605"/>
      <c r="X25" s="578"/>
      <c r="Y25" s="381"/>
      <c r="Z25" s="381"/>
    </row>
    <row r="26" spans="2:26" x14ac:dyDescent="0.35">
      <c r="B26" s="622"/>
      <c r="E26" s="623"/>
      <c r="F26" s="381" t="s">
        <v>221</v>
      </c>
      <c r="G26" s="600" t="s">
        <v>222</v>
      </c>
      <c r="H26" s="578"/>
      <c r="I26" s="601"/>
      <c r="J26" s="600"/>
      <c r="K26" s="575"/>
      <c r="L26" s="621"/>
      <c r="M26" s="379"/>
      <c r="N26" s="380"/>
      <c r="O26" s="578"/>
      <c r="P26" s="603"/>
      <c r="Q26" s="603"/>
      <c r="R26" s="603"/>
      <c r="S26" s="603"/>
      <c r="T26" s="605"/>
      <c r="U26" s="605"/>
      <c r="V26" s="605"/>
      <c r="W26" s="605"/>
      <c r="X26" s="578"/>
      <c r="Y26" s="381"/>
      <c r="Z26" s="381"/>
    </row>
    <row r="27" spans="2:26" x14ac:dyDescent="0.35">
      <c r="B27" s="622"/>
      <c r="E27" s="623"/>
      <c r="F27" s="381" t="s">
        <v>225</v>
      </c>
      <c r="G27" s="600" t="s">
        <v>222</v>
      </c>
      <c r="H27" s="578"/>
      <c r="I27" s="601"/>
      <c r="J27" s="600"/>
      <c r="K27" s="575"/>
      <c r="L27" s="621"/>
      <c r="M27" s="379"/>
      <c r="N27" s="380"/>
      <c r="O27" s="578"/>
      <c r="P27" s="603"/>
      <c r="Q27" s="603"/>
      <c r="R27" s="603"/>
      <c r="S27" s="603"/>
      <c r="T27" s="605"/>
      <c r="U27" s="605"/>
      <c r="V27" s="605"/>
      <c r="W27" s="605"/>
      <c r="X27" s="578"/>
      <c r="Y27" s="381"/>
      <c r="Z27" s="381"/>
    </row>
    <row r="28" spans="2:26" x14ac:dyDescent="0.35">
      <c r="B28" s="622"/>
      <c r="E28" s="623"/>
      <c r="F28" s="381" t="s">
        <v>389</v>
      </c>
      <c r="G28" s="600" t="s">
        <v>183</v>
      </c>
      <c r="H28" s="578"/>
      <c r="I28" s="601"/>
      <c r="J28" s="600"/>
      <c r="K28" s="575"/>
      <c r="L28" s="621"/>
      <c r="M28" s="379"/>
      <c r="N28" s="380"/>
      <c r="O28" s="578"/>
      <c r="P28" s="603"/>
      <c r="Q28" s="603"/>
      <c r="R28" s="603"/>
      <c r="S28" s="603"/>
      <c r="T28" s="605"/>
      <c r="U28" s="605"/>
      <c r="V28" s="605"/>
      <c r="W28" s="605"/>
      <c r="X28" s="578"/>
      <c r="Y28" s="381"/>
      <c r="Z28" s="381"/>
    </row>
    <row r="29" spans="2:26" x14ac:dyDescent="0.35">
      <c r="B29" s="622"/>
      <c r="E29" s="623"/>
      <c r="F29" s="381" t="s">
        <v>226</v>
      </c>
      <c r="G29" s="600" t="s">
        <v>178</v>
      </c>
      <c r="H29" s="578"/>
      <c r="I29" s="601"/>
      <c r="J29" s="600"/>
      <c r="K29" s="575"/>
      <c r="L29" s="621"/>
      <c r="M29" s="379"/>
      <c r="N29" s="380"/>
      <c r="O29" s="578"/>
      <c r="P29" s="603"/>
      <c r="Q29" s="603"/>
      <c r="R29" s="603"/>
      <c r="S29" s="603"/>
      <c r="T29" s="605"/>
      <c r="U29" s="605"/>
      <c r="V29" s="605"/>
      <c r="W29" s="605"/>
      <c r="X29" s="578"/>
      <c r="Y29" s="381"/>
      <c r="Z29" s="381"/>
    </row>
    <row r="30" spans="2:26" x14ac:dyDescent="0.35">
      <c r="B30" s="622"/>
      <c r="E30" s="623"/>
      <c r="F30" s="381" t="s">
        <v>227</v>
      </c>
      <c r="G30" s="600" t="s">
        <v>183</v>
      </c>
      <c r="H30" s="578">
        <v>4</v>
      </c>
      <c r="I30" s="601" t="s">
        <v>228</v>
      </c>
      <c r="J30" s="600"/>
      <c r="K30" s="575"/>
      <c r="L30" s="621"/>
      <c r="M30" s="379"/>
      <c r="N30" s="380"/>
      <c r="O30" s="578"/>
      <c r="P30" s="603"/>
      <c r="Q30" s="603"/>
      <c r="R30" s="603"/>
      <c r="S30" s="603"/>
      <c r="T30" s="605"/>
      <c r="U30" s="605"/>
      <c r="V30" s="605"/>
      <c r="W30" s="605"/>
      <c r="X30" s="578"/>
      <c r="Y30" s="381"/>
      <c r="Z30" s="381"/>
    </row>
    <row r="31" spans="2:26" x14ac:dyDescent="0.35">
      <c r="B31" s="622"/>
      <c r="E31" s="623"/>
      <c r="F31" s="381" t="s">
        <v>453</v>
      </c>
      <c r="G31" s="600" t="s">
        <v>183</v>
      </c>
      <c r="H31" s="578">
        <v>12</v>
      </c>
      <c r="I31" s="601" t="s">
        <v>228</v>
      </c>
      <c r="J31" s="600"/>
      <c r="K31" s="575"/>
      <c r="L31" s="621"/>
      <c r="M31" s="379"/>
      <c r="N31" s="380"/>
      <c r="O31" s="578"/>
      <c r="P31" s="603"/>
      <c r="Q31" s="603"/>
      <c r="R31" s="603"/>
      <c r="S31" s="603"/>
      <c r="T31" s="605"/>
      <c r="U31" s="605"/>
      <c r="V31" s="605"/>
      <c r="W31" s="605"/>
      <c r="X31" s="578"/>
      <c r="Y31" s="381"/>
      <c r="Z31" s="381"/>
    </row>
    <row r="32" spans="2:26" x14ac:dyDescent="0.35">
      <c r="B32" s="622"/>
      <c r="E32" s="623"/>
      <c r="F32" s="381" t="s">
        <v>230</v>
      </c>
      <c r="G32" s="600" t="s">
        <v>183</v>
      </c>
      <c r="H32" s="578">
        <v>1</v>
      </c>
      <c r="I32" s="601" t="s">
        <v>228</v>
      </c>
      <c r="J32" s="600"/>
      <c r="K32" s="575"/>
      <c r="L32" s="621"/>
      <c r="M32" s="379"/>
      <c r="N32" s="380"/>
      <c r="O32" s="578"/>
      <c r="P32" s="603"/>
      <c r="Q32" s="603"/>
      <c r="R32" s="603"/>
      <c r="S32" s="603"/>
      <c r="T32" s="605"/>
      <c r="U32" s="605"/>
      <c r="V32" s="605"/>
      <c r="W32" s="605"/>
      <c r="X32" s="578"/>
      <c r="Y32" s="381"/>
      <c r="Z32" s="381"/>
    </row>
    <row r="33" spans="2:26" x14ac:dyDescent="0.35">
      <c r="B33" s="622"/>
      <c r="E33" s="623"/>
      <c r="F33" s="381" t="s">
        <v>231</v>
      </c>
      <c r="G33" s="600" t="s">
        <v>183</v>
      </c>
      <c r="H33" s="578">
        <v>2</v>
      </c>
      <c r="I33" s="601" t="s">
        <v>228</v>
      </c>
      <c r="J33" s="600"/>
      <c r="K33" s="575"/>
      <c r="L33" s="621"/>
      <c r="M33" s="379"/>
      <c r="N33" s="380"/>
      <c r="O33" s="578"/>
      <c r="P33" s="603"/>
      <c r="Q33" s="603"/>
      <c r="R33" s="603"/>
      <c r="S33" s="603"/>
      <c r="T33" s="605"/>
      <c r="U33" s="605"/>
      <c r="V33" s="605"/>
      <c r="W33" s="605"/>
      <c r="X33" s="578"/>
      <c r="Y33" s="381"/>
      <c r="Z33" s="381"/>
    </row>
    <row r="34" spans="2:26" x14ac:dyDescent="0.35">
      <c r="B34" s="597"/>
      <c r="C34" s="598"/>
      <c r="D34" s="598"/>
      <c r="E34" s="599"/>
      <c r="F34" s="381" t="s">
        <v>232</v>
      </c>
      <c r="G34" s="600" t="s">
        <v>183</v>
      </c>
      <c r="H34" s="578">
        <v>1</v>
      </c>
      <c r="I34" s="601" t="s">
        <v>228</v>
      </c>
      <c r="J34" s="600"/>
      <c r="K34" s="575"/>
      <c r="L34" s="621"/>
      <c r="M34" s="379"/>
      <c r="N34" s="380"/>
      <c r="O34" s="578"/>
      <c r="P34" s="603"/>
      <c r="Q34" s="603"/>
      <c r="R34" s="603"/>
      <c r="S34" s="603"/>
      <c r="T34" s="605"/>
      <c r="U34" s="605"/>
      <c r="V34" s="605"/>
      <c r="W34" s="605"/>
      <c r="X34" s="578"/>
      <c r="Y34" s="381"/>
      <c r="Z34" s="381"/>
    </row>
    <row r="35" spans="2:26" customFormat="1" x14ac:dyDescent="0.35">
      <c r="B35" s="660" t="s">
        <v>598</v>
      </c>
      <c r="C35" s="729"/>
      <c r="D35" s="729"/>
      <c r="E35" s="730"/>
      <c r="F35" s="532"/>
      <c r="G35" s="587"/>
      <c r="H35" s="588"/>
      <c r="I35" s="589"/>
      <c r="J35" s="587"/>
      <c r="K35" s="590"/>
      <c r="L35" s="591"/>
      <c r="M35" s="543"/>
      <c r="N35" s="544"/>
      <c r="O35" s="588"/>
      <c r="P35" s="592"/>
      <c r="Q35" s="731">
        <f>SUM(Q6:Q34)</f>
        <v>0</v>
      </c>
      <c r="R35" s="592"/>
      <c r="S35" s="731">
        <f>SUM(S24:S34)</f>
        <v>0</v>
      </c>
      <c r="T35" s="594"/>
      <c r="U35" s="594"/>
      <c r="V35" s="594"/>
      <c r="W35" s="594"/>
      <c r="X35" s="588"/>
      <c r="Y35" s="532"/>
      <c r="Z35" s="532"/>
    </row>
    <row r="36" spans="2:26" x14ac:dyDescent="0.35">
      <c r="B36" s="641" t="s">
        <v>455</v>
      </c>
      <c r="C36" s="601"/>
      <c r="D36" s="601"/>
      <c r="E36" s="642"/>
      <c r="F36" s="381"/>
      <c r="G36" s="600"/>
      <c r="H36" s="578"/>
      <c r="I36" s="601"/>
      <c r="J36" s="600"/>
      <c r="K36" s="575"/>
      <c r="L36" s="621"/>
      <c r="M36" s="379"/>
      <c r="N36" s="380"/>
      <c r="O36" s="578"/>
      <c r="P36" s="603"/>
      <c r="Q36" s="603"/>
      <c r="R36" s="603"/>
      <c r="S36" s="603"/>
      <c r="T36" s="605"/>
      <c r="U36" s="605"/>
      <c r="V36" s="605"/>
      <c r="W36" s="605"/>
      <c r="X36" s="578"/>
      <c r="Y36" s="381"/>
      <c r="Z36" s="381"/>
    </row>
    <row r="37" spans="2:26" x14ac:dyDescent="0.35">
      <c r="B37" s="643" t="s">
        <v>456</v>
      </c>
      <c r="E37" s="623"/>
      <c r="F37" s="381"/>
      <c r="G37" s="600"/>
      <c r="H37" s="578"/>
      <c r="I37" s="601"/>
      <c r="J37" s="600"/>
      <c r="K37" s="575"/>
      <c r="L37" s="621"/>
      <c r="M37" s="379"/>
      <c r="N37" s="380"/>
      <c r="O37" s="578"/>
      <c r="P37" s="603"/>
      <c r="Q37" s="603"/>
      <c r="R37" s="603"/>
      <c r="S37" s="603"/>
      <c r="T37" s="605"/>
      <c r="U37" s="605"/>
      <c r="V37" s="605"/>
      <c r="W37" s="605"/>
      <c r="X37" s="578"/>
      <c r="Y37" s="381"/>
      <c r="Z37" s="381"/>
    </row>
    <row r="38" spans="2:26" x14ac:dyDescent="0.35">
      <c r="B38" s="624"/>
      <c r="C38" s="170" t="s">
        <v>64</v>
      </c>
      <c r="D38" s="170"/>
      <c r="E38" s="646"/>
      <c r="F38" s="381" t="s">
        <v>177</v>
      </c>
      <c r="G38" s="600" t="s">
        <v>178</v>
      </c>
      <c r="H38" s="578"/>
      <c r="I38" s="601"/>
      <c r="J38" s="600"/>
      <c r="K38" s="602"/>
      <c r="L38" s="621"/>
      <c r="M38" s="379"/>
      <c r="N38" s="380"/>
      <c r="O38" s="500">
        <f>K38*L38*M38*N38</f>
        <v>0</v>
      </c>
      <c r="P38" s="261">
        <v>169122.61109699999</v>
      </c>
      <c r="Q38" s="603">
        <f>P38*$O38</f>
        <v>0</v>
      </c>
      <c r="R38" s="380">
        <v>179635.86432000002</v>
      </c>
      <c r="S38" s="603">
        <f>R38*$O38</f>
        <v>0</v>
      </c>
      <c r="T38" s="380">
        <v>197599.45075200003</v>
      </c>
      <c r="U38" s="605">
        <f>$O38*T38</f>
        <v>0</v>
      </c>
      <c r="V38" s="380" t="e">
        <f>W38/O38</f>
        <v>#DIV/0!</v>
      </c>
      <c r="W38" s="267">
        <f>AVERAGEIF($P$3:$U$3,W$3,$P38:$U38)</f>
        <v>0</v>
      </c>
      <c r="X38" s="578"/>
      <c r="Y38" s="381"/>
      <c r="Z38" s="381"/>
    </row>
    <row r="39" spans="2:26" x14ac:dyDescent="0.35">
      <c r="B39" s="622"/>
      <c r="E39" s="623"/>
      <c r="F39" s="381" t="s">
        <v>285</v>
      </c>
      <c r="G39" s="600" t="s">
        <v>183</v>
      </c>
      <c r="H39" s="578"/>
      <c r="I39" s="601"/>
      <c r="J39" s="600"/>
      <c r="K39" s="575"/>
      <c r="L39" s="621"/>
      <c r="M39" s="379"/>
      <c r="N39" s="380"/>
      <c r="O39" s="578"/>
      <c r="P39" s="603"/>
      <c r="Q39" s="603"/>
      <c r="R39" s="603"/>
      <c r="S39" s="603"/>
      <c r="T39" s="605"/>
      <c r="U39" s="605"/>
      <c r="V39" s="605"/>
      <c r="W39" s="605"/>
      <c r="X39" s="578"/>
      <c r="Y39" s="381"/>
      <c r="Z39" s="381"/>
    </row>
    <row r="40" spans="2:26" x14ac:dyDescent="0.35">
      <c r="B40" s="597"/>
      <c r="C40" s="598"/>
      <c r="D40" s="598"/>
      <c r="E40" s="599"/>
      <c r="F40" s="381" t="s">
        <v>232</v>
      </c>
      <c r="G40" s="600" t="s">
        <v>183</v>
      </c>
      <c r="H40" s="578"/>
      <c r="I40" s="601"/>
      <c r="J40" s="600"/>
      <c r="K40" s="575"/>
      <c r="L40" s="621"/>
      <c r="M40" s="379"/>
      <c r="N40" s="380"/>
      <c r="O40" s="578"/>
      <c r="P40" s="603"/>
      <c r="Q40" s="603"/>
      <c r="R40" s="603"/>
      <c r="S40" s="603"/>
      <c r="T40" s="605"/>
      <c r="U40" s="605"/>
      <c r="V40" s="605"/>
      <c r="W40" s="605"/>
      <c r="X40" s="578"/>
      <c r="Y40" s="381"/>
      <c r="Z40" s="381"/>
    </row>
    <row r="41" spans="2:26" x14ac:dyDescent="0.35">
      <c r="B41" s="624"/>
      <c r="C41" s="170" t="s">
        <v>458</v>
      </c>
      <c r="D41" s="170"/>
      <c r="E41" s="646"/>
      <c r="F41" s="381" t="s">
        <v>177</v>
      </c>
      <c r="G41" s="600" t="s">
        <v>178</v>
      </c>
      <c r="H41" s="578"/>
      <c r="I41" s="601"/>
      <c r="J41" s="600"/>
      <c r="K41" s="575"/>
      <c r="L41" s="621"/>
      <c r="M41" s="379"/>
      <c r="N41" s="380"/>
      <c r="O41" s="578"/>
      <c r="P41" s="603"/>
      <c r="Q41" s="603"/>
      <c r="R41" s="603"/>
      <c r="S41" s="603"/>
      <c r="T41" s="605"/>
      <c r="U41" s="605"/>
      <c r="V41" s="605"/>
      <c r="W41" s="605"/>
      <c r="X41" s="578"/>
      <c r="Y41" s="381"/>
      <c r="Z41" s="381"/>
    </row>
    <row r="42" spans="2:26" x14ac:dyDescent="0.35">
      <c r="B42" s="622"/>
      <c r="E42" s="623"/>
      <c r="F42" s="381" t="s">
        <v>285</v>
      </c>
      <c r="G42" s="600" t="s">
        <v>183</v>
      </c>
      <c r="H42" s="578"/>
      <c r="I42" s="601"/>
      <c r="J42" s="600"/>
      <c r="K42" s="575"/>
      <c r="L42" s="621"/>
      <c r="M42" s="379"/>
      <c r="N42" s="380"/>
      <c r="O42" s="578"/>
      <c r="P42" s="603"/>
      <c r="Q42" s="603"/>
      <c r="R42" s="603"/>
      <c r="S42" s="603"/>
      <c r="T42" s="605"/>
      <c r="U42" s="605"/>
      <c r="V42" s="605"/>
      <c r="W42" s="605"/>
      <c r="X42" s="578"/>
      <c r="Y42" s="381"/>
      <c r="Z42" s="381"/>
    </row>
    <row r="43" spans="2:26" x14ac:dyDescent="0.35">
      <c r="B43" s="597"/>
      <c r="C43" s="598"/>
      <c r="D43" s="598"/>
      <c r="E43" s="599"/>
      <c r="F43" s="381" t="s">
        <v>232</v>
      </c>
      <c r="G43" s="600" t="s">
        <v>183</v>
      </c>
      <c r="H43" s="578"/>
      <c r="I43" s="601"/>
      <c r="J43" s="600"/>
      <c r="K43" s="575"/>
      <c r="L43" s="621"/>
      <c r="M43" s="379"/>
      <c r="N43" s="380"/>
      <c r="O43" s="578"/>
      <c r="P43" s="603"/>
      <c r="Q43" s="604"/>
      <c r="R43" s="603"/>
      <c r="S43" s="603"/>
      <c r="T43" s="605"/>
      <c r="U43" s="605"/>
      <c r="V43" s="605"/>
      <c r="W43" s="605"/>
      <c r="X43" s="578"/>
      <c r="Y43" s="381"/>
      <c r="Z43" s="381"/>
    </row>
    <row r="44" spans="2:26" x14ac:dyDescent="0.35">
      <c r="B44" s="622"/>
      <c r="C44" s="173" t="s">
        <v>68</v>
      </c>
      <c r="E44" s="623"/>
      <c r="F44" s="381" t="s">
        <v>177</v>
      </c>
      <c r="G44" s="600" t="s">
        <v>178</v>
      </c>
      <c r="H44" s="578"/>
      <c r="I44" s="601"/>
      <c r="J44" s="600"/>
      <c r="K44" s="602">
        <v>1</v>
      </c>
      <c r="L44" s="621">
        <v>45.36</v>
      </c>
      <c r="M44" s="379">
        <f>1/8</f>
        <v>0.125</v>
      </c>
      <c r="N44" s="380">
        <v>1</v>
      </c>
      <c r="O44" s="500">
        <f>K44*L44*M44*N44</f>
        <v>5.67</v>
      </c>
      <c r="P44" s="261">
        <v>180115.58081830497</v>
      </c>
      <c r="Q44" s="604">
        <f>P44*$O44</f>
        <v>1021255.3432397891</v>
      </c>
      <c r="R44" s="380">
        <v>179635.86432000002</v>
      </c>
      <c r="S44" s="603">
        <f>R44*$O44</f>
        <v>1018535.3506944001</v>
      </c>
      <c r="T44" s="380">
        <v>197599.45075200003</v>
      </c>
      <c r="U44" s="605">
        <f>$O44*T44</f>
        <v>1120388.8857638403</v>
      </c>
      <c r="V44" s="380">
        <f>W44/O44</f>
        <v>185783.63196343501</v>
      </c>
      <c r="W44" s="267">
        <f>AVERAGEIF($P$3:$U$3,W$3,$P44:$U44)</f>
        <v>1053393.1932326765</v>
      </c>
      <c r="X44" s="578"/>
      <c r="Y44" s="775">
        <f>Q44/$D$1</f>
        <v>22514.447602288121</v>
      </c>
      <c r="Z44" s="381"/>
    </row>
    <row r="45" spans="2:26" x14ac:dyDescent="0.35">
      <c r="B45" s="622"/>
      <c r="E45" s="623"/>
      <c r="F45" s="381" t="s">
        <v>285</v>
      </c>
      <c r="G45" s="600" t="s">
        <v>183</v>
      </c>
      <c r="H45" s="578"/>
      <c r="I45" s="601"/>
      <c r="J45" s="600"/>
      <c r="K45" s="602">
        <v>1</v>
      </c>
      <c r="L45" s="621">
        <v>45.36</v>
      </c>
      <c r="M45" s="379">
        <v>8.3000000000000001E-3</v>
      </c>
      <c r="N45" s="380">
        <v>1</v>
      </c>
      <c r="O45" s="500">
        <f>K45*L45*M45*N45</f>
        <v>0.37648799999999999</v>
      </c>
      <c r="P45" s="261">
        <v>92133.854367187509</v>
      </c>
      <c r="Q45" s="604">
        <f>P45*$O45</f>
        <v>34687.290562993687</v>
      </c>
      <c r="R45" s="603"/>
      <c r="S45" s="603"/>
      <c r="T45" s="605"/>
      <c r="U45" s="605"/>
      <c r="V45" s="605"/>
      <c r="W45" s="605"/>
      <c r="X45" s="578"/>
      <c r="Y45" s="775">
        <f t="shared" ref="Y45:Y46" si="0">Q45/$D$1</f>
        <v>764.71099124765624</v>
      </c>
      <c r="Z45" s="381"/>
    </row>
    <row r="46" spans="2:26" x14ac:dyDescent="0.35">
      <c r="B46" s="622"/>
      <c r="E46" s="623"/>
      <c r="F46" s="381" t="s">
        <v>232</v>
      </c>
      <c r="G46" s="600"/>
      <c r="H46" s="578"/>
      <c r="I46" s="601"/>
      <c r="J46" s="600"/>
      <c r="K46" s="602">
        <v>1</v>
      </c>
      <c r="L46" s="621">
        <v>45.36</v>
      </c>
      <c r="M46" s="379">
        <v>1.0416666666666666E-2</v>
      </c>
      <c r="N46" s="380">
        <v>1</v>
      </c>
      <c r="O46" s="500">
        <f>K46*L46*M46*N46</f>
        <v>0.47249999999999998</v>
      </c>
      <c r="P46" s="261">
        <v>104144.57550000001</v>
      </c>
      <c r="Q46" s="604">
        <f>P46*$O46</f>
        <v>49208.31192375</v>
      </c>
      <c r="R46" s="603"/>
      <c r="S46" s="603"/>
      <c r="T46" s="605"/>
      <c r="U46" s="605"/>
      <c r="V46" s="605"/>
      <c r="W46" s="605"/>
      <c r="X46" s="578"/>
      <c r="Y46" s="775">
        <f t="shared" si="0"/>
        <v>1084.8393281250001</v>
      </c>
      <c r="Z46" s="381"/>
    </row>
    <row r="47" spans="2:26" customFormat="1" x14ac:dyDescent="0.35">
      <c r="B47" s="606" t="s">
        <v>599</v>
      </c>
      <c r="C47" s="716"/>
      <c r="D47" s="716"/>
      <c r="E47" s="717"/>
      <c r="F47" s="609"/>
      <c r="G47" s="610"/>
      <c r="H47" s="611"/>
      <c r="I47" s="612"/>
      <c r="J47" s="610"/>
      <c r="K47" s="613"/>
      <c r="L47" s="614"/>
      <c r="M47" s="615"/>
      <c r="N47" s="616"/>
      <c r="O47" s="611"/>
      <c r="P47" s="617"/>
      <c r="Q47" s="618">
        <f>SUM(Q44:Q46)</f>
        <v>1105150.9457265327</v>
      </c>
      <c r="R47" s="617"/>
      <c r="S47" s="718">
        <f>SUM(S36:S46)</f>
        <v>1018535.3506944001</v>
      </c>
      <c r="T47" s="776"/>
      <c r="U47" s="776"/>
      <c r="V47" s="776"/>
      <c r="W47" s="776"/>
      <c r="X47" s="611"/>
      <c r="Y47" s="619">
        <f>Q47/D1</f>
        <v>24363.997921660775</v>
      </c>
      <c r="Z47" s="645">
        <f>Q47/$Q$424*100</f>
        <v>0.13010975872728334</v>
      </c>
    </row>
    <row r="48" spans="2:26" x14ac:dyDescent="0.35">
      <c r="B48" s="624"/>
      <c r="C48" s="170" t="s">
        <v>70</v>
      </c>
      <c r="D48" s="170"/>
      <c r="E48" s="646"/>
      <c r="F48" s="381" t="s">
        <v>177</v>
      </c>
      <c r="G48" s="600" t="s">
        <v>178</v>
      </c>
      <c r="H48" s="578"/>
      <c r="I48" s="601"/>
      <c r="J48" s="600"/>
      <c r="K48" s="602"/>
      <c r="L48" s="621"/>
      <c r="M48" s="379">
        <v>0.5</v>
      </c>
      <c r="N48" s="380">
        <v>1</v>
      </c>
      <c r="O48" s="500">
        <f>K48*L48*M48*N48</f>
        <v>0</v>
      </c>
      <c r="P48" s="261">
        <v>169122.61109699999</v>
      </c>
      <c r="Q48" s="604">
        <f>P48*$O48</f>
        <v>0</v>
      </c>
      <c r="R48" s="380">
        <v>179635.86432000002</v>
      </c>
      <c r="S48" s="603">
        <f>R48*$O48</f>
        <v>0</v>
      </c>
      <c r="T48" s="380">
        <v>197599.45075200003</v>
      </c>
      <c r="U48" s="605">
        <f>$O48*T48</f>
        <v>0</v>
      </c>
      <c r="V48" s="380" t="e">
        <f>W48/O48</f>
        <v>#DIV/0!</v>
      </c>
      <c r="W48" s="267">
        <f>AVERAGEIF($P$3:$U$3,W$3,$P48:$U48)</f>
        <v>0</v>
      </c>
      <c r="X48" s="578"/>
      <c r="Y48" s="381"/>
      <c r="Z48" s="381"/>
    </row>
    <row r="49" spans="2:26" x14ac:dyDescent="0.35">
      <c r="B49" s="622"/>
      <c r="E49" s="623"/>
      <c r="F49" s="381" t="s">
        <v>459</v>
      </c>
      <c r="G49" s="600" t="s">
        <v>183</v>
      </c>
      <c r="H49" s="578"/>
      <c r="I49" s="601"/>
      <c r="J49" s="600"/>
      <c r="K49" s="602"/>
      <c r="L49" s="621"/>
      <c r="M49" s="379">
        <v>0.5</v>
      </c>
      <c r="N49" s="380">
        <v>1</v>
      </c>
      <c r="O49" s="500">
        <f>K49*L49*M49*N49</f>
        <v>0</v>
      </c>
      <c r="P49" s="261">
        <v>520931.25</v>
      </c>
      <c r="Q49" s="604">
        <f>P49*$O49</f>
        <v>0</v>
      </c>
      <c r="R49" s="380">
        <v>598950.00000000023</v>
      </c>
      <c r="S49" s="603">
        <f>R49*$O49</f>
        <v>0</v>
      </c>
      <c r="T49" s="380">
        <v>658845.00000000035</v>
      </c>
      <c r="U49" s="605">
        <f>$O49*T49</f>
        <v>0</v>
      </c>
      <c r="V49" s="380" t="e">
        <f>W49/O49</f>
        <v>#DIV/0!</v>
      </c>
      <c r="W49" s="267">
        <f>AVERAGEIF($P$3:$U$3,W$3,$P49:$U49)</f>
        <v>0</v>
      </c>
      <c r="X49" s="578"/>
      <c r="Y49" s="381"/>
      <c r="Z49" s="381"/>
    </row>
    <row r="50" spans="2:26" x14ac:dyDescent="0.35">
      <c r="B50" s="597"/>
      <c r="C50" s="598"/>
      <c r="D50" s="598"/>
      <c r="E50" s="599"/>
      <c r="F50" s="381" t="s">
        <v>232</v>
      </c>
      <c r="G50" s="600" t="s">
        <v>183</v>
      </c>
      <c r="H50" s="578"/>
      <c r="I50" s="601"/>
      <c r="J50" s="600"/>
      <c r="K50" s="575"/>
      <c r="L50" s="621"/>
      <c r="M50" s="379"/>
      <c r="N50" s="380"/>
      <c r="O50" s="578"/>
      <c r="P50" s="603"/>
      <c r="Q50" s="604"/>
      <c r="R50" s="603"/>
      <c r="S50" s="603"/>
      <c r="T50" s="605"/>
      <c r="U50" s="605"/>
      <c r="V50" s="605"/>
      <c r="W50" s="605"/>
      <c r="X50" s="578"/>
      <c r="Y50" s="381"/>
      <c r="Z50" s="381"/>
    </row>
    <row r="51" spans="2:26" x14ac:dyDescent="0.35">
      <c r="B51" s="624"/>
      <c r="C51" s="170" t="s">
        <v>461</v>
      </c>
      <c r="D51" s="170"/>
      <c r="E51" s="646"/>
      <c r="F51" s="381" t="s">
        <v>177</v>
      </c>
      <c r="G51" s="600" t="s">
        <v>178</v>
      </c>
      <c r="H51" s="578"/>
      <c r="I51" s="601"/>
      <c r="J51" s="600"/>
      <c r="K51" s="575"/>
      <c r="L51" s="621"/>
      <c r="M51" s="379">
        <v>0.15</v>
      </c>
      <c r="N51" s="380">
        <v>1</v>
      </c>
      <c r="O51" s="578"/>
      <c r="P51" s="603"/>
      <c r="Q51" s="604"/>
      <c r="R51" s="603"/>
      <c r="S51" s="603"/>
      <c r="T51" s="605"/>
      <c r="U51" s="605"/>
      <c r="V51" s="605"/>
      <c r="W51" s="605"/>
      <c r="X51" s="578"/>
      <c r="Y51" s="381"/>
      <c r="Z51" s="381"/>
    </row>
    <row r="52" spans="2:26" x14ac:dyDescent="0.35">
      <c r="B52" s="622"/>
      <c r="E52" s="623"/>
      <c r="F52" s="381" t="s">
        <v>462</v>
      </c>
      <c r="G52" s="600" t="s">
        <v>183</v>
      </c>
      <c r="H52" s="578"/>
      <c r="I52" s="601"/>
      <c r="J52" s="600"/>
      <c r="K52" s="575"/>
      <c r="L52" s="621"/>
      <c r="M52" s="379">
        <v>5.0000000000000001E-4</v>
      </c>
      <c r="N52" s="380">
        <v>1</v>
      </c>
      <c r="O52" s="578"/>
      <c r="P52" s="603"/>
      <c r="Q52" s="604"/>
      <c r="R52" s="603"/>
      <c r="S52" s="603"/>
      <c r="T52" s="605"/>
      <c r="U52" s="605"/>
      <c r="V52" s="605"/>
      <c r="W52" s="605"/>
      <c r="X52" s="578"/>
      <c r="Y52" s="381"/>
      <c r="Z52" s="381"/>
    </row>
    <row r="53" spans="2:26" x14ac:dyDescent="0.35">
      <c r="B53" s="597"/>
      <c r="C53" s="598"/>
      <c r="D53" s="598"/>
      <c r="E53" s="599"/>
      <c r="F53" s="381" t="s">
        <v>232</v>
      </c>
      <c r="G53" s="600" t="s">
        <v>183</v>
      </c>
      <c r="H53" s="578">
        <v>1</v>
      </c>
      <c r="I53" s="601" t="s">
        <v>228</v>
      </c>
      <c r="J53" s="600"/>
      <c r="K53" s="575"/>
      <c r="L53" s="621"/>
      <c r="M53" s="379">
        <f>((M$51*N$51)/240*($H53/N53))</f>
        <v>6.2500000000000001E-4</v>
      </c>
      <c r="N53" s="380">
        <v>1</v>
      </c>
      <c r="O53" s="578"/>
      <c r="P53" s="603"/>
      <c r="Q53" s="604"/>
      <c r="R53" s="603"/>
      <c r="S53" s="603"/>
      <c r="T53" s="605"/>
      <c r="U53" s="605"/>
      <c r="V53" s="605"/>
      <c r="W53" s="605"/>
      <c r="X53" s="578"/>
      <c r="Y53" s="381"/>
      <c r="Z53" s="381"/>
    </row>
    <row r="54" spans="2:26" customFormat="1" x14ac:dyDescent="0.35">
      <c r="B54" s="622"/>
      <c r="C54" s="396" t="s">
        <v>300</v>
      </c>
      <c r="D54" s="269"/>
      <c r="E54" s="270"/>
      <c r="F54" s="252" t="s">
        <v>177</v>
      </c>
      <c r="G54" s="253" t="s">
        <v>178</v>
      </c>
      <c r="H54" s="254"/>
      <c r="I54" s="255"/>
      <c r="J54" s="256"/>
      <c r="K54" s="257"/>
      <c r="L54" s="257"/>
      <c r="M54" s="258"/>
      <c r="N54" s="259">
        <v>1</v>
      </c>
      <c r="O54" s="259"/>
      <c r="P54" s="630"/>
      <c r="Q54" s="631"/>
      <c r="R54" s="630"/>
      <c r="S54" s="630"/>
      <c r="T54" s="632"/>
      <c r="U54" s="632"/>
      <c r="V54" s="632"/>
      <c r="W54" s="632"/>
      <c r="X54" s="317"/>
      <c r="Y54" s="151"/>
      <c r="Z54" s="151"/>
    </row>
    <row r="55" spans="2:26" customFormat="1" x14ac:dyDescent="0.35">
      <c r="B55" s="622"/>
      <c r="C55" s="269"/>
      <c r="D55" s="269"/>
      <c r="E55" s="270"/>
      <c r="F55" s="151" t="s">
        <v>459</v>
      </c>
      <c r="G55" s="253" t="s">
        <v>253</v>
      </c>
      <c r="H55" s="254"/>
      <c r="I55" s="255"/>
      <c r="J55" s="256"/>
      <c r="K55" s="257"/>
      <c r="L55" s="257"/>
      <c r="M55" s="258"/>
      <c r="N55" s="259">
        <v>1</v>
      </c>
      <c r="O55" s="259"/>
      <c r="P55" s="630"/>
      <c r="Q55" s="631"/>
      <c r="R55" s="630"/>
      <c r="S55" s="630"/>
      <c r="T55" s="632"/>
      <c r="U55" s="632"/>
      <c r="V55" s="632"/>
      <c r="W55" s="632"/>
      <c r="X55" s="317"/>
      <c r="Y55" s="151"/>
      <c r="Z55" s="151"/>
    </row>
    <row r="56" spans="2:26" customFormat="1" x14ac:dyDescent="0.35">
      <c r="B56" s="597"/>
      <c r="C56" s="276"/>
      <c r="D56" s="276"/>
      <c r="E56" s="277"/>
      <c r="F56" s="252" t="s">
        <v>254</v>
      </c>
      <c r="G56" s="253" t="s">
        <v>195</v>
      </c>
      <c r="H56" s="254"/>
      <c r="I56" s="255"/>
      <c r="J56" s="256"/>
      <c r="K56" s="257"/>
      <c r="L56" s="257"/>
      <c r="M56" s="258"/>
      <c r="N56" s="259">
        <v>1</v>
      </c>
      <c r="O56" s="259"/>
      <c r="P56" s="630"/>
      <c r="Q56" s="631"/>
      <c r="R56" s="630"/>
      <c r="S56" s="630"/>
      <c r="T56" s="632"/>
      <c r="U56" s="632"/>
      <c r="V56" s="632"/>
      <c r="W56" s="632"/>
      <c r="X56" s="317"/>
      <c r="Y56" s="151"/>
      <c r="Z56" s="151"/>
    </row>
    <row r="57" spans="2:26" customFormat="1" ht="38.25" customHeight="1" x14ac:dyDescent="0.35">
      <c r="B57" s="660" t="s">
        <v>600</v>
      </c>
      <c r="C57" s="729"/>
      <c r="D57" s="729"/>
      <c r="E57" s="730"/>
      <c r="F57" s="532"/>
      <c r="G57" s="587"/>
      <c r="H57" s="588"/>
      <c r="I57" s="589"/>
      <c r="J57" s="587"/>
      <c r="K57" s="590"/>
      <c r="L57" s="591"/>
      <c r="M57" s="543"/>
      <c r="N57" s="544"/>
      <c r="O57" s="588"/>
      <c r="P57" s="592"/>
      <c r="Q57" s="663">
        <f>Q47</f>
        <v>1105150.9457265327</v>
      </c>
      <c r="R57" s="592"/>
      <c r="S57" s="731">
        <f>SUM(S46:S56)</f>
        <v>1018535.3506944001</v>
      </c>
      <c r="T57" s="594"/>
      <c r="U57" s="594"/>
      <c r="V57" s="594"/>
      <c r="W57" s="594"/>
      <c r="X57" s="588"/>
      <c r="Y57" s="777">
        <f>Q57/D1</f>
        <v>24363.997921660775</v>
      </c>
      <c r="Z57" s="639">
        <f>Q57/$Q$424*100</f>
        <v>0.13010975872728334</v>
      </c>
    </row>
    <row r="58" spans="2:26" x14ac:dyDescent="0.35">
      <c r="B58" s="641" t="s">
        <v>464</v>
      </c>
      <c r="C58" s="601"/>
      <c r="D58" s="601"/>
      <c r="E58" s="642"/>
      <c r="F58" s="381"/>
      <c r="G58" s="600"/>
      <c r="H58" s="578"/>
      <c r="I58" s="601"/>
      <c r="J58" s="600"/>
      <c r="K58" s="575"/>
      <c r="L58" s="621"/>
      <c r="M58" s="379"/>
      <c r="N58" s="380"/>
      <c r="O58" s="578"/>
      <c r="P58" s="603"/>
      <c r="Q58" s="604"/>
      <c r="R58" s="603"/>
      <c r="S58" s="603"/>
      <c r="T58" s="605"/>
      <c r="U58" s="605"/>
      <c r="V58" s="605"/>
      <c r="W58" s="605"/>
      <c r="X58" s="578"/>
      <c r="Y58" s="381"/>
      <c r="Z58" s="381"/>
    </row>
    <row r="59" spans="2:26" x14ac:dyDescent="0.35">
      <c r="B59" s="643"/>
      <c r="C59" s="173" t="s">
        <v>465</v>
      </c>
      <c r="E59" s="623"/>
      <c r="F59" s="381"/>
      <c r="G59" s="600"/>
      <c r="H59" s="578"/>
      <c r="I59" s="601"/>
      <c r="J59" s="600"/>
      <c r="K59" s="575"/>
      <c r="L59" s="621"/>
      <c r="M59" s="379"/>
      <c r="N59" s="380"/>
      <c r="O59" s="578"/>
      <c r="P59" s="603"/>
      <c r="Q59" s="604"/>
      <c r="R59" s="603"/>
      <c r="S59" s="603"/>
      <c r="T59" s="605"/>
      <c r="U59" s="605"/>
      <c r="V59" s="605"/>
      <c r="W59" s="605"/>
      <c r="X59" s="578"/>
      <c r="Y59" s="381"/>
      <c r="Z59" s="381"/>
    </row>
    <row r="60" spans="2:26" x14ac:dyDescent="0.35">
      <c r="B60" s="624"/>
      <c r="C60" s="170"/>
      <c r="D60" s="170" t="s">
        <v>66</v>
      </c>
      <c r="E60" s="646"/>
      <c r="F60" s="381" t="s">
        <v>177</v>
      </c>
      <c r="G60" s="600" t="s">
        <v>178</v>
      </c>
      <c r="H60" s="578"/>
      <c r="I60" s="601"/>
      <c r="J60" s="600" t="s">
        <v>179</v>
      </c>
      <c r="K60" s="602">
        <v>1</v>
      </c>
      <c r="L60" s="621">
        <v>45.36</v>
      </c>
      <c r="M60" s="379">
        <v>2.5</v>
      </c>
      <c r="N60" s="380">
        <v>1</v>
      </c>
      <c r="O60" s="500">
        <f>K60*L60*M60*N60</f>
        <v>113.4</v>
      </c>
      <c r="P60" s="261">
        <v>180115.58081830497</v>
      </c>
      <c r="Q60" s="604">
        <f>P60*$O60</f>
        <v>20425106.864795785</v>
      </c>
      <c r="R60" s="380">
        <v>179635.86432000002</v>
      </c>
      <c r="S60" s="603">
        <f>R60*$O60</f>
        <v>20370707.013888005</v>
      </c>
      <c r="T60" s="380">
        <v>197599.45075200003</v>
      </c>
      <c r="U60" s="605">
        <f>$O60*T60</f>
        <v>22407777.715276804</v>
      </c>
      <c r="V60" s="380">
        <f>W60/O60</f>
        <v>185783.63196343501</v>
      </c>
      <c r="W60" s="267">
        <f>AVERAGEIF($P$3:$U$3,W$3,$P60:$U60)</f>
        <v>21067863.864653531</v>
      </c>
      <c r="X60" s="578"/>
      <c r="Y60" s="775">
        <f t="shared" ref="Y60:Y62" si="1">Q60/$D$1</f>
        <v>450288.95204576245</v>
      </c>
      <c r="Z60" s="778"/>
    </row>
    <row r="61" spans="2:26" x14ac:dyDescent="0.35">
      <c r="B61" s="622"/>
      <c r="E61" s="623"/>
      <c r="F61" s="381" t="s">
        <v>285</v>
      </c>
      <c r="G61" s="600" t="s">
        <v>183</v>
      </c>
      <c r="H61" s="578"/>
      <c r="I61" s="601"/>
      <c r="J61" s="600" t="s">
        <v>179</v>
      </c>
      <c r="K61" s="602">
        <v>1</v>
      </c>
      <c r="L61" s="621">
        <v>45.36</v>
      </c>
      <c r="M61" s="379">
        <v>8.3000000000000001E-3</v>
      </c>
      <c r="N61" s="380">
        <v>1</v>
      </c>
      <c r="O61" s="500">
        <f>K61*L61*M61*N61</f>
        <v>0.37648799999999999</v>
      </c>
      <c r="P61" s="261">
        <v>92133.854367187509</v>
      </c>
      <c r="Q61" s="604">
        <f>P61*$O61</f>
        <v>34687.290562993687</v>
      </c>
      <c r="R61" s="603"/>
      <c r="S61" s="603"/>
      <c r="T61" s="605"/>
      <c r="U61" s="605"/>
      <c r="V61" s="605"/>
      <c r="W61" s="605"/>
      <c r="X61" s="578"/>
      <c r="Y61" s="775">
        <f t="shared" si="1"/>
        <v>764.71099124765624</v>
      </c>
      <c r="Z61" s="381"/>
    </row>
    <row r="62" spans="2:26" x14ac:dyDescent="0.35">
      <c r="B62" s="622"/>
      <c r="D62" s="598"/>
      <c r="E62" s="599"/>
      <c r="F62" s="381" t="s">
        <v>232</v>
      </c>
      <c r="G62" s="600" t="s">
        <v>183</v>
      </c>
      <c r="H62" s="578">
        <v>1</v>
      </c>
      <c r="I62" s="601" t="s">
        <v>228</v>
      </c>
      <c r="J62" s="600"/>
      <c r="K62" s="602">
        <v>1</v>
      </c>
      <c r="L62" s="621">
        <v>45.36</v>
      </c>
      <c r="M62" s="379">
        <f>((M$60*N$60)/240*($H62/N62))</f>
        <v>1.0416666666666666E-2</v>
      </c>
      <c r="N62" s="380">
        <v>1</v>
      </c>
      <c r="O62" s="500">
        <f>K62*L62*M62*N62</f>
        <v>0.47249999999999998</v>
      </c>
      <c r="P62" s="261">
        <v>104144.57550000001</v>
      </c>
      <c r="Q62" s="604">
        <f>P62*$O62</f>
        <v>49208.31192375</v>
      </c>
      <c r="R62" s="603"/>
      <c r="S62" s="603"/>
      <c r="T62" s="605"/>
      <c r="U62" s="605"/>
      <c r="V62" s="605"/>
      <c r="W62" s="605"/>
      <c r="X62" s="578"/>
      <c r="Y62" s="775">
        <f t="shared" si="1"/>
        <v>1084.8393281250001</v>
      </c>
      <c r="Z62" s="381"/>
    </row>
    <row r="63" spans="2:26" customFormat="1" x14ac:dyDescent="0.35">
      <c r="B63" s="606" t="s">
        <v>601</v>
      </c>
      <c r="C63" s="716"/>
      <c r="D63" s="716"/>
      <c r="E63" s="717"/>
      <c r="F63" s="609"/>
      <c r="G63" s="610"/>
      <c r="H63" s="611"/>
      <c r="I63" s="612"/>
      <c r="J63" s="610"/>
      <c r="K63" s="613"/>
      <c r="L63" s="614"/>
      <c r="M63" s="615"/>
      <c r="N63" s="616"/>
      <c r="O63" s="611"/>
      <c r="P63" s="617"/>
      <c r="Q63" s="618">
        <f>SUM(Q60:Q62)</f>
        <v>20509002.46728253</v>
      </c>
      <c r="R63" s="617"/>
      <c r="S63" s="718">
        <f>SUM(S52:S62)</f>
        <v>21389242.364582404</v>
      </c>
      <c r="T63" s="776"/>
      <c r="U63" s="776"/>
      <c r="V63" s="776"/>
      <c r="W63" s="776"/>
      <c r="X63" s="611"/>
      <c r="Y63" s="619">
        <f>Q63/D1</f>
        <v>452138.50236513512</v>
      </c>
      <c r="Z63" s="645">
        <f>Q63/$Q$424*100</f>
        <v>2.4145311308593711</v>
      </c>
    </row>
    <row r="64" spans="2:26" x14ac:dyDescent="0.35">
      <c r="B64" s="622"/>
      <c r="D64" s="170" t="s">
        <v>466</v>
      </c>
      <c r="E64" s="646"/>
      <c r="F64" s="381" t="s">
        <v>177</v>
      </c>
      <c r="G64" s="600" t="s">
        <v>178</v>
      </c>
      <c r="H64" s="578"/>
      <c r="I64" s="601"/>
      <c r="J64" s="600"/>
      <c r="K64" s="575"/>
      <c r="L64" s="621"/>
      <c r="M64" s="379"/>
      <c r="N64" s="380"/>
      <c r="O64" s="578"/>
      <c r="P64" s="603"/>
      <c r="Q64" s="604"/>
      <c r="R64" s="603"/>
      <c r="S64" s="603"/>
      <c r="T64" s="605"/>
      <c r="U64" s="605"/>
      <c r="V64" s="605"/>
      <c r="W64" s="605"/>
      <c r="X64" s="578"/>
      <c r="Y64" s="381"/>
      <c r="Z64" s="381"/>
    </row>
    <row r="65" spans="2:26" x14ac:dyDescent="0.35">
      <c r="B65" s="622"/>
      <c r="E65" s="623"/>
      <c r="F65" s="381" t="s">
        <v>285</v>
      </c>
      <c r="G65" s="600" t="s">
        <v>183</v>
      </c>
      <c r="H65" s="578"/>
      <c r="I65" s="601"/>
      <c r="J65" s="600"/>
      <c r="K65" s="575"/>
      <c r="L65" s="621"/>
      <c r="M65" s="379"/>
      <c r="N65" s="380"/>
      <c r="O65" s="578"/>
      <c r="P65" s="603"/>
      <c r="Q65" s="604"/>
      <c r="R65" s="603"/>
      <c r="S65" s="603"/>
      <c r="T65" s="605"/>
      <c r="U65" s="605"/>
      <c r="V65" s="605"/>
      <c r="W65" s="605"/>
      <c r="X65" s="578"/>
      <c r="Y65" s="381"/>
      <c r="Z65" s="381"/>
    </row>
    <row r="66" spans="2:26" x14ac:dyDescent="0.35">
      <c r="B66" s="622"/>
      <c r="D66" s="598"/>
      <c r="E66" s="599"/>
      <c r="F66" s="381" t="s">
        <v>232</v>
      </c>
      <c r="G66" s="600" t="s">
        <v>183</v>
      </c>
      <c r="H66" s="578"/>
      <c r="I66" s="601"/>
      <c r="J66" s="600"/>
      <c r="K66" s="575"/>
      <c r="L66" s="621"/>
      <c r="M66" s="379"/>
      <c r="N66" s="380"/>
      <c r="O66" s="578"/>
      <c r="P66" s="603"/>
      <c r="Q66" s="604"/>
      <c r="R66" s="603"/>
      <c r="S66" s="603"/>
      <c r="T66" s="605"/>
      <c r="U66" s="605"/>
      <c r="V66" s="605"/>
      <c r="W66" s="605"/>
      <c r="X66" s="578"/>
      <c r="Y66" s="381"/>
      <c r="Z66" s="381"/>
    </row>
    <row r="67" spans="2:26" x14ac:dyDescent="0.35">
      <c r="B67" s="622"/>
      <c r="D67" s="170" t="s">
        <v>76</v>
      </c>
      <c r="E67" s="646"/>
      <c r="F67" s="381" t="s">
        <v>177</v>
      </c>
      <c r="G67" s="600" t="s">
        <v>178</v>
      </c>
      <c r="H67" s="578"/>
      <c r="I67" s="601"/>
      <c r="J67" s="600" t="s">
        <v>179</v>
      </c>
      <c r="K67" s="602">
        <v>1</v>
      </c>
      <c r="L67" s="621">
        <v>45.36</v>
      </c>
      <c r="M67" s="379">
        <v>5</v>
      </c>
      <c r="N67" s="380">
        <v>1</v>
      </c>
      <c r="O67" s="500">
        <f>K67*L67*M67*N67</f>
        <v>226.8</v>
      </c>
      <c r="P67" s="261">
        <v>180115.58081830497</v>
      </c>
      <c r="Q67" s="604">
        <f>P67*$O67</f>
        <v>40850213.729591571</v>
      </c>
      <c r="R67" s="380">
        <v>179635.86432000002</v>
      </c>
      <c r="S67" s="603">
        <f>R67*$O67</f>
        <v>40741414.02777601</v>
      </c>
      <c r="T67" s="380">
        <v>197599.45075200003</v>
      </c>
      <c r="U67" s="605">
        <f>$O67*T67</f>
        <v>44815555.430553608</v>
      </c>
      <c r="V67" s="380">
        <f>W67/O67</f>
        <v>185783.63196343501</v>
      </c>
      <c r="W67" s="267">
        <f>AVERAGEIF($P$3:$U$3,W$3,$P67:$U67)</f>
        <v>42135727.729307063</v>
      </c>
      <c r="X67" s="578"/>
      <c r="Y67" s="775">
        <f t="shared" ref="Y67:Y69" si="2">Q67/$D$1</f>
        <v>900577.90409152489</v>
      </c>
      <c r="Z67" s="381"/>
    </row>
    <row r="68" spans="2:26" x14ac:dyDescent="0.35">
      <c r="B68" s="622"/>
      <c r="E68" s="623"/>
      <c r="F68" s="381" t="s">
        <v>462</v>
      </c>
      <c r="G68" s="600" t="s">
        <v>183</v>
      </c>
      <c r="H68" s="578"/>
      <c r="I68" s="601"/>
      <c r="J68" s="600" t="s">
        <v>179</v>
      </c>
      <c r="K68" s="602">
        <v>1</v>
      </c>
      <c r="L68" s="621">
        <v>45.36</v>
      </c>
      <c r="M68" s="379">
        <v>5.0000000000000001E-3</v>
      </c>
      <c r="N68" s="380">
        <v>1</v>
      </c>
      <c r="O68" s="500">
        <f>K68*L68*M68*N68</f>
        <v>0.2268</v>
      </c>
      <c r="P68" s="261">
        <v>146143.35520312501</v>
      </c>
      <c r="Q68" s="604">
        <f>P68*$O68</f>
        <v>33145.312960068753</v>
      </c>
      <c r="R68" s="603"/>
      <c r="S68" s="603"/>
      <c r="T68" s="605"/>
      <c r="U68" s="605"/>
      <c r="V68" s="605"/>
      <c r="W68" s="605"/>
      <c r="X68" s="578"/>
      <c r="Y68" s="775">
        <f t="shared" si="2"/>
        <v>730.7167760156251</v>
      </c>
      <c r="Z68" s="381"/>
    </row>
    <row r="69" spans="2:26" x14ac:dyDescent="0.35">
      <c r="B69" s="622"/>
      <c r="E69" s="623"/>
      <c r="F69" s="381" t="s">
        <v>232</v>
      </c>
      <c r="G69" s="600" t="s">
        <v>183</v>
      </c>
      <c r="H69" s="578">
        <v>1</v>
      </c>
      <c r="I69" s="601" t="s">
        <v>228</v>
      </c>
      <c r="J69" s="600"/>
      <c r="K69" s="602">
        <v>1</v>
      </c>
      <c r="L69" s="621">
        <v>45.36</v>
      </c>
      <c r="M69" s="379">
        <f>((M$67*N$67)/240*($H69/N69))</f>
        <v>2.0833333333333332E-2</v>
      </c>
      <c r="N69" s="380">
        <v>1</v>
      </c>
      <c r="O69" s="500">
        <f>K69*L69*M69*N69</f>
        <v>0.94499999999999995</v>
      </c>
      <c r="P69" s="261">
        <v>104144.57550000001</v>
      </c>
      <c r="Q69" s="604">
        <f>P69*$O69</f>
        <v>98416.623847499999</v>
      </c>
      <c r="R69" s="603"/>
      <c r="S69" s="603"/>
      <c r="T69" s="605"/>
      <c r="U69" s="605"/>
      <c r="V69" s="605"/>
      <c r="W69" s="605"/>
      <c r="X69" s="578"/>
      <c r="Y69" s="775">
        <f t="shared" si="2"/>
        <v>2169.6786562500001</v>
      </c>
      <c r="Z69" s="381"/>
    </row>
    <row r="70" spans="2:26" x14ac:dyDescent="0.35">
      <c r="B70" s="597"/>
      <c r="C70" s="598"/>
      <c r="D70" s="598"/>
      <c r="E70" s="599"/>
      <c r="F70" s="381"/>
      <c r="G70" s="600"/>
      <c r="H70" s="578"/>
      <c r="I70" s="601"/>
      <c r="J70" s="600"/>
      <c r="K70" s="575"/>
      <c r="L70" s="621"/>
      <c r="M70" s="379"/>
      <c r="N70" s="380"/>
      <c r="O70" s="578"/>
      <c r="P70" s="603"/>
      <c r="Q70" s="604"/>
      <c r="R70" s="603"/>
      <c r="S70" s="603"/>
      <c r="T70" s="605"/>
      <c r="U70" s="605"/>
      <c r="V70" s="605"/>
      <c r="W70" s="605"/>
      <c r="X70" s="578"/>
      <c r="Y70" s="381"/>
      <c r="Z70" s="381"/>
    </row>
    <row r="71" spans="2:26" customFormat="1" x14ac:dyDescent="0.35">
      <c r="B71" s="606" t="s">
        <v>602</v>
      </c>
      <c r="C71" s="716"/>
      <c r="D71" s="716"/>
      <c r="E71" s="717"/>
      <c r="F71" s="609"/>
      <c r="G71" s="610"/>
      <c r="H71" s="611"/>
      <c r="I71" s="612"/>
      <c r="J71" s="610"/>
      <c r="K71" s="613"/>
      <c r="L71" s="614"/>
      <c r="M71" s="615"/>
      <c r="N71" s="616"/>
      <c r="O71" s="611"/>
      <c r="P71" s="617"/>
      <c r="Q71" s="618">
        <f>SUM(Q64:Q70)</f>
        <v>40981775.666399136</v>
      </c>
      <c r="R71" s="617"/>
      <c r="S71" s="718">
        <f>SUM(S60:S70)</f>
        <v>82501363.406246424</v>
      </c>
      <c r="T71" s="776"/>
      <c r="U71" s="776"/>
      <c r="V71" s="776"/>
      <c r="W71" s="776"/>
      <c r="X71" s="611"/>
      <c r="Y71" s="619">
        <f>Q71/D1</f>
        <v>903478.29952379048</v>
      </c>
      <c r="Z71" s="645">
        <f>Q71/$Q$424*100</f>
        <v>4.8247969789008964</v>
      </c>
    </row>
    <row r="72" spans="2:26" x14ac:dyDescent="0.35">
      <c r="B72" s="622"/>
      <c r="C72" s="173" t="s">
        <v>468</v>
      </c>
      <c r="E72" s="623"/>
      <c r="F72" s="381"/>
      <c r="G72" s="600"/>
      <c r="H72" s="578"/>
      <c r="I72" s="601"/>
      <c r="J72" s="600"/>
      <c r="K72" s="575"/>
      <c r="L72" s="621"/>
      <c r="M72" s="379"/>
      <c r="N72" s="380"/>
      <c r="O72" s="578"/>
      <c r="P72" s="603"/>
      <c r="Q72" s="604"/>
      <c r="R72" s="603"/>
      <c r="S72" s="603"/>
      <c r="T72" s="605"/>
      <c r="U72" s="605"/>
      <c r="V72" s="605"/>
      <c r="W72" s="605"/>
      <c r="X72" s="578"/>
      <c r="Y72" s="381"/>
      <c r="Z72" s="381"/>
    </row>
    <row r="73" spans="2:26" x14ac:dyDescent="0.35">
      <c r="B73" s="624"/>
      <c r="C73" s="170"/>
      <c r="D73" s="170" t="s">
        <v>71</v>
      </c>
      <c r="E73" s="646"/>
      <c r="F73" s="381" t="s">
        <v>177</v>
      </c>
      <c r="G73" s="600" t="s">
        <v>178</v>
      </c>
      <c r="H73" s="578"/>
      <c r="I73" s="601"/>
      <c r="J73" s="600" t="s">
        <v>179</v>
      </c>
      <c r="K73" s="602">
        <v>1</v>
      </c>
      <c r="L73" s="621">
        <v>45.36</v>
      </c>
      <c r="M73" s="379">
        <v>0.75</v>
      </c>
      <c r="N73" s="380">
        <v>3</v>
      </c>
      <c r="O73" s="500">
        <f t="shared" ref="O73:O84" si="3">K73*L73*M73*N73</f>
        <v>102.05999999999999</v>
      </c>
      <c r="P73" s="261">
        <v>180115.58081830497</v>
      </c>
      <c r="Q73" s="604">
        <f t="shared" ref="Q73:Q84" si="4">P73*$O73</f>
        <v>18382596.178316202</v>
      </c>
      <c r="R73" s="380">
        <v>179635.86432000002</v>
      </c>
      <c r="S73" s="603">
        <f t="shared" ref="S73:S84" si="5">R73*$O73</f>
        <v>18333636.312499199</v>
      </c>
      <c r="T73" s="380">
        <v>197599.45075200003</v>
      </c>
      <c r="U73" s="605">
        <f t="shared" ref="U73:U84" si="6">$O73*T73</f>
        <v>20166999.943749122</v>
      </c>
      <c r="V73" s="380">
        <f t="shared" ref="V73:V84" si="7">W73/O73</f>
        <v>185783.63196343501</v>
      </c>
      <c r="W73" s="267">
        <f t="shared" ref="W73:W84" si="8">AVERAGEIF($P$3:$U$3,W$3,$P73:$U73)</f>
        <v>18961077.478188176</v>
      </c>
      <c r="X73" s="578"/>
      <c r="Y73" s="775">
        <f t="shared" ref="Y73:Y84" si="9">Q73/$D$1</f>
        <v>405260.05684118613</v>
      </c>
      <c r="Z73" s="381"/>
    </row>
    <row r="74" spans="2:26" x14ac:dyDescent="0.35">
      <c r="B74" s="622"/>
      <c r="E74" s="623"/>
      <c r="F74" s="381" t="s">
        <v>221</v>
      </c>
      <c r="G74" s="600" t="s">
        <v>222</v>
      </c>
      <c r="H74" s="578"/>
      <c r="I74" s="601"/>
      <c r="J74" s="600" t="s">
        <v>179</v>
      </c>
      <c r="K74" s="602">
        <v>1</v>
      </c>
      <c r="L74" s="621">
        <v>45.36</v>
      </c>
      <c r="M74" s="379">
        <v>0.45</v>
      </c>
      <c r="N74" s="380">
        <v>1</v>
      </c>
      <c r="O74" s="500">
        <f t="shared" si="3"/>
        <v>20.411999999999999</v>
      </c>
      <c r="P74" s="261">
        <v>40913.940375000006</v>
      </c>
      <c r="Q74" s="604">
        <f t="shared" si="4"/>
        <v>835135.35093450011</v>
      </c>
      <c r="R74" s="380">
        <v>44533.743170400012</v>
      </c>
      <c r="S74" s="603">
        <f t="shared" si="5"/>
        <v>909022.765594205</v>
      </c>
      <c r="T74" s="380">
        <v>47651.105192328017</v>
      </c>
      <c r="U74" s="605">
        <f t="shared" si="6"/>
        <v>972654.35918579949</v>
      </c>
      <c r="V74" s="380">
        <f t="shared" si="7"/>
        <v>44366.262912576014</v>
      </c>
      <c r="W74" s="267">
        <f t="shared" si="8"/>
        <v>905604.15857150161</v>
      </c>
      <c r="X74" s="578"/>
      <c r="Y74" s="775">
        <f t="shared" si="9"/>
        <v>18411.273168750002</v>
      </c>
      <c r="Z74" s="381"/>
    </row>
    <row r="75" spans="2:26" x14ac:dyDescent="0.35">
      <c r="B75" s="622"/>
      <c r="E75" s="623"/>
      <c r="F75" s="381" t="s">
        <v>223</v>
      </c>
      <c r="G75" s="600" t="s">
        <v>181</v>
      </c>
      <c r="H75" s="578"/>
      <c r="I75" s="601"/>
      <c r="J75" s="600" t="s">
        <v>179</v>
      </c>
      <c r="K75" s="602">
        <v>1</v>
      </c>
      <c r="L75" s="621">
        <v>45.36</v>
      </c>
      <c r="M75" s="379">
        <f>18/1000</f>
        <v>1.7999999999999999E-2</v>
      </c>
      <c r="N75" s="380">
        <v>1</v>
      </c>
      <c r="O75" s="500">
        <f t="shared" si="3"/>
        <v>0.81647999999999998</v>
      </c>
      <c r="P75" s="261">
        <v>111583.47375</v>
      </c>
      <c r="Q75" s="604">
        <f t="shared" si="4"/>
        <v>91105.674647399996</v>
      </c>
      <c r="R75" s="380">
        <v>121455.66319200002</v>
      </c>
      <c r="S75" s="603">
        <f t="shared" si="5"/>
        <v>99166.119883004183</v>
      </c>
      <c r="T75" s="380">
        <v>129957.55961544003</v>
      </c>
      <c r="U75" s="605">
        <f t="shared" si="6"/>
        <v>106107.74827481447</v>
      </c>
      <c r="V75" s="380">
        <f t="shared" si="7"/>
        <v>120998.89885248002</v>
      </c>
      <c r="W75" s="267">
        <f t="shared" si="8"/>
        <v>98793.180935072887</v>
      </c>
      <c r="X75" s="578"/>
      <c r="Y75" s="775">
        <f t="shared" si="9"/>
        <v>2008.5025274999998</v>
      </c>
      <c r="Z75" s="381"/>
    </row>
    <row r="76" spans="2:26" x14ac:dyDescent="0.35">
      <c r="B76" s="622"/>
      <c r="E76" s="623"/>
      <c r="F76" s="381" t="s">
        <v>225</v>
      </c>
      <c r="G76" s="600" t="s">
        <v>222</v>
      </c>
      <c r="H76" s="578"/>
      <c r="I76" s="601"/>
      <c r="J76" s="600" t="s">
        <v>179</v>
      </c>
      <c r="K76" s="602">
        <v>1</v>
      </c>
      <c r="L76" s="621">
        <v>45.36</v>
      </c>
      <c r="M76" s="379">
        <v>0.13500000000000001</v>
      </c>
      <c r="N76" s="380">
        <v>3</v>
      </c>
      <c r="O76" s="500">
        <f t="shared" si="3"/>
        <v>18.370800000000003</v>
      </c>
      <c r="P76" s="261">
        <v>52072.287750000003</v>
      </c>
      <c r="Q76" s="604">
        <f t="shared" si="4"/>
        <v>956609.58379770024</v>
      </c>
      <c r="R76" s="380">
        <v>56679.309489600004</v>
      </c>
      <c r="S76" s="603">
        <f t="shared" si="5"/>
        <v>1041244.2587715439</v>
      </c>
      <c r="T76" s="380">
        <v>60646.861153872007</v>
      </c>
      <c r="U76" s="605">
        <f t="shared" si="6"/>
        <v>1114131.3568855519</v>
      </c>
      <c r="V76" s="380">
        <f t="shared" si="7"/>
        <v>56466.152797824005</v>
      </c>
      <c r="W76" s="267">
        <f t="shared" si="8"/>
        <v>1037328.3998182653</v>
      </c>
      <c r="X76" s="578"/>
      <c r="Y76" s="775">
        <f t="shared" si="9"/>
        <v>21089.276538750004</v>
      </c>
      <c r="Z76" s="381"/>
    </row>
    <row r="77" spans="2:26" x14ac:dyDescent="0.35">
      <c r="B77" s="622"/>
      <c r="E77" s="623"/>
      <c r="F77" s="381" t="s">
        <v>573</v>
      </c>
      <c r="G77" s="600" t="s">
        <v>222</v>
      </c>
      <c r="H77" s="578"/>
      <c r="I77" s="601"/>
      <c r="J77" s="600" t="s">
        <v>179</v>
      </c>
      <c r="K77" s="602">
        <v>1</v>
      </c>
      <c r="L77" s="621">
        <v>45.36</v>
      </c>
      <c r="M77" s="379">
        <v>0.5</v>
      </c>
      <c r="N77" s="380">
        <v>2</v>
      </c>
      <c r="O77" s="500">
        <f t="shared" si="3"/>
        <v>45.36</v>
      </c>
      <c r="P77" s="261">
        <v>172024.52203125003</v>
      </c>
      <c r="Q77" s="604">
        <f t="shared" si="4"/>
        <v>7803032.3193375012</v>
      </c>
      <c r="R77" s="380"/>
      <c r="S77" s="603"/>
      <c r="T77" s="380"/>
      <c r="U77" s="605"/>
      <c r="V77" s="380"/>
      <c r="W77" s="267"/>
      <c r="X77" s="578"/>
      <c r="Y77" s="775">
        <f t="shared" si="9"/>
        <v>172024.52203125003</v>
      </c>
      <c r="Z77" s="381"/>
    </row>
    <row r="78" spans="2:26" x14ac:dyDescent="0.35">
      <c r="B78" s="622"/>
      <c r="E78" s="623"/>
      <c r="F78" s="381" t="s">
        <v>226</v>
      </c>
      <c r="G78" s="600" t="s">
        <v>178</v>
      </c>
      <c r="H78" s="578"/>
      <c r="I78" s="601"/>
      <c r="J78" s="600" t="s">
        <v>179</v>
      </c>
      <c r="K78" s="602">
        <v>1</v>
      </c>
      <c r="L78" s="621">
        <v>45.36</v>
      </c>
      <c r="M78" s="379">
        <f>M73</f>
        <v>0.75</v>
      </c>
      <c r="N78" s="380">
        <v>3</v>
      </c>
      <c r="O78" s="500">
        <f t="shared" si="3"/>
        <v>102.05999999999999</v>
      </c>
      <c r="P78" s="261">
        <v>4759.9254973124989</v>
      </c>
      <c r="Q78" s="604">
        <f t="shared" si="4"/>
        <v>485797.99625571357</v>
      </c>
      <c r="R78" s="380">
        <v>4849.8912000000009</v>
      </c>
      <c r="S78" s="603">
        <f t="shared" si="5"/>
        <v>494979.89587200002</v>
      </c>
      <c r="T78" s="380">
        <v>5237.8824960000011</v>
      </c>
      <c r="U78" s="605">
        <f t="shared" si="6"/>
        <v>534578.28754176002</v>
      </c>
      <c r="V78" s="380">
        <f t="shared" si="7"/>
        <v>4949.2330644375006</v>
      </c>
      <c r="W78" s="267">
        <f t="shared" si="8"/>
        <v>505118.72655649128</v>
      </c>
      <c r="X78" s="578"/>
      <c r="Y78" s="775">
        <f t="shared" si="9"/>
        <v>10709.832368953121</v>
      </c>
      <c r="Z78" s="381"/>
    </row>
    <row r="79" spans="2:26" x14ac:dyDescent="0.35">
      <c r="B79" s="622"/>
      <c r="E79" s="623"/>
      <c r="F79" s="381" t="s">
        <v>220</v>
      </c>
      <c r="G79" s="600" t="s">
        <v>183</v>
      </c>
      <c r="H79" s="578"/>
      <c r="I79" s="601"/>
      <c r="J79" s="600" t="s">
        <v>179</v>
      </c>
      <c r="K79" s="602">
        <v>1</v>
      </c>
      <c r="L79" s="621">
        <v>45.36</v>
      </c>
      <c r="M79" s="379">
        <f>0.00625*(1/2)</f>
        <v>3.1250000000000002E-3</v>
      </c>
      <c r="N79" s="380">
        <v>3</v>
      </c>
      <c r="O79" s="500">
        <f t="shared" si="3"/>
        <v>0.42525000000000002</v>
      </c>
      <c r="P79" s="261">
        <v>1660951.0021781253</v>
      </c>
      <c r="Q79" s="604">
        <f t="shared" si="4"/>
        <v>706319.41367624782</v>
      </c>
      <c r="R79" s="380">
        <v>1721356.7670720001</v>
      </c>
      <c r="S79" s="603">
        <f t="shared" si="5"/>
        <v>732006.96519736806</v>
      </c>
      <c r="T79" s="380">
        <v>1859065.3084377602</v>
      </c>
      <c r="U79" s="605">
        <f t="shared" si="6"/>
        <v>790567.52241315751</v>
      </c>
      <c r="V79" s="380">
        <f t="shared" si="7"/>
        <v>1747124.359229295</v>
      </c>
      <c r="W79" s="267">
        <f t="shared" si="8"/>
        <v>742964.63376225776</v>
      </c>
      <c r="X79" s="578"/>
      <c r="Y79" s="775">
        <f t="shared" si="9"/>
        <v>15571.415645419926</v>
      </c>
      <c r="Z79" s="381"/>
    </row>
    <row r="80" spans="2:26" x14ac:dyDescent="0.35">
      <c r="B80" s="622"/>
      <c r="E80" s="623"/>
      <c r="F80" s="381" t="s">
        <v>227</v>
      </c>
      <c r="G80" s="600" t="s">
        <v>183</v>
      </c>
      <c r="H80" s="578">
        <v>4</v>
      </c>
      <c r="I80" s="601" t="s">
        <v>228</v>
      </c>
      <c r="J80" s="600" t="s">
        <v>179</v>
      </c>
      <c r="K80" s="602">
        <v>1</v>
      </c>
      <c r="L80" s="621">
        <v>45.36</v>
      </c>
      <c r="M80" s="379">
        <f>((M$73*N$73)/240*($H80/N80))</f>
        <v>1.2499999999999999E-2</v>
      </c>
      <c r="N80" s="380">
        <v>3</v>
      </c>
      <c r="O80" s="500">
        <f t="shared" si="3"/>
        <v>1.7009999999999998</v>
      </c>
      <c r="P80" s="261">
        <v>52072.287750000003</v>
      </c>
      <c r="Q80" s="604">
        <f t="shared" si="4"/>
        <v>88574.961462749998</v>
      </c>
      <c r="R80" s="380">
        <v>53966.062080000011</v>
      </c>
      <c r="S80" s="603">
        <f t="shared" si="5"/>
        <v>91796.271598080013</v>
      </c>
      <c r="T80" s="380">
        <v>58283.347046400013</v>
      </c>
      <c r="U80" s="605">
        <f t="shared" si="6"/>
        <v>99139.973325926418</v>
      </c>
      <c r="V80" s="380">
        <f t="shared" si="7"/>
        <v>54773.898958800011</v>
      </c>
      <c r="W80" s="267">
        <f t="shared" si="8"/>
        <v>93170.402128918809</v>
      </c>
      <c r="X80" s="647"/>
      <c r="Y80" s="775">
        <f t="shared" si="9"/>
        <v>1952.7107906250001</v>
      </c>
      <c r="Z80" s="381"/>
    </row>
    <row r="81" spans="2:26" x14ac:dyDescent="0.35">
      <c r="B81" s="622"/>
      <c r="E81" s="623"/>
      <c r="F81" s="381" t="s">
        <v>229</v>
      </c>
      <c r="G81" s="600" t="s">
        <v>183</v>
      </c>
      <c r="H81" s="578">
        <v>12</v>
      </c>
      <c r="I81" s="601" t="s">
        <v>228</v>
      </c>
      <c r="J81" s="600" t="s">
        <v>179</v>
      </c>
      <c r="K81" s="602">
        <v>1</v>
      </c>
      <c r="L81" s="621">
        <v>45.36</v>
      </c>
      <c r="M81" s="379">
        <f>((M$73*N$73)/240*($H81/N81))</f>
        <v>3.7499999999999999E-2</v>
      </c>
      <c r="N81" s="380">
        <v>3</v>
      </c>
      <c r="O81" s="500">
        <f t="shared" si="3"/>
        <v>5.1029999999999998</v>
      </c>
      <c r="P81" s="261">
        <v>17017.087500000001</v>
      </c>
      <c r="Q81" s="604">
        <f t="shared" si="4"/>
        <v>86838.197512500003</v>
      </c>
      <c r="R81" s="380">
        <v>17635.968000000004</v>
      </c>
      <c r="S81" s="603">
        <f t="shared" si="5"/>
        <v>89996.344704000017</v>
      </c>
      <c r="T81" s="380">
        <v>19046.845440000005</v>
      </c>
      <c r="U81" s="605">
        <f t="shared" si="6"/>
        <v>97196.052280320015</v>
      </c>
      <c r="V81" s="380">
        <f t="shared" si="7"/>
        <v>17899.966980000005</v>
      </c>
      <c r="W81" s="267">
        <f t="shared" si="8"/>
        <v>91343.531498940021</v>
      </c>
      <c r="X81" s="647"/>
      <c r="Y81" s="775">
        <f t="shared" si="9"/>
        <v>1914.42234375</v>
      </c>
      <c r="Z81" s="381"/>
    </row>
    <row r="82" spans="2:26" x14ac:dyDescent="0.35">
      <c r="B82" s="622"/>
      <c r="E82" s="623"/>
      <c r="F82" s="381" t="s">
        <v>230</v>
      </c>
      <c r="G82" s="600" t="s">
        <v>183</v>
      </c>
      <c r="H82" s="578">
        <v>1</v>
      </c>
      <c r="I82" s="601" t="s">
        <v>228</v>
      </c>
      <c r="J82" s="600" t="s">
        <v>179</v>
      </c>
      <c r="K82" s="602">
        <v>1</v>
      </c>
      <c r="L82" s="621">
        <v>45.36</v>
      </c>
      <c r="M82" s="379">
        <f>((M$73*N$73)/240*($H82/N82))</f>
        <v>3.1249999999999997E-3</v>
      </c>
      <c r="N82" s="380">
        <v>3</v>
      </c>
      <c r="O82" s="500">
        <f t="shared" si="3"/>
        <v>0.42524999999999996</v>
      </c>
      <c r="P82" s="261">
        <v>45563.251781250008</v>
      </c>
      <c r="Q82" s="604">
        <f t="shared" si="4"/>
        <v>19375.772819976562</v>
      </c>
      <c r="R82" s="380">
        <v>47220.30432000001</v>
      </c>
      <c r="S82" s="603">
        <f t="shared" si="5"/>
        <v>20080.434412080001</v>
      </c>
      <c r="T82" s="380">
        <v>50997.928665600011</v>
      </c>
      <c r="U82" s="605">
        <f t="shared" si="6"/>
        <v>21686.869165046402</v>
      </c>
      <c r="V82" s="380">
        <f t="shared" si="7"/>
        <v>47927.16158895001</v>
      </c>
      <c r="W82" s="267">
        <f t="shared" si="8"/>
        <v>20381.02546570099</v>
      </c>
      <c r="X82" s="647"/>
      <c r="Y82" s="775">
        <f t="shared" si="9"/>
        <v>427.15548544921876</v>
      </c>
      <c r="Z82" s="381"/>
    </row>
    <row r="83" spans="2:26" x14ac:dyDescent="0.35">
      <c r="B83" s="622"/>
      <c r="E83" s="623"/>
      <c r="F83" s="381" t="s">
        <v>231</v>
      </c>
      <c r="G83" s="600" t="s">
        <v>183</v>
      </c>
      <c r="H83" s="578">
        <v>2</v>
      </c>
      <c r="I83" s="601" t="s">
        <v>228</v>
      </c>
      <c r="J83" s="600" t="s">
        <v>179</v>
      </c>
      <c r="K83" s="602">
        <v>1</v>
      </c>
      <c r="L83" s="621">
        <v>45.36</v>
      </c>
      <c r="M83" s="379">
        <f>((M$73*N$73)/240*($H83/N83))</f>
        <v>6.2499999999999995E-3</v>
      </c>
      <c r="N83" s="380">
        <v>3</v>
      </c>
      <c r="O83" s="500">
        <f t="shared" si="3"/>
        <v>0.85049999999999992</v>
      </c>
      <c r="P83" s="261">
        <v>39054.215812500006</v>
      </c>
      <c r="Q83" s="604">
        <f t="shared" si="4"/>
        <v>33215.610548531251</v>
      </c>
      <c r="R83" s="380">
        <v>40474.546560000003</v>
      </c>
      <c r="S83" s="603">
        <f t="shared" si="5"/>
        <v>34423.601849279999</v>
      </c>
      <c r="T83" s="380">
        <v>43712.510284800002</v>
      </c>
      <c r="U83" s="605">
        <f t="shared" si="6"/>
        <v>37177.489997222401</v>
      </c>
      <c r="V83" s="380">
        <f t="shared" si="7"/>
        <v>41080.424219100001</v>
      </c>
      <c r="W83" s="267">
        <f t="shared" si="8"/>
        <v>34938.900798344548</v>
      </c>
      <c r="X83" s="647"/>
      <c r="Y83" s="775">
        <f t="shared" si="9"/>
        <v>732.266546484375</v>
      </c>
      <c r="Z83" s="381"/>
    </row>
    <row r="84" spans="2:26" x14ac:dyDescent="0.35">
      <c r="B84" s="622"/>
      <c r="D84" s="598"/>
      <c r="E84" s="599"/>
      <c r="F84" s="381" t="s">
        <v>232</v>
      </c>
      <c r="G84" s="600" t="s">
        <v>183</v>
      </c>
      <c r="H84" s="578">
        <v>1</v>
      </c>
      <c r="I84" s="601" t="s">
        <v>228</v>
      </c>
      <c r="J84" s="600" t="s">
        <v>179</v>
      </c>
      <c r="K84" s="602">
        <v>1</v>
      </c>
      <c r="L84" s="621">
        <v>45.36</v>
      </c>
      <c r="M84" s="379">
        <f>((M$73*N$73)/240*($H84/N84))</f>
        <v>3.1249999999999997E-3</v>
      </c>
      <c r="N84" s="380">
        <v>3</v>
      </c>
      <c r="O84" s="500">
        <f t="shared" si="3"/>
        <v>0.42524999999999996</v>
      </c>
      <c r="P84" s="261">
        <v>104144.57550000001</v>
      </c>
      <c r="Q84" s="604">
        <f t="shared" si="4"/>
        <v>44287.480731374999</v>
      </c>
      <c r="R84" s="380">
        <v>107932.12416000002</v>
      </c>
      <c r="S84" s="603">
        <f t="shared" si="5"/>
        <v>45898.135799040007</v>
      </c>
      <c r="T84" s="380">
        <v>116566.69409280003</v>
      </c>
      <c r="U84" s="605">
        <f t="shared" si="6"/>
        <v>49569.986662963209</v>
      </c>
      <c r="V84" s="380">
        <f t="shared" si="7"/>
        <v>109547.79791760002</v>
      </c>
      <c r="W84" s="267">
        <f t="shared" si="8"/>
        <v>46585.201064459405</v>
      </c>
      <c r="X84" s="647"/>
      <c r="Y84" s="775">
        <f t="shared" si="9"/>
        <v>976.35539531250004</v>
      </c>
      <c r="Z84" s="381"/>
    </row>
    <row r="85" spans="2:26" customFormat="1" ht="29.25" customHeight="1" x14ac:dyDescent="0.35">
      <c r="B85" s="606" t="s">
        <v>603</v>
      </c>
      <c r="C85" s="716"/>
      <c r="D85" s="716"/>
      <c r="E85" s="717"/>
      <c r="F85" s="609"/>
      <c r="G85" s="610"/>
      <c r="H85" s="611"/>
      <c r="I85" s="612"/>
      <c r="J85" s="610"/>
      <c r="K85" s="613"/>
      <c r="L85" s="614"/>
      <c r="M85" s="615"/>
      <c r="N85" s="616"/>
      <c r="O85" s="611"/>
      <c r="P85" s="617"/>
      <c r="Q85" s="618">
        <f>SUM(Q73:Q84)</f>
        <v>29532888.5400404</v>
      </c>
      <c r="R85" s="617"/>
      <c r="S85" s="718">
        <f>SUM(S73:S84)</f>
        <v>21892251.1061798</v>
      </c>
      <c r="T85" s="776"/>
      <c r="U85" s="776"/>
      <c r="V85" s="776"/>
      <c r="W85" s="776"/>
      <c r="X85" s="611"/>
      <c r="Y85" s="645">
        <f>Q85/D1</f>
        <v>651077.78968343034</v>
      </c>
      <c r="Z85" s="645">
        <f>Q85/$Q$424*100</f>
        <v>3.4769159971521488</v>
      </c>
    </row>
    <row r="86" spans="2:26" x14ac:dyDescent="0.35">
      <c r="B86" s="622"/>
      <c r="D86" s="170" t="s">
        <v>470</v>
      </c>
      <c r="E86" s="646"/>
      <c r="F86" s="381" t="s">
        <v>177</v>
      </c>
      <c r="G86" s="600" t="s">
        <v>178</v>
      </c>
      <c r="H86" s="578"/>
      <c r="I86" s="601"/>
      <c r="J86" s="600"/>
      <c r="K86" s="575"/>
      <c r="L86" s="621"/>
      <c r="M86" s="379"/>
      <c r="N86" s="380"/>
      <c r="O86" s="578"/>
      <c r="P86" s="603"/>
      <c r="Q86" s="604"/>
      <c r="R86" s="603"/>
      <c r="S86" s="603"/>
      <c r="T86" s="605"/>
      <c r="U86" s="605"/>
      <c r="V86" s="605"/>
      <c r="W86" s="605"/>
      <c r="X86" s="578"/>
      <c r="Y86" s="381"/>
      <c r="Z86" s="381"/>
    </row>
    <row r="87" spans="2:26" x14ac:dyDescent="0.35">
      <c r="B87" s="622"/>
      <c r="E87" s="623"/>
      <c r="F87" s="381" t="s">
        <v>221</v>
      </c>
      <c r="G87" s="600" t="s">
        <v>222</v>
      </c>
      <c r="H87" s="578"/>
      <c r="I87" s="601"/>
      <c r="J87" s="600"/>
      <c r="K87" s="575"/>
      <c r="L87" s="621"/>
      <c r="M87" s="379"/>
      <c r="N87" s="380"/>
      <c r="O87" s="578"/>
      <c r="P87" s="603"/>
      <c r="Q87" s="604"/>
      <c r="R87" s="603"/>
      <c r="S87" s="603"/>
      <c r="T87" s="605"/>
      <c r="U87" s="605"/>
      <c r="V87" s="605"/>
      <c r="W87" s="605"/>
      <c r="X87" s="578"/>
      <c r="Y87" s="381"/>
      <c r="Z87" s="381"/>
    </row>
    <row r="88" spans="2:26" x14ac:dyDescent="0.35">
      <c r="B88" s="622"/>
      <c r="E88" s="623"/>
      <c r="F88" s="381" t="s">
        <v>223</v>
      </c>
      <c r="G88" s="600" t="s">
        <v>181</v>
      </c>
      <c r="H88" s="578"/>
      <c r="I88" s="601"/>
      <c r="J88" s="600"/>
      <c r="K88" s="575"/>
      <c r="L88" s="621"/>
      <c r="M88" s="379"/>
      <c r="N88" s="380"/>
      <c r="O88" s="578"/>
      <c r="P88" s="603"/>
      <c r="Q88" s="604"/>
      <c r="R88" s="603"/>
      <c r="S88" s="603"/>
      <c r="T88" s="605"/>
      <c r="U88" s="605"/>
      <c r="V88" s="605"/>
      <c r="W88" s="605"/>
      <c r="X88" s="578"/>
      <c r="Y88" s="381"/>
      <c r="Z88" s="381"/>
    </row>
    <row r="89" spans="2:26" x14ac:dyDescent="0.35">
      <c r="B89" s="622"/>
      <c r="E89" s="623"/>
      <c r="F89" s="381" t="s">
        <v>225</v>
      </c>
      <c r="G89" s="600" t="s">
        <v>222</v>
      </c>
      <c r="H89" s="578"/>
      <c r="I89" s="601"/>
      <c r="J89" s="600"/>
      <c r="K89" s="575"/>
      <c r="L89" s="621"/>
      <c r="M89" s="379"/>
      <c r="N89" s="380"/>
      <c r="O89" s="578"/>
      <c r="P89" s="603"/>
      <c r="Q89" s="604"/>
      <c r="R89" s="603"/>
      <c r="S89" s="603"/>
      <c r="T89" s="605"/>
      <c r="U89" s="605"/>
      <c r="V89" s="605"/>
      <c r="W89" s="605"/>
      <c r="X89" s="578"/>
      <c r="Y89" s="381"/>
      <c r="Z89" s="381"/>
    </row>
    <row r="90" spans="2:26" x14ac:dyDescent="0.35">
      <c r="B90" s="622"/>
      <c r="E90" s="623"/>
      <c r="F90" s="381" t="s">
        <v>226</v>
      </c>
      <c r="G90" s="600" t="s">
        <v>178</v>
      </c>
      <c r="H90" s="578"/>
      <c r="I90" s="601"/>
      <c r="J90" s="600"/>
      <c r="K90" s="575"/>
      <c r="L90" s="621"/>
      <c r="M90" s="379"/>
      <c r="N90" s="380"/>
      <c r="O90" s="578"/>
      <c r="P90" s="603"/>
      <c r="Q90" s="604"/>
      <c r="R90" s="603"/>
      <c r="S90" s="603"/>
      <c r="T90" s="605"/>
      <c r="U90" s="605"/>
      <c r="V90" s="605"/>
      <c r="W90" s="605"/>
      <c r="X90" s="578"/>
      <c r="Y90" s="381"/>
      <c r="Z90" s="381"/>
    </row>
    <row r="91" spans="2:26" x14ac:dyDescent="0.35">
      <c r="B91" s="622"/>
      <c r="E91" s="623"/>
      <c r="F91" s="381" t="s">
        <v>220</v>
      </c>
      <c r="G91" s="600" t="s">
        <v>183</v>
      </c>
      <c r="H91" s="578"/>
      <c r="I91" s="601"/>
      <c r="J91" s="600"/>
      <c r="K91" s="575"/>
      <c r="L91" s="621"/>
      <c r="M91" s="379"/>
      <c r="N91" s="380"/>
      <c r="O91" s="578"/>
      <c r="P91" s="603"/>
      <c r="Q91" s="604"/>
      <c r="R91" s="603"/>
      <c r="S91" s="603"/>
      <c r="T91" s="605"/>
      <c r="U91" s="605"/>
      <c r="V91" s="605"/>
      <c r="W91" s="605"/>
      <c r="X91" s="578"/>
      <c r="Y91" s="381"/>
      <c r="Z91" s="381"/>
    </row>
    <row r="92" spans="2:26" x14ac:dyDescent="0.35">
      <c r="B92" s="622"/>
      <c r="E92" s="623"/>
      <c r="F92" s="381" t="s">
        <v>227</v>
      </c>
      <c r="G92" s="600" t="s">
        <v>183</v>
      </c>
      <c r="H92" s="578"/>
      <c r="I92" s="601"/>
      <c r="J92" s="600"/>
      <c r="K92" s="575"/>
      <c r="L92" s="621"/>
      <c r="M92" s="379"/>
      <c r="N92" s="380"/>
      <c r="O92" s="578"/>
      <c r="P92" s="603"/>
      <c r="Q92" s="604"/>
      <c r="R92" s="603"/>
      <c r="S92" s="603"/>
      <c r="T92" s="605"/>
      <c r="U92" s="605"/>
      <c r="V92" s="605"/>
      <c r="W92" s="605"/>
      <c r="X92" s="578"/>
      <c r="Y92" s="381"/>
      <c r="Z92" s="381"/>
    </row>
    <row r="93" spans="2:26" x14ac:dyDescent="0.35">
      <c r="B93" s="622"/>
      <c r="E93" s="623"/>
      <c r="F93" s="381" t="s">
        <v>453</v>
      </c>
      <c r="G93" s="600" t="s">
        <v>183</v>
      </c>
      <c r="H93" s="578"/>
      <c r="I93" s="601"/>
      <c r="J93" s="600"/>
      <c r="K93" s="575"/>
      <c r="L93" s="621"/>
      <c r="M93" s="379"/>
      <c r="N93" s="380"/>
      <c r="O93" s="578"/>
      <c r="P93" s="603"/>
      <c r="Q93" s="604"/>
      <c r="R93" s="603"/>
      <c r="S93" s="603"/>
      <c r="T93" s="605"/>
      <c r="U93" s="605"/>
      <c r="V93" s="605"/>
      <c r="W93" s="605"/>
      <c r="X93" s="578"/>
      <c r="Y93" s="381"/>
      <c r="Z93" s="381"/>
    </row>
    <row r="94" spans="2:26" x14ac:dyDescent="0.35">
      <c r="B94" s="622"/>
      <c r="E94" s="623"/>
      <c r="F94" s="381" t="s">
        <v>230</v>
      </c>
      <c r="G94" s="600" t="s">
        <v>183</v>
      </c>
      <c r="H94" s="578"/>
      <c r="I94" s="601"/>
      <c r="J94" s="600"/>
      <c r="K94" s="575"/>
      <c r="L94" s="621"/>
      <c r="M94" s="379"/>
      <c r="N94" s="380"/>
      <c r="O94" s="578"/>
      <c r="P94" s="603"/>
      <c r="Q94" s="604"/>
      <c r="R94" s="603"/>
      <c r="S94" s="603"/>
      <c r="T94" s="605"/>
      <c r="U94" s="605"/>
      <c r="V94" s="605"/>
      <c r="W94" s="605"/>
      <c r="X94" s="578"/>
      <c r="Y94" s="381"/>
      <c r="Z94" s="381"/>
    </row>
    <row r="95" spans="2:26" x14ac:dyDescent="0.35">
      <c r="B95" s="622"/>
      <c r="E95" s="623"/>
      <c r="F95" s="381" t="s">
        <v>231</v>
      </c>
      <c r="G95" s="600" t="s">
        <v>183</v>
      </c>
      <c r="H95" s="578"/>
      <c r="I95" s="601"/>
      <c r="J95" s="600"/>
      <c r="K95" s="575"/>
      <c r="L95" s="621"/>
      <c r="M95" s="379"/>
      <c r="N95" s="380"/>
      <c r="O95" s="578"/>
      <c r="P95" s="603"/>
      <c r="Q95" s="604"/>
      <c r="R95" s="603"/>
      <c r="S95" s="603"/>
      <c r="T95" s="605"/>
      <c r="U95" s="605"/>
      <c r="V95" s="605"/>
      <c r="W95" s="605"/>
      <c r="X95" s="578"/>
      <c r="Y95" s="381"/>
      <c r="Z95" s="381"/>
    </row>
    <row r="96" spans="2:26" x14ac:dyDescent="0.35">
      <c r="B96" s="622"/>
      <c r="D96" s="598"/>
      <c r="E96" s="599"/>
      <c r="F96" s="381" t="s">
        <v>232</v>
      </c>
      <c r="G96" s="600" t="s">
        <v>183</v>
      </c>
      <c r="H96" s="578"/>
      <c r="I96" s="601"/>
      <c r="J96" s="600"/>
      <c r="K96" s="575"/>
      <c r="L96" s="621"/>
      <c r="M96" s="379"/>
      <c r="N96" s="380"/>
      <c r="O96" s="578"/>
      <c r="P96" s="603"/>
      <c r="Q96" s="604"/>
      <c r="R96" s="603"/>
      <c r="S96" s="603"/>
      <c r="T96" s="605"/>
      <c r="U96" s="605"/>
      <c r="V96" s="605"/>
      <c r="W96" s="605"/>
      <c r="X96" s="578"/>
      <c r="Y96" s="381"/>
      <c r="Z96" s="381"/>
    </row>
    <row r="97" spans="2:26" x14ac:dyDescent="0.35">
      <c r="B97" s="622"/>
      <c r="D97" s="170" t="s">
        <v>471</v>
      </c>
      <c r="E97" s="646"/>
      <c r="F97" s="381" t="s">
        <v>177</v>
      </c>
      <c r="G97" s="600" t="s">
        <v>178</v>
      </c>
      <c r="H97" s="578"/>
      <c r="I97" s="601"/>
      <c r="J97" s="600"/>
      <c r="K97" s="575"/>
      <c r="L97" s="621"/>
      <c r="M97" s="379"/>
      <c r="N97" s="380"/>
      <c r="O97" s="578"/>
      <c r="P97" s="603"/>
      <c r="Q97" s="604"/>
      <c r="R97" s="603"/>
      <c r="S97" s="603"/>
      <c r="T97" s="605"/>
      <c r="U97" s="605"/>
      <c r="V97" s="605"/>
      <c r="W97" s="605"/>
      <c r="X97" s="578"/>
      <c r="Y97" s="381"/>
      <c r="Z97" s="381"/>
    </row>
    <row r="98" spans="2:26" x14ac:dyDescent="0.35">
      <c r="B98" s="622"/>
      <c r="E98" s="623"/>
      <c r="F98" s="381" t="s">
        <v>221</v>
      </c>
      <c r="G98" s="600" t="s">
        <v>222</v>
      </c>
      <c r="H98" s="578"/>
      <c r="I98" s="601"/>
      <c r="J98" s="600"/>
      <c r="K98" s="575"/>
      <c r="L98" s="621"/>
      <c r="M98" s="379"/>
      <c r="N98" s="380"/>
      <c r="O98" s="578"/>
      <c r="P98" s="603"/>
      <c r="Q98" s="604"/>
      <c r="R98" s="603"/>
      <c r="S98" s="603"/>
      <c r="T98" s="605"/>
      <c r="U98" s="605"/>
      <c r="V98" s="605"/>
      <c r="W98" s="605"/>
      <c r="X98" s="578"/>
      <c r="Y98" s="381"/>
      <c r="Z98" s="381"/>
    </row>
    <row r="99" spans="2:26" x14ac:dyDescent="0.35">
      <c r="B99" s="622"/>
      <c r="E99" s="623"/>
      <c r="F99" s="381" t="s">
        <v>223</v>
      </c>
      <c r="G99" s="600" t="s">
        <v>181</v>
      </c>
      <c r="H99" s="578"/>
      <c r="I99" s="601"/>
      <c r="J99" s="600"/>
      <c r="K99" s="575"/>
      <c r="L99" s="621"/>
      <c r="M99" s="379"/>
      <c r="N99" s="380"/>
      <c r="O99" s="578"/>
      <c r="P99" s="603"/>
      <c r="Q99" s="604"/>
      <c r="R99" s="603"/>
      <c r="S99" s="603"/>
      <c r="T99" s="605"/>
      <c r="U99" s="605"/>
      <c r="V99" s="605"/>
      <c r="W99" s="605"/>
      <c r="X99" s="578"/>
      <c r="Y99" s="381"/>
      <c r="Z99" s="381"/>
    </row>
    <row r="100" spans="2:26" x14ac:dyDescent="0.35">
      <c r="B100" s="622"/>
      <c r="E100" s="623"/>
      <c r="F100" s="381" t="s">
        <v>225</v>
      </c>
      <c r="G100" s="600" t="s">
        <v>222</v>
      </c>
      <c r="H100" s="578"/>
      <c r="I100" s="601"/>
      <c r="J100" s="600"/>
      <c r="K100" s="575"/>
      <c r="L100" s="621"/>
      <c r="M100" s="379"/>
      <c r="N100" s="380"/>
      <c r="O100" s="578"/>
      <c r="P100" s="603"/>
      <c r="Q100" s="604"/>
      <c r="R100" s="603"/>
      <c r="S100" s="603"/>
      <c r="T100" s="605"/>
      <c r="U100" s="605"/>
      <c r="V100" s="605"/>
      <c r="W100" s="605"/>
      <c r="X100" s="578"/>
      <c r="Y100" s="381"/>
      <c r="Z100" s="381"/>
    </row>
    <row r="101" spans="2:26" x14ac:dyDescent="0.35">
      <c r="B101" s="622"/>
      <c r="E101" s="623"/>
      <c r="F101" s="381" t="s">
        <v>226</v>
      </c>
      <c r="G101" s="600" t="s">
        <v>178</v>
      </c>
      <c r="H101" s="578"/>
      <c r="I101" s="601"/>
      <c r="J101" s="600"/>
      <c r="K101" s="575"/>
      <c r="L101" s="621"/>
      <c r="M101" s="379"/>
      <c r="N101" s="380"/>
      <c r="O101" s="578"/>
      <c r="P101" s="603"/>
      <c r="Q101" s="604"/>
      <c r="R101" s="603"/>
      <c r="S101" s="603"/>
      <c r="T101" s="605"/>
      <c r="U101" s="605"/>
      <c r="V101" s="605"/>
      <c r="W101" s="605"/>
      <c r="X101" s="578"/>
      <c r="Y101" s="381"/>
      <c r="Z101" s="381"/>
    </row>
    <row r="102" spans="2:26" x14ac:dyDescent="0.35">
      <c r="B102" s="622"/>
      <c r="E102" s="623"/>
      <c r="F102" s="381" t="s">
        <v>220</v>
      </c>
      <c r="G102" s="600" t="s">
        <v>183</v>
      </c>
      <c r="H102" s="578"/>
      <c r="I102" s="601"/>
      <c r="J102" s="600"/>
      <c r="K102" s="575"/>
      <c r="L102" s="621"/>
      <c r="M102" s="379"/>
      <c r="N102" s="380"/>
      <c r="O102" s="578"/>
      <c r="P102" s="603"/>
      <c r="Q102" s="604"/>
      <c r="R102" s="603"/>
      <c r="S102" s="603"/>
      <c r="T102" s="605"/>
      <c r="U102" s="605"/>
      <c r="V102" s="605"/>
      <c r="W102" s="605"/>
      <c r="X102" s="578"/>
      <c r="Y102" s="381"/>
      <c r="Z102" s="381"/>
    </row>
    <row r="103" spans="2:26" x14ac:dyDescent="0.35">
      <c r="B103" s="622"/>
      <c r="E103" s="623"/>
      <c r="F103" s="381" t="s">
        <v>227</v>
      </c>
      <c r="G103" s="600" t="s">
        <v>183</v>
      </c>
      <c r="H103" s="578"/>
      <c r="I103" s="601"/>
      <c r="J103" s="600"/>
      <c r="K103" s="575"/>
      <c r="L103" s="621"/>
      <c r="M103" s="379"/>
      <c r="N103" s="380"/>
      <c r="O103" s="578"/>
      <c r="P103" s="603"/>
      <c r="Q103" s="604"/>
      <c r="R103" s="603"/>
      <c r="S103" s="603"/>
      <c r="T103" s="605"/>
      <c r="U103" s="605"/>
      <c r="V103" s="605"/>
      <c r="W103" s="605"/>
      <c r="X103" s="578"/>
      <c r="Y103" s="381"/>
      <c r="Z103" s="381"/>
    </row>
    <row r="104" spans="2:26" x14ac:dyDescent="0.35">
      <c r="B104" s="622"/>
      <c r="E104" s="623"/>
      <c r="F104" s="381" t="s">
        <v>453</v>
      </c>
      <c r="G104" s="600" t="s">
        <v>183</v>
      </c>
      <c r="H104" s="578"/>
      <c r="I104" s="601"/>
      <c r="J104" s="600"/>
      <c r="K104" s="575"/>
      <c r="L104" s="621"/>
      <c r="M104" s="379"/>
      <c r="N104" s="380"/>
      <c r="O104" s="578"/>
      <c r="P104" s="603"/>
      <c r="Q104" s="604"/>
      <c r="R104" s="603"/>
      <c r="S104" s="603"/>
      <c r="T104" s="605"/>
      <c r="U104" s="605"/>
      <c r="V104" s="605"/>
      <c r="W104" s="605"/>
      <c r="X104" s="578"/>
      <c r="Y104" s="381"/>
      <c r="Z104" s="381"/>
    </row>
    <row r="105" spans="2:26" x14ac:dyDescent="0.35">
      <c r="B105" s="622"/>
      <c r="E105" s="623"/>
      <c r="F105" s="381" t="s">
        <v>230</v>
      </c>
      <c r="G105" s="600" t="s">
        <v>183</v>
      </c>
      <c r="H105" s="578"/>
      <c r="I105" s="601"/>
      <c r="J105" s="600"/>
      <c r="K105" s="575"/>
      <c r="L105" s="621"/>
      <c r="M105" s="379"/>
      <c r="N105" s="380"/>
      <c r="O105" s="578"/>
      <c r="P105" s="603"/>
      <c r="Q105" s="604"/>
      <c r="R105" s="603"/>
      <c r="S105" s="603"/>
      <c r="T105" s="605"/>
      <c r="U105" s="605"/>
      <c r="V105" s="605"/>
      <c r="W105" s="605"/>
      <c r="X105" s="578"/>
      <c r="Y105" s="381"/>
      <c r="Z105" s="381"/>
    </row>
    <row r="106" spans="2:26" x14ac:dyDescent="0.35">
      <c r="B106" s="622"/>
      <c r="E106" s="623"/>
      <c r="F106" s="381" t="s">
        <v>231</v>
      </c>
      <c r="G106" s="600" t="s">
        <v>183</v>
      </c>
      <c r="H106" s="578"/>
      <c r="I106" s="601"/>
      <c r="J106" s="600"/>
      <c r="K106" s="575"/>
      <c r="L106" s="621"/>
      <c r="M106" s="379"/>
      <c r="N106" s="380"/>
      <c r="O106" s="578"/>
      <c r="P106" s="603"/>
      <c r="Q106" s="604"/>
      <c r="R106" s="603"/>
      <c r="S106" s="603"/>
      <c r="T106" s="605"/>
      <c r="U106" s="605"/>
      <c r="V106" s="605"/>
      <c r="W106" s="605"/>
      <c r="X106" s="578"/>
      <c r="Y106" s="381"/>
      <c r="Z106" s="381"/>
    </row>
    <row r="107" spans="2:26" x14ac:dyDescent="0.35">
      <c r="B107" s="597"/>
      <c r="C107" s="598"/>
      <c r="D107" s="598"/>
      <c r="E107" s="599"/>
      <c r="F107" s="381" t="s">
        <v>232</v>
      </c>
      <c r="G107" s="600" t="s">
        <v>183</v>
      </c>
      <c r="H107" s="578"/>
      <c r="I107" s="601"/>
      <c r="J107" s="600"/>
      <c r="K107" s="575"/>
      <c r="L107" s="621"/>
      <c r="M107" s="379"/>
      <c r="N107" s="380"/>
      <c r="O107" s="578"/>
      <c r="P107" s="603"/>
      <c r="Q107" s="604"/>
      <c r="R107" s="603"/>
      <c r="S107" s="603"/>
      <c r="T107" s="605"/>
      <c r="U107" s="605"/>
      <c r="V107" s="605"/>
      <c r="W107" s="605"/>
      <c r="X107" s="578"/>
      <c r="Y107" s="381"/>
      <c r="Z107" s="381"/>
    </row>
    <row r="108" spans="2:26" x14ac:dyDescent="0.35">
      <c r="B108" s="624"/>
      <c r="C108" s="170" t="s">
        <v>73</v>
      </c>
      <c r="D108" s="170"/>
      <c r="E108" s="646"/>
      <c r="F108" s="381" t="s">
        <v>177</v>
      </c>
      <c r="G108" s="600" t="s">
        <v>178</v>
      </c>
      <c r="H108" s="578"/>
      <c r="I108" s="601"/>
      <c r="J108" s="600" t="s">
        <v>179</v>
      </c>
      <c r="K108" s="602">
        <v>1</v>
      </c>
      <c r="L108" s="621">
        <v>45.36</v>
      </c>
      <c r="M108" s="379">
        <v>2</v>
      </c>
      <c r="N108" s="380">
        <v>2</v>
      </c>
      <c r="O108" s="500">
        <f>K108*L108*M108*N108</f>
        <v>181.44</v>
      </c>
      <c r="P108" s="261">
        <v>180115.58081830497</v>
      </c>
      <c r="Q108" s="604">
        <f>P108*$O108</f>
        <v>32680170.983673252</v>
      </c>
      <c r="R108" s="380">
        <v>179635.86432000002</v>
      </c>
      <c r="S108" s="603">
        <f>R108*$O108</f>
        <v>32593131.222220805</v>
      </c>
      <c r="T108" s="380">
        <v>197599.45075200003</v>
      </c>
      <c r="U108" s="605">
        <f>$O108*T108</f>
        <v>35852444.344442889</v>
      </c>
      <c r="V108" s="380">
        <f>W108/O108</f>
        <v>185783.63196343501</v>
      </c>
      <c r="W108" s="267">
        <f>AVERAGEIF($P$3:$U$3,W$3,$P108:$U108)</f>
        <v>33708582.183445647</v>
      </c>
      <c r="X108" s="578"/>
      <c r="Y108" s="775">
        <f>Q108/$D$1</f>
        <v>720462.32327321987</v>
      </c>
      <c r="Z108" s="381"/>
    </row>
    <row r="109" spans="2:26" x14ac:dyDescent="0.35">
      <c r="B109" s="622"/>
      <c r="E109" s="623"/>
      <c r="F109" s="381" t="s">
        <v>285</v>
      </c>
      <c r="G109" s="600" t="s">
        <v>183</v>
      </c>
      <c r="H109" s="578"/>
      <c r="I109" s="601"/>
      <c r="J109" s="600"/>
      <c r="K109" s="602">
        <v>1</v>
      </c>
      <c r="L109" s="621">
        <v>45.36</v>
      </c>
      <c r="M109" s="379">
        <f>0.017*(1/2)</f>
        <v>8.5000000000000006E-3</v>
      </c>
      <c r="N109" s="380">
        <v>2</v>
      </c>
      <c r="O109" s="500">
        <f>K109*L109*M109*N109</f>
        <v>0.77112000000000003</v>
      </c>
      <c r="P109" s="261">
        <v>92133.854367187509</v>
      </c>
      <c r="Q109" s="604">
        <f>P109*$O109</f>
        <v>71046.257779625637</v>
      </c>
      <c r="R109" s="380">
        <v>95484.594960000017</v>
      </c>
      <c r="S109" s="603">
        <f>R109*$O109</f>
        <v>73630.08086555521</v>
      </c>
      <c r="T109" s="380">
        <v>103123.36255680003</v>
      </c>
      <c r="U109" s="605">
        <f>$O109*T109</f>
        <v>79520.487334799647</v>
      </c>
      <c r="V109" s="380">
        <f>W109/O109</f>
        <v>96913.937294662537</v>
      </c>
      <c r="W109" s="267">
        <f>AVERAGEIF($P$3:$U$3,W$3,$P109:$U109)</f>
        <v>74732.275326660179</v>
      </c>
      <c r="X109" s="578"/>
      <c r="Y109" s="775">
        <f t="shared" ref="Y109:Y110" si="10">Q109/$D$1</f>
        <v>1566.2755242421879</v>
      </c>
      <c r="Z109" s="381"/>
    </row>
    <row r="110" spans="2:26" x14ac:dyDescent="0.35">
      <c r="B110" s="622"/>
      <c r="D110" s="598"/>
      <c r="E110" s="599"/>
      <c r="F110" s="381" t="s">
        <v>232</v>
      </c>
      <c r="G110" s="600" t="s">
        <v>183</v>
      </c>
      <c r="H110" s="578"/>
      <c r="I110" s="601"/>
      <c r="J110" s="600" t="s">
        <v>179</v>
      </c>
      <c r="K110" s="602">
        <v>1</v>
      </c>
      <c r="L110" s="621">
        <v>45.36</v>
      </c>
      <c r="M110" s="379">
        <f>0.017*(1/2)</f>
        <v>8.5000000000000006E-3</v>
      </c>
      <c r="N110" s="380">
        <v>2</v>
      </c>
      <c r="O110" s="500">
        <f>K110*L110*M110*N110</f>
        <v>0.77112000000000003</v>
      </c>
      <c r="P110" s="261">
        <v>104144.57550000001</v>
      </c>
      <c r="Q110" s="604">
        <f>P110*$O110</f>
        <v>80307.965059560011</v>
      </c>
      <c r="R110" s="380">
        <v>107932.12416000002</v>
      </c>
      <c r="S110" s="603">
        <f>R110*$O110</f>
        <v>83228.619582259213</v>
      </c>
      <c r="T110" s="380">
        <v>116566.69409280003</v>
      </c>
      <c r="U110" s="605">
        <f>$O110*T110</f>
        <v>89886.909148839957</v>
      </c>
      <c r="V110" s="380">
        <f>W110/O110</f>
        <v>109547.79791760002</v>
      </c>
      <c r="W110" s="267">
        <f>AVERAGEIF($P$3:$U$3,W$3,$P110:$U110)</f>
        <v>84474.497930219732</v>
      </c>
      <c r="X110" s="578"/>
      <c r="Y110" s="775">
        <f t="shared" si="10"/>
        <v>1770.4577835000002</v>
      </c>
      <c r="Z110" s="381"/>
    </row>
    <row r="111" spans="2:26" customFormat="1" ht="29.25" customHeight="1" x14ac:dyDescent="0.35">
      <c r="B111" s="606" t="s">
        <v>604</v>
      </c>
      <c r="C111" s="716"/>
      <c r="D111" s="716"/>
      <c r="E111" s="717"/>
      <c r="F111" s="609"/>
      <c r="G111" s="610"/>
      <c r="H111" s="611"/>
      <c r="I111" s="612"/>
      <c r="J111" s="610"/>
      <c r="K111" s="613"/>
      <c r="L111" s="614"/>
      <c r="M111" s="615"/>
      <c r="N111" s="616"/>
      <c r="O111" s="611"/>
      <c r="P111" s="617"/>
      <c r="Q111" s="618">
        <f>SUM(Q108:Q110)</f>
        <v>32831525.206512436</v>
      </c>
      <c r="R111" s="617"/>
      <c r="S111" s="718">
        <f>SUM(S100:S110)</f>
        <v>32749989.922668617</v>
      </c>
      <c r="T111" s="776"/>
      <c r="U111" s="776"/>
      <c r="V111" s="776"/>
      <c r="W111" s="776"/>
      <c r="X111" s="611"/>
      <c r="Y111" s="645">
        <f>Q111/D1</f>
        <v>723799.05658096203</v>
      </c>
      <c r="Z111" s="645">
        <f>Q111/$Q$424*100</f>
        <v>3.8652655004152514</v>
      </c>
    </row>
    <row r="112" spans="2:26" x14ac:dyDescent="0.35">
      <c r="B112" s="622"/>
      <c r="D112" s="170" t="s">
        <v>472</v>
      </c>
      <c r="E112" s="646"/>
      <c r="F112" s="381" t="s">
        <v>177</v>
      </c>
      <c r="G112" s="600" t="s">
        <v>178</v>
      </c>
      <c r="H112" s="578"/>
      <c r="I112" s="601"/>
      <c r="J112" s="600"/>
      <c r="K112" s="575"/>
      <c r="L112" s="621"/>
      <c r="M112" s="379">
        <v>12</v>
      </c>
      <c r="N112" s="380">
        <v>1</v>
      </c>
      <c r="O112" s="578"/>
      <c r="P112" s="603"/>
      <c r="Q112" s="604"/>
      <c r="R112" s="603"/>
      <c r="S112" s="603"/>
      <c r="T112" s="605"/>
      <c r="U112" s="605"/>
      <c r="V112" s="605"/>
      <c r="W112" s="605"/>
      <c r="X112" s="578"/>
      <c r="Y112" s="381"/>
      <c r="Z112" s="381"/>
    </row>
    <row r="113" spans="2:26" x14ac:dyDescent="0.35">
      <c r="B113" s="622"/>
      <c r="E113" s="623"/>
      <c r="F113" s="381" t="s">
        <v>285</v>
      </c>
      <c r="G113" s="600" t="s">
        <v>183</v>
      </c>
      <c r="H113" s="578"/>
      <c r="I113" s="601"/>
      <c r="J113" s="600"/>
      <c r="K113" s="575"/>
      <c r="L113" s="621"/>
      <c r="M113" s="379">
        <v>1.7000000000000001E-2</v>
      </c>
      <c r="N113" s="380">
        <v>1</v>
      </c>
      <c r="O113" s="578"/>
      <c r="P113" s="603"/>
      <c r="Q113" s="604"/>
      <c r="R113" s="603"/>
      <c r="S113" s="603"/>
      <c r="T113" s="605"/>
      <c r="U113" s="605"/>
      <c r="V113" s="605"/>
      <c r="W113" s="605"/>
      <c r="X113" s="578"/>
      <c r="Y113" s="381"/>
      <c r="Z113" s="381"/>
    </row>
    <row r="114" spans="2:26" x14ac:dyDescent="0.35">
      <c r="B114" s="622"/>
      <c r="E114" s="623"/>
      <c r="F114" s="381" t="s">
        <v>232</v>
      </c>
      <c r="G114" s="600" t="s">
        <v>183</v>
      </c>
      <c r="H114" s="578">
        <v>1</v>
      </c>
      <c r="I114" s="601" t="s">
        <v>228</v>
      </c>
      <c r="J114" s="600"/>
      <c r="K114" s="575"/>
      <c r="L114" s="621"/>
      <c r="M114" s="379">
        <f>((M$112*N$112)/240*($H114/N114))</f>
        <v>0.05</v>
      </c>
      <c r="N114" s="380">
        <v>1</v>
      </c>
      <c r="O114" s="578"/>
      <c r="P114" s="603"/>
      <c r="Q114" s="604"/>
      <c r="R114" s="603"/>
      <c r="S114" s="603"/>
      <c r="T114" s="605"/>
      <c r="U114" s="605"/>
      <c r="V114" s="605"/>
      <c r="W114" s="605"/>
      <c r="X114" s="578"/>
      <c r="Y114" s="381"/>
      <c r="Z114" s="381"/>
    </row>
    <row r="115" spans="2:26" x14ac:dyDescent="0.35">
      <c r="B115" s="624"/>
      <c r="C115" s="170" t="s">
        <v>75</v>
      </c>
      <c r="D115" s="170"/>
      <c r="E115" s="646"/>
      <c r="F115" s="381" t="s">
        <v>177</v>
      </c>
      <c r="G115" s="600" t="s">
        <v>178</v>
      </c>
      <c r="H115" s="578"/>
      <c r="I115" s="601"/>
      <c r="J115" s="600" t="s">
        <v>179</v>
      </c>
      <c r="K115" s="602">
        <v>1</v>
      </c>
      <c r="L115" s="621">
        <v>45.36</v>
      </c>
      <c r="M115" s="379">
        <v>1.25</v>
      </c>
      <c r="N115" s="380">
        <v>2</v>
      </c>
      <c r="O115" s="500">
        <f t="shared" ref="O115:O126" si="11">K115*L115*M115*N115</f>
        <v>113.4</v>
      </c>
      <c r="P115" s="261">
        <v>180115.58081830497</v>
      </c>
      <c r="Q115" s="604">
        <f t="shared" ref="Q115:Q126" si="12">P115*$O115</f>
        <v>20425106.864795785</v>
      </c>
      <c r="R115" s="380">
        <v>179635.86432000002</v>
      </c>
      <c r="S115" s="603">
        <f t="shared" ref="S115:S126" si="13">R115*$O115</f>
        <v>20370707.013888005</v>
      </c>
      <c r="T115" s="380">
        <v>197599.45075200003</v>
      </c>
      <c r="U115" s="605">
        <f t="shared" ref="U115:U126" si="14">$O115*T115</f>
        <v>22407777.715276804</v>
      </c>
      <c r="V115" s="380">
        <f t="shared" ref="V115:V126" si="15">W115/O115</f>
        <v>185783.63196343501</v>
      </c>
      <c r="W115" s="267">
        <f t="shared" ref="W115:W126" si="16">AVERAGEIF($P$3:$U$3,W$3,$P115:$U115)</f>
        <v>21067863.864653531</v>
      </c>
      <c r="X115" s="578"/>
      <c r="Y115" s="775">
        <f t="shared" ref="Y115:Y126" si="17">Q115/$D$1</f>
        <v>450288.95204576245</v>
      </c>
      <c r="Z115" s="381"/>
    </row>
    <row r="116" spans="2:26" x14ac:dyDescent="0.35">
      <c r="B116" s="622"/>
      <c r="E116" s="623"/>
      <c r="F116" s="381" t="s">
        <v>474</v>
      </c>
      <c r="G116" s="600" t="s">
        <v>222</v>
      </c>
      <c r="H116" s="578"/>
      <c r="I116" s="601"/>
      <c r="J116" s="600" t="s">
        <v>179</v>
      </c>
      <c r="K116" s="602">
        <v>0</v>
      </c>
      <c r="L116" s="621">
        <v>45.36</v>
      </c>
      <c r="M116" s="379">
        <v>0.36</v>
      </c>
      <c r="N116" s="380">
        <v>2</v>
      </c>
      <c r="O116" s="500">
        <f t="shared" si="11"/>
        <v>0</v>
      </c>
      <c r="P116" s="261">
        <v>219447.49837500002</v>
      </c>
      <c r="Q116" s="604">
        <f t="shared" si="12"/>
        <v>0</v>
      </c>
      <c r="R116" s="380">
        <v>238862.80427760005</v>
      </c>
      <c r="S116" s="603">
        <f t="shared" si="13"/>
        <v>0</v>
      </c>
      <c r="T116" s="380">
        <v>255583.20057703208</v>
      </c>
      <c r="U116" s="605">
        <f t="shared" si="14"/>
        <v>0</v>
      </c>
      <c r="V116" s="380" t="e">
        <f t="shared" si="15"/>
        <v>#DIV/0!</v>
      </c>
      <c r="W116" s="267">
        <f t="shared" si="16"/>
        <v>0</v>
      </c>
      <c r="X116" s="578"/>
      <c r="Y116" s="775">
        <f t="shared" si="17"/>
        <v>0</v>
      </c>
      <c r="Z116" s="381"/>
    </row>
    <row r="117" spans="2:26" x14ac:dyDescent="0.35">
      <c r="B117" s="622"/>
      <c r="E117" s="623"/>
      <c r="F117" s="381" t="s">
        <v>223</v>
      </c>
      <c r="G117" s="600" t="s">
        <v>181</v>
      </c>
      <c r="H117" s="578"/>
      <c r="I117" s="601"/>
      <c r="J117" s="600" t="s">
        <v>179</v>
      </c>
      <c r="K117" s="602">
        <v>1</v>
      </c>
      <c r="L117" s="621">
        <v>45.36</v>
      </c>
      <c r="M117" s="379">
        <v>0.03</v>
      </c>
      <c r="N117" s="380">
        <v>2</v>
      </c>
      <c r="O117" s="500">
        <f t="shared" si="11"/>
        <v>2.7216</v>
      </c>
      <c r="P117" s="261">
        <v>111583.47375</v>
      </c>
      <c r="Q117" s="604">
        <f t="shared" si="12"/>
        <v>303685.58215800003</v>
      </c>
      <c r="R117" s="380">
        <v>121455.66319200002</v>
      </c>
      <c r="S117" s="603">
        <f t="shared" si="13"/>
        <v>330553.73294334725</v>
      </c>
      <c r="T117" s="380">
        <v>129957.55961544003</v>
      </c>
      <c r="U117" s="605">
        <f t="shared" si="14"/>
        <v>353692.49424938159</v>
      </c>
      <c r="V117" s="380">
        <f t="shared" si="15"/>
        <v>120998.89885248002</v>
      </c>
      <c r="W117" s="267">
        <f t="shared" si="16"/>
        <v>329310.60311690962</v>
      </c>
      <c r="X117" s="578"/>
      <c r="Y117" s="775">
        <f t="shared" si="17"/>
        <v>6695.0084250000009</v>
      </c>
      <c r="Z117" s="381"/>
    </row>
    <row r="118" spans="2:26" x14ac:dyDescent="0.35">
      <c r="B118" s="622"/>
      <c r="E118" s="623"/>
      <c r="F118" s="381" t="s">
        <v>224</v>
      </c>
      <c r="G118" s="600" t="s">
        <v>222</v>
      </c>
      <c r="H118" s="578"/>
      <c r="I118" s="601"/>
      <c r="J118" s="600" t="s">
        <v>179</v>
      </c>
      <c r="K118" s="602">
        <v>1</v>
      </c>
      <c r="L118" s="621">
        <v>45.36</v>
      </c>
      <c r="M118" s="379">
        <v>0.75</v>
      </c>
      <c r="N118" s="380">
        <v>2</v>
      </c>
      <c r="O118" s="500">
        <f t="shared" si="11"/>
        <v>68.039999999999992</v>
      </c>
      <c r="P118" s="261">
        <v>32855.133937500003</v>
      </c>
      <c r="Q118" s="604">
        <f t="shared" si="12"/>
        <v>2235463.3131074999</v>
      </c>
      <c r="R118" s="380">
        <v>35761.945273200006</v>
      </c>
      <c r="S118" s="603">
        <f t="shared" si="13"/>
        <v>2433242.7563885283</v>
      </c>
      <c r="T118" s="380">
        <v>38265.281442324012</v>
      </c>
      <c r="U118" s="605">
        <f t="shared" si="14"/>
        <v>2603569.7493357253</v>
      </c>
      <c r="V118" s="380">
        <f t="shared" si="15"/>
        <v>35627.453551008002</v>
      </c>
      <c r="W118" s="267">
        <f t="shared" si="16"/>
        <v>2424091.9396105842</v>
      </c>
      <c r="X118" s="578"/>
      <c r="Y118" s="775">
        <f t="shared" si="17"/>
        <v>49282.70090625</v>
      </c>
      <c r="Z118" s="381"/>
    </row>
    <row r="119" spans="2:26" x14ac:dyDescent="0.35">
      <c r="B119" s="622"/>
      <c r="E119" s="623"/>
      <c r="F119" s="381" t="s">
        <v>225</v>
      </c>
      <c r="G119" s="600" t="s">
        <v>222</v>
      </c>
      <c r="H119" s="578"/>
      <c r="I119" s="601"/>
      <c r="J119" s="600" t="s">
        <v>179</v>
      </c>
      <c r="K119" s="602">
        <v>1</v>
      </c>
      <c r="L119" s="621">
        <v>45.36</v>
      </c>
      <c r="M119" s="379">
        <v>0.22500000000000001</v>
      </c>
      <c r="N119" s="380">
        <v>2</v>
      </c>
      <c r="O119" s="500">
        <f t="shared" si="11"/>
        <v>20.411999999999999</v>
      </c>
      <c r="P119" s="261">
        <v>52072.287750000003</v>
      </c>
      <c r="Q119" s="604">
        <f t="shared" si="12"/>
        <v>1062899.537553</v>
      </c>
      <c r="R119" s="380">
        <v>56679.309489600004</v>
      </c>
      <c r="S119" s="603">
        <f t="shared" si="13"/>
        <v>1156938.0653017152</v>
      </c>
      <c r="T119" s="380">
        <v>60646.861153872007</v>
      </c>
      <c r="U119" s="605">
        <f t="shared" si="14"/>
        <v>1237923.7298728353</v>
      </c>
      <c r="V119" s="380">
        <f t="shared" si="15"/>
        <v>56466.152797824005</v>
      </c>
      <c r="W119" s="267">
        <f t="shared" si="16"/>
        <v>1152587.1109091835</v>
      </c>
      <c r="X119" s="578"/>
      <c r="Y119" s="775">
        <f t="shared" si="17"/>
        <v>23432.5294875</v>
      </c>
      <c r="Z119" s="381"/>
    </row>
    <row r="120" spans="2:26" x14ac:dyDescent="0.35">
      <c r="B120" s="622"/>
      <c r="E120" s="623"/>
      <c r="F120" s="381" t="s">
        <v>226</v>
      </c>
      <c r="G120" s="600" t="s">
        <v>178</v>
      </c>
      <c r="H120" s="578"/>
      <c r="I120" s="601"/>
      <c r="J120" s="600" t="s">
        <v>179</v>
      </c>
      <c r="K120" s="602">
        <v>1</v>
      </c>
      <c r="L120" s="621">
        <v>45.36</v>
      </c>
      <c r="M120" s="379">
        <f>M115</f>
        <v>1.25</v>
      </c>
      <c r="N120" s="380">
        <v>2</v>
      </c>
      <c r="O120" s="500">
        <f t="shared" si="11"/>
        <v>113.4</v>
      </c>
      <c r="P120" s="261">
        <v>4759.9254973124989</v>
      </c>
      <c r="Q120" s="604">
        <f t="shared" si="12"/>
        <v>539775.55139523745</v>
      </c>
      <c r="R120" s="380">
        <v>4849.8912000000009</v>
      </c>
      <c r="S120" s="603">
        <f t="shared" si="13"/>
        <v>549977.66208000015</v>
      </c>
      <c r="T120" s="380">
        <v>5237.8824960000011</v>
      </c>
      <c r="U120" s="605">
        <f t="shared" si="14"/>
        <v>593975.87504640012</v>
      </c>
      <c r="V120" s="380">
        <f t="shared" si="15"/>
        <v>4949.2330644375006</v>
      </c>
      <c r="W120" s="267">
        <f t="shared" si="16"/>
        <v>561243.02950721257</v>
      </c>
      <c r="X120" s="578"/>
      <c r="Y120" s="775">
        <f t="shared" si="17"/>
        <v>11899.813743281249</v>
      </c>
      <c r="Z120" s="381"/>
    </row>
    <row r="121" spans="2:26" x14ac:dyDescent="0.35">
      <c r="B121" s="622"/>
      <c r="E121" s="623"/>
      <c r="F121" s="381" t="s">
        <v>220</v>
      </c>
      <c r="G121" s="600" t="s">
        <v>183</v>
      </c>
      <c r="H121" s="578"/>
      <c r="I121" s="601"/>
      <c r="J121" s="600" t="s">
        <v>179</v>
      </c>
      <c r="K121" s="602">
        <v>1</v>
      </c>
      <c r="L121" s="621">
        <v>45.36</v>
      </c>
      <c r="M121" s="379">
        <f>0.0125*(1/2)</f>
        <v>6.2500000000000003E-3</v>
      </c>
      <c r="N121" s="380">
        <v>2</v>
      </c>
      <c r="O121" s="500">
        <f t="shared" si="11"/>
        <v>0.56700000000000006</v>
      </c>
      <c r="P121" s="261">
        <v>1660951.0021781253</v>
      </c>
      <c r="Q121" s="604">
        <f t="shared" si="12"/>
        <v>941759.21823499713</v>
      </c>
      <c r="R121" s="380">
        <v>1721356.7670720001</v>
      </c>
      <c r="S121" s="603">
        <f t="shared" si="13"/>
        <v>976009.28692982416</v>
      </c>
      <c r="T121" s="380">
        <v>1859065.3084377602</v>
      </c>
      <c r="U121" s="605">
        <f t="shared" si="14"/>
        <v>1054090.0298842101</v>
      </c>
      <c r="V121" s="380">
        <f t="shared" si="15"/>
        <v>1747124.3592292953</v>
      </c>
      <c r="W121" s="267">
        <f t="shared" si="16"/>
        <v>990619.5116830105</v>
      </c>
      <c r="X121" s="578"/>
      <c r="Y121" s="775">
        <f t="shared" si="17"/>
        <v>20761.887527226569</v>
      </c>
      <c r="Z121" s="381"/>
    </row>
    <row r="122" spans="2:26" x14ac:dyDescent="0.35">
      <c r="B122" s="622"/>
      <c r="E122" s="623"/>
      <c r="F122" s="381" t="s">
        <v>227</v>
      </c>
      <c r="G122" s="600" t="s">
        <v>183</v>
      </c>
      <c r="H122" s="578">
        <v>4</v>
      </c>
      <c r="I122" s="601" t="s">
        <v>228</v>
      </c>
      <c r="J122" s="600" t="s">
        <v>179</v>
      </c>
      <c r="K122" s="602">
        <v>1</v>
      </c>
      <c r="L122" s="621">
        <v>45.36</v>
      </c>
      <c r="M122" s="379">
        <f>((M$115*N$115)/240*($H122/N122))</f>
        <v>2.0833333333333332E-2</v>
      </c>
      <c r="N122" s="380">
        <v>2</v>
      </c>
      <c r="O122" s="500">
        <f t="shared" si="11"/>
        <v>1.89</v>
      </c>
      <c r="P122" s="261">
        <v>52072.287750000003</v>
      </c>
      <c r="Q122" s="604">
        <f t="shared" si="12"/>
        <v>98416.623847499999</v>
      </c>
      <c r="R122" s="380">
        <v>53966.062080000011</v>
      </c>
      <c r="S122" s="603">
        <f t="shared" si="13"/>
        <v>101995.85733120001</v>
      </c>
      <c r="T122" s="380">
        <v>58283.347046400013</v>
      </c>
      <c r="U122" s="605">
        <f t="shared" si="14"/>
        <v>110155.52591769602</v>
      </c>
      <c r="V122" s="380">
        <f t="shared" si="15"/>
        <v>54773.898958800004</v>
      </c>
      <c r="W122" s="267">
        <f t="shared" si="16"/>
        <v>103522.66903213201</v>
      </c>
      <c r="X122" s="647"/>
      <c r="Y122" s="775">
        <f t="shared" si="17"/>
        <v>2169.6786562500001</v>
      </c>
      <c r="Z122" s="381"/>
    </row>
    <row r="123" spans="2:26" x14ac:dyDescent="0.35">
      <c r="B123" s="622"/>
      <c r="E123" s="623"/>
      <c r="F123" s="381" t="s">
        <v>229</v>
      </c>
      <c r="G123" s="600" t="s">
        <v>183</v>
      </c>
      <c r="H123" s="578">
        <v>12</v>
      </c>
      <c r="I123" s="601" t="s">
        <v>228</v>
      </c>
      <c r="J123" s="600" t="s">
        <v>179</v>
      </c>
      <c r="K123" s="602">
        <v>1</v>
      </c>
      <c r="L123" s="621">
        <v>45.36</v>
      </c>
      <c r="M123" s="379">
        <f>((M$115*N$115)/240*($H123/N123))</f>
        <v>6.25E-2</v>
      </c>
      <c r="N123" s="380">
        <v>2</v>
      </c>
      <c r="O123" s="500">
        <f t="shared" si="11"/>
        <v>5.67</v>
      </c>
      <c r="P123" s="261">
        <v>17017.087500000001</v>
      </c>
      <c r="Q123" s="604">
        <f t="shared" si="12"/>
        <v>96486.886125000005</v>
      </c>
      <c r="R123" s="380">
        <v>17635.968000000004</v>
      </c>
      <c r="S123" s="603">
        <f t="shared" si="13"/>
        <v>99995.938560000024</v>
      </c>
      <c r="T123" s="380">
        <v>19046.845440000005</v>
      </c>
      <c r="U123" s="605">
        <f t="shared" si="14"/>
        <v>107995.61364480002</v>
      </c>
      <c r="V123" s="380">
        <f t="shared" si="15"/>
        <v>17899.966980000001</v>
      </c>
      <c r="W123" s="267">
        <f t="shared" si="16"/>
        <v>101492.81277660001</v>
      </c>
      <c r="X123" s="647"/>
      <c r="Y123" s="775">
        <f t="shared" si="17"/>
        <v>2127.1359375000002</v>
      </c>
      <c r="Z123" s="381"/>
    </row>
    <row r="124" spans="2:26" x14ac:dyDescent="0.35">
      <c r="B124" s="622"/>
      <c r="E124" s="623"/>
      <c r="F124" s="381" t="s">
        <v>230</v>
      </c>
      <c r="G124" s="600" t="s">
        <v>183</v>
      </c>
      <c r="H124" s="578">
        <v>1</v>
      </c>
      <c r="I124" s="601" t="s">
        <v>228</v>
      </c>
      <c r="J124" s="600" t="s">
        <v>179</v>
      </c>
      <c r="K124" s="602">
        <v>1</v>
      </c>
      <c r="L124" s="621">
        <v>45.36</v>
      </c>
      <c r="M124" s="379">
        <f>((M$115*N$115)/240*($H124/N124))</f>
        <v>5.208333333333333E-3</v>
      </c>
      <c r="N124" s="380">
        <v>2</v>
      </c>
      <c r="O124" s="500">
        <f t="shared" si="11"/>
        <v>0.47249999999999998</v>
      </c>
      <c r="P124" s="261">
        <v>45563.251781250008</v>
      </c>
      <c r="Q124" s="604">
        <f t="shared" si="12"/>
        <v>21528.636466640626</v>
      </c>
      <c r="R124" s="380">
        <v>47220.30432000001</v>
      </c>
      <c r="S124" s="603">
        <f t="shared" si="13"/>
        <v>22311.593791200004</v>
      </c>
      <c r="T124" s="380">
        <v>50997.928665600011</v>
      </c>
      <c r="U124" s="605">
        <f t="shared" si="14"/>
        <v>24096.521294496004</v>
      </c>
      <c r="V124" s="380">
        <f t="shared" si="15"/>
        <v>47927.161588950003</v>
      </c>
      <c r="W124" s="267">
        <f t="shared" si="16"/>
        <v>22645.583850778876</v>
      </c>
      <c r="X124" s="647"/>
      <c r="Y124" s="775">
        <f t="shared" si="17"/>
        <v>474.61720605468753</v>
      </c>
      <c r="Z124" s="381"/>
    </row>
    <row r="125" spans="2:26" x14ac:dyDescent="0.35">
      <c r="B125" s="622"/>
      <c r="E125" s="623"/>
      <c r="F125" s="381" t="s">
        <v>231</v>
      </c>
      <c r="G125" s="600" t="s">
        <v>183</v>
      </c>
      <c r="H125" s="578">
        <v>2</v>
      </c>
      <c r="I125" s="601" t="s">
        <v>228</v>
      </c>
      <c r="J125" s="600" t="s">
        <v>179</v>
      </c>
      <c r="K125" s="602">
        <v>1</v>
      </c>
      <c r="L125" s="621">
        <v>45.36</v>
      </c>
      <c r="M125" s="379">
        <f>((M$115*N$115)/240*($H125/N125))</f>
        <v>1.0416666666666666E-2</v>
      </c>
      <c r="N125" s="380">
        <v>2</v>
      </c>
      <c r="O125" s="500">
        <f t="shared" si="11"/>
        <v>0.94499999999999995</v>
      </c>
      <c r="P125" s="261">
        <v>39054.215812500006</v>
      </c>
      <c r="Q125" s="604">
        <f t="shared" si="12"/>
        <v>36906.233942812505</v>
      </c>
      <c r="R125" s="380">
        <v>40474.546560000003</v>
      </c>
      <c r="S125" s="603">
        <f t="shared" si="13"/>
        <v>38248.446499199999</v>
      </c>
      <c r="T125" s="380">
        <v>43712.510284800002</v>
      </c>
      <c r="U125" s="605">
        <f t="shared" si="14"/>
        <v>41308.322219136004</v>
      </c>
      <c r="V125" s="380">
        <f t="shared" si="15"/>
        <v>41080.424219100001</v>
      </c>
      <c r="W125" s="267">
        <f t="shared" si="16"/>
        <v>38821.0008870495</v>
      </c>
      <c r="X125" s="647"/>
      <c r="Y125" s="775">
        <f t="shared" si="17"/>
        <v>813.62949609375016</v>
      </c>
      <c r="Z125" s="381"/>
    </row>
    <row r="126" spans="2:26" x14ac:dyDescent="0.35">
      <c r="B126" s="622"/>
      <c r="E126" s="623"/>
      <c r="F126" s="381" t="s">
        <v>232</v>
      </c>
      <c r="G126" s="600" t="s">
        <v>183</v>
      </c>
      <c r="H126" s="578">
        <v>1</v>
      </c>
      <c r="I126" s="601" t="s">
        <v>228</v>
      </c>
      <c r="J126" s="600" t="s">
        <v>179</v>
      </c>
      <c r="K126" s="602">
        <v>1</v>
      </c>
      <c r="L126" s="621">
        <v>45.36</v>
      </c>
      <c r="M126" s="379">
        <f>((M$115*N$115)/240*($H126/N126))</f>
        <v>5.208333333333333E-3</v>
      </c>
      <c r="N126" s="380">
        <v>2</v>
      </c>
      <c r="O126" s="500">
        <f t="shared" si="11"/>
        <v>0.47249999999999998</v>
      </c>
      <c r="P126" s="261">
        <v>104144.57550000001</v>
      </c>
      <c r="Q126" s="604">
        <f t="shared" si="12"/>
        <v>49208.31192375</v>
      </c>
      <c r="R126" s="380">
        <v>107932.12416000002</v>
      </c>
      <c r="S126" s="603">
        <f t="shared" si="13"/>
        <v>50997.928665600004</v>
      </c>
      <c r="T126" s="380">
        <v>116566.69409280003</v>
      </c>
      <c r="U126" s="605">
        <f t="shared" si="14"/>
        <v>55077.762958848012</v>
      </c>
      <c r="V126" s="380">
        <f t="shared" si="15"/>
        <v>109547.79791760001</v>
      </c>
      <c r="W126" s="267">
        <f t="shared" si="16"/>
        <v>51761.334516066003</v>
      </c>
      <c r="X126" s="647"/>
      <c r="Y126" s="775">
        <f t="shared" si="17"/>
        <v>1084.8393281250001</v>
      </c>
      <c r="Z126" s="381"/>
    </row>
    <row r="127" spans="2:26" customFormat="1" ht="29.25" customHeight="1" x14ac:dyDescent="0.35">
      <c r="B127" s="606" t="s">
        <v>605</v>
      </c>
      <c r="C127" s="716"/>
      <c r="D127" s="716"/>
      <c r="E127" s="717"/>
      <c r="F127" s="609"/>
      <c r="G127" s="610"/>
      <c r="H127" s="611"/>
      <c r="I127" s="612"/>
      <c r="J127" s="610"/>
      <c r="K127" s="613"/>
      <c r="L127" s="614"/>
      <c r="M127" s="615"/>
      <c r="N127" s="616"/>
      <c r="O127" s="611"/>
      <c r="P127" s="617"/>
      <c r="Q127" s="618">
        <f>SUM(Q115:Q126)</f>
        <v>25811236.759550225</v>
      </c>
      <c r="R127" s="617"/>
      <c r="S127" s="718">
        <f>SUM(S116:S126)</f>
        <v>5760271.2684906134</v>
      </c>
      <c r="T127" s="776"/>
      <c r="U127" s="776"/>
      <c r="V127" s="776"/>
      <c r="W127" s="776"/>
      <c r="X127" s="611"/>
      <c r="Y127" s="645">
        <f>Q127/$D$1</f>
        <v>569030.79275904375</v>
      </c>
      <c r="Z127" s="645">
        <f>Q127/$Q$424*100</f>
        <v>3.0387647951837971</v>
      </c>
    </row>
    <row r="128" spans="2:26" x14ac:dyDescent="0.35">
      <c r="B128" s="624"/>
      <c r="C128" s="170" t="s">
        <v>75</v>
      </c>
      <c r="D128" s="170"/>
      <c r="E128" s="646"/>
      <c r="F128" s="381" t="s">
        <v>177</v>
      </c>
      <c r="G128" s="600" t="s">
        <v>178</v>
      </c>
      <c r="H128" s="578"/>
      <c r="I128" s="601"/>
      <c r="J128" s="600"/>
      <c r="K128" s="575"/>
      <c r="L128" s="621"/>
      <c r="M128" s="379">
        <v>1.5</v>
      </c>
      <c r="N128" s="380">
        <v>3</v>
      </c>
      <c r="O128" s="578"/>
      <c r="P128" s="603"/>
      <c r="Q128" s="604"/>
      <c r="R128" s="603"/>
      <c r="S128" s="603"/>
      <c r="T128" s="605"/>
      <c r="U128" s="605"/>
      <c r="V128" s="605"/>
      <c r="W128" s="605"/>
      <c r="X128" s="578"/>
      <c r="Y128" s="381"/>
      <c r="Z128" s="381"/>
    </row>
    <row r="129" spans="2:26" x14ac:dyDescent="0.35">
      <c r="B129" s="643"/>
      <c r="C129" s="779" t="s">
        <v>476</v>
      </c>
      <c r="D129" s="779"/>
      <c r="E129" s="780"/>
      <c r="F129" s="381" t="s">
        <v>474</v>
      </c>
      <c r="G129" s="600" t="s">
        <v>222</v>
      </c>
      <c r="H129" s="578"/>
      <c r="I129" s="601"/>
      <c r="J129" s="600"/>
      <c r="K129" s="575"/>
      <c r="L129" s="621"/>
      <c r="M129" s="379">
        <v>0.36</v>
      </c>
      <c r="N129" s="380">
        <v>3</v>
      </c>
      <c r="O129" s="578"/>
      <c r="P129" s="603"/>
      <c r="Q129" s="604"/>
      <c r="R129" s="603"/>
      <c r="S129" s="603"/>
      <c r="T129" s="605"/>
      <c r="U129" s="605"/>
      <c r="V129" s="605"/>
      <c r="W129" s="605"/>
      <c r="X129" s="578"/>
      <c r="Y129" s="381"/>
      <c r="Z129" s="381"/>
    </row>
    <row r="130" spans="2:26" x14ac:dyDescent="0.35">
      <c r="B130" s="622"/>
      <c r="E130" s="623"/>
      <c r="F130" s="381" t="s">
        <v>223</v>
      </c>
      <c r="G130" s="600" t="s">
        <v>181</v>
      </c>
      <c r="H130" s="578"/>
      <c r="I130" s="601"/>
      <c r="J130" s="600"/>
      <c r="K130" s="575"/>
      <c r="L130" s="621"/>
      <c r="M130" s="379">
        <f>36/1000</f>
        <v>3.5999999999999997E-2</v>
      </c>
      <c r="N130" s="380">
        <v>3</v>
      </c>
      <c r="O130" s="578"/>
      <c r="P130" s="603"/>
      <c r="Q130" s="604"/>
      <c r="R130" s="603"/>
      <c r="S130" s="603"/>
      <c r="T130" s="605"/>
      <c r="U130" s="605"/>
      <c r="V130" s="605"/>
      <c r="W130" s="605"/>
      <c r="X130" s="578"/>
      <c r="Y130" s="381"/>
      <c r="Z130" s="381"/>
    </row>
    <row r="131" spans="2:26" x14ac:dyDescent="0.35">
      <c r="B131" s="622"/>
      <c r="E131" s="623"/>
      <c r="F131" s="381" t="s">
        <v>224</v>
      </c>
      <c r="G131" s="600" t="s">
        <v>222</v>
      </c>
      <c r="H131" s="578"/>
      <c r="I131" s="601"/>
      <c r="J131" s="600"/>
      <c r="K131" s="575"/>
      <c r="L131" s="621"/>
      <c r="M131" s="379">
        <v>0.90000000000000013</v>
      </c>
      <c r="N131" s="380">
        <v>3</v>
      </c>
      <c r="O131" s="578"/>
      <c r="P131" s="603"/>
      <c r="Q131" s="604"/>
      <c r="R131" s="603"/>
      <c r="S131" s="603"/>
      <c r="T131" s="605"/>
      <c r="U131" s="605"/>
      <c r="V131" s="605"/>
      <c r="W131" s="605"/>
      <c r="X131" s="578"/>
      <c r="Y131" s="381"/>
      <c r="Z131" s="381"/>
    </row>
    <row r="132" spans="2:26" x14ac:dyDescent="0.35">
      <c r="B132" s="622"/>
      <c r="E132" s="623"/>
      <c r="F132" s="381" t="s">
        <v>225</v>
      </c>
      <c r="G132" s="600" t="s">
        <v>222</v>
      </c>
      <c r="H132" s="578"/>
      <c r="I132" s="601"/>
      <c r="J132" s="600"/>
      <c r="K132" s="575"/>
      <c r="L132" s="621"/>
      <c r="M132" s="379">
        <v>0.27</v>
      </c>
      <c r="N132" s="380">
        <v>3</v>
      </c>
      <c r="O132" s="578"/>
      <c r="P132" s="603"/>
      <c r="Q132" s="604"/>
      <c r="R132" s="603"/>
      <c r="S132" s="603"/>
      <c r="T132" s="605"/>
      <c r="U132" s="605"/>
      <c r="V132" s="605"/>
      <c r="W132" s="605"/>
      <c r="X132" s="578"/>
      <c r="Y132" s="381"/>
      <c r="Z132" s="381"/>
    </row>
    <row r="133" spans="2:26" x14ac:dyDescent="0.35">
      <c r="B133" s="622"/>
      <c r="E133" s="623"/>
      <c r="F133" s="381" t="s">
        <v>226</v>
      </c>
      <c r="G133" s="600" t="s">
        <v>178</v>
      </c>
      <c r="H133" s="578"/>
      <c r="I133" s="601"/>
      <c r="J133" s="600"/>
      <c r="K133" s="575"/>
      <c r="L133" s="621"/>
      <c r="M133" s="379">
        <v>1.5</v>
      </c>
      <c r="N133" s="380">
        <v>3</v>
      </c>
      <c r="O133" s="578"/>
      <c r="P133" s="603"/>
      <c r="Q133" s="604"/>
      <c r="R133" s="603"/>
      <c r="S133" s="603"/>
      <c r="T133" s="605"/>
      <c r="U133" s="605"/>
      <c r="V133" s="605"/>
      <c r="W133" s="605"/>
      <c r="X133" s="578"/>
      <c r="Y133" s="381"/>
      <c r="Z133" s="381"/>
    </row>
    <row r="134" spans="2:26" x14ac:dyDescent="0.35">
      <c r="B134" s="622"/>
      <c r="E134" s="623"/>
      <c r="F134" s="381" t="s">
        <v>477</v>
      </c>
      <c r="G134" s="600" t="s">
        <v>183</v>
      </c>
      <c r="H134" s="578"/>
      <c r="I134" s="601"/>
      <c r="J134" s="600"/>
      <c r="K134" s="575"/>
      <c r="L134" s="621"/>
      <c r="M134" s="379">
        <f>0.0188*(1/3)</f>
        <v>6.2666666666666669E-3</v>
      </c>
      <c r="N134" s="380">
        <v>3</v>
      </c>
      <c r="O134" s="578"/>
      <c r="P134" s="603"/>
      <c r="Q134" s="604"/>
      <c r="R134" s="603"/>
      <c r="S134" s="603"/>
      <c r="T134" s="605"/>
      <c r="U134" s="605"/>
      <c r="V134" s="605"/>
      <c r="W134" s="605"/>
      <c r="X134" s="578"/>
      <c r="Y134" s="381"/>
      <c r="Z134" s="381"/>
    </row>
    <row r="135" spans="2:26" x14ac:dyDescent="0.35">
      <c r="B135" s="622"/>
      <c r="E135" s="623"/>
      <c r="F135" s="381" t="s">
        <v>227</v>
      </c>
      <c r="G135" s="600" t="s">
        <v>183</v>
      </c>
      <c r="H135" s="578">
        <v>4</v>
      </c>
      <c r="I135" s="601" t="s">
        <v>228</v>
      </c>
      <c r="J135" s="600"/>
      <c r="K135" s="575"/>
      <c r="L135" s="621"/>
      <c r="M135" s="379">
        <f>((M$128*N$128)/240*($H135/N135))</f>
        <v>2.4999999999999998E-2</v>
      </c>
      <c r="N135" s="380">
        <v>3</v>
      </c>
      <c r="O135" s="578"/>
      <c r="P135" s="603"/>
      <c r="Q135" s="604"/>
      <c r="R135" s="603"/>
      <c r="S135" s="603"/>
      <c r="T135" s="605"/>
      <c r="U135" s="605"/>
      <c r="V135" s="605"/>
      <c r="W135" s="605"/>
      <c r="X135" s="578"/>
      <c r="Y135" s="381"/>
      <c r="Z135" s="381"/>
    </row>
    <row r="136" spans="2:26" x14ac:dyDescent="0.35">
      <c r="B136" s="622"/>
      <c r="E136" s="623"/>
      <c r="F136" s="381" t="s">
        <v>229</v>
      </c>
      <c r="G136" s="600" t="s">
        <v>183</v>
      </c>
      <c r="H136" s="578">
        <v>12</v>
      </c>
      <c r="I136" s="601" t="s">
        <v>228</v>
      </c>
      <c r="J136" s="600"/>
      <c r="K136" s="575"/>
      <c r="L136" s="621"/>
      <c r="M136" s="379">
        <f>((M$128*N$128)/240*($H136/N136))</f>
        <v>7.4999999999999997E-2</v>
      </c>
      <c r="N136" s="380">
        <v>3</v>
      </c>
      <c r="O136" s="578"/>
      <c r="P136" s="603"/>
      <c r="Q136" s="604"/>
      <c r="R136" s="603"/>
      <c r="S136" s="603"/>
      <c r="T136" s="605"/>
      <c r="U136" s="605"/>
      <c r="V136" s="605"/>
      <c r="W136" s="605"/>
      <c r="X136" s="578"/>
      <c r="Y136" s="381"/>
      <c r="Z136" s="381"/>
    </row>
    <row r="137" spans="2:26" x14ac:dyDescent="0.35">
      <c r="B137" s="622"/>
      <c r="E137" s="623"/>
      <c r="F137" s="381" t="s">
        <v>230</v>
      </c>
      <c r="G137" s="600" t="s">
        <v>183</v>
      </c>
      <c r="H137" s="578">
        <v>1</v>
      </c>
      <c r="I137" s="601" t="s">
        <v>228</v>
      </c>
      <c r="J137" s="600"/>
      <c r="K137" s="575"/>
      <c r="L137" s="621"/>
      <c r="M137" s="379">
        <f>((M$128*N$128)/240*($H137/N137))</f>
        <v>6.2499999999999995E-3</v>
      </c>
      <c r="N137" s="380">
        <v>3</v>
      </c>
      <c r="O137" s="578"/>
      <c r="P137" s="603"/>
      <c r="Q137" s="604"/>
      <c r="R137" s="603"/>
      <c r="S137" s="603"/>
      <c r="T137" s="605"/>
      <c r="U137" s="605"/>
      <c r="V137" s="605"/>
      <c r="W137" s="605"/>
      <c r="X137" s="578"/>
      <c r="Y137" s="381"/>
      <c r="Z137" s="381"/>
    </row>
    <row r="138" spans="2:26" x14ac:dyDescent="0.35">
      <c r="B138" s="622"/>
      <c r="E138" s="623"/>
      <c r="F138" s="381" t="s">
        <v>231</v>
      </c>
      <c r="G138" s="600" t="s">
        <v>183</v>
      </c>
      <c r="H138" s="578">
        <v>2</v>
      </c>
      <c r="I138" s="601" t="s">
        <v>228</v>
      </c>
      <c r="J138" s="600"/>
      <c r="K138" s="575"/>
      <c r="L138" s="621"/>
      <c r="M138" s="379">
        <f>((M$128*N$128)/240*($H138/N138))</f>
        <v>1.2499999999999999E-2</v>
      </c>
      <c r="N138" s="380">
        <v>3</v>
      </c>
      <c r="O138" s="578"/>
      <c r="P138" s="603"/>
      <c r="Q138" s="604"/>
      <c r="R138" s="603"/>
      <c r="S138" s="603"/>
      <c r="T138" s="605"/>
      <c r="U138" s="605"/>
      <c r="V138" s="605"/>
      <c r="W138" s="605"/>
      <c r="X138" s="578"/>
      <c r="Y138" s="381"/>
      <c r="Z138" s="381"/>
    </row>
    <row r="139" spans="2:26" x14ac:dyDescent="0.35">
      <c r="B139" s="622"/>
      <c r="E139" s="623"/>
      <c r="F139" s="381" t="s">
        <v>232</v>
      </c>
      <c r="G139" s="600" t="s">
        <v>183</v>
      </c>
      <c r="H139" s="578">
        <v>1</v>
      </c>
      <c r="I139" s="601" t="s">
        <v>228</v>
      </c>
      <c r="J139" s="600"/>
      <c r="K139" s="575"/>
      <c r="L139" s="621"/>
      <c r="M139" s="379">
        <f>((M$128*N$128)/240*($H139/N139))</f>
        <v>6.2499999999999995E-3</v>
      </c>
      <c r="N139" s="380">
        <v>3</v>
      </c>
      <c r="O139" s="578"/>
      <c r="P139" s="603"/>
      <c r="Q139" s="604"/>
      <c r="R139" s="603"/>
      <c r="S139" s="603"/>
      <c r="T139" s="605"/>
      <c r="U139" s="605"/>
      <c r="V139" s="605"/>
      <c r="W139" s="605"/>
      <c r="X139" s="578"/>
      <c r="Y139" s="381"/>
      <c r="Z139" s="381"/>
    </row>
    <row r="140" spans="2:26" x14ac:dyDescent="0.35">
      <c r="B140" s="622"/>
      <c r="E140" s="623"/>
      <c r="F140" s="381"/>
      <c r="G140" s="600"/>
      <c r="H140" s="578"/>
      <c r="I140" s="601"/>
      <c r="J140" s="600"/>
      <c r="K140" s="575"/>
      <c r="L140" s="621"/>
      <c r="M140" s="379"/>
      <c r="N140" s="380"/>
      <c r="O140" s="578"/>
      <c r="P140" s="603"/>
      <c r="Q140" s="604"/>
      <c r="R140" s="603"/>
      <c r="S140" s="603"/>
      <c r="T140" s="605"/>
      <c r="U140" s="605"/>
      <c r="V140" s="605"/>
      <c r="W140" s="605"/>
      <c r="X140" s="578"/>
      <c r="Y140" s="381"/>
      <c r="Z140" s="381"/>
    </row>
    <row r="141" spans="2:26" x14ac:dyDescent="0.35">
      <c r="B141" s="578"/>
      <c r="C141" s="601" t="s">
        <v>478</v>
      </c>
      <c r="D141" s="601"/>
      <c r="E141" s="642"/>
      <c r="F141" s="381"/>
      <c r="G141" s="600"/>
      <c r="H141" s="578"/>
      <c r="I141" s="601"/>
      <c r="J141" s="600"/>
      <c r="K141" s="575"/>
      <c r="L141" s="621"/>
      <c r="M141" s="379"/>
      <c r="N141" s="380"/>
      <c r="O141" s="578"/>
      <c r="P141" s="603"/>
      <c r="Q141" s="604"/>
      <c r="R141" s="603"/>
      <c r="S141" s="603"/>
      <c r="T141" s="605"/>
      <c r="U141" s="605"/>
      <c r="V141" s="605"/>
      <c r="W141" s="605"/>
      <c r="X141" s="578"/>
      <c r="Y141" s="381"/>
      <c r="Z141" s="381"/>
    </row>
    <row r="142" spans="2:26" x14ac:dyDescent="0.35">
      <c r="B142" s="624"/>
      <c r="C142" s="170"/>
      <c r="D142" s="170" t="s">
        <v>479</v>
      </c>
      <c r="E142" s="646"/>
      <c r="F142" s="381" t="s">
        <v>177</v>
      </c>
      <c r="G142" s="600" t="s">
        <v>178</v>
      </c>
      <c r="H142" s="578"/>
      <c r="I142" s="601"/>
      <c r="J142" s="600"/>
      <c r="K142" s="575"/>
      <c r="L142" s="621"/>
      <c r="M142" s="379">
        <v>4</v>
      </c>
      <c r="N142" s="380">
        <v>1</v>
      </c>
      <c r="O142" s="578"/>
      <c r="P142" s="603"/>
      <c r="Q142" s="604"/>
      <c r="R142" s="603"/>
      <c r="S142" s="603"/>
      <c r="T142" s="605"/>
      <c r="U142" s="605"/>
      <c r="V142" s="605"/>
      <c r="W142" s="605"/>
      <c r="X142" s="578"/>
      <c r="Y142" s="381"/>
      <c r="Z142" s="381"/>
    </row>
    <row r="143" spans="2:26" x14ac:dyDescent="0.35">
      <c r="B143" s="622"/>
      <c r="E143" s="623"/>
      <c r="F143" s="381" t="s">
        <v>221</v>
      </c>
      <c r="G143" s="600" t="s">
        <v>222</v>
      </c>
      <c r="H143" s="578"/>
      <c r="I143" s="601"/>
      <c r="J143" s="600"/>
      <c r="K143" s="575"/>
      <c r="L143" s="621"/>
      <c r="M143" s="379">
        <v>4</v>
      </c>
      <c r="N143" s="380">
        <v>1</v>
      </c>
      <c r="O143" s="578"/>
      <c r="P143" s="603"/>
      <c r="Q143" s="604"/>
      <c r="R143" s="603"/>
      <c r="S143" s="603"/>
      <c r="T143" s="605"/>
      <c r="U143" s="605"/>
      <c r="V143" s="605"/>
      <c r="W143" s="605"/>
      <c r="X143" s="578"/>
      <c r="Y143" s="381"/>
      <c r="Z143" s="381"/>
    </row>
    <row r="144" spans="2:26" x14ac:dyDescent="0.35">
      <c r="B144" s="622"/>
      <c r="E144" s="623"/>
      <c r="F144" s="381" t="s">
        <v>225</v>
      </c>
      <c r="G144" s="600" t="s">
        <v>222</v>
      </c>
      <c r="H144" s="578"/>
      <c r="I144" s="601"/>
      <c r="J144" s="600"/>
      <c r="K144" s="575"/>
      <c r="L144" s="621"/>
      <c r="M144" s="379">
        <v>7.2000000000000008E-2</v>
      </c>
      <c r="N144" s="380">
        <v>1</v>
      </c>
      <c r="O144" s="578"/>
      <c r="P144" s="603"/>
      <c r="Q144" s="604"/>
      <c r="R144" s="603"/>
      <c r="S144" s="603"/>
      <c r="T144" s="605"/>
      <c r="U144" s="605"/>
      <c r="V144" s="605"/>
      <c r="W144" s="605"/>
      <c r="X144" s="578"/>
      <c r="Y144" s="381"/>
      <c r="Z144" s="381"/>
    </row>
    <row r="145" spans="2:26" x14ac:dyDescent="0.35">
      <c r="B145" s="622"/>
      <c r="E145" s="623"/>
      <c r="F145" s="381" t="s">
        <v>226</v>
      </c>
      <c r="G145" s="600" t="s">
        <v>178</v>
      </c>
      <c r="H145" s="578"/>
      <c r="I145" s="601"/>
      <c r="J145" s="600"/>
      <c r="K145" s="575"/>
      <c r="L145" s="621"/>
      <c r="M145" s="379">
        <v>4</v>
      </c>
      <c r="N145" s="380">
        <v>1</v>
      </c>
      <c r="O145" s="578"/>
      <c r="P145" s="603"/>
      <c r="Q145" s="604"/>
      <c r="R145" s="603"/>
      <c r="S145" s="603"/>
      <c r="T145" s="605"/>
      <c r="U145" s="605"/>
      <c r="V145" s="605"/>
      <c r="W145" s="605"/>
      <c r="X145" s="578"/>
      <c r="Y145" s="381"/>
      <c r="Z145" s="381"/>
    </row>
    <row r="146" spans="2:26" x14ac:dyDescent="0.35">
      <c r="B146" s="622"/>
      <c r="E146" s="623"/>
      <c r="F146" s="381" t="s">
        <v>220</v>
      </c>
      <c r="G146" s="600" t="s">
        <v>183</v>
      </c>
      <c r="H146" s="578"/>
      <c r="I146" s="601"/>
      <c r="J146" s="600"/>
      <c r="K146" s="575"/>
      <c r="L146" s="621"/>
      <c r="M146" s="379">
        <f>((4*1)/240)</f>
        <v>1.6666666666666666E-2</v>
      </c>
      <c r="N146" s="380">
        <v>1</v>
      </c>
      <c r="O146" s="578"/>
      <c r="P146" s="603"/>
      <c r="Q146" s="604"/>
      <c r="R146" s="603"/>
      <c r="S146" s="603"/>
      <c r="T146" s="605"/>
      <c r="U146" s="605"/>
      <c r="V146" s="605"/>
      <c r="W146" s="605"/>
      <c r="X146" s="578"/>
      <c r="Y146" s="381"/>
      <c r="Z146" s="381"/>
    </row>
    <row r="147" spans="2:26" x14ac:dyDescent="0.35">
      <c r="B147" s="622"/>
      <c r="E147" s="623"/>
      <c r="F147" s="381" t="s">
        <v>227</v>
      </c>
      <c r="G147" s="600" t="s">
        <v>183</v>
      </c>
      <c r="H147" s="578">
        <v>4</v>
      </c>
      <c r="I147" s="601" t="s">
        <v>228</v>
      </c>
      <c r="J147" s="600"/>
      <c r="K147" s="575"/>
      <c r="L147" s="621"/>
      <c r="M147" s="379">
        <f>((M$142*N$142)/240*($H147/N147))</f>
        <v>6.6666666666666666E-2</v>
      </c>
      <c r="N147" s="380">
        <v>1</v>
      </c>
      <c r="O147" s="578"/>
      <c r="P147" s="603"/>
      <c r="Q147" s="604"/>
      <c r="R147" s="603"/>
      <c r="S147" s="603"/>
      <c r="T147" s="605"/>
      <c r="U147" s="605"/>
      <c r="V147" s="605"/>
      <c r="W147" s="605"/>
      <c r="X147" s="578"/>
      <c r="Y147" s="381"/>
      <c r="Z147" s="381"/>
    </row>
    <row r="148" spans="2:26" x14ac:dyDescent="0.35">
      <c r="B148" s="622"/>
      <c r="E148" s="623"/>
      <c r="F148" s="381" t="s">
        <v>229</v>
      </c>
      <c r="G148" s="600" t="s">
        <v>183</v>
      </c>
      <c r="H148" s="578">
        <v>12</v>
      </c>
      <c r="I148" s="601" t="s">
        <v>228</v>
      </c>
      <c r="J148" s="600"/>
      <c r="K148" s="575"/>
      <c r="L148" s="621"/>
      <c r="M148" s="379">
        <f>((M$142*N$142)/240*($H148/N148))</f>
        <v>0.2</v>
      </c>
      <c r="N148" s="380">
        <v>1</v>
      </c>
      <c r="O148" s="578"/>
      <c r="P148" s="603"/>
      <c r="Q148" s="604"/>
      <c r="R148" s="603"/>
      <c r="S148" s="603"/>
      <c r="T148" s="605"/>
      <c r="U148" s="605"/>
      <c r="V148" s="605"/>
      <c r="W148" s="605"/>
      <c r="X148" s="578"/>
      <c r="Y148" s="381"/>
      <c r="Z148" s="381"/>
    </row>
    <row r="149" spans="2:26" x14ac:dyDescent="0.35">
      <c r="B149" s="622"/>
      <c r="E149" s="623"/>
      <c r="F149" s="381" t="s">
        <v>230</v>
      </c>
      <c r="G149" s="600" t="s">
        <v>183</v>
      </c>
      <c r="H149" s="578">
        <v>1</v>
      </c>
      <c r="I149" s="601" t="s">
        <v>228</v>
      </c>
      <c r="J149" s="600"/>
      <c r="K149" s="575"/>
      <c r="L149" s="621"/>
      <c r="M149" s="379">
        <f>((M$142*N$142)/240*($H149/N149))</f>
        <v>1.6666666666666666E-2</v>
      </c>
      <c r="N149" s="380">
        <v>1</v>
      </c>
      <c r="O149" s="578"/>
      <c r="P149" s="603"/>
      <c r="Q149" s="604"/>
      <c r="R149" s="603"/>
      <c r="S149" s="603"/>
      <c r="T149" s="605"/>
      <c r="U149" s="605"/>
      <c r="V149" s="605"/>
      <c r="W149" s="605"/>
      <c r="X149" s="578"/>
      <c r="Y149" s="381"/>
      <c r="Z149" s="381"/>
    </row>
    <row r="150" spans="2:26" x14ac:dyDescent="0.35">
      <c r="B150" s="622"/>
      <c r="E150" s="623"/>
      <c r="F150" s="381" t="s">
        <v>231</v>
      </c>
      <c r="G150" s="600" t="s">
        <v>183</v>
      </c>
      <c r="H150" s="578">
        <v>2</v>
      </c>
      <c r="I150" s="601" t="s">
        <v>228</v>
      </c>
      <c r="J150" s="600"/>
      <c r="K150" s="575"/>
      <c r="L150" s="621"/>
      <c r="M150" s="379">
        <f>((M$142*N$142)/240*($H150/N150))</f>
        <v>3.3333333333333333E-2</v>
      </c>
      <c r="N150" s="380">
        <v>1</v>
      </c>
      <c r="O150" s="578"/>
      <c r="P150" s="603"/>
      <c r="Q150" s="604"/>
      <c r="R150" s="603"/>
      <c r="S150" s="603"/>
      <c r="T150" s="605"/>
      <c r="U150" s="605"/>
      <c r="V150" s="605"/>
      <c r="W150" s="605"/>
      <c r="X150" s="578"/>
      <c r="Y150" s="381"/>
      <c r="Z150" s="381"/>
    </row>
    <row r="151" spans="2:26" x14ac:dyDescent="0.35">
      <c r="B151" s="622"/>
      <c r="E151" s="623"/>
      <c r="F151" s="381" t="s">
        <v>232</v>
      </c>
      <c r="G151" s="600" t="s">
        <v>183</v>
      </c>
      <c r="H151" s="578">
        <v>1</v>
      </c>
      <c r="I151" s="601" t="s">
        <v>228</v>
      </c>
      <c r="J151" s="600"/>
      <c r="K151" s="575"/>
      <c r="L151" s="621"/>
      <c r="M151" s="379">
        <f>((M$142*N$142)/240*($H151/N151))</f>
        <v>1.6666666666666666E-2</v>
      </c>
      <c r="N151" s="380">
        <v>1</v>
      </c>
      <c r="O151" s="578"/>
      <c r="P151" s="603"/>
      <c r="Q151" s="604"/>
      <c r="R151" s="603"/>
      <c r="S151" s="603"/>
      <c r="T151" s="605"/>
      <c r="U151" s="605"/>
      <c r="V151" s="605"/>
      <c r="W151" s="605"/>
      <c r="X151" s="578"/>
      <c r="Y151" s="381"/>
      <c r="Z151" s="381"/>
    </row>
    <row r="152" spans="2:26" x14ac:dyDescent="0.35">
      <c r="B152" s="622"/>
      <c r="D152" s="170" t="s">
        <v>79</v>
      </c>
      <c r="E152" s="646"/>
      <c r="F152" s="381" t="s">
        <v>177</v>
      </c>
      <c r="G152" s="600" t="s">
        <v>178</v>
      </c>
      <c r="H152" s="578"/>
      <c r="I152" s="601"/>
      <c r="J152" s="600" t="s">
        <v>179</v>
      </c>
      <c r="K152" s="602"/>
      <c r="L152" s="621">
        <v>1</v>
      </c>
      <c r="M152" s="379">
        <v>1.5</v>
      </c>
      <c r="N152" s="380">
        <v>2</v>
      </c>
      <c r="O152" s="500">
        <f t="shared" ref="O152:O170" si="18">K152*L152*M152*N152</f>
        <v>0</v>
      </c>
      <c r="P152" s="261">
        <v>169122.61109699999</v>
      </c>
      <c r="Q152" s="604">
        <f t="shared" ref="Q152:Q170" si="19">P152*$O152</f>
        <v>0</v>
      </c>
      <c r="R152" s="380">
        <v>179635.86432000002</v>
      </c>
      <c r="S152" s="603">
        <f t="shared" ref="S152:S170" si="20">R152*$O152</f>
        <v>0</v>
      </c>
      <c r="T152" s="380">
        <v>197599.45075200003</v>
      </c>
      <c r="U152" s="605">
        <f t="shared" ref="U152:U170" si="21">$O152*T152</f>
        <v>0</v>
      </c>
      <c r="V152" s="380" t="e">
        <f t="shared" ref="V152:V170" si="22">W152/O152</f>
        <v>#DIV/0!</v>
      </c>
      <c r="W152" s="267">
        <f t="shared" ref="W152:W170" si="23">AVERAGEIF($P$3:$U$3,W$3,$P152:$U152)</f>
        <v>0</v>
      </c>
      <c r="X152" s="578"/>
      <c r="Y152" s="381"/>
      <c r="Z152" s="381"/>
    </row>
    <row r="153" spans="2:26" x14ac:dyDescent="0.35">
      <c r="B153" s="622"/>
      <c r="E153" s="623"/>
      <c r="F153" s="381" t="s">
        <v>221</v>
      </c>
      <c r="G153" s="600" t="s">
        <v>222</v>
      </c>
      <c r="H153" s="578"/>
      <c r="I153" s="601"/>
      <c r="J153" s="600" t="s">
        <v>179</v>
      </c>
      <c r="K153" s="602"/>
      <c r="L153" s="621">
        <v>1</v>
      </c>
      <c r="M153" s="379">
        <v>1</v>
      </c>
      <c r="N153" s="380">
        <v>2</v>
      </c>
      <c r="O153" s="500">
        <f t="shared" si="18"/>
        <v>0</v>
      </c>
      <c r="P153" s="261">
        <v>38965.657500000001</v>
      </c>
      <c r="Q153" s="604">
        <f t="shared" si="19"/>
        <v>0</v>
      </c>
      <c r="R153" s="380">
        <v>44533.743170400012</v>
      </c>
      <c r="S153" s="603">
        <f t="shared" si="20"/>
        <v>0</v>
      </c>
      <c r="T153" s="380">
        <v>47651.105192328017</v>
      </c>
      <c r="U153" s="605">
        <f t="shared" si="21"/>
        <v>0</v>
      </c>
      <c r="V153" s="380" t="e">
        <f t="shared" si="22"/>
        <v>#DIV/0!</v>
      </c>
      <c r="W153" s="267">
        <f t="shared" si="23"/>
        <v>0</v>
      </c>
      <c r="X153" s="578"/>
      <c r="Y153" s="381"/>
      <c r="Z153" s="381"/>
    </row>
    <row r="154" spans="2:26" x14ac:dyDescent="0.35">
      <c r="B154" s="622"/>
      <c r="E154" s="623"/>
      <c r="F154" s="381" t="s">
        <v>225</v>
      </c>
      <c r="G154" s="600" t="s">
        <v>222</v>
      </c>
      <c r="H154" s="578"/>
      <c r="I154" s="601"/>
      <c r="J154" s="600" t="s">
        <v>179</v>
      </c>
      <c r="K154" s="602"/>
      <c r="L154" s="621">
        <v>1</v>
      </c>
      <c r="M154" s="379">
        <v>0.18</v>
      </c>
      <c r="N154" s="380">
        <v>2</v>
      </c>
      <c r="O154" s="500">
        <f t="shared" si="18"/>
        <v>0</v>
      </c>
      <c r="P154" s="261">
        <v>49592.654999999999</v>
      </c>
      <c r="Q154" s="604">
        <f t="shared" si="19"/>
        <v>0</v>
      </c>
      <c r="R154" s="380">
        <v>56679.309489600004</v>
      </c>
      <c r="S154" s="603">
        <f t="shared" si="20"/>
        <v>0</v>
      </c>
      <c r="T154" s="380">
        <v>60646.861153872007</v>
      </c>
      <c r="U154" s="605">
        <f t="shared" si="21"/>
        <v>0</v>
      </c>
      <c r="V154" s="380" t="e">
        <f t="shared" si="22"/>
        <v>#DIV/0!</v>
      </c>
      <c r="W154" s="267">
        <f t="shared" si="23"/>
        <v>0</v>
      </c>
      <c r="X154" s="578"/>
      <c r="Y154" s="381"/>
      <c r="Z154" s="381"/>
    </row>
    <row r="155" spans="2:26" x14ac:dyDescent="0.35">
      <c r="B155" s="622"/>
      <c r="E155" s="623"/>
      <c r="F155" s="381" t="s">
        <v>226</v>
      </c>
      <c r="G155" s="600" t="s">
        <v>178</v>
      </c>
      <c r="H155" s="578"/>
      <c r="I155" s="601"/>
      <c r="J155" s="600" t="s">
        <v>179</v>
      </c>
      <c r="K155" s="602"/>
      <c r="L155" s="621">
        <v>1</v>
      </c>
      <c r="M155" s="379">
        <v>1.5</v>
      </c>
      <c r="N155" s="380">
        <v>2</v>
      </c>
      <c r="O155" s="500">
        <f t="shared" si="18"/>
        <v>0</v>
      </c>
      <c r="P155" s="261">
        <v>4469.4136124999995</v>
      </c>
      <c r="Q155" s="604">
        <f t="shared" si="19"/>
        <v>0</v>
      </c>
      <c r="R155" s="380">
        <v>4849.8912000000009</v>
      </c>
      <c r="S155" s="603">
        <f t="shared" si="20"/>
        <v>0</v>
      </c>
      <c r="T155" s="380">
        <v>5237.8824960000011</v>
      </c>
      <c r="U155" s="605">
        <f t="shared" si="21"/>
        <v>0</v>
      </c>
      <c r="V155" s="380" t="e">
        <f t="shared" si="22"/>
        <v>#DIV/0!</v>
      </c>
      <c r="W155" s="267">
        <f t="shared" si="23"/>
        <v>0</v>
      </c>
      <c r="X155" s="578"/>
      <c r="Y155" s="381"/>
      <c r="Z155" s="381"/>
    </row>
    <row r="156" spans="2:26" x14ac:dyDescent="0.35">
      <c r="B156" s="622"/>
      <c r="E156" s="623"/>
      <c r="F156" s="381" t="s">
        <v>220</v>
      </c>
      <c r="G156" s="600" t="s">
        <v>183</v>
      </c>
      <c r="H156" s="578"/>
      <c r="I156" s="601"/>
      <c r="J156" s="600" t="s">
        <v>179</v>
      </c>
      <c r="K156" s="602"/>
      <c r="L156" s="621">
        <v>1</v>
      </c>
      <c r="M156" s="379">
        <v>6.2500000000000003E-3</v>
      </c>
      <c r="N156" s="380">
        <v>2</v>
      </c>
      <c r="O156" s="500">
        <f t="shared" si="18"/>
        <v>0</v>
      </c>
      <c r="P156" s="261">
        <v>1581858.0973125002</v>
      </c>
      <c r="Q156" s="604">
        <f t="shared" si="19"/>
        <v>0</v>
      </c>
      <c r="R156" s="380">
        <v>1721356.7670720001</v>
      </c>
      <c r="S156" s="603">
        <f t="shared" si="20"/>
        <v>0</v>
      </c>
      <c r="T156" s="380">
        <v>1859065.3084377602</v>
      </c>
      <c r="U156" s="605">
        <f t="shared" si="21"/>
        <v>0</v>
      </c>
      <c r="V156" s="380" t="e">
        <f t="shared" si="22"/>
        <v>#DIV/0!</v>
      </c>
      <c r="W156" s="267">
        <f t="shared" si="23"/>
        <v>0</v>
      </c>
      <c r="X156" s="578"/>
      <c r="Y156" s="381"/>
      <c r="Z156" s="381"/>
    </row>
    <row r="157" spans="2:26" x14ac:dyDescent="0.35">
      <c r="B157" s="622"/>
      <c r="E157" s="623"/>
      <c r="F157" s="381" t="s">
        <v>227</v>
      </c>
      <c r="G157" s="600" t="s">
        <v>183</v>
      </c>
      <c r="H157" s="578">
        <v>4</v>
      </c>
      <c r="I157" s="601" t="s">
        <v>228</v>
      </c>
      <c r="J157" s="600" t="s">
        <v>179</v>
      </c>
      <c r="K157" s="602"/>
      <c r="L157" s="621">
        <v>1</v>
      </c>
      <c r="M157" s="379">
        <f>((M$152*N$152)/240*($H157/N157))</f>
        <v>2.5000000000000001E-2</v>
      </c>
      <c r="N157" s="380">
        <v>2</v>
      </c>
      <c r="O157" s="500">
        <f t="shared" si="18"/>
        <v>0</v>
      </c>
      <c r="P157" s="261">
        <v>49592.654999999999</v>
      </c>
      <c r="Q157" s="604">
        <f t="shared" si="19"/>
        <v>0</v>
      </c>
      <c r="R157" s="380">
        <v>53966.062080000011</v>
      </c>
      <c r="S157" s="603">
        <f t="shared" si="20"/>
        <v>0</v>
      </c>
      <c r="T157" s="380">
        <v>58283.347046400013</v>
      </c>
      <c r="U157" s="605">
        <f t="shared" si="21"/>
        <v>0</v>
      </c>
      <c r="V157" s="380" t="e">
        <f t="shared" si="22"/>
        <v>#DIV/0!</v>
      </c>
      <c r="W157" s="267">
        <f t="shared" si="23"/>
        <v>0</v>
      </c>
      <c r="X157" s="578"/>
      <c r="Y157" s="381"/>
      <c r="Z157" s="381"/>
    </row>
    <row r="158" spans="2:26" x14ac:dyDescent="0.35">
      <c r="B158" s="622"/>
      <c r="E158" s="623"/>
      <c r="F158" s="381" t="s">
        <v>229</v>
      </c>
      <c r="G158" s="600" t="s">
        <v>183</v>
      </c>
      <c r="H158" s="578">
        <v>12</v>
      </c>
      <c r="I158" s="601" t="s">
        <v>228</v>
      </c>
      <c r="J158" s="600" t="s">
        <v>179</v>
      </c>
      <c r="K158" s="602"/>
      <c r="L158" s="621">
        <v>1</v>
      </c>
      <c r="M158" s="379">
        <f>((M$152*N$152)/240*($H158/N158))</f>
        <v>7.5000000000000011E-2</v>
      </c>
      <c r="N158" s="380">
        <v>2</v>
      </c>
      <c r="O158" s="500">
        <f t="shared" si="18"/>
        <v>0</v>
      </c>
      <c r="P158" s="261">
        <v>16206.75</v>
      </c>
      <c r="Q158" s="604">
        <f t="shared" si="19"/>
        <v>0</v>
      </c>
      <c r="R158" s="380">
        <v>17635.968000000004</v>
      </c>
      <c r="S158" s="603">
        <f t="shared" si="20"/>
        <v>0</v>
      </c>
      <c r="T158" s="380">
        <v>19046.845440000005</v>
      </c>
      <c r="U158" s="605">
        <f t="shared" si="21"/>
        <v>0</v>
      </c>
      <c r="V158" s="380" t="e">
        <f t="shared" si="22"/>
        <v>#DIV/0!</v>
      </c>
      <c r="W158" s="267">
        <f t="shared" si="23"/>
        <v>0</v>
      </c>
      <c r="X158" s="578"/>
      <c r="Y158" s="381"/>
      <c r="Z158" s="381"/>
    </row>
    <row r="159" spans="2:26" x14ac:dyDescent="0.35">
      <c r="B159" s="622"/>
      <c r="E159" s="623"/>
      <c r="F159" s="381" t="s">
        <v>230</v>
      </c>
      <c r="G159" s="600" t="s">
        <v>183</v>
      </c>
      <c r="H159" s="578">
        <v>1</v>
      </c>
      <c r="I159" s="601" t="s">
        <v>228</v>
      </c>
      <c r="J159" s="600" t="s">
        <v>179</v>
      </c>
      <c r="K159" s="602"/>
      <c r="L159" s="621">
        <v>1</v>
      </c>
      <c r="M159" s="379">
        <f>((M$152*N$152)/240*($H159/N159))</f>
        <v>6.2500000000000003E-3</v>
      </c>
      <c r="N159" s="380">
        <v>2</v>
      </c>
      <c r="O159" s="500">
        <f t="shared" si="18"/>
        <v>0</v>
      </c>
      <c r="P159" s="261">
        <v>43393.573125000003</v>
      </c>
      <c r="Q159" s="604">
        <f t="shared" si="19"/>
        <v>0</v>
      </c>
      <c r="R159" s="380">
        <v>47220.30432000001</v>
      </c>
      <c r="S159" s="603">
        <f t="shared" si="20"/>
        <v>0</v>
      </c>
      <c r="T159" s="380">
        <v>50997.928665600011</v>
      </c>
      <c r="U159" s="605">
        <f t="shared" si="21"/>
        <v>0</v>
      </c>
      <c r="V159" s="380" t="e">
        <f t="shared" si="22"/>
        <v>#DIV/0!</v>
      </c>
      <c r="W159" s="267">
        <f t="shared" si="23"/>
        <v>0</v>
      </c>
      <c r="X159" s="578"/>
      <c r="Y159" s="381"/>
      <c r="Z159" s="381"/>
    </row>
    <row r="160" spans="2:26" x14ac:dyDescent="0.35">
      <c r="B160" s="622"/>
      <c r="E160" s="623"/>
      <c r="F160" s="381" t="s">
        <v>231</v>
      </c>
      <c r="G160" s="600" t="s">
        <v>183</v>
      </c>
      <c r="H160" s="578">
        <v>2</v>
      </c>
      <c r="I160" s="601" t="s">
        <v>228</v>
      </c>
      <c r="J160" s="600" t="s">
        <v>179</v>
      </c>
      <c r="K160" s="602"/>
      <c r="L160" s="621">
        <v>1</v>
      </c>
      <c r="M160" s="379">
        <f>((M$152*N$152)/240*($H160/N160))</f>
        <v>1.2500000000000001E-2</v>
      </c>
      <c r="N160" s="380">
        <v>2</v>
      </c>
      <c r="O160" s="500">
        <f t="shared" si="18"/>
        <v>0</v>
      </c>
      <c r="P160" s="261">
        <v>37194.491250000006</v>
      </c>
      <c r="Q160" s="604">
        <f t="shared" si="19"/>
        <v>0</v>
      </c>
      <c r="R160" s="380">
        <v>40474.546560000003</v>
      </c>
      <c r="S160" s="603">
        <f t="shared" si="20"/>
        <v>0</v>
      </c>
      <c r="T160" s="380">
        <v>43712.510284800002</v>
      </c>
      <c r="U160" s="605">
        <f t="shared" si="21"/>
        <v>0</v>
      </c>
      <c r="V160" s="380" t="e">
        <f t="shared" si="22"/>
        <v>#DIV/0!</v>
      </c>
      <c r="W160" s="267">
        <f t="shared" si="23"/>
        <v>0</v>
      </c>
      <c r="X160" s="578"/>
      <c r="Y160" s="381"/>
      <c r="Z160" s="381"/>
    </row>
    <row r="161" spans="2:26" x14ac:dyDescent="0.35">
      <c r="B161" s="622"/>
      <c r="E161" s="623"/>
      <c r="F161" s="381" t="s">
        <v>232</v>
      </c>
      <c r="G161" s="600" t="s">
        <v>183</v>
      </c>
      <c r="H161" s="578">
        <v>1</v>
      </c>
      <c r="I161" s="601" t="s">
        <v>228</v>
      </c>
      <c r="J161" s="600" t="s">
        <v>179</v>
      </c>
      <c r="K161" s="602"/>
      <c r="L161" s="621">
        <v>1</v>
      </c>
      <c r="M161" s="379">
        <f>((M$152*N$152)/240*($H161/N161))</f>
        <v>6.2500000000000003E-3</v>
      </c>
      <c r="N161" s="380">
        <v>2</v>
      </c>
      <c r="O161" s="500">
        <f t="shared" si="18"/>
        <v>0</v>
      </c>
      <c r="P161" s="261">
        <v>99185.31</v>
      </c>
      <c r="Q161" s="604">
        <f t="shared" si="19"/>
        <v>0</v>
      </c>
      <c r="R161" s="380">
        <v>107932.12416000002</v>
      </c>
      <c r="S161" s="603">
        <f t="shared" si="20"/>
        <v>0</v>
      </c>
      <c r="T161" s="380">
        <v>116566.69409280003</v>
      </c>
      <c r="U161" s="605">
        <f t="shared" si="21"/>
        <v>0</v>
      </c>
      <c r="V161" s="380" t="e">
        <f t="shared" si="22"/>
        <v>#DIV/0!</v>
      </c>
      <c r="W161" s="267">
        <f t="shared" si="23"/>
        <v>0</v>
      </c>
      <c r="X161" s="578"/>
      <c r="Y161" s="381"/>
      <c r="Z161" s="381"/>
    </row>
    <row r="162" spans="2:26" x14ac:dyDescent="0.35">
      <c r="B162" s="622"/>
      <c r="D162" s="170" t="s">
        <v>81</v>
      </c>
      <c r="E162" s="646"/>
      <c r="F162" s="381" t="s">
        <v>177</v>
      </c>
      <c r="G162" s="600" t="s">
        <v>178</v>
      </c>
      <c r="H162" s="578"/>
      <c r="I162" s="601"/>
      <c r="J162" s="600" t="s">
        <v>179</v>
      </c>
      <c r="K162" s="602">
        <v>1</v>
      </c>
      <c r="L162" s="621">
        <v>45.36</v>
      </c>
      <c r="M162" s="379">
        <v>0.3</v>
      </c>
      <c r="N162" s="380">
        <v>4</v>
      </c>
      <c r="O162" s="500">
        <f t="shared" si="18"/>
        <v>54.431999999999995</v>
      </c>
      <c r="P162" s="261">
        <v>180115.58081830497</v>
      </c>
      <c r="Q162" s="604">
        <f t="shared" si="19"/>
        <v>9804051.2951019742</v>
      </c>
      <c r="R162" s="380">
        <v>179635.86432000002</v>
      </c>
      <c r="S162" s="603">
        <f t="shared" si="20"/>
        <v>9777939.3666662406</v>
      </c>
      <c r="T162" s="380">
        <v>197599.45075200003</v>
      </c>
      <c r="U162" s="605">
        <f t="shared" si="21"/>
        <v>10755733.303332865</v>
      </c>
      <c r="V162" s="380">
        <f t="shared" si="22"/>
        <v>185783.63196343501</v>
      </c>
      <c r="W162" s="267">
        <f t="shared" si="23"/>
        <v>10112574.655033693</v>
      </c>
      <c r="X162" s="578"/>
      <c r="Y162" s="775">
        <f t="shared" ref="Y162:Y170" si="24">Q162/$D$1</f>
        <v>216138.69698196591</v>
      </c>
      <c r="Z162" s="381"/>
    </row>
    <row r="163" spans="2:26" x14ac:dyDescent="0.35">
      <c r="B163" s="622"/>
      <c r="E163" s="623"/>
      <c r="F163" s="381" t="s">
        <v>221</v>
      </c>
      <c r="G163" s="600" t="s">
        <v>222</v>
      </c>
      <c r="H163" s="578"/>
      <c r="I163" s="601"/>
      <c r="J163" s="600" t="s">
        <v>179</v>
      </c>
      <c r="K163" s="602">
        <v>1</v>
      </c>
      <c r="L163" s="621">
        <v>45.36</v>
      </c>
      <c r="M163" s="379">
        <v>0.25</v>
      </c>
      <c r="N163" s="380">
        <v>4</v>
      </c>
      <c r="O163" s="500">
        <f t="shared" si="18"/>
        <v>45.36</v>
      </c>
      <c r="P163" s="261">
        <v>40913.940375000006</v>
      </c>
      <c r="Q163" s="604">
        <f t="shared" si="19"/>
        <v>1855856.3354100003</v>
      </c>
      <c r="R163" s="380">
        <v>44533.743170400012</v>
      </c>
      <c r="S163" s="603">
        <f t="shared" si="20"/>
        <v>2020050.5902093444</v>
      </c>
      <c r="T163" s="380">
        <v>47651.105192328017</v>
      </c>
      <c r="U163" s="605">
        <f t="shared" si="21"/>
        <v>2161454.1315239989</v>
      </c>
      <c r="V163" s="380">
        <f t="shared" si="22"/>
        <v>44366.262912576014</v>
      </c>
      <c r="W163" s="267">
        <f t="shared" si="23"/>
        <v>2012453.6857144479</v>
      </c>
      <c r="X163" s="578"/>
      <c r="Y163" s="775">
        <f t="shared" si="24"/>
        <v>40913.940375000006</v>
      </c>
      <c r="Z163" s="381"/>
    </row>
    <row r="164" spans="2:26" x14ac:dyDescent="0.35">
      <c r="B164" s="622"/>
      <c r="E164" s="623"/>
      <c r="F164" s="381" t="s">
        <v>226</v>
      </c>
      <c r="G164" s="600" t="s">
        <v>178</v>
      </c>
      <c r="H164" s="578"/>
      <c r="I164" s="601"/>
      <c r="J164" s="600" t="s">
        <v>179</v>
      </c>
      <c r="K164" s="602">
        <v>1</v>
      </c>
      <c r="L164" s="621">
        <v>45.36</v>
      </c>
      <c r="M164" s="379">
        <v>0.3</v>
      </c>
      <c r="N164" s="380">
        <v>4</v>
      </c>
      <c r="O164" s="500">
        <f t="shared" si="18"/>
        <v>54.431999999999995</v>
      </c>
      <c r="P164" s="261">
        <v>4759.9254973124989</v>
      </c>
      <c r="Q164" s="604">
        <f t="shared" si="19"/>
        <v>259092.26466971391</v>
      </c>
      <c r="R164" s="380">
        <v>4849.8912000000009</v>
      </c>
      <c r="S164" s="603">
        <f t="shared" si="20"/>
        <v>263989.27779840003</v>
      </c>
      <c r="T164" s="380">
        <v>5237.8824960000011</v>
      </c>
      <c r="U164" s="605">
        <f t="shared" si="21"/>
        <v>285108.42002227204</v>
      </c>
      <c r="V164" s="380">
        <f t="shared" si="22"/>
        <v>4949.2330644375006</v>
      </c>
      <c r="W164" s="267">
        <f t="shared" si="23"/>
        <v>269396.65416346199</v>
      </c>
      <c r="X164" s="578"/>
      <c r="Y164" s="775">
        <f t="shared" si="24"/>
        <v>5711.9105967749983</v>
      </c>
      <c r="Z164" s="381"/>
    </row>
    <row r="165" spans="2:26" x14ac:dyDescent="0.35">
      <c r="B165" s="622"/>
      <c r="E165" s="623"/>
      <c r="F165" s="381" t="s">
        <v>398</v>
      </c>
      <c r="G165" s="600" t="s">
        <v>183</v>
      </c>
      <c r="H165" s="578">
        <v>1</v>
      </c>
      <c r="I165" s="601"/>
      <c r="J165" s="600" t="s">
        <v>179</v>
      </c>
      <c r="K165" s="602">
        <v>1</v>
      </c>
      <c r="L165" s="621">
        <v>45.36</v>
      </c>
      <c r="M165" s="379">
        <f t="shared" ref="M165:M170" si="25">((M$162*N$162)/240*($H165/N165))</f>
        <v>1.25E-3</v>
      </c>
      <c r="N165" s="380">
        <v>4</v>
      </c>
      <c r="O165" s="500">
        <f t="shared" si="18"/>
        <v>0.2268</v>
      </c>
      <c r="P165" s="261">
        <v>9329.618221875</v>
      </c>
      <c r="Q165" s="604">
        <f t="shared" si="19"/>
        <v>2115.95741272125</v>
      </c>
      <c r="R165" s="380">
        <v>9668.9194560000033</v>
      </c>
      <c r="S165" s="603">
        <f t="shared" si="20"/>
        <v>2192.9109326208008</v>
      </c>
      <c r="T165" s="380">
        <v>10442.433012480004</v>
      </c>
      <c r="U165" s="605">
        <f t="shared" si="21"/>
        <v>2368.3438072304648</v>
      </c>
      <c r="V165" s="380">
        <f t="shared" si="22"/>
        <v>9813.6568967850035</v>
      </c>
      <c r="W165" s="267">
        <f t="shared" si="23"/>
        <v>2225.7373841908388</v>
      </c>
      <c r="X165" s="578"/>
      <c r="Y165" s="775">
        <f t="shared" si="24"/>
        <v>46.648091109375002</v>
      </c>
      <c r="Z165" s="381"/>
    </row>
    <row r="166" spans="2:26" x14ac:dyDescent="0.35">
      <c r="B166" s="622"/>
      <c r="E166" s="623"/>
      <c r="F166" s="381" t="s">
        <v>227</v>
      </c>
      <c r="G166" s="600" t="s">
        <v>183</v>
      </c>
      <c r="H166" s="578">
        <v>4</v>
      </c>
      <c r="I166" s="601" t="s">
        <v>228</v>
      </c>
      <c r="J166" s="600" t="s">
        <v>179</v>
      </c>
      <c r="K166" s="602">
        <v>1</v>
      </c>
      <c r="L166" s="621">
        <v>45.36</v>
      </c>
      <c r="M166" s="379">
        <f t="shared" si="25"/>
        <v>5.0000000000000001E-3</v>
      </c>
      <c r="N166" s="380">
        <v>4</v>
      </c>
      <c r="O166" s="500">
        <f t="shared" si="18"/>
        <v>0.90720000000000001</v>
      </c>
      <c r="P166" s="261">
        <v>52072.287750000003</v>
      </c>
      <c r="Q166" s="604">
        <f t="shared" si="19"/>
        <v>47239.979446800004</v>
      </c>
      <c r="R166" s="380">
        <v>53966.062080000011</v>
      </c>
      <c r="S166" s="603">
        <f t="shared" si="20"/>
        <v>48958.011518976011</v>
      </c>
      <c r="T166" s="380">
        <v>58283.347046400013</v>
      </c>
      <c r="U166" s="605">
        <f t="shared" si="21"/>
        <v>52874.652440494094</v>
      </c>
      <c r="V166" s="380">
        <f t="shared" si="22"/>
        <v>54773.898958800011</v>
      </c>
      <c r="W166" s="267">
        <f t="shared" si="23"/>
        <v>49690.881135423369</v>
      </c>
      <c r="X166" s="578"/>
      <c r="Y166" s="775">
        <f t="shared" si="24"/>
        <v>1041.4457550000002</v>
      </c>
      <c r="Z166" s="381"/>
    </row>
    <row r="167" spans="2:26" x14ac:dyDescent="0.35">
      <c r="B167" s="622"/>
      <c r="E167" s="623"/>
      <c r="F167" s="381" t="s">
        <v>229</v>
      </c>
      <c r="G167" s="600" t="s">
        <v>183</v>
      </c>
      <c r="H167" s="578">
        <v>12</v>
      </c>
      <c r="I167" s="601" t="s">
        <v>228</v>
      </c>
      <c r="J167" s="600" t="s">
        <v>179</v>
      </c>
      <c r="K167" s="602">
        <v>1</v>
      </c>
      <c r="L167" s="621">
        <v>45.36</v>
      </c>
      <c r="M167" s="379">
        <f t="shared" si="25"/>
        <v>1.4999999999999999E-2</v>
      </c>
      <c r="N167" s="380">
        <v>4</v>
      </c>
      <c r="O167" s="500">
        <f t="shared" si="18"/>
        <v>2.7216</v>
      </c>
      <c r="P167" s="261">
        <v>17017.087500000001</v>
      </c>
      <c r="Q167" s="604">
        <f t="shared" si="19"/>
        <v>46313.705340000008</v>
      </c>
      <c r="R167" s="380">
        <v>17635.968000000004</v>
      </c>
      <c r="S167" s="603">
        <f t="shared" si="20"/>
        <v>47998.050508800014</v>
      </c>
      <c r="T167" s="380">
        <v>19046.845440000005</v>
      </c>
      <c r="U167" s="605">
        <f t="shared" si="21"/>
        <v>51837.89454950401</v>
      </c>
      <c r="V167" s="380">
        <f t="shared" si="22"/>
        <v>17899.966980000005</v>
      </c>
      <c r="W167" s="267">
        <f t="shared" si="23"/>
        <v>48716.550132768018</v>
      </c>
      <c r="X167" s="578"/>
      <c r="Y167" s="775">
        <f t="shared" si="24"/>
        <v>1021.0252500000001</v>
      </c>
      <c r="Z167" s="381"/>
    </row>
    <row r="168" spans="2:26" x14ac:dyDescent="0.35">
      <c r="B168" s="622"/>
      <c r="E168" s="623"/>
      <c r="F168" s="381" t="s">
        <v>230</v>
      </c>
      <c r="G168" s="600" t="s">
        <v>183</v>
      </c>
      <c r="H168" s="578">
        <v>1</v>
      </c>
      <c r="I168" s="601" t="s">
        <v>228</v>
      </c>
      <c r="J168" s="600" t="s">
        <v>179</v>
      </c>
      <c r="K168" s="602">
        <v>1</v>
      </c>
      <c r="L168" s="621">
        <v>45.36</v>
      </c>
      <c r="M168" s="379">
        <f t="shared" si="25"/>
        <v>1.25E-3</v>
      </c>
      <c r="N168" s="380">
        <v>4</v>
      </c>
      <c r="O168" s="500">
        <f t="shared" si="18"/>
        <v>0.2268</v>
      </c>
      <c r="P168" s="261">
        <v>45563.251781250008</v>
      </c>
      <c r="Q168" s="604">
        <f t="shared" si="19"/>
        <v>10333.745503987502</v>
      </c>
      <c r="R168" s="380">
        <v>47220.30432000001</v>
      </c>
      <c r="S168" s="603">
        <f t="shared" si="20"/>
        <v>10709.565019776002</v>
      </c>
      <c r="T168" s="380">
        <v>50997.928665600011</v>
      </c>
      <c r="U168" s="605">
        <f t="shared" si="21"/>
        <v>11566.330221358083</v>
      </c>
      <c r="V168" s="380">
        <f t="shared" si="22"/>
        <v>47927.16158895001</v>
      </c>
      <c r="W168" s="267">
        <f t="shared" si="23"/>
        <v>10869.880248373862</v>
      </c>
      <c r="X168" s="578"/>
      <c r="Y168" s="775">
        <f t="shared" si="24"/>
        <v>227.81625890625006</v>
      </c>
      <c r="Z168" s="381"/>
    </row>
    <row r="169" spans="2:26" x14ac:dyDescent="0.35">
      <c r="B169" s="622"/>
      <c r="E169" s="623"/>
      <c r="F169" s="381" t="s">
        <v>231</v>
      </c>
      <c r="G169" s="600" t="s">
        <v>183</v>
      </c>
      <c r="H169" s="578">
        <v>2</v>
      </c>
      <c r="I169" s="601" t="s">
        <v>228</v>
      </c>
      <c r="J169" s="600" t="s">
        <v>179</v>
      </c>
      <c r="K169" s="602">
        <v>1</v>
      </c>
      <c r="L169" s="621">
        <v>45.36</v>
      </c>
      <c r="M169" s="379">
        <f t="shared" si="25"/>
        <v>2.5000000000000001E-3</v>
      </c>
      <c r="N169" s="380">
        <v>4</v>
      </c>
      <c r="O169" s="500">
        <f t="shared" si="18"/>
        <v>0.4536</v>
      </c>
      <c r="P169" s="261">
        <v>39054.215812500006</v>
      </c>
      <c r="Q169" s="604">
        <f t="shared" si="19"/>
        <v>17714.992292550003</v>
      </c>
      <c r="R169" s="380">
        <v>40474.546560000003</v>
      </c>
      <c r="S169" s="603">
        <f t="shared" si="20"/>
        <v>18359.254319616</v>
      </c>
      <c r="T169" s="380">
        <v>43712.510284800002</v>
      </c>
      <c r="U169" s="605">
        <f t="shared" si="21"/>
        <v>19827.994665185281</v>
      </c>
      <c r="V169" s="380">
        <f t="shared" si="22"/>
        <v>41080.424219100008</v>
      </c>
      <c r="W169" s="267">
        <f t="shared" si="23"/>
        <v>18634.080425783763</v>
      </c>
      <c r="X169" s="578"/>
      <c r="Y169" s="775">
        <f t="shared" si="24"/>
        <v>390.54215812500007</v>
      </c>
      <c r="Z169" s="381"/>
    </row>
    <row r="170" spans="2:26" x14ac:dyDescent="0.35">
      <c r="B170" s="622"/>
      <c r="E170" s="623"/>
      <c r="F170" s="381" t="s">
        <v>232</v>
      </c>
      <c r="G170" s="600" t="s">
        <v>183</v>
      </c>
      <c r="H170" s="578">
        <v>1</v>
      </c>
      <c r="I170" s="601" t="s">
        <v>228</v>
      </c>
      <c r="J170" s="600" t="s">
        <v>179</v>
      </c>
      <c r="K170" s="602">
        <v>1</v>
      </c>
      <c r="L170" s="621">
        <v>45.36</v>
      </c>
      <c r="M170" s="379">
        <f t="shared" si="25"/>
        <v>1.25E-3</v>
      </c>
      <c r="N170" s="380">
        <v>4</v>
      </c>
      <c r="O170" s="500">
        <f t="shared" si="18"/>
        <v>0.2268</v>
      </c>
      <c r="P170" s="261">
        <v>104144.57550000001</v>
      </c>
      <c r="Q170" s="604">
        <f t="shared" si="19"/>
        <v>23619.989723400002</v>
      </c>
      <c r="R170" s="380">
        <v>107932.12416000002</v>
      </c>
      <c r="S170" s="603">
        <f t="shared" si="20"/>
        <v>24479.005759488005</v>
      </c>
      <c r="T170" s="380">
        <v>116566.69409280003</v>
      </c>
      <c r="U170" s="605">
        <f t="shared" si="21"/>
        <v>26437.326220247047</v>
      </c>
      <c r="V170" s="380">
        <f t="shared" si="22"/>
        <v>109547.79791760002</v>
      </c>
      <c r="W170" s="267">
        <f t="shared" si="23"/>
        <v>24845.440567711685</v>
      </c>
      <c r="X170" s="578"/>
      <c r="Y170" s="775">
        <f t="shared" si="24"/>
        <v>520.7228775000001</v>
      </c>
      <c r="Z170" s="381"/>
    </row>
    <row r="171" spans="2:26" x14ac:dyDescent="0.35">
      <c r="B171" s="624"/>
      <c r="C171" s="170" t="s">
        <v>83</v>
      </c>
      <c r="D171" s="170"/>
      <c r="E171" s="646"/>
      <c r="F171" s="381" t="s">
        <v>177</v>
      </c>
      <c r="G171" s="600" t="s">
        <v>178</v>
      </c>
      <c r="H171" s="578"/>
      <c r="I171" s="601"/>
      <c r="J171" s="600"/>
      <c r="K171" s="575"/>
      <c r="L171" s="621">
        <v>45.36</v>
      </c>
      <c r="M171" s="379">
        <v>0.73</v>
      </c>
      <c r="N171" s="380">
        <v>1</v>
      </c>
      <c r="O171" s="578"/>
      <c r="P171" s="261">
        <v>180115.58081830497</v>
      </c>
      <c r="Q171" s="604"/>
      <c r="R171" s="603"/>
      <c r="S171" s="603"/>
      <c r="T171" s="605"/>
      <c r="U171" s="605"/>
      <c r="V171" s="605"/>
      <c r="W171" s="605"/>
      <c r="X171" s="578"/>
      <c r="Y171" s="775">
        <f t="shared" ref="Y171:Y172" si="26">Q171/192.08</f>
        <v>0</v>
      </c>
      <c r="Z171" s="381"/>
    </row>
    <row r="172" spans="2:26" x14ac:dyDescent="0.35">
      <c r="B172" s="622"/>
      <c r="E172" s="623"/>
      <c r="F172" s="381" t="s">
        <v>359</v>
      </c>
      <c r="G172" s="600" t="s">
        <v>195</v>
      </c>
      <c r="H172" s="578"/>
      <c r="I172" s="601"/>
      <c r="J172" s="600"/>
      <c r="K172" s="575"/>
      <c r="L172" s="621">
        <v>45.36</v>
      </c>
      <c r="M172" s="379">
        <v>3.36</v>
      </c>
      <c r="N172" s="380">
        <v>1</v>
      </c>
      <c r="O172" s="578"/>
      <c r="P172" s="261">
        <v>169829.31774375003</v>
      </c>
      <c r="Q172" s="604"/>
      <c r="R172" s="603"/>
      <c r="S172" s="603"/>
      <c r="T172" s="605"/>
      <c r="U172" s="605"/>
      <c r="V172" s="605"/>
      <c r="W172" s="605"/>
      <c r="X172" s="578"/>
      <c r="Y172" s="775">
        <f t="shared" si="26"/>
        <v>0</v>
      </c>
      <c r="Z172" s="381"/>
    </row>
    <row r="173" spans="2:26" x14ac:dyDescent="0.35">
      <c r="B173" s="597"/>
      <c r="C173" s="598"/>
      <c r="D173" s="598"/>
      <c r="E173" s="599"/>
      <c r="F173" s="381" t="s">
        <v>234</v>
      </c>
      <c r="G173" s="600" t="s">
        <v>179</v>
      </c>
      <c r="H173" s="578"/>
      <c r="I173" s="601"/>
      <c r="J173" s="600" t="s">
        <v>481</v>
      </c>
      <c r="K173" s="602">
        <v>0.15</v>
      </c>
      <c r="L173" s="621">
        <v>45.36</v>
      </c>
      <c r="M173" s="379">
        <f>20/30</f>
        <v>0.66666666666666663</v>
      </c>
      <c r="N173" s="380">
        <v>12</v>
      </c>
      <c r="O173" s="500">
        <f>K173*L173*M173*N173</f>
        <v>54.431999999999995</v>
      </c>
      <c r="P173" s="261">
        <v>80218.550475000025</v>
      </c>
      <c r="Q173" s="604">
        <f>P173*$O173</f>
        <v>4366456.1394552011</v>
      </c>
      <c r="R173" s="380">
        <v>74236.524544</v>
      </c>
      <c r="S173" s="603">
        <f>R173*$O173</f>
        <v>4040842.5039790077</v>
      </c>
      <c r="T173" s="380">
        <v>77205.985525759999</v>
      </c>
      <c r="U173" s="605">
        <f>$O173*T173</f>
        <v>4202476.2041381681</v>
      </c>
      <c r="V173" s="380">
        <f>W173/O173</f>
        <v>77220.353514919989</v>
      </c>
      <c r="W173" s="267">
        <f t="shared" ref="W173:W180" si="27">AVERAGEIF($P$3:$U$3,W$3,$P173:$U173)</f>
        <v>4203258.2825241247</v>
      </c>
      <c r="X173" s="578"/>
      <c r="Y173" s="775">
        <f t="shared" ref="Y173" si="28">Q173/$D$1</f>
        <v>96262.260570000028</v>
      </c>
      <c r="Z173" s="381"/>
    </row>
    <row r="174" spans="2:26" customFormat="1" x14ac:dyDescent="0.35">
      <c r="B174" s="606" t="s">
        <v>482</v>
      </c>
      <c r="C174" s="716"/>
      <c r="D174" s="716"/>
      <c r="E174" s="717"/>
      <c r="F174" s="609"/>
      <c r="G174" s="610"/>
      <c r="H174" s="611"/>
      <c r="I174" s="612"/>
      <c r="J174" s="610"/>
      <c r="K174" s="613"/>
      <c r="L174" s="614"/>
      <c r="M174" s="615"/>
      <c r="N174" s="616"/>
      <c r="O174" s="611"/>
      <c r="P174" s="617"/>
      <c r="Q174" s="618">
        <f>SUM(Q142:Q173)</f>
        <v>16432794.404356349</v>
      </c>
      <c r="R174" s="617"/>
      <c r="S174" s="718">
        <f>SUM(S163:S173)</f>
        <v>6477579.1700460296</v>
      </c>
      <c r="T174" s="776"/>
      <c r="U174" s="776"/>
      <c r="V174" s="776"/>
      <c r="W174" s="776"/>
      <c r="X174" s="611"/>
      <c r="Y174" s="645">
        <f>Q174/D1</f>
        <v>362275.00891438161</v>
      </c>
      <c r="Z174" s="619">
        <f>Q174/$Q$424*100</f>
        <v>1.934637909358417</v>
      </c>
    </row>
    <row r="175" spans="2:26" customFormat="1" x14ac:dyDescent="0.35">
      <c r="B175" s="660" t="s">
        <v>483</v>
      </c>
      <c r="C175" s="729"/>
      <c r="D175" s="729"/>
      <c r="E175" s="730"/>
      <c r="F175" s="532"/>
      <c r="G175" s="587"/>
      <c r="H175" s="588"/>
      <c r="I175" s="589"/>
      <c r="J175" s="587"/>
      <c r="K175" s="590"/>
      <c r="L175" s="591"/>
      <c r="M175" s="543"/>
      <c r="N175" s="544"/>
      <c r="O175" s="588"/>
      <c r="P175" s="592"/>
      <c r="Q175" s="663">
        <f>Q63+Q71+Q85+Q111+Q127+Q174</f>
        <v>166099223.04414108</v>
      </c>
      <c r="R175" s="592"/>
      <c r="S175" s="731">
        <f>SUM(S164:S174)</f>
        <v>10935107.749882713</v>
      </c>
      <c r="T175" s="594"/>
      <c r="U175" s="594"/>
      <c r="V175" s="594"/>
      <c r="W175" s="594"/>
      <c r="X175" s="588"/>
      <c r="Y175" s="426">
        <f>Q175/D1</f>
        <v>3661799.4498267435</v>
      </c>
      <c r="Z175" s="426">
        <f>Q175/$Q$424*100</f>
        <v>19.554912311869881</v>
      </c>
    </row>
    <row r="176" spans="2:26" x14ac:dyDescent="0.35">
      <c r="B176" s="641" t="s">
        <v>484</v>
      </c>
      <c r="C176" s="601"/>
      <c r="D176" s="601"/>
      <c r="E176" s="642"/>
      <c r="F176" s="381"/>
      <c r="G176" s="600"/>
      <c r="H176" s="578"/>
      <c r="I176" s="601"/>
      <c r="J176" s="600"/>
      <c r="K176" s="575"/>
      <c r="L176" s="621"/>
      <c r="M176" s="379"/>
      <c r="N176" s="380"/>
      <c r="O176" s="578"/>
      <c r="P176" s="603"/>
      <c r="Q176" s="604"/>
      <c r="R176" s="603"/>
      <c r="S176" s="603"/>
      <c r="T176" s="605"/>
      <c r="U176" s="605"/>
      <c r="V176" s="605"/>
      <c r="W176" s="605"/>
      <c r="X176" s="578"/>
      <c r="Y176" s="381"/>
      <c r="Z176" s="381"/>
    </row>
    <row r="177" spans="2:26" x14ac:dyDescent="0.35">
      <c r="B177" s="622"/>
      <c r="C177" s="173" t="s">
        <v>88</v>
      </c>
      <c r="E177" s="623"/>
      <c r="F177" s="381" t="s">
        <v>177</v>
      </c>
      <c r="G177" s="600" t="s">
        <v>178</v>
      </c>
      <c r="H177" s="578"/>
      <c r="I177" s="601"/>
      <c r="J177" s="600" t="s">
        <v>179</v>
      </c>
      <c r="K177" s="602">
        <v>1</v>
      </c>
      <c r="L177" s="621">
        <v>45.36</v>
      </c>
      <c r="M177" s="379">
        <v>2</v>
      </c>
      <c r="N177" s="380">
        <v>1</v>
      </c>
      <c r="O177" s="500">
        <f t="shared" ref="O177:O186" si="29">K177*L177*M177*N177</f>
        <v>90.72</v>
      </c>
      <c r="P177" s="261">
        <v>180115.58081830497</v>
      </c>
      <c r="Q177" s="604">
        <f t="shared" ref="Q177:Q186" si="30">P177*$O177</f>
        <v>16340085.491836626</v>
      </c>
      <c r="R177" s="380">
        <v>179635.86432000002</v>
      </c>
      <c r="S177" s="603">
        <f t="shared" ref="S177:S186" si="31">R177*$O177</f>
        <v>16296565.611110402</v>
      </c>
      <c r="T177" s="380">
        <v>197599.45075200003</v>
      </c>
      <c r="U177" s="605">
        <f t="shared" ref="U177:U186" si="32">$O177*T177</f>
        <v>17926222.172221445</v>
      </c>
      <c r="V177" s="380">
        <f t="shared" ref="V177:V186" si="33">W177/O177</f>
        <v>185783.63196343501</v>
      </c>
      <c r="W177" s="267">
        <f t="shared" si="27"/>
        <v>16854291.091722824</v>
      </c>
      <c r="X177" s="578"/>
      <c r="Y177" s="775">
        <f t="shared" ref="Y177:Y186" si="34">Q177/$D$1</f>
        <v>360231.16163660993</v>
      </c>
      <c r="Z177" s="381"/>
    </row>
    <row r="178" spans="2:26" x14ac:dyDescent="0.35">
      <c r="B178" s="622"/>
      <c r="E178" s="623"/>
      <c r="F178" s="381" t="s">
        <v>485</v>
      </c>
      <c r="G178" s="600" t="s">
        <v>183</v>
      </c>
      <c r="H178" s="578"/>
      <c r="I178" s="601"/>
      <c r="J178" s="600" t="s">
        <v>179</v>
      </c>
      <c r="K178" s="602">
        <v>1</v>
      </c>
      <c r="L178" s="621">
        <v>45.36</v>
      </c>
      <c r="M178" s="379">
        <v>3.3333333333333335E-3</v>
      </c>
      <c r="N178" s="380">
        <v>1</v>
      </c>
      <c r="O178" s="500">
        <f t="shared" si="29"/>
        <v>0.1512</v>
      </c>
      <c r="P178" s="261">
        <v>114881.38530750001</v>
      </c>
      <c r="Q178" s="604">
        <f t="shared" si="30"/>
        <v>17370.065458494002</v>
      </c>
      <c r="R178" s="380">
        <v>119059.41219840002</v>
      </c>
      <c r="S178" s="603">
        <f t="shared" si="31"/>
        <v>18001.783124398084</v>
      </c>
      <c r="T178" s="380">
        <v>128584.16517427203</v>
      </c>
      <c r="U178" s="605">
        <f t="shared" si="32"/>
        <v>19441.925774349929</v>
      </c>
      <c r="V178" s="380">
        <f t="shared" si="33"/>
        <v>120841.65422672401</v>
      </c>
      <c r="W178" s="267">
        <f t="shared" si="27"/>
        <v>18271.25811908067</v>
      </c>
      <c r="X178" s="578"/>
      <c r="Y178" s="775">
        <f t="shared" si="34"/>
        <v>382.93795102500007</v>
      </c>
      <c r="Z178" s="381"/>
    </row>
    <row r="179" spans="2:26" x14ac:dyDescent="0.35">
      <c r="B179" s="622"/>
      <c r="E179" s="623"/>
      <c r="F179" s="381" t="s">
        <v>486</v>
      </c>
      <c r="G179" s="600" t="s">
        <v>183</v>
      </c>
      <c r="H179" s="578"/>
      <c r="I179" s="601"/>
      <c r="J179" s="600" t="s">
        <v>179</v>
      </c>
      <c r="K179" s="602">
        <v>1</v>
      </c>
      <c r="L179" s="621">
        <v>45.36</v>
      </c>
      <c r="M179" s="379">
        <v>3.3333333333333335E-3</v>
      </c>
      <c r="N179" s="380">
        <v>1</v>
      </c>
      <c r="O179" s="500">
        <f t="shared" si="29"/>
        <v>0.1512</v>
      </c>
      <c r="P179" s="261">
        <v>9531.0883828125006</v>
      </c>
      <c r="Q179" s="604">
        <f t="shared" si="30"/>
        <v>1441.1005634812502</v>
      </c>
      <c r="R179" s="380">
        <v>9877.7167200000022</v>
      </c>
      <c r="S179" s="603">
        <f t="shared" si="31"/>
        <v>1493.5107680640003</v>
      </c>
      <c r="T179" s="380">
        <v>10667.934057600003</v>
      </c>
      <c r="U179" s="605">
        <f t="shared" si="32"/>
        <v>1612.9916295091205</v>
      </c>
      <c r="V179" s="380">
        <f t="shared" si="33"/>
        <v>10025.579720137503</v>
      </c>
      <c r="W179" s="267">
        <f t="shared" si="27"/>
        <v>1515.8676536847904</v>
      </c>
      <c r="X179" s="578"/>
      <c r="Y179" s="775">
        <f t="shared" si="34"/>
        <v>31.770294609375004</v>
      </c>
      <c r="Z179" s="381"/>
    </row>
    <row r="180" spans="2:26" x14ac:dyDescent="0.35">
      <c r="B180" s="622"/>
      <c r="E180" s="623"/>
      <c r="F180" s="381" t="s">
        <v>487</v>
      </c>
      <c r="G180" s="600" t="s">
        <v>183</v>
      </c>
      <c r="H180" s="578"/>
      <c r="I180" s="601"/>
      <c r="J180" s="600" t="s">
        <v>179</v>
      </c>
      <c r="K180" s="602">
        <v>1</v>
      </c>
      <c r="L180" s="621">
        <v>45.36</v>
      </c>
      <c r="M180" s="379">
        <v>3.3333333333333335E-3</v>
      </c>
      <c r="N180" s="380">
        <v>1</v>
      </c>
      <c r="O180" s="500">
        <f t="shared" si="29"/>
        <v>0.1512</v>
      </c>
      <c r="P180" s="261">
        <v>62269.777434375013</v>
      </c>
      <c r="Q180" s="604">
        <f t="shared" si="30"/>
        <v>9415.1903480775018</v>
      </c>
      <c r="R180" s="380">
        <v>64534.415904000009</v>
      </c>
      <c r="S180" s="603">
        <f t="shared" si="31"/>
        <v>9757.6036846848019</v>
      </c>
      <c r="T180" s="380">
        <v>69697.169176320007</v>
      </c>
      <c r="U180" s="605">
        <f t="shared" si="32"/>
        <v>10538.211979459586</v>
      </c>
      <c r="V180" s="380">
        <f t="shared" si="33"/>
        <v>65500.454171565012</v>
      </c>
      <c r="W180" s="267">
        <f t="shared" si="27"/>
        <v>9903.6686707406298</v>
      </c>
      <c r="X180" s="578"/>
      <c r="Y180" s="775">
        <f t="shared" si="34"/>
        <v>207.56592478125003</v>
      </c>
      <c r="Z180" s="381"/>
    </row>
    <row r="181" spans="2:26" customFormat="1" x14ac:dyDescent="0.35">
      <c r="B181" s="606" t="s">
        <v>606</v>
      </c>
      <c r="C181" s="716"/>
      <c r="D181" s="716"/>
      <c r="E181" s="717"/>
      <c r="F181" s="609"/>
      <c r="G181" s="610"/>
      <c r="H181" s="611"/>
      <c r="I181" s="612"/>
      <c r="J181" s="610"/>
      <c r="K181" s="613"/>
      <c r="L181" s="614"/>
      <c r="M181" s="615"/>
      <c r="N181" s="616"/>
      <c r="O181" s="611"/>
      <c r="P181" s="617"/>
      <c r="Q181" s="618">
        <f>SUM(Q177:Q180)</f>
        <v>16368311.848206678</v>
      </c>
      <c r="R181" s="617"/>
      <c r="S181" s="718">
        <f>SUM(S170:S180)</f>
        <v>37803826.938354783</v>
      </c>
      <c r="T181" s="776"/>
      <c r="U181" s="776"/>
      <c r="V181" s="776"/>
      <c r="W181" s="776"/>
      <c r="X181" s="611"/>
      <c r="Y181" s="645">
        <f>Q181/D1</f>
        <v>360853.43580702553</v>
      </c>
      <c r="Z181" s="619">
        <f>Q181/$Q$424*100</f>
        <v>1.9270463583081332</v>
      </c>
    </row>
    <row r="182" spans="2:26" x14ac:dyDescent="0.35">
      <c r="B182" s="624"/>
      <c r="C182" s="170" t="s">
        <v>86</v>
      </c>
      <c r="D182" s="170"/>
      <c r="E182" s="646"/>
      <c r="F182" s="381" t="s">
        <v>177</v>
      </c>
      <c r="G182" s="600" t="s">
        <v>178</v>
      </c>
      <c r="H182" s="578"/>
      <c r="I182" s="601"/>
      <c r="J182" s="600" t="s">
        <v>179</v>
      </c>
      <c r="K182" s="602">
        <v>1</v>
      </c>
      <c r="L182" s="621">
        <v>45.36</v>
      </c>
      <c r="M182" s="379">
        <v>1</v>
      </c>
      <c r="N182" s="380">
        <v>1</v>
      </c>
      <c r="O182" s="500">
        <f t="shared" si="29"/>
        <v>45.36</v>
      </c>
      <c r="P182" s="261">
        <v>180115.58081830497</v>
      </c>
      <c r="Q182" s="604">
        <f t="shared" si="30"/>
        <v>8170042.745918313</v>
      </c>
      <c r="R182" s="380">
        <v>179635.86432000002</v>
      </c>
      <c r="S182" s="603">
        <f t="shared" si="31"/>
        <v>8148282.8055552011</v>
      </c>
      <c r="T182" s="380">
        <v>197599.45075200003</v>
      </c>
      <c r="U182" s="605">
        <f t="shared" si="32"/>
        <v>8963111.0861107223</v>
      </c>
      <c r="V182" s="380">
        <f t="shared" si="33"/>
        <v>185783.63196343501</v>
      </c>
      <c r="W182" s="267">
        <f>AVERAGEIF($P$3:$U$3,W$3,$P182:$U182)</f>
        <v>8427145.5458614118</v>
      </c>
      <c r="X182" s="578"/>
      <c r="Y182" s="775">
        <f t="shared" si="34"/>
        <v>180115.58081830497</v>
      </c>
      <c r="Z182" s="381"/>
    </row>
    <row r="183" spans="2:26" x14ac:dyDescent="0.35">
      <c r="B183" s="622"/>
      <c r="E183" s="623"/>
      <c r="F183" s="381" t="s">
        <v>488</v>
      </c>
      <c r="G183" s="600" t="s">
        <v>183</v>
      </c>
      <c r="H183" s="578">
        <v>1</v>
      </c>
      <c r="I183" s="601" t="s">
        <v>228</v>
      </c>
      <c r="J183" s="600" t="s">
        <v>179</v>
      </c>
      <c r="K183" s="602">
        <v>1</v>
      </c>
      <c r="L183" s="621">
        <v>45.36</v>
      </c>
      <c r="M183" s="379">
        <f>((M$182*N$182)/(300))*($H183/N183)</f>
        <v>3.3333333333333335E-3</v>
      </c>
      <c r="N183" s="380">
        <v>1</v>
      </c>
      <c r="O183" s="500">
        <f t="shared" si="29"/>
        <v>0.1512</v>
      </c>
      <c r="P183" s="261">
        <v>80686.38667556252</v>
      </c>
      <c r="Q183" s="604">
        <f t="shared" si="30"/>
        <v>12199.781665345054</v>
      </c>
      <c r="R183" s="380">
        <v>83620.803703680009</v>
      </c>
      <c r="S183" s="603">
        <f t="shared" si="31"/>
        <v>12643.465519996418</v>
      </c>
      <c r="T183" s="380">
        <v>90310.467999974411</v>
      </c>
      <c r="U183" s="605">
        <f t="shared" si="32"/>
        <v>13654.94276159613</v>
      </c>
      <c r="V183" s="380">
        <f t="shared" si="33"/>
        <v>84872.552793072318</v>
      </c>
      <c r="W183" s="267">
        <f>AVERAGEIF($P$3:$U$3,W$3,$P183:$U183)</f>
        <v>12832.729982312534</v>
      </c>
      <c r="X183" s="578"/>
      <c r="Y183" s="775">
        <f t="shared" si="34"/>
        <v>268.95462225187509</v>
      </c>
      <c r="Z183" s="381"/>
    </row>
    <row r="184" spans="2:26" x14ac:dyDescent="0.35">
      <c r="B184" s="622"/>
      <c r="E184" s="623"/>
      <c r="F184" s="381" t="s">
        <v>486</v>
      </c>
      <c r="G184" s="600" t="s">
        <v>183</v>
      </c>
      <c r="H184" s="578">
        <v>1</v>
      </c>
      <c r="I184" s="601" t="s">
        <v>228</v>
      </c>
      <c r="J184" s="600" t="s">
        <v>179</v>
      </c>
      <c r="K184" s="602">
        <v>1</v>
      </c>
      <c r="L184" s="621">
        <v>45.36</v>
      </c>
      <c r="M184" s="379">
        <f>((M$182*N$182)/(300))*($H184/N184)</f>
        <v>3.3333333333333335E-3</v>
      </c>
      <c r="N184" s="380">
        <v>1</v>
      </c>
      <c r="O184" s="500">
        <f t="shared" si="29"/>
        <v>0.1512</v>
      </c>
      <c r="P184" s="261">
        <v>9531.0883828125006</v>
      </c>
      <c r="Q184" s="604">
        <f t="shared" si="30"/>
        <v>1441.1005634812502</v>
      </c>
      <c r="R184" s="380">
        <v>9877.7167200000022</v>
      </c>
      <c r="S184" s="603">
        <f t="shared" si="31"/>
        <v>1493.5107680640003</v>
      </c>
      <c r="T184" s="380">
        <v>10667.934057600003</v>
      </c>
      <c r="U184" s="605">
        <f t="shared" si="32"/>
        <v>1612.9916295091205</v>
      </c>
      <c r="V184" s="380">
        <f t="shared" si="33"/>
        <v>10025.579720137503</v>
      </c>
      <c r="W184" s="267">
        <f>AVERAGEIF($P$3:$U$3,W$3,$P184:$U184)</f>
        <v>1515.8676536847904</v>
      </c>
      <c r="X184" s="578"/>
      <c r="Y184" s="775">
        <f t="shared" si="34"/>
        <v>31.770294609375004</v>
      </c>
      <c r="Z184" s="381"/>
    </row>
    <row r="185" spans="2:26" x14ac:dyDescent="0.35">
      <c r="B185" s="622"/>
      <c r="E185" s="623"/>
      <c r="F185" s="381" t="s">
        <v>487</v>
      </c>
      <c r="G185" s="600" t="s">
        <v>183</v>
      </c>
      <c r="H185" s="578">
        <v>1</v>
      </c>
      <c r="I185" s="601" t="s">
        <v>228</v>
      </c>
      <c r="J185" s="600" t="s">
        <v>179</v>
      </c>
      <c r="K185" s="602">
        <v>1</v>
      </c>
      <c r="L185" s="621">
        <v>45.36</v>
      </c>
      <c r="M185" s="379">
        <f>((M$182*N$182)/(300))*($H185/N185)</f>
        <v>3.3333333333333335E-3</v>
      </c>
      <c r="N185" s="380">
        <v>1</v>
      </c>
      <c r="O185" s="500">
        <f t="shared" si="29"/>
        <v>0.1512</v>
      </c>
      <c r="P185" s="261">
        <v>62269.777434375013</v>
      </c>
      <c r="Q185" s="604">
        <f t="shared" si="30"/>
        <v>9415.1903480775018</v>
      </c>
      <c r="R185" s="380">
        <v>64534.415904000009</v>
      </c>
      <c r="S185" s="603">
        <f t="shared" si="31"/>
        <v>9757.6036846848019</v>
      </c>
      <c r="T185" s="380">
        <v>69697.169176320007</v>
      </c>
      <c r="U185" s="605">
        <f t="shared" si="32"/>
        <v>10538.211979459586</v>
      </c>
      <c r="V185" s="380">
        <f t="shared" si="33"/>
        <v>65500.454171565012</v>
      </c>
      <c r="W185" s="267">
        <f>AVERAGEIF($P$3:$U$3,W$3,$P185:$U185)</f>
        <v>9903.6686707406298</v>
      </c>
      <c r="X185" s="578"/>
      <c r="Y185" s="775">
        <f t="shared" si="34"/>
        <v>207.56592478125003</v>
      </c>
      <c r="Z185" s="381"/>
    </row>
    <row r="186" spans="2:26" x14ac:dyDescent="0.35">
      <c r="B186" s="597"/>
      <c r="C186" s="598"/>
      <c r="D186" s="598"/>
      <c r="E186" s="599"/>
      <c r="F186" s="381" t="s">
        <v>232</v>
      </c>
      <c r="G186" s="600" t="s">
        <v>183</v>
      </c>
      <c r="H186" s="578">
        <v>1</v>
      </c>
      <c r="I186" s="601" t="s">
        <v>228</v>
      </c>
      <c r="J186" s="600" t="s">
        <v>179</v>
      </c>
      <c r="K186" s="602">
        <v>1</v>
      </c>
      <c r="L186" s="621">
        <v>45.36</v>
      </c>
      <c r="M186" s="379">
        <f>((M$182*N$182)/(300))*($H186/N186)</f>
        <v>3.3333333333333335E-3</v>
      </c>
      <c r="N186" s="380">
        <v>1</v>
      </c>
      <c r="O186" s="500">
        <f t="shared" si="29"/>
        <v>0.1512</v>
      </c>
      <c r="P186" s="261">
        <v>104144.57550000001</v>
      </c>
      <c r="Q186" s="604">
        <f t="shared" si="30"/>
        <v>15746.659815600002</v>
      </c>
      <c r="R186" s="380">
        <v>107932.12416000002</v>
      </c>
      <c r="S186" s="603">
        <f t="shared" si="31"/>
        <v>16319.337172992004</v>
      </c>
      <c r="T186" s="380">
        <v>116566.69409280003</v>
      </c>
      <c r="U186" s="605">
        <f t="shared" si="32"/>
        <v>17624.884146831366</v>
      </c>
      <c r="V186" s="380">
        <f t="shared" si="33"/>
        <v>109547.79791760004</v>
      </c>
      <c r="W186" s="267">
        <f>AVERAGEIF($P$3:$U$3,W$3,$P186:$U186)</f>
        <v>16563.627045141126</v>
      </c>
      <c r="X186" s="647"/>
      <c r="Y186" s="775">
        <f t="shared" si="34"/>
        <v>347.14858500000003</v>
      </c>
      <c r="Z186" s="381"/>
    </row>
    <row r="187" spans="2:26" customFormat="1" x14ac:dyDescent="0.35">
      <c r="B187" s="606" t="s">
        <v>575</v>
      </c>
      <c r="C187" s="716"/>
      <c r="D187" s="716"/>
      <c r="E187" s="717"/>
      <c r="F187" s="609"/>
      <c r="G187" s="610"/>
      <c r="H187" s="611"/>
      <c r="I187" s="612"/>
      <c r="J187" s="610"/>
      <c r="K187" s="613"/>
      <c r="L187" s="614"/>
      <c r="M187" s="615"/>
      <c r="N187" s="616"/>
      <c r="O187" s="611"/>
      <c r="P187" s="617"/>
      <c r="Q187" s="618">
        <f>SUM(Q182:Q186)</f>
        <v>8208845.4783108169</v>
      </c>
      <c r="R187" s="617"/>
      <c r="S187" s="718">
        <f>SUM(S176:S186)</f>
        <v>62318142.16974327</v>
      </c>
      <c r="T187" s="776"/>
      <c r="U187" s="776"/>
      <c r="V187" s="776"/>
      <c r="W187" s="776"/>
      <c r="X187" s="611"/>
      <c r="Y187" s="645">
        <f>Q187/D1</f>
        <v>180971.02024494746</v>
      </c>
      <c r="Z187" s="619">
        <f>Q187/$Q$424*100</f>
        <v>0.96642988791945361</v>
      </c>
    </row>
    <row r="188" spans="2:26" x14ac:dyDescent="0.35">
      <c r="B188" s="578"/>
      <c r="C188" s="601" t="s">
        <v>489</v>
      </c>
      <c r="D188" s="601"/>
      <c r="E188" s="642"/>
      <c r="F188" s="381"/>
      <c r="G188" s="600"/>
      <c r="H188" s="578"/>
      <c r="I188" s="601"/>
      <c r="J188" s="600"/>
      <c r="K188" s="575"/>
      <c r="L188" s="621"/>
      <c r="M188" s="436"/>
      <c r="N188" s="380"/>
      <c r="O188" s="578"/>
      <c r="P188" s="603"/>
      <c r="Q188" s="604"/>
      <c r="R188" s="603"/>
      <c r="S188" s="603"/>
      <c r="T188" s="605"/>
      <c r="U188" s="605"/>
      <c r="V188" s="605"/>
      <c r="W188" s="605"/>
      <c r="X188" s="647"/>
      <c r="Y188" s="381"/>
      <c r="Z188" s="381"/>
    </row>
    <row r="189" spans="2:26" x14ac:dyDescent="0.35">
      <c r="B189" s="622"/>
      <c r="D189" s="173" t="s">
        <v>87</v>
      </c>
      <c r="E189" s="623"/>
      <c r="F189" s="381" t="s">
        <v>177</v>
      </c>
      <c r="G189" s="600" t="s">
        <v>178</v>
      </c>
      <c r="H189" s="578"/>
      <c r="I189" s="601"/>
      <c r="J189" s="316" t="s">
        <v>490</v>
      </c>
      <c r="K189" s="433">
        <v>0</v>
      </c>
      <c r="L189" s="665">
        <f>136*192.08</f>
        <v>26122.880000000001</v>
      </c>
      <c r="M189" s="258">
        <v>0.1429</v>
      </c>
      <c r="N189" s="259">
        <v>1</v>
      </c>
      <c r="O189" s="520">
        <f>K189*L189*M189*N189</f>
        <v>0</v>
      </c>
      <c r="P189" s="261">
        <v>169122.61109699999</v>
      </c>
      <c r="Q189" s="604">
        <f>P189*$O189</f>
        <v>0</v>
      </c>
      <c r="R189" s="380">
        <v>179635.86432000002</v>
      </c>
      <c r="S189" s="603">
        <f>R189*$O189</f>
        <v>0</v>
      </c>
      <c r="T189" s="380">
        <v>197599.45075200003</v>
      </c>
      <c r="U189" s="605">
        <f>$O189*T189</f>
        <v>0</v>
      </c>
      <c r="V189" s="380" t="e">
        <f>W189/O189</f>
        <v>#DIV/0!</v>
      </c>
      <c r="W189" s="267">
        <f>AVERAGEIF($P$3:$U$3,W$3,$P189:$U189)</f>
        <v>0</v>
      </c>
      <c r="X189" s="578"/>
      <c r="Y189" s="775">
        <f>Q189/192.08</f>
        <v>0</v>
      </c>
      <c r="Z189" s="381"/>
    </row>
    <row r="190" spans="2:26" x14ac:dyDescent="0.35">
      <c r="B190" s="622"/>
      <c r="E190" s="623"/>
      <c r="F190" s="381" t="s">
        <v>382</v>
      </c>
      <c r="G190" s="600" t="s">
        <v>381</v>
      </c>
      <c r="H190" s="578"/>
      <c r="I190" s="601"/>
      <c r="J190" s="316" t="s">
        <v>490</v>
      </c>
      <c r="K190" s="433">
        <v>0</v>
      </c>
      <c r="L190" s="665">
        <f>136*192.08</f>
        <v>26122.880000000001</v>
      </c>
      <c r="M190" s="258">
        <v>1</v>
      </c>
      <c r="N190" s="259">
        <v>1</v>
      </c>
      <c r="O190" s="520">
        <f>K190*L190*M190*N190</f>
        <v>0</v>
      </c>
      <c r="P190" s="261">
        <f>48538.5402535298*110%</f>
        <v>53392.394278882784</v>
      </c>
      <c r="Q190" s="604">
        <f>P190*$O190</f>
        <v>0</v>
      </c>
      <c r="R190" s="380">
        <v>0</v>
      </c>
      <c r="S190" s="603">
        <f>R190*$O190</f>
        <v>0</v>
      </c>
      <c r="T190" s="380">
        <v>0</v>
      </c>
      <c r="U190" s="605">
        <f>$O190*T190</f>
        <v>0</v>
      </c>
      <c r="V190" s="380" t="e">
        <f>W190/O190</f>
        <v>#DIV/0!</v>
      </c>
      <c r="W190" s="267">
        <f>AVERAGEIF($P$3:$U$3,W$3,$P190:$U190)</f>
        <v>0</v>
      </c>
      <c r="X190" s="578"/>
      <c r="Y190" s="775">
        <f>Q190/192.08</f>
        <v>0</v>
      </c>
      <c r="Z190" s="381"/>
    </row>
    <row r="191" spans="2:26" x14ac:dyDescent="0.35">
      <c r="B191" s="622"/>
      <c r="E191" s="623"/>
      <c r="F191" s="381" t="s">
        <v>316</v>
      </c>
      <c r="G191" s="600" t="s">
        <v>181</v>
      </c>
      <c r="H191" s="578"/>
      <c r="I191" s="601"/>
      <c r="J191" s="316" t="s">
        <v>490</v>
      </c>
      <c r="K191" s="433">
        <v>0</v>
      </c>
      <c r="L191" s="665">
        <f>136*192.08</f>
        <v>26122.880000000001</v>
      </c>
      <c r="M191" s="258">
        <v>0.5</v>
      </c>
      <c r="N191" s="259">
        <v>1</v>
      </c>
      <c r="O191" s="520">
        <f>K191*L191*M191*N191</f>
        <v>0</v>
      </c>
      <c r="P191" s="261">
        <v>2662.5374999999999</v>
      </c>
      <c r="Q191" s="604">
        <f>P191*$O191</f>
        <v>0</v>
      </c>
      <c r="R191" s="380">
        <v>3061.3</v>
      </c>
      <c r="S191" s="603">
        <f>R191*$O191</f>
        <v>0</v>
      </c>
      <c r="T191" s="380">
        <v>3367.4300000000003</v>
      </c>
      <c r="U191" s="605">
        <f>$O191*T191</f>
        <v>0</v>
      </c>
      <c r="V191" s="380" t="e">
        <f>W191/O191</f>
        <v>#DIV/0!</v>
      </c>
      <c r="W191" s="267">
        <f>AVERAGEIF($P$3:$U$3,W$3,$P191:$U191)</f>
        <v>0</v>
      </c>
      <c r="X191" s="578"/>
      <c r="Y191" s="775">
        <f>Q191/192.08</f>
        <v>0</v>
      </c>
      <c r="Z191" s="381"/>
    </row>
    <row r="192" spans="2:26" x14ac:dyDescent="0.35">
      <c r="B192" s="622"/>
      <c r="E192" s="623"/>
      <c r="F192" s="381" t="s">
        <v>383</v>
      </c>
      <c r="G192" s="600" t="s">
        <v>381</v>
      </c>
      <c r="H192" s="578"/>
      <c r="I192" s="601"/>
      <c r="J192" s="316" t="s">
        <v>490</v>
      </c>
      <c r="K192" s="433">
        <v>0</v>
      </c>
      <c r="L192" s="665">
        <f>136*192.08</f>
        <v>26122.880000000001</v>
      </c>
      <c r="M192" s="258">
        <f>M190</f>
        <v>1</v>
      </c>
      <c r="N192" s="259">
        <v>1</v>
      </c>
      <c r="O192" s="520">
        <f>K192*L192*M192*N192</f>
        <v>0</v>
      </c>
      <c r="P192" s="261">
        <v>5209.3125</v>
      </c>
      <c r="Q192" s="604">
        <f>P192*$O192</f>
        <v>0</v>
      </c>
      <c r="R192" s="603"/>
      <c r="S192" s="603"/>
      <c r="T192" s="605"/>
      <c r="U192" s="605"/>
      <c r="V192" s="605"/>
      <c r="W192" s="605"/>
      <c r="X192" s="578"/>
      <c r="Y192" s="775">
        <f>Q192/192.08</f>
        <v>0</v>
      </c>
      <c r="Z192" s="381"/>
    </row>
    <row r="193" spans="2:26" x14ac:dyDescent="0.35">
      <c r="B193" s="622"/>
      <c r="D193" s="598"/>
      <c r="E193" s="599"/>
      <c r="F193" s="381" t="s">
        <v>359</v>
      </c>
      <c r="G193" s="600" t="s">
        <v>195</v>
      </c>
      <c r="H193" s="578"/>
      <c r="I193" s="601"/>
      <c r="J193" s="600"/>
      <c r="K193" s="575"/>
      <c r="L193" s="621"/>
      <c r="M193" s="379">
        <v>2</v>
      </c>
      <c r="N193" s="380">
        <v>1</v>
      </c>
      <c r="O193" s="578"/>
      <c r="P193" s="603"/>
      <c r="Q193" s="604"/>
      <c r="R193" s="603"/>
      <c r="S193" s="603"/>
      <c r="T193" s="605"/>
      <c r="U193" s="605"/>
      <c r="V193" s="605"/>
      <c r="W193" s="605"/>
      <c r="X193" s="578"/>
      <c r="Y193" s="381"/>
      <c r="Z193" s="381"/>
    </row>
    <row r="194" spans="2:26" customFormat="1" x14ac:dyDescent="0.35">
      <c r="B194" s="606" t="s">
        <v>577</v>
      </c>
      <c r="C194" s="716"/>
      <c r="D194" s="716"/>
      <c r="E194" s="717"/>
      <c r="F194" s="609"/>
      <c r="G194" s="610"/>
      <c r="H194" s="611"/>
      <c r="I194" s="612"/>
      <c r="J194" s="610"/>
      <c r="K194" s="613"/>
      <c r="L194" s="614"/>
      <c r="M194" s="615"/>
      <c r="N194" s="616"/>
      <c r="O194" s="611"/>
      <c r="P194" s="617"/>
      <c r="Q194" s="618">
        <f>SUM(Q189:Q193)</f>
        <v>0</v>
      </c>
      <c r="R194" s="617"/>
      <c r="S194" s="718">
        <f>SUM(S183:S193)</f>
        <v>62358356.086889006</v>
      </c>
      <c r="T194" s="776"/>
      <c r="U194" s="776"/>
      <c r="V194" s="776"/>
      <c r="W194" s="776"/>
      <c r="X194" s="611"/>
      <c r="Y194" s="645">
        <f>Q194/192.08</f>
        <v>0</v>
      </c>
      <c r="Z194" s="619">
        <f>Q194/5127997141.07*100</f>
        <v>0</v>
      </c>
    </row>
    <row r="195" spans="2:26" x14ac:dyDescent="0.35">
      <c r="B195" s="622"/>
      <c r="D195" s="173" t="s">
        <v>91</v>
      </c>
      <c r="E195" s="623"/>
      <c r="F195" s="381" t="s">
        <v>177</v>
      </c>
      <c r="G195" s="600" t="s">
        <v>178</v>
      </c>
      <c r="H195" s="578"/>
      <c r="I195" s="601"/>
      <c r="J195" s="600"/>
      <c r="K195" s="575"/>
      <c r="L195" s="621"/>
      <c r="M195" s="379">
        <f>1/15</f>
        <v>6.6666666666666666E-2</v>
      </c>
      <c r="N195" s="380">
        <v>1</v>
      </c>
      <c r="O195" s="578"/>
      <c r="P195" s="603"/>
      <c r="Q195" s="604"/>
      <c r="R195" s="603"/>
      <c r="S195" s="603"/>
      <c r="T195" s="605"/>
      <c r="U195" s="605"/>
      <c r="V195" s="605"/>
      <c r="W195" s="605"/>
      <c r="X195" s="578"/>
      <c r="Y195" s="381"/>
      <c r="Z195" s="381"/>
    </row>
    <row r="196" spans="2:26" x14ac:dyDescent="0.35">
      <c r="B196" s="597"/>
      <c r="C196" s="598"/>
      <c r="D196" s="598"/>
      <c r="E196" s="599"/>
      <c r="F196" s="381" t="s">
        <v>285</v>
      </c>
      <c r="G196" s="600" t="s">
        <v>183</v>
      </c>
      <c r="H196" s="578"/>
      <c r="I196" s="601"/>
      <c r="J196" s="600"/>
      <c r="K196" s="575"/>
      <c r="L196" s="621"/>
      <c r="M196" s="379">
        <f>M195*N195/300</f>
        <v>2.2222222222222221E-4</v>
      </c>
      <c r="N196" s="380">
        <v>1</v>
      </c>
      <c r="O196" s="500"/>
      <c r="P196" s="380"/>
      <c r="Q196" s="604"/>
      <c r="R196" s="380"/>
      <c r="S196" s="603"/>
      <c r="T196" s="605"/>
      <c r="U196" s="605"/>
      <c r="V196" s="605"/>
      <c r="W196" s="605"/>
      <c r="X196" s="578"/>
      <c r="Y196" s="381"/>
      <c r="Z196" s="381"/>
    </row>
    <row r="197" spans="2:26" x14ac:dyDescent="0.35">
      <c r="B197" s="622"/>
      <c r="C197" s="173" t="s">
        <v>90</v>
      </c>
      <c r="E197" s="623"/>
      <c r="F197" s="381" t="s">
        <v>177</v>
      </c>
      <c r="G197" s="600" t="s">
        <v>178</v>
      </c>
      <c r="H197" s="578"/>
      <c r="I197" s="601"/>
      <c r="J197" s="600" t="s">
        <v>179</v>
      </c>
      <c r="K197" s="602">
        <v>1</v>
      </c>
      <c r="L197" s="621">
        <v>45.36</v>
      </c>
      <c r="M197" s="379">
        <v>0.5</v>
      </c>
      <c r="N197" s="380">
        <v>2</v>
      </c>
      <c r="O197" s="500">
        <f>K197*L197*M197*N197</f>
        <v>45.36</v>
      </c>
      <c r="P197" s="261">
        <v>180115.58081830497</v>
      </c>
      <c r="Q197" s="604">
        <f>P197*$O197</f>
        <v>8170042.745918313</v>
      </c>
      <c r="R197" s="380">
        <v>179635.86432000002</v>
      </c>
      <c r="S197" s="603">
        <f>R197*$O197</f>
        <v>8148282.8055552011</v>
      </c>
      <c r="T197" s="380">
        <v>197599.45075200003</v>
      </c>
      <c r="U197" s="605">
        <f>$O197*T197</f>
        <v>8963111.0861107223</v>
      </c>
      <c r="V197" s="380">
        <f>W197/O197</f>
        <v>185783.63196343501</v>
      </c>
      <c r="W197" s="267">
        <f>AVERAGEIF($P$3:$U$3,W$3,$P197:$U197)</f>
        <v>8427145.5458614118</v>
      </c>
      <c r="X197" s="578"/>
      <c r="Y197" s="775">
        <f t="shared" ref="Y197:Y198" si="35">Q197/$D$1</f>
        <v>180115.58081830497</v>
      </c>
      <c r="Z197" s="381"/>
    </row>
    <row r="198" spans="2:26" x14ac:dyDescent="0.35">
      <c r="B198" s="622"/>
      <c r="E198" s="623"/>
      <c r="F198" s="381" t="s">
        <v>494</v>
      </c>
      <c r="G198" s="600" t="s">
        <v>345</v>
      </c>
      <c r="H198" s="578"/>
      <c r="I198" s="601"/>
      <c r="J198" s="600" t="s">
        <v>179</v>
      </c>
      <c r="K198" s="602">
        <v>1</v>
      </c>
      <c r="L198" s="621">
        <v>45.36</v>
      </c>
      <c r="M198" s="379">
        <v>0.01</v>
      </c>
      <c r="N198" s="380">
        <v>2</v>
      </c>
      <c r="O198" s="500">
        <f>K198*L198*M198*N198</f>
        <v>0.90720000000000001</v>
      </c>
      <c r="P198" s="261">
        <v>36769.064062500001</v>
      </c>
      <c r="Q198" s="604">
        <f>P198*$O198</f>
        <v>33356.894917500002</v>
      </c>
      <c r="R198" s="603"/>
      <c r="S198" s="603"/>
      <c r="T198" s="605"/>
      <c r="U198" s="605"/>
      <c r="V198" s="605"/>
      <c r="W198" s="605"/>
      <c r="X198" s="578"/>
      <c r="Y198" s="775">
        <f t="shared" si="35"/>
        <v>735.38128125000003</v>
      </c>
      <c r="Z198" s="381"/>
    </row>
    <row r="199" spans="2:26" customFormat="1" x14ac:dyDescent="0.35">
      <c r="B199" s="606" t="s">
        <v>577</v>
      </c>
      <c r="C199" s="716"/>
      <c r="D199" s="716"/>
      <c r="E199" s="717"/>
      <c r="F199" s="609"/>
      <c r="G199" s="610"/>
      <c r="H199" s="611"/>
      <c r="I199" s="612"/>
      <c r="J199" s="610"/>
      <c r="K199" s="613"/>
      <c r="L199" s="614"/>
      <c r="M199" s="615"/>
      <c r="N199" s="616"/>
      <c r="O199" s="611"/>
      <c r="P199" s="617"/>
      <c r="Q199" s="618">
        <f>SUM(Q197:Q198)</f>
        <v>8203399.6408358132</v>
      </c>
      <c r="R199" s="617"/>
      <c r="S199" s="718">
        <f>SUM(S188:S198)</f>
        <v>70506638.892444208</v>
      </c>
      <c r="T199" s="776"/>
      <c r="U199" s="776"/>
      <c r="V199" s="776"/>
      <c r="W199" s="776"/>
      <c r="X199" s="611"/>
      <c r="Y199" s="645">
        <f>Q199/D1</f>
        <v>180850.96209955498</v>
      </c>
      <c r="Z199" s="619">
        <f>Q199/$Q$424*100</f>
        <v>0.96578874780852075</v>
      </c>
    </row>
    <row r="200" spans="2:26" customFormat="1" x14ac:dyDescent="0.35">
      <c r="B200" s="660" t="s">
        <v>496</v>
      </c>
      <c r="C200" s="729"/>
      <c r="D200" s="729"/>
      <c r="E200" s="730"/>
      <c r="F200" s="532"/>
      <c r="G200" s="587"/>
      <c r="H200" s="588"/>
      <c r="I200" s="589"/>
      <c r="J200" s="587"/>
      <c r="K200" s="590"/>
      <c r="L200" s="591"/>
      <c r="M200" s="543"/>
      <c r="N200" s="544"/>
      <c r="O200" s="588"/>
      <c r="P200" s="592"/>
      <c r="Q200" s="663">
        <f>Q181+Q187+Q194+Q199</f>
        <v>32780556.96735331</v>
      </c>
      <c r="R200" s="592"/>
      <c r="S200" s="731">
        <f>SUM(S189:S199)</f>
        <v>141013277.78488842</v>
      </c>
      <c r="T200" s="594"/>
      <c r="U200" s="594"/>
      <c r="V200" s="594"/>
      <c r="W200" s="594"/>
      <c r="X200" s="588"/>
      <c r="Y200" s="426">
        <f>Q200/D1</f>
        <v>722675.41815152799</v>
      </c>
      <c r="Z200" s="426">
        <f>Q200/$Q$424*100</f>
        <v>3.8592649940361081</v>
      </c>
    </row>
    <row r="201" spans="2:26" x14ac:dyDescent="0.35">
      <c r="B201" s="641" t="s">
        <v>497</v>
      </c>
      <c r="C201" s="601"/>
      <c r="D201" s="601"/>
      <c r="E201" s="642"/>
      <c r="F201" s="381"/>
      <c r="G201" s="600"/>
      <c r="H201" s="578"/>
      <c r="I201" s="601"/>
      <c r="J201" s="600"/>
      <c r="K201" s="575"/>
      <c r="L201" s="621"/>
      <c r="M201" s="379"/>
      <c r="N201" s="380"/>
      <c r="O201" s="578"/>
      <c r="P201" s="603"/>
      <c r="Q201" s="604"/>
      <c r="R201" s="603"/>
      <c r="S201" s="603"/>
      <c r="T201" s="605"/>
      <c r="U201" s="605"/>
      <c r="V201" s="605"/>
      <c r="W201" s="605"/>
      <c r="X201" s="578"/>
      <c r="Y201" s="381"/>
      <c r="Z201" s="381"/>
    </row>
    <row r="202" spans="2:26" x14ac:dyDescent="0.35">
      <c r="B202" s="641"/>
      <c r="C202" s="601" t="s">
        <v>289</v>
      </c>
      <c r="D202" s="601"/>
      <c r="E202" s="642"/>
      <c r="F202" s="381"/>
      <c r="G202" s="600"/>
      <c r="H202" s="578"/>
      <c r="I202" s="601"/>
      <c r="J202" s="600"/>
      <c r="K202" s="575"/>
      <c r="L202" s="621"/>
      <c r="M202" s="379"/>
      <c r="N202" s="380"/>
      <c r="O202" s="578"/>
      <c r="P202" s="603"/>
      <c r="Q202" s="604"/>
      <c r="R202" s="603"/>
      <c r="S202" s="603"/>
      <c r="T202" s="605"/>
      <c r="U202" s="605"/>
      <c r="V202" s="605"/>
      <c r="W202" s="605"/>
      <c r="X202" s="578"/>
      <c r="Y202" s="381"/>
      <c r="Z202" s="381"/>
    </row>
    <row r="203" spans="2:26" x14ac:dyDescent="0.35">
      <c r="B203" s="622"/>
      <c r="D203" s="173" t="s">
        <v>93</v>
      </c>
      <c r="E203" s="623"/>
      <c r="F203" s="151" t="s">
        <v>177</v>
      </c>
      <c r="G203" s="316" t="s">
        <v>178</v>
      </c>
      <c r="H203" s="317"/>
      <c r="I203" s="318"/>
      <c r="J203" s="316"/>
      <c r="K203" s="433">
        <v>0</v>
      </c>
      <c r="L203" s="577">
        <v>192.08</v>
      </c>
      <c r="M203" s="309">
        <v>0.5</v>
      </c>
      <c r="N203" s="259">
        <v>1</v>
      </c>
      <c r="O203" s="520">
        <f t="shared" ref="O203:O209" si="36">K203*L203*M203*N203</f>
        <v>0</v>
      </c>
      <c r="P203" s="261">
        <v>169122.61109699999</v>
      </c>
      <c r="Q203" s="604">
        <f t="shared" ref="Q203:Q208" si="37">P203*$O203</f>
        <v>0</v>
      </c>
      <c r="R203" s="603"/>
      <c r="S203" s="603"/>
      <c r="T203" s="605"/>
      <c r="U203" s="605"/>
      <c r="V203" s="605"/>
      <c r="W203" s="605"/>
      <c r="X203" s="578"/>
      <c r="Y203" s="775">
        <f t="shared" ref="Y203:Y259" si="38">Q203/192.08</f>
        <v>0</v>
      </c>
      <c r="Z203" s="381"/>
    </row>
    <row r="204" spans="2:26" x14ac:dyDescent="0.35">
      <c r="B204" s="622"/>
      <c r="E204" s="623"/>
      <c r="F204" s="151" t="s">
        <v>498</v>
      </c>
      <c r="G204" s="316" t="s">
        <v>328</v>
      </c>
      <c r="H204" s="317"/>
      <c r="I204" s="318"/>
      <c r="J204" s="316"/>
      <c r="K204" s="433">
        <v>0</v>
      </c>
      <c r="L204" s="577"/>
      <c r="M204" s="258"/>
      <c r="N204" s="259"/>
      <c r="O204" s="520">
        <f t="shared" si="36"/>
        <v>0</v>
      </c>
      <c r="P204" s="261">
        <v>0</v>
      </c>
      <c r="Q204" s="604">
        <f t="shared" si="37"/>
        <v>0</v>
      </c>
      <c r="R204" s="603"/>
      <c r="S204" s="603"/>
      <c r="T204" s="605"/>
      <c r="U204" s="605"/>
      <c r="V204" s="605"/>
      <c r="W204" s="605"/>
      <c r="X204" s="578"/>
      <c r="Y204" s="775">
        <f t="shared" si="38"/>
        <v>0</v>
      </c>
      <c r="Z204" s="381"/>
    </row>
    <row r="205" spans="2:26" x14ac:dyDescent="0.35">
      <c r="B205" s="622"/>
      <c r="E205" s="623"/>
      <c r="F205" s="151" t="s">
        <v>499</v>
      </c>
      <c r="G205" s="316" t="s">
        <v>328</v>
      </c>
      <c r="H205" s="317"/>
      <c r="I205" s="318"/>
      <c r="J205" s="316"/>
      <c r="K205" s="433">
        <v>0</v>
      </c>
      <c r="L205" s="577">
        <v>2188</v>
      </c>
      <c r="M205" s="309">
        <f>1350/1000</f>
        <v>1.35</v>
      </c>
      <c r="N205" s="259">
        <v>1</v>
      </c>
      <c r="O205" s="520">
        <f t="shared" si="36"/>
        <v>0</v>
      </c>
      <c r="P205" s="261">
        <v>122278.27500000001</v>
      </c>
      <c r="Q205" s="604">
        <f t="shared" si="37"/>
        <v>0</v>
      </c>
      <c r="R205" s="603"/>
      <c r="S205" s="603"/>
      <c r="T205" s="605"/>
      <c r="U205" s="605"/>
      <c r="V205" s="605"/>
      <c r="W205" s="605"/>
      <c r="X205" s="578"/>
      <c r="Y205" s="775">
        <f t="shared" si="38"/>
        <v>0</v>
      </c>
      <c r="Z205" s="381"/>
    </row>
    <row r="206" spans="2:26" x14ac:dyDescent="0.35">
      <c r="B206" s="622"/>
      <c r="E206" s="623"/>
      <c r="F206" s="151" t="s">
        <v>205</v>
      </c>
      <c r="G206" s="316" t="s">
        <v>195</v>
      </c>
      <c r="H206" s="317"/>
      <c r="I206" s="318"/>
      <c r="J206" s="316"/>
      <c r="K206" s="433">
        <v>0</v>
      </c>
      <c r="L206" s="577">
        <v>2188</v>
      </c>
      <c r="M206" s="400">
        <v>2.8000000000000001E-2</v>
      </c>
      <c r="N206" s="259">
        <v>1</v>
      </c>
      <c r="O206" s="520">
        <f t="shared" si="36"/>
        <v>0</v>
      </c>
      <c r="P206" s="261">
        <v>805655.39686222153</v>
      </c>
      <c r="Q206" s="604">
        <f t="shared" si="37"/>
        <v>0</v>
      </c>
      <c r="R206" s="603"/>
      <c r="S206" s="603"/>
      <c r="T206" s="605"/>
      <c r="U206" s="605"/>
      <c r="V206" s="605"/>
      <c r="W206" s="605"/>
      <c r="X206" s="578"/>
      <c r="Y206" s="775">
        <f t="shared" si="38"/>
        <v>0</v>
      </c>
      <c r="Z206" s="381"/>
    </row>
    <row r="207" spans="2:26" x14ac:dyDescent="0.35">
      <c r="B207" s="622"/>
      <c r="E207" s="623"/>
      <c r="F207" s="151" t="s">
        <v>500</v>
      </c>
      <c r="G207" s="316" t="s">
        <v>195</v>
      </c>
      <c r="H207" s="317"/>
      <c r="I207" s="318"/>
      <c r="J207" s="316"/>
      <c r="K207" s="433">
        <v>0</v>
      </c>
      <c r="L207" s="577">
        <v>2188</v>
      </c>
      <c r="M207" s="258">
        <f>10/1000</f>
        <v>0.01</v>
      </c>
      <c r="N207" s="259">
        <v>1</v>
      </c>
      <c r="O207" s="520">
        <f t="shared" si="36"/>
        <v>0</v>
      </c>
      <c r="P207" s="261">
        <v>731761.67591280001</v>
      </c>
      <c r="Q207" s="604">
        <f t="shared" si="37"/>
        <v>0</v>
      </c>
      <c r="R207" s="603"/>
      <c r="S207" s="603"/>
      <c r="T207" s="605"/>
      <c r="U207" s="605"/>
      <c r="V207" s="605"/>
      <c r="W207" s="605"/>
      <c r="X207" s="578"/>
      <c r="Y207" s="775">
        <f t="shared" si="38"/>
        <v>0</v>
      </c>
      <c r="Z207" s="381"/>
    </row>
    <row r="208" spans="2:26" x14ac:dyDescent="0.35">
      <c r="B208" s="622"/>
      <c r="D208" s="598"/>
      <c r="E208" s="599"/>
      <c r="F208" s="151" t="s">
        <v>245</v>
      </c>
      <c r="G208" s="316" t="s">
        <v>195</v>
      </c>
      <c r="H208" s="317"/>
      <c r="I208" s="318"/>
      <c r="J208" s="316"/>
      <c r="K208" s="433">
        <v>0</v>
      </c>
      <c r="L208" s="577">
        <v>2188</v>
      </c>
      <c r="M208" s="258">
        <f>10/1000</f>
        <v>0.01</v>
      </c>
      <c r="N208" s="259">
        <v>1</v>
      </c>
      <c r="O208" s="520">
        <f t="shared" si="36"/>
        <v>0</v>
      </c>
      <c r="P208" s="261">
        <v>789879.97204393509</v>
      </c>
      <c r="Q208" s="604">
        <f t="shared" si="37"/>
        <v>0</v>
      </c>
      <c r="R208" s="603"/>
      <c r="S208" s="603"/>
      <c r="T208" s="605"/>
      <c r="U208" s="605"/>
      <c r="V208" s="605"/>
      <c r="W208" s="605"/>
      <c r="X208" s="578"/>
      <c r="Y208" s="775">
        <f t="shared" si="38"/>
        <v>0</v>
      </c>
      <c r="Z208" s="381"/>
    </row>
    <row r="209" spans="2:26" x14ac:dyDescent="0.35">
      <c r="B209" s="622"/>
      <c r="D209" s="173" t="s">
        <v>96</v>
      </c>
      <c r="E209" s="623"/>
      <c r="F209" s="151" t="s">
        <v>177</v>
      </c>
      <c r="G209" s="316" t="s">
        <v>178</v>
      </c>
      <c r="H209" s="317"/>
      <c r="I209" s="318"/>
      <c r="J209" s="316" t="s">
        <v>272</v>
      </c>
      <c r="K209" s="433">
        <v>0</v>
      </c>
      <c r="L209" s="577">
        <v>192.08</v>
      </c>
      <c r="M209" s="309">
        <v>0.5</v>
      </c>
      <c r="N209" s="259">
        <v>1</v>
      </c>
      <c r="O209" s="520">
        <f t="shared" si="36"/>
        <v>0</v>
      </c>
      <c r="P209" s="261">
        <v>169122.61109699999</v>
      </c>
      <c r="Q209" s="521">
        <f>P209*$O209</f>
        <v>0</v>
      </c>
      <c r="R209" s="380">
        <v>179635.86432000002</v>
      </c>
      <c r="S209" s="603">
        <f>R209*$O209</f>
        <v>0</v>
      </c>
      <c r="T209" s="380">
        <v>197599.45075200003</v>
      </c>
      <c r="U209" s="605">
        <f>$O209*T209</f>
        <v>0</v>
      </c>
      <c r="V209" s="380" t="e">
        <f>W209/O209</f>
        <v>#DIV/0!</v>
      </c>
      <c r="W209" s="267">
        <f>AVERAGEIF($P$3:$U$3,W$3,$P209:$U209)</f>
        <v>0</v>
      </c>
      <c r="X209" s="578"/>
      <c r="Y209" s="775">
        <f t="shared" si="38"/>
        <v>0</v>
      </c>
      <c r="Z209" s="381"/>
    </row>
    <row r="210" spans="2:26" x14ac:dyDescent="0.35">
      <c r="B210" s="622"/>
      <c r="E210" s="623"/>
      <c r="F210" s="151" t="s">
        <v>498</v>
      </c>
      <c r="G210" s="316" t="s">
        <v>328</v>
      </c>
      <c r="H210" s="317"/>
      <c r="I210" s="318"/>
      <c r="J210" s="316"/>
      <c r="K210" s="502"/>
      <c r="L210" s="577"/>
      <c r="M210" s="258"/>
      <c r="N210" s="259"/>
      <c r="O210" s="317"/>
      <c r="P210" s="496"/>
      <c r="Q210" s="521"/>
      <c r="R210" s="603"/>
      <c r="S210" s="603"/>
      <c r="T210" s="605"/>
      <c r="U210" s="605"/>
      <c r="V210" s="605"/>
      <c r="W210" s="605"/>
      <c r="X210" s="578"/>
      <c r="Y210" s="775">
        <f t="shared" si="38"/>
        <v>0</v>
      </c>
      <c r="Z210" s="381"/>
    </row>
    <row r="211" spans="2:26" x14ac:dyDescent="0.35">
      <c r="B211" s="622"/>
      <c r="E211" s="623"/>
      <c r="F211" s="151" t="s">
        <v>499</v>
      </c>
      <c r="G211" s="316" t="s">
        <v>328</v>
      </c>
      <c r="H211" s="317"/>
      <c r="I211" s="318"/>
      <c r="J211" s="316" t="s">
        <v>272</v>
      </c>
      <c r="K211" s="433">
        <v>0</v>
      </c>
      <c r="L211" s="577">
        <v>4007</v>
      </c>
      <c r="M211" s="400">
        <f>1050/1000</f>
        <v>1.05</v>
      </c>
      <c r="N211" s="259">
        <v>1</v>
      </c>
      <c r="O211" s="520">
        <f>K211*L211*M211*N211</f>
        <v>0</v>
      </c>
      <c r="P211" s="261">
        <v>122278.27500000001</v>
      </c>
      <c r="Q211" s="521">
        <f>P211*$O211</f>
        <v>0</v>
      </c>
      <c r="R211" s="380">
        <v>147195.29000000004</v>
      </c>
      <c r="S211" s="603">
        <f>R211*$O211</f>
        <v>0</v>
      </c>
      <c r="T211" s="380">
        <v>161914.81900000005</v>
      </c>
      <c r="U211" s="605">
        <f>$O211*T211</f>
        <v>0</v>
      </c>
      <c r="V211" s="380" t="e">
        <f>W211/O211</f>
        <v>#DIV/0!</v>
      </c>
      <c r="W211" s="267">
        <f>AVERAGEIF($P$3:$U$3,W$3,$P211:$U211)</f>
        <v>0</v>
      </c>
      <c r="X211" s="578"/>
      <c r="Y211" s="775">
        <f t="shared" si="38"/>
        <v>0</v>
      </c>
      <c r="Z211" s="381"/>
    </row>
    <row r="212" spans="2:26" x14ac:dyDescent="0.35">
      <c r="B212" s="622"/>
      <c r="E212" s="623"/>
      <c r="F212" s="151" t="s">
        <v>205</v>
      </c>
      <c r="G212" s="316" t="s">
        <v>195</v>
      </c>
      <c r="H212" s="317"/>
      <c r="I212" s="318"/>
      <c r="J212" s="316"/>
      <c r="K212" s="433">
        <v>0</v>
      </c>
      <c r="L212" s="577">
        <v>4007</v>
      </c>
      <c r="M212" s="400">
        <v>2.8000000000000001E-2</v>
      </c>
      <c r="N212" s="259">
        <v>1</v>
      </c>
      <c r="O212" s="520">
        <f>K212*L212*M212*N212</f>
        <v>0</v>
      </c>
      <c r="P212" s="261">
        <v>805655.39686222153</v>
      </c>
      <c r="Q212" s="521">
        <f>P212*$O212</f>
        <v>0</v>
      </c>
      <c r="R212" s="603"/>
      <c r="S212" s="603"/>
      <c r="T212" s="605"/>
      <c r="U212" s="605"/>
      <c r="V212" s="605"/>
      <c r="W212" s="605"/>
      <c r="X212" s="578"/>
      <c r="Y212" s="775">
        <f t="shared" si="38"/>
        <v>0</v>
      </c>
      <c r="Z212" s="381"/>
    </row>
    <row r="213" spans="2:26" x14ac:dyDescent="0.35">
      <c r="B213" s="622"/>
      <c r="E213" s="623"/>
      <c r="F213" s="151" t="s">
        <v>500</v>
      </c>
      <c r="G213" s="316" t="s">
        <v>195</v>
      </c>
      <c r="H213" s="317"/>
      <c r="I213" s="318"/>
      <c r="J213" s="316" t="s">
        <v>272</v>
      </c>
      <c r="K213" s="433">
        <v>0</v>
      </c>
      <c r="L213" s="577">
        <v>4007</v>
      </c>
      <c r="M213" s="258">
        <f>8/1000</f>
        <v>8.0000000000000002E-3</v>
      </c>
      <c r="N213" s="259">
        <v>1</v>
      </c>
      <c r="O213" s="520">
        <f>K213*L213*M213*N213</f>
        <v>0</v>
      </c>
      <c r="P213" s="261">
        <v>731761.67591280001</v>
      </c>
      <c r="Q213" s="521">
        <f>P213*$O213</f>
        <v>0</v>
      </c>
      <c r="R213" s="380">
        <v>601028.333568</v>
      </c>
      <c r="S213" s="603">
        <f>R213*$O213</f>
        <v>0</v>
      </c>
      <c r="T213" s="380">
        <v>625069.46691071999</v>
      </c>
      <c r="U213" s="605">
        <f>$O213*T213</f>
        <v>0</v>
      </c>
      <c r="V213" s="380" t="e">
        <f>W213/O213</f>
        <v>#DIV/0!</v>
      </c>
      <c r="W213" s="267">
        <f>AVERAGEIF($P$3:$U$3,W$3,$P213:$U213)</f>
        <v>0</v>
      </c>
      <c r="X213" s="578"/>
      <c r="Y213" s="775">
        <f t="shared" si="38"/>
        <v>0</v>
      </c>
      <c r="Z213" s="381"/>
    </row>
    <row r="214" spans="2:26" x14ac:dyDescent="0.35">
      <c r="B214" s="622"/>
      <c r="D214" s="598"/>
      <c r="E214" s="599"/>
      <c r="F214" s="151" t="s">
        <v>245</v>
      </c>
      <c r="G214" s="316" t="s">
        <v>195</v>
      </c>
      <c r="H214" s="317"/>
      <c r="I214" s="318"/>
      <c r="J214" s="316" t="s">
        <v>272</v>
      </c>
      <c r="K214" s="433">
        <v>0</v>
      </c>
      <c r="L214" s="577">
        <v>4007</v>
      </c>
      <c r="M214" s="258">
        <f>8/1000</f>
        <v>8.0000000000000002E-3</v>
      </c>
      <c r="N214" s="259">
        <v>1</v>
      </c>
      <c r="O214" s="520">
        <f>K214*L214*M214*N214</f>
        <v>0</v>
      </c>
      <c r="P214" s="261">
        <v>789879.97204393509</v>
      </c>
      <c r="Q214" s="521">
        <f>P214*$O214</f>
        <v>0</v>
      </c>
      <c r="R214" s="380">
        <v>698167.08915200003</v>
      </c>
      <c r="S214" s="603">
        <f>R214*$O214</f>
        <v>0</v>
      </c>
      <c r="T214" s="380">
        <v>726093.77271808009</v>
      </c>
      <c r="U214" s="605">
        <f>$O214*T214</f>
        <v>0</v>
      </c>
      <c r="V214" s="380" t="e">
        <f>W214/O214</f>
        <v>#DIV/0!</v>
      </c>
      <c r="W214" s="267">
        <f>AVERAGEIF($P$3:$U$3,W$3,$P214:$U214)</f>
        <v>0</v>
      </c>
      <c r="X214" s="578"/>
      <c r="Y214" s="775">
        <f t="shared" si="38"/>
        <v>0</v>
      </c>
      <c r="Z214" s="381"/>
    </row>
    <row r="215" spans="2:26" x14ac:dyDescent="0.35">
      <c r="B215" s="622"/>
      <c r="D215" s="173" t="s">
        <v>97</v>
      </c>
      <c r="E215" s="623"/>
      <c r="F215" s="151" t="s">
        <v>177</v>
      </c>
      <c r="G215" s="316" t="s">
        <v>178</v>
      </c>
      <c r="H215" s="317"/>
      <c r="I215" s="318"/>
      <c r="J215" s="316" t="s">
        <v>272</v>
      </c>
      <c r="K215" s="433">
        <v>0</v>
      </c>
      <c r="L215" s="577">
        <v>192.08</v>
      </c>
      <c r="M215" s="309">
        <v>0.5</v>
      </c>
      <c r="N215" s="259">
        <v>1</v>
      </c>
      <c r="O215" s="520">
        <f>K215*L215*M215*N215</f>
        <v>0</v>
      </c>
      <c r="P215" s="261">
        <v>169122.61109699999</v>
      </c>
      <c r="Q215" s="521">
        <f>P215*$O215</f>
        <v>0</v>
      </c>
      <c r="R215" s="380">
        <v>179635.86432000002</v>
      </c>
      <c r="S215" s="603">
        <f>R215*$O215</f>
        <v>0</v>
      </c>
      <c r="T215" s="380">
        <v>197599.45075200003</v>
      </c>
      <c r="U215" s="605">
        <f>$O215*T215</f>
        <v>0</v>
      </c>
      <c r="V215" s="380" t="e">
        <f>W215/O215</f>
        <v>#DIV/0!</v>
      </c>
      <c r="W215" s="267">
        <f>AVERAGEIF($P$3:$U$3,W$3,$P215:$U215)</f>
        <v>0</v>
      </c>
      <c r="X215" s="578"/>
      <c r="Y215" s="775">
        <f t="shared" si="38"/>
        <v>0</v>
      </c>
      <c r="Z215" s="381"/>
    </row>
    <row r="216" spans="2:26" x14ac:dyDescent="0.35">
      <c r="B216" s="622"/>
      <c r="E216" s="623"/>
      <c r="F216" s="151" t="s">
        <v>498</v>
      </c>
      <c r="G216" s="316" t="s">
        <v>328</v>
      </c>
      <c r="H216" s="317"/>
      <c r="I216" s="318"/>
      <c r="J216" s="316"/>
      <c r="K216" s="433">
        <v>0</v>
      </c>
      <c r="L216" s="577"/>
      <c r="M216" s="258"/>
      <c r="N216" s="259"/>
      <c r="O216" s="317"/>
      <c r="P216" s="496"/>
      <c r="Q216" s="521"/>
      <c r="R216" s="603"/>
      <c r="S216" s="603"/>
      <c r="T216" s="605"/>
      <c r="U216" s="605"/>
      <c r="V216" s="605"/>
      <c r="W216" s="605"/>
      <c r="X216" s="578"/>
      <c r="Y216" s="775">
        <f t="shared" si="38"/>
        <v>0</v>
      </c>
      <c r="Z216" s="381"/>
    </row>
    <row r="217" spans="2:26" x14ac:dyDescent="0.35">
      <c r="B217" s="622"/>
      <c r="E217" s="623"/>
      <c r="F217" s="151" t="s">
        <v>499</v>
      </c>
      <c r="G217" s="316" t="s">
        <v>328</v>
      </c>
      <c r="H217" s="317"/>
      <c r="I217" s="318"/>
      <c r="J217" s="316"/>
      <c r="K217" s="433">
        <v>0</v>
      </c>
      <c r="L217" s="577">
        <v>131</v>
      </c>
      <c r="M217" s="400">
        <f>1050/1000</f>
        <v>1.05</v>
      </c>
      <c r="N217" s="259">
        <v>1</v>
      </c>
      <c r="O217" s="520">
        <f>K217*L217*M217*N217</f>
        <v>0</v>
      </c>
      <c r="P217" s="261">
        <v>122278.27500000001</v>
      </c>
      <c r="Q217" s="521">
        <f>P217*$O217</f>
        <v>0</v>
      </c>
      <c r="R217" s="380">
        <v>147195.29000000004</v>
      </c>
      <c r="S217" s="603">
        <f>R217*$O217</f>
        <v>0</v>
      </c>
      <c r="T217" s="380">
        <v>161914.81900000005</v>
      </c>
      <c r="U217" s="605">
        <f>$O217*T217</f>
        <v>0</v>
      </c>
      <c r="V217" s="380" t="e">
        <f>W217/O217</f>
        <v>#DIV/0!</v>
      </c>
      <c r="W217" s="267">
        <f>AVERAGEIF($P$3:$U$3,W$3,$P217:$U217)</f>
        <v>0</v>
      </c>
      <c r="X217" s="578"/>
      <c r="Y217" s="775">
        <f t="shared" si="38"/>
        <v>0</v>
      </c>
      <c r="Z217" s="381"/>
    </row>
    <row r="218" spans="2:26" x14ac:dyDescent="0.35">
      <c r="B218" s="622"/>
      <c r="E218" s="623"/>
      <c r="F218" s="151" t="s">
        <v>205</v>
      </c>
      <c r="G218" s="316" t="s">
        <v>195</v>
      </c>
      <c r="H218" s="317"/>
      <c r="I218" s="318"/>
      <c r="J218" s="316"/>
      <c r="K218" s="433">
        <v>0</v>
      </c>
      <c r="L218" s="577">
        <v>131</v>
      </c>
      <c r="M218" s="400">
        <v>2.8000000000000001E-2</v>
      </c>
      <c r="N218" s="259">
        <v>1</v>
      </c>
      <c r="O218" s="520">
        <f>K218*L218*M218*N218</f>
        <v>0</v>
      </c>
      <c r="P218" s="261">
        <v>805655.39686222153</v>
      </c>
      <c r="Q218" s="521">
        <f>P218*$O218</f>
        <v>0</v>
      </c>
      <c r="R218" s="603"/>
      <c r="S218" s="603"/>
      <c r="T218" s="605"/>
      <c r="U218" s="605"/>
      <c r="V218" s="605"/>
      <c r="W218" s="605"/>
      <c r="X218" s="578"/>
      <c r="Y218" s="775">
        <f t="shared" si="38"/>
        <v>0</v>
      </c>
      <c r="Z218" s="381"/>
    </row>
    <row r="219" spans="2:26" x14ac:dyDescent="0.35">
      <c r="B219" s="622"/>
      <c r="E219" s="623"/>
      <c r="F219" s="151" t="s">
        <v>500</v>
      </c>
      <c r="G219" s="316" t="s">
        <v>195</v>
      </c>
      <c r="H219" s="317"/>
      <c r="I219" s="318"/>
      <c r="J219" s="316"/>
      <c r="K219" s="433">
        <v>0</v>
      </c>
      <c r="L219" s="577">
        <v>131</v>
      </c>
      <c r="M219" s="258">
        <f>8/1000</f>
        <v>8.0000000000000002E-3</v>
      </c>
      <c r="N219" s="259">
        <v>1</v>
      </c>
      <c r="O219" s="520">
        <f>K219*L219*M219*N219</f>
        <v>0</v>
      </c>
      <c r="P219" s="261">
        <v>731761.67591280001</v>
      </c>
      <c r="Q219" s="521">
        <f>P219*$O219</f>
        <v>0</v>
      </c>
      <c r="R219" s="380">
        <v>601028.333568</v>
      </c>
      <c r="S219" s="603">
        <f>R219*$O219</f>
        <v>0</v>
      </c>
      <c r="T219" s="380">
        <v>625069.46691071999</v>
      </c>
      <c r="U219" s="605">
        <f>$O219*T219</f>
        <v>0</v>
      </c>
      <c r="V219" s="380" t="e">
        <f>W219/O219</f>
        <v>#DIV/0!</v>
      </c>
      <c r="W219" s="267">
        <f>AVERAGEIF($P$3:$U$3,W$3,$P219:$U219)</f>
        <v>0</v>
      </c>
      <c r="X219" s="578"/>
      <c r="Y219" s="775">
        <f t="shared" si="38"/>
        <v>0</v>
      </c>
      <c r="Z219" s="381"/>
    </row>
    <row r="220" spans="2:26" x14ac:dyDescent="0.35">
      <c r="B220" s="622"/>
      <c r="D220" s="598"/>
      <c r="E220" s="599"/>
      <c r="F220" s="151" t="s">
        <v>245</v>
      </c>
      <c r="G220" s="316" t="s">
        <v>195</v>
      </c>
      <c r="H220" s="317"/>
      <c r="I220" s="318"/>
      <c r="J220" s="316"/>
      <c r="K220" s="433">
        <v>0</v>
      </c>
      <c r="L220" s="577">
        <v>131</v>
      </c>
      <c r="M220" s="258">
        <f>8/1000</f>
        <v>8.0000000000000002E-3</v>
      </c>
      <c r="N220" s="259">
        <v>1</v>
      </c>
      <c r="O220" s="520">
        <f>K220*L220*M220*N220</f>
        <v>0</v>
      </c>
      <c r="P220" s="261">
        <v>789879.97204393509</v>
      </c>
      <c r="Q220" s="521">
        <f>P220*$O220</f>
        <v>0</v>
      </c>
      <c r="R220" s="380">
        <v>698167.08915200003</v>
      </c>
      <c r="S220" s="603">
        <f>R220*$O220</f>
        <v>0</v>
      </c>
      <c r="T220" s="380">
        <v>726093.77271808009</v>
      </c>
      <c r="U220" s="605">
        <f>$O220*T220</f>
        <v>0</v>
      </c>
      <c r="V220" s="380" t="e">
        <f>W220/O220</f>
        <v>#DIV/0!</v>
      </c>
      <c r="W220" s="267">
        <f>AVERAGEIF($P$3:$U$3,W$3,$P220:$U220)</f>
        <v>0</v>
      </c>
      <c r="X220" s="578"/>
      <c r="Y220" s="775">
        <f t="shared" si="38"/>
        <v>0</v>
      </c>
      <c r="Z220" s="381"/>
    </row>
    <row r="221" spans="2:26" x14ac:dyDescent="0.35">
      <c r="B221" s="622"/>
      <c r="D221" s="173" t="s">
        <v>100</v>
      </c>
      <c r="E221" s="623"/>
      <c r="F221" s="151" t="s">
        <v>177</v>
      </c>
      <c r="G221" s="316" t="s">
        <v>178</v>
      </c>
      <c r="H221" s="317"/>
      <c r="I221" s="318"/>
      <c r="J221" s="316"/>
      <c r="K221" s="433">
        <v>0</v>
      </c>
      <c r="L221" s="577">
        <v>192.08</v>
      </c>
      <c r="M221" s="309">
        <v>0.5</v>
      </c>
      <c r="N221" s="259">
        <v>1</v>
      </c>
      <c r="O221" s="520">
        <f>K221*L221*M221*N221</f>
        <v>0</v>
      </c>
      <c r="P221" s="261">
        <v>169122.61109699999</v>
      </c>
      <c r="Q221" s="521">
        <f t="shared" ref="Q221:Q226" si="39">P221*$O221</f>
        <v>0</v>
      </c>
      <c r="R221" s="603"/>
      <c r="S221" s="603"/>
      <c r="T221" s="605"/>
      <c r="U221" s="605"/>
      <c r="V221" s="605"/>
      <c r="W221" s="605"/>
      <c r="X221" s="578"/>
      <c r="Y221" s="775">
        <f t="shared" si="38"/>
        <v>0</v>
      </c>
      <c r="Z221" s="381"/>
    </row>
    <row r="222" spans="2:26" x14ac:dyDescent="0.35">
      <c r="B222" s="622"/>
      <c r="E222" s="623"/>
      <c r="F222" s="151" t="s">
        <v>498</v>
      </c>
      <c r="G222" s="316" t="s">
        <v>328</v>
      </c>
      <c r="H222" s="317"/>
      <c r="I222" s="318"/>
      <c r="J222" s="316"/>
      <c r="K222" s="433">
        <v>0</v>
      </c>
      <c r="L222" s="577"/>
      <c r="M222" s="258"/>
      <c r="N222" s="259"/>
      <c r="O222" s="317"/>
      <c r="P222" s="261">
        <v>0</v>
      </c>
      <c r="Q222" s="521">
        <f t="shared" si="39"/>
        <v>0</v>
      </c>
      <c r="R222" s="603"/>
      <c r="S222" s="603"/>
      <c r="T222" s="605"/>
      <c r="U222" s="605"/>
      <c r="V222" s="605"/>
      <c r="W222" s="605"/>
      <c r="X222" s="578"/>
      <c r="Y222" s="775">
        <f t="shared" si="38"/>
        <v>0</v>
      </c>
      <c r="Z222" s="381"/>
    </row>
    <row r="223" spans="2:26" x14ac:dyDescent="0.35">
      <c r="B223" s="622"/>
      <c r="E223" s="623"/>
      <c r="F223" s="381" t="s">
        <v>499</v>
      </c>
      <c r="G223" s="600" t="s">
        <v>328</v>
      </c>
      <c r="H223" s="578"/>
      <c r="I223" s="601"/>
      <c r="J223" s="600"/>
      <c r="K223" s="433">
        <v>0</v>
      </c>
      <c r="L223" s="577">
        <v>6004</v>
      </c>
      <c r="M223" s="400">
        <f>1050/1000</f>
        <v>1.05</v>
      </c>
      <c r="N223" s="259">
        <v>1</v>
      </c>
      <c r="O223" s="520">
        <f t="shared" ref="O223:O231" si="40">K223*L223*M223*N223</f>
        <v>0</v>
      </c>
      <c r="P223" s="261">
        <v>122278.27500000001</v>
      </c>
      <c r="Q223" s="521">
        <f t="shared" si="39"/>
        <v>0</v>
      </c>
      <c r="R223" s="603"/>
      <c r="S223" s="603"/>
      <c r="T223" s="605"/>
      <c r="U223" s="605"/>
      <c r="V223" s="605"/>
      <c r="W223" s="605"/>
      <c r="X223" s="578"/>
      <c r="Y223" s="775">
        <f t="shared" si="38"/>
        <v>0</v>
      </c>
      <c r="Z223" s="381"/>
    </row>
    <row r="224" spans="2:26" x14ac:dyDescent="0.35">
      <c r="B224" s="622"/>
      <c r="E224" s="623"/>
      <c r="F224" s="381" t="s">
        <v>205</v>
      </c>
      <c r="G224" s="600" t="s">
        <v>195</v>
      </c>
      <c r="H224" s="578"/>
      <c r="I224" s="601"/>
      <c r="J224" s="600"/>
      <c r="K224" s="433">
        <v>0</v>
      </c>
      <c r="L224" s="577">
        <v>6004</v>
      </c>
      <c r="M224" s="400">
        <v>2.8000000000000001E-2</v>
      </c>
      <c r="N224" s="259">
        <v>1</v>
      </c>
      <c r="O224" s="520">
        <f t="shared" si="40"/>
        <v>0</v>
      </c>
      <c r="P224" s="261">
        <v>805655.39686222153</v>
      </c>
      <c r="Q224" s="521">
        <f t="shared" si="39"/>
        <v>0</v>
      </c>
      <c r="R224" s="603"/>
      <c r="S224" s="603"/>
      <c r="T224" s="605"/>
      <c r="U224" s="605"/>
      <c r="V224" s="605"/>
      <c r="W224" s="605"/>
      <c r="X224" s="578"/>
      <c r="Y224" s="775">
        <f t="shared" si="38"/>
        <v>0</v>
      </c>
      <c r="Z224" s="381"/>
    </row>
    <row r="225" spans="2:26" x14ac:dyDescent="0.35">
      <c r="B225" s="622"/>
      <c r="E225" s="623"/>
      <c r="F225" s="381" t="s">
        <v>500</v>
      </c>
      <c r="G225" s="600" t="s">
        <v>195</v>
      </c>
      <c r="H225" s="578"/>
      <c r="I225" s="601"/>
      <c r="J225" s="600"/>
      <c r="K225" s="433">
        <v>0</v>
      </c>
      <c r="L225" s="577">
        <v>6004</v>
      </c>
      <c r="M225" s="258">
        <f>8/1000</f>
        <v>8.0000000000000002E-3</v>
      </c>
      <c r="N225" s="259">
        <v>1</v>
      </c>
      <c r="O225" s="520">
        <f t="shared" si="40"/>
        <v>0</v>
      </c>
      <c r="P225" s="261">
        <v>731761.67591280001</v>
      </c>
      <c r="Q225" s="521">
        <f t="shared" si="39"/>
        <v>0</v>
      </c>
      <c r="R225" s="603"/>
      <c r="S225" s="603"/>
      <c r="T225" s="605"/>
      <c r="U225" s="605"/>
      <c r="V225" s="605"/>
      <c r="W225" s="605"/>
      <c r="X225" s="578"/>
      <c r="Y225" s="775">
        <f t="shared" si="38"/>
        <v>0</v>
      </c>
      <c r="Z225" s="381"/>
    </row>
    <row r="226" spans="2:26" x14ac:dyDescent="0.35">
      <c r="B226" s="622"/>
      <c r="D226" s="598"/>
      <c r="E226" s="599"/>
      <c r="F226" s="381" t="s">
        <v>245</v>
      </c>
      <c r="G226" s="600" t="s">
        <v>195</v>
      </c>
      <c r="H226" s="578"/>
      <c r="I226" s="601"/>
      <c r="J226" s="600"/>
      <c r="K226" s="433">
        <v>0</v>
      </c>
      <c r="L226" s="577">
        <v>6004</v>
      </c>
      <c r="M226" s="258">
        <f>8/1000</f>
        <v>8.0000000000000002E-3</v>
      </c>
      <c r="N226" s="259">
        <v>1</v>
      </c>
      <c r="O226" s="520">
        <f t="shared" si="40"/>
        <v>0</v>
      </c>
      <c r="P226" s="261">
        <v>789879.97204393509</v>
      </c>
      <c r="Q226" s="521">
        <f t="shared" si="39"/>
        <v>0</v>
      </c>
      <c r="R226" s="603"/>
      <c r="S226" s="603"/>
      <c r="T226" s="605"/>
      <c r="U226" s="605"/>
      <c r="V226" s="605"/>
      <c r="W226" s="605"/>
      <c r="X226" s="578"/>
      <c r="Y226" s="775">
        <f t="shared" si="38"/>
        <v>0</v>
      </c>
      <c r="Z226" s="381"/>
    </row>
    <row r="227" spans="2:26" x14ac:dyDescent="0.35">
      <c r="B227" s="622"/>
      <c r="D227" s="170" t="s">
        <v>102</v>
      </c>
      <c r="E227" s="646"/>
      <c r="F227" s="151" t="s">
        <v>177</v>
      </c>
      <c r="G227" s="316" t="s">
        <v>178</v>
      </c>
      <c r="H227" s="317"/>
      <c r="I227" s="318"/>
      <c r="J227" s="316"/>
      <c r="K227" s="433">
        <v>0</v>
      </c>
      <c r="L227" s="577">
        <v>192.08</v>
      </c>
      <c r="M227" s="309">
        <v>0.5</v>
      </c>
      <c r="N227" s="259">
        <v>1</v>
      </c>
      <c r="O227" s="520">
        <f t="shared" si="40"/>
        <v>0</v>
      </c>
      <c r="P227" s="261">
        <v>169122.61109699999</v>
      </c>
      <c r="Q227" s="604">
        <f>P227*$O227</f>
        <v>0</v>
      </c>
      <c r="R227" s="380">
        <v>179635.86432000002</v>
      </c>
      <c r="S227" s="603">
        <f>R227*$O227</f>
        <v>0</v>
      </c>
      <c r="T227" s="380">
        <v>197599.45075200003</v>
      </c>
      <c r="U227" s="605">
        <f>$O227*T227</f>
        <v>0</v>
      </c>
      <c r="V227" s="380" t="e">
        <f>W227/O227</f>
        <v>#DIV/0!</v>
      </c>
      <c r="W227" s="267">
        <f>AVERAGEIF($P$3:$U$3,W$3,$P227:$U227)</f>
        <v>0</v>
      </c>
      <c r="X227" s="578"/>
      <c r="Y227" s="775">
        <f t="shared" si="38"/>
        <v>0</v>
      </c>
      <c r="Z227" s="381"/>
    </row>
    <row r="228" spans="2:26" x14ac:dyDescent="0.35">
      <c r="B228" s="622"/>
      <c r="E228" s="623"/>
      <c r="F228" s="381" t="s">
        <v>499</v>
      </c>
      <c r="G228" s="600" t="s">
        <v>328</v>
      </c>
      <c r="H228" s="578"/>
      <c r="I228" s="601"/>
      <c r="J228" s="600"/>
      <c r="K228" s="433">
        <v>0</v>
      </c>
      <c r="L228" s="577">
        <v>1106</v>
      </c>
      <c r="M228" s="400">
        <f>1050/1000</f>
        <v>1.05</v>
      </c>
      <c r="N228" s="259">
        <v>1</v>
      </c>
      <c r="O228" s="520">
        <f t="shared" si="40"/>
        <v>0</v>
      </c>
      <c r="P228" s="261">
        <v>122278.27500000001</v>
      </c>
      <c r="Q228" s="604">
        <f t="shared" ref="Q228:Q246" si="41">P228*$O228</f>
        <v>0</v>
      </c>
      <c r="R228" s="380"/>
      <c r="S228" s="603"/>
      <c r="T228" s="380"/>
      <c r="U228" s="605"/>
      <c r="V228" s="380"/>
      <c r="W228" s="267"/>
      <c r="X228" s="578"/>
      <c r="Y228" s="775">
        <f t="shared" si="38"/>
        <v>0</v>
      </c>
      <c r="Z228" s="381"/>
    </row>
    <row r="229" spans="2:26" x14ac:dyDescent="0.35">
      <c r="B229" s="622"/>
      <c r="E229" s="623"/>
      <c r="F229" s="381" t="s">
        <v>205</v>
      </c>
      <c r="G229" s="600" t="s">
        <v>195</v>
      </c>
      <c r="H229" s="578"/>
      <c r="I229" s="601"/>
      <c r="J229" s="600"/>
      <c r="K229" s="433">
        <v>0</v>
      </c>
      <c r="L229" s="577">
        <v>1106</v>
      </c>
      <c r="M229" s="400">
        <v>2.8000000000000001E-2</v>
      </c>
      <c r="N229" s="259">
        <v>1</v>
      </c>
      <c r="O229" s="520">
        <f t="shared" si="40"/>
        <v>0</v>
      </c>
      <c r="P229" s="261">
        <v>805655.39686222153</v>
      </c>
      <c r="Q229" s="604">
        <f t="shared" si="41"/>
        <v>0</v>
      </c>
      <c r="R229" s="380"/>
      <c r="S229" s="603"/>
      <c r="T229" s="380"/>
      <c r="U229" s="605"/>
      <c r="V229" s="380"/>
      <c r="W229" s="267"/>
      <c r="X229" s="578"/>
      <c r="Y229" s="775">
        <f t="shared" si="38"/>
        <v>0</v>
      </c>
      <c r="Z229" s="381"/>
    </row>
    <row r="230" spans="2:26" x14ac:dyDescent="0.35">
      <c r="B230" s="622"/>
      <c r="E230" s="623"/>
      <c r="F230" s="381" t="s">
        <v>500</v>
      </c>
      <c r="G230" s="600" t="s">
        <v>195</v>
      </c>
      <c r="H230" s="578"/>
      <c r="I230" s="601"/>
      <c r="J230" s="600"/>
      <c r="K230" s="433">
        <v>0</v>
      </c>
      <c r="L230" s="577">
        <v>1106</v>
      </c>
      <c r="M230" s="258">
        <f>8/1000</f>
        <v>8.0000000000000002E-3</v>
      </c>
      <c r="N230" s="259">
        <v>1</v>
      </c>
      <c r="O230" s="520">
        <f t="shared" si="40"/>
        <v>0</v>
      </c>
      <c r="P230" s="261">
        <v>731761.67591280001</v>
      </c>
      <c r="Q230" s="604">
        <f t="shared" si="41"/>
        <v>0</v>
      </c>
      <c r="R230" s="380"/>
      <c r="S230" s="603"/>
      <c r="T230" s="380"/>
      <c r="U230" s="605"/>
      <c r="V230" s="380"/>
      <c r="W230" s="267"/>
      <c r="X230" s="578"/>
      <c r="Y230" s="775">
        <f t="shared" si="38"/>
        <v>0</v>
      </c>
      <c r="Z230" s="381"/>
    </row>
    <row r="231" spans="2:26" x14ac:dyDescent="0.35">
      <c r="B231" s="622"/>
      <c r="E231" s="623"/>
      <c r="F231" s="381" t="s">
        <v>245</v>
      </c>
      <c r="G231" s="600" t="s">
        <v>195</v>
      </c>
      <c r="H231" s="578"/>
      <c r="I231" s="601"/>
      <c r="J231" s="600"/>
      <c r="K231" s="433">
        <v>0</v>
      </c>
      <c r="L231" s="577">
        <v>1106</v>
      </c>
      <c r="M231" s="258">
        <f>8/1000</f>
        <v>8.0000000000000002E-3</v>
      </c>
      <c r="N231" s="259">
        <v>1</v>
      </c>
      <c r="O231" s="520">
        <f t="shared" si="40"/>
        <v>0</v>
      </c>
      <c r="P231" s="261">
        <v>789879.97204393509</v>
      </c>
      <c r="Q231" s="604">
        <f t="shared" si="41"/>
        <v>0</v>
      </c>
      <c r="R231" s="380"/>
      <c r="S231" s="603"/>
      <c r="T231" s="380"/>
      <c r="U231" s="605"/>
      <c r="V231" s="380"/>
      <c r="W231" s="267"/>
      <c r="X231" s="578"/>
      <c r="Y231" s="775">
        <f t="shared" si="38"/>
        <v>0</v>
      </c>
      <c r="Z231" s="381"/>
    </row>
    <row r="232" spans="2:26" customFormat="1" x14ac:dyDescent="0.35">
      <c r="B232" s="606" t="s">
        <v>501</v>
      </c>
      <c r="C232" s="716"/>
      <c r="D232" s="716"/>
      <c r="E232" s="717"/>
      <c r="F232" s="609"/>
      <c r="G232" s="610"/>
      <c r="H232" s="611"/>
      <c r="I232" s="612"/>
      <c r="J232" s="610"/>
      <c r="K232" s="613"/>
      <c r="L232" s="614"/>
      <c r="M232" s="615"/>
      <c r="N232" s="616"/>
      <c r="O232" s="611"/>
      <c r="P232" s="617"/>
      <c r="Q232" s="618">
        <f>SUM(Q203:Q231)</f>
        <v>0</v>
      </c>
      <c r="R232" s="617"/>
      <c r="S232" s="718">
        <f>SUM(S221:S231)</f>
        <v>0</v>
      </c>
      <c r="T232" s="776"/>
      <c r="U232" s="776"/>
      <c r="V232" s="776"/>
      <c r="W232" s="776"/>
      <c r="X232" s="611"/>
      <c r="Y232" s="619">
        <f t="shared" si="38"/>
        <v>0</v>
      </c>
      <c r="Z232" s="781">
        <f>Q232/5127997141.07*100</f>
        <v>0</v>
      </c>
    </row>
    <row r="233" spans="2:26" x14ac:dyDescent="0.35">
      <c r="B233" s="578"/>
      <c r="C233" s="601" t="s">
        <v>502</v>
      </c>
      <c r="D233" s="601"/>
      <c r="E233" s="642"/>
      <c r="F233" s="381"/>
      <c r="G233" s="600"/>
      <c r="H233" s="578"/>
      <c r="I233" s="601"/>
      <c r="J233" s="600"/>
      <c r="K233" s="575"/>
      <c r="L233" s="621"/>
      <c r="M233" s="379"/>
      <c r="N233" s="380"/>
      <c r="O233" s="578"/>
      <c r="P233" s="261"/>
      <c r="Q233" s="604"/>
      <c r="R233" s="603"/>
      <c r="S233" s="603"/>
      <c r="T233" s="605"/>
      <c r="U233" s="605"/>
      <c r="V233" s="605"/>
      <c r="W233" s="605"/>
      <c r="X233" s="578"/>
      <c r="Y233" s="381"/>
      <c r="Z233" s="381"/>
    </row>
    <row r="234" spans="2:26" x14ac:dyDescent="0.35">
      <c r="B234" s="622"/>
      <c r="D234" s="173" t="s">
        <v>104</v>
      </c>
      <c r="E234" s="623"/>
      <c r="F234" s="151" t="s">
        <v>177</v>
      </c>
      <c r="G234" s="316" t="s">
        <v>178</v>
      </c>
      <c r="H234" s="317"/>
      <c r="I234" s="318"/>
      <c r="J234" s="316"/>
      <c r="K234" s="433">
        <v>0</v>
      </c>
      <c r="L234" s="577"/>
      <c r="M234" s="300">
        <v>1</v>
      </c>
      <c r="N234" s="259">
        <v>1</v>
      </c>
      <c r="O234" s="520">
        <f t="shared" ref="O234:O246" si="42">K234*L234*M234*N234</f>
        <v>0</v>
      </c>
      <c r="P234" s="261">
        <v>169122.61109699999</v>
      </c>
      <c r="Q234" s="604">
        <f t="shared" si="41"/>
        <v>0</v>
      </c>
      <c r="R234" s="603"/>
      <c r="S234" s="603"/>
      <c r="T234" s="605"/>
      <c r="U234" s="605"/>
      <c r="V234" s="605"/>
      <c r="W234" s="605"/>
      <c r="X234" s="578"/>
      <c r="Y234" s="775">
        <f t="shared" si="38"/>
        <v>0</v>
      </c>
      <c r="Z234" s="381"/>
    </row>
    <row r="235" spans="2:26" x14ac:dyDescent="0.35">
      <c r="B235" s="622"/>
      <c r="E235" s="623"/>
      <c r="F235" s="151" t="s">
        <v>252</v>
      </c>
      <c r="G235" s="316" t="s">
        <v>253</v>
      </c>
      <c r="H235" s="317"/>
      <c r="I235" s="318"/>
      <c r="J235" s="316"/>
      <c r="K235" s="433">
        <v>0</v>
      </c>
      <c r="L235" s="577"/>
      <c r="M235" s="300">
        <v>1</v>
      </c>
      <c r="N235" s="259">
        <v>1</v>
      </c>
      <c r="O235" s="520">
        <f t="shared" si="42"/>
        <v>0</v>
      </c>
      <c r="P235" s="261">
        <v>80525500.00000003</v>
      </c>
      <c r="Q235" s="604">
        <f t="shared" si="41"/>
        <v>0</v>
      </c>
      <c r="R235" s="603"/>
      <c r="S235" s="603"/>
      <c r="T235" s="605"/>
      <c r="U235" s="605"/>
      <c r="V235" s="605"/>
      <c r="W235" s="605"/>
      <c r="X235" s="578"/>
      <c r="Y235" s="775">
        <f t="shared" si="38"/>
        <v>0</v>
      </c>
      <c r="Z235" s="381"/>
    </row>
    <row r="236" spans="2:26" x14ac:dyDescent="0.35">
      <c r="B236" s="622"/>
      <c r="E236" s="623"/>
      <c r="F236" s="381" t="s">
        <v>503</v>
      </c>
      <c r="G236" s="600" t="s">
        <v>253</v>
      </c>
      <c r="H236" s="578"/>
      <c r="I236" s="601"/>
      <c r="J236" s="600"/>
      <c r="K236" s="602">
        <v>0</v>
      </c>
      <c r="L236" s="621">
        <v>6</v>
      </c>
      <c r="M236" s="668">
        <v>1</v>
      </c>
      <c r="N236" s="669">
        <v>1</v>
      </c>
      <c r="O236" s="520">
        <f t="shared" si="42"/>
        <v>0</v>
      </c>
      <c r="P236" s="261">
        <f>69877500*110%</f>
        <v>76865250</v>
      </c>
      <c r="Q236" s="604">
        <f t="shared" si="41"/>
        <v>0</v>
      </c>
      <c r="R236" s="733"/>
      <c r="S236" s="733"/>
      <c r="T236" s="782"/>
      <c r="U236" s="782"/>
      <c r="V236" s="782"/>
      <c r="W236" s="782"/>
      <c r="X236" s="578"/>
      <c r="Y236" s="775">
        <f t="shared" si="38"/>
        <v>0</v>
      </c>
      <c r="Z236" s="381"/>
    </row>
    <row r="237" spans="2:26" x14ac:dyDescent="0.35">
      <c r="B237" s="622"/>
      <c r="E237" s="623"/>
      <c r="F237" s="381" t="s">
        <v>504</v>
      </c>
      <c r="G237" s="600" t="s">
        <v>253</v>
      </c>
      <c r="H237" s="578"/>
      <c r="I237" s="601"/>
      <c r="J237" s="600"/>
      <c r="K237" s="602">
        <v>0</v>
      </c>
      <c r="L237" s="621">
        <v>1</v>
      </c>
      <c r="M237" s="668">
        <v>1</v>
      </c>
      <c r="N237" s="669">
        <v>1</v>
      </c>
      <c r="O237" s="520">
        <f t="shared" si="42"/>
        <v>0</v>
      </c>
      <c r="P237" s="261">
        <f>125779500*110%</f>
        <v>138357450</v>
      </c>
      <c r="Q237" s="604">
        <f t="shared" si="41"/>
        <v>0</v>
      </c>
      <c r="R237" s="733"/>
      <c r="S237" s="733"/>
      <c r="T237" s="782"/>
      <c r="U237" s="782"/>
      <c r="V237" s="782"/>
      <c r="W237" s="782"/>
      <c r="X237" s="578"/>
      <c r="Y237" s="775">
        <f t="shared" si="38"/>
        <v>0</v>
      </c>
      <c r="Z237" s="381"/>
    </row>
    <row r="238" spans="2:26" x14ac:dyDescent="0.35">
      <c r="B238" s="622"/>
      <c r="E238" s="623"/>
      <c r="F238" s="381" t="s">
        <v>505</v>
      </c>
      <c r="G238" s="600" t="s">
        <v>253</v>
      </c>
      <c r="H238" s="578"/>
      <c r="I238" s="601"/>
      <c r="J238" s="600"/>
      <c r="K238" s="602">
        <v>0</v>
      </c>
      <c r="L238" s="621">
        <v>4</v>
      </c>
      <c r="M238" s="668">
        <v>1</v>
      </c>
      <c r="N238" s="669">
        <v>1</v>
      </c>
      <c r="O238" s="520">
        <f t="shared" si="42"/>
        <v>0</v>
      </c>
      <c r="P238" s="261">
        <f>125779500*110%</f>
        <v>138357450</v>
      </c>
      <c r="Q238" s="604">
        <f t="shared" si="41"/>
        <v>0</v>
      </c>
      <c r="R238" s="733"/>
      <c r="S238" s="733"/>
      <c r="T238" s="782"/>
      <c r="U238" s="782"/>
      <c r="V238" s="782"/>
      <c r="W238" s="782"/>
      <c r="X238" s="578"/>
      <c r="Y238" s="775">
        <f t="shared" si="38"/>
        <v>0</v>
      </c>
      <c r="Z238" s="381"/>
    </row>
    <row r="239" spans="2:26" x14ac:dyDescent="0.35">
      <c r="B239" s="622"/>
      <c r="E239" s="623"/>
      <c r="F239" s="381" t="s">
        <v>506</v>
      </c>
      <c r="G239" s="600" t="s">
        <v>253</v>
      </c>
      <c r="H239" s="578"/>
      <c r="I239" s="601"/>
      <c r="J239" s="600"/>
      <c r="K239" s="602">
        <v>0</v>
      </c>
      <c r="L239" s="621">
        <v>4</v>
      </c>
      <c r="M239" s="668">
        <v>1</v>
      </c>
      <c r="N239" s="669">
        <v>1</v>
      </c>
      <c r="O239" s="520">
        <f t="shared" si="42"/>
        <v>0</v>
      </c>
      <c r="P239" s="261">
        <f>153730500*110%</f>
        <v>169103550</v>
      </c>
      <c r="Q239" s="604">
        <f t="shared" si="41"/>
        <v>0</v>
      </c>
      <c r="R239" s="380" t="e">
        <v>#N/A</v>
      </c>
      <c r="S239" s="603" t="e">
        <f>R239*$O239</f>
        <v>#N/A</v>
      </c>
      <c r="T239" s="380" t="e">
        <v>#N/A</v>
      </c>
      <c r="U239" s="605" t="e">
        <f>$O239*T239</f>
        <v>#N/A</v>
      </c>
      <c r="V239" s="380" t="e">
        <f>W239/O239</f>
        <v>#N/A</v>
      </c>
      <c r="W239" s="267" t="e">
        <f>AVERAGEIF($P$3:$U$3,W$3,$P239:$U239)</f>
        <v>#N/A</v>
      </c>
      <c r="X239" s="578"/>
      <c r="Y239" s="775">
        <f t="shared" si="38"/>
        <v>0</v>
      </c>
      <c r="Z239" s="381"/>
    </row>
    <row r="240" spans="2:26" x14ac:dyDescent="0.35">
      <c r="B240" s="622"/>
      <c r="E240" s="623"/>
      <c r="F240" s="381" t="s">
        <v>507</v>
      </c>
      <c r="G240" s="600" t="s">
        <v>253</v>
      </c>
      <c r="H240" s="578"/>
      <c r="I240" s="601"/>
      <c r="J240" s="600"/>
      <c r="K240" s="602">
        <v>0</v>
      </c>
      <c r="L240" s="621">
        <v>1</v>
      </c>
      <c r="M240" s="668">
        <v>1</v>
      </c>
      <c r="N240" s="669">
        <v>1</v>
      </c>
      <c r="O240" s="520">
        <f t="shared" si="42"/>
        <v>0</v>
      </c>
      <c r="P240" s="261">
        <f>181681500*110%</f>
        <v>199849650.00000003</v>
      </c>
      <c r="Q240" s="604">
        <f t="shared" si="41"/>
        <v>0</v>
      </c>
      <c r="R240" s="733"/>
      <c r="S240" s="733"/>
      <c r="T240" s="782"/>
      <c r="U240" s="782"/>
      <c r="V240" s="782"/>
      <c r="W240" s="782"/>
      <c r="X240" s="578"/>
      <c r="Y240" s="775">
        <f t="shared" si="38"/>
        <v>0</v>
      </c>
      <c r="Z240" s="381"/>
    </row>
    <row r="241" spans="2:26" x14ac:dyDescent="0.35">
      <c r="B241" s="622"/>
      <c r="E241" s="623"/>
      <c r="F241" s="381" t="s">
        <v>262</v>
      </c>
      <c r="G241" s="600" t="s">
        <v>253</v>
      </c>
      <c r="H241" s="578"/>
      <c r="I241" s="601"/>
      <c r="J241" s="600"/>
      <c r="K241" s="602">
        <v>0</v>
      </c>
      <c r="L241" s="621">
        <v>1</v>
      </c>
      <c r="M241" s="668">
        <v>1</v>
      </c>
      <c r="N241" s="669">
        <v>1</v>
      </c>
      <c r="O241" s="520">
        <f t="shared" si="42"/>
        <v>0</v>
      </c>
      <c r="P241" s="261">
        <f>56990587.5*110%</f>
        <v>62689646.250000007</v>
      </c>
      <c r="Q241" s="604">
        <f t="shared" si="41"/>
        <v>0</v>
      </c>
      <c r="R241" s="733"/>
      <c r="S241" s="733"/>
      <c r="T241" s="782"/>
      <c r="U241" s="782"/>
      <c r="V241" s="782"/>
      <c r="W241" s="782"/>
      <c r="X241" s="578"/>
      <c r="Y241" s="775">
        <f t="shared" si="38"/>
        <v>0</v>
      </c>
      <c r="Z241" s="381"/>
    </row>
    <row r="242" spans="2:26" x14ac:dyDescent="0.35">
      <c r="B242" s="622"/>
      <c r="E242" s="623"/>
      <c r="F242" s="381" t="s">
        <v>508</v>
      </c>
      <c r="G242" s="600" t="s">
        <v>253</v>
      </c>
      <c r="H242" s="578"/>
      <c r="I242" s="601"/>
      <c r="J242" s="600"/>
      <c r="K242" s="602">
        <v>0</v>
      </c>
      <c r="L242" s="621">
        <v>1</v>
      </c>
      <c r="M242" s="672">
        <v>1</v>
      </c>
      <c r="N242" s="669">
        <v>1</v>
      </c>
      <c r="O242" s="520">
        <f t="shared" si="42"/>
        <v>0</v>
      </c>
      <c r="P242" s="261">
        <f>91184940*110%</f>
        <v>100303434.00000001</v>
      </c>
      <c r="Q242" s="604">
        <f t="shared" si="41"/>
        <v>0</v>
      </c>
      <c r="R242" s="733"/>
      <c r="S242" s="733"/>
      <c r="T242" s="782"/>
      <c r="U242" s="782"/>
      <c r="V242" s="782"/>
      <c r="W242" s="783"/>
      <c r="X242" s="578"/>
      <c r="Y242" s="775">
        <f t="shared" si="38"/>
        <v>0</v>
      </c>
      <c r="Z242" s="381"/>
    </row>
    <row r="243" spans="2:26" x14ac:dyDescent="0.35">
      <c r="B243" s="622"/>
      <c r="E243" s="623"/>
      <c r="F243" s="381" t="s">
        <v>509</v>
      </c>
      <c r="G243" s="600" t="s">
        <v>253</v>
      </c>
      <c r="H243" s="578"/>
      <c r="I243" s="601"/>
      <c r="J243" s="600"/>
      <c r="K243" s="602">
        <v>0</v>
      </c>
      <c r="L243" s="621"/>
      <c r="M243" s="672">
        <v>1</v>
      </c>
      <c r="N243" s="669">
        <v>1</v>
      </c>
      <c r="O243" s="520">
        <f t="shared" si="42"/>
        <v>0</v>
      </c>
      <c r="P243" s="261">
        <v>126258660.00000003</v>
      </c>
      <c r="Q243" s="604">
        <f t="shared" si="41"/>
        <v>0</v>
      </c>
      <c r="R243" s="733"/>
      <c r="S243" s="733"/>
      <c r="T243" s="782"/>
      <c r="U243" s="782"/>
      <c r="V243" s="782"/>
      <c r="W243" s="783"/>
      <c r="X243" s="578"/>
      <c r="Y243" s="775">
        <f t="shared" si="38"/>
        <v>0</v>
      </c>
      <c r="Z243" s="381"/>
    </row>
    <row r="244" spans="2:26" x14ac:dyDescent="0.35">
      <c r="B244" s="622"/>
      <c r="E244" s="623"/>
      <c r="F244" s="381" t="s">
        <v>510</v>
      </c>
      <c r="G244" s="600"/>
      <c r="H244" s="578"/>
      <c r="I244" s="601"/>
      <c r="J244" s="600"/>
      <c r="K244" s="602">
        <v>0</v>
      </c>
      <c r="L244" s="621">
        <v>2</v>
      </c>
      <c r="M244" s="672">
        <v>1</v>
      </c>
      <c r="N244" s="669">
        <v>1</v>
      </c>
      <c r="O244" s="520">
        <f t="shared" si="42"/>
        <v>0</v>
      </c>
      <c r="P244" s="261">
        <f>56990587.5*110%</f>
        <v>62689646.250000007</v>
      </c>
      <c r="Q244" s="604">
        <f t="shared" si="41"/>
        <v>0</v>
      </c>
      <c r="R244" s="733"/>
      <c r="S244" s="733"/>
      <c r="T244" s="782"/>
      <c r="U244" s="782"/>
      <c r="V244" s="782"/>
      <c r="W244" s="783"/>
      <c r="X244" s="578"/>
      <c r="Y244" s="775">
        <f t="shared" si="38"/>
        <v>0</v>
      </c>
      <c r="Z244" s="381"/>
    </row>
    <row r="245" spans="2:26" x14ac:dyDescent="0.35">
      <c r="B245" s="622"/>
      <c r="E245" s="623"/>
      <c r="F245" s="381" t="s">
        <v>205</v>
      </c>
      <c r="G245" s="600" t="s">
        <v>195</v>
      </c>
      <c r="H245" s="578"/>
      <c r="I245" s="601"/>
      <c r="J245" s="600"/>
      <c r="K245" s="602">
        <v>0</v>
      </c>
      <c r="L245" s="621">
        <v>20</v>
      </c>
      <c r="M245" s="672">
        <v>6</v>
      </c>
      <c r="N245" s="669">
        <v>1</v>
      </c>
      <c r="O245" s="673">
        <f t="shared" si="42"/>
        <v>0</v>
      </c>
      <c r="P245" s="261">
        <v>805655.39686222153</v>
      </c>
      <c r="Q245" s="604">
        <f t="shared" si="41"/>
        <v>0</v>
      </c>
      <c r="R245" s="733"/>
      <c r="S245" s="733"/>
      <c r="T245" s="782"/>
      <c r="U245" s="782"/>
      <c r="V245" s="782"/>
      <c r="W245" s="783"/>
      <c r="X245" s="578"/>
      <c r="Y245" s="775">
        <f t="shared" si="38"/>
        <v>0</v>
      </c>
      <c r="Z245" s="381"/>
    </row>
    <row r="246" spans="2:26" x14ac:dyDescent="0.35">
      <c r="B246" s="622"/>
      <c r="E246" s="623"/>
      <c r="F246" s="381" t="s">
        <v>254</v>
      </c>
      <c r="G246" s="600" t="s">
        <v>195</v>
      </c>
      <c r="H246" s="578"/>
      <c r="I246" s="601"/>
      <c r="J246" s="600"/>
      <c r="K246" s="602">
        <v>0</v>
      </c>
      <c r="L246" s="621">
        <v>20</v>
      </c>
      <c r="M246" s="672">
        <v>7</v>
      </c>
      <c r="N246" s="669">
        <v>1</v>
      </c>
      <c r="O246" s="673">
        <f t="shared" si="42"/>
        <v>0</v>
      </c>
      <c r="P246" s="261">
        <v>751814.04771000007</v>
      </c>
      <c r="Q246" s="604">
        <f t="shared" si="41"/>
        <v>0</v>
      </c>
      <c r="R246" s="733"/>
      <c r="S246" s="733"/>
      <c r="T246" s="782"/>
      <c r="U246" s="782"/>
      <c r="V246" s="782"/>
      <c r="W246" s="783"/>
      <c r="X246" s="578"/>
      <c r="Y246" s="775">
        <f t="shared" si="38"/>
        <v>0</v>
      </c>
      <c r="Z246" s="381"/>
    </row>
    <row r="247" spans="2:26" x14ac:dyDescent="0.35">
      <c r="B247" s="622"/>
      <c r="D247" s="170" t="s">
        <v>511</v>
      </c>
      <c r="E247" s="646"/>
      <c r="F247" s="381" t="s">
        <v>177</v>
      </c>
      <c r="G247" s="600" t="s">
        <v>178</v>
      </c>
      <c r="H247" s="578"/>
      <c r="I247" s="601"/>
      <c r="J247" s="600"/>
      <c r="K247" s="575"/>
      <c r="L247" s="621"/>
      <c r="M247" s="379"/>
      <c r="N247" s="380">
        <v>1</v>
      </c>
      <c r="O247" s="578"/>
      <c r="P247" s="603"/>
      <c r="Q247" s="604"/>
      <c r="R247" s="603"/>
      <c r="S247" s="603"/>
      <c r="T247" s="605"/>
      <c r="U247" s="605"/>
      <c r="V247" s="605"/>
      <c r="W247" s="605"/>
      <c r="X247" s="578"/>
      <c r="Y247" s="775">
        <f t="shared" si="38"/>
        <v>0</v>
      </c>
      <c r="Z247" s="381"/>
    </row>
    <row r="248" spans="2:26" x14ac:dyDescent="0.35">
      <c r="B248" s="622"/>
      <c r="E248" s="623"/>
      <c r="F248" s="381" t="s">
        <v>260</v>
      </c>
      <c r="G248" s="600" t="s">
        <v>253</v>
      </c>
      <c r="H248" s="578"/>
      <c r="I248" s="601"/>
      <c r="J248" s="600"/>
      <c r="K248" s="575"/>
      <c r="L248" s="621"/>
      <c r="M248" s="379"/>
      <c r="N248" s="380">
        <v>1</v>
      </c>
      <c r="O248" s="578"/>
      <c r="P248" s="603"/>
      <c r="Q248" s="604"/>
      <c r="R248" s="603"/>
      <c r="S248" s="603"/>
      <c r="T248" s="605"/>
      <c r="U248" s="605"/>
      <c r="V248" s="605"/>
      <c r="W248" s="605"/>
      <c r="X248" s="578"/>
      <c r="Y248" s="775">
        <f t="shared" si="38"/>
        <v>0</v>
      </c>
      <c r="Z248" s="381"/>
    </row>
    <row r="249" spans="2:26" x14ac:dyDescent="0.35">
      <c r="B249" s="622"/>
      <c r="D249" s="598"/>
      <c r="E249" s="599"/>
      <c r="F249" s="381" t="s">
        <v>205</v>
      </c>
      <c r="G249" s="600" t="s">
        <v>195</v>
      </c>
      <c r="H249" s="578"/>
      <c r="I249" s="601"/>
      <c r="J249" s="600"/>
      <c r="K249" s="575"/>
      <c r="L249" s="621"/>
      <c r="M249" s="379">
        <v>10</v>
      </c>
      <c r="N249" s="380">
        <v>1</v>
      </c>
      <c r="O249" s="578"/>
      <c r="P249" s="603"/>
      <c r="Q249" s="604"/>
      <c r="R249" s="603"/>
      <c r="S249" s="603"/>
      <c r="T249" s="605"/>
      <c r="U249" s="605"/>
      <c r="V249" s="605"/>
      <c r="W249" s="605"/>
      <c r="X249" s="578"/>
      <c r="Y249" s="775">
        <f t="shared" si="38"/>
        <v>0</v>
      </c>
      <c r="Z249" s="381"/>
    </row>
    <row r="250" spans="2:26" x14ac:dyDescent="0.35">
      <c r="B250" s="622"/>
      <c r="D250" s="173" t="s">
        <v>106</v>
      </c>
      <c r="E250" s="623"/>
      <c r="F250" s="381" t="s">
        <v>177</v>
      </c>
      <c r="G250" s="600" t="s">
        <v>178</v>
      </c>
      <c r="H250" s="578"/>
      <c r="I250" s="601"/>
      <c r="J250" s="600" t="s">
        <v>253</v>
      </c>
      <c r="K250" s="433">
        <v>0</v>
      </c>
      <c r="L250" s="621">
        <v>11</v>
      </c>
      <c r="M250" s="669">
        <v>2</v>
      </c>
      <c r="N250" s="380">
        <v>1</v>
      </c>
      <c r="O250" s="520">
        <f t="shared" ref="O250:O256" si="43">K250*L250*M250*N250</f>
        <v>0</v>
      </c>
      <c r="P250" s="261">
        <v>169122.61109699999</v>
      </c>
      <c r="Q250" s="604">
        <f t="shared" ref="Q250:Q258" si="44">P250*$O250</f>
        <v>0</v>
      </c>
      <c r="R250" s="603"/>
      <c r="S250" s="603"/>
      <c r="T250" s="605"/>
      <c r="U250" s="605"/>
      <c r="V250" s="605"/>
      <c r="W250" s="605"/>
      <c r="X250" s="578"/>
      <c r="Y250" s="775">
        <f t="shared" si="38"/>
        <v>0</v>
      </c>
      <c r="Z250" s="381"/>
    </row>
    <row r="251" spans="2:26" x14ac:dyDescent="0.35">
      <c r="B251" s="622"/>
      <c r="E251" s="623"/>
      <c r="F251" s="381" t="s">
        <v>106</v>
      </c>
      <c r="G251" s="600" t="s">
        <v>253</v>
      </c>
      <c r="H251" s="578"/>
      <c r="I251" s="601"/>
      <c r="J251" s="600" t="s">
        <v>253</v>
      </c>
      <c r="K251" s="433">
        <v>0</v>
      </c>
      <c r="L251" s="621">
        <v>11</v>
      </c>
      <c r="M251" s="669">
        <v>6</v>
      </c>
      <c r="N251" s="380">
        <v>1</v>
      </c>
      <c r="O251" s="520">
        <f t="shared" si="43"/>
        <v>0</v>
      </c>
      <c r="P251" s="261">
        <v>532400.00000000012</v>
      </c>
      <c r="Q251" s="604">
        <f t="shared" si="44"/>
        <v>0</v>
      </c>
      <c r="R251" s="603"/>
      <c r="S251" s="603"/>
      <c r="T251" s="605"/>
      <c r="U251" s="605"/>
      <c r="V251" s="605"/>
      <c r="W251" s="605"/>
      <c r="X251" s="578"/>
      <c r="Y251" s="775">
        <f t="shared" si="38"/>
        <v>0</v>
      </c>
      <c r="Z251" s="381"/>
    </row>
    <row r="252" spans="2:26" x14ac:dyDescent="0.35">
      <c r="B252" s="622"/>
      <c r="D252" s="598"/>
      <c r="E252" s="599"/>
      <c r="F252" s="381" t="s">
        <v>254</v>
      </c>
      <c r="G252" s="600" t="s">
        <v>195</v>
      </c>
      <c r="H252" s="578"/>
      <c r="I252" s="601"/>
      <c r="J252" s="600" t="s">
        <v>253</v>
      </c>
      <c r="K252" s="433">
        <v>0</v>
      </c>
      <c r="L252" s="621">
        <v>11</v>
      </c>
      <c r="M252" s="669">
        <v>5</v>
      </c>
      <c r="N252" s="380">
        <v>1</v>
      </c>
      <c r="O252" s="520">
        <f t="shared" si="43"/>
        <v>0</v>
      </c>
      <c r="P252" s="261">
        <v>751814.04771000007</v>
      </c>
      <c r="Q252" s="604">
        <f t="shared" si="44"/>
        <v>0</v>
      </c>
      <c r="R252" s="603"/>
      <c r="S252" s="603"/>
      <c r="T252" s="605"/>
      <c r="U252" s="605"/>
      <c r="V252" s="605"/>
      <c r="W252" s="605"/>
      <c r="X252" s="578"/>
      <c r="Y252" s="775">
        <f t="shared" si="38"/>
        <v>0</v>
      </c>
      <c r="Z252" s="381"/>
    </row>
    <row r="253" spans="2:26" x14ac:dyDescent="0.35">
      <c r="B253" s="622"/>
      <c r="D253" s="170" t="s">
        <v>108</v>
      </c>
      <c r="E253" s="646"/>
      <c r="F253" s="381" t="s">
        <v>177</v>
      </c>
      <c r="G253" s="600" t="s">
        <v>178</v>
      </c>
      <c r="H253" s="578"/>
      <c r="I253" s="601"/>
      <c r="J253" s="600" t="s">
        <v>253</v>
      </c>
      <c r="K253" s="433">
        <v>0</v>
      </c>
      <c r="L253" s="621">
        <v>5</v>
      </c>
      <c r="M253" s="669">
        <v>2</v>
      </c>
      <c r="N253" s="380">
        <v>1</v>
      </c>
      <c r="O253" s="520">
        <f t="shared" si="43"/>
        <v>0</v>
      </c>
      <c r="P253" s="261">
        <v>169122.61109699999</v>
      </c>
      <c r="Q253" s="604">
        <f t="shared" si="44"/>
        <v>0</v>
      </c>
      <c r="R253" s="603"/>
      <c r="S253" s="603"/>
      <c r="T253" s="605"/>
      <c r="U253" s="605"/>
      <c r="V253" s="605"/>
      <c r="W253" s="605"/>
      <c r="X253" s="578"/>
      <c r="Y253" s="775">
        <f t="shared" si="38"/>
        <v>0</v>
      </c>
      <c r="Z253" s="381"/>
    </row>
    <row r="254" spans="2:26" x14ac:dyDescent="0.35">
      <c r="B254" s="622"/>
      <c r="E254" s="623"/>
      <c r="F254" s="381" t="s">
        <v>512</v>
      </c>
      <c r="G254" s="600" t="s">
        <v>253</v>
      </c>
      <c r="H254" s="578"/>
      <c r="I254" s="601"/>
      <c r="J254" s="600" t="s">
        <v>253</v>
      </c>
      <c r="K254" s="433">
        <v>0</v>
      </c>
      <c r="L254" s="621">
        <v>5</v>
      </c>
      <c r="M254" s="669">
        <v>6</v>
      </c>
      <c r="N254" s="380">
        <v>1</v>
      </c>
      <c r="O254" s="520">
        <f t="shared" si="43"/>
        <v>0</v>
      </c>
      <c r="P254" s="261">
        <v>732050.00000000012</v>
      </c>
      <c r="Q254" s="604">
        <f t="shared" si="44"/>
        <v>0</v>
      </c>
      <c r="R254" s="603"/>
      <c r="S254" s="603"/>
      <c r="T254" s="605"/>
      <c r="U254" s="605"/>
      <c r="V254" s="605"/>
      <c r="W254" s="605"/>
      <c r="X254" s="578"/>
      <c r="Y254" s="775">
        <f t="shared" si="38"/>
        <v>0</v>
      </c>
      <c r="Z254" s="381"/>
    </row>
    <row r="255" spans="2:26" x14ac:dyDescent="0.35">
      <c r="B255" s="622"/>
      <c r="D255" s="598"/>
      <c r="E255" s="599"/>
      <c r="F255" s="381" t="s">
        <v>254</v>
      </c>
      <c r="G255" s="600" t="s">
        <v>195</v>
      </c>
      <c r="H255" s="578"/>
      <c r="I255" s="601"/>
      <c r="J255" s="600" t="s">
        <v>253</v>
      </c>
      <c r="K255" s="433">
        <v>0</v>
      </c>
      <c r="L255" s="621">
        <v>5</v>
      </c>
      <c r="M255" s="669">
        <v>5</v>
      </c>
      <c r="N255" s="380">
        <v>1</v>
      </c>
      <c r="O255" s="520">
        <f t="shared" si="43"/>
        <v>0</v>
      </c>
      <c r="P255" s="261">
        <v>751814.04771000007</v>
      </c>
      <c r="Q255" s="604">
        <f t="shared" si="44"/>
        <v>0</v>
      </c>
      <c r="R255" s="603"/>
      <c r="S255" s="603"/>
      <c r="T255" s="605"/>
      <c r="U255" s="605"/>
      <c r="V255" s="605"/>
      <c r="W255" s="605"/>
      <c r="X255" s="578"/>
      <c r="Y255" s="775">
        <f t="shared" si="38"/>
        <v>0</v>
      </c>
      <c r="Z255" s="381"/>
    </row>
    <row r="256" spans="2:26" x14ac:dyDescent="0.35">
      <c r="B256" s="622"/>
      <c r="D256" s="170" t="s">
        <v>110</v>
      </c>
      <c r="E256" s="646"/>
      <c r="F256" s="381" t="s">
        <v>177</v>
      </c>
      <c r="G256" s="600" t="s">
        <v>178</v>
      </c>
      <c r="H256" s="578"/>
      <c r="I256" s="601"/>
      <c r="J256" s="600" t="s">
        <v>253</v>
      </c>
      <c r="K256" s="433">
        <v>0</v>
      </c>
      <c r="L256" s="621">
        <v>3</v>
      </c>
      <c r="M256" s="669">
        <v>2</v>
      </c>
      <c r="N256" s="380">
        <v>1</v>
      </c>
      <c r="O256" s="520">
        <f t="shared" si="43"/>
        <v>0</v>
      </c>
      <c r="P256" s="261">
        <v>169122.61109699999</v>
      </c>
      <c r="Q256" s="604">
        <f t="shared" si="44"/>
        <v>0</v>
      </c>
      <c r="R256" s="603"/>
      <c r="S256" s="603"/>
      <c r="T256" s="605"/>
      <c r="U256" s="605"/>
      <c r="V256" s="605"/>
      <c r="W256" s="605"/>
      <c r="X256" s="578"/>
      <c r="Y256" s="775">
        <f t="shared" si="38"/>
        <v>0</v>
      </c>
      <c r="Z256" s="381"/>
    </row>
    <row r="257" spans="2:26" x14ac:dyDescent="0.35">
      <c r="B257" s="622"/>
      <c r="E257" s="623"/>
      <c r="F257" s="381" t="s">
        <v>513</v>
      </c>
      <c r="G257" s="600" t="s">
        <v>253</v>
      </c>
      <c r="H257" s="578"/>
      <c r="I257" s="601"/>
      <c r="J257" s="600" t="s">
        <v>253</v>
      </c>
      <c r="K257" s="433">
        <v>0</v>
      </c>
      <c r="L257" s="621">
        <v>3</v>
      </c>
      <c r="M257" s="669">
        <v>6</v>
      </c>
      <c r="N257" s="380">
        <v>1</v>
      </c>
      <c r="O257" s="520">
        <f>K257*L257*M257*N257</f>
        <v>0</v>
      </c>
      <c r="P257" s="261">
        <v>865150.00000000023</v>
      </c>
      <c r="Q257" s="604">
        <f t="shared" si="44"/>
        <v>0</v>
      </c>
      <c r="R257" s="380">
        <v>752456.25</v>
      </c>
      <c r="S257" s="603">
        <f>R257*$O257</f>
        <v>0</v>
      </c>
      <c r="T257" s="380">
        <v>790079.0625</v>
      </c>
      <c r="U257" s="605">
        <f>$O257*T257</f>
        <v>0</v>
      </c>
      <c r="V257" s="380" t="e">
        <f>W257/O257</f>
        <v>#DIV/0!</v>
      </c>
      <c r="W257" s="267">
        <f>AVERAGEIF($P$3:$U$3,W$3,$P257:$U257)</f>
        <v>0</v>
      </c>
      <c r="X257" s="578"/>
      <c r="Y257" s="775">
        <f t="shared" si="38"/>
        <v>0</v>
      </c>
      <c r="Z257" s="381"/>
    </row>
    <row r="258" spans="2:26" x14ac:dyDescent="0.35">
      <c r="B258" s="597"/>
      <c r="C258" s="598"/>
      <c r="D258" s="598"/>
      <c r="E258" s="599"/>
      <c r="F258" s="381" t="s">
        <v>254</v>
      </c>
      <c r="G258" s="600" t="s">
        <v>195</v>
      </c>
      <c r="H258" s="578"/>
      <c r="I258" s="601"/>
      <c r="J258" s="600" t="s">
        <v>253</v>
      </c>
      <c r="K258" s="433">
        <v>0</v>
      </c>
      <c r="L258" s="621">
        <v>3</v>
      </c>
      <c r="M258" s="669">
        <v>5</v>
      </c>
      <c r="N258" s="380">
        <v>1</v>
      </c>
      <c r="O258" s="520">
        <f>K258*L258*M258*N258</f>
        <v>0</v>
      </c>
      <c r="P258" s="261">
        <v>751814.04771000007</v>
      </c>
      <c r="Q258" s="604">
        <f t="shared" si="44"/>
        <v>0</v>
      </c>
      <c r="R258" s="380">
        <v>605415.30316800007</v>
      </c>
      <c r="S258" s="603">
        <f>R258*$O258</f>
        <v>0</v>
      </c>
      <c r="T258" s="380">
        <v>629631.91529472009</v>
      </c>
      <c r="U258" s="605">
        <f>$O258*T258</f>
        <v>0</v>
      </c>
      <c r="V258" s="380" t="e">
        <f>W258/O258</f>
        <v>#DIV/0!</v>
      </c>
      <c r="W258" s="267">
        <f>AVERAGEIF($P$3:$U$3,W$3,$P258:$U258)</f>
        <v>0</v>
      </c>
      <c r="X258" s="578"/>
      <c r="Y258" s="775">
        <f t="shared" si="38"/>
        <v>0</v>
      </c>
      <c r="Z258" s="381"/>
    </row>
    <row r="259" spans="2:26" customFormat="1" x14ac:dyDescent="0.35">
      <c r="B259" s="606" t="s">
        <v>607</v>
      </c>
      <c r="C259" s="716"/>
      <c r="D259" s="716"/>
      <c r="E259" s="717"/>
      <c r="F259" s="609"/>
      <c r="G259" s="610"/>
      <c r="H259" s="611"/>
      <c r="I259" s="612"/>
      <c r="J259" s="610"/>
      <c r="K259" s="613"/>
      <c r="L259" s="614"/>
      <c r="M259" s="615"/>
      <c r="N259" s="616"/>
      <c r="O259" s="611"/>
      <c r="P259" s="617"/>
      <c r="Q259" s="618">
        <f>SUM(Q234:Q258)</f>
        <v>0</v>
      </c>
      <c r="R259" s="617"/>
      <c r="S259" s="718">
        <f>SUM(S248:S258)</f>
        <v>0</v>
      </c>
      <c r="T259" s="776"/>
      <c r="U259" s="776"/>
      <c r="V259" s="776"/>
      <c r="W259" s="776"/>
      <c r="X259" s="611"/>
      <c r="Y259" s="619">
        <f t="shared" si="38"/>
        <v>0</v>
      </c>
      <c r="Z259" s="619">
        <f>Q259/5127997141.07*100</f>
        <v>0</v>
      </c>
    </row>
    <row r="260" spans="2:26" x14ac:dyDescent="0.35">
      <c r="B260" s="578"/>
      <c r="C260" s="601" t="s">
        <v>515</v>
      </c>
      <c r="D260" s="601"/>
      <c r="E260" s="642"/>
      <c r="F260" s="381"/>
      <c r="G260" s="600"/>
      <c r="H260" s="578"/>
      <c r="I260" s="601"/>
      <c r="J260" s="600"/>
      <c r="K260" s="575"/>
      <c r="L260" s="674"/>
      <c r="M260" s="379"/>
      <c r="N260" s="380"/>
      <c r="O260" s="578"/>
      <c r="P260" s="603"/>
      <c r="Q260" s="604"/>
      <c r="R260" s="603"/>
      <c r="S260" s="603"/>
      <c r="T260" s="605"/>
      <c r="U260" s="605"/>
      <c r="V260" s="605"/>
      <c r="W260" s="605"/>
      <c r="X260" s="578"/>
      <c r="Y260" s="381"/>
      <c r="Z260" s="381"/>
    </row>
    <row r="261" spans="2:26" x14ac:dyDescent="0.35">
      <c r="B261" s="622"/>
      <c r="D261" s="173" t="s">
        <v>516</v>
      </c>
      <c r="E261" s="623"/>
      <c r="F261" s="381" t="s">
        <v>177</v>
      </c>
      <c r="G261" s="600" t="s">
        <v>178</v>
      </c>
      <c r="H261" s="578"/>
      <c r="I261" s="601"/>
      <c r="J261" s="600"/>
      <c r="K261" s="575"/>
      <c r="L261" s="621"/>
      <c r="M261" s="379"/>
      <c r="N261" s="380">
        <v>1</v>
      </c>
      <c r="O261" s="578"/>
      <c r="P261" s="603"/>
      <c r="Q261" s="604"/>
      <c r="R261" s="603"/>
      <c r="S261" s="603"/>
      <c r="T261" s="605"/>
      <c r="U261" s="605"/>
      <c r="V261" s="605"/>
      <c r="W261" s="605"/>
      <c r="X261" s="578"/>
      <c r="Y261" s="381"/>
      <c r="Z261" s="381"/>
    </row>
    <row r="262" spans="2:26" x14ac:dyDescent="0.35">
      <c r="B262" s="622"/>
      <c r="E262" s="623"/>
      <c r="F262" s="381" t="s">
        <v>205</v>
      </c>
      <c r="G262" s="600" t="s">
        <v>195</v>
      </c>
      <c r="H262" s="578"/>
      <c r="I262" s="601"/>
      <c r="J262" s="600"/>
      <c r="K262" s="575"/>
      <c r="L262" s="621"/>
      <c r="M262" s="379">
        <f>1/100</f>
        <v>0.01</v>
      </c>
      <c r="N262" s="380">
        <v>1</v>
      </c>
      <c r="O262" s="578"/>
      <c r="P262" s="603"/>
      <c r="Q262" s="604"/>
      <c r="R262" s="603"/>
      <c r="S262" s="603"/>
      <c r="T262" s="605"/>
      <c r="U262" s="605"/>
      <c r="V262" s="605"/>
      <c r="W262" s="605"/>
      <c r="X262" s="578"/>
      <c r="Y262" s="381"/>
      <c r="Z262" s="381"/>
    </row>
    <row r="263" spans="2:26" x14ac:dyDescent="0.35">
      <c r="B263" s="597"/>
      <c r="C263" s="598"/>
      <c r="D263" s="598"/>
      <c r="E263" s="599"/>
      <c r="F263" s="381"/>
      <c r="G263" s="600"/>
      <c r="H263" s="578"/>
      <c r="I263" s="601"/>
      <c r="J263" s="600"/>
      <c r="K263" s="575"/>
      <c r="L263" s="621"/>
      <c r="M263" s="379"/>
      <c r="N263" s="380">
        <v>1</v>
      </c>
      <c r="O263" s="578"/>
      <c r="P263" s="603"/>
      <c r="Q263" s="604"/>
      <c r="R263" s="603"/>
      <c r="S263" s="603"/>
      <c r="T263" s="605"/>
      <c r="U263" s="605"/>
      <c r="V263" s="605"/>
      <c r="W263" s="605"/>
      <c r="X263" s="578"/>
      <c r="Y263" s="381"/>
      <c r="Z263" s="381"/>
    </row>
    <row r="264" spans="2:26" x14ac:dyDescent="0.35">
      <c r="B264" s="622"/>
      <c r="D264" s="173" t="s">
        <v>517</v>
      </c>
      <c r="E264" s="623"/>
      <c r="F264" s="381" t="s">
        <v>177</v>
      </c>
      <c r="G264" s="600" t="s">
        <v>178</v>
      </c>
      <c r="H264" s="578"/>
      <c r="I264" s="601"/>
      <c r="J264" s="600"/>
      <c r="K264" s="575"/>
      <c r="L264" s="621"/>
      <c r="M264" s="379"/>
      <c r="N264" s="380">
        <v>1</v>
      </c>
      <c r="O264" s="578"/>
      <c r="P264" s="603"/>
      <c r="Q264" s="604"/>
      <c r="R264" s="603"/>
      <c r="S264" s="603"/>
      <c r="T264" s="605"/>
      <c r="U264" s="605"/>
      <c r="V264" s="605"/>
      <c r="W264" s="605"/>
      <c r="X264" s="578"/>
      <c r="Y264" s="381"/>
      <c r="Z264" s="381"/>
    </row>
    <row r="265" spans="2:26" x14ac:dyDescent="0.35">
      <c r="B265" s="622"/>
      <c r="E265" s="623"/>
      <c r="F265" s="381" t="s">
        <v>205</v>
      </c>
      <c r="G265" s="600" t="s">
        <v>195</v>
      </c>
      <c r="H265" s="578"/>
      <c r="I265" s="601"/>
      <c r="J265" s="600"/>
      <c r="K265" s="575"/>
      <c r="L265" s="621"/>
      <c r="M265" s="379">
        <f>1/30</f>
        <v>3.3333333333333333E-2</v>
      </c>
      <c r="N265" s="380">
        <v>1</v>
      </c>
      <c r="O265" s="578"/>
      <c r="P265" s="603"/>
      <c r="Q265" s="604"/>
      <c r="R265" s="603"/>
      <c r="S265" s="603"/>
      <c r="T265" s="605"/>
      <c r="U265" s="605"/>
      <c r="V265" s="605"/>
      <c r="W265" s="605"/>
      <c r="X265" s="578"/>
      <c r="Y265" s="381"/>
      <c r="Z265" s="381"/>
    </row>
    <row r="266" spans="2:26" x14ac:dyDescent="0.35">
      <c r="B266" s="597"/>
      <c r="C266" s="598"/>
      <c r="D266" s="598"/>
      <c r="E266" s="599"/>
      <c r="F266" s="381"/>
      <c r="G266" s="600"/>
      <c r="H266" s="578"/>
      <c r="I266" s="601"/>
      <c r="J266" s="600"/>
      <c r="K266" s="575"/>
      <c r="L266" s="621"/>
      <c r="M266" s="379"/>
      <c r="N266" s="380">
        <v>1</v>
      </c>
      <c r="O266" s="578"/>
      <c r="P266" s="603"/>
      <c r="Q266" s="604"/>
      <c r="R266" s="603"/>
      <c r="S266" s="603"/>
      <c r="T266" s="605"/>
      <c r="U266" s="605"/>
      <c r="V266" s="605"/>
      <c r="W266" s="605"/>
      <c r="X266" s="578"/>
      <c r="Y266" s="381"/>
      <c r="Z266" s="381"/>
    </row>
    <row r="267" spans="2:26" x14ac:dyDescent="0.35">
      <c r="B267" s="622"/>
      <c r="D267" s="173" t="s">
        <v>518</v>
      </c>
      <c r="E267" s="623"/>
      <c r="F267" s="381" t="s">
        <v>177</v>
      </c>
      <c r="G267" s="600" t="s">
        <v>178</v>
      </c>
      <c r="H267" s="578"/>
      <c r="I267" s="601"/>
      <c r="J267" s="600"/>
      <c r="K267" s="575"/>
      <c r="L267" s="621"/>
      <c r="M267" s="379">
        <f>1/30</f>
        <v>3.3333333333333333E-2</v>
      </c>
      <c r="N267" s="380">
        <v>1</v>
      </c>
      <c r="O267" s="578"/>
      <c r="P267" s="603"/>
      <c r="Q267" s="604"/>
      <c r="R267" s="603"/>
      <c r="S267" s="603"/>
      <c r="T267" s="605"/>
      <c r="U267" s="605"/>
      <c r="V267" s="605"/>
      <c r="W267" s="605"/>
      <c r="X267" s="578"/>
      <c r="Y267" s="381"/>
      <c r="Z267" s="381"/>
    </row>
    <row r="268" spans="2:26" x14ac:dyDescent="0.35">
      <c r="B268" s="622"/>
      <c r="E268" s="623"/>
      <c r="F268" s="381" t="s">
        <v>205</v>
      </c>
      <c r="G268" s="600" t="s">
        <v>195</v>
      </c>
      <c r="H268" s="578"/>
      <c r="I268" s="601"/>
      <c r="J268" s="600"/>
      <c r="K268" s="575"/>
      <c r="L268" s="621"/>
      <c r="M268" s="379">
        <f>1/60</f>
        <v>1.6666666666666666E-2</v>
      </c>
      <c r="N268" s="380">
        <v>1</v>
      </c>
      <c r="O268" s="578"/>
      <c r="P268" s="603"/>
      <c r="Q268" s="604"/>
      <c r="R268" s="603"/>
      <c r="S268" s="603"/>
      <c r="T268" s="605"/>
      <c r="U268" s="605"/>
      <c r="V268" s="605"/>
      <c r="W268" s="605"/>
      <c r="X268" s="578"/>
      <c r="Y268" s="381"/>
      <c r="Z268" s="381"/>
    </row>
    <row r="269" spans="2:26" x14ac:dyDescent="0.35">
      <c r="B269" s="597"/>
      <c r="C269" s="598"/>
      <c r="D269" s="598"/>
      <c r="E269" s="599"/>
      <c r="F269" s="381"/>
      <c r="G269" s="600"/>
      <c r="H269" s="578"/>
      <c r="I269" s="601"/>
      <c r="J269" s="600"/>
      <c r="K269" s="575"/>
      <c r="L269" s="621"/>
      <c r="M269" s="379"/>
      <c r="N269" s="380">
        <v>1</v>
      </c>
      <c r="O269" s="578"/>
      <c r="P269" s="603"/>
      <c r="Q269" s="604"/>
      <c r="R269" s="603"/>
      <c r="S269" s="603"/>
      <c r="T269" s="605"/>
      <c r="U269" s="605"/>
      <c r="V269" s="605"/>
      <c r="W269" s="605"/>
      <c r="X269" s="578"/>
      <c r="Y269" s="381"/>
      <c r="Z269" s="381"/>
    </row>
    <row r="270" spans="2:26" x14ac:dyDescent="0.35">
      <c r="B270" s="622"/>
      <c r="D270" s="173" t="s">
        <v>519</v>
      </c>
      <c r="E270" s="623"/>
      <c r="F270" s="381" t="s">
        <v>177</v>
      </c>
      <c r="G270" s="600" t="s">
        <v>178</v>
      </c>
      <c r="H270" s="578"/>
      <c r="I270" s="601"/>
      <c r="J270" s="600"/>
      <c r="K270" s="575"/>
      <c r="L270" s="621"/>
      <c r="M270" s="379"/>
      <c r="N270" s="380">
        <v>1</v>
      </c>
      <c r="O270" s="578"/>
      <c r="P270" s="603"/>
      <c r="Q270" s="604"/>
      <c r="R270" s="603"/>
      <c r="S270" s="603"/>
      <c r="T270" s="605"/>
      <c r="U270" s="605"/>
      <c r="V270" s="605"/>
      <c r="W270" s="605"/>
      <c r="X270" s="578"/>
      <c r="Y270" s="381"/>
      <c r="Z270" s="381"/>
    </row>
    <row r="271" spans="2:26" x14ac:dyDescent="0.35">
      <c r="B271" s="622"/>
      <c r="E271" s="623"/>
      <c r="F271" s="381" t="s">
        <v>282</v>
      </c>
      <c r="G271" s="600" t="s">
        <v>253</v>
      </c>
      <c r="H271" s="578"/>
      <c r="I271" s="601"/>
      <c r="J271" s="600"/>
      <c r="K271" s="575"/>
      <c r="L271" s="621"/>
      <c r="M271" s="379"/>
      <c r="N271" s="380">
        <v>1</v>
      </c>
      <c r="O271" s="578"/>
      <c r="P271" s="603"/>
      <c r="Q271" s="604"/>
      <c r="R271" s="603"/>
      <c r="S271" s="603"/>
      <c r="T271" s="605"/>
      <c r="U271" s="605"/>
      <c r="V271" s="605"/>
      <c r="W271" s="605"/>
      <c r="X271" s="578"/>
      <c r="Y271" s="381"/>
      <c r="Z271" s="381"/>
    </row>
    <row r="272" spans="2:26" x14ac:dyDescent="0.35">
      <c r="B272" s="622"/>
      <c r="E272" s="623"/>
      <c r="F272" s="381" t="s">
        <v>205</v>
      </c>
      <c r="G272" s="600" t="s">
        <v>195</v>
      </c>
      <c r="H272" s="578"/>
      <c r="I272" s="601"/>
      <c r="J272" s="600"/>
      <c r="K272" s="575"/>
      <c r="L272" s="621"/>
      <c r="M272" s="379"/>
      <c r="N272" s="380">
        <v>1</v>
      </c>
      <c r="O272" s="578"/>
      <c r="P272" s="603"/>
      <c r="Q272" s="604"/>
      <c r="R272" s="603"/>
      <c r="S272" s="603"/>
      <c r="T272" s="605"/>
      <c r="U272" s="605"/>
      <c r="V272" s="605"/>
      <c r="W272" s="605"/>
      <c r="X272" s="578"/>
      <c r="Y272" s="381"/>
      <c r="Z272" s="381"/>
    </row>
    <row r="273" spans="2:26" x14ac:dyDescent="0.35">
      <c r="B273" s="624"/>
      <c r="C273" s="170" t="s">
        <v>520</v>
      </c>
      <c r="D273" s="170"/>
      <c r="E273" s="646"/>
      <c r="F273" s="381" t="s">
        <v>177</v>
      </c>
      <c r="G273" s="600" t="s">
        <v>178</v>
      </c>
      <c r="H273" s="578"/>
      <c r="I273" s="601"/>
      <c r="J273" s="600"/>
      <c r="K273" s="575"/>
      <c r="L273" s="621"/>
      <c r="M273" s="379"/>
      <c r="N273" s="380">
        <v>1</v>
      </c>
      <c r="O273" s="578"/>
      <c r="P273" s="603"/>
      <c r="Q273" s="604"/>
      <c r="R273" s="603"/>
      <c r="S273" s="603"/>
      <c r="T273" s="605"/>
      <c r="U273" s="605"/>
      <c r="V273" s="605"/>
      <c r="W273" s="605"/>
      <c r="X273" s="578"/>
      <c r="Y273" s="381"/>
      <c r="Z273" s="381"/>
    </row>
    <row r="274" spans="2:26" x14ac:dyDescent="0.35">
      <c r="B274" s="622"/>
      <c r="E274" s="623"/>
      <c r="F274" s="381" t="s">
        <v>245</v>
      </c>
      <c r="G274" s="600" t="s">
        <v>195</v>
      </c>
      <c r="H274" s="578"/>
      <c r="I274" s="601"/>
      <c r="J274" s="600"/>
      <c r="K274" s="575"/>
      <c r="L274" s="621"/>
      <c r="M274" s="379">
        <f>2/1000</f>
        <v>2E-3</v>
      </c>
      <c r="N274" s="380">
        <v>1</v>
      </c>
      <c r="O274" s="578"/>
      <c r="P274" s="603"/>
      <c r="Q274" s="604"/>
      <c r="R274" s="603"/>
      <c r="S274" s="603"/>
      <c r="T274" s="605"/>
      <c r="U274" s="605"/>
      <c r="V274" s="605"/>
      <c r="W274" s="605"/>
      <c r="X274" s="578"/>
      <c r="Y274" s="381"/>
      <c r="Z274" s="381"/>
    </row>
    <row r="275" spans="2:26" x14ac:dyDescent="0.35">
      <c r="B275" s="622"/>
      <c r="E275" s="623"/>
      <c r="F275" s="381" t="s">
        <v>205</v>
      </c>
      <c r="G275" s="600" t="s">
        <v>195</v>
      </c>
      <c r="H275" s="578"/>
      <c r="I275" s="601"/>
      <c r="J275" s="600"/>
      <c r="K275" s="575"/>
      <c r="L275" s="621"/>
      <c r="M275" s="379"/>
      <c r="N275" s="380">
        <v>1</v>
      </c>
      <c r="O275" s="578"/>
      <c r="P275" s="603"/>
      <c r="Q275" s="604"/>
      <c r="R275" s="603"/>
      <c r="S275" s="603"/>
      <c r="T275" s="605"/>
      <c r="U275" s="605"/>
      <c r="V275" s="605"/>
      <c r="W275" s="605"/>
      <c r="X275" s="578"/>
      <c r="Y275" s="381"/>
      <c r="Z275" s="381"/>
    </row>
    <row r="276" spans="2:26" x14ac:dyDescent="0.35">
      <c r="B276" s="624"/>
      <c r="C276" s="170" t="s">
        <v>521</v>
      </c>
      <c r="D276" s="170"/>
      <c r="E276" s="646"/>
      <c r="F276" s="381" t="s">
        <v>177</v>
      </c>
      <c r="G276" s="600" t="s">
        <v>178</v>
      </c>
      <c r="H276" s="578"/>
      <c r="I276" s="601"/>
      <c r="J276" s="600"/>
      <c r="K276" s="575"/>
      <c r="L276" s="621"/>
      <c r="M276" s="379"/>
      <c r="N276" s="380">
        <v>1</v>
      </c>
      <c r="O276" s="578"/>
      <c r="P276" s="603"/>
      <c r="Q276" s="604"/>
      <c r="R276" s="603"/>
      <c r="S276" s="603"/>
      <c r="T276" s="605"/>
      <c r="U276" s="605"/>
      <c r="V276" s="605"/>
      <c r="W276" s="605"/>
      <c r="X276" s="578"/>
      <c r="Y276" s="381"/>
      <c r="Z276" s="381"/>
    </row>
    <row r="277" spans="2:26" x14ac:dyDescent="0.35">
      <c r="B277" s="597"/>
      <c r="C277" s="598"/>
      <c r="D277" s="598"/>
      <c r="E277" s="599"/>
      <c r="F277" s="381"/>
      <c r="G277" s="600"/>
      <c r="H277" s="578"/>
      <c r="I277" s="601"/>
      <c r="J277" s="600"/>
      <c r="K277" s="575"/>
      <c r="L277" s="621"/>
      <c r="M277" s="379"/>
      <c r="N277" s="380">
        <v>1</v>
      </c>
      <c r="O277" s="578"/>
      <c r="P277" s="603"/>
      <c r="Q277" s="604"/>
      <c r="R277" s="603"/>
      <c r="S277" s="603"/>
      <c r="T277" s="605"/>
      <c r="U277" s="605"/>
      <c r="V277" s="605"/>
      <c r="W277" s="605"/>
      <c r="X277" s="578"/>
      <c r="Y277" s="381"/>
      <c r="Z277" s="381"/>
    </row>
    <row r="278" spans="2:26" x14ac:dyDescent="0.35">
      <c r="B278" s="622"/>
      <c r="C278" s="173" t="s">
        <v>522</v>
      </c>
      <c r="E278" s="623"/>
      <c r="F278" s="381" t="s">
        <v>177</v>
      </c>
      <c r="G278" s="600" t="s">
        <v>178</v>
      </c>
      <c r="H278" s="578"/>
      <c r="I278" s="601"/>
      <c r="J278" s="600"/>
      <c r="K278" s="575"/>
      <c r="L278" s="621"/>
      <c r="M278" s="379"/>
      <c r="N278" s="380">
        <v>1</v>
      </c>
      <c r="O278" s="578"/>
      <c r="P278" s="603"/>
      <c r="Q278" s="604"/>
      <c r="R278" s="603"/>
      <c r="S278" s="603"/>
      <c r="T278" s="605"/>
      <c r="U278" s="605"/>
      <c r="V278" s="605"/>
      <c r="W278" s="605"/>
      <c r="X278" s="578"/>
      <c r="Y278" s="381"/>
      <c r="Z278" s="381"/>
    </row>
    <row r="279" spans="2:26" x14ac:dyDescent="0.35">
      <c r="B279" s="622"/>
      <c r="E279" s="623"/>
      <c r="F279" s="381" t="s">
        <v>523</v>
      </c>
      <c r="G279" s="600" t="s">
        <v>253</v>
      </c>
      <c r="H279" s="578"/>
      <c r="I279" s="601"/>
      <c r="J279" s="600"/>
      <c r="K279" s="575"/>
      <c r="L279" s="621"/>
      <c r="M279" s="379"/>
      <c r="N279" s="380">
        <v>1</v>
      </c>
      <c r="O279" s="578"/>
      <c r="P279" s="603"/>
      <c r="Q279" s="604"/>
      <c r="R279" s="603"/>
      <c r="S279" s="603"/>
      <c r="T279" s="605"/>
      <c r="U279" s="605"/>
      <c r="V279" s="605"/>
      <c r="W279" s="605"/>
      <c r="X279" s="578"/>
      <c r="Y279" s="381"/>
      <c r="Z279" s="381"/>
    </row>
    <row r="280" spans="2:26" x14ac:dyDescent="0.35">
      <c r="B280" s="597"/>
      <c r="C280" s="598"/>
      <c r="D280" s="598"/>
      <c r="E280" s="599"/>
      <c r="F280" s="381"/>
      <c r="G280" s="600"/>
      <c r="H280" s="578"/>
      <c r="I280" s="601"/>
      <c r="J280" s="600"/>
      <c r="K280" s="575"/>
      <c r="L280" s="621"/>
      <c r="M280" s="379"/>
      <c r="N280" s="380">
        <v>1</v>
      </c>
      <c r="O280" s="578"/>
      <c r="P280" s="603"/>
      <c r="Q280" s="604"/>
      <c r="R280" s="603"/>
      <c r="S280" s="603"/>
      <c r="T280" s="605"/>
      <c r="U280" s="605"/>
      <c r="V280" s="605"/>
      <c r="W280" s="605"/>
      <c r="X280" s="578"/>
      <c r="Y280" s="381"/>
      <c r="Z280" s="381"/>
    </row>
    <row r="281" spans="2:26" customFormat="1" x14ac:dyDescent="0.35">
      <c r="B281" s="660" t="s">
        <v>524</v>
      </c>
      <c r="C281" s="729"/>
      <c r="D281" s="729"/>
      <c r="E281" s="730"/>
      <c r="F281" s="532"/>
      <c r="G281" s="587"/>
      <c r="H281" s="588"/>
      <c r="I281" s="589"/>
      <c r="J281" s="587"/>
      <c r="K281" s="590"/>
      <c r="L281" s="591"/>
      <c r="M281" s="543"/>
      <c r="N281" s="544"/>
      <c r="O281" s="588"/>
      <c r="P281" s="592"/>
      <c r="Q281" s="663">
        <f>Q232+Q259</f>
        <v>0</v>
      </c>
      <c r="R281" s="592"/>
      <c r="S281" s="731">
        <f>SUM(S270:S280)</f>
        <v>0</v>
      </c>
      <c r="T281" s="594"/>
      <c r="U281" s="594"/>
      <c r="V281" s="594"/>
      <c r="W281" s="594"/>
      <c r="X281" s="588"/>
      <c r="Y281" s="426">
        <f>Q281/192.08</f>
        <v>0</v>
      </c>
      <c r="Z281" s="426">
        <f>Q281/5127997141.07*100</f>
        <v>0</v>
      </c>
    </row>
    <row r="282" spans="2:26" x14ac:dyDescent="0.35">
      <c r="B282" s="641" t="s">
        <v>284</v>
      </c>
      <c r="C282" s="601"/>
      <c r="D282" s="601"/>
      <c r="E282" s="642"/>
      <c r="F282" s="381"/>
      <c r="G282" s="600"/>
      <c r="H282" s="578"/>
      <c r="I282" s="601"/>
      <c r="J282" s="600"/>
      <c r="K282" s="575"/>
      <c r="L282" s="621"/>
      <c r="M282" s="379"/>
      <c r="N282" s="380"/>
      <c r="O282" s="578"/>
      <c r="P282" s="603"/>
      <c r="Q282" s="604"/>
      <c r="R282" s="603"/>
      <c r="S282" s="603"/>
      <c r="T282" s="605"/>
      <c r="U282" s="605"/>
      <c r="V282" s="605"/>
      <c r="W282" s="605"/>
      <c r="X282" s="578"/>
      <c r="Y282" s="381"/>
      <c r="Z282" s="381"/>
    </row>
    <row r="283" spans="2:26" x14ac:dyDescent="0.35">
      <c r="B283" s="622"/>
      <c r="C283" s="173" t="s">
        <v>113</v>
      </c>
      <c r="E283" s="623"/>
      <c r="F283" s="381" t="s">
        <v>177</v>
      </c>
      <c r="G283" s="600" t="s">
        <v>178</v>
      </c>
      <c r="H283" s="578"/>
      <c r="I283" s="601"/>
      <c r="J283" s="600"/>
      <c r="K283" s="738">
        <v>0</v>
      </c>
      <c r="L283" s="682">
        <f>192.08*136</f>
        <v>26122.880000000001</v>
      </c>
      <c r="M283" s="739">
        <v>0.33333333333333331</v>
      </c>
      <c r="N283" s="739">
        <v>1</v>
      </c>
      <c r="O283" s="740">
        <f>K283*L283*M283*N283</f>
        <v>0</v>
      </c>
      <c r="P283" s="261">
        <v>169122.61109699999</v>
      </c>
      <c r="Q283" s="604">
        <f>P283*$O283</f>
        <v>0</v>
      </c>
      <c r="R283" s="603"/>
      <c r="S283" s="603"/>
      <c r="T283" s="605"/>
      <c r="U283" s="605"/>
      <c r="V283" s="605"/>
      <c r="W283" s="605"/>
      <c r="X283" s="578"/>
      <c r="Y283" s="775">
        <f>Q283/192.08</f>
        <v>0</v>
      </c>
      <c r="Z283" s="381"/>
    </row>
    <row r="284" spans="2:26" x14ac:dyDescent="0.35">
      <c r="B284" s="622"/>
      <c r="D284" s="598"/>
      <c r="E284" s="599"/>
      <c r="F284" s="381"/>
      <c r="G284" s="600"/>
      <c r="H284" s="578"/>
      <c r="I284" s="601"/>
      <c r="J284" s="600"/>
      <c r="K284" s="747"/>
      <c r="L284" s="748"/>
      <c r="M284" s="739"/>
      <c r="N284" s="739">
        <v>1</v>
      </c>
      <c r="O284" s="749"/>
      <c r="P284" s="603"/>
      <c r="Q284" s="604"/>
      <c r="R284" s="603"/>
      <c r="S284" s="603"/>
      <c r="T284" s="605"/>
      <c r="U284" s="605"/>
      <c r="V284" s="605"/>
      <c r="W284" s="605"/>
      <c r="X284" s="578"/>
      <c r="Y284" s="775">
        <f>Q284/192.08</f>
        <v>0</v>
      </c>
      <c r="Z284" s="381"/>
    </row>
    <row r="285" spans="2:26" x14ac:dyDescent="0.35">
      <c r="B285" s="622"/>
      <c r="D285" s="173" t="s">
        <v>115</v>
      </c>
      <c r="E285" s="623"/>
      <c r="F285" s="381" t="s">
        <v>177</v>
      </c>
      <c r="G285" s="600" t="s">
        <v>178</v>
      </c>
      <c r="H285" s="578"/>
      <c r="I285" s="601"/>
      <c r="J285" s="600"/>
      <c r="K285" s="738">
        <v>0</v>
      </c>
      <c r="L285" s="682">
        <f>192.08*136</f>
        <v>26122.880000000001</v>
      </c>
      <c r="M285" s="739">
        <v>0.33333333333333331</v>
      </c>
      <c r="N285" s="739">
        <v>1</v>
      </c>
      <c r="O285" s="740">
        <f>K285*L285*M285*N285</f>
        <v>0</v>
      </c>
      <c r="P285" s="261">
        <v>169122.61109699999</v>
      </c>
      <c r="Q285" s="604">
        <f>P285*$O285</f>
        <v>0</v>
      </c>
      <c r="R285" s="603"/>
      <c r="S285" s="603"/>
      <c r="T285" s="605"/>
      <c r="U285" s="605"/>
      <c r="V285" s="605"/>
      <c r="W285" s="605"/>
      <c r="X285" s="578"/>
      <c r="Y285" s="775">
        <f>Q285/192.08</f>
        <v>0</v>
      </c>
      <c r="Z285" s="381"/>
    </row>
    <row r="286" spans="2:26" x14ac:dyDescent="0.35">
      <c r="B286" s="597"/>
      <c r="C286" s="598"/>
      <c r="D286" s="598"/>
      <c r="E286" s="599"/>
      <c r="F286" s="381"/>
      <c r="G286" s="600"/>
      <c r="H286" s="578"/>
      <c r="I286" s="601"/>
      <c r="J286" s="600"/>
      <c r="K286" s="575"/>
      <c r="L286" s="621"/>
      <c r="M286" s="379"/>
      <c r="N286" s="380">
        <v>1</v>
      </c>
      <c r="O286" s="578"/>
      <c r="P286" s="603"/>
      <c r="Q286" s="604"/>
      <c r="R286" s="603"/>
      <c r="S286" s="603"/>
      <c r="T286" s="605"/>
      <c r="U286" s="605"/>
      <c r="V286" s="605"/>
      <c r="W286" s="605"/>
      <c r="X286" s="578"/>
      <c r="Y286" s="381"/>
      <c r="Z286" s="381"/>
    </row>
    <row r="287" spans="2:26" x14ac:dyDescent="0.35">
      <c r="B287" s="622"/>
      <c r="C287" s="173" t="s">
        <v>286</v>
      </c>
      <c r="E287" s="623"/>
      <c r="F287" s="381" t="s">
        <v>177</v>
      </c>
      <c r="G287" s="600" t="s">
        <v>178</v>
      </c>
      <c r="H287" s="578"/>
      <c r="I287" s="601"/>
      <c r="J287" s="600"/>
      <c r="K287" s="575"/>
      <c r="L287" s="621"/>
      <c r="M287" s="379">
        <f>1/3</f>
        <v>0.33333333333333331</v>
      </c>
      <c r="N287" s="380">
        <v>1</v>
      </c>
      <c r="O287" s="578"/>
      <c r="P287" s="603"/>
      <c r="Q287" s="604"/>
      <c r="R287" s="603"/>
      <c r="S287" s="603"/>
      <c r="T287" s="605"/>
      <c r="U287" s="605"/>
      <c r="V287" s="605"/>
      <c r="W287" s="605"/>
      <c r="X287" s="578"/>
      <c r="Y287" s="381"/>
      <c r="Z287" s="381"/>
    </row>
    <row r="288" spans="2:26" x14ac:dyDescent="0.35">
      <c r="B288" s="597"/>
      <c r="C288" s="598"/>
      <c r="D288" s="598"/>
      <c r="E288" s="599"/>
      <c r="F288" s="381"/>
      <c r="G288" s="600"/>
      <c r="H288" s="578"/>
      <c r="I288" s="601"/>
      <c r="J288" s="600"/>
      <c r="K288" s="575"/>
      <c r="L288" s="621"/>
      <c r="M288" s="379"/>
      <c r="N288" s="380">
        <v>1</v>
      </c>
      <c r="O288" s="578"/>
      <c r="P288" s="603"/>
      <c r="Q288" s="604"/>
      <c r="R288" s="603"/>
      <c r="S288" s="603"/>
      <c r="T288" s="605"/>
      <c r="U288" s="605"/>
      <c r="V288" s="605"/>
      <c r="W288" s="605"/>
      <c r="X288" s="578"/>
      <c r="Y288" s="381"/>
      <c r="Z288" s="381"/>
    </row>
    <row r="289" spans="2:26" x14ac:dyDescent="0.35">
      <c r="B289" s="622"/>
      <c r="C289" s="173" t="s">
        <v>525</v>
      </c>
      <c r="E289" s="623"/>
      <c r="F289" s="381" t="s">
        <v>177</v>
      </c>
      <c r="G289" s="600" t="s">
        <v>178</v>
      </c>
      <c r="H289" s="578"/>
      <c r="I289" s="601"/>
      <c r="J289" s="600"/>
      <c r="K289" s="575"/>
      <c r="L289" s="621"/>
      <c r="M289" s="379"/>
      <c r="N289" s="380">
        <v>1</v>
      </c>
      <c r="O289" s="578"/>
      <c r="P289" s="603"/>
      <c r="Q289" s="604"/>
      <c r="R289" s="603"/>
      <c r="S289" s="603"/>
      <c r="T289" s="605"/>
      <c r="U289" s="605"/>
      <c r="V289" s="605"/>
      <c r="W289" s="605"/>
      <c r="X289" s="578"/>
      <c r="Y289" s="381"/>
      <c r="Z289" s="381"/>
    </row>
    <row r="290" spans="2:26" x14ac:dyDescent="0.35">
      <c r="B290" s="597"/>
      <c r="C290" s="598"/>
      <c r="D290" s="598"/>
      <c r="E290" s="599"/>
      <c r="F290" s="381"/>
      <c r="G290" s="600"/>
      <c r="H290" s="578"/>
      <c r="I290" s="601"/>
      <c r="J290" s="600"/>
      <c r="K290" s="575"/>
      <c r="L290" s="621"/>
      <c r="M290" s="379"/>
      <c r="N290" s="380">
        <v>1</v>
      </c>
      <c r="O290" s="578"/>
      <c r="P290" s="603"/>
      <c r="Q290" s="604"/>
      <c r="R290" s="603"/>
      <c r="S290" s="603"/>
      <c r="T290" s="605"/>
      <c r="U290" s="605"/>
      <c r="V290" s="605"/>
      <c r="W290" s="605"/>
      <c r="X290" s="578"/>
      <c r="Y290" s="381"/>
      <c r="Z290" s="381"/>
    </row>
    <row r="291" spans="2:26" customFormat="1" x14ac:dyDescent="0.35">
      <c r="B291" s="660" t="s">
        <v>526</v>
      </c>
      <c r="C291" s="729"/>
      <c r="D291" s="729"/>
      <c r="E291" s="730"/>
      <c r="F291" s="532"/>
      <c r="G291" s="587"/>
      <c r="H291" s="588"/>
      <c r="I291" s="589"/>
      <c r="J291" s="587"/>
      <c r="K291" s="590"/>
      <c r="L291" s="591"/>
      <c r="M291" s="543"/>
      <c r="N291" s="544"/>
      <c r="O291" s="588"/>
      <c r="P291" s="592"/>
      <c r="Q291" s="663">
        <f>SUM(Q282:Q290)</f>
        <v>0</v>
      </c>
      <c r="R291" s="592"/>
      <c r="S291" s="731">
        <f>SUM(S280:S290)</f>
        <v>0</v>
      </c>
      <c r="T291" s="594"/>
      <c r="U291" s="594"/>
      <c r="V291" s="594"/>
      <c r="W291" s="594"/>
      <c r="X291" s="588"/>
      <c r="Y291" s="426">
        <f>Q291/192.08</f>
        <v>0</v>
      </c>
      <c r="Z291" s="426">
        <f>Q291/5127997141.07*100</f>
        <v>0</v>
      </c>
    </row>
    <row r="292" spans="2:26" x14ac:dyDescent="0.35">
      <c r="B292" s="641" t="s">
        <v>527</v>
      </c>
      <c r="C292" s="601"/>
      <c r="D292" s="601"/>
      <c r="E292" s="642"/>
      <c r="F292" s="381"/>
      <c r="G292" s="600"/>
      <c r="H292" s="578"/>
      <c r="I292" s="601"/>
      <c r="J292" s="600"/>
      <c r="K292" s="575"/>
      <c r="L292" s="621"/>
      <c r="M292" s="379"/>
      <c r="N292" s="380"/>
      <c r="O292" s="578"/>
      <c r="P292" s="603"/>
      <c r="Q292" s="604"/>
      <c r="R292" s="603"/>
      <c r="S292" s="603"/>
      <c r="T292" s="605"/>
      <c r="U292" s="605"/>
      <c r="V292" s="605"/>
      <c r="W292" s="605"/>
      <c r="X292" s="578"/>
      <c r="Y292" s="381"/>
      <c r="Z292" s="381"/>
    </row>
    <row r="293" spans="2:26" x14ac:dyDescent="0.35">
      <c r="B293" s="622"/>
      <c r="C293" s="173" t="s">
        <v>118</v>
      </c>
      <c r="E293" s="623"/>
      <c r="F293" s="381" t="s">
        <v>177</v>
      </c>
      <c r="G293" s="600" t="s">
        <v>178</v>
      </c>
      <c r="H293" s="578"/>
      <c r="I293" s="601"/>
      <c r="J293" s="600" t="s">
        <v>179</v>
      </c>
      <c r="K293" s="602">
        <v>1</v>
      </c>
      <c r="L293" s="621">
        <v>45.36</v>
      </c>
      <c r="M293" s="379">
        <v>0.5</v>
      </c>
      <c r="N293" s="380">
        <v>3</v>
      </c>
      <c r="O293" s="500">
        <f>K293*L293*M293*N293</f>
        <v>68.039999999999992</v>
      </c>
      <c r="P293" s="261">
        <v>180115.58081830497</v>
      </c>
      <c r="Q293" s="604">
        <f>P293*$O293</f>
        <v>12255064.118877469</v>
      </c>
      <c r="R293" s="380">
        <v>179635.86432000002</v>
      </c>
      <c r="S293" s="603">
        <f>R293*$O293</f>
        <v>12222424.208332799</v>
      </c>
      <c r="T293" s="380">
        <v>197599.45075200003</v>
      </c>
      <c r="U293" s="605">
        <f>$O293*T293</f>
        <v>13444666.629166082</v>
      </c>
      <c r="V293" s="380">
        <f>W293/O293</f>
        <v>185783.63196343504</v>
      </c>
      <c r="W293" s="267">
        <f>AVERAGEIF($P$3:$U$3,W$3,$P293:$U293)</f>
        <v>12640718.318792118</v>
      </c>
      <c r="X293" s="578"/>
      <c r="Y293" s="775">
        <f>Q293/$D$1</f>
        <v>270173.37122745742</v>
      </c>
      <c r="Z293" s="381"/>
    </row>
    <row r="294" spans="2:26" x14ac:dyDescent="0.35">
      <c r="B294" s="622"/>
      <c r="E294" s="623"/>
      <c r="F294" s="381" t="s">
        <v>391</v>
      </c>
      <c r="G294" s="600" t="s">
        <v>181</v>
      </c>
      <c r="H294" s="578"/>
      <c r="I294" s="601"/>
      <c r="J294" s="600" t="s">
        <v>179</v>
      </c>
      <c r="K294" s="602">
        <v>1</v>
      </c>
      <c r="L294" s="621">
        <v>45.36</v>
      </c>
      <c r="M294" s="379">
        <v>0.186</v>
      </c>
      <c r="N294" s="380">
        <v>3</v>
      </c>
      <c r="O294" s="500">
        <f>K294*L294*M294*N294</f>
        <v>25.310879999999997</v>
      </c>
      <c r="P294" s="261">
        <v>39674.123999999996</v>
      </c>
      <c r="Q294" s="604">
        <f>P294*$O294</f>
        <v>1004186.9916691198</v>
      </c>
      <c r="R294" s="380">
        <v>43184.235801600007</v>
      </c>
      <c r="S294" s="603">
        <f>R294*$O294</f>
        <v>1093031.0102660016</v>
      </c>
      <c r="T294" s="380">
        <v>46207.132307712011</v>
      </c>
      <c r="U294" s="605">
        <f>$O294*T294</f>
        <v>1169543.1809846216</v>
      </c>
      <c r="V294" s="380">
        <f>W294/O294</f>
        <v>43021.830703104017</v>
      </c>
      <c r="W294" s="267">
        <f>AVERAGEIF($P$3:$U$3,W$3,$P294:$U294)</f>
        <v>1088920.3943065812</v>
      </c>
      <c r="X294" s="578"/>
      <c r="Y294" s="775">
        <f>Q294/$D$1</f>
        <v>22138.161191999996</v>
      </c>
      <c r="Z294" s="381"/>
    </row>
    <row r="295" spans="2:26" x14ac:dyDescent="0.35">
      <c r="B295" s="597"/>
      <c r="C295" s="598"/>
      <c r="D295" s="598"/>
      <c r="E295" s="599"/>
      <c r="F295" s="381"/>
      <c r="G295" s="600"/>
      <c r="H295" s="578"/>
      <c r="I295" s="601"/>
      <c r="J295" s="600"/>
      <c r="K295" s="575"/>
      <c r="L295" s="621"/>
      <c r="M295" s="379"/>
      <c r="N295" s="380"/>
      <c r="O295" s="578"/>
      <c r="P295" s="603"/>
      <c r="Q295" s="604"/>
      <c r="R295" s="603"/>
      <c r="S295" s="603"/>
      <c r="T295" s="605"/>
      <c r="U295" s="605"/>
      <c r="V295" s="605"/>
      <c r="W295" s="605"/>
      <c r="X295" s="578"/>
      <c r="Y295" s="381"/>
      <c r="Z295" s="381"/>
    </row>
    <row r="296" spans="2:26" customFormat="1" x14ac:dyDescent="0.35">
      <c r="B296" s="606" t="s">
        <v>529</v>
      </c>
      <c r="C296" s="716"/>
      <c r="D296" s="716"/>
      <c r="E296" s="717"/>
      <c r="F296" s="609"/>
      <c r="G296" s="610"/>
      <c r="H296" s="611"/>
      <c r="I296" s="612"/>
      <c r="J296" s="610"/>
      <c r="K296" s="613"/>
      <c r="L296" s="614"/>
      <c r="M296" s="615"/>
      <c r="N296" s="616"/>
      <c r="O296" s="611"/>
      <c r="P296" s="617"/>
      <c r="Q296" s="618">
        <f>SUM(Q293:Q295)</f>
        <v>13259251.110546589</v>
      </c>
      <c r="R296" s="617"/>
      <c r="S296" s="718">
        <f>SUM(S285:S295)</f>
        <v>13315455.218598802</v>
      </c>
      <c r="T296" s="776"/>
      <c r="U296" s="776"/>
      <c r="V296" s="776"/>
      <c r="W296" s="776"/>
      <c r="X296" s="611"/>
      <c r="Y296" s="619">
        <f>Q296/$D$1</f>
        <v>292311.53241945745</v>
      </c>
      <c r="Z296" s="619">
        <f>Q296/$Q$424*100</f>
        <v>1.561015687104671</v>
      </c>
    </row>
    <row r="297" spans="2:26" x14ac:dyDescent="0.35">
      <c r="B297" s="622"/>
      <c r="C297" s="173" t="s">
        <v>530</v>
      </c>
      <c r="E297" s="623"/>
      <c r="F297" s="381" t="s">
        <v>177</v>
      </c>
      <c r="G297" s="600" t="s">
        <v>178</v>
      </c>
      <c r="H297" s="578"/>
      <c r="I297" s="601"/>
      <c r="J297" s="600"/>
      <c r="K297" s="575"/>
      <c r="L297" s="621"/>
      <c r="M297" s="379"/>
      <c r="N297" s="380"/>
      <c r="O297" s="578"/>
      <c r="P297" s="603"/>
      <c r="Q297" s="604"/>
      <c r="R297" s="603"/>
      <c r="S297" s="603"/>
      <c r="T297" s="605"/>
      <c r="U297" s="605"/>
      <c r="V297" s="605"/>
      <c r="W297" s="605"/>
      <c r="X297" s="578"/>
      <c r="Y297" s="381"/>
      <c r="Z297" s="381"/>
    </row>
    <row r="298" spans="2:26" x14ac:dyDescent="0.35">
      <c r="B298" s="597"/>
      <c r="C298" s="598"/>
      <c r="D298" s="598"/>
      <c r="E298" s="599"/>
      <c r="F298" s="381"/>
      <c r="G298" s="600"/>
      <c r="H298" s="578"/>
      <c r="I298" s="601"/>
      <c r="J298" s="600"/>
      <c r="K298" s="575"/>
      <c r="L298" s="621"/>
      <c r="M298" s="379"/>
      <c r="N298" s="380"/>
      <c r="O298" s="578"/>
      <c r="P298" s="603"/>
      <c r="Q298" s="604"/>
      <c r="R298" s="603"/>
      <c r="S298" s="603"/>
      <c r="T298" s="605"/>
      <c r="U298" s="605"/>
      <c r="V298" s="605"/>
      <c r="W298" s="605"/>
      <c r="X298" s="578"/>
      <c r="Y298" s="381"/>
      <c r="Z298" s="381"/>
    </row>
    <row r="299" spans="2:26" x14ac:dyDescent="0.35">
      <c r="B299" s="622"/>
      <c r="C299" s="173" t="s">
        <v>120</v>
      </c>
      <c r="E299" s="623"/>
      <c r="F299" s="151" t="s">
        <v>177</v>
      </c>
      <c r="G299" s="316" t="s">
        <v>178</v>
      </c>
      <c r="H299" s="317"/>
      <c r="I299" s="318"/>
      <c r="J299" s="316" t="s">
        <v>179</v>
      </c>
      <c r="K299" s="602">
        <v>0.1</v>
      </c>
      <c r="L299" s="621">
        <v>45.36</v>
      </c>
      <c r="M299" s="379">
        <v>0.1</v>
      </c>
      <c r="N299" s="259">
        <v>6</v>
      </c>
      <c r="O299" s="520">
        <f>K299*L299*M299*N299</f>
        <v>2.7216000000000005</v>
      </c>
      <c r="P299" s="261">
        <v>180115.58081830497</v>
      </c>
      <c r="Q299" s="604">
        <f t="shared" ref="Q299:Q307" si="45">P299*$O299</f>
        <v>490202.56475509889</v>
      </c>
      <c r="R299" s="380">
        <v>179635.86432000002</v>
      </c>
      <c r="S299" s="603">
        <f>R299*$O299</f>
        <v>488896.96833331214</v>
      </c>
      <c r="T299" s="380">
        <v>197599.45075200003</v>
      </c>
      <c r="U299" s="605">
        <f>$O299*T299</f>
        <v>537786.66516664333</v>
      </c>
      <c r="V299" s="380">
        <f>W299/O299</f>
        <v>185783.63196343498</v>
      </c>
      <c r="W299" s="267">
        <f>AVERAGEIF($P$3:$U$3,W$3,$P299:$U299)</f>
        <v>505628.73275168473</v>
      </c>
      <c r="X299" s="578"/>
      <c r="Y299" s="775">
        <f t="shared" ref="Y299:Y307" si="46">Q299/$D$1</f>
        <v>10806.934849098301</v>
      </c>
      <c r="Z299" s="381"/>
    </row>
    <row r="300" spans="2:26" x14ac:dyDescent="0.35">
      <c r="B300" s="622"/>
      <c r="E300" s="623"/>
      <c r="F300" s="151" t="s">
        <v>388</v>
      </c>
      <c r="G300" s="316" t="s">
        <v>222</v>
      </c>
      <c r="H300" s="317"/>
      <c r="I300" s="318"/>
      <c r="J300" s="316" t="s">
        <v>179</v>
      </c>
      <c r="K300" s="602">
        <v>0.1</v>
      </c>
      <c r="L300" s="621">
        <v>45.36</v>
      </c>
      <c r="M300" s="379">
        <v>0.1</v>
      </c>
      <c r="N300" s="259">
        <v>1</v>
      </c>
      <c r="O300" s="520">
        <f>K300*L300*M300*N300</f>
        <v>0.45360000000000006</v>
      </c>
      <c r="P300" s="261">
        <v>130180.71937500002</v>
      </c>
      <c r="Q300" s="604">
        <f t="shared" si="45"/>
        <v>59049.974308500015</v>
      </c>
      <c r="R300" s="380">
        <v>131202.10530000002</v>
      </c>
      <c r="S300" s="603">
        <f>R300*$O300</f>
        <v>59513.274964080018</v>
      </c>
      <c r="T300" s="380">
        <v>140386.25267100002</v>
      </c>
      <c r="U300" s="605">
        <f>$O300*T300</f>
        <v>63679.204211565622</v>
      </c>
      <c r="V300" s="380">
        <f>W300/O300</f>
        <v>133923.02578200001</v>
      </c>
      <c r="W300" s="267">
        <f>AVERAGEIF($P$3:$U$3,W$3,$P300:$U300)</f>
        <v>60747.484494715209</v>
      </c>
      <c r="X300" s="578"/>
      <c r="Y300" s="775">
        <f t="shared" si="46"/>
        <v>1301.8071937500004</v>
      </c>
      <c r="Z300" s="381"/>
    </row>
    <row r="301" spans="2:26" x14ac:dyDescent="0.35">
      <c r="B301" s="622"/>
      <c r="E301" s="623"/>
      <c r="F301" s="151" t="s">
        <v>226</v>
      </c>
      <c r="G301" s="316" t="s">
        <v>222</v>
      </c>
      <c r="H301" s="317"/>
      <c r="I301" s="318"/>
      <c r="J301" s="316" t="s">
        <v>179</v>
      </c>
      <c r="K301" s="602">
        <v>0.1</v>
      </c>
      <c r="L301" s="621">
        <v>45.36</v>
      </c>
      <c r="M301" s="379">
        <v>0.1</v>
      </c>
      <c r="N301" s="259">
        <v>6</v>
      </c>
      <c r="O301" s="520">
        <f>K301*L301*M301*N301</f>
        <v>2.7216000000000005</v>
      </c>
      <c r="P301" s="261">
        <v>4759.9254973124989</v>
      </c>
      <c r="Q301" s="604">
        <f t="shared" si="45"/>
        <v>12954.613233485699</v>
      </c>
      <c r="R301" s="380">
        <v>4849.8912000000009</v>
      </c>
      <c r="S301" s="603">
        <f>R301*$O301</f>
        <v>13199.463889920005</v>
      </c>
      <c r="T301" s="380">
        <v>5237.8824960000011</v>
      </c>
      <c r="U301" s="605">
        <f>O301*T301</f>
        <v>14255.421001113606</v>
      </c>
      <c r="V301" s="380">
        <f>W301/O301</f>
        <v>4949.2330644374997</v>
      </c>
      <c r="W301" s="267">
        <f>AVERAGEIF($P$3:$U$3,W$3,$P301:$U301)</f>
        <v>13469.832708173102</v>
      </c>
      <c r="X301" s="578"/>
      <c r="Y301" s="775">
        <f t="shared" si="46"/>
        <v>285.59552983875</v>
      </c>
      <c r="Z301" s="381"/>
    </row>
    <row r="302" spans="2:26" x14ac:dyDescent="0.35">
      <c r="B302" s="622"/>
      <c r="E302" s="623"/>
      <c r="F302" s="151" t="s">
        <v>227</v>
      </c>
      <c r="G302" s="316" t="s">
        <v>183</v>
      </c>
      <c r="H302" s="317">
        <v>4</v>
      </c>
      <c r="I302" s="318"/>
      <c r="J302" s="316" t="s">
        <v>179</v>
      </c>
      <c r="K302" s="602">
        <v>0.1</v>
      </c>
      <c r="L302" s="621">
        <v>45.36</v>
      </c>
      <c r="M302" s="379">
        <f>((M$299*N$299)/240*($H302/N302))</f>
        <v>1.0000000000000002E-2</v>
      </c>
      <c r="N302" s="259">
        <v>1</v>
      </c>
      <c r="O302" s="520">
        <f t="shared" ref="O302:O307" si="47">K302*L302*M302*N302</f>
        <v>4.5360000000000011E-2</v>
      </c>
      <c r="P302" s="261">
        <v>52072.287750000003</v>
      </c>
      <c r="Q302" s="604">
        <f t="shared" si="45"/>
        <v>2361.9989723400008</v>
      </c>
      <c r="R302" s="380">
        <v>53966.062080000011</v>
      </c>
      <c r="S302" s="603">
        <f>R302*$O302</f>
        <v>2447.9005759488009</v>
      </c>
      <c r="T302" s="380">
        <v>58283.347046400013</v>
      </c>
      <c r="U302" s="605">
        <f>O302*T302</f>
        <v>2643.7326220247051</v>
      </c>
      <c r="V302" s="380">
        <f>W302/O302</f>
        <v>54773.898958800004</v>
      </c>
      <c r="W302" s="267">
        <f>AVERAGEIF($P$3:$U$3,W$3,$P302:$U302)</f>
        <v>2484.5440567711689</v>
      </c>
      <c r="X302" s="578"/>
      <c r="Y302" s="775">
        <f t="shared" si="46"/>
        <v>52.072287750000015</v>
      </c>
      <c r="Z302" s="381"/>
    </row>
    <row r="303" spans="2:26" x14ac:dyDescent="0.35">
      <c r="B303" s="622"/>
      <c r="E303" s="623"/>
      <c r="F303" s="151" t="s">
        <v>220</v>
      </c>
      <c r="G303" s="316"/>
      <c r="H303" s="317"/>
      <c r="I303" s="318"/>
      <c r="J303" s="316"/>
      <c r="K303" s="602">
        <v>0.1</v>
      </c>
      <c r="L303" s="621">
        <v>45.36</v>
      </c>
      <c r="M303" s="379">
        <v>6.2500000000000003E-3</v>
      </c>
      <c r="N303" s="259">
        <v>1</v>
      </c>
      <c r="O303" s="520">
        <f t="shared" si="47"/>
        <v>2.8350000000000004E-2</v>
      </c>
      <c r="P303" s="261">
        <v>1660951.0021781253</v>
      </c>
      <c r="Q303" s="604">
        <f t="shared" si="45"/>
        <v>47087.960911749862</v>
      </c>
      <c r="R303" s="603"/>
      <c r="S303" s="603"/>
      <c r="T303" s="603"/>
      <c r="U303" s="605"/>
      <c r="V303" s="603"/>
      <c r="W303" s="267"/>
      <c r="X303" s="578"/>
      <c r="Y303" s="775">
        <f t="shared" si="46"/>
        <v>1038.0943763613286</v>
      </c>
      <c r="Z303" s="381"/>
    </row>
    <row r="304" spans="2:26" x14ac:dyDescent="0.35">
      <c r="B304" s="622"/>
      <c r="E304" s="623"/>
      <c r="F304" s="151" t="s">
        <v>229</v>
      </c>
      <c r="G304" s="316"/>
      <c r="H304" s="317">
        <v>12</v>
      </c>
      <c r="I304" s="318"/>
      <c r="J304" s="316"/>
      <c r="K304" s="602">
        <v>0.1</v>
      </c>
      <c r="L304" s="621">
        <v>45.36</v>
      </c>
      <c r="M304" s="379">
        <f>((M$299*N$299)/240*($H304/N304))</f>
        <v>3.0000000000000006E-2</v>
      </c>
      <c r="N304" s="259">
        <v>1</v>
      </c>
      <c r="O304" s="520">
        <f t="shared" si="47"/>
        <v>0.13608000000000003</v>
      </c>
      <c r="P304" s="261">
        <v>17017.087500000001</v>
      </c>
      <c r="Q304" s="604">
        <f t="shared" si="45"/>
        <v>2315.6852670000007</v>
      </c>
      <c r="R304" s="603"/>
      <c r="S304" s="603"/>
      <c r="T304" s="603"/>
      <c r="U304" s="605"/>
      <c r="V304" s="603"/>
      <c r="W304" s="267"/>
      <c r="X304" s="578"/>
      <c r="Y304" s="775">
        <f t="shared" si="46"/>
        <v>51.051262500000014</v>
      </c>
      <c r="Z304" s="381"/>
    </row>
    <row r="305" spans="2:28" x14ac:dyDescent="0.35">
      <c r="B305" s="622"/>
      <c r="E305" s="623"/>
      <c r="F305" s="151" t="s">
        <v>230</v>
      </c>
      <c r="G305" s="316"/>
      <c r="H305" s="317">
        <v>1</v>
      </c>
      <c r="I305" s="318"/>
      <c r="J305" s="316"/>
      <c r="K305" s="602">
        <v>0.1</v>
      </c>
      <c r="L305" s="621">
        <v>45.36</v>
      </c>
      <c r="M305" s="379">
        <f>((M$299*N$299)/240*($H305/N305))</f>
        <v>2.5000000000000005E-3</v>
      </c>
      <c r="N305" s="259">
        <v>1</v>
      </c>
      <c r="O305" s="520">
        <f t="shared" si="47"/>
        <v>1.1340000000000003E-2</v>
      </c>
      <c r="P305" s="261">
        <v>45563.251781250008</v>
      </c>
      <c r="Q305" s="604">
        <f t="shared" si="45"/>
        <v>516.68727519937522</v>
      </c>
      <c r="R305" s="603"/>
      <c r="S305" s="603"/>
      <c r="T305" s="603"/>
      <c r="U305" s="605"/>
      <c r="V305" s="603"/>
      <c r="W305" s="267"/>
      <c r="X305" s="578"/>
      <c r="Y305" s="775">
        <f t="shared" si="46"/>
        <v>11.390812945312504</v>
      </c>
      <c r="Z305" s="381"/>
    </row>
    <row r="306" spans="2:28" x14ac:dyDescent="0.35">
      <c r="B306" s="622"/>
      <c r="E306" s="623"/>
      <c r="F306" s="151" t="s">
        <v>231</v>
      </c>
      <c r="G306" s="316"/>
      <c r="H306" s="317">
        <v>2</v>
      </c>
      <c r="I306" s="318"/>
      <c r="J306" s="316"/>
      <c r="K306" s="602">
        <v>0.1</v>
      </c>
      <c r="L306" s="621">
        <v>45.36</v>
      </c>
      <c r="M306" s="379">
        <f>((M$299*N$299)/240*($H306/N306))</f>
        <v>5.000000000000001E-3</v>
      </c>
      <c r="N306" s="259">
        <v>1</v>
      </c>
      <c r="O306" s="520">
        <f t="shared" si="47"/>
        <v>2.2680000000000006E-2</v>
      </c>
      <c r="P306" s="261">
        <v>39054.215812500006</v>
      </c>
      <c r="Q306" s="604">
        <f t="shared" si="45"/>
        <v>885.74961462750036</v>
      </c>
      <c r="R306" s="603"/>
      <c r="S306" s="603"/>
      <c r="T306" s="603"/>
      <c r="U306" s="605"/>
      <c r="V306" s="603"/>
      <c r="W306" s="267"/>
      <c r="X306" s="578"/>
      <c r="Y306" s="775">
        <f t="shared" si="46"/>
        <v>19.527107906250009</v>
      </c>
      <c r="Z306" s="381"/>
    </row>
    <row r="307" spans="2:28" x14ac:dyDescent="0.35">
      <c r="B307" s="622"/>
      <c r="E307" s="623"/>
      <c r="F307" s="151" t="s">
        <v>232</v>
      </c>
      <c r="G307" s="316"/>
      <c r="H307" s="317">
        <v>1</v>
      </c>
      <c r="I307" s="318"/>
      <c r="J307" s="316"/>
      <c r="K307" s="602">
        <v>0.1</v>
      </c>
      <c r="L307" s="621">
        <v>45.36</v>
      </c>
      <c r="M307" s="379">
        <f>((M$299*N$299)/240*($H307/N307))</f>
        <v>2.5000000000000005E-3</v>
      </c>
      <c r="N307" s="259">
        <v>1</v>
      </c>
      <c r="O307" s="520">
        <f t="shared" si="47"/>
        <v>1.1340000000000003E-2</v>
      </c>
      <c r="P307" s="261">
        <v>104144.57550000001</v>
      </c>
      <c r="Q307" s="604">
        <f t="shared" si="45"/>
        <v>1180.9994861700004</v>
      </c>
      <c r="R307" s="603"/>
      <c r="S307" s="603"/>
      <c r="T307" s="603"/>
      <c r="U307" s="605"/>
      <c r="V307" s="603"/>
      <c r="W307" s="267"/>
      <c r="X307" s="578"/>
      <c r="Y307" s="775">
        <f t="shared" si="46"/>
        <v>26.036143875000008</v>
      </c>
      <c r="Z307" s="381"/>
    </row>
    <row r="308" spans="2:28" x14ac:dyDescent="0.35">
      <c r="B308" s="597"/>
      <c r="C308" s="598"/>
      <c r="D308" s="598"/>
      <c r="E308" s="599"/>
      <c r="F308" s="151"/>
      <c r="G308" s="316"/>
      <c r="H308" s="317"/>
      <c r="I308" s="318"/>
      <c r="J308" s="316"/>
      <c r="K308" s="502"/>
      <c r="L308" s="577"/>
      <c r="M308" s="379"/>
      <c r="N308" s="259"/>
      <c r="O308" s="317"/>
      <c r="P308" s="603"/>
      <c r="Q308" s="604"/>
      <c r="R308" s="603"/>
      <c r="S308" s="603"/>
      <c r="T308" s="605"/>
      <c r="U308" s="605"/>
      <c r="V308" s="605"/>
      <c r="W308" s="605"/>
      <c r="X308" s="578"/>
      <c r="Y308" s="381"/>
      <c r="Z308" s="381"/>
    </row>
    <row r="309" spans="2:28" customFormat="1" x14ac:dyDescent="0.35">
      <c r="B309" s="606" t="s">
        <v>531</v>
      </c>
      <c r="C309" s="716"/>
      <c r="D309" s="716"/>
      <c r="E309" s="717"/>
      <c r="F309" s="609"/>
      <c r="G309" s="610"/>
      <c r="H309" s="611"/>
      <c r="I309" s="612"/>
      <c r="J309" s="610"/>
      <c r="K309" s="613"/>
      <c r="L309" s="614"/>
      <c r="M309" s="615"/>
      <c r="N309" s="616"/>
      <c r="O309" s="611"/>
      <c r="P309" s="617"/>
      <c r="Q309" s="618">
        <f>SUM(Q299:Q308)</f>
        <v>616556.23382417136</v>
      </c>
      <c r="R309" s="617"/>
      <c r="S309" s="718">
        <f>SUM(S298:S308)</f>
        <v>564057.60776326095</v>
      </c>
      <c r="T309" s="776"/>
      <c r="U309" s="776"/>
      <c r="V309" s="776"/>
      <c r="W309" s="776"/>
      <c r="X309" s="611"/>
      <c r="Y309" s="619">
        <f>Q309/$D$1</f>
        <v>13592.509564024942</v>
      </c>
      <c r="Z309" s="619">
        <f>Q309/$Q$424*100</f>
        <v>7.2587353912933902E-2</v>
      </c>
    </row>
    <row r="310" spans="2:28" x14ac:dyDescent="0.35">
      <c r="B310" s="624"/>
      <c r="C310" s="170" t="s">
        <v>532</v>
      </c>
      <c r="D310" s="170"/>
      <c r="E310" s="646"/>
      <c r="F310" s="381" t="s">
        <v>177</v>
      </c>
      <c r="G310" s="575" t="s">
        <v>178</v>
      </c>
      <c r="H310" s="578"/>
      <c r="I310" s="601"/>
      <c r="J310" s="600"/>
      <c r="K310" s="575"/>
      <c r="L310" s="621"/>
      <c r="M310" s="379">
        <v>0.5</v>
      </c>
      <c r="N310" s="436">
        <v>1</v>
      </c>
      <c r="O310" s="784"/>
      <c r="P310" s="733"/>
      <c r="Q310" s="785"/>
      <c r="R310" s="733"/>
      <c r="S310" s="733"/>
      <c r="T310" s="782"/>
      <c r="U310" s="782"/>
      <c r="V310" s="782"/>
      <c r="W310" s="782"/>
      <c r="X310" s="578"/>
      <c r="Y310" s="381"/>
      <c r="Z310" s="381"/>
      <c r="AB310" s="786"/>
    </row>
    <row r="311" spans="2:28" x14ac:dyDescent="0.35">
      <c r="B311" s="597"/>
      <c r="C311" s="598"/>
      <c r="D311" s="598"/>
      <c r="E311" s="599"/>
      <c r="F311" s="381" t="s">
        <v>397</v>
      </c>
      <c r="G311" s="575" t="s">
        <v>181</v>
      </c>
      <c r="H311" s="578"/>
      <c r="I311" s="601"/>
      <c r="J311" s="600"/>
      <c r="K311" s="575"/>
      <c r="L311" s="621"/>
      <c r="M311" s="379">
        <v>1.92</v>
      </c>
      <c r="N311" s="436">
        <v>1</v>
      </c>
      <c r="O311" s="784"/>
      <c r="P311" s="733"/>
      <c r="Q311" s="785"/>
      <c r="R311" s="733"/>
      <c r="S311" s="733"/>
      <c r="T311" s="782"/>
      <c r="U311" s="782"/>
      <c r="V311" s="782"/>
      <c r="W311" s="782"/>
      <c r="X311" s="578"/>
      <c r="Y311" s="381"/>
      <c r="Z311" s="381"/>
    </row>
    <row r="312" spans="2:28" x14ac:dyDescent="0.35">
      <c r="B312" s="622"/>
      <c r="C312" s="173" t="s">
        <v>533</v>
      </c>
      <c r="E312" s="623"/>
      <c r="F312" s="151" t="s">
        <v>177</v>
      </c>
      <c r="G312" s="316" t="s">
        <v>178</v>
      </c>
      <c r="H312" s="317"/>
      <c r="I312" s="318"/>
      <c r="J312" s="316" t="s">
        <v>179</v>
      </c>
      <c r="K312" s="787">
        <v>0</v>
      </c>
      <c r="L312" s="621">
        <v>45.36</v>
      </c>
      <c r="M312" s="309">
        <v>0.25</v>
      </c>
      <c r="N312" s="259">
        <v>24</v>
      </c>
      <c r="O312" s="520">
        <f>K312*L312*M312*N312</f>
        <v>0</v>
      </c>
      <c r="P312" s="261">
        <v>169122.61109699999</v>
      </c>
      <c r="Q312" s="604">
        <f>P312*$O312</f>
        <v>0</v>
      </c>
      <c r="R312" s="380">
        <v>179635.86432000002</v>
      </c>
      <c r="S312" s="603">
        <f>R312*$O312</f>
        <v>0</v>
      </c>
      <c r="T312" s="380">
        <v>197599.45075200003</v>
      </c>
      <c r="U312" s="605">
        <f>$O312*T312</f>
        <v>0</v>
      </c>
      <c r="V312" s="380" t="e">
        <f>W312/O312</f>
        <v>#DIV/0!</v>
      </c>
      <c r="W312" s="267">
        <f>AVERAGEIF($P$3:$U$3,W$3,$P312:$U312)</f>
        <v>0</v>
      </c>
      <c r="X312" s="578"/>
      <c r="Y312" s="775">
        <f>Q312/192.08</f>
        <v>0</v>
      </c>
      <c r="Z312" s="381"/>
    </row>
    <row r="313" spans="2:28" x14ac:dyDescent="0.35">
      <c r="B313" s="622"/>
      <c r="E313" s="623"/>
      <c r="F313" s="151" t="s">
        <v>534</v>
      </c>
      <c r="G313" s="316" t="s">
        <v>535</v>
      </c>
      <c r="H313" s="317"/>
      <c r="I313" s="318"/>
      <c r="J313" s="316" t="s">
        <v>179</v>
      </c>
      <c r="K313" s="787">
        <v>0</v>
      </c>
      <c r="L313" s="621">
        <v>45.36</v>
      </c>
      <c r="M313" s="309">
        <f>1/2</f>
        <v>0.5</v>
      </c>
      <c r="N313" s="259">
        <v>6</v>
      </c>
      <c r="O313" s="520">
        <f>K313*L313*M313*N313</f>
        <v>0</v>
      </c>
      <c r="P313" s="261">
        <v>85441.059899999993</v>
      </c>
      <c r="Q313" s="604">
        <f>P313*$O313</f>
        <v>0</v>
      </c>
      <c r="R313" s="380">
        <v>90416.993709600007</v>
      </c>
      <c r="S313" s="603">
        <f>R313*$O313</f>
        <v>0</v>
      </c>
      <c r="T313" s="380">
        <v>96746.18326927202</v>
      </c>
      <c r="U313" s="605">
        <f>$O313*T313</f>
        <v>0</v>
      </c>
      <c r="V313" s="380" t="e">
        <f>W313/O313</f>
        <v>#DIV/0!</v>
      </c>
      <c r="W313" s="267">
        <f>AVERAGEIF($P$3:$U$3,W$3,$P313:$U313)</f>
        <v>0</v>
      </c>
      <c r="X313" s="578"/>
      <c r="Y313" s="775">
        <f>Q313/192.08</f>
        <v>0</v>
      </c>
      <c r="Z313" s="381"/>
    </row>
    <row r="314" spans="2:28" x14ac:dyDescent="0.35">
      <c r="B314" s="622"/>
      <c r="E314" s="623"/>
      <c r="F314" s="151" t="s">
        <v>536</v>
      </c>
      <c r="G314" s="316" t="s">
        <v>183</v>
      </c>
      <c r="H314" s="317"/>
      <c r="I314" s="318"/>
      <c r="J314" s="316" t="s">
        <v>179</v>
      </c>
      <c r="K314" s="787">
        <v>0</v>
      </c>
      <c r="L314" s="621">
        <v>45.36</v>
      </c>
      <c r="M314" s="309">
        <f>1/2</f>
        <v>0.5</v>
      </c>
      <c r="N314" s="259">
        <v>3</v>
      </c>
      <c r="O314" s="520">
        <f>K314*L314*M314*N314</f>
        <v>0</v>
      </c>
      <c r="P314" s="261">
        <v>57881.25</v>
      </c>
      <c r="Q314" s="604">
        <f>P314*$O314</f>
        <v>0</v>
      </c>
      <c r="R314" s="380">
        <v>62985.600000000013</v>
      </c>
      <c r="S314" s="603">
        <f>R314*$O314</f>
        <v>0</v>
      </c>
      <c r="T314" s="380">
        <v>68024.448000000019</v>
      </c>
      <c r="U314" s="605">
        <f>$O314*T314</f>
        <v>0</v>
      </c>
      <c r="V314" s="380" t="e">
        <f>W314/O314</f>
        <v>#DIV/0!</v>
      </c>
      <c r="W314" s="267">
        <f>AVERAGEIF($P$3:$U$3,W$3,$P314:$U314)</f>
        <v>0</v>
      </c>
      <c r="X314" s="578"/>
      <c r="Y314" s="775">
        <f>Q314/192.08</f>
        <v>0</v>
      </c>
      <c r="Z314" s="381"/>
    </row>
    <row r="315" spans="2:28" x14ac:dyDescent="0.35">
      <c r="B315" s="622"/>
      <c r="E315" s="623"/>
      <c r="F315" s="151" t="s">
        <v>177</v>
      </c>
      <c r="G315" s="316" t="s">
        <v>178</v>
      </c>
      <c r="H315" s="317"/>
      <c r="I315" s="318"/>
      <c r="J315" s="316" t="s">
        <v>179</v>
      </c>
      <c r="K315" s="602">
        <v>1</v>
      </c>
      <c r="L315" s="621">
        <v>45.36</v>
      </c>
      <c r="M315" s="309">
        <v>0.25</v>
      </c>
      <c r="N315" s="261">
        <v>12</v>
      </c>
      <c r="O315" s="520">
        <f>K315*L315*M315*N315</f>
        <v>136.07999999999998</v>
      </c>
      <c r="P315" s="261">
        <v>180115.58081830497</v>
      </c>
      <c r="Q315" s="604">
        <f>O315*P315</f>
        <v>24510128.237754937</v>
      </c>
      <c r="R315" s="380"/>
      <c r="S315" s="603"/>
      <c r="T315" s="380"/>
      <c r="U315" s="605"/>
      <c r="V315" s="380"/>
      <c r="W315" s="267"/>
      <c r="X315" s="578"/>
      <c r="Y315" s="775"/>
      <c r="Z315" s="381"/>
    </row>
    <row r="316" spans="2:28" x14ac:dyDescent="0.35">
      <c r="B316" s="622"/>
      <c r="E316" s="623"/>
      <c r="F316" s="151" t="s">
        <v>226</v>
      </c>
      <c r="G316" s="316" t="s">
        <v>178</v>
      </c>
      <c r="H316" s="317"/>
      <c r="I316" s="318"/>
      <c r="J316" s="316" t="s">
        <v>179</v>
      </c>
      <c r="K316" s="602">
        <v>1</v>
      </c>
      <c r="L316" s="621">
        <v>45.36</v>
      </c>
      <c r="M316" s="309">
        <v>0.25</v>
      </c>
      <c r="N316" s="261">
        <v>12</v>
      </c>
      <c r="O316" s="520">
        <f t="shared" ref="O316:O322" si="48">K316*L316*M316*N316</f>
        <v>136.07999999999998</v>
      </c>
      <c r="P316" s="261">
        <v>4759.9254973124989</v>
      </c>
      <c r="Q316" s="604">
        <f t="shared" ref="Q316:Q323" si="49">O316*P316</f>
        <v>647730.66167428473</v>
      </c>
      <c r="R316" s="380"/>
      <c r="S316" s="603"/>
      <c r="T316" s="380"/>
      <c r="U316" s="605"/>
      <c r="V316" s="380"/>
      <c r="W316" s="267"/>
      <c r="X316" s="578"/>
      <c r="Y316" s="775"/>
      <c r="Z316" s="381"/>
    </row>
    <row r="317" spans="2:28" x14ac:dyDescent="0.35">
      <c r="B317" s="622"/>
      <c r="E317" s="623"/>
      <c r="F317" s="151" t="s">
        <v>227</v>
      </c>
      <c r="G317" s="316" t="s">
        <v>183</v>
      </c>
      <c r="H317" s="317">
        <v>4</v>
      </c>
      <c r="I317" s="318" t="s">
        <v>228</v>
      </c>
      <c r="J317" s="316" t="s">
        <v>179</v>
      </c>
      <c r="K317" s="602">
        <v>1</v>
      </c>
      <c r="L317" s="621">
        <v>45.36</v>
      </c>
      <c r="M317" s="436">
        <v>1</v>
      </c>
      <c r="N317" s="261">
        <v>2</v>
      </c>
      <c r="O317" s="520">
        <f t="shared" si="48"/>
        <v>90.72</v>
      </c>
      <c r="P317" s="261">
        <v>52072.287750000003</v>
      </c>
      <c r="Q317" s="604">
        <f t="shared" si="49"/>
        <v>4723997.9446800007</v>
      </c>
      <c r="R317" s="380"/>
      <c r="S317" s="603"/>
      <c r="T317" s="380"/>
      <c r="U317" s="605"/>
      <c r="V317" s="380"/>
      <c r="W317" s="267"/>
      <c r="X317" s="578"/>
      <c r="Y317" s="775"/>
      <c r="Z317" s="381"/>
    </row>
    <row r="318" spans="2:28" x14ac:dyDescent="0.35">
      <c r="B318" s="622"/>
      <c r="E318" s="623"/>
      <c r="F318" s="151" t="s">
        <v>220</v>
      </c>
      <c r="G318" s="316" t="s">
        <v>183</v>
      </c>
      <c r="H318" s="317"/>
      <c r="I318" s="318"/>
      <c r="J318" s="316"/>
      <c r="K318" s="602">
        <v>1</v>
      </c>
      <c r="L318" s="621">
        <v>45.36</v>
      </c>
      <c r="M318" s="258">
        <v>6.2500000000000003E-3</v>
      </c>
      <c r="N318" s="261">
        <v>1</v>
      </c>
      <c r="O318" s="520">
        <f t="shared" si="48"/>
        <v>0.28350000000000003</v>
      </c>
      <c r="P318" s="261">
        <v>1660951.0021781253</v>
      </c>
      <c r="Q318" s="604">
        <f t="shared" si="49"/>
        <v>470879.60911749856</v>
      </c>
      <c r="R318" s="380"/>
      <c r="S318" s="603"/>
      <c r="T318" s="380"/>
      <c r="U318" s="605"/>
      <c r="V318" s="380"/>
      <c r="W318" s="267"/>
      <c r="X318" s="578"/>
      <c r="Y318" s="775"/>
      <c r="Z318" s="381"/>
    </row>
    <row r="319" spans="2:28" x14ac:dyDescent="0.35">
      <c r="B319" s="622"/>
      <c r="E319" s="623"/>
      <c r="F319" s="151" t="s">
        <v>229</v>
      </c>
      <c r="G319" s="316" t="s">
        <v>183</v>
      </c>
      <c r="H319" s="317">
        <v>12</v>
      </c>
      <c r="I319" s="318" t="s">
        <v>228</v>
      </c>
      <c r="J319" s="316" t="s">
        <v>179</v>
      </c>
      <c r="K319" s="602">
        <v>1</v>
      </c>
      <c r="L319" s="621">
        <v>45.36</v>
      </c>
      <c r="M319" s="309">
        <v>1</v>
      </c>
      <c r="N319" s="261">
        <v>2</v>
      </c>
      <c r="O319" s="520">
        <f t="shared" si="48"/>
        <v>90.72</v>
      </c>
      <c r="P319" s="261">
        <v>17017.087500000001</v>
      </c>
      <c r="Q319" s="604">
        <f t="shared" si="49"/>
        <v>1543790.1780000001</v>
      </c>
      <c r="R319" s="380"/>
      <c r="S319" s="603"/>
      <c r="T319" s="380"/>
      <c r="U319" s="605"/>
      <c r="V319" s="380"/>
      <c r="W319" s="267"/>
      <c r="X319" s="578"/>
      <c r="Y319" s="775"/>
      <c r="Z319" s="381"/>
    </row>
    <row r="320" spans="2:28" x14ac:dyDescent="0.35">
      <c r="B320" s="622"/>
      <c r="E320" s="623"/>
      <c r="F320" s="151" t="s">
        <v>230</v>
      </c>
      <c r="G320" s="316" t="s">
        <v>183</v>
      </c>
      <c r="H320" s="317">
        <v>1</v>
      </c>
      <c r="I320" s="318" t="s">
        <v>228</v>
      </c>
      <c r="J320" s="316" t="s">
        <v>179</v>
      </c>
      <c r="K320" s="602">
        <v>1</v>
      </c>
      <c r="L320" s="621">
        <v>45.36</v>
      </c>
      <c r="M320" s="309">
        <v>1</v>
      </c>
      <c r="N320" s="261">
        <v>2</v>
      </c>
      <c r="O320" s="520">
        <f t="shared" si="48"/>
        <v>90.72</v>
      </c>
      <c r="P320" s="261">
        <v>45563.251781250008</v>
      </c>
      <c r="Q320" s="604">
        <f t="shared" si="49"/>
        <v>4133498.2015950009</v>
      </c>
      <c r="R320" s="380"/>
      <c r="S320" s="603"/>
      <c r="T320" s="380"/>
      <c r="U320" s="605"/>
      <c r="V320" s="380"/>
      <c r="W320" s="267"/>
      <c r="X320" s="578"/>
      <c r="Y320" s="775"/>
      <c r="Z320" s="381"/>
    </row>
    <row r="321" spans="2:26" x14ac:dyDescent="0.35">
      <c r="B321" s="622"/>
      <c r="E321" s="623"/>
      <c r="F321" s="151" t="s">
        <v>231</v>
      </c>
      <c r="G321" s="316" t="s">
        <v>183</v>
      </c>
      <c r="H321" s="317">
        <v>2</v>
      </c>
      <c r="I321" s="318" t="s">
        <v>228</v>
      </c>
      <c r="J321" s="316" t="s">
        <v>179</v>
      </c>
      <c r="K321" s="602">
        <v>1</v>
      </c>
      <c r="L321" s="621">
        <v>45.36</v>
      </c>
      <c r="M321" s="309">
        <v>1</v>
      </c>
      <c r="N321" s="261">
        <v>2</v>
      </c>
      <c r="O321" s="520">
        <f t="shared" si="48"/>
        <v>90.72</v>
      </c>
      <c r="P321" s="261">
        <v>39054.215812500006</v>
      </c>
      <c r="Q321" s="604">
        <f t="shared" si="49"/>
        <v>3542998.4585100007</v>
      </c>
      <c r="R321" s="380"/>
      <c r="S321" s="603"/>
      <c r="T321" s="380"/>
      <c r="U321" s="605"/>
      <c r="V321" s="380"/>
      <c r="W321" s="267"/>
      <c r="X321" s="578"/>
      <c r="Y321" s="775"/>
      <c r="Z321" s="381"/>
    </row>
    <row r="322" spans="2:26" x14ac:dyDescent="0.35">
      <c r="B322" s="622"/>
      <c r="E322" s="623"/>
      <c r="F322" s="151" t="s">
        <v>232</v>
      </c>
      <c r="G322" s="316" t="s">
        <v>183</v>
      </c>
      <c r="H322" s="317">
        <v>1</v>
      </c>
      <c r="I322" s="318" t="s">
        <v>228</v>
      </c>
      <c r="J322" s="316" t="s">
        <v>179</v>
      </c>
      <c r="K322" s="602">
        <v>1</v>
      </c>
      <c r="L322" s="621">
        <v>45.36</v>
      </c>
      <c r="M322" s="309">
        <v>1</v>
      </c>
      <c r="N322" s="261">
        <v>1</v>
      </c>
      <c r="O322" s="520">
        <f t="shared" si="48"/>
        <v>45.36</v>
      </c>
      <c r="P322" s="261">
        <v>104144.57550000001</v>
      </c>
      <c r="Q322" s="604">
        <f t="shared" si="49"/>
        <v>4723997.9446800007</v>
      </c>
      <c r="R322" s="380"/>
      <c r="S322" s="603"/>
      <c r="T322" s="380"/>
      <c r="U322" s="605"/>
      <c r="V322" s="380"/>
      <c r="W322" s="267"/>
      <c r="X322" s="578"/>
      <c r="Y322" s="775"/>
      <c r="Z322" s="381"/>
    </row>
    <row r="323" spans="2:26" x14ac:dyDescent="0.35">
      <c r="B323" s="622"/>
      <c r="E323" s="623"/>
      <c r="F323" s="151" t="s">
        <v>334</v>
      </c>
      <c r="G323" s="316" t="s">
        <v>222</v>
      </c>
      <c r="H323" s="317"/>
      <c r="I323" s="318"/>
      <c r="J323" s="316" t="s">
        <v>179</v>
      </c>
      <c r="K323" s="602">
        <v>1</v>
      </c>
      <c r="L323" s="621">
        <v>45.36</v>
      </c>
      <c r="M323" s="258">
        <f>91.08/1000</f>
        <v>9.1079999999999994E-2</v>
      </c>
      <c r="N323" s="261">
        <v>12</v>
      </c>
      <c r="O323" s="520">
        <f>K323*L323*M323*N323</f>
        <v>49.576665599999998</v>
      </c>
      <c r="P323" s="261">
        <v>61928.827931250002</v>
      </c>
      <c r="Q323" s="604">
        <f t="shared" si="49"/>
        <v>3070224.7933475212</v>
      </c>
      <c r="R323" s="380"/>
      <c r="S323" s="603"/>
      <c r="T323" s="380"/>
      <c r="U323" s="605"/>
      <c r="V323" s="380"/>
      <c r="W323" s="267"/>
      <c r="X323" s="578"/>
      <c r="Y323" s="775"/>
      <c r="Z323" s="381"/>
    </row>
    <row r="324" spans="2:26" x14ac:dyDescent="0.35">
      <c r="B324" s="622"/>
      <c r="E324" s="623"/>
      <c r="F324" s="252" t="s">
        <v>177</v>
      </c>
      <c r="G324" s="253" t="s">
        <v>178</v>
      </c>
      <c r="H324" s="254"/>
      <c r="I324" s="255"/>
      <c r="J324" s="256"/>
      <c r="K324" s="265">
        <v>1</v>
      </c>
      <c r="L324" s="621">
        <v>45.36</v>
      </c>
      <c r="M324" s="309">
        <v>0.25</v>
      </c>
      <c r="N324" s="261">
        <v>24</v>
      </c>
      <c r="O324" s="309">
        <f>K324*L324*M324*N324</f>
        <v>272.15999999999997</v>
      </c>
      <c r="P324" s="261">
        <v>180115.58081830497</v>
      </c>
      <c r="Q324" s="604">
        <f>P324*$O324</f>
        <v>49020256.475509875</v>
      </c>
      <c r="R324" s="380"/>
      <c r="S324" s="603"/>
      <c r="T324" s="380"/>
      <c r="U324" s="605"/>
      <c r="V324" s="380"/>
      <c r="W324" s="267"/>
      <c r="X324" s="659"/>
      <c r="Y324" s="775">
        <f t="shared" ref="Y324:Y326" si="50">Q324/$D$1</f>
        <v>1080693.4849098297</v>
      </c>
      <c r="Z324" s="381"/>
    </row>
    <row r="325" spans="2:26" x14ac:dyDescent="0.35">
      <c r="B325" s="622"/>
      <c r="E325" s="623"/>
      <c r="F325" s="252" t="s">
        <v>393</v>
      </c>
      <c r="G325" s="253" t="s">
        <v>394</v>
      </c>
      <c r="H325" s="254"/>
      <c r="I325" s="255"/>
      <c r="J325" s="256"/>
      <c r="K325" s="265">
        <v>1</v>
      </c>
      <c r="L325" s="621">
        <v>45.36</v>
      </c>
      <c r="M325" s="309">
        <f>5*136/1000</f>
        <v>0.68</v>
      </c>
      <c r="N325" s="261">
        <v>24</v>
      </c>
      <c r="O325" s="309">
        <f>K325*L325*M325*N325</f>
        <v>740.27520000000004</v>
      </c>
      <c r="P325" s="261">
        <v>37492.047180000001</v>
      </c>
      <c r="Q325" s="604">
        <f>P325*$O325</f>
        <v>27754432.724583939</v>
      </c>
      <c r="R325" s="380"/>
      <c r="S325" s="603"/>
      <c r="T325" s="380"/>
      <c r="U325" s="605"/>
      <c r="V325" s="380"/>
      <c r="W325" s="267"/>
      <c r="X325" s="578" t="s">
        <v>608</v>
      </c>
      <c r="Y325" s="775">
        <f t="shared" si="50"/>
        <v>611870.20997760003</v>
      </c>
      <c r="Z325" s="381"/>
    </row>
    <row r="326" spans="2:26" x14ac:dyDescent="0.35">
      <c r="B326" s="622"/>
      <c r="E326" s="623"/>
      <c r="F326" s="151" t="s">
        <v>232</v>
      </c>
      <c r="G326" s="316" t="s">
        <v>183</v>
      </c>
      <c r="H326" s="317">
        <v>1</v>
      </c>
      <c r="I326" s="318" t="s">
        <v>228</v>
      </c>
      <c r="J326" s="316" t="s">
        <v>179</v>
      </c>
      <c r="K326" s="433">
        <v>1</v>
      </c>
      <c r="L326" s="621">
        <v>45.36</v>
      </c>
      <c r="M326" s="430">
        <v>1</v>
      </c>
      <c r="N326" s="261">
        <v>1</v>
      </c>
      <c r="O326" s="520">
        <f>K326*L326*M326*N326</f>
        <v>45.36</v>
      </c>
      <c r="P326" s="261">
        <v>104144.57550000001</v>
      </c>
      <c r="Q326" s="604">
        <f>P326*$O326</f>
        <v>4723997.9446800007</v>
      </c>
      <c r="R326" s="380"/>
      <c r="S326" s="603"/>
      <c r="T326" s="380"/>
      <c r="U326" s="605"/>
      <c r="V326" s="380"/>
      <c r="W326" s="267"/>
      <c r="X326" s="578"/>
      <c r="Y326" s="775">
        <f t="shared" si="50"/>
        <v>104144.57550000002</v>
      </c>
      <c r="Z326" s="381"/>
    </row>
    <row r="327" spans="2:26" customFormat="1" x14ac:dyDescent="0.35">
      <c r="B327" s="606" t="s">
        <v>537</v>
      </c>
      <c r="C327" s="716"/>
      <c r="D327" s="716"/>
      <c r="E327" s="717"/>
      <c r="F327" s="609"/>
      <c r="G327" s="610"/>
      <c r="H327" s="611"/>
      <c r="I327" s="612"/>
      <c r="J327" s="610"/>
      <c r="K327" s="613"/>
      <c r="L327" s="614"/>
      <c r="M327" s="615"/>
      <c r="N327" s="616"/>
      <c r="O327" s="611"/>
      <c r="P327" s="617"/>
      <c r="Q327" s="618">
        <f>SUM(Q312:Q326)</f>
        <v>128865933.17413306</v>
      </c>
      <c r="R327" s="617"/>
      <c r="S327" s="718">
        <f>SUM(S307:S326)</f>
        <v>564057.60776326095</v>
      </c>
      <c r="T327" s="776"/>
      <c r="U327" s="776"/>
      <c r="V327" s="776"/>
      <c r="W327" s="776"/>
      <c r="X327" s="611"/>
      <c r="Y327" s="619">
        <f>Q327/$D$1</f>
        <v>2840959.7260611346</v>
      </c>
      <c r="Z327" s="619">
        <f>Q327/$Q$424*100</f>
        <v>15.171425711833539</v>
      </c>
    </row>
    <row r="328" spans="2:26" x14ac:dyDescent="0.35">
      <c r="B328" s="622"/>
      <c r="C328" s="170" t="s">
        <v>538</v>
      </c>
      <c r="D328" s="170"/>
      <c r="E328" s="646"/>
      <c r="F328" s="381" t="s">
        <v>177</v>
      </c>
      <c r="G328" s="600" t="s">
        <v>178</v>
      </c>
      <c r="H328" s="578"/>
      <c r="I328" s="601"/>
      <c r="J328" s="600"/>
      <c r="K328" s="575"/>
      <c r="L328" s="621"/>
      <c r="M328" s="379"/>
      <c r="N328" s="380"/>
      <c r="O328" s="578"/>
      <c r="P328" s="603"/>
      <c r="Q328" s="604"/>
      <c r="R328" s="603"/>
      <c r="S328" s="603"/>
      <c r="T328" s="605"/>
      <c r="U328" s="605"/>
      <c r="V328" s="605"/>
      <c r="W328" s="605"/>
      <c r="X328" s="578"/>
      <c r="Y328" s="381"/>
      <c r="Z328" s="381"/>
    </row>
    <row r="329" spans="2:26" x14ac:dyDescent="0.35">
      <c r="B329" s="622"/>
      <c r="E329" s="623"/>
      <c r="F329" s="381" t="s">
        <v>539</v>
      </c>
      <c r="G329" s="600" t="s">
        <v>222</v>
      </c>
      <c r="H329" s="578"/>
      <c r="I329" s="601"/>
      <c r="J329" s="600"/>
      <c r="K329" s="575"/>
      <c r="L329" s="621"/>
      <c r="M329" s="379"/>
      <c r="N329" s="380"/>
      <c r="O329" s="578"/>
      <c r="P329" s="603"/>
      <c r="Q329" s="604"/>
      <c r="R329" s="603"/>
      <c r="S329" s="603"/>
      <c r="T329" s="605"/>
      <c r="U329" s="605"/>
      <c r="V329" s="605"/>
      <c r="W329" s="605"/>
      <c r="X329" s="578"/>
      <c r="Y329" s="381"/>
      <c r="Z329" s="381"/>
    </row>
    <row r="330" spans="2:26" x14ac:dyDescent="0.35">
      <c r="B330" s="597"/>
      <c r="C330" s="598"/>
      <c r="D330" s="598"/>
      <c r="E330" s="599"/>
      <c r="F330" s="381"/>
      <c r="G330" s="600"/>
      <c r="H330" s="578"/>
      <c r="I330" s="601"/>
      <c r="J330" s="600"/>
      <c r="K330" s="575"/>
      <c r="L330" s="621"/>
      <c r="M330" s="379"/>
      <c r="N330" s="380"/>
      <c r="O330" s="578"/>
      <c r="P330" s="603"/>
      <c r="Q330" s="604"/>
      <c r="R330" s="603"/>
      <c r="S330" s="603"/>
      <c r="T330" s="605"/>
      <c r="U330" s="605"/>
      <c r="V330" s="605"/>
      <c r="W330" s="605"/>
      <c r="X330" s="578"/>
      <c r="Y330" s="381"/>
      <c r="Z330" s="381"/>
    </row>
    <row r="331" spans="2:26" ht="15" customHeight="1" x14ac:dyDescent="0.35">
      <c r="B331" s="624"/>
      <c r="C331" s="170" t="s">
        <v>540</v>
      </c>
      <c r="D331" s="170"/>
      <c r="E331" s="646"/>
      <c r="F331" s="381" t="s">
        <v>177</v>
      </c>
      <c r="G331" s="575" t="s">
        <v>178</v>
      </c>
      <c r="H331" s="624"/>
      <c r="I331" s="170"/>
      <c r="J331" s="690"/>
      <c r="K331" s="691"/>
      <c r="L331" s="692"/>
      <c r="M331" s="379">
        <v>11.5</v>
      </c>
      <c r="N331" s="436">
        <v>1</v>
      </c>
      <c r="O331" s="693"/>
      <c r="P331" s="436"/>
      <c r="Q331" s="669"/>
      <c r="R331" s="436"/>
      <c r="S331" s="436"/>
      <c r="T331" s="706"/>
      <c r="U331" s="706"/>
      <c r="V331" s="706"/>
      <c r="W331" s="706"/>
      <c r="X331" s="578"/>
      <c r="Y331" s="381"/>
      <c r="Z331" s="381"/>
    </row>
    <row r="332" spans="2:26" x14ac:dyDescent="0.35">
      <c r="B332" s="622"/>
      <c r="E332" s="623"/>
      <c r="F332" s="381" t="s">
        <v>403</v>
      </c>
      <c r="G332" s="575" t="s">
        <v>404</v>
      </c>
      <c r="H332" s="622"/>
      <c r="J332" s="788"/>
      <c r="K332" s="695"/>
      <c r="L332" s="789"/>
      <c r="M332" s="379">
        <f>0.002*136</f>
        <v>0.27200000000000002</v>
      </c>
      <c r="N332" s="436">
        <v>1</v>
      </c>
      <c r="O332" s="693"/>
      <c r="P332" s="436"/>
      <c r="Q332" s="669"/>
      <c r="R332" s="436"/>
      <c r="S332" s="436"/>
      <c r="T332" s="706"/>
      <c r="U332" s="706"/>
      <c r="V332" s="706"/>
      <c r="W332" s="706"/>
      <c r="X332" s="578"/>
      <c r="Y332" s="381"/>
      <c r="Z332" s="381"/>
    </row>
    <row r="333" spans="2:26" x14ac:dyDescent="0.35">
      <c r="B333" s="622"/>
      <c r="E333" s="623"/>
      <c r="F333" s="381" t="s">
        <v>405</v>
      </c>
      <c r="G333" s="575" t="s">
        <v>181</v>
      </c>
      <c r="H333" s="597"/>
      <c r="I333" s="598"/>
      <c r="J333" s="697"/>
      <c r="K333" s="698"/>
      <c r="L333" s="699"/>
      <c r="M333" s="379">
        <f>0.001*136</f>
        <v>0.13600000000000001</v>
      </c>
      <c r="N333" s="436">
        <v>1</v>
      </c>
      <c r="O333" s="693"/>
      <c r="P333" s="436"/>
      <c r="Q333" s="669"/>
      <c r="R333" s="436"/>
      <c r="S333" s="436"/>
      <c r="T333" s="706"/>
      <c r="U333" s="706"/>
      <c r="V333" s="706"/>
      <c r="W333" s="706"/>
      <c r="X333" s="578"/>
      <c r="Y333" s="381"/>
      <c r="Z333" s="381"/>
    </row>
    <row r="334" spans="2:26" x14ac:dyDescent="0.35">
      <c r="B334" s="622"/>
      <c r="C334" s="173" t="s">
        <v>542</v>
      </c>
      <c r="E334" s="623"/>
      <c r="F334" s="381" t="s">
        <v>177</v>
      </c>
      <c r="G334" s="600" t="s">
        <v>178</v>
      </c>
      <c r="H334" s="578"/>
      <c r="I334" s="601"/>
      <c r="J334" s="600"/>
      <c r="K334" s="575"/>
      <c r="L334" s="621"/>
      <c r="M334" s="379"/>
      <c r="N334" s="380"/>
      <c r="O334" s="578"/>
      <c r="P334" s="603"/>
      <c r="Q334" s="604"/>
      <c r="R334" s="603"/>
      <c r="S334" s="603"/>
      <c r="T334" s="605"/>
      <c r="U334" s="605"/>
      <c r="V334" s="605"/>
      <c r="W334" s="605"/>
      <c r="X334" s="578"/>
      <c r="Y334" s="381"/>
      <c r="Z334" s="381"/>
    </row>
    <row r="335" spans="2:26" x14ac:dyDescent="0.35">
      <c r="B335" s="597"/>
      <c r="C335" s="598"/>
      <c r="D335" s="598"/>
      <c r="E335" s="599"/>
      <c r="F335" s="381"/>
      <c r="G335" s="600"/>
      <c r="H335" s="578"/>
      <c r="I335" s="601"/>
      <c r="J335" s="600"/>
      <c r="K335" s="575"/>
      <c r="L335" s="621"/>
      <c r="M335" s="379"/>
      <c r="N335" s="380"/>
      <c r="O335" s="578"/>
      <c r="P335" s="603"/>
      <c r="Q335" s="604"/>
      <c r="R335" s="603"/>
      <c r="S335" s="603"/>
      <c r="T335" s="605"/>
      <c r="U335" s="605"/>
      <c r="V335" s="605"/>
      <c r="W335" s="605"/>
      <c r="X335" s="578"/>
      <c r="Y335" s="381"/>
      <c r="Z335" s="381"/>
    </row>
    <row r="336" spans="2:26" customFormat="1" x14ac:dyDescent="0.35">
      <c r="B336" s="660" t="s">
        <v>579</v>
      </c>
      <c r="C336" s="729"/>
      <c r="D336" s="729"/>
      <c r="E336" s="730"/>
      <c r="F336" s="532"/>
      <c r="G336" s="587"/>
      <c r="H336" s="588"/>
      <c r="I336" s="589"/>
      <c r="J336" s="587"/>
      <c r="K336" s="590"/>
      <c r="L336" s="591"/>
      <c r="M336" s="543"/>
      <c r="N336" s="544"/>
      <c r="O336" s="588"/>
      <c r="P336" s="592"/>
      <c r="Q336" s="663">
        <f>Q296+Q309+Q327</f>
        <v>142741740.51850381</v>
      </c>
      <c r="R336" s="592"/>
      <c r="S336" s="731">
        <f>SUM(S325:S335)</f>
        <v>564057.60776326095</v>
      </c>
      <c r="T336" s="594"/>
      <c r="U336" s="594"/>
      <c r="V336" s="594"/>
      <c r="W336" s="594"/>
      <c r="X336" s="588"/>
      <c r="Y336" s="426">
        <f>Q336/$D$1</f>
        <v>3146863.7680446166</v>
      </c>
      <c r="Z336" s="426">
        <f>Q336/$Q$424*100</f>
        <v>16.805028752851143</v>
      </c>
    </row>
    <row r="337" spans="2:26" x14ac:dyDescent="0.35">
      <c r="B337" s="641" t="s">
        <v>544</v>
      </c>
      <c r="C337" s="601"/>
      <c r="D337" s="601"/>
      <c r="E337" s="642"/>
      <c r="F337" s="381"/>
      <c r="G337" s="600"/>
      <c r="H337" s="578"/>
      <c r="I337" s="601"/>
      <c r="J337" s="600"/>
      <c r="K337" s="575"/>
      <c r="L337" s="621"/>
      <c r="M337" s="379"/>
      <c r="N337" s="380"/>
      <c r="O337" s="578"/>
      <c r="P337" s="603"/>
      <c r="Q337" s="604"/>
      <c r="R337" s="603"/>
      <c r="S337" s="603"/>
      <c r="T337" s="605"/>
      <c r="U337" s="605"/>
      <c r="V337" s="605"/>
      <c r="W337" s="605"/>
      <c r="X337" s="578"/>
      <c r="Y337" s="381"/>
      <c r="Z337" s="381"/>
    </row>
    <row r="338" spans="2:26" x14ac:dyDescent="0.35">
      <c r="B338" s="578"/>
      <c r="C338" s="601" t="s">
        <v>545</v>
      </c>
      <c r="D338" s="601"/>
      <c r="E338" s="642"/>
      <c r="F338" s="381"/>
      <c r="G338" s="600"/>
      <c r="H338" s="578"/>
      <c r="I338" s="601"/>
      <c r="J338" s="600"/>
      <c r="K338" s="575"/>
      <c r="L338" s="621"/>
      <c r="M338" s="379"/>
      <c r="N338" s="380"/>
      <c r="O338" s="578"/>
      <c r="P338" s="603"/>
      <c r="Q338" s="604"/>
      <c r="R338" s="603"/>
      <c r="S338" s="603"/>
      <c r="T338" s="605"/>
      <c r="U338" s="605"/>
      <c r="V338" s="605"/>
      <c r="W338" s="605"/>
      <c r="X338" s="578"/>
      <c r="Y338" s="381"/>
      <c r="Z338" s="381"/>
    </row>
    <row r="339" spans="2:26" x14ac:dyDescent="0.35">
      <c r="B339" s="790"/>
      <c r="C339" s="791"/>
      <c r="D339" s="700" t="s">
        <v>376</v>
      </c>
      <c r="E339" s="792"/>
      <c r="F339" s="151" t="s">
        <v>177</v>
      </c>
      <c r="G339" s="316" t="s">
        <v>178</v>
      </c>
      <c r="H339" s="317"/>
      <c r="I339" s="318"/>
      <c r="J339" s="316" t="s">
        <v>179</v>
      </c>
      <c r="K339" s="433">
        <v>0</v>
      </c>
      <c r="L339" s="621">
        <v>45.36</v>
      </c>
      <c r="M339" s="476">
        <v>0.5</v>
      </c>
      <c r="N339" s="300">
        <v>1</v>
      </c>
      <c r="O339" s="520">
        <f t="shared" ref="O339:O388" si="51">K339*L339*M339*N339</f>
        <v>0</v>
      </c>
      <c r="P339" s="261">
        <v>169122.61109699999</v>
      </c>
      <c r="Q339" s="604">
        <f t="shared" ref="Q339:Q367" si="52">P339*$O339</f>
        <v>0</v>
      </c>
      <c r="R339" s="380">
        <v>179635.86432000002</v>
      </c>
      <c r="S339" s="603">
        <f t="shared" ref="S339:S367" si="53">R339*$O339</f>
        <v>0</v>
      </c>
      <c r="T339" s="380">
        <v>197599.45075200003</v>
      </c>
      <c r="U339" s="605">
        <f t="shared" ref="U339:U367" si="54">$O339*T339</f>
        <v>0</v>
      </c>
      <c r="V339" s="380" t="e">
        <f>W339/O339</f>
        <v>#DIV/0!</v>
      </c>
      <c r="W339" s="267">
        <f t="shared" ref="W339:W367" si="55">AVERAGEIF($P$3:$U$3,W$3,$P339:$U339)</f>
        <v>0</v>
      </c>
      <c r="X339" s="578"/>
      <c r="Y339" s="775">
        <f t="shared" ref="Y339:Y382" si="56">Q339/192.08</f>
        <v>0</v>
      </c>
      <c r="Z339" s="381"/>
    </row>
    <row r="340" spans="2:26" x14ac:dyDescent="0.35">
      <c r="B340" s="622"/>
      <c r="D340" t="s">
        <v>609</v>
      </c>
      <c r="E340" s="623"/>
      <c r="F340" s="151" t="s">
        <v>353</v>
      </c>
      <c r="G340" s="316" t="s">
        <v>178</v>
      </c>
      <c r="H340" s="317"/>
      <c r="I340" s="318"/>
      <c r="J340" s="316" t="s">
        <v>179</v>
      </c>
      <c r="K340" s="433">
        <v>0</v>
      </c>
      <c r="L340" s="621">
        <v>45.36</v>
      </c>
      <c r="M340" s="476">
        <v>0.18</v>
      </c>
      <c r="N340" s="300">
        <f>N339</f>
        <v>1</v>
      </c>
      <c r="O340" s="520">
        <f t="shared" si="51"/>
        <v>0</v>
      </c>
      <c r="P340" s="261">
        <v>169122.61109699999</v>
      </c>
      <c r="Q340" s="604">
        <f t="shared" si="52"/>
        <v>0</v>
      </c>
      <c r="R340" s="380">
        <v>179635.86432000002</v>
      </c>
      <c r="S340" s="603">
        <f t="shared" si="53"/>
        <v>0</v>
      </c>
      <c r="T340" s="380">
        <v>197599.45075200003</v>
      </c>
      <c r="U340" s="605">
        <f t="shared" si="54"/>
        <v>0</v>
      </c>
      <c r="V340" s="380" t="e">
        <f>W340/O340</f>
        <v>#DIV/0!</v>
      </c>
      <c r="W340" s="267">
        <f t="shared" si="55"/>
        <v>0</v>
      </c>
      <c r="X340" s="578"/>
      <c r="Y340" s="775">
        <f t="shared" si="56"/>
        <v>0</v>
      </c>
      <c r="Z340" s="381"/>
    </row>
    <row r="341" spans="2:26" x14ac:dyDescent="0.35">
      <c r="B341" s="622"/>
      <c r="E341" s="623"/>
      <c r="F341" s="151" t="s">
        <v>226</v>
      </c>
      <c r="G341" s="316" t="s">
        <v>178</v>
      </c>
      <c r="H341" s="317"/>
      <c r="I341" s="318"/>
      <c r="J341" s="316" t="s">
        <v>179</v>
      </c>
      <c r="K341" s="433">
        <v>0</v>
      </c>
      <c r="L341" s="621">
        <v>45.36</v>
      </c>
      <c r="M341" s="476">
        <f>M339</f>
        <v>0.5</v>
      </c>
      <c r="N341" s="300">
        <f t="shared" ref="N341:N347" si="57">N340</f>
        <v>1</v>
      </c>
      <c r="O341" s="520">
        <f t="shared" si="51"/>
        <v>0</v>
      </c>
      <c r="P341" s="261">
        <v>4469.4136124999995</v>
      </c>
      <c r="Q341" s="604">
        <f t="shared" si="52"/>
        <v>0</v>
      </c>
      <c r="R341" s="380">
        <v>4849.8912000000009</v>
      </c>
      <c r="S341" s="603">
        <f t="shared" si="53"/>
        <v>0</v>
      </c>
      <c r="T341" s="380">
        <v>5237.8824960000011</v>
      </c>
      <c r="U341" s="605">
        <f t="shared" si="54"/>
        <v>0</v>
      </c>
      <c r="V341" s="380" t="e">
        <f t="shared" ref="V341:V367" si="58">W341/O341</f>
        <v>#DIV/0!</v>
      </c>
      <c r="W341" s="267">
        <f t="shared" si="55"/>
        <v>0</v>
      </c>
      <c r="X341" s="578"/>
      <c r="Y341" s="775">
        <f t="shared" si="56"/>
        <v>0</v>
      </c>
      <c r="Z341" s="381"/>
    </row>
    <row r="342" spans="2:26" x14ac:dyDescent="0.35">
      <c r="B342" s="622"/>
      <c r="E342" s="623"/>
      <c r="F342" s="151" t="s">
        <v>354</v>
      </c>
      <c r="G342" s="316" t="s">
        <v>183</v>
      </c>
      <c r="H342" s="317">
        <v>1</v>
      </c>
      <c r="I342" s="318" t="s">
        <v>228</v>
      </c>
      <c r="J342" s="316" t="s">
        <v>179</v>
      </c>
      <c r="K342" s="433">
        <v>0</v>
      </c>
      <c r="L342" s="621">
        <v>45.36</v>
      </c>
      <c r="M342" s="476">
        <f>((M$339*N$339)/240)*($H342/N342)</f>
        <v>2.0833333333333333E-3</v>
      </c>
      <c r="N342" s="300">
        <f t="shared" si="57"/>
        <v>1</v>
      </c>
      <c r="O342" s="520">
        <f t="shared" si="51"/>
        <v>0</v>
      </c>
      <c r="P342" s="261">
        <v>5788.125</v>
      </c>
      <c r="Q342" s="604">
        <f t="shared" si="52"/>
        <v>0</v>
      </c>
      <c r="R342" s="380">
        <v>6298.56</v>
      </c>
      <c r="S342" s="603">
        <f t="shared" si="53"/>
        <v>0</v>
      </c>
      <c r="T342" s="380">
        <v>6802.4448000000011</v>
      </c>
      <c r="U342" s="605">
        <f t="shared" si="54"/>
        <v>0</v>
      </c>
      <c r="V342" s="380" t="e">
        <f t="shared" si="58"/>
        <v>#DIV/0!</v>
      </c>
      <c r="W342" s="267">
        <f t="shared" si="55"/>
        <v>0</v>
      </c>
      <c r="X342" s="578"/>
      <c r="Y342" s="775">
        <f t="shared" si="56"/>
        <v>0</v>
      </c>
      <c r="Z342" s="381"/>
    </row>
    <row r="343" spans="2:26" x14ac:dyDescent="0.35">
      <c r="B343" s="622"/>
      <c r="E343" s="623"/>
      <c r="F343" s="151" t="s">
        <v>227</v>
      </c>
      <c r="G343" s="316" t="s">
        <v>183</v>
      </c>
      <c r="H343" s="317">
        <v>4</v>
      </c>
      <c r="I343" s="318" t="s">
        <v>228</v>
      </c>
      <c r="J343" s="316" t="s">
        <v>179</v>
      </c>
      <c r="K343" s="433">
        <v>0</v>
      </c>
      <c r="L343" s="621">
        <v>45.36</v>
      </c>
      <c r="M343" s="476">
        <f>((M$354*N$354)/240)*($H343/N343)</f>
        <v>6.2500000000000015E-5</v>
      </c>
      <c r="N343" s="300">
        <f t="shared" si="57"/>
        <v>1</v>
      </c>
      <c r="O343" s="520">
        <f t="shared" si="51"/>
        <v>0</v>
      </c>
      <c r="P343" s="261">
        <v>49592.654999999999</v>
      </c>
      <c r="Q343" s="604">
        <f t="shared" si="52"/>
        <v>0</v>
      </c>
      <c r="R343" s="380">
        <v>53966.062080000011</v>
      </c>
      <c r="S343" s="603">
        <f t="shared" si="53"/>
        <v>0</v>
      </c>
      <c r="T343" s="380">
        <v>58283.347046400013</v>
      </c>
      <c r="U343" s="605">
        <f t="shared" si="54"/>
        <v>0</v>
      </c>
      <c r="V343" s="380" t="e">
        <f t="shared" si="58"/>
        <v>#DIV/0!</v>
      </c>
      <c r="W343" s="267">
        <f t="shared" si="55"/>
        <v>0</v>
      </c>
      <c r="X343" s="578"/>
      <c r="Y343" s="775">
        <f t="shared" si="56"/>
        <v>0</v>
      </c>
      <c r="Z343" s="381"/>
    </row>
    <row r="344" spans="2:26" x14ac:dyDescent="0.35">
      <c r="B344" s="622"/>
      <c r="E344" s="623"/>
      <c r="F344" s="151" t="s">
        <v>229</v>
      </c>
      <c r="G344" s="316" t="s">
        <v>183</v>
      </c>
      <c r="H344" s="317">
        <v>12</v>
      </c>
      <c r="I344" s="318" t="s">
        <v>228</v>
      </c>
      <c r="J344" s="316" t="s">
        <v>179</v>
      </c>
      <c r="K344" s="433">
        <v>0</v>
      </c>
      <c r="L344" s="621">
        <v>45.36</v>
      </c>
      <c r="M344" s="476">
        <f>((M$354*N$354)/240)*($H344/N344)</f>
        <v>1.8750000000000006E-4</v>
      </c>
      <c r="N344" s="300">
        <f t="shared" si="57"/>
        <v>1</v>
      </c>
      <c r="O344" s="520">
        <f t="shared" si="51"/>
        <v>0</v>
      </c>
      <c r="P344" s="261">
        <v>16206.75</v>
      </c>
      <c r="Q344" s="604">
        <f t="shared" si="52"/>
        <v>0</v>
      </c>
      <c r="R344" s="380">
        <v>17635.968000000004</v>
      </c>
      <c r="S344" s="603">
        <f t="shared" si="53"/>
        <v>0</v>
      </c>
      <c r="T344" s="380">
        <v>19046.845440000005</v>
      </c>
      <c r="U344" s="605">
        <f t="shared" si="54"/>
        <v>0</v>
      </c>
      <c r="V344" s="380" t="e">
        <f t="shared" si="58"/>
        <v>#DIV/0!</v>
      </c>
      <c r="W344" s="267">
        <f t="shared" si="55"/>
        <v>0</v>
      </c>
      <c r="X344" s="578"/>
      <c r="Y344" s="775">
        <f t="shared" si="56"/>
        <v>0</v>
      </c>
      <c r="Z344" s="381"/>
    </row>
    <row r="345" spans="2:26" x14ac:dyDescent="0.35">
      <c r="B345" s="622"/>
      <c r="E345" s="623"/>
      <c r="F345" s="151" t="s">
        <v>231</v>
      </c>
      <c r="G345" s="316" t="s">
        <v>183</v>
      </c>
      <c r="H345" s="317">
        <v>2</v>
      </c>
      <c r="I345" s="318" t="s">
        <v>228</v>
      </c>
      <c r="J345" s="316" t="s">
        <v>179</v>
      </c>
      <c r="K345" s="433">
        <v>0</v>
      </c>
      <c r="L345" s="621">
        <v>45.36</v>
      </c>
      <c r="M345" s="476">
        <f>((M$354*N$354)/240)*($H345/N345)</f>
        <v>3.1250000000000007E-5</v>
      </c>
      <c r="N345" s="300">
        <f t="shared" si="57"/>
        <v>1</v>
      </c>
      <c r="O345" s="520">
        <f t="shared" si="51"/>
        <v>0</v>
      </c>
      <c r="P345" s="261">
        <v>37194.491250000006</v>
      </c>
      <c r="Q345" s="604">
        <f t="shared" si="52"/>
        <v>0</v>
      </c>
      <c r="R345" s="380">
        <v>40474.546560000003</v>
      </c>
      <c r="S345" s="603">
        <f t="shared" si="53"/>
        <v>0</v>
      </c>
      <c r="T345" s="380">
        <v>43712.510284800002</v>
      </c>
      <c r="U345" s="605">
        <f t="shared" si="54"/>
        <v>0</v>
      </c>
      <c r="V345" s="380" t="e">
        <f t="shared" si="58"/>
        <v>#DIV/0!</v>
      </c>
      <c r="W345" s="267">
        <f t="shared" si="55"/>
        <v>0</v>
      </c>
      <c r="X345" s="578"/>
      <c r="Y345" s="775">
        <f t="shared" si="56"/>
        <v>0</v>
      </c>
      <c r="Z345" s="381"/>
    </row>
    <row r="346" spans="2:26" x14ac:dyDescent="0.35">
      <c r="B346" s="622"/>
      <c r="E346" s="623"/>
      <c r="F346" s="151" t="s">
        <v>232</v>
      </c>
      <c r="G346" s="316" t="s">
        <v>183</v>
      </c>
      <c r="H346" s="317">
        <v>1</v>
      </c>
      <c r="I346" s="318" t="s">
        <v>228</v>
      </c>
      <c r="J346" s="316" t="s">
        <v>179</v>
      </c>
      <c r="K346" s="433">
        <v>0</v>
      </c>
      <c r="L346" s="621">
        <v>45.36</v>
      </c>
      <c r="M346" s="476">
        <f>((M$354*N$354)/240)*($H346/N346)</f>
        <v>1.5625000000000004E-5</v>
      </c>
      <c r="N346" s="300">
        <f t="shared" si="57"/>
        <v>1</v>
      </c>
      <c r="O346" s="520">
        <f t="shared" si="51"/>
        <v>0</v>
      </c>
      <c r="P346" s="261">
        <v>99185.31</v>
      </c>
      <c r="Q346" s="604">
        <f t="shared" si="52"/>
        <v>0</v>
      </c>
      <c r="R346" s="380">
        <v>107932.12416000002</v>
      </c>
      <c r="S346" s="603">
        <f t="shared" si="53"/>
        <v>0</v>
      </c>
      <c r="T346" s="380">
        <v>116566.69409280003</v>
      </c>
      <c r="U346" s="605">
        <f t="shared" si="54"/>
        <v>0</v>
      </c>
      <c r="V346" s="380" t="e">
        <f t="shared" si="58"/>
        <v>#DIV/0!</v>
      </c>
      <c r="W346" s="267">
        <f t="shared" si="55"/>
        <v>0</v>
      </c>
      <c r="X346" s="578"/>
      <c r="Y346" s="775">
        <f t="shared" si="56"/>
        <v>0</v>
      </c>
      <c r="Z346" s="381"/>
    </row>
    <row r="347" spans="2:26" x14ac:dyDescent="0.35">
      <c r="B347" s="622"/>
      <c r="E347" s="623"/>
      <c r="F347" s="700" t="s">
        <v>376</v>
      </c>
      <c r="G347" s="316" t="s">
        <v>181</v>
      </c>
      <c r="H347" s="317"/>
      <c r="I347" s="318"/>
      <c r="J347" s="316" t="s">
        <v>319</v>
      </c>
      <c r="K347" s="433">
        <v>0</v>
      </c>
      <c r="L347" s="621">
        <v>45.36</v>
      </c>
      <c r="M347" s="770">
        <f>(750*136)/1000</f>
        <v>102</v>
      </c>
      <c r="N347" s="300">
        <f t="shared" si="57"/>
        <v>1</v>
      </c>
      <c r="O347" s="520">
        <f t="shared" si="51"/>
        <v>0</v>
      </c>
      <c r="P347" s="261">
        <v>5556.6</v>
      </c>
      <c r="Q347" s="604">
        <f t="shared" si="52"/>
        <v>0</v>
      </c>
      <c r="R347" s="380">
        <v>7126.8395000000019</v>
      </c>
      <c r="S347" s="603">
        <f t="shared" si="53"/>
        <v>0</v>
      </c>
      <c r="T347" s="380">
        <v>7839.5234500000024</v>
      </c>
      <c r="U347" s="605">
        <f t="shared" si="54"/>
        <v>0</v>
      </c>
      <c r="V347" s="380" t="e">
        <f t="shared" si="58"/>
        <v>#DIV/0!</v>
      </c>
      <c r="W347" s="267">
        <f t="shared" si="55"/>
        <v>0</v>
      </c>
      <c r="X347" s="578"/>
      <c r="Y347" s="775">
        <f t="shared" si="56"/>
        <v>0</v>
      </c>
      <c r="Z347" s="381"/>
    </row>
    <row r="348" spans="2:26" customFormat="1" x14ac:dyDescent="0.35">
      <c r="B348" s="606" t="s">
        <v>581</v>
      </c>
      <c r="C348" s="716"/>
      <c r="D348" s="716"/>
      <c r="E348" s="717"/>
      <c r="F348" s="609"/>
      <c r="G348" s="610"/>
      <c r="H348" s="611"/>
      <c r="I348" s="612"/>
      <c r="J348" s="610"/>
      <c r="K348" s="613"/>
      <c r="L348" s="614"/>
      <c r="M348" s="615"/>
      <c r="N348" s="616"/>
      <c r="O348" s="611"/>
      <c r="P348" s="617"/>
      <c r="Q348" s="618">
        <f>SUM(Q339:Q347)</f>
        <v>0</v>
      </c>
      <c r="R348" s="617"/>
      <c r="S348" s="718">
        <f>SUM(S337:S347)</f>
        <v>0</v>
      </c>
      <c r="T348" s="776"/>
      <c r="U348" s="776"/>
      <c r="V348" s="776"/>
      <c r="W348" s="776"/>
      <c r="X348" s="611"/>
      <c r="Y348" s="619">
        <f t="shared" si="56"/>
        <v>0</v>
      </c>
      <c r="Z348" s="619">
        <f>Q348/5127997141.07*100</f>
        <v>0</v>
      </c>
    </row>
    <row r="349" spans="2:26" x14ac:dyDescent="0.35">
      <c r="B349" s="790"/>
      <c r="C349" s="791"/>
      <c r="D349" s="793" t="s">
        <v>554</v>
      </c>
      <c r="E349" s="794"/>
      <c r="F349" s="151" t="s">
        <v>177</v>
      </c>
      <c r="G349" s="316" t="s">
        <v>178</v>
      </c>
      <c r="H349" s="317"/>
      <c r="I349" s="318"/>
      <c r="J349" s="316" t="s">
        <v>179</v>
      </c>
      <c r="K349" s="433">
        <v>1</v>
      </c>
      <c r="L349" s="621">
        <v>45.36</v>
      </c>
      <c r="M349" s="476">
        <v>0.5</v>
      </c>
      <c r="N349" s="309">
        <v>3</v>
      </c>
      <c r="O349" s="520">
        <f t="shared" si="51"/>
        <v>68.039999999999992</v>
      </c>
      <c r="P349" s="261">
        <v>180115.58081830497</v>
      </c>
      <c r="Q349" s="604">
        <f t="shared" si="52"/>
        <v>12255064.118877469</v>
      </c>
      <c r="R349" s="380">
        <v>179635.86432000002</v>
      </c>
      <c r="S349" s="603">
        <f t="shared" si="53"/>
        <v>12222424.208332799</v>
      </c>
      <c r="T349" s="380">
        <v>197599.45075200003</v>
      </c>
      <c r="U349" s="605">
        <f t="shared" si="54"/>
        <v>13444666.629166082</v>
      </c>
      <c r="V349" s="380">
        <f t="shared" si="58"/>
        <v>185783.63196343504</v>
      </c>
      <c r="W349" s="267">
        <f t="shared" si="55"/>
        <v>12640718.318792118</v>
      </c>
      <c r="X349" s="578"/>
      <c r="Y349" s="775">
        <f t="shared" ref="Y349:Y384" si="59">Q349/$D$1</f>
        <v>270173.37122745742</v>
      </c>
      <c r="Z349" s="381"/>
    </row>
    <row r="350" spans="2:26" x14ac:dyDescent="0.35">
      <c r="B350" s="622"/>
      <c r="D350" t="s">
        <v>610</v>
      </c>
      <c r="E350" s="623"/>
      <c r="F350" s="151" t="s">
        <v>353</v>
      </c>
      <c r="G350" s="316" t="s">
        <v>178</v>
      </c>
      <c r="H350" s="317"/>
      <c r="I350" s="318"/>
      <c r="J350" s="316" t="s">
        <v>179</v>
      </c>
      <c r="K350" s="433">
        <v>1</v>
      </c>
      <c r="L350" s="621">
        <v>45.36</v>
      </c>
      <c r="M350" s="476">
        <v>0.18</v>
      </c>
      <c r="N350" s="309">
        <f>N349</f>
        <v>3</v>
      </c>
      <c r="O350" s="520">
        <f t="shared" si="51"/>
        <v>24.494399999999999</v>
      </c>
      <c r="P350" s="261">
        <v>180115.58081830497</v>
      </c>
      <c r="Q350" s="604">
        <f t="shared" si="52"/>
        <v>4411823.0827958891</v>
      </c>
      <c r="R350" s="380">
        <v>179635.86432000002</v>
      </c>
      <c r="S350" s="603">
        <f t="shared" si="53"/>
        <v>4400072.714999808</v>
      </c>
      <c r="T350" s="380">
        <v>197599.45075200003</v>
      </c>
      <c r="U350" s="605">
        <f t="shared" si="54"/>
        <v>4840079.9864997892</v>
      </c>
      <c r="V350" s="380">
        <f t="shared" si="58"/>
        <v>185783.63196343504</v>
      </c>
      <c r="W350" s="267">
        <f t="shared" si="55"/>
        <v>4550658.594765163</v>
      </c>
      <c r="X350" s="578"/>
      <c r="Y350" s="775">
        <f t="shared" si="59"/>
        <v>97262.413641884676</v>
      </c>
      <c r="Z350" s="381"/>
    </row>
    <row r="351" spans="2:26" x14ac:dyDescent="0.35">
      <c r="B351" s="622"/>
      <c r="D351" t="s">
        <v>611</v>
      </c>
      <c r="E351" s="623"/>
      <c r="F351" s="151" t="s">
        <v>226</v>
      </c>
      <c r="G351" s="316" t="s">
        <v>178</v>
      </c>
      <c r="H351" s="317"/>
      <c r="I351" s="318"/>
      <c r="J351" s="316" t="s">
        <v>179</v>
      </c>
      <c r="K351" s="433">
        <v>1</v>
      </c>
      <c r="L351" s="621">
        <v>45.36</v>
      </c>
      <c r="M351" s="476">
        <f>M349</f>
        <v>0.5</v>
      </c>
      <c r="N351" s="309">
        <f t="shared" ref="N351:N356" si="60">N350</f>
        <v>3</v>
      </c>
      <c r="O351" s="520">
        <f t="shared" si="51"/>
        <v>68.039999999999992</v>
      </c>
      <c r="P351" s="261">
        <v>4759.9254973124989</v>
      </c>
      <c r="Q351" s="604">
        <f t="shared" si="52"/>
        <v>323865.33083714236</v>
      </c>
      <c r="R351" s="380">
        <v>4849.8912000000009</v>
      </c>
      <c r="S351" s="603">
        <f t="shared" si="53"/>
        <v>329986.59724800003</v>
      </c>
      <c r="T351" s="380">
        <v>5237.8824960000011</v>
      </c>
      <c r="U351" s="605">
        <f t="shared" si="54"/>
        <v>356385.52502784005</v>
      </c>
      <c r="V351" s="380">
        <f t="shared" si="58"/>
        <v>4949.2330644374997</v>
      </c>
      <c r="W351" s="267">
        <f t="shared" si="55"/>
        <v>336745.81770432746</v>
      </c>
      <c r="X351" s="578"/>
      <c r="Y351" s="775">
        <f t="shared" si="59"/>
        <v>7139.8882459687475</v>
      </c>
      <c r="Z351" s="381"/>
    </row>
    <row r="352" spans="2:26" x14ac:dyDescent="0.35">
      <c r="B352" s="622"/>
      <c r="D352" t="s">
        <v>612</v>
      </c>
      <c r="E352" s="623"/>
      <c r="F352" s="151" t="s">
        <v>354</v>
      </c>
      <c r="G352" s="316" t="s">
        <v>183</v>
      </c>
      <c r="H352" s="317">
        <v>1</v>
      </c>
      <c r="I352" s="318" t="s">
        <v>228</v>
      </c>
      <c r="J352" s="316" t="s">
        <v>179</v>
      </c>
      <c r="K352" s="433">
        <v>1</v>
      </c>
      <c r="L352" s="621">
        <v>45.36</v>
      </c>
      <c r="M352" s="476">
        <f>((M$364*N$364)/240)*($H352/N352)</f>
        <v>1.0416666666666669E-4</v>
      </c>
      <c r="N352" s="309">
        <f t="shared" si="60"/>
        <v>3</v>
      </c>
      <c r="O352" s="520">
        <f t="shared" si="51"/>
        <v>1.4175000000000004E-2</v>
      </c>
      <c r="P352" s="261">
        <v>6077.53125</v>
      </c>
      <c r="Q352" s="604">
        <f t="shared" si="52"/>
        <v>86.149005468750019</v>
      </c>
      <c r="R352" s="380">
        <v>6298.56</v>
      </c>
      <c r="S352" s="603">
        <f t="shared" si="53"/>
        <v>89.28208800000003</v>
      </c>
      <c r="T352" s="380">
        <v>6802.4448000000011</v>
      </c>
      <c r="U352" s="605">
        <f t="shared" si="54"/>
        <v>96.424655040000047</v>
      </c>
      <c r="V352" s="380">
        <f t="shared" si="58"/>
        <v>6392.8453500000005</v>
      </c>
      <c r="W352" s="267">
        <f t="shared" si="55"/>
        <v>90.618582836250027</v>
      </c>
      <c r="X352" s="578"/>
      <c r="Y352" s="775">
        <f t="shared" si="59"/>
        <v>1.8992285156250004</v>
      </c>
      <c r="Z352" s="381"/>
    </row>
    <row r="353" spans="2:26" x14ac:dyDescent="0.35">
      <c r="B353" s="622"/>
      <c r="E353" s="623"/>
      <c r="F353" s="151" t="s">
        <v>227</v>
      </c>
      <c r="G353" s="316" t="s">
        <v>183</v>
      </c>
      <c r="H353" s="317">
        <v>4</v>
      </c>
      <c r="I353" s="318" t="s">
        <v>228</v>
      </c>
      <c r="J353" s="316" t="s">
        <v>179</v>
      </c>
      <c r="K353" s="433">
        <v>1</v>
      </c>
      <c r="L353" s="621">
        <v>45.36</v>
      </c>
      <c r="M353" s="476">
        <f>((M$364*N$364)/240)*($H353/N353)</f>
        <v>4.1666666666666675E-4</v>
      </c>
      <c r="N353" s="309">
        <f t="shared" si="60"/>
        <v>3</v>
      </c>
      <c r="O353" s="520">
        <f t="shared" si="51"/>
        <v>5.6700000000000014E-2</v>
      </c>
      <c r="P353" s="261">
        <v>52072.287750000003</v>
      </c>
      <c r="Q353" s="604">
        <f t="shared" si="52"/>
        <v>2952.4987154250011</v>
      </c>
      <c r="R353" s="380">
        <v>53966.062080000011</v>
      </c>
      <c r="S353" s="603">
        <f t="shared" si="53"/>
        <v>3059.8757199360016</v>
      </c>
      <c r="T353" s="380">
        <v>58283.347046400013</v>
      </c>
      <c r="U353" s="605">
        <f t="shared" si="54"/>
        <v>3304.6657775308818</v>
      </c>
      <c r="V353" s="380">
        <f t="shared" si="58"/>
        <v>54773.898958800011</v>
      </c>
      <c r="W353" s="267">
        <f t="shared" si="55"/>
        <v>3105.6800709639615</v>
      </c>
      <c r="X353" s="578"/>
      <c r="Y353" s="775">
        <f t="shared" si="59"/>
        <v>65.090359687500026</v>
      </c>
      <c r="Z353" s="381"/>
    </row>
    <row r="354" spans="2:26" x14ac:dyDescent="0.35">
      <c r="B354" s="622"/>
      <c r="E354" s="623"/>
      <c r="F354" s="151" t="s">
        <v>229</v>
      </c>
      <c r="G354" s="316" t="s">
        <v>183</v>
      </c>
      <c r="H354" s="317">
        <v>12</v>
      </c>
      <c r="I354" s="318" t="s">
        <v>228</v>
      </c>
      <c r="J354" s="316" t="s">
        <v>179</v>
      </c>
      <c r="K354" s="433">
        <v>1</v>
      </c>
      <c r="L354" s="621">
        <v>45.36</v>
      </c>
      <c r="M354" s="476">
        <f>((M$364*N$364)/240)*($H354/N354)</f>
        <v>1.2500000000000002E-3</v>
      </c>
      <c r="N354" s="309">
        <f t="shared" si="60"/>
        <v>3</v>
      </c>
      <c r="O354" s="520">
        <f t="shared" si="51"/>
        <v>0.17010000000000003</v>
      </c>
      <c r="P354" s="261">
        <v>17017.087500000001</v>
      </c>
      <c r="Q354" s="604">
        <f t="shared" si="52"/>
        <v>2894.6065837500009</v>
      </c>
      <c r="R354" s="380">
        <v>17635.968000000004</v>
      </c>
      <c r="S354" s="603">
        <f t="shared" si="53"/>
        <v>2999.8781568000013</v>
      </c>
      <c r="T354" s="380">
        <v>19046.845440000005</v>
      </c>
      <c r="U354" s="605">
        <f t="shared" si="54"/>
        <v>3239.8684093440015</v>
      </c>
      <c r="V354" s="380">
        <f t="shared" si="58"/>
        <v>17899.966980000005</v>
      </c>
      <c r="W354" s="267">
        <f t="shared" si="55"/>
        <v>3044.7843832980011</v>
      </c>
      <c r="X354" s="578"/>
      <c r="Y354" s="775">
        <f t="shared" si="59"/>
        <v>63.814078125000023</v>
      </c>
      <c r="Z354" s="381"/>
    </row>
    <row r="355" spans="2:26" x14ac:dyDescent="0.35">
      <c r="B355" s="622"/>
      <c r="E355" s="623"/>
      <c r="F355" s="151" t="s">
        <v>231</v>
      </c>
      <c r="G355" s="316" t="s">
        <v>183</v>
      </c>
      <c r="H355" s="317">
        <v>2</v>
      </c>
      <c r="I355" s="318" t="s">
        <v>228</v>
      </c>
      <c r="J355" s="316" t="s">
        <v>179</v>
      </c>
      <c r="K355" s="433">
        <v>1</v>
      </c>
      <c r="L355" s="621">
        <v>45.36</v>
      </c>
      <c r="M355" s="476">
        <f>((M$364*N$364)/240)*($H355/N355)</f>
        <v>2.0833333333333337E-4</v>
      </c>
      <c r="N355" s="309">
        <f t="shared" si="60"/>
        <v>3</v>
      </c>
      <c r="O355" s="520">
        <f t="shared" si="51"/>
        <v>2.8350000000000007E-2</v>
      </c>
      <c r="P355" s="261">
        <v>39054.215812500006</v>
      </c>
      <c r="Q355" s="604">
        <f t="shared" si="52"/>
        <v>1107.1870182843754</v>
      </c>
      <c r="R355" s="380">
        <v>40474.546560000003</v>
      </c>
      <c r="S355" s="603">
        <f t="shared" si="53"/>
        <v>1147.4533949760003</v>
      </c>
      <c r="T355" s="380">
        <v>43712.510284800002</v>
      </c>
      <c r="U355" s="605">
        <f t="shared" si="54"/>
        <v>1239.2496665740805</v>
      </c>
      <c r="V355" s="380">
        <f t="shared" si="58"/>
        <v>41080.424219100001</v>
      </c>
      <c r="W355" s="267">
        <f t="shared" si="55"/>
        <v>1164.6300266114854</v>
      </c>
      <c r="X355" s="578"/>
      <c r="Y355" s="775">
        <f t="shared" si="59"/>
        <v>24.408884882812508</v>
      </c>
      <c r="Z355" s="381"/>
    </row>
    <row r="356" spans="2:26" x14ac:dyDescent="0.35">
      <c r="B356" s="622"/>
      <c r="E356" s="623"/>
      <c r="F356" s="151" t="s">
        <v>232</v>
      </c>
      <c r="G356" s="316" t="s">
        <v>183</v>
      </c>
      <c r="H356" s="317">
        <v>1</v>
      </c>
      <c r="I356" s="318" t="s">
        <v>228</v>
      </c>
      <c r="J356" s="316" t="s">
        <v>179</v>
      </c>
      <c r="K356" s="433">
        <v>1</v>
      </c>
      <c r="L356" s="621">
        <v>45.36</v>
      </c>
      <c r="M356" s="476">
        <f>((M$364*N$364)/240)*($H356/N356)</f>
        <v>1.0416666666666669E-4</v>
      </c>
      <c r="N356" s="309">
        <f t="shared" si="60"/>
        <v>3</v>
      </c>
      <c r="O356" s="520">
        <f t="shared" si="51"/>
        <v>1.4175000000000004E-2</v>
      </c>
      <c r="P356" s="261">
        <v>104144.57550000001</v>
      </c>
      <c r="Q356" s="604">
        <f t="shared" si="52"/>
        <v>1476.2493577125006</v>
      </c>
      <c r="R356" s="380">
        <v>107932.12416000002</v>
      </c>
      <c r="S356" s="603">
        <f t="shared" si="53"/>
        <v>1529.9378599680008</v>
      </c>
      <c r="T356" s="380">
        <v>116566.69409280003</v>
      </c>
      <c r="U356" s="605">
        <f t="shared" si="54"/>
        <v>1652.3328887654409</v>
      </c>
      <c r="V356" s="380">
        <f t="shared" si="58"/>
        <v>109547.79791760002</v>
      </c>
      <c r="W356" s="267">
        <f t="shared" si="55"/>
        <v>1552.8400354819807</v>
      </c>
      <c r="X356" s="578"/>
      <c r="Y356" s="775">
        <f t="shared" si="59"/>
        <v>32.545179843750013</v>
      </c>
      <c r="Z356" s="381"/>
    </row>
    <row r="357" spans="2:26" x14ac:dyDescent="0.35">
      <c r="B357" s="622"/>
      <c r="E357" s="623"/>
      <c r="F357" s="428" t="s">
        <v>379</v>
      </c>
      <c r="G357" s="316" t="s">
        <v>181</v>
      </c>
      <c r="H357" s="317"/>
      <c r="I357" s="318"/>
      <c r="J357" s="316" t="s">
        <v>319</v>
      </c>
      <c r="K357" s="433">
        <v>1</v>
      </c>
      <c r="L357" s="621">
        <v>45.36</v>
      </c>
      <c r="M357" s="770">
        <f>(2075*136)/1000</f>
        <v>282.2</v>
      </c>
      <c r="N357" s="309">
        <v>1</v>
      </c>
      <c r="O357" s="520">
        <f t="shared" si="51"/>
        <v>12800.591999999999</v>
      </c>
      <c r="P357" s="261">
        <v>1057.4904375000001</v>
      </c>
      <c r="Q357" s="604">
        <f t="shared" si="52"/>
        <v>13536503.634338999</v>
      </c>
      <c r="R357" s="380">
        <v>1157.9700000000005</v>
      </c>
      <c r="S357" s="603">
        <f t="shared" si="53"/>
        <v>14822701.518240005</v>
      </c>
      <c r="T357" s="380">
        <v>1273.7670000000007</v>
      </c>
      <c r="U357" s="605">
        <f t="shared" si="54"/>
        <v>16304971.670064008</v>
      </c>
      <c r="V357" s="380">
        <f t="shared" si="58"/>
        <v>1163.0758125000004</v>
      </c>
      <c r="W357" s="267">
        <f t="shared" si="55"/>
        <v>14888058.940881005</v>
      </c>
      <c r="X357" s="578"/>
      <c r="Y357" s="775">
        <f t="shared" si="59"/>
        <v>298423.80146250001</v>
      </c>
      <c r="Z357" s="381"/>
    </row>
    <row r="358" spans="2:26" customFormat="1" x14ac:dyDescent="0.35">
      <c r="B358" s="606" t="s">
        <v>613</v>
      </c>
      <c r="C358" s="716"/>
      <c r="D358" s="716"/>
      <c r="E358" s="717"/>
      <c r="F358" s="609"/>
      <c r="G358" s="610"/>
      <c r="H358" s="611"/>
      <c r="I358" s="612"/>
      <c r="J358" s="610"/>
      <c r="K358" s="613"/>
      <c r="L358" s="614"/>
      <c r="M358" s="615"/>
      <c r="N358" s="616"/>
      <c r="O358" s="611"/>
      <c r="P358" s="617"/>
      <c r="Q358" s="618">
        <f>SUM(Q349:Q357)</f>
        <v>30535772.857530139</v>
      </c>
      <c r="R358" s="617"/>
      <c r="S358" s="718">
        <f>SUM(S347:S357)</f>
        <v>31784011.466040291</v>
      </c>
      <c r="T358" s="776"/>
      <c r="U358" s="776"/>
      <c r="V358" s="776"/>
      <c r="W358" s="776"/>
      <c r="X358" s="611"/>
      <c r="Y358" s="619">
        <f>Q358/$D$1</f>
        <v>673187.23230886552</v>
      </c>
      <c r="Z358" s="619">
        <f>Q358/$Q$424*100</f>
        <v>3.5949858744702961</v>
      </c>
    </row>
    <row r="359" spans="2:26" x14ac:dyDescent="0.35">
      <c r="B359" s="790"/>
      <c r="C359" s="791"/>
      <c r="D359" s="700" t="s">
        <v>586</v>
      </c>
      <c r="E359" s="701"/>
      <c r="F359" s="151" t="s">
        <v>177</v>
      </c>
      <c r="G359" s="316" t="s">
        <v>178</v>
      </c>
      <c r="H359" s="317"/>
      <c r="I359" s="318"/>
      <c r="J359" s="316" t="s">
        <v>179</v>
      </c>
      <c r="K359" s="433">
        <v>1</v>
      </c>
      <c r="L359" s="621">
        <v>45.36</v>
      </c>
      <c r="M359" s="476">
        <v>0.5</v>
      </c>
      <c r="N359" s="309">
        <v>3</v>
      </c>
      <c r="O359" s="520">
        <f t="shared" si="51"/>
        <v>68.039999999999992</v>
      </c>
      <c r="P359" s="261">
        <v>180115.58081830497</v>
      </c>
      <c r="Q359" s="604">
        <f>P359*$O359</f>
        <v>12255064.118877469</v>
      </c>
      <c r="R359" s="380">
        <v>179635.86432000002</v>
      </c>
      <c r="S359" s="603">
        <f t="shared" si="53"/>
        <v>12222424.208332799</v>
      </c>
      <c r="T359" s="380">
        <v>197599.45075200003</v>
      </c>
      <c r="U359" s="605">
        <f t="shared" si="54"/>
        <v>13444666.629166082</v>
      </c>
      <c r="V359" s="380">
        <f t="shared" si="58"/>
        <v>185783.63196343504</v>
      </c>
      <c r="W359" s="267">
        <f t="shared" si="55"/>
        <v>12640718.318792118</v>
      </c>
      <c r="X359" s="578"/>
      <c r="Y359" s="775">
        <f t="shared" si="59"/>
        <v>270173.37122745742</v>
      </c>
      <c r="Z359" s="381"/>
    </row>
    <row r="360" spans="2:26" x14ac:dyDescent="0.35">
      <c r="B360" s="622"/>
      <c r="D360" t="s">
        <v>614</v>
      </c>
      <c r="E360" s="519"/>
      <c r="F360" s="151" t="s">
        <v>353</v>
      </c>
      <c r="G360" s="316" t="s">
        <v>178</v>
      </c>
      <c r="H360" s="317"/>
      <c r="I360" s="318"/>
      <c r="J360" s="316" t="s">
        <v>179</v>
      </c>
      <c r="K360" s="433">
        <v>1</v>
      </c>
      <c r="L360" s="621">
        <v>45.36</v>
      </c>
      <c r="M360" s="476">
        <v>0.18</v>
      </c>
      <c r="N360" s="309">
        <f>N359</f>
        <v>3</v>
      </c>
      <c r="O360" s="520">
        <f t="shared" si="51"/>
        <v>24.494399999999999</v>
      </c>
      <c r="P360" s="261">
        <v>180115.58081830497</v>
      </c>
      <c r="Q360" s="604">
        <f t="shared" si="52"/>
        <v>4411823.0827958891</v>
      </c>
      <c r="R360" s="380">
        <v>179635.86432000002</v>
      </c>
      <c r="S360" s="603">
        <f t="shared" si="53"/>
        <v>4400072.714999808</v>
      </c>
      <c r="T360" s="380">
        <v>197599.45075200003</v>
      </c>
      <c r="U360" s="605">
        <f t="shared" si="54"/>
        <v>4840079.9864997892</v>
      </c>
      <c r="V360" s="380">
        <f t="shared" si="58"/>
        <v>185783.63196343504</v>
      </c>
      <c r="W360" s="267">
        <f t="shared" si="55"/>
        <v>4550658.594765163</v>
      </c>
      <c r="X360" s="578"/>
      <c r="Y360" s="775">
        <f t="shared" si="59"/>
        <v>97262.413641884676</v>
      </c>
      <c r="Z360" s="381"/>
    </row>
    <row r="361" spans="2:26" x14ac:dyDescent="0.35">
      <c r="B361" s="622"/>
      <c r="D361" t="s">
        <v>615</v>
      </c>
      <c r="E361" s="519"/>
      <c r="F361" s="151" t="s">
        <v>226</v>
      </c>
      <c r="G361" s="316" t="s">
        <v>178</v>
      </c>
      <c r="H361" s="317"/>
      <c r="I361" s="318"/>
      <c r="J361" s="316" t="s">
        <v>179</v>
      </c>
      <c r="K361" s="433">
        <v>1</v>
      </c>
      <c r="L361" s="621">
        <v>45.36</v>
      </c>
      <c r="M361" s="476">
        <f>M359</f>
        <v>0.5</v>
      </c>
      <c r="N361" s="309">
        <f t="shared" ref="N361:N366" si="61">N360</f>
        <v>3</v>
      </c>
      <c r="O361" s="520">
        <f t="shared" si="51"/>
        <v>68.039999999999992</v>
      </c>
      <c r="P361" s="261">
        <v>4759.9254973124989</v>
      </c>
      <c r="Q361" s="604">
        <f t="shared" si="52"/>
        <v>323865.33083714236</v>
      </c>
      <c r="R361" s="380">
        <v>4849.8912000000009</v>
      </c>
      <c r="S361" s="603">
        <f t="shared" si="53"/>
        <v>329986.59724800003</v>
      </c>
      <c r="T361" s="380">
        <v>5237.8824960000011</v>
      </c>
      <c r="U361" s="605">
        <f t="shared" si="54"/>
        <v>356385.52502784005</v>
      </c>
      <c r="V361" s="380">
        <f t="shared" si="58"/>
        <v>4949.2330644374997</v>
      </c>
      <c r="W361" s="267">
        <f t="shared" si="55"/>
        <v>336745.81770432746</v>
      </c>
      <c r="X361" s="578"/>
      <c r="Y361" s="775">
        <f t="shared" si="59"/>
        <v>7139.8882459687475</v>
      </c>
      <c r="Z361" s="381"/>
    </row>
    <row r="362" spans="2:26" x14ac:dyDescent="0.35">
      <c r="B362" s="622"/>
      <c r="D362" t="s">
        <v>616</v>
      </c>
      <c r="E362" s="519"/>
      <c r="F362" s="151" t="s">
        <v>354</v>
      </c>
      <c r="G362" s="316" t="s">
        <v>183</v>
      </c>
      <c r="H362" s="317">
        <v>1</v>
      </c>
      <c r="I362" s="318" t="s">
        <v>228</v>
      </c>
      <c r="J362" s="316" t="s">
        <v>179</v>
      </c>
      <c r="K362" s="433">
        <v>1</v>
      </c>
      <c r="L362" s="621">
        <v>45.36</v>
      </c>
      <c r="M362" s="476">
        <f>((M$359*N$359)/240)*($H362/N362)</f>
        <v>2.0833333333333333E-3</v>
      </c>
      <c r="N362" s="309">
        <f t="shared" si="61"/>
        <v>3</v>
      </c>
      <c r="O362" s="520">
        <f t="shared" si="51"/>
        <v>0.28349999999999997</v>
      </c>
      <c r="P362" s="261">
        <v>6077.53125</v>
      </c>
      <c r="Q362" s="604">
        <f t="shared" si="52"/>
        <v>1722.9801093749998</v>
      </c>
      <c r="R362" s="380">
        <v>6298.56</v>
      </c>
      <c r="S362" s="603">
        <f t="shared" si="53"/>
        <v>1785.64176</v>
      </c>
      <c r="T362" s="380">
        <v>6802.4448000000011</v>
      </c>
      <c r="U362" s="605">
        <f t="shared" si="54"/>
        <v>1928.4931008000001</v>
      </c>
      <c r="V362" s="380">
        <f t="shared" si="58"/>
        <v>6392.8453500000005</v>
      </c>
      <c r="W362" s="267">
        <f t="shared" si="55"/>
        <v>1812.3716567250001</v>
      </c>
      <c r="X362" s="578"/>
      <c r="Y362" s="775">
        <f t="shared" si="59"/>
        <v>37.984570312499997</v>
      </c>
      <c r="Z362" s="381"/>
    </row>
    <row r="363" spans="2:26" x14ac:dyDescent="0.35">
      <c r="B363" s="622"/>
      <c r="D363"/>
      <c r="E363" s="519"/>
      <c r="F363" s="151" t="s">
        <v>227</v>
      </c>
      <c r="G363" s="316" t="s">
        <v>183</v>
      </c>
      <c r="H363" s="317">
        <v>4</v>
      </c>
      <c r="I363" s="318" t="s">
        <v>228</v>
      </c>
      <c r="J363" s="316" t="s">
        <v>179</v>
      </c>
      <c r="K363" s="433">
        <v>1</v>
      </c>
      <c r="L363" s="621">
        <v>45.36</v>
      </c>
      <c r="M363" s="476">
        <f>((M$359*N$359)/240)*($H363/N363)</f>
        <v>8.3333333333333332E-3</v>
      </c>
      <c r="N363" s="309">
        <f t="shared" si="61"/>
        <v>3</v>
      </c>
      <c r="O363" s="520">
        <f t="shared" si="51"/>
        <v>1.1339999999999999</v>
      </c>
      <c r="P363" s="261">
        <v>52072.287750000003</v>
      </c>
      <c r="Q363" s="604">
        <f t="shared" si="52"/>
        <v>59049.974308500001</v>
      </c>
      <c r="R363" s="380">
        <v>53966.062080000011</v>
      </c>
      <c r="S363" s="603">
        <f t="shared" si="53"/>
        <v>61197.514398720006</v>
      </c>
      <c r="T363" s="380">
        <v>58283.347046400013</v>
      </c>
      <c r="U363" s="605">
        <f t="shared" si="54"/>
        <v>66093.315550617612</v>
      </c>
      <c r="V363" s="380">
        <f t="shared" si="58"/>
        <v>54773.898958800011</v>
      </c>
      <c r="W363" s="267">
        <f t="shared" si="55"/>
        <v>62113.601419279206</v>
      </c>
      <c r="X363" s="578"/>
      <c r="Y363" s="775">
        <f t="shared" si="59"/>
        <v>1301.8071937500001</v>
      </c>
      <c r="Z363" s="381"/>
    </row>
    <row r="364" spans="2:26" x14ac:dyDescent="0.35">
      <c r="B364" s="622"/>
      <c r="D364"/>
      <c r="E364" s="519"/>
      <c r="F364" s="151" t="s">
        <v>229</v>
      </c>
      <c r="G364" s="316" t="s">
        <v>183</v>
      </c>
      <c r="H364" s="317">
        <v>12</v>
      </c>
      <c r="I364" s="318" t="s">
        <v>228</v>
      </c>
      <c r="J364" s="316" t="s">
        <v>179</v>
      </c>
      <c r="K364" s="433">
        <v>1</v>
      </c>
      <c r="L364" s="621">
        <v>45.36</v>
      </c>
      <c r="M364" s="476">
        <f>((M$359*N$359)/240)*($H364/N364)</f>
        <v>2.5000000000000001E-2</v>
      </c>
      <c r="N364" s="309">
        <f t="shared" si="61"/>
        <v>3</v>
      </c>
      <c r="O364" s="520">
        <f t="shared" si="51"/>
        <v>3.4020000000000001</v>
      </c>
      <c r="P364" s="261">
        <v>17017.087500000001</v>
      </c>
      <c r="Q364" s="604">
        <f t="shared" si="52"/>
        <v>57892.131675000004</v>
      </c>
      <c r="R364" s="380">
        <v>17635.968000000004</v>
      </c>
      <c r="S364" s="603">
        <f t="shared" si="53"/>
        <v>59997.563136000019</v>
      </c>
      <c r="T364" s="380">
        <v>19046.845440000005</v>
      </c>
      <c r="U364" s="605">
        <f t="shared" si="54"/>
        <v>64797.368186880019</v>
      </c>
      <c r="V364" s="380">
        <f t="shared" si="58"/>
        <v>17899.966980000005</v>
      </c>
      <c r="W364" s="267">
        <f t="shared" si="55"/>
        <v>60895.687665960017</v>
      </c>
      <c r="X364" s="578"/>
      <c r="Y364" s="775">
        <f t="shared" si="59"/>
        <v>1276.2815625000001</v>
      </c>
      <c r="Z364" s="381"/>
    </row>
    <row r="365" spans="2:26" x14ac:dyDescent="0.35">
      <c r="B365" s="622"/>
      <c r="D365"/>
      <c r="E365" s="519"/>
      <c r="F365" s="151" t="s">
        <v>231</v>
      </c>
      <c r="G365" s="316" t="s">
        <v>183</v>
      </c>
      <c r="H365" s="317">
        <v>2</v>
      </c>
      <c r="I365" s="318" t="s">
        <v>228</v>
      </c>
      <c r="J365" s="316" t="s">
        <v>179</v>
      </c>
      <c r="K365" s="433">
        <v>1</v>
      </c>
      <c r="L365" s="621">
        <v>45.36</v>
      </c>
      <c r="M365" s="476">
        <f>((M$359*N$359)/240)*($H365/N365)</f>
        <v>4.1666666666666666E-3</v>
      </c>
      <c r="N365" s="309">
        <f t="shared" si="61"/>
        <v>3</v>
      </c>
      <c r="O365" s="520">
        <f t="shared" si="51"/>
        <v>0.56699999999999995</v>
      </c>
      <c r="P365" s="261">
        <v>39054.215812500006</v>
      </c>
      <c r="Q365" s="604">
        <f t="shared" si="52"/>
        <v>22143.740365687503</v>
      </c>
      <c r="R365" s="380">
        <v>40474.546560000003</v>
      </c>
      <c r="S365" s="603">
        <f t="shared" si="53"/>
        <v>22949.06789952</v>
      </c>
      <c r="T365" s="380">
        <v>43712.510284800002</v>
      </c>
      <c r="U365" s="605">
        <f t="shared" si="54"/>
        <v>24784.993331481601</v>
      </c>
      <c r="V365" s="380">
        <f t="shared" si="58"/>
        <v>41080.424219100001</v>
      </c>
      <c r="W365" s="267">
        <f t="shared" si="55"/>
        <v>23292.600532229699</v>
      </c>
      <c r="X365" s="578"/>
      <c r="Y365" s="775">
        <f t="shared" si="59"/>
        <v>488.17769765625007</v>
      </c>
      <c r="Z365" s="381"/>
    </row>
    <row r="366" spans="2:26" x14ac:dyDescent="0.35">
      <c r="B366" s="622"/>
      <c r="D366"/>
      <c r="E366" s="519"/>
      <c r="F366" s="151" t="s">
        <v>232</v>
      </c>
      <c r="G366" s="316" t="s">
        <v>183</v>
      </c>
      <c r="H366" s="317">
        <v>1</v>
      </c>
      <c r="I366" s="318" t="s">
        <v>228</v>
      </c>
      <c r="J366" s="316" t="s">
        <v>179</v>
      </c>
      <c r="K366" s="433">
        <v>1</v>
      </c>
      <c r="L366" s="621">
        <v>45.36</v>
      </c>
      <c r="M366" s="476">
        <f>((M$359*N$359)/240)*($H366/N366)</f>
        <v>2.0833333333333333E-3</v>
      </c>
      <c r="N366" s="309">
        <f t="shared" si="61"/>
        <v>3</v>
      </c>
      <c r="O366" s="520">
        <f t="shared" si="51"/>
        <v>0.28349999999999997</v>
      </c>
      <c r="P366" s="261">
        <v>104144.57550000001</v>
      </c>
      <c r="Q366" s="604">
        <f t="shared" si="52"/>
        <v>29524.98715425</v>
      </c>
      <c r="R366" s="380">
        <v>107932.12416000002</v>
      </c>
      <c r="S366" s="603">
        <f t="shared" si="53"/>
        <v>30598.757199360003</v>
      </c>
      <c r="T366" s="380">
        <v>116566.69409280003</v>
      </c>
      <c r="U366" s="605">
        <f t="shared" si="54"/>
        <v>33046.657775308806</v>
      </c>
      <c r="V366" s="380">
        <f t="shared" si="58"/>
        <v>109547.79791760002</v>
      </c>
      <c r="W366" s="267">
        <f t="shared" si="55"/>
        <v>31056.800709639603</v>
      </c>
      <c r="X366" s="578"/>
      <c r="Y366" s="775">
        <f t="shared" si="59"/>
        <v>650.90359687500006</v>
      </c>
      <c r="Z366" s="381"/>
    </row>
    <row r="367" spans="2:26" x14ac:dyDescent="0.35">
      <c r="B367" s="622"/>
      <c r="D367"/>
      <c r="E367" s="519"/>
      <c r="F367" s="428" t="s">
        <v>552</v>
      </c>
      <c r="G367" s="316" t="s">
        <v>181</v>
      </c>
      <c r="H367" s="317"/>
      <c r="I367" s="318"/>
      <c r="J367" s="316" t="s">
        <v>319</v>
      </c>
      <c r="K367" s="433">
        <v>1</v>
      </c>
      <c r="L367" s="621">
        <v>45.36</v>
      </c>
      <c r="M367" s="770">
        <f>(4900*136)/1000</f>
        <v>666.4</v>
      </c>
      <c r="N367" s="259">
        <v>1</v>
      </c>
      <c r="O367" s="520">
        <f t="shared" si="51"/>
        <v>30227.903999999999</v>
      </c>
      <c r="P367" s="261">
        <v>7478.4022031250006</v>
      </c>
      <c r="Q367" s="604">
        <f t="shared" si="52"/>
        <v>226056423.86945102</v>
      </c>
      <c r="R367" s="380">
        <v>8188.9775000000027</v>
      </c>
      <c r="S367" s="603">
        <f t="shared" si="53"/>
        <v>247535625.72816008</v>
      </c>
      <c r="T367" s="380">
        <v>9007.8752500000046</v>
      </c>
      <c r="U367" s="605">
        <f t="shared" si="54"/>
        <v>272289188.3009761</v>
      </c>
      <c r="V367" s="380">
        <f t="shared" si="58"/>
        <v>8225.084984375002</v>
      </c>
      <c r="W367" s="267">
        <f t="shared" si="55"/>
        <v>248627079.29952908</v>
      </c>
      <c r="X367" s="578"/>
      <c r="Y367" s="775">
        <f t="shared" si="59"/>
        <v>4983607.2281625001</v>
      </c>
      <c r="Z367" s="381"/>
    </row>
    <row r="368" spans="2:26" customFormat="1" x14ac:dyDescent="0.35">
      <c r="B368" s="606" t="s">
        <v>590</v>
      </c>
      <c r="C368" s="716"/>
      <c r="D368" s="716"/>
      <c r="E368" s="717"/>
      <c r="F368" s="609"/>
      <c r="G368" s="610"/>
      <c r="H368" s="611"/>
      <c r="I368" s="612"/>
      <c r="J368" s="610"/>
      <c r="K368" s="613"/>
      <c r="L368" s="614"/>
      <c r="M368" s="615"/>
      <c r="N368" s="616"/>
      <c r="O368" s="611"/>
      <c r="P368" s="617"/>
      <c r="Q368" s="618">
        <f>SUM(Q359:Q367)</f>
        <v>243217510.21557432</v>
      </c>
      <c r="R368" s="617"/>
      <c r="S368" s="718">
        <f>SUM(S357:S367)</f>
        <v>311271350.77741456</v>
      </c>
      <c r="T368" s="776"/>
      <c r="U368" s="776"/>
      <c r="V368" s="776"/>
      <c r="W368" s="776"/>
      <c r="X368" s="611"/>
      <c r="Y368" s="619">
        <f>Q368/$D$1</f>
        <v>5361938.0558989048</v>
      </c>
      <c r="Z368" s="619">
        <f>Q368/$Q$424*100</f>
        <v>28.634071838571661</v>
      </c>
    </row>
    <row r="369" spans="2:26" x14ac:dyDescent="0.35">
      <c r="B369" s="622"/>
      <c r="D369" s="700" t="s">
        <v>560</v>
      </c>
      <c r="E369" s="701"/>
      <c r="F369" s="151" t="s">
        <v>177</v>
      </c>
      <c r="G369" s="316" t="s">
        <v>178</v>
      </c>
      <c r="H369" s="317"/>
      <c r="I369" s="318"/>
      <c r="J369" s="316" t="s">
        <v>179</v>
      </c>
      <c r="K369" s="433">
        <v>1</v>
      </c>
      <c r="L369" s="621">
        <v>45.36</v>
      </c>
      <c r="M369" s="769">
        <v>0.2</v>
      </c>
      <c r="N369" s="309">
        <v>1</v>
      </c>
      <c r="O369" s="520">
        <f t="shared" si="51"/>
        <v>9.072000000000001</v>
      </c>
      <c r="P369" s="261">
        <v>180115.58081830497</v>
      </c>
      <c r="Q369" s="604">
        <f t="shared" ref="Q369:Q383" si="62">P369*$O369</f>
        <v>1634008.5491836627</v>
      </c>
      <c r="R369" s="603"/>
      <c r="S369" s="603"/>
      <c r="T369" s="603"/>
      <c r="U369" s="605"/>
      <c r="V369" s="603"/>
      <c r="W369" s="267"/>
      <c r="X369" s="578"/>
      <c r="Y369" s="775">
        <f t="shared" si="59"/>
        <v>36023.116163660998</v>
      </c>
      <c r="Z369" s="381"/>
    </row>
    <row r="370" spans="2:26" x14ac:dyDescent="0.35">
      <c r="B370" s="622"/>
      <c r="D370" t="s">
        <v>617</v>
      </c>
      <c r="E370" s="519"/>
      <c r="F370" s="151" t="s">
        <v>353</v>
      </c>
      <c r="G370" s="316" t="s">
        <v>178</v>
      </c>
      <c r="H370" s="317"/>
      <c r="I370" s="318"/>
      <c r="J370" s="316" t="s">
        <v>179</v>
      </c>
      <c r="K370" s="433">
        <v>1</v>
      </c>
      <c r="L370" s="621">
        <v>45.36</v>
      </c>
      <c r="M370" s="476">
        <v>0.18</v>
      </c>
      <c r="N370" s="309">
        <f>N369</f>
        <v>1</v>
      </c>
      <c r="O370" s="520">
        <f t="shared" si="51"/>
        <v>8.1647999999999996</v>
      </c>
      <c r="P370" s="261">
        <v>180115.58081830497</v>
      </c>
      <c r="Q370" s="604">
        <f t="shared" si="62"/>
        <v>1470607.6942652962</v>
      </c>
      <c r="R370" s="603"/>
      <c r="S370" s="603"/>
      <c r="T370" s="603"/>
      <c r="U370" s="605"/>
      <c r="V370" s="603"/>
      <c r="W370" s="267"/>
      <c r="X370" s="578"/>
      <c r="Y370" s="775">
        <f t="shared" si="59"/>
        <v>32420.804547294891</v>
      </c>
      <c r="Z370" s="381"/>
    </row>
    <row r="371" spans="2:26" x14ac:dyDescent="0.35">
      <c r="B371" s="622"/>
      <c r="D371"/>
      <c r="E371" s="519"/>
      <c r="F371" s="151" t="s">
        <v>226</v>
      </c>
      <c r="G371" s="316" t="s">
        <v>178</v>
      </c>
      <c r="H371" s="317"/>
      <c r="I371" s="318"/>
      <c r="J371" s="316" t="s">
        <v>179</v>
      </c>
      <c r="K371" s="433">
        <v>1</v>
      </c>
      <c r="L371" s="621">
        <v>45.36</v>
      </c>
      <c r="M371" s="476">
        <f>M369</f>
        <v>0.2</v>
      </c>
      <c r="N371" s="309">
        <f t="shared" ref="N371:N376" si="63">N370</f>
        <v>1</v>
      </c>
      <c r="O371" s="520">
        <f t="shared" si="51"/>
        <v>9.072000000000001</v>
      </c>
      <c r="P371" s="261">
        <v>4759.9254973124989</v>
      </c>
      <c r="Q371" s="604">
        <f t="shared" si="62"/>
        <v>43182.044111618998</v>
      </c>
      <c r="R371" s="603"/>
      <c r="S371" s="603"/>
      <c r="T371" s="603"/>
      <c r="U371" s="605"/>
      <c r="V371" s="603"/>
      <c r="W371" s="267"/>
      <c r="X371" s="578"/>
      <c r="Y371" s="775">
        <f t="shared" si="59"/>
        <v>951.98509946249999</v>
      </c>
      <c r="Z371" s="381"/>
    </row>
    <row r="372" spans="2:26" x14ac:dyDescent="0.35">
      <c r="B372" s="622"/>
      <c r="D372"/>
      <c r="E372" s="519"/>
      <c r="F372" s="151" t="s">
        <v>354</v>
      </c>
      <c r="G372" s="316" t="s">
        <v>183</v>
      </c>
      <c r="H372" s="317">
        <v>1</v>
      </c>
      <c r="I372" s="318" t="s">
        <v>228</v>
      </c>
      <c r="J372" s="316" t="s">
        <v>179</v>
      </c>
      <c r="K372" s="433">
        <v>1</v>
      </c>
      <c r="L372" s="621">
        <v>45.36</v>
      </c>
      <c r="M372" s="476">
        <f>((M$369*N$369)/240)*($H372/N372)</f>
        <v>8.3333333333333339E-4</v>
      </c>
      <c r="N372" s="309">
        <f t="shared" si="63"/>
        <v>1</v>
      </c>
      <c r="O372" s="520">
        <f t="shared" si="51"/>
        <v>3.78E-2</v>
      </c>
      <c r="P372" s="261">
        <v>6077.53125</v>
      </c>
      <c r="Q372" s="604">
        <f t="shared" si="62"/>
        <v>229.73068125</v>
      </c>
      <c r="R372" s="603"/>
      <c r="S372" s="603"/>
      <c r="T372" s="603"/>
      <c r="U372" s="605"/>
      <c r="V372" s="603"/>
      <c r="W372" s="267"/>
      <c r="X372" s="578"/>
      <c r="Y372" s="775">
        <f t="shared" si="59"/>
        <v>5.0646093749999999</v>
      </c>
      <c r="Z372" s="381"/>
    </row>
    <row r="373" spans="2:26" x14ac:dyDescent="0.35">
      <c r="B373" s="622"/>
      <c r="D373"/>
      <c r="E373" s="519"/>
      <c r="F373" s="151" t="s">
        <v>227</v>
      </c>
      <c r="G373" s="316" t="s">
        <v>183</v>
      </c>
      <c r="H373" s="317">
        <v>4</v>
      </c>
      <c r="I373" s="318" t="s">
        <v>228</v>
      </c>
      <c r="J373" s="316" t="s">
        <v>179</v>
      </c>
      <c r="K373" s="433">
        <v>1</v>
      </c>
      <c r="L373" s="621">
        <v>45.36</v>
      </c>
      <c r="M373" s="476">
        <f>((M$369*N$369)/240)*($H373/N373)</f>
        <v>3.3333333333333335E-3</v>
      </c>
      <c r="N373" s="309">
        <f t="shared" si="63"/>
        <v>1</v>
      </c>
      <c r="O373" s="520">
        <f t="shared" si="51"/>
        <v>0.1512</v>
      </c>
      <c r="P373" s="261">
        <v>52072.287750000003</v>
      </c>
      <c r="Q373" s="604">
        <f t="shared" si="62"/>
        <v>7873.3299078000009</v>
      </c>
      <c r="R373" s="603"/>
      <c r="S373" s="603"/>
      <c r="T373" s="603"/>
      <c r="U373" s="605"/>
      <c r="V373" s="603"/>
      <c r="W373" s="267"/>
      <c r="X373" s="578"/>
      <c r="Y373" s="775">
        <f t="shared" si="59"/>
        <v>173.57429250000001</v>
      </c>
      <c r="Z373" s="381"/>
    </row>
    <row r="374" spans="2:26" x14ac:dyDescent="0.35">
      <c r="B374" s="622"/>
      <c r="D374"/>
      <c r="E374" s="519"/>
      <c r="F374" s="151" t="s">
        <v>229</v>
      </c>
      <c r="G374" s="316" t="s">
        <v>183</v>
      </c>
      <c r="H374" s="317">
        <v>12</v>
      </c>
      <c r="I374" s="318" t="s">
        <v>228</v>
      </c>
      <c r="J374" s="316" t="s">
        <v>179</v>
      </c>
      <c r="K374" s="433">
        <v>1</v>
      </c>
      <c r="L374" s="621">
        <v>45.36</v>
      </c>
      <c r="M374" s="476">
        <f>((M$369*N$369)/240)*($H374/N374)</f>
        <v>0.01</v>
      </c>
      <c r="N374" s="309">
        <f t="shared" si="63"/>
        <v>1</v>
      </c>
      <c r="O374" s="520">
        <f t="shared" si="51"/>
        <v>0.4536</v>
      </c>
      <c r="P374" s="261">
        <v>17017.087500000001</v>
      </c>
      <c r="Q374" s="604">
        <f t="shared" si="62"/>
        <v>7718.950890000001</v>
      </c>
      <c r="R374" s="603"/>
      <c r="S374" s="603"/>
      <c r="T374" s="603"/>
      <c r="U374" s="605"/>
      <c r="V374" s="603"/>
      <c r="W374" s="267"/>
      <c r="X374" s="578"/>
      <c r="Y374" s="775">
        <f t="shared" si="59"/>
        <v>170.17087500000002</v>
      </c>
      <c r="Z374" s="381"/>
    </row>
    <row r="375" spans="2:26" x14ac:dyDescent="0.35">
      <c r="B375" s="622"/>
      <c r="D375"/>
      <c r="E375" s="519"/>
      <c r="F375" s="151" t="s">
        <v>231</v>
      </c>
      <c r="G375" s="316" t="s">
        <v>183</v>
      </c>
      <c r="H375" s="317">
        <v>2</v>
      </c>
      <c r="I375" s="318" t="s">
        <v>228</v>
      </c>
      <c r="J375" s="316" t="s">
        <v>179</v>
      </c>
      <c r="K375" s="433">
        <v>1</v>
      </c>
      <c r="L375" s="621">
        <v>45.36</v>
      </c>
      <c r="M375" s="476">
        <f>((M$369*N$369)/240)*($H375/N375)</f>
        <v>1.6666666666666668E-3</v>
      </c>
      <c r="N375" s="309">
        <f t="shared" si="63"/>
        <v>1</v>
      </c>
      <c r="O375" s="520">
        <f t="shared" si="51"/>
        <v>7.5600000000000001E-2</v>
      </c>
      <c r="P375" s="261">
        <v>39054.215812500006</v>
      </c>
      <c r="Q375" s="604">
        <f t="shared" si="62"/>
        <v>2952.4987154250007</v>
      </c>
      <c r="R375" s="603"/>
      <c r="S375" s="603"/>
      <c r="T375" s="603"/>
      <c r="U375" s="605"/>
      <c r="V375" s="603"/>
      <c r="W375" s="267"/>
      <c r="X375" s="578"/>
      <c r="Y375" s="775">
        <f t="shared" si="59"/>
        <v>65.090359687500012</v>
      </c>
      <c r="Z375" s="381"/>
    </row>
    <row r="376" spans="2:26" x14ac:dyDescent="0.35">
      <c r="B376" s="622"/>
      <c r="D376"/>
      <c r="E376" s="519"/>
      <c r="F376" s="151" t="s">
        <v>232</v>
      </c>
      <c r="G376" s="316" t="s">
        <v>183</v>
      </c>
      <c r="H376" s="317">
        <v>1</v>
      </c>
      <c r="I376" s="318" t="s">
        <v>228</v>
      </c>
      <c r="J376" s="316" t="s">
        <v>179</v>
      </c>
      <c r="K376" s="433">
        <v>1</v>
      </c>
      <c r="L376" s="621">
        <v>45.36</v>
      </c>
      <c r="M376" s="476">
        <f>((M$369*N$369)/240)*($H376/N376)</f>
        <v>8.3333333333333339E-4</v>
      </c>
      <c r="N376" s="309">
        <f t="shared" si="63"/>
        <v>1</v>
      </c>
      <c r="O376" s="520">
        <f t="shared" si="51"/>
        <v>3.78E-2</v>
      </c>
      <c r="P376" s="261">
        <v>104144.57550000001</v>
      </c>
      <c r="Q376" s="604">
        <f t="shared" si="62"/>
        <v>3936.6649539000005</v>
      </c>
      <c r="R376" s="603"/>
      <c r="S376" s="603"/>
      <c r="T376" s="603"/>
      <c r="U376" s="605"/>
      <c r="V376" s="603"/>
      <c r="W376" s="267"/>
      <c r="X376" s="578"/>
      <c r="Y376" s="775">
        <f t="shared" si="59"/>
        <v>86.787146250000006</v>
      </c>
      <c r="Z376" s="381"/>
    </row>
    <row r="377" spans="2:26" x14ac:dyDescent="0.35">
      <c r="B377" s="622"/>
      <c r="D377"/>
      <c r="E377" s="519"/>
      <c r="F377" s="428" t="s">
        <v>418</v>
      </c>
      <c r="G377" s="316" t="s">
        <v>181</v>
      </c>
      <c r="H377" s="317"/>
      <c r="I377" s="318"/>
      <c r="J377" s="316" t="s">
        <v>319</v>
      </c>
      <c r="K377" s="433">
        <v>1</v>
      </c>
      <c r="L377" s="621">
        <v>45.36</v>
      </c>
      <c r="M377" s="476">
        <f>(50*136)/1000</f>
        <v>6.8</v>
      </c>
      <c r="N377" s="309">
        <v>1</v>
      </c>
      <c r="O377" s="520">
        <f t="shared" si="51"/>
        <v>308.44799999999998</v>
      </c>
      <c r="P377" s="261">
        <v>13516.429500000002</v>
      </c>
      <c r="Q377" s="604">
        <f t="shared" si="62"/>
        <v>4169115.6464160006</v>
      </c>
      <c r="R377" s="603"/>
      <c r="S377" s="603"/>
      <c r="T377" s="603"/>
      <c r="U377" s="605"/>
      <c r="V377" s="603"/>
      <c r="W377" s="267"/>
      <c r="X377" s="578"/>
      <c r="Y377" s="775">
        <f t="shared" si="59"/>
        <v>91911.720600000015</v>
      </c>
      <c r="Z377" s="381"/>
    </row>
    <row r="378" spans="2:26" customFormat="1" x14ac:dyDescent="0.35">
      <c r="B378" s="606" t="s">
        <v>592</v>
      </c>
      <c r="C378" s="716"/>
      <c r="D378" s="716"/>
      <c r="E378" s="717"/>
      <c r="F378" s="609"/>
      <c r="G378" s="610"/>
      <c r="H378" s="611"/>
      <c r="I378" s="612"/>
      <c r="J378" s="610"/>
      <c r="K378" s="613"/>
      <c r="L378" s="614"/>
      <c r="M378" s="615"/>
      <c r="N378" s="616"/>
      <c r="O378" s="611"/>
      <c r="P378" s="617"/>
      <c r="Q378" s="618">
        <f>SUM(Q369:Q377)</f>
        <v>7339625.1091249529</v>
      </c>
      <c r="R378" s="617"/>
      <c r="S378" s="718">
        <f>SUM(S367:S377)</f>
        <v>558806976.5055747</v>
      </c>
      <c r="T378" s="776"/>
      <c r="U378" s="776"/>
      <c r="V378" s="776"/>
      <c r="W378" s="776"/>
      <c r="X378" s="611"/>
      <c r="Y378" s="619">
        <f>Q378/$D$1</f>
        <v>161808.31369323088</v>
      </c>
      <c r="Z378" s="619">
        <f>Q378/$Q$424*100</f>
        <v>0.864096308101301</v>
      </c>
    </row>
    <row r="379" spans="2:26" x14ac:dyDescent="0.35">
      <c r="B379" s="624"/>
      <c r="C379" s="170" t="s">
        <v>563</v>
      </c>
      <c r="D379" s="170"/>
      <c r="E379" s="646"/>
      <c r="F379" s="151" t="s">
        <v>177</v>
      </c>
      <c r="G379" s="316" t="s">
        <v>178</v>
      </c>
      <c r="H379" s="317"/>
      <c r="I379" s="318"/>
      <c r="J379" s="316"/>
      <c r="K379" s="433">
        <v>1</v>
      </c>
      <c r="L379" s="621">
        <v>45.36</v>
      </c>
      <c r="M379" s="430">
        <v>11.2</v>
      </c>
      <c r="N379" s="259">
        <v>1</v>
      </c>
      <c r="O379" s="520">
        <f t="shared" si="51"/>
        <v>508.03199999999998</v>
      </c>
      <c r="P379" s="261">
        <v>180115.58081830497</v>
      </c>
      <c r="Q379" s="604">
        <f t="shared" si="62"/>
        <v>91504478.754285112</v>
      </c>
      <c r="R379" s="603"/>
      <c r="S379" s="603"/>
      <c r="T379" s="605"/>
      <c r="U379" s="605"/>
      <c r="V379" s="605"/>
      <c r="W379" s="605"/>
      <c r="X379" s="659"/>
      <c r="Y379" s="775">
        <f t="shared" si="59"/>
        <v>2017294.5051650158</v>
      </c>
      <c r="Z379" s="381"/>
    </row>
    <row r="380" spans="2:26" x14ac:dyDescent="0.35">
      <c r="B380" s="622"/>
      <c r="E380" s="623"/>
      <c r="F380" s="151" t="s">
        <v>421</v>
      </c>
      <c r="G380" s="316" t="s">
        <v>361</v>
      </c>
      <c r="H380" s="317"/>
      <c r="I380" s="318"/>
      <c r="J380" s="316"/>
      <c r="K380" s="433">
        <v>1</v>
      </c>
      <c r="L380" s="621">
        <v>45.36</v>
      </c>
      <c r="M380" s="266">
        <f>170*136/1000</f>
        <v>23.12</v>
      </c>
      <c r="N380" s="259">
        <v>1</v>
      </c>
      <c r="O380" s="520">
        <f>K380*L380*M380*N380</f>
        <v>1048.7232000000001</v>
      </c>
      <c r="P380" s="261">
        <v>95432.700000000012</v>
      </c>
      <c r="Q380" s="604">
        <f t="shared" si="62"/>
        <v>100082486.52864003</v>
      </c>
      <c r="R380" s="603"/>
      <c r="S380" s="603"/>
      <c r="T380" s="605"/>
      <c r="U380" s="605"/>
      <c r="V380" s="605"/>
      <c r="W380" s="605"/>
      <c r="X380" s="578" t="s">
        <v>618</v>
      </c>
      <c r="Y380" s="775">
        <f t="shared" si="59"/>
        <v>2206404.0240000007</v>
      </c>
      <c r="Z380" s="381"/>
    </row>
    <row r="381" spans="2:26" x14ac:dyDescent="0.35">
      <c r="B381" s="622"/>
      <c r="E381" s="623"/>
      <c r="F381" s="151" t="s">
        <v>422</v>
      </c>
      <c r="G381" s="316" t="s">
        <v>183</v>
      </c>
      <c r="H381" s="317"/>
      <c r="I381" s="318"/>
      <c r="J381" s="316"/>
      <c r="K381" s="433">
        <v>1</v>
      </c>
      <c r="L381" s="621">
        <v>45.36</v>
      </c>
      <c r="M381" s="258">
        <v>1.67E-2</v>
      </c>
      <c r="N381" s="259">
        <v>1</v>
      </c>
      <c r="O381" s="520">
        <f t="shared" si="51"/>
        <v>0.75751199999999996</v>
      </c>
      <c r="P381" s="261">
        <v>653311.5147562502</v>
      </c>
      <c r="Q381" s="604">
        <f t="shared" si="62"/>
        <v>494891.31216603657</v>
      </c>
      <c r="R381" s="603"/>
      <c r="S381" s="603"/>
      <c r="T381" s="605"/>
      <c r="U381" s="605"/>
      <c r="V381" s="605"/>
      <c r="W381" s="605"/>
      <c r="X381" s="659"/>
      <c r="Y381" s="775">
        <f t="shared" si="59"/>
        <v>10910.302296429378</v>
      </c>
      <c r="Z381" s="381"/>
    </row>
    <row r="382" spans="2:26" x14ac:dyDescent="0.35">
      <c r="B382" s="622"/>
      <c r="E382" s="623"/>
      <c r="F382" s="151" t="s">
        <v>423</v>
      </c>
      <c r="G382" s="316" t="s">
        <v>183</v>
      </c>
      <c r="H382" s="317"/>
      <c r="I382" s="318"/>
      <c r="J382" s="316"/>
      <c r="K382" s="433">
        <v>1</v>
      </c>
      <c r="L382" s="621">
        <v>45.36</v>
      </c>
      <c r="M382" s="258">
        <v>1.67E-2</v>
      </c>
      <c r="N382" s="259">
        <v>1</v>
      </c>
      <c r="O382" s="520">
        <f t="shared" si="51"/>
        <v>0.75751199999999996</v>
      </c>
      <c r="P382" s="261">
        <v>0</v>
      </c>
      <c r="Q382" s="604"/>
      <c r="R382" s="603"/>
      <c r="S382" s="603"/>
      <c r="T382" s="605"/>
      <c r="U382" s="605"/>
      <c r="V382" s="605"/>
      <c r="W382" s="605"/>
      <c r="X382" s="578"/>
      <c r="Y382" s="775">
        <f t="shared" si="56"/>
        <v>0</v>
      </c>
      <c r="Z382" s="381"/>
    </row>
    <row r="383" spans="2:26" x14ac:dyDescent="0.35">
      <c r="B383" s="622"/>
      <c r="E383" s="623"/>
      <c r="F383" s="151" t="s">
        <v>232</v>
      </c>
      <c r="G383" s="316" t="s">
        <v>183</v>
      </c>
      <c r="H383" s="317"/>
      <c r="I383" s="318"/>
      <c r="J383" s="316"/>
      <c r="K383" s="433">
        <v>1</v>
      </c>
      <c r="L383" s="621">
        <v>45.36</v>
      </c>
      <c r="M383" s="258">
        <v>1.67E-2</v>
      </c>
      <c r="N383" s="259">
        <v>1</v>
      </c>
      <c r="O383" s="520">
        <f t="shared" si="51"/>
        <v>0.75751199999999996</v>
      </c>
      <c r="P383" s="261">
        <v>104144.57550000001</v>
      </c>
      <c r="Q383" s="604">
        <f t="shared" si="62"/>
        <v>78890.765676156007</v>
      </c>
      <c r="R383" s="603"/>
      <c r="S383" s="603"/>
      <c r="T383" s="605"/>
      <c r="U383" s="605"/>
      <c r="V383" s="605"/>
      <c r="W383" s="605"/>
      <c r="X383" s="578"/>
      <c r="Y383" s="775">
        <f t="shared" si="59"/>
        <v>1739.2144108500001</v>
      </c>
      <c r="Z383" s="381"/>
    </row>
    <row r="384" spans="2:26" customFormat="1" ht="42.65" customHeight="1" x14ac:dyDescent="0.35">
      <c r="B384" s="504"/>
      <c r="C384" s="505" t="s">
        <v>149</v>
      </c>
      <c r="D384" s="505"/>
      <c r="E384" s="506"/>
      <c r="F384" s="174" t="s">
        <v>177</v>
      </c>
      <c r="G384" s="507" t="s">
        <v>178</v>
      </c>
      <c r="H384" s="508"/>
      <c r="I384" s="509"/>
      <c r="J384" s="507"/>
      <c r="K384" s="510">
        <v>0.25</v>
      </c>
      <c r="L384" s="511">
        <v>45.36</v>
      </c>
      <c r="M384" s="512">
        <v>2.5</v>
      </c>
      <c r="N384" s="513">
        <v>1</v>
      </c>
      <c r="O384" s="514">
        <f t="shared" si="51"/>
        <v>28.35</v>
      </c>
      <c r="P384" s="274">
        <v>180115.58081830497</v>
      </c>
      <c r="Q384" s="515">
        <f>P384*$O384</f>
        <v>5106276.7161989463</v>
      </c>
      <c r="R384" s="274">
        <v>158800.57379999998</v>
      </c>
      <c r="S384" s="516">
        <f>R384*$O384</f>
        <v>4501996.2672299994</v>
      </c>
      <c r="T384" s="259">
        <v>163305.33120000002</v>
      </c>
      <c r="U384" s="517">
        <f>$O384*T384</f>
        <v>4629706.1395200007</v>
      </c>
      <c r="V384" s="259">
        <f>W384/O384</f>
        <v>167407.161939435</v>
      </c>
      <c r="W384" s="267">
        <f>AVERAGEIF($P$3:$U$3,W$3,$P384:$U384)</f>
        <v>4745993.0409829821</v>
      </c>
      <c r="X384" s="702"/>
      <c r="Y384" s="775">
        <f t="shared" si="59"/>
        <v>112572.23801144061</v>
      </c>
      <c r="Z384" s="492"/>
    </row>
    <row r="385" spans="2:26" customFormat="1" x14ac:dyDescent="0.35">
      <c r="B385" s="518"/>
      <c r="E385" s="519"/>
      <c r="F385" s="151" t="s">
        <v>421</v>
      </c>
      <c r="G385" s="316" t="s">
        <v>361</v>
      </c>
      <c r="H385" s="317"/>
      <c r="I385" s="318"/>
      <c r="J385" s="316"/>
      <c r="K385" s="433">
        <v>0.25</v>
      </c>
      <c r="L385" s="511">
        <f>L384</f>
        <v>45.36</v>
      </c>
      <c r="M385" s="400">
        <f>5*136/1000</f>
        <v>0.68</v>
      </c>
      <c r="N385" s="494">
        <v>1</v>
      </c>
      <c r="O385" s="520">
        <f t="shared" si="51"/>
        <v>7.7112000000000007</v>
      </c>
      <c r="P385" s="274">
        <v>95432.700000000012</v>
      </c>
      <c r="Q385" s="521">
        <f>P385*$O385</f>
        <v>735900.63624000014</v>
      </c>
      <c r="R385" s="274">
        <v>78870</v>
      </c>
      <c r="S385" s="496">
        <f>R385*$O385</f>
        <v>608182.34400000004</v>
      </c>
      <c r="T385" s="259">
        <v>52349.440000000002</v>
      </c>
      <c r="U385" s="517">
        <f>$O385*T385</f>
        <v>403677.00172800006</v>
      </c>
      <c r="V385" s="259">
        <f>W385/O385</f>
        <v>75550.713333333348</v>
      </c>
      <c r="W385" s="267">
        <f>AVERAGEIF($P$3:$U$3,W$3,$P385:$U385)</f>
        <v>582586.66065600014</v>
      </c>
      <c r="X385" s="578"/>
      <c r="Y385" s="492"/>
      <c r="Z385" s="151"/>
    </row>
    <row r="386" spans="2:26" customFormat="1" x14ac:dyDescent="0.35">
      <c r="B386" s="518"/>
      <c r="E386" s="519"/>
      <c r="F386" s="151" t="s">
        <v>422</v>
      </c>
      <c r="G386" s="316" t="s">
        <v>183</v>
      </c>
      <c r="H386" s="317"/>
      <c r="I386" s="318"/>
      <c r="J386" s="316"/>
      <c r="K386" s="433">
        <v>0.2</v>
      </c>
      <c r="L386" s="511">
        <f>L384</f>
        <v>45.36</v>
      </c>
      <c r="M386" s="400">
        <v>1.67E-2</v>
      </c>
      <c r="N386" s="494">
        <v>1</v>
      </c>
      <c r="O386" s="520">
        <f t="shared" si="51"/>
        <v>0.15150240000000001</v>
      </c>
      <c r="P386" s="274">
        <v>653311.5147562502</v>
      </c>
      <c r="Q386" s="521">
        <f>P386*$O386</f>
        <v>98978.262433207332</v>
      </c>
      <c r="R386" s="274">
        <v>592572.80250000011</v>
      </c>
      <c r="S386" s="496">
        <f>R386*$O386</f>
        <v>89776.201753476023</v>
      </c>
      <c r="T386" s="259">
        <v>626917.83840000001</v>
      </c>
      <c r="U386" s="517">
        <f>$O386*T386</f>
        <v>94979.557120412166</v>
      </c>
      <c r="V386" s="259">
        <f>W386/O386</f>
        <v>624267.38521875022</v>
      </c>
      <c r="W386" s="267">
        <f>AVERAGEIF($P$3:$U$3,W$3,$P386:$U386)</f>
        <v>94578.007102365184</v>
      </c>
      <c r="X386" s="151"/>
      <c r="Y386" s="492"/>
      <c r="Z386" s="492"/>
    </row>
    <row r="387" spans="2:26" customFormat="1" x14ac:dyDescent="0.35">
      <c r="B387" s="518"/>
      <c r="E387" s="519"/>
      <c r="F387" s="151" t="s">
        <v>423</v>
      </c>
      <c r="G387" s="316" t="s">
        <v>183</v>
      </c>
      <c r="H387" s="317"/>
      <c r="I387" s="318"/>
      <c r="J387" s="316"/>
      <c r="K387" s="433">
        <v>0</v>
      </c>
      <c r="L387" s="511"/>
      <c r="M387" s="400">
        <v>1.67E-2</v>
      </c>
      <c r="N387" s="494">
        <v>1</v>
      </c>
      <c r="O387" s="520">
        <f t="shared" si="51"/>
        <v>0</v>
      </c>
      <c r="P387" s="274">
        <v>0</v>
      </c>
      <c r="Q387" s="521">
        <f>P387*$O387</f>
        <v>0</v>
      </c>
      <c r="R387" s="274">
        <v>0</v>
      </c>
      <c r="S387" s="496">
        <f>R387*$O387</f>
        <v>0</v>
      </c>
      <c r="T387" s="259">
        <v>0</v>
      </c>
      <c r="U387" s="517">
        <f>$O387*T387</f>
        <v>0</v>
      </c>
      <c r="V387" s="259" t="e">
        <f>W387/O387</f>
        <v>#DIV/0!</v>
      </c>
      <c r="W387" s="267">
        <f>AVERAGEIF($P$3:$U$3,W$3,$P387:$U387)</f>
        <v>0</v>
      </c>
      <c r="Y387" s="492">
        <f>S387/192.08</f>
        <v>0</v>
      </c>
      <c r="Z387" s="151"/>
    </row>
    <row r="388" spans="2:26" customFormat="1" x14ac:dyDescent="0.35">
      <c r="B388" s="518"/>
      <c r="E388" s="519"/>
      <c r="F388" s="151" t="s">
        <v>232</v>
      </c>
      <c r="G388" s="316" t="s">
        <v>183</v>
      </c>
      <c r="H388" s="317"/>
      <c r="I388" s="318"/>
      <c r="J388" s="316"/>
      <c r="K388" s="433">
        <v>0.25</v>
      </c>
      <c r="L388" s="511">
        <f>L384</f>
        <v>45.36</v>
      </c>
      <c r="M388" s="400">
        <v>1.67E-2</v>
      </c>
      <c r="N388" s="494">
        <v>1</v>
      </c>
      <c r="O388" s="520">
        <f t="shared" si="51"/>
        <v>0.18937799999999999</v>
      </c>
      <c r="P388" s="274">
        <v>104144.57550000001</v>
      </c>
      <c r="Q388" s="521">
        <f>P388*$O388</f>
        <v>19722.691419039002</v>
      </c>
      <c r="R388" s="274">
        <v>94462.2</v>
      </c>
      <c r="S388" s="496">
        <f>R388*$O388</f>
        <v>17889.062511599997</v>
      </c>
      <c r="T388" s="259">
        <v>99937.152000000016</v>
      </c>
      <c r="U388" s="517">
        <f>$O388*T388</f>
        <v>18925.897971456001</v>
      </c>
      <c r="V388" s="259">
        <f>W388/O388</f>
        <v>99514.642499999987</v>
      </c>
      <c r="W388" s="267">
        <f>AVERAGEIF($P$3:$U$3,W$3,$P388:$U388)</f>
        <v>18845.883967364996</v>
      </c>
      <c r="X388" s="578"/>
      <c r="Y388" s="775">
        <f t="shared" ref="Y388" si="64">Q388/$D$1</f>
        <v>434.80360271250004</v>
      </c>
      <c r="Z388" s="151"/>
    </row>
    <row r="389" spans="2:26" customFormat="1" x14ac:dyDescent="0.35">
      <c r="B389" s="606" t="s">
        <v>619</v>
      </c>
      <c r="C389" s="716"/>
      <c r="D389" s="716"/>
      <c r="E389" s="717"/>
      <c r="F389" s="609"/>
      <c r="G389" s="610"/>
      <c r="H389" s="611"/>
      <c r="I389" s="612"/>
      <c r="J389" s="610"/>
      <c r="K389" s="613"/>
      <c r="L389" s="614"/>
      <c r="M389" s="615"/>
      <c r="N389" s="616"/>
      <c r="O389" s="611"/>
      <c r="P389" s="617"/>
      <c r="Q389" s="618">
        <f>SUM(Q379:Q383)</f>
        <v>192160747.36076733</v>
      </c>
      <c r="R389" s="617"/>
      <c r="S389" s="718">
        <f>SUM(S373:S383)</f>
        <v>558806976.5055747</v>
      </c>
      <c r="T389" s="776"/>
      <c r="U389" s="776"/>
      <c r="V389" s="776"/>
      <c r="W389" s="776"/>
      <c r="X389" s="611"/>
      <c r="Y389" s="619">
        <f>Q389/$D$1</f>
        <v>4236348.0458722962</v>
      </c>
      <c r="Z389" s="619">
        <f>Q389/$Q$424*100</f>
        <v>22.623143537670714</v>
      </c>
    </row>
    <row r="390" spans="2:26" x14ac:dyDescent="0.35">
      <c r="B390" s="622"/>
      <c r="C390" s="170" t="s">
        <v>566</v>
      </c>
      <c r="D390" s="170"/>
      <c r="E390" s="646"/>
      <c r="F390" s="381" t="s">
        <v>177</v>
      </c>
      <c r="G390" s="600" t="s">
        <v>178</v>
      </c>
      <c r="H390" s="578"/>
      <c r="I390" s="601"/>
      <c r="J390" s="600"/>
      <c r="K390" s="575"/>
      <c r="L390" s="621"/>
      <c r="M390" s="379"/>
      <c r="N390" s="380"/>
      <c r="O390" s="578"/>
      <c r="P390" s="603"/>
      <c r="Q390" s="604"/>
      <c r="R390" s="603"/>
      <c r="S390" s="603"/>
      <c r="T390" s="605"/>
      <c r="U390" s="605"/>
      <c r="V390" s="605"/>
      <c r="W390" s="605"/>
      <c r="X390" s="578"/>
      <c r="Y390" s="381"/>
      <c r="Z390" s="381"/>
    </row>
    <row r="391" spans="2:26" x14ac:dyDescent="0.35">
      <c r="B391" s="597"/>
      <c r="C391" s="598"/>
      <c r="D391" s="598"/>
      <c r="E391" s="599"/>
      <c r="F391" s="381"/>
      <c r="G391" s="600"/>
      <c r="H391" s="578"/>
      <c r="I391" s="601"/>
      <c r="J391" s="600"/>
      <c r="K391" s="575"/>
      <c r="L391" s="621"/>
      <c r="M391" s="379"/>
      <c r="N391" s="380"/>
      <c r="O391" s="578"/>
      <c r="P391" s="603"/>
      <c r="Q391" s="604"/>
      <c r="R391" s="603"/>
      <c r="S391" s="603"/>
      <c r="T391" s="605"/>
      <c r="U391" s="605"/>
      <c r="V391" s="605"/>
      <c r="W391" s="605"/>
      <c r="X391" s="578"/>
      <c r="Y391" s="775">
        <f t="shared" ref="Y391" si="65">Q391/$D$1</f>
        <v>0</v>
      </c>
      <c r="Z391" s="381"/>
    </row>
    <row r="392" spans="2:26" x14ac:dyDescent="0.35">
      <c r="B392" s="622"/>
      <c r="C392" s="173" t="s">
        <v>357</v>
      </c>
      <c r="E392" s="623"/>
      <c r="F392" s="381" t="s">
        <v>177</v>
      </c>
      <c r="G392" s="600" t="s">
        <v>178</v>
      </c>
      <c r="H392" s="578"/>
      <c r="I392" s="601"/>
      <c r="J392" s="600"/>
      <c r="K392" s="575"/>
      <c r="L392" s="621"/>
      <c r="M392" s="379"/>
      <c r="N392" s="380"/>
      <c r="O392" s="578"/>
      <c r="P392" s="603"/>
      <c r="Q392" s="604"/>
      <c r="R392" s="603"/>
      <c r="S392" s="603"/>
      <c r="T392" s="605"/>
      <c r="U392" s="605"/>
      <c r="V392" s="605"/>
      <c r="W392" s="605"/>
      <c r="X392" s="578"/>
      <c r="Y392" s="381"/>
      <c r="Z392" s="381"/>
    </row>
    <row r="393" spans="2:26" x14ac:dyDescent="0.35">
      <c r="B393" s="622"/>
      <c r="E393" s="623"/>
      <c r="F393" s="381"/>
      <c r="G393" s="600"/>
      <c r="H393" s="578"/>
      <c r="I393" s="601"/>
      <c r="J393" s="600"/>
      <c r="K393" s="575"/>
      <c r="L393" s="621"/>
      <c r="M393" s="379"/>
      <c r="N393" s="380"/>
      <c r="O393" s="578"/>
      <c r="P393" s="603"/>
      <c r="Q393" s="604"/>
      <c r="R393" s="603"/>
      <c r="S393" s="603"/>
      <c r="T393" s="605"/>
      <c r="U393" s="605"/>
      <c r="V393" s="605"/>
      <c r="W393" s="605"/>
      <c r="X393" s="578"/>
      <c r="Y393" s="381"/>
      <c r="Z393" s="381"/>
    </row>
    <row r="394" spans="2:26" x14ac:dyDescent="0.35">
      <c r="B394" s="597"/>
      <c r="C394" s="598"/>
      <c r="D394" s="598"/>
      <c r="E394" s="599"/>
      <c r="F394" s="381"/>
      <c r="G394" s="600"/>
      <c r="H394" s="578"/>
      <c r="I394" s="601"/>
      <c r="J394" s="600"/>
      <c r="K394" s="575"/>
      <c r="L394" s="621"/>
      <c r="M394" s="379"/>
      <c r="N394" s="380"/>
      <c r="O394" s="578"/>
      <c r="P394" s="603"/>
      <c r="Q394" s="604"/>
      <c r="R394" s="603"/>
      <c r="S394" s="603"/>
      <c r="T394" s="605"/>
      <c r="U394" s="605"/>
      <c r="V394" s="605"/>
      <c r="W394" s="605"/>
      <c r="X394" s="578"/>
      <c r="Y394" s="381"/>
      <c r="Z394" s="381"/>
    </row>
    <row r="395" spans="2:26" x14ac:dyDescent="0.35">
      <c r="B395" s="622"/>
      <c r="C395" s="173" t="s">
        <v>137</v>
      </c>
      <c r="E395" s="623"/>
      <c r="F395" s="381" t="s">
        <v>362</v>
      </c>
      <c r="G395" s="600" t="s">
        <v>178</v>
      </c>
      <c r="H395" s="578"/>
      <c r="I395" s="601"/>
      <c r="J395" s="600" t="s">
        <v>361</v>
      </c>
      <c r="K395" s="602">
        <v>1</v>
      </c>
      <c r="L395" s="683">
        <f>(O377+O367+O357+O347)/1000</f>
        <v>43.336943999999995</v>
      </c>
      <c r="M395" s="379">
        <v>1</v>
      </c>
      <c r="N395" s="380">
        <v>1</v>
      </c>
      <c r="O395" s="500">
        <f>K395*L395*M395*N395</f>
        <v>43.336943999999995</v>
      </c>
      <c r="P395" s="261">
        <v>25086.093837187495</v>
      </c>
      <c r="Q395" s="604">
        <f>P395*$O395</f>
        <v>1087154.6438009394</v>
      </c>
      <c r="R395" s="380">
        <v>24564.384000000005</v>
      </c>
      <c r="S395" s="603">
        <f>R395*$O395</f>
        <v>1064545.3338024961</v>
      </c>
      <c r="T395" s="380">
        <v>26529.534720000007</v>
      </c>
      <c r="U395" s="605">
        <f>$O395*T395</f>
        <v>1149708.9605066958</v>
      </c>
      <c r="V395" s="380">
        <f>W395/O395</f>
        <v>25393.337519062501</v>
      </c>
      <c r="W395" s="267">
        <f>AVERAGEIF($P$3:$U$3,W$3,$P395:$U395)</f>
        <v>1100469.6460367104</v>
      </c>
      <c r="X395" s="578"/>
      <c r="Y395" s="775">
        <f t="shared" ref="Y395" si="66">Q395/$D$1</f>
        <v>23967.254052048931</v>
      </c>
      <c r="Z395" s="381"/>
    </row>
    <row r="396" spans="2:26" x14ac:dyDescent="0.35">
      <c r="B396" s="622"/>
      <c r="E396" s="623"/>
      <c r="F396" s="381" t="s">
        <v>359</v>
      </c>
      <c r="G396" s="600" t="s">
        <v>195</v>
      </c>
      <c r="H396" s="578"/>
      <c r="I396" s="601"/>
      <c r="J396" s="600" t="s">
        <v>361</v>
      </c>
      <c r="K396" s="602"/>
      <c r="L396" s="621"/>
      <c r="M396" s="379"/>
      <c r="N396" s="380"/>
      <c r="O396" s="500"/>
      <c r="P396" s="380"/>
      <c r="Q396" s="604"/>
      <c r="R396" s="380"/>
      <c r="S396" s="603"/>
      <c r="T396" s="380"/>
      <c r="U396" s="605"/>
      <c r="V396" s="380" t="e">
        <f>W396/O396</f>
        <v>#DIV/0!</v>
      </c>
      <c r="W396" s="267"/>
      <c r="X396" s="578"/>
      <c r="Y396" s="381"/>
      <c r="Z396" s="381"/>
    </row>
    <row r="397" spans="2:26" x14ac:dyDescent="0.35">
      <c r="B397" s="597"/>
      <c r="C397" s="598"/>
      <c r="D397" s="598"/>
      <c r="E397" s="599"/>
      <c r="F397" s="381" t="s">
        <v>364</v>
      </c>
      <c r="G397" s="575" t="s">
        <v>361</v>
      </c>
      <c r="H397" s="578"/>
      <c r="I397" s="601"/>
      <c r="J397" s="600" t="s">
        <v>361</v>
      </c>
      <c r="K397" s="602">
        <v>1</v>
      </c>
      <c r="L397" s="795">
        <f>L395</f>
        <v>43.336943999999995</v>
      </c>
      <c r="M397" s="476">
        <v>1</v>
      </c>
      <c r="N397" s="436">
        <v>1</v>
      </c>
      <c r="O397" s="500">
        <f>K397*L397*M397*N397</f>
        <v>43.336943999999995</v>
      </c>
      <c r="P397" s="261">
        <v>96364.400000000009</v>
      </c>
      <c r="Q397" s="604">
        <f>P397*$O397</f>
        <v>4176138.6063935999</v>
      </c>
      <c r="R397" s="380">
        <v>55793.254400000005</v>
      </c>
      <c r="S397" s="603">
        <f>R397*$O397</f>
        <v>2417909.1415105537</v>
      </c>
      <c r="T397" s="380">
        <v>58024.98457600001</v>
      </c>
      <c r="U397" s="605">
        <f>$O397*T397</f>
        <v>2514625.5071709761</v>
      </c>
      <c r="V397" s="380">
        <f>W397/O397</f>
        <v>70060.879658666687</v>
      </c>
      <c r="W397" s="267">
        <f>AVERAGEIF($P$3:$U$3,W$3,$P397:$U397)</f>
        <v>3036224.4183583767</v>
      </c>
      <c r="X397" s="578"/>
      <c r="Y397" s="775">
        <f t="shared" ref="Y397:Y398" si="67">Q397/$D$1</f>
        <v>92066.547760000001</v>
      </c>
      <c r="Z397" s="381"/>
    </row>
    <row r="398" spans="2:26" x14ac:dyDescent="0.35">
      <c r="B398" s="622"/>
      <c r="C398" s="173" t="s">
        <v>140</v>
      </c>
      <c r="E398" s="623"/>
      <c r="F398" s="381" t="s">
        <v>365</v>
      </c>
      <c r="G398" s="600" t="s">
        <v>178</v>
      </c>
      <c r="H398" s="578"/>
      <c r="I398" s="601"/>
      <c r="J398" s="600" t="s">
        <v>361</v>
      </c>
      <c r="K398" s="602">
        <v>1</v>
      </c>
      <c r="L398" s="795">
        <f>L395</f>
        <v>43.336943999999995</v>
      </c>
      <c r="M398" s="379">
        <v>1</v>
      </c>
      <c r="N398" s="380">
        <v>1</v>
      </c>
      <c r="O398" s="500">
        <f>K398*L398*M398*N398</f>
        <v>43.336943999999995</v>
      </c>
      <c r="P398" s="261">
        <v>41166.92321999999</v>
      </c>
      <c r="Q398" s="604">
        <f>P398*$O398</f>
        <v>1784048.646237439</v>
      </c>
      <c r="R398" s="380">
        <v>40310.784000000007</v>
      </c>
      <c r="S398" s="603">
        <f>R398*$O398</f>
        <v>1746946.1888040961</v>
      </c>
      <c r="T398" s="380">
        <v>43535.646720000012</v>
      </c>
      <c r="U398" s="605">
        <f>$O398*T398</f>
        <v>1886701.8839084241</v>
      </c>
      <c r="V398" s="380">
        <f>W398/O398</f>
        <v>41671.117980000003</v>
      </c>
      <c r="W398" s="267">
        <f>AVERAGEIF($P$3:$U$3,W$3,$P398:$U398)</f>
        <v>1805898.9063166529</v>
      </c>
      <c r="X398" s="578"/>
      <c r="Y398" s="775">
        <f t="shared" si="67"/>
        <v>39330.878444387985</v>
      </c>
      <c r="Z398" s="381"/>
    </row>
    <row r="399" spans="2:26" x14ac:dyDescent="0.35">
      <c r="B399" s="622"/>
      <c r="E399" s="623"/>
      <c r="F399" s="381" t="s">
        <v>427</v>
      </c>
      <c r="G399" s="600" t="s">
        <v>361</v>
      </c>
      <c r="H399" s="578"/>
      <c r="I399" s="601"/>
      <c r="J399" s="600" t="s">
        <v>361</v>
      </c>
      <c r="K399" s="602"/>
      <c r="L399" s="795">
        <f>L398</f>
        <v>43.336943999999995</v>
      </c>
      <c r="M399" s="476">
        <v>1</v>
      </c>
      <c r="N399" s="436">
        <v>1</v>
      </c>
      <c r="O399" s="500">
        <f>K399*L399*M399*N399</f>
        <v>0</v>
      </c>
      <c r="P399" s="380">
        <v>0</v>
      </c>
      <c r="Q399" s="604"/>
      <c r="R399" s="380">
        <v>0</v>
      </c>
      <c r="S399" s="603">
        <f>R399*$O399</f>
        <v>0</v>
      </c>
      <c r="T399" s="380">
        <v>0</v>
      </c>
      <c r="U399" s="605">
        <f>$O399*T399</f>
        <v>0</v>
      </c>
      <c r="V399" s="782"/>
      <c r="W399" s="782"/>
      <c r="X399" s="578"/>
      <c r="Y399" s="381"/>
      <c r="Z399" s="381"/>
    </row>
    <row r="400" spans="2:26" customFormat="1" x14ac:dyDescent="0.35">
      <c r="B400" s="606" t="s">
        <v>567</v>
      </c>
      <c r="C400" s="716"/>
      <c r="D400" s="716"/>
      <c r="E400" s="717"/>
      <c r="F400" s="609"/>
      <c r="G400" s="610"/>
      <c r="H400" s="611"/>
      <c r="I400" s="612"/>
      <c r="J400" s="610"/>
      <c r="K400" s="613"/>
      <c r="L400" s="614"/>
      <c r="M400" s="615"/>
      <c r="N400" s="616"/>
      <c r="O400" s="611"/>
      <c r="P400" s="617"/>
      <c r="Q400" s="618">
        <f>SUM(Q395:Q399)</f>
        <v>7047341.8964319788</v>
      </c>
      <c r="R400" s="617"/>
      <c r="S400" s="718">
        <f>SUM(S389:S399)</f>
        <v>564036377.16969192</v>
      </c>
      <c r="T400" s="776"/>
      <c r="U400" s="776"/>
      <c r="V400" s="776"/>
      <c r="W400" s="776"/>
      <c r="X400" s="611"/>
      <c r="Y400" s="619">
        <f>Q400/$D$1</f>
        <v>155364.68025643693</v>
      </c>
      <c r="Z400" s="619">
        <f>Q400/$Q$424*100</f>
        <v>0.82968571610880404</v>
      </c>
    </row>
    <row r="401" spans="2:26" customFormat="1" x14ac:dyDescent="0.35">
      <c r="B401" s="660" t="s">
        <v>568</v>
      </c>
      <c r="C401" s="729"/>
      <c r="D401" s="729"/>
      <c r="E401" s="730"/>
      <c r="F401" s="532"/>
      <c r="G401" s="587"/>
      <c r="H401" s="588"/>
      <c r="I401" s="589"/>
      <c r="J401" s="587"/>
      <c r="K401" s="590"/>
      <c r="L401" s="591"/>
      <c r="M401" s="543"/>
      <c r="N401" s="544"/>
      <c r="O401" s="588"/>
      <c r="P401" s="592"/>
      <c r="Q401" s="663">
        <f>Q348+Q358+Q368+Q378+Q389+Q400</f>
        <v>480300997.43942875</v>
      </c>
      <c r="R401" s="592"/>
      <c r="S401" s="731">
        <f>SUM(S390:S400)</f>
        <v>569265777.83380902</v>
      </c>
      <c r="T401" s="594"/>
      <c r="U401" s="594"/>
      <c r="V401" s="594"/>
      <c r="W401" s="594"/>
      <c r="X401" s="588"/>
      <c r="Y401" s="426">
        <f>Q401/$D$1</f>
        <v>10588646.328029735</v>
      </c>
      <c r="Z401" s="426">
        <f>Q401/$Q$424*100</f>
        <v>56.545983274922776</v>
      </c>
    </row>
    <row r="402" spans="2:26" x14ac:dyDescent="0.35">
      <c r="B402" s="641" t="s">
        <v>350</v>
      </c>
      <c r="C402" s="601"/>
      <c r="D402" s="601"/>
      <c r="E402" s="642"/>
      <c r="F402" s="381"/>
      <c r="G402" s="600"/>
      <c r="H402" s="578"/>
      <c r="I402" s="601"/>
      <c r="J402" s="600"/>
      <c r="K402" s="575"/>
      <c r="L402" s="621"/>
      <c r="M402" s="379"/>
      <c r="N402" s="380"/>
      <c r="O402" s="578"/>
      <c r="P402" s="603"/>
      <c r="Q402" s="604"/>
      <c r="R402" s="603"/>
      <c r="S402" s="603"/>
      <c r="T402" s="605"/>
      <c r="U402" s="605"/>
      <c r="V402" s="605"/>
      <c r="W402" s="605"/>
      <c r="X402" s="578"/>
      <c r="Y402" s="381"/>
      <c r="Z402" s="381"/>
    </row>
    <row r="403" spans="2:26" x14ac:dyDescent="0.35">
      <c r="B403" s="622"/>
      <c r="C403" s="173" t="s">
        <v>545</v>
      </c>
      <c r="E403" s="623"/>
      <c r="F403" s="381" t="s">
        <v>177</v>
      </c>
      <c r="G403" s="600" t="s">
        <v>178</v>
      </c>
      <c r="H403" s="578"/>
      <c r="I403" s="601"/>
      <c r="J403" s="600"/>
      <c r="K403" s="575"/>
      <c r="L403" s="621"/>
      <c r="M403" s="379">
        <v>1</v>
      </c>
      <c r="N403" s="380">
        <v>1</v>
      </c>
      <c r="O403" s="578"/>
      <c r="P403" s="603"/>
      <c r="Q403" s="604"/>
      <c r="R403" s="603"/>
      <c r="S403" s="603"/>
      <c r="T403" s="605"/>
      <c r="U403" s="605"/>
      <c r="V403" s="605"/>
      <c r="W403" s="605"/>
      <c r="X403" s="578"/>
      <c r="Y403" s="381"/>
      <c r="Z403" s="381"/>
    </row>
    <row r="404" spans="2:26" x14ac:dyDescent="0.35">
      <c r="B404" s="622"/>
      <c r="E404" s="623"/>
      <c r="F404" s="381" t="s">
        <v>410</v>
      </c>
      <c r="G404" s="600" t="s">
        <v>181</v>
      </c>
      <c r="H404" s="578"/>
      <c r="I404" s="601"/>
      <c r="J404" s="600"/>
      <c r="K404" s="575"/>
      <c r="L404" s="621"/>
      <c r="M404" s="379">
        <v>25</v>
      </c>
      <c r="N404" s="380">
        <v>1</v>
      </c>
      <c r="O404" s="578"/>
      <c r="P404" s="603"/>
      <c r="Q404" s="604"/>
      <c r="R404" s="603"/>
      <c r="S404" s="603"/>
      <c r="T404" s="605"/>
      <c r="U404" s="605"/>
      <c r="V404" s="605"/>
      <c r="W404" s="605"/>
      <c r="X404" s="578"/>
      <c r="Y404" s="381"/>
      <c r="Z404" s="381"/>
    </row>
    <row r="405" spans="2:26" x14ac:dyDescent="0.35">
      <c r="B405" s="597"/>
      <c r="C405" s="598"/>
      <c r="D405" s="598"/>
      <c r="E405" s="599"/>
      <c r="F405" s="381"/>
      <c r="G405" s="600"/>
      <c r="H405" s="578"/>
      <c r="I405" s="601"/>
      <c r="J405" s="600"/>
      <c r="K405" s="575"/>
      <c r="L405" s="621"/>
      <c r="M405" s="379"/>
      <c r="N405" s="380"/>
      <c r="O405" s="578"/>
      <c r="P405" s="603"/>
      <c r="Q405" s="604"/>
      <c r="R405" s="603"/>
      <c r="S405" s="603"/>
      <c r="T405" s="605"/>
      <c r="U405" s="605"/>
      <c r="V405" s="605"/>
      <c r="W405" s="605"/>
      <c r="X405" s="578"/>
      <c r="Y405" s="381"/>
      <c r="Z405" s="381"/>
    </row>
    <row r="406" spans="2:26" x14ac:dyDescent="0.35">
      <c r="B406" s="622"/>
      <c r="C406" s="173" t="s">
        <v>357</v>
      </c>
      <c r="E406" s="623"/>
      <c r="F406" s="381" t="s">
        <v>177</v>
      </c>
      <c r="G406" s="600" t="s">
        <v>178</v>
      </c>
      <c r="H406" s="578"/>
      <c r="I406" s="601"/>
      <c r="J406" s="600"/>
      <c r="K406" s="575"/>
      <c r="L406" s="621"/>
      <c r="M406" s="379"/>
      <c r="N406" s="380"/>
      <c r="O406" s="578"/>
      <c r="P406" s="603"/>
      <c r="Q406" s="604"/>
      <c r="R406" s="603"/>
      <c r="S406" s="603"/>
      <c r="T406" s="605"/>
      <c r="U406" s="605"/>
      <c r="V406" s="605"/>
      <c r="W406" s="605"/>
      <c r="X406" s="578"/>
      <c r="Y406" s="381"/>
      <c r="Z406" s="381"/>
    </row>
    <row r="407" spans="2:26" x14ac:dyDescent="0.35">
      <c r="B407" s="622"/>
      <c r="E407" s="623"/>
      <c r="F407" s="381"/>
      <c r="G407" s="600"/>
      <c r="H407" s="578"/>
      <c r="I407" s="601"/>
      <c r="J407" s="600"/>
      <c r="K407" s="575"/>
      <c r="L407" s="621"/>
      <c r="M407" s="379"/>
      <c r="N407" s="380"/>
      <c r="O407" s="578"/>
      <c r="P407" s="603"/>
      <c r="Q407" s="604"/>
      <c r="R407" s="603"/>
      <c r="S407" s="603"/>
      <c r="T407" s="605"/>
      <c r="U407" s="605"/>
      <c r="V407" s="605"/>
      <c r="W407" s="605"/>
      <c r="X407" s="578"/>
      <c r="Y407" s="381"/>
      <c r="Z407" s="381"/>
    </row>
    <row r="408" spans="2:26" x14ac:dyDescent="0.35">
      <c r="B408" s="597"/>
      <c r="C408" s="598"/>
      <c r="D408" s="598"/>
      <c r="E408" s="599"/>
      <c r="F408" s="381"/>
      <c r="G408" s="600"/>
      <c r="H408" s="578"/>
      <c r="I408" s="601"/>
      <c r="J408" s="600"/>
      <c r="K408" s="575"/>
      <c r="L408" s="621"/>
      <c r="M408" s="379"/>
      <c r="N408" s="380"/>
      <c r="O408" s="578"/>
      <c r="P408" s="603"/>
      <c r="Q408" s="604"/>
      <c r="R408" s="603"/>
      <c r="S408" s="603"/>
      <c r="T408" s="605"/>
      <c r="U408" s="605"/>
      <c r="V408" s="605"/>
      <c r="W408" s="605"/>
      <c r="X408" s="578"/>
      <c r="Y408" s="381"/>
      <c r="Z408" s="381"/>
    </row>
    <row r="409" spans="2:26" x14ac:dyDescent="0.35">
      <c r="B409" s="622"/>
      <c r="C409" s="173" t="s">
        <v>137</v>
      </c>
      <c r="E409" s="623"/>
      <c r="F409" s="381" t="s">
        <v>362</v>
      </c>
      <c r="G409" s="575" t="s">
        <v>361</v>
      </c>
      <c r="H409" s="578"/>
      <c r="I409" s="601"/>
      <c r="J409" s="600"/>
      <c r="K409" s="575"/>
      <c r="L409" s="621"/>
      <c r="M409" s="476">
        <v>1</v>
      </c>
      <c r="N409" s="436">
        <v>1</v>
      </c>
      <c r="O409" s="693"/>
      <c r="P409" s="436"/>
      <c r="Q409" s="669"/>
      <c r="R409" s="436"/>
      <c r="S409" s="436"/>
      <c r="T409" s="706"/>
      <c r="U409" s="706"/>
      <c r="V409" s="706"/>
      <c r="W409" s="706"/>
      <c r="X409" s="578"/>
      <c r="Y409" s="381"/>
      <c r="Z409" s="381"/>
    </row>
    <row r="410" spans="2:26" x14ac:dyDescent="0.35">
      <c r="B410" s="622"/>
      <c r="E410" s="623"/>
      <c r="F410" s="381" t="s">
        <v>359</v>
      </c>
      <c r="G410" s="575" t="s">
        <v>195</v>
      </c>
      <c r="H410" s="578"/>
      <c r="I410" s="601"/>
      <c r="J410" s="600"/>
      <c r="K410" s="575"/>
      <c r="L410" s="621"/>
      <c r="M410" s="476">
        <f>2/4</f>
        <v>0.5</v>
      </c>
      <c r="N410" s="436">
        <v>1</v>
      </c>
      <c r="O410" s="693"/>
      <c r="P410" s="436"/>
      <c r="Q410" s="669"/>
      <c r="R410" s="436"/>
      <c r="S410" s="436"/>
      <c r="T410" s="706"/>
      <c r="U410" s="706"/>
      <c r="V410" s="706"/>
      <c r="W410" s="706"/>
      <c r="X410" s="578"/>
      <c r="Y410" s="381"/>
      <c r="Z410" s="381"/>
    </row>
    <row r="411" spans="2:26" x14ac:dyDescent="0.35">
      <c r="B411" s="597"/>
      <c r="C411" s="598"/>
      <c r="D411" s="598"/>
      <c r="E411" s="599"/>
      <c r="F411" s="381" t="s">
        <v>364</v>
      </c>
      <c r="G411" s="575" t="s">
        <v>361</v>
      </c>
      <c r="H411" s="578"/>
      <c r="I411" s="601"/>
      <c r="J411" s="600"/>
      <c r="K411" s="575"/>
      <c r="L411" s="621"/>
      <c r="M411" s="476">
        <v>1</v>
      </c>
      <c r="N411" s="436">
        <v>1</v>
      </c>
      <c r="O411" s="693"/>
      <c r="P411" s="436"/>
      <c r="Q411" s="669"/>
      <c r="R411" s="436"/>
      <c r="S411" s="436"/>
      <c r="T411" s="706"/>
      <c r="U411" s="706"/>
      <c r="V411" s="706"/>
      <c r="W411" s="706"/>
      <c r="X411" s="578"/>
      <c r="Y411" s="381"/>
      <c r="Z411" s="381"/>
    </row>
    <row r="412" spans="2:26" x14ac:dyDescent="0.35">
      <c r="B412" s="622"/>
      <c r="C412" s="173" t="s">
        <v>140</v>
      </c>
      <c r="E412" s="623"/>
      <c r="F412" s="381" t="s">
        <v>365</v>
      </c>
      <c r="G412" s="575" t="s">
        <v>361</v>
      </c>
      <c r="H412" s="578"/>
      <c r="I412" s="601"/>
      <c r="J412" s="600"/>
      <c r="K412" s="575"/>
      <c r="L412" s="621"/>
      <c r="M412" s="476">
        <v>1</v>
      </c>
      <c r="N412" s="436">
        <v>1</v>
      </c>
      <c r="O412" s="693"/>
      <c r="P412" s="436"/>
      <c r="Q412" s="669"/>
      <c r="R412" s="436"/>
      <c r="S412" s="436"/>
      <c r="T412" s="706"/>
      <c r="U412" s="706"/>
      <c r="V412" s="706"/>
      <c r="W412" s="706"/>
      <c r="X412" s="578"/>
      <c r="Y412" s="381"/>
      <c r="Z412" s="381"/>
    </row>
    <row r="413" spans="2:26" x14ac:dyDescent="0.35">
      <c r="B413" s="622"/>
      <c r="E413" s="623"/>
      <c r="F413" s="381" t="s">
        <v>364</v>
      </c>
      <c r="G413" s="575" t="s">
        <v>361</v>
      </c>
      <c r="H413" s="578"/>
      <c r="I413" s="601"/>
      <c r="J413" s="600"/>
      <c r="K413" s="575"/>
      <c r="L413" s="621"/>
      <c r="M413" s="476">
        <v>1</v>
      </c>
      <c r="N413" s="436">
        <v>1</v>
      </c>
      <c r="O413" s="784"/>
      <c r="P413" s="733"/>
      <c r="Q413" s="785"/>
      <c r="R413" s="733"/>
      <c r="S413" s="733"/>
      <c r="T413" s="782"/>
      <c r="U413" s="782"/>
      <c r="V413" s="782"/>
      <c r="W413" s="782"/>
      <c r="X413" s="578"/>
      <c r="Y413" s="381"/>
      <c r="Z413" s="381"/>
    </row>
    <row r="414" spans="2:26" x14ac:dyDescent="0.35">
      <c r="B414" s="597"/>
      <c r="C414" s="598"/>
      <c r="D414" s="598"/>
      <c r="E414" s="599"/>
      <c r="F414" s="381"/>
      <c r="G414" s="600"/>
      <c r="H414" s="578"/>
      <c r="I414" s="601"/>
      <c r="J414" s="600"/>
      <c r="K414" s="575"/>
      <c r="L414" s="621"/>
      <c r="M414" s="379"/>
      <c r="N414" s="380"/>
      <c r="O414" s="578"/>
      <c r="P414" s="603"/>
      <c r="Q414" s="604"/>
      <c r="R414" s="603"/>
      <c r="S414" s="603"/>
      <c r="T414" s="605"/>
      <c r="U414" s="605"/>
      <c r="V414" s="605"/>
      <c r="W414" s="605"/>
      <c r="X414" s="578"/>
      <c r="Y414" s="381"/>
      <c r="Z414" s="381"/>
    </row>
    <row r="415" spans="2:26" x14ac:dyDescent="0.35">
      <c r="B415" s="641" t="s">
        <v>430</v>
      </c>
      <c r="C415" s="601"/>
      <c r="D415" s="601"/>
      <c r="E415" s="642"/>
      <c r="F415" s="381"/>
      <c r="G415" s="600"/>
      <c r="H415" s="578"/>
      <c r="I415" s="601"/>
      <c r="J415" s="600"/>
      <c r="K415" s="575"/>
      <c r="L415" s="621"/>
      <c r="M415" s="379"/>
      <c r="N415" s="380"/>
      <c r="O415" s="578"/>
      <c r="P415" s="603"/>
      <c r="Q415" s="604"/>
      <c r="R415" s="603"/>
      <c r="S415" s="603"/>
      <c r="T415" s="605">
        <f>R415*1.1</f>
        <v>0</v>
      </c>
      <c r="U415" s="605">
        <f>O415*T415</f>
        <v>0</v>
      </c>
      <c r="V415" s="380"/>
      <c r="W415" s="380"/>
      <c r="X415" s="578"/>
      <c r="Y415" s="381"/>
      <c r="Z415" s="381"/>
    </row>
    <row r="416" spans="2:26" x14ac:dyDescent="0.35">
      <c r="B416" s="622"/>
      <c r="C416" s="173" t="s">
        <v>143</v>
      </c>
      <c r="E416" s="623"/>
      <c r="F416" s="381" t="s">
        <v>177</v>
      </c>
      <c r="G416" s="600" t="s">
        <v>178</v>
      </c>
      <c r="H416" s="578"/>
      <c r="I416" s="601"/>
      <c r="J416" s="600" t="s">
        <v>179</v>
      </c>
      <c r="K416" s="602">
        <v>1</v>
      </c>
      <c r="L416" s="621">
        <v>45.36</v>
      </c>
      <c r="M416" s="379">
        <f>(0.12/15)*25</f>
        <v>0.2</v>
      </c>
      <c r="N416" s="380">
        <v>12</v>
      </c>
      <c r="O416" s="500">
        <f>K416*L416*M416*N416</f>
        <v>108.864</v>
      </c>
      <c r="P416" s="261">
        <v>180115.58081830497</v>
      </c>
      <c r="Q416" s="604">
        <f>P416*$O416</f>
        <v>19608102.590203952</v>
      </c>
      <c r="R416" s="380">
        <v>179635.86432000002</v>
      </c>
      <c r="S416" s="603">
        <f>R416*$O416</f>
        <v>19555878.733332485</v>
      </c>
      <c r="T416" s="380">
        <v>197599.45075200003</v>
      </c>
      <c r="U416" s="605">
        <f>$O416*T416</f>
        <v>21511466.606665734</v>
      </c>
      <c r="V416" s="380">
        <f>W416/O416</f>
        <v>185783.63196343501</v>
      </c>
      <c r="W416" s="267">
        <f>AVERAGEIF($P$3:$U$3,W$3,$P416:$U416)</f>
        <v>20225149.310067389</v>
      </c>
      <c r="X416" s="578"/>
      <c r="Y416" s="775">
        <f t="shared" ref="Y416" si="68">Q416/$D$1</f>
        <v>432277.39396393194</v>
      </c>
      <c r="Z416" s="381"/>
    </row>
    <row r="417" spans="2:26" x14ac:dyDescent="0.35">
      <c r="B417" s="622"/>
      <c r="E417" s="623"/>
      <c r="F417" s="381" t="s">
        <v>431</v>
      </c>
      <c r="G417" s="600" t="s">
        <v>569</v>
      </c>
      <c r="H417" s="578"/>
      <c r="I417" s="601"/>
      <c r="J417" s="600" t="s">
        <v>179</v>
      </c>
      <c r="K417" s="602">
        <v>0</v>
      </c>
      <c r="L417" s="621">
        <v>45.36</v>
      </c>
      <c r="M417" s="379">
        <v>1</v>
      </c>
      <c r="N417" s="380">
        <v>12</v>
      </c>
      <c r="O417" s="500">
        <f>K417*L417*M417*N417</f>
        <v>0</v>
      </c>
      <c r="P417" s="261">
        <v>3036.7478846250006</v>
      </c>
      <c r="Q417" s="604">
        <f>P417*$O417</f>
        <v>0</v>
      </c>
      <c r="R417" s="380">
        <v>2892.1408425000004</v>
      </c>
      <c r="S417" s="603">
        <f>R417*$O417</f>
        <v>0</v>
      </c>
      <c r="T417" s="380">
        <v>3036.7478846250006</v>
      </c>
      <c r="U417" s="605">
        <f>$O417*T417</f>
        <v>0</v>
      </c>
      <c r="V417" s="380" t="e">
        <f>W417/O417</f>
        <v>#DIV/0!</v>
      </c>
      <c r="W417" s="267">
        <f>AVERAGEIF($P$3:$U$3,W$3,$P417:$U417)</f>
        <v>0</v>
      </c>
      <c r="X417" s="578"/>
      <c r="Y417" s="775">
        <f>Q417/192.08</f>
        <v>0</v>
      </c>
      <c r="Z417" s="381"/>
    </row>
    <row r="418" spans="2:26" x14ac:dyDescent="0.35">
      <c r="B418" s="622"/>
      <c r="E418" s="623"/>
      <c r="F418" s="381" t="s">
        <v>434</v>
      </c>
      <c r="G418" s="600" t="s">
        <v>569</v>
      </c>
      <c r="H418" s="578"/>
      <c r="I418" s="601"/>
      <c r="J418" s="600" t="s">
        <v>179</v>
      </c>
      <c r="K418" s="602">
        <v>1</v>
      </c>
      <c r="L418" s="621">
        <v>45.36</v>
      </c>
      <c r="M418" s="379">
        <v>1</v>
      </c>
      <c r="N418" s="380">
        <v>12</v>
      </c>
      <c r="O418" s="500">
        <f>K418*L418*M418*N418</f>
        <v>544.31999999999994</v>
      </c>
      <c r="P418" s="261">
        <v>1474.4455464375003</v>
      </c>
      <c r="Q418" s="604">
        <f>P418*$O418</f>
        <v>802570.19983686006</v>
      </c>
      <c r="R418" s="380">
        <v>1404.2338537500002</v>
      </c>
      <c r="S418" s="603">
        <f>R418*$O418</f>
        <v>764352.57127319998</v>
      </c>
      <c r="T418" s="380">
        <v>1474.4455464375003</v>
      </c>
      <c r="U418" s="605">
        <f>$O418*T418</f>
        <v>802570.19983686006</v>
      </c>
      <c r="V418" s="380">
        <f>W418/O418</f>
        <v>1451.0416488750002</v>
      </c>
      <c r="W418" s="267">
        <f>AVERAGEIF($P$3:$U$3,W$3,$P418:$U418)</f>
        <v>789830.99031564</v>
      </c>
      <c r="X418" s="578"/>
      <c r="Y418" s="775">
        <f t="shared" ref="Y418" si="69">Q418/$D$1</f>
        <v>17693.346557250003</v>
      </c>
      <c r="Z418" s="381"/>
    </row>
    <row r="419" spans="2:26" x14ac:dyDescent="0.35">
      <c r="B419" s="597"/>
      <c r="C419" s="598"/>
      <c r="D419" s="598"/>
      <c r="E419" s="599"/>
      <c r="F419" s="381"/>
      <c r="G419" s="600"/>
      <c r="H419" s="578"/>
      <c r="I419" s="601"/>
      <c r="J419" s="600"/>
      <c r="K419" s="575"/>
      <c r="L419" s="621"/>
      <c r="M419" s="379"/>
      <c r="N419" s="380"/>
      <c r="O419" s="578"/>
      <c r="P419" s="380"/>
      <c r="Q419" s="604"/>
      <c r="R419" s="603"/>
      <c r="S419" s="603"/>
      <c r="T419" s="605"/>
      <c r="U419" s="605"/>
      <c r="V419" s="605"/>
      <c r="W419" s="267"/>
      <c r="X419" s="578"/>
      <c r="Y419" s="381"/>
      <c r="Z419" s="381"/>
    </row>
    <row r="420" spans="2:26" x14ac:dyDescent="0.35">
      <c r="B420" s="622"/>
      <c r="C420" s="173" t="s">
        <v>144</v>
      </c>
      <c r="E420" s="623"/>
      <c r="F420" s="381" t="s">
        <v>177</v>
      </c>
      <c r="G420" s="600" t="s">
        <v>178</v>
      </c>
      <c r="H420" s="578"/>
      <c r="I420" s="601"/>
      <c r="J420" s="600" t="s">
        <v>179</v>
      </c>
      <c r="K420" s="602">
        <v>1</v>
      </c>
      <c r="L420" s="621">
        <v>45.36</v>
      </c>
      <c r="M420" s="379">
        <f>(1/500)*25</f>
        <v>0.05</v>
      </c>
      <c r="N420" s="380">
        <v>12</v>
      </c>
      <c r="O420" s="500">
        <f>K420*L420*M420*N420</f>
        <v>27.216000000000001</v>
      </c>
      <c r="P420" s="261">
        <v>180115.58081830497</v>
      </c>
      <c r="Q420" s="604">
        <f>P420*$O420</f>
        <v>4902025.647550988</v>
      </c>
      <c r="R420" s="380">
        <v>179635.86432000002</v>
      </c>
      <c r="S420" s="603">
        <f>R420*$O420</f>
        <v>4888969.6833331212</v>
      </c>
      <c r="T420" s="380">
        <v>197599.45075200003</v>
      </c>
      <c r="U420" s="605">
        <f>$O420*T420</f>
        <v>5377866.6516664336</v>
      </c>
      <c r="V420" s="380">
        <f>W420/O420</f>
        <v>185783.63196343501</v>
      </c>
      <c r="W420" s="267">
        <f>AVERAGEIF($P$3:$U$3,W$3,$P420:$U420)</f>
        <v>5056287.3275168473</v>
      </c>
      <c r="X420" s="578"/>
      <c r="Y420" s="775">
        <f t="shared" ref="Y420:Y421" si="70">Q420/$D$1</f>
        <v>108069.34849098299</v>
      </c>
      <c r="Z420" s="381"/>
    </row>
    <row r="421" spans="2:26" x14ac:dyDescent="0.35">
      <c r="B421" s="622"/>
      <c r="E421" s="623"/>
      <c r="F421" s="381" t="s">
        <v>436</v>
      </c>
      <c r="G421" s="600" t="s">
        <v>345</v>
      </c>
      <c r="H421" s="578"/>
      <c r="I421" s="601"/>
      <c r="J421" s="600" t="s">
        <v>179</v>
      </c>
      <c r="K421" s="602">
        <v>1</v>
      </c>
      <c r="L421" s="621">
        <v>45.36</v>
      </c>
      <c r="M421" s="476">
        <v>0.08</v>
      </c>
      <c r="N421" s="380">
        <v>12</v>
      </c>
      <c r="O421" s="500">
        <f>K421*L421*M421*N421</f>
        <v>43.5456</v>
      </c>
      <c r="P421" s="261">
        <v>24310.125</v>
      </c>
      <c r="Q421" s="604">
        <f>P421*$O421</f>
        <v>1058598.9791999999</v>
      </c>
      <c r="R421" s="380">
        <v>25194.240000000002</v>
      </c>
      <c r="S421" s="603">
        <f>R421*$O421</f>
        <v>1097098.2973440001</v>
      </c>
      <c r="T421" s="380">
        <v>27209.779200000004</v>
      </c>
      <c r="U421" s="605">
        <f>$O421*T421</f>
        <v>1184866.1611315203</v>
      </c>
      <c r="V421" s="380">
        <f>W421/O421</f>
        <v>25571.381400000002</v>
      </c>
      <c r="W421" s="267">
        <f>AVERAGEIF($P$3:$U$3,W$3,$P421:$U421)</f>
        <v>1113521.1458918401</v>
      </c>
      <c r="X421" s="578"/>
      <c r="Y421" s="775">
        <f t="shared" si="70"/>
        <v>23337.719999999998</v>
      </c>
      <c r="Z421" s="381"/>
    </row>
    <row r="422" spans="2:26" x14ac:dyDescent="0.35">
      <c r="B422" s="622"/>
      <c r="E422" s="623"/>
      <c r="F422" s="381"/>
      <c r="G422" s="600"/>
      <c r="H422" s="578"/>
      <c r="I422" s="601"/>
      <c r="J422" s="600"/>
      <c r="K422" s="575"/>
      <c r="L422" s="621"/>
      <c r="M422" s="476"/>
      <c r="N422" s="380"/>
      <c r="O422" s="603"/>
      <c r="P422" s="603"/>
      <c r="Q422" s="604"/>
      <c r="R422" s="603"/>
      <c r="S422" s="603"/>
      <c r="T422" s="605"/>
      <c r="U422" s="605"/>
      <c r="V422" s="605"/>
      <c r="W422" s="605"/>
      <c r="X422" s="578"/>
      <c r="Y422" s="381"/>
      <c r="Z422" s="381"/>
    </row>
    <row r="423" spans="2:26" customFormat="1" x14ac:dyDescent="0.35">
      <c r="B423" s="660" t="s">
        <v>570</v>
      </c>
      <c r="C423" s="729"/>
      <c r="D423" s="729"/>
      <c r="E423" s="730"/>
      <c r="F423" s="532"/>
      <c r="G423" s="587"/>
      <c r="H423" s="588"/>
      <c r="I423" s="589"/>
      <c r="J423" s="587"/>
      <c r="K423" s="590"/>
      <c r="L423" s="591"/>
      <c r="M423" s="543"/>
      <c r="N423" s="544"/>
      <c r="O423" s="588"/>
      <c r="P423" s="592"/>
      <c r="Q423" s="663">
        <f>SUM(Q416:Q422)</f>
        <v>26371297.416791804</v>
      </c>
      <c r="R423" s="592"/>
      <c r="S423" s="731">
        <f>SUM(S412:S422)</f>
        <v>26306299.285282806</v>
      </c>
      <c r="T423" s="594"/>
      <c r="U423" s="594"/>
      <c r="V423" s="594"/>
      <c r="W423" s="594"/>
      <c r="X423" s="588"/>
      <c r="Y423" s="426">
        <f>Q423/$D$1</f>
        <v>581377.80901216494</v>
      </c>
      <c r="Z423" s="426">
        <f>Q423/$Q$424*100</f>
        <v>3.1047009075928043</v>
      </c>
    </row>
    <row r="424" spans="2:26" customFormat="1" x14ac:dyDescent="0.35">
      <c r="B424" s="660" t="s">
        <v>620</v>
      </c>
      <c r="C424" s="729"/>
      <c r="D424" s="729"/>
      <c r="E424" s="730"/>
      <c r="F424" s="532"/>
      <c r="G424" s="587"/>
      <c r="H424" s="588"/>
      <c r="I424" s="589"/>
      <c r="J424" s="587"/>
      <c r="K424" s="590"/>
      <c r="L424" s="591"/>
      <c r="M424" s="543"/>
      <c r="N424" s="544"/>
      <c r="O424" s="588"/>
      <c r="P424" s="592"/>
      <c r="Q424" s="663">
        <f>Q35+Q57+Q175+Q200+Q281+Q291+Q336+Q401+Q423</f>
        <v>849398966.3319453</v>
      </c>
      <c r="R424" s="592"/>
      <c r="S424" s="731">
        <f>SUM(S413:S423)</f>
        <v>52612598.570565611</v>
      </c>
      <c r="T424" s="594"/>
      <c r="U424" s="594"/>
      <c r="V424" s="594"/>
      <c r="W424" s="594"/>
      <c r="X424" s="588"/>
      <c r="Y424" s="426">
        <f>Q424/$D$1</f>
        <v>18725726.770986449</v>
      </c>
      <c r="Z424" s="426">
        <f>Q424/$Q$424*100</f>
        <v>100</v>
      </c>
    </row>
    <row r="426" spans="2:26" x14ac:dyDescent="0.35">
      <c r="Q426" s="774"/>
    </row>
    <row r="427" spans="2:26" x14ac:dyDescent="0.35">
      <c r="Q427" s="786"/>
      <c r="S427" s="786"/>
      <c r="U427" s="786"/>
      <c r="W427" s="786">
        <v>10254549.162970908</v>
      </c>
      <c r="X427" s="173" t="s">
        <v>446</v>
      </c>
    </row>
    <row r="428" spans="2:26" x14ac:dyDescent="0.35">
      <c r="Q428" s="786"/>
      <c r="S428" s="786"/>
      <c r="U428" s="786"/>
      <c r="W428" s="786">
        <v>8517978.393289011</v>
      </c>
      <c r="X428" s="173" t="s">
        <v>445</v>
      </c>
    </row>
    <row r="429" spans="2:26" x14ac:dyDescent="0.35">
      <c r="Q429" s="786"/>
      <c r="S429" s="786"/>
      <c r="U429" s="786"/>
      <c r="W429" s="786" t="e">
        <v>#REF!</v>
      </c>
      <c r="X429" s="173" t="s">
        <v>52</v>
      </c>
    </row>
    <row r="430" spans="2:26" x14ac:dyDescent="0.35">
      <c r="Q430" s="786"/>
      <c r="S430" s="786"/>
      <c r="U430" s="786"/>
      <c r="W430" s="786" t="e">
        <v>#REF!</v>
      </c>
      <c r="X430" s="173" t="s">
        <v>443</v>
      </c>
    </row>
    <row r="431" spans="2:26" x14ac:dyDescent="0.35">
      <c r="Q431" s="786"/>
      <c r="S431" s="786"/>
      <c r="U431" s="786"/>
      <c r="W431" s="786">
        <v>14390858.77003853</v>
      </c>
      <c r="X431" s="173" t="s">
        <v>442</v>
      </c>
    </row>
    <row r="432" spans="2:26" x14ac:dyDescent="0.35">
      <c r="W432" s="786" t="e">
        <f>SUM(W424:W431)</f>
        <v>#REF!</v>
      </c>
    </row>
  </sheetData>
  <mergeCells count="58">
    <mergeCell ref="B423:E423"/>
    <mergeCell ref="B424:E424"/>
    <mergeCell ref="B358:E358"/>
    <mergeCell ref="B368:E368"/>
    <mergeCell ref="B378:E378"/>
    <mergeCell ref="B389:E389"/>
    <mergeCell ref="B400:E400"/>
    <mergeCell ref="B401:E401"/>
    <mergeCell ref="B296:E296"/>
    <mergeCell ref="B309:E309"/>
    <mergeCell ref="B327:E327"/>
    <mergeCell ref="K331:K333"/>
    <mergeCell ref="B336:E336"/>
    <mergeCell ref="B348:E348"/>
    <mergeCell ref="B199:E199"/>
    <mergeCell ref="B200:E200"/>
    <mergeCell ref="B232:E232"/>
    <mergeCell ref="B259:E259"/>
    <mergeCell ref="B281:E281"/>
    <mergeCell ref="B291:E291"/>
    <mergeCell ref="B127:E127"/>
    <mergeCell ref="B174:E174"/>
    <mergeCell ref="B175:E175"/>
    <mergeCell ref="B181:E181"/>
    <mergeCell ref="B187:E187"/>
    <mergeCell ref="B194:E194"/>
    <mergeCell ref="B47:E47"/>
    <mergeCell ref="B57:E57"/>
    <mergeCell ref="B63:E63"/>
    <mergeCell ref="B71:E71"/>
    <mergeCell ref="B85:E85"/>
    <mergeCell ref="B111:E111"/>
    <mergeCell ref="S3:S4"/>
    <mergeCell ref="T3:T4"/>
    <mergeCell ref="U3:U4"/>
    <mergeCell ref="V3:V4"/>
    <mergeCell ref="W3:W4"/>
    <mergeCell ref="B35:E35"/>
    <mergeCell ref="T2:U2"/>
    <mergeCell ref="V2:W2"/>
    <mergeCell ref="Y2:Y4"/>
    <mergeCell ref="Z2:Z4"/>
    <mergeCell ref="F3:F4"/>
    <mergeCell ref="G3:G4"/>
    <mergeCell ref="J3:J4"/>
    <mergeCell ref="K3:L3"/>
    <mergeCell ref="M3:M4"/>
    <mergeCell ref="N3:N4"/>
    <mergeCell ref="B2:E4"/>
    <mergeCell ref="F2:G2"/>
    <mergeCell ref="H2:I4"/>
    <mergeCell ref="J2:O2"/>
    <mergeCell ref="P2:Q2"/>
    <mergeCell ref="R2:S2"/>
    <mergeCell ref="O3:O4"/>
    <mergeCell ref="P3:P4"/>
    <mergeCell ref="Q3:Q4"/>
    <mergeCell ref="R3:R4"/>
  </mergeCells>
  <printOptions horizontalCentered="1"/>
  <pageMargins left="0.2" right="0.2" top="0.75" bottom="0.25" header="0.3" footer="0.3"/>
  <pageSetup paperSize="9" scale="58" orientation="landscape" r:id="rId1"/>
  <rowBreaks count="5" manualBreakCount="5">
    <brk id="57" max="25" man="1"/>
    <brk id="111" max="25" man="1"/>
    <brk id="161" max="25" man="1"/>
    <brk id="214" max="25" man="1"/>
    <brk id="269" max="25" man="1"/>
  </rowBreaks>
  <colBreaks count="1" manualBreakCount="1">
    <brk id="2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8</vt:i4>
      </vt:variant>
    </vt:vector>
  </HeadingPairs>
  <TitlesOfParts>
    <vt:vector size="14" baseType="lpstr">
      <vt:lpstr>RKP</vt:lpstr>
      <vt:lpstr>REKAP BIAYA</vt:lpstr>
      <vt:lpstr>SI TB LC</vt:lpstr>
      <vt:lpstr>S1 TBM 1</vt:lpstr>
      <vt:lpstr>S1 TBM 2</vt:lpstr>
      <vt:lpstr>S1 TBM 3</vt:lpstr>
      <vt:lpstr>RKP!Print_Area</vt:lpstr>
      <vt:lpstr>'S1 TBM 1'!Print_Area</vt:lpstr>
      <vt:lpstr>'S1 TBM 3'!Print_Area</vt:lpstr>
      <vt:lpstr>'SI TB LC'!Print_Area</vt:lpstr>
      <vt:lpstr>'S1 TBM 1'!Print_Titles</vt:lpstr>
      <vt:lpstr>'S1 TBM 2'!Print_Titles</vt:lpstr>
      <vt:lpstr>'S1 TBM 3'!Print_Titles</vt:lpstr>
      <vt:lpstr>'SI TB LC'!Print_Titles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INTEL i5</dc:creator>
  <cp:lastModifiedBy>LENOVO INTEL i5</cp:lastModifiedBy>
  <dcterms:created xsi:type="dcterms:W3CDTF">2026-08-26T02:29:14Z</dcterms:created>
  <dcterms:modified xsi:type="dcterms:W3CDTF">2026-08-26T02:30:48Z</dcterms:modified>
</cp:coreProperties>
</file>