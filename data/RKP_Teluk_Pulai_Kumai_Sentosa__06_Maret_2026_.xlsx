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Imelda R\Fahrudin\"/>
    </mc:Choice>
  </mc:AlternateContent>
  <bookViews>
    <workbookView xWindow="-105" yWindow="-105" windowWidth="19425" windowHeight="10305" tabRatio="893" firstSheet="2" activeTab="3"/>
  </bookViews>
  <sheets>
    <sheet name="Sheet1" sheetId="40" state="hidden" r:id="rId1"/>
    <sheet name="Cover RKP" sheetId="32" r:id="rId2"/>
    <sheet name="Harga" sheetId="38" r:id="rId3"/>
    <sheet name="RKP 08" sheetId="30" r:id="rId4"/>
    <sheet name="RKT 18_19 Infra" sheetId="43" r:id="rId5"/>
    <sheet name="Non Tanaman" sheetId="44" r:id="rId6"/>
    <sheet name="Rekap Non Tanaman" sheetId="45" r:id="rId7"/>
    <sheet name="Lampiran" sheetId="33" r:id="rId8"/>
    <sheet name="LC Manual" sheetId="9" r:id="rId9"/>
    <sheet name="Cost PN" sheetId="16" r:id="rId10"/>
    <sheet name="Cost MN" sheetId="17" r:id="rId11"/>
    <sheet name="LC Mekanis" sheetId="19" r:id="rId12"/>
    <sheet name="BHN ORGNK" sheetId="3" r:id="rId13"/>
    <sheet name="Tanam" sheetId="5" r:id="rId14"/>
    <sheet name="TBM 1" sheetId="6" r:id="rId15"/>
    <sheet name="TBM 2" sheetId="20" r:id="rId16"/>
    <sheet name="TBM 3" sheetId="22" r:id="rId17"/>
    <sheet name="Rekapitulasi Biaya" sheetId="31" r:id="rId18"/>
    <sheet name="Buat Jalan Tnh Mineral" sheetId="12" r:id="rId19"/>
    <sheet name="Drainase Tnh Mineral " sheetId="11" r:id="rId20"/>
    <sheet name="Tingkat Jalan Mineral" sheetId="4" r:id="rId21"/>
    <sheet name="ARSTAT" sheetId="41" r:id="rId22"/>
    <sheet name="PETA" sheetId="42" r:id="rId23"/>
    <sheet name="Rekapitulasi Biaya (2)" sheetId="39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\0" localSheetId="4">#REF!</definedName>
    <definedName name="\0">#REF!</definedName>
    <definedName name="\a" localSheetId="1">#N/A</definedName>
    <definedName name="\a">#N/A</definedName>
    <definedName name="\b" localSheetId="1">#N/A</definedName>
    <definedName name="\b">#N/A</definedName>
    <definedName name="\g" localSheetId="1">#N/A</definedName>
    <definedName name="\g">#N/A</definedName>
    <definedName name="\n" localSheetId="1">#N/A</definedName>
    <definedName name="\n">#N/A</definedName>
    <definedName name="__123Graph_A" localSheetId="4" hidden="1">'[1]data-hujan'!$E$8:$AC$8</definedName>
    <definedName name="__123Graph_A" hidden="1">[2]CH!#REF!</definedName>
    <definedName name="__123Graph_ACURAH" localSheetId="4" hidden="1">[2]CH!#REF!</definedName>
    <definedName name="__123Graph_ACURAH" hidden="1">[2]CH!#REF!</definedName>
    <definedName name="__123Graph_AHARI" hidden="1">[3]hal_8!$AD$12:$AD$23</definedName>
    <definedName name="__123Graph_B" localSheetId="4" hidden="1">'[1]data-hujan'!$E$14:$AC$14</definedName>
    <definedName name="__123Graph_B" hidden="1">[2]CH!#REF!</definedName>
    <definedName name="__123Graph_BCURAH" localSheetId="4" hidden="1">[2]CH!#REF!</definedName>
    <definedName name="__123Graph_BCURAH" hidden="1">[2]CH!#REF!</definedName>
    <definedName name="__123Graph_BHARI" hidden="1">[3]hal_8!$AC$12:$AC$23</definedName>
    <definedName name="__123Graph_C" localSheetId="4" hidden="1">'[1]data-hujan'!$E$15:$AC$15</definedName>
    <definedName name="__123Graph_C" hidden="1">[2]CH!#REF!</definedName>
    <definedName name="__123Graph_CCURAH" localSheetId="4" hidden="1">[2]CH!#REF!</definedName>
    <definedName name="__123Graph_CCURAH" hidden="1">[2]CH!#REF!</definedName>
    <definedName name="__123Graph_CHARI" hidden="1">[3]hal_8!$AB$12:$AB$23</definedName>
    <definedName name="__123Graph_D" localSheetId="4" hidden="1">'[1]data-hujan'!$E$16:$AC$16</definedName>
    <definedName name="__123Graph_D" hidden="1">[2]CH!#REF!</definedName>
    <definedName name="__123Graph_DCURAH" localSheetId="4" hidden="1">[2]CH!#REF!</definedName>
    <definedName name="__123Graph_DCURAH" hidden="1">[2]CH!#REF!</definedName>
    <definedName name="__123Graph_DHARI" hidden="1">[3]hal_8!$AA$12:$AA$23</definedName>
    <definedName name="__123Graph_E" localSheetId="4" hidden="1">'[1]data-hujan'!$E$17:$AC$17</definedName>
    <definedName name="__123Graph_E" hidden="1">[2]CH!#REF!</definedName>
    <definedName name="__123Graph_ECURAH" localSheetId="4" hidden="1">[2]CH!#REF!</definedName>
    <definedName name="__123Graph_ECURAH" hidden="1">[2]CH!#REF!</definedName>
    <definedName name="__123Graph_EHARI" hidden="1">[3]hal_8!$Z$12:$Z$23</definedName>
    <definedName name="__123Graph_F" hidden="1">'[1]data-hujan'!$E$18:$K$18</definedName>
    <definedName name="__123Graph_X" localSheetId="4" hidden="1">'[1]data-hujan'!$E$3:$AC$3</definedName>
    <definedName name="__123Graph_X" hidden="1">[3]hal_8!$AF$12:$AF$23</definedName>
    <definedName name="__123Graph_XCURAH" hidden="1">[3]hal_8!$AF$12:$AF$23</definedName>
    <definedName name="__123Graph_XHARI" hidden="1">[3]hal_8!$AF$12:$AF$23</definedName>
    <definedName name="__kop2">#N/A</definedName>
    <definedName name="__s2">#REF!</definedName>
    <definedName name="__SKF1">#N/A</definedName>
    <definedName name="__SKF2">#N/A</definedName>
    <definedName name="_0" localSheetId="4">#REF!</definedName>
    <definedName name="_0">#REF!</definedName>
    <definedName name="_1__123Graph_AGAE_2" hidden="1">'[1]data-hujan'!$E$8:$AC$8</definedName>
    <definedName name="_10_A_1" localSheetId="1">#REF!</definedName>
    <definedName name="_11_A_1" localSheetId="4">#REF!</definedName>
    <definedName name="_12_A_1">#REF!</definedName>
    <definedName name="_13_b_1" localSheetId="1">#REF!</definedName>
    <definedName name="_14_b_1" localSheetId="4">#REF!</definedName>
    <definedName name="_15_b_1">#REF!</definedName>
    <definedName name="_16_g_1" localSheetId="1">#REF!</definedName>
    <definedName name="_17_g_1" localSheetId="4">#REF!</definedName>
    <definedName name="_18_g_1">#REF!</definedName>
    <definedName name="_19_n_1" localSheetId="1">#REF!</definedName>
    <definedName name="_2__123Graph_BGAE_2" hidden="1">'[1]data-hujan'!$E$14:$AC$14</definedName>
    <definedName name="_20_n_1" localSheetId="4">#REF!</definedName>
    <definedName name="_21_n_1">#REF!</definedName>
    <definedName name="_22Excel_BuiltIn_Database_1" localSheetId="4">#REF!</definedName>
    <definedName name="_23Excel_BuiltIn_Database_1">#REF!</definedName>
    <definedName name="_24Excel_BuiltIn_Print_Area_1" localSheetId="4">#REF!</definedName>
    <definedName name="_25Excel_BuiltIn_Print_Area_1">#REF!</definedName>
    <definedName name="_26Excel_BuiltIn_Print_Area_31_1" localSheetId="1">'[4]Kap Rinci'!#REF!</definedName>
    <definedName name="_27Excel_BuiltIn_Print_Area_31_1" localSheetId="4">'[5]Kap Rinci'!#REF!</definedName>
    <definedName name="_28Excel_BuiltIn_Print_Area_31_1">'[6]Kap Rinci'!#REF!</definedName>
    <definedName name="_29Excel_BuiltIn_Print_Titles_1" localSheetId="1">#REF!</definedName>
    <definedName name="_3__123Graph_CGAE_2" hidden="1">'[1]data-hujan'!$E$15:$AC$15</definedName>
    <definedName name="_30Excel_BuiltIn_Print_Titles_1" localSheetId="4">#REF!</definedName>
    <definedName name="_31Excel_BuiltIn_Print_Titles_1">#REF!</definedName>
    <definedName name="_4__123Graph_DGAE_2" hidden="1">'[1]data-hujan'!$E$16:$AC$16</definedName>
    <definedName name="_432">432</definedName>
    <definedName name="_5__123Graph_EGAE_2" hidden="1">'[1]data-hujan'!$E$17:$AC$17</definedName>
    <definedName name="_6__123Graph_FGAE_2" hidden="1">'[1]data-hujan'!$E$18:$K$18</definedName>
    <definedName name="_7__123Graph_XGAE_2" hidden="1">'[1]data-hujan'!$E$3:$AC$3</definedName>
    <definedName name="_8_0_1" localSheetId="4">#REF!</definedName>
    <definedName name="_8311" localSheetId="1">#REF!</definedName>
    <definedName name="_8311" localSheetId="4">#REF!</definedName>
    <definedName name="_8311">#REF!</definedName>
    <definedName name="_9_0_1">#REF!</definedName>
    <definedName name="_a" localSheetId="1">#REF!</definedName>
    <definedName name="_A" localSheetId="3">#REF!</definedName>
    <definedName name="_A" localSheetId="4">#REF!</definedName>
    <definedName name="_A">#N/A</definedName>
    <definedName name="_A_1" localSheetId="1">#REF!</definedName>
    <definedName name="_A_1" localSheetId="4">#REF!</definedName>
    <definedName name="_A_1">#REF!</definedName>
    <definedName name="_A_2" localSheetId="1">#REF!</definedName>
    <definedName name="_A_2">#REF!</definedName>
    <definedName name="_A_28" localSheetId="1">#REF!</definedName>
    <definedName name="_A_28" localSheetId="4">#REF!</definedName>
    <definedName name="_A_28">#REF!</definedName>
    <definedName name="_A_3" localSheetId="1">#REF!</definedName>
    <definedName name="_A_3">#REF!</definedName>
    <definedName name="_A_31" localSheetId="1">#REF!</definedName>
    <definedName name="_A_31" localSheetId="4">#REF!</definedName>
    <definedName name="_A_31">#REF!</definedName>
    <definedName name="_A_58" localSheetId="1">#REF!</definedName>
    <definedName name="_A_58">#REF!</definedName>
    <definedName name="_A_7" localSheetId="1">#REF!</definedName>
    <definedName name="_A_7" localSheetId="4">#REF!</definedName>
    <definedName name="_A_7">#REF!</definedName>
    <definedName name="_A_8" localSheetId="1">#REF!</definedName>
    <definedName name="_A_8" localSheetId="4">#REF!</definedName>
    <definedName name="_A_8">#REF!</definedName>
    <definedName name="_A_86" localSheetId="1">#REF!</definedName>
    <definedName name="_A_86">#REF!</definedName>
    <definedName name="_A_87" localSheetId="1">#REF!</definedName>
    <definedName name="_A_87">#REF!</definedName>
    <definedName name="_A_9" localSheetId="1">#REF!</definedName>
    <definedName name="_A_9" localSheetId="4">#REF!</definedName>
    <definedName name="_A_9">#REF!</definedName>
    <definedName name="_b" localSheetId="1">#REF!</definedName>
    <definedName name="_b">#REF!</definedName>
    <definedName name="_Fill" localSheetId="4" hidden="1">#REF!</definedName>
    <definedName name="_Fill" hidden="1">#REF!</definedName>
    <definedName name="_g" localSheetId="1">#REF!</definedName>
    <definedName name="_g" localSheetId="4">#REF!</definedName>
    <definedName name="_g">#REF!</definedName>
    <definedName name="_HOME___FR_PGSE" localSheetId="1">#REF!</definedName>
    <definedName name="_HOME___FR_PGSE" localSheetId="4">#REF!</definedName>
    <definedName name="_HOME___FR_PGSE">#REF!</definedName>
    <definedName name="_HOME___PG_FRSE" localSheetId="1">#REF!</definedName>
    <definedName name="_HOME___PG_FRSE" localSheetId="4">#REF!</definedName>
    <definedName name="_HOME___PG_FRSE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hidden="1">#N/A</definedName>
    <definedName name="_Key2" localSheetId="1" hidden="1">#REF!</definedName>
    <definedName name="_Key2" localSheetId="3" hidden="1">#REF!</definedName>
    <definedName name="_Key2" localSheetId="4" hidden="1">#REF!</definedName>
    <definedName name="_Key2" hidden="1">#N/A</definedName>
    <definedName name="_kop2" localSheetId="1">#REF!</definedName>
    <definedName name="_kop2" localSheetId="3">#REF!</definedName>
    <definedName name="_kop2" localSheetId="4">#REF!</definedName>
    <definedName name="_kop2">#REF!</definedName>
    <definedName name="_n" localSheetId="1">#REF!</definedName>
    <definedName name="_n">#REF!</definedName>
    <definedName name="_Order1" hidden="1">255</definedName>
    <definedName name="_Order2" hidden="1">0</definedName>
    <definedName name="_PG" localSheetId="1">[7]XXXXXXXXXXXX!#REF!</definedName>
    <definedName name="_PG" localSheetId="4">[7]XXXXXXXXXXXX!#REF!</definedName>
    <definedName name="_PG">[7]XXXXXXXXXXXX!#REF!</definedName>
    <definedName name="_Regression_Int">1</definedName>
    <definedName name="_rkp3" hidden="1">[2]CH!#REF!</definedName>
    <definedName name="_rkp4">#N/A</definedName>
    <definedName name="_s2" localSheetId="1">#REF!</definedName>
    <definedName name="_s2">#REF!</definedName>
    <definedName name="_SKF1" localSheetId="1">#REF!</definedName>
    <definedName name="_SKF1" localSheetId="3">#REF!</definedName>
    <definedName name="_SKF1" localSheetId="4">#REF!</definedName>
    <definedName name="_SKF1">#REF!</definedName>
    <definedName name="_SKF2" localSheetId="1">#REF!</definedName>
    <definedName name="_SKF2" localSheetId="3">#REF!</definedName>
    <definedName name="_SKF2" localSheetId="4">#REF!</definedName>
    <definedName name="_SKF2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hidden="1">#N/A</definedName>
    <definedName name="A" localSheetId="1">#REF!</definedName>
    <definedName name="A">#N/A</definedName>
    <definedName name="aa" localSheetId="1">#REF!</definedName>
    <definedName name="aa">#N/A</definedName>
    <definedName name="are" localSheetId="1">#REF!</definedName>
    <definedName name="are" localSheetId="4">#REF!</definedName>
    <definedName name="are">#REF!</definedName>
    <definedName name="ari" localSheetId="1">#REF!</definedName>
    <definedName name="ari" localSheetId="4">#REF!</definedName>
    <definedName name="ari">#REF!</definedName>
    <definedName name="ASE" localSheetId="4" hidden="1">#REF!</definedName>
    <definedName name="ASE" hidden="1">#REF!</definedName>
    <definedName name="bab" hidden="1">'[8]data-hujan'!$E$14:$AC$14</definedName>
    <definedName name="BBB" localSheetId="1" hidden="1">#REF!</definedName>
    <definedName name="BBB" localSheetId="3" hidden="1">#REF!</definedName>
    <definedName name="BBB" localSheetId="4" hidden="1">#REF!</definedName>
    <definedName name="BBB" hidden="1">#N/A</definedName>
    <definedName name="bln" localSheetId="1">#REF!</definedName>
    <definedName name="bln">#N/A</definedName>
    <definedName name="bulanan" hidden="1">'[8]data-hujan'!$E$17:$AC$17</definedName>
    <definedName name="capital" localSheetId="1">#REF!</definedName>
    <definedName name="capital">#N/A</definedName>
    <definedName name="CC" localSheetId="1">#REF!</definedName>
    <definedName name="CC" localSheetId="3">#REF!</definedName>
    <definedName name="CC" localSheetId="4">#REF!</definedName>
    <definedName name="CC">#N/A</definedName>
    <definedName name="CC_31" localSheetId="4">#REF!</definedName>
    <definedName name="CC_31">#REF!</definedName>
    <definedName name="CC_7" localSheetId="4">#REF!</definedName>
    <definedName name="CC_7">#REF!</definedName>
    <definedName name="CCC">#REF!</definedName>
    <definedName name="Cetak" localSheetId="4">'[9]Pk prod'!#REF!</definedName>
    <definedName name="Cetak">'[10]Pk prod'!#REF!</definedName>
    <definedName name="d">#REF!</definedName>
    <definedName name="_xlnm.Database" localSheetId="4">#REF!</definedName>
    <definedName name="_xlnm.Database">#REF!</definedName>
    <definedName name="dea" localSheetId="1">#REF!</definedName>
    <definedName name="dea">#N/A</definedName>
    <definedName name="df" localSheetId="1">'[11]GRFK BJR_SBH_02'!#REF!</definedName>
    <definedName name="df" localSheetId="4">'[11]GRFK BJR_SBH_02'!#REF!</definedName>
    <definedName name="df">'[11]GRFK BJR_SBH_02'!#REF!</definedName>
    <definedName name="edar" localSheetId="1">#REF!</definedName>
    <definedName name="edar">#N/A</definedName>
    <definedName name="ee" localSheetId="1" hidden="1">#REF!</definedName>
    <definedName name="ee" localSheetId="4" hidden="1">#REF!</definedName>
    <definedName name="ee" hidden="1">#REF!</definedName>
    <definedName name="er" localSheetId="1">#REF!</definedName>
    <definedName name="er" localSheetId="4">#REF!</definedName>
    <definedName name="er">#REF!</definedName>
    <definedName name="Excel_BuiltIn_Database" localSheetId="1">#REF!</definedName>
    <definedName name="Excel_BuiltIn_Database" localSheetId="4">#REF!</definedName>
    <definedName name="Excel_BuiltIn_Database">#REF!</definedName>
    <definedName name="Excel_BuiltIn_Print_Area" localSheetId="1">#REF!</definedName>
    <definedName name="Excel_BuiltIn_Print_Area" localSheetId="4">#REF!</definedName>
    <definedName name="Excel_BuiltIn_Print_Area">#REF!</definedName>
    <definedName name="Excel_BuiltIn_Print_Area_1">"$#REF!.$A$2:$R$24"</definedName>
    <definedName name="Excel_BuiltIn_Print_Area_18" localSheetId="1">'[12]GRFK BJR_TT_00'!#REF!</definedName>
    <definedName name="Excel_BuiltIn_Print_Area_18" localSheetId="4">'[13]GRFK BJR_TT_00'!#REF!</definedName>
    <definedName name="Excel_BuiltIn_Print_Area_18">'[14]GRFK BJR_TT_00'!#REF!</definedName>
    <definedName name="Excel_BuiltIn_Print_Area_19" localSheetId="1">'[12]GRFK BJR_TT_01'!#REF!</definedName>
    <definedName name="Excel_BuiltIn_Print_Area_19" localSheetId="4">'[13]GRFK BJR_TT_01'!#REF!</definedName>
    <definedName name="Excel_BuiltIn_Print_Area_19">'[14]GRFK BJR_TT_01'!#REF!</definedName>
    <definedName name="Excel_BuiltIn_Print_Area_20" localSheetId="1">'[12]GRFK BJR_TT_02'!#REF!</definedName>
    <definedName name="Excel_BuiltIn_Print_Area_20" localSheetId="4">'[13]GRFK BJR_TT_02'!#REF!</definedName>
    <definedName name="Excel_BuiltIn_Print_Area_20">'[14]GRFK BJR_TT_02'!#REF!</definedName>
    <definedName name="Excel_BuiltIn_Print_Area_21" localSheetId="1">'[12]GRFK BJR_TT_03'!#REF!</definedName>
    <definedName name="Excel_BuiltIn_Print_Area_21" localSheetId="4">'[13]GRFK BJR_TT_03'!#REF!</definedName>
    <definedName name="Excel_BuiltIn_Print_Area_21">'[14]GRFK BJR_TT_03'!#REF!</definedName>
    <definedName name="Excel_BuiltIn_Print_Area_22" localSheetId="1">'[12]GRFK BJR_TT_04'!#REF!</definedName>
    <definedName name="Excel_BuiltIn_Print_Area_22" localSheetId="4">'[13]GRFK BJR_TT_04'!#REF!</definedName>
    <definedName name="Excel_BuiltIn_Print_Area_22">'[14]GRFK BJR_TT_04'!#REF!</definedName>
    <definedName name="Excel_BuiltIn_Print_Area_23" localSheetId="1">'[12]GRFK BJR_SBB_00'!#REF!</definedName>
    <definedName name="Excel_BuiltIn_Print_Area_23" localSheetId="4">'[13]GRFK BJR_SBB_00'!#REF!</definedName>
    <definedName name="Excel_BuiltIn_Print_Area_23">'[14]GRFK BJR_SBB_00'!#REF!</definedName>
    <definedName name="Excel_BuiltIn_Print_Area_24" localSheetId="1">'[12]GRFK BJR_SBB_01'!#REF!</definedName>
    <definedName name="Excel_BuiltIn_Print_Area_24" localSheetId="4">'[13]GRFK BJR_SBB_01'!#REF!</definedName>
    <definedName name="Excel_BuiltIn_Print_Area_24">'[14]GRFK BJR_SBB_01'!#REF!</definedName>
    <definedName name="Excel_BuiltIn_Print_Area_25" localSheetId="1">'[12]GRFK BJR_SBB_02'!#REF!</definedName>
    <definedName name="Excel_BuiltIn_Print_Area_25" localSheetId="4">'[13]GRFK BJR_SBB_02'!#REF!</definedName>
    <definedName name="Excel_BuiltIn_Print_Area_25">'[14]GRFK BJR_SBB_02'!#REF!</definedName>
    <definedName name="Excel_BuiltIn_Print_Area_26" localSheetId="1">'[12]GRFK BJR_TGS_01'!#REF!</definedName>
    <definedName name="Excel_BuiltIn_Print_Area_26" localSheetId="4">'[13]GRFK BJR_TGS_01'!#REF!</definedName>
    <definedName name="Excel_BuiltIn_Print_Area_26">'[14]GRFK BJR_TGS_01'!#REF!</definedName>
    <definedName name="Excel_BuiltIn_Print_Area_27" localSheetId="1">'[12]GRFK BJR_TGS_02'!#REF!</definedName>
    <definedName name="Excel_BuiltIn_Print_Area_27" localSheetId="4">'[13]GRFK BJR_TGS_02'!#REF!</definedName>
    <definedName name="Excel_BuiltIn_Print_Area_27">'[14]GRFK BJR_TGS_02'!#REF!</definedName>
    <definedName name="Excel_BuiltIn_Print_Area_28" localSheetId="1">'[12]GRFK BJR_TGS_03'!#REF!</definedName>
    <definedName name="Excel_BuiltIn_Print_Area_28" localSheetId="4">'[13]GRFK BJR_TGS_03'!#REF!</definedName>
    <definedName name="Excel_BuiltIn_Print_Area_28">'[14]GRFK BJR_TGS_03'!#REF!</definedName>
    <definedName name="Excel_BuiltIn_Print_Area_29" localSheetId="1">'[12]GRFK BJR_SK1_01'!#REF!</definedName>
    <definedName name="Excel_BuiltIn_Print_Area_29" localSheetId="4">'[13]GRFK BJR_SK1_01'!#REF!</definedName>
    <definedName name="Excel_BuiltIn_Print_Area_29">'[14]GRFK BJR_SK1_01'!#REF!</definedName>
    <definedName name="Excel_BuiltIn_Print_Area_30" localSheetId="1">'[12]GRFK BJR_SKB_03'!#REF!</definedName>
    <definedName name="Excel_BuiltIn_Print_Area_30" localSheetId="4">'[13]GRFK BJR_SKB_03'!#REF!</definedName>
    <definedName name="Excel_BuiltIn_Print_Area_30">'[14]GRFK BJR_SKB_03'!#REF!</definedName>
    <definedName name="Excel_BuiltIn_Print_Area_31" localSheetId="1">'[12]GRFK BJR_SKC_03'!#REF!</definedName>
    <definedName name="Excel_BuiltIn_Print_Area_31" localSheetId="4">'[13]GRFK BJR_SKC_03'!#REF!</definedName>
    <definedName name="Excel_BuiltIn_Print_Area_31">'[14]GRFK BJR_SKC_03'!#REF!</definedName>
    <definedName name="Excel_BuiltIn_Print_Area_32" localSheetId="1">'[12]GRFK BJR_MTL_02'!#REF!</definedName>
    <definedName name="Excel_BuiltIn_Print_Area_32" localSheetId="4">'[13]GRFK BJR_MTL_02'!#REF!</definedName>
    <definedName name="Excel_BuiltIn_Print_Area_32">'[14]GRFK BJR_MTL_02'!#REF!</definedName>
    <definedName name="Excel_BuiltIn_Print_Area_33" localSheetId="1">'[12]GRFK BJR_SBH_02'!#REF!</definedName>
    <definedName name="Excel_BuiltIn_Print_Area_33" localSheetId="4">'[13]GRFK BJR_SBH_02'!#REF!</definedName>
    <definedName name="Excel_BuiltIn_Print_Area_33">'[14]GRFK BJR_SBH_02'!#REF!</definedName>
    <definedName name="Excel_BuiltIn_Print_Area_34" localSheetId="1">'[12]GRFK BJR_SBH_03'!#REF!</definedName>
    <definedName name="Excel_BuiltIn_Print_Area_34" localSheetId="4">'[13]GRFK BJR_SBH_03'!#REF!</definedName>
    <definedName name="Excel_BuiltIn_Print_Area_34">'[14]GRFK BJR_SBH_03'!#REF!</definedName>
    <definedName name="Excel_BuiltIn_Print_Area_35" localSheetId="1">'[12]GRFK BJR_TNB_04'!#REF!</definedName>
    <definedName name="Excel_BuiltIn_Print_Area_35" localSheetId="4">'[13]GRFK BJR_TNB_04'!#REF!</definedName>
    <definedName name="Excel_BuiltIn_Print_Area_35">'[14]GRFK BJR_TNB_04'!#REF!</definedName>
    <definedName name="Excel_BuiltIn_Print_Area_36" localSheetId="1">'[12]GRFK BJR_SBU_04'!#REF!</definedName>
    <definedName name="Excel_BuiltIn_Print_Area_36" localSheetId="4">'[13]GRFK BJR_SBU_04'!#REF!</definedName>
    <definedName name="Excel_BuiltIn_Print_Area_36">'[14]GRFK BJR_SBU_04'!#REF!</definedName>
    <definedName name="Excel_BuiltIn_Print_Area_38" localSheetId="1">'[12]tonper Ha_TT 2000'!#REF!</definedName>
    <definedName name="Excel_BuiltIn_Print_Area_38" localSheetId="4">'[13]tonper Ha-TT 2000'!#REF!</definedName>
    <definedName name="Excel_BuiltIn_Print_Area_38">'[14]tonper Ha-TT 2000'!#REF!</definedName>
    <definedName name="Excel_BuiltIn_Print_Area_84" localSheetId="1">'[12]DATA _TM _2_'!#REF!</definedName>
    <definedName name="Excel_BuiltIn_Print_Area_84" localSheetId="4">'[13]DATA _TM _2_'!#REF!</definedName>
    <definedName name="Excel_BuiltIn_Print_Area_84">'[14]DATA _TM _2_'!#REF!</definedName>
    <definedName name="Excel_BuiltIn_Print_Titles" localSheetId="1">#REF!</definedName>
    <definedName name="Excel_BuiltIn_Print_Titles" localSheetId="4">#REF!</definedName>
    <definedName name="Excel_BuiltIn_Print_Titles">#REF!</definedName>
    <definedName name="Excel_BuiltIn_Print_Titles_7" localSheetId="1">'[12]DATA TAHUN TANAM'!#REF!</definedName>
    <definedName name="Excel_BuiltIn_Print_Titles_7" localSheetId="4">'[13]DATA TAHUN TANAM'!#REF!</definedName>
    <definedName name="Excel_BuiltIn_Print_Titles_7">'[14]DATA TAHUN TANAM'!#REF!</definedName>
    <definedName name="f" localSheetId="1">#REF!</definedName>
    <definedName name="f" localSheetId="3">#REF!</definedName>
    <definedName name="f" localSheetId="4">#REF!</definedName>
    <definedName name="f">#N/A</definedName>
    <definedName name="f_2" localSheetId="1">#REF!</definedName>
    <definedName name="f_2" localSheetId="4">#REF!</definedName>
    <definedName name="f_2">#REF!</definedName>
    <definedName name="f_28" localSheetId="4">#REF!</definedName>
    <definedName name="f_28">#REF!</definedName>
    <definedName name="f_3" localSheetId="1">#REF!</definedName>
    <definedName name="f_3" localSheetId="4">#REF!</definedName>
    <definedName name="f_3">#REF!</definedName>
    <definedName name="f_31" localSheetId="4">#REF!</definedName>
    <definedName name="f_31">#REF!</definedName>
    <definedName name="f_58" localSheetId="1">#REF!</definedName>
    <definedName name="f_58" localSheetId="4">#REF!</definedName>
    <definedName name="f_58">#REF!</definedName>
    <definedName name="f_7" localSheetId="4">#REF!</definedName>
    <definedName name="f_7">#REF!</definedName>
    <definedName name="f_8" localSheetId="4">#REF!</definedName>
    <definedName name="f_8">#REF!</definedName>
    <definedName name="f_86" localSheetId="1">#REF!</definedName>
    <definedName name="f_86" localSheetId="4">#REF!</definedName>
    <definedName name="f_86">#REF!</definedName>
    <definedName name="f_87" localSheetId="1">#REF!</definedName>
    <definedName name="f_87" localSheetId="4">#REF!</definedName>
    <definedName name="f_87">#REF!</definedName>
    <definedName name="f_9" localSheetId="4">#REF!</definedName>
    <definedName name="f_9">#REF!</definedName>
    <definedName name="ffff" localSheetId="4">#REF!</definedName>
    <definedName name="ffff">#REF!</definedName>
    <definedName name="FFFFFFFFFFFFFFFFFFFFFFFFFFFFFFFFF" localSheetId="1">#REF!</definedName>
    <definedName name="FFFFFFFFFFFFFFFFFFFFFFFFFFFFFFFFF" localSheetId="4">#REF!</definedName>
    <definedName name="FFFFFFFFFFFFFFFFFFFFFFFFFFFFFFFFF">#REF!</definedName>
    <definedName name="FORM" localSheetId="1">#REF!</definedName>
    <definedName name="FORM" localSheetId="4">#REF!</definedName>
    <definedName name="FORM">#REF!</definedName>
    <definedName name="FORM_31" localSheetId="4">#REF!</definedName>
    <definedName name="FORM_31">#REF!</definedName>
    <definedName name="gae" localSheetId="1">#REF!</definedName>
    <definedName name="gae" localSheetId="3">#REF!</definedName>
    <definedName name="gae" localSheetId="4">#REF!</definedName>
    <definedName name="gae">#N/A</definedName>
    <definedName name="gae_2" localSheetId="1">#REF!</definedName>
    <definedName name="gae_2" localSheetId="4">#REF!</definedName>
    <definedName name="gae_2">#REF!</definedName>
    <definedName name="gae_28" localSheetId="4">#REF!</definedName>
    <definedName name="gae_28">#REF!</definedName>
    <definedName name="gae_3" localSheetId="1">#REF!</definedName>
    <definedName name="gae_3" localSheetId="4">#REF!</definedName>
    <definedName name="gae_3">#REF!</definedName>
    <definedName name="gae_31" localSheetId="4">#REF!</definedName>
    <definedName name="gae_31">#REF!</definedName>
    <definedName name="gae_58" localSheetId="1">#REF!</definedName>
    <definedName name="gae_58" localSheetId="4">#REF!</definedName>
    <definedName name="gae_58">#REF!</definedName>
    <definedName name="gae_7" localSheetId="4">#REF!</definedName>
    <definedName name="gae_7">#REF!</definedName>
    <definedName name="gae_8" localSheetId="4">#REF!</definedName>
    <definedName name="gae_8">#REF!</definedName>
    <definedName name="gae_86" localSheetId="1">#REF!</definedName>
    <definedName name="gae_86" localSheetId="4">#REF!</definedName>
    <definedName name="gae_86">#REF!</definedName>
    <definedName name="gae_87" localSheetId="1">#REF!</definedName>
    <definedName name="gae_87" localSheetId="4">#REF!</definedName>
    <definedName name="gae_87">#REF!</definedName>
    <definedName name="gae_9" localSheetId="4">#REF!</definedName>
    <definedName name="gae_9">#REF!</definedName>
    <definedName name="gusdur" localSheetId="1">#REF!</definedName>
    <definedName name="gusdur" localSheetId="4">#REF!</definedName>
    <definedName name="gusdur">#REF!</definedName>
    <definedName name="gusdur2" localSheetId="1">#REF!</definedName>
    <definedName name="gusdur2" localSheetId="4">#REF!</definedName>
    <definedName name="gusdur2">#REF!</definedName>
    <definedName name="H" localSheetId="1">#REF!</definedName>
    <definedName name="H" localSheetId="4">#REF!</definedName>
    <definedName name="H">#REF!</definedName>
    <definedName name="Harga">'[15]Master Harga'!$E$45:$H$357</definedName>
    <definedName name="HGB" localSheetId="1" hidden="1">#REF!</definedName>
    <definedName name="HGB" localSheetId="3" hidden="1">#REF!</definedName>
    <definedName name="HGB" localSheetId="4" hidden="1">#REF!</definedName>
    <definedName name="HGB" hidden="1">#N/A</definedName>
    <definedName name="hh" localSheetId="1">#REF!</definedName>
    <definedName name="hh" localSheetId="4">#REF!</definedName>
    <definedName name="hh">#REF!</definedName>
    <definedName name="HHHHHHHHH" localSheetId="1">#REF!</definedName>
    <definedName name="HHHHHHHHH" localSheetId="3">#REF!</definedName>
    <definedName name="HHHHHHHHH" localSheetId="4">#REF!</definedName>
    <definedName name="HHHHHHHHH">#N/A</definedName>
    <definedName name="HHHHHHHHH_2" localSheetId="1">#REF!</definedName>
    <definedName name="HHHHHHHHH_2" localSheetId="4">#REF!</definedName>
    <definedName name="HHHHHHHHH_2">#REF!</definedName>
    <definedName name="HHHHHHHHH_3" localSheetId="1">#REF!</definedName>
    <definedName name="HHHHHHHHH_3" localSheetId="4">#REF!</definedName>
    <definedName name="HHHHHHHHH_3">#REF!</definedName>
    <definedName name="HHHHHHHHH_31" localSheetId="4">#REF!</definedName>
    <definedName name="HHHHHHHHH_31">#REF!</definedName>
    <definedName name="HHHHHHHHH_7" localSheetId="4">#REF!</definedName>
    <definedName name="HHHHHHHHH_7">#REF!</definedName>
    <definedName name="HHHHHHHHH_8" localSheetId="4">#REF!</definedName>
    <definedName name="HHHHHHHHH_8">#REF!</definedName>
    <definedName name="HHHHHHHHH_86" localSheetId="1">#REF!</definedName>
    <definedName name="HHHHHHHHH_86" localSheetId="4">#REF!</definedName>
    <definedName name="HHHHHHHHH_86">#REF!</definedName>
    <definedName name="HHHHHHHHH_9" localSheetId="4">#REF!</definedName>
    <definedName name="HHHHHHHHH_9">#REF!</definedName>
    <definedName name="I" localSheetId="1">#REF!</definedName>
    <definedName name="I" localSheetId="3">#REF!</definedName>
    <definedName name="I" localSheetId="4">#REF!</definedName>
    <definedName name="I">#N/A</definedName>
    <definedName name="I_26" localSheetId="1">#REF!</definedName>
    <definedName name="I_26" localSheetId="4">#REF!</definedName>
    <definedName name="I_26">#REF!</definedName>
    <definedName name="I_27" localSheetId="1">#REF!</definedName>
    <definedName name="I_27" localSheetId="4">#REF!</definedName>
    <definedName name="I_27">#REF!</definedName>
    <definedName name="I_28" localSheetId="1">#REF!</definedName>
    <definedName name="I_28" localSheetId="4">#REF!</definedName>
    <definedName name="I_28">#REF!</definedName>
    <definedName name="I_31" localSheetId="1">#REF!</definedName>
    <definedName name="I_31" localSheetId="4">#REF!</definedName>
    <definedName name="I_31">#REF!</definedName>
    <definedName name="I_7" localSheetId="1">#REF!</definedName>
    <definedName name="I_7" localSheetId="4">#REF!</definedName>
    <definedName name="I_7">#REF!</definedName>
    <definedName name="jj" localSheetId="1">#REF!</definedName>
    <definedName name="jj">#N/A</definedName>
    <definedName name="JUDUL" localSheetId="1">#REF!</definedName>
    <definedName name="JUDUL" localSheetId="3">#REF!</definedName>
    <definedName name="JUDUL" localSheetId="4">#REF!</definedName>
    <definedName name="JUDUL">#N/A</definedName>
    <definedName name="JUDUL_2" localSheetId="1">#REF!</definedName>
    <definedName name="JUDUL_2" localSheetId="4">#REF!</definedName>
    <definedName name="JUDUL_2">#REF!</definedName>
    <definedName name="JUDUL_28" localSheetId="4">#REF!</definedName>
    <definedName name="JUDUL_28">#REF!</definedName>
    <definedName name="JUDUL_3" localSheetId="1">#REF!</definedName>
    <definedName name="JUDUL_3" localSheetId="4">#REF!</definedName>
    <definedName name="JUDUL_3">#REF!</definedName>
    <definedName name="JUDUL_31" localSheetId="4">#REF!</definedName>
    <definedName name="JUDUL_31">#REF!</definedName>
    <definedName name="JUDUL_58" localSheetId="1">#REF!</definedName>
    <definedName name="JUDUL_58" localSheetId="4">#REF!</definedName>
    <definedName name="JUDUL_58">#REF!</definedName>
    <definedName name="JUDUL_7" localSheetId="4">#REF!</definedName>
    <definedName name="JUDUL_7">#REF!</definedName>
    <definedName name="JUDUL_8" localSheetId="4">#REF!</definedName>
    <definedName name="JUDUL_8">#REF!</definedName>
    <definedName name="JUDUL_86" localSheetId="1">#REF!</definedName>
    <definedName name="JUDUL_86" localSheetId="4">#REF!</definedName>
    <definedName name="JUDUL_86">#REF!</definedName>
    <definedName name="JUDUL_87" localSheetId="1">#REF!</definedName>
    <definedName name="JUDUL_87" localSheetId="4">#REF!</definedName>
    <definedName name="JUDUL_87">#REF!</definedName>
    <definedName name="JUDUL_9" localSheetId="4">#REF!</definedName>
    <definedName name="JUDUL_9">#REF!</definedName>
    <definedName name="kajfak" localSheetId="1">#REF!</definedName>
    <definedName name="kajfak" localSheetId="4">#REF!</definedName>
    <definedName name="kajfak">#REF!</definedName>
    <definedName name="kap" localSheetId="4" hidden="1">#REF!</definedName>
    <definedName name="kap" hidden="1">#REF!</definedName>
    <definedName name="kapital" localSheetId="4" hidden="1">[16]CH!#REF!</definedName>
    <definedName name="kapital" hidden="1">[16]CH!#REF!</definedName>
    <definedName name="Kd_Afd">'[15]Master Harga'!$D$2:$F$41</definedName>
    <definedName name="knj" localSheetId="1">#REF!</definedName>
    <definedName name="knj" localSheetId="3">#REF!</definedName>
    <definedName name="knj" localSheetId="4">#REF!</definedName>
    <definedName name="knj">#N/A</definedName>
    <definedName name="knj_2" localSheetId="4">#REF!</definedName>
    <definedName name="knj_2">#REF!</definedName>
    <definedName name="knj_28" localSheetId="4">#REF!</definedName>
    <definedName name="knj_28">#REF!</definedName>
    <definedName name="knj_3" localSheetId="4">#REF!</definedName>
    <definedName name="knj_3">#REF!</definedName>
    <definedName name="knj_31" localSheetId="4">#REF!</definedName>
    <definedName name="knj_31">#REF!</definedName>
    <definedName name="knj_58" localSheetId="4">#REF!</definedName>
    <definedName name="knj_58">#REF!</definedName>
    <definedName name="knj_7" localSheetId="4">#REF!</definedName>
    <definedName name="knj_7">#REF!</definedName>
    <definedName name="knj_8" localSheetId="4">#REF!</definedName>
    <definedName name="knj_8">#REF!</definedName>
    <definedName name="knj_86" localSheetId="4">#REF!</definedName>
    <definedName name="knj_86">#REF!</definedName>
    <definedName name="knj_87" localSheetId="4">#REF!</definedName>
    <definedName name="knj_87">#REF!</definedName>
    <definedName name="knj_9" localSheetId="4">#REF!</definedName>
    <definedName name="knj_9">#REF!</definedName>
    <definedName name="kop" localSheetId="1">#REF!</definedName>
    <definedName name="kop" localSheetId="3">#REF!</definedName>
    <definedName name="kop" localSheetId="4">#REF!</definedName>
    <definedName name="kop">#N/A</definedName>
    <definedName name="kop_2" localSheetId="4">#REF!</definedName>
    <definedName name="kop_2">#REF!</definedName>
    <definedName name="kop_28" localSheetId="4">#REF!</definedName>
    <definedName name="kop_28">#REF!</definedName>
    <definedName name="kop_3" localSheetId="4">#REF!</definedName>
    <definedName name="kop_3">#REF!</definedName>
    <definedName name="kop_31" localSheetId="4">#REF!</definedName>
    <definedName name="kop_31">#REF!</definedName>
    <definedName name="kop_58" localSheetId="4">#REF!</definedName>
    <definedName name="kop_58">#REF!</definedName>
    <definedName name="kop_7" localSheetId="4">#REF!</definedName>
    <definedName name="kop_7">#REF!</definedName>
    <definedName name="kop_8" localSheetId="4">#REF!</definedName>
    <definedName name="kop_8">#REF!</definedName>
    <definedName name="kop_86" localSheetId="4">#REF!</definedName>
    <definedName name="kop_86">#REF!</definedName>
    <definedName name="kop_87" localSheetId="4">#REF!</definedName>
    <definedName name="kop_87">#REF!</definedName>
    <definedName name="kop_9" localSheetId="4">#REF!</definedName>
    <definedName name="kop_9">#REF!</definedName>
    <definedName name="kop2_2" localSheetId="4">#REF!</definedName>
    <definedName name="kop2_2">#REF!</definedName>
    <definedName name="kop2_28" localSheetId="4">#REF!</definedName>
    <definedName name="kop2_28">#REF!</definedName>
    <definedName name="kop2_3" localSheetId="4">#REF!</definedName>
    <definedName name="kop2_3">#REF!</definedName>
    <definedName name="kop2_31" localSheetId="4">#REF!</definedName>
    <definedName name="kop2_31">#REF!</definedName>
    <definedName name="kop2_58" localSheetId="4">#REF!</definedName>
    <definedName name="kop2_58">#REF!</definedName>
    <definedName name="kop2_7" localSheetId="4">#REF!</definedName>
    <definedName name="kop2_7">#REF!</definedName>
    <definedName name="kop2_8" localSheetId="4">#REF!</definedName>
    <definedName name="kop2_8">#REF!</definedName>
    <definedName name="kop2_86" localSheetId="4">#REF!</definedName>
    <definedName name="kop2_86">#REF!</definedName>
    <definedName name="kop2_87" localSheetId="4">#REF!</definedName>
    <definedName name="kop2_87">#REF!</definedName>
    <definedName name="kop2_9" localSheetId="4">#REF!</definedName>
    <definedName name="kop2_9">#REF!</definedName>
    <definedName name="LINE" localSheetId="1">#REF!</definedName>
    <definedName name="LINE" localSheetId="4">#REF!</definedName>
    <definedName name="LINE">#REF!</definedName>
    <definedName name="LINE_31" localSheetId="4">#REF!</definedName>
    <definedName name="LINE_31">#REF!</definedName>
    <definedName name="M" localSheetId="1" hidden="1">#REF!</definedName>
    <definedName name="M" localSheetId="3" hidden="1">#REF!</definedName>
    <definedName name="M" localSheetId="4" hidden="1">#REF!</definedName>
    <definedName name="M" hidden="1">#N/A</definedName>
    <definedName name="mmmmmmmmmm" localSheetId="4">#REF!</definedName>
    <definedName name="mmmmmmmmmm">#REF!</definedName>
    <definedName name="ok">'[17]tonper Ha-TT 2000'!#REF!</definedName>
    <definedName name="peot" localSheetId="1">#REF!</definedName>
    <definedName name="peot" localSheetId="4">#REF!</definedName>
    <definedName name="peot">#REF!</definedName>
    <definedName name="pr" localSheetId="1">#REF!</definedName>
    <definedName name="pr" localSheetId="3">#REF!</definedName>
    <definedName name="pr" localSheetId="4">#REF!</definedName>
    <definedName name="pr">#N/A</definedName>
    <definedName name="pr_2" localSheetId="1">#REF!</definedName>
    <definedName name="pr_2" localSheetId="4">#REF!</definedName>
    <definedName name="pr_2">#REF!</definedName>
    <definedName name="pr_28" localSheetId="4">#REF!</definedName>
    <definedName name="pr_28">#REF!</definedName>
    <definedName name="pr_3" localSheetId="1">#REF!</definedName>
    <definedName name="pr_3" localSheetId="4">#REF!</definedName>
    <definedName name="pr_3">#REF!</definedName>
    <definedName name="pr_31" localSheetId="4">#REF!</definedName>
    <definedName name="pr_31">#REF!</definedName>
    <definedName name="pr_58" localSheetId="1">#REF!</definedName>
    <definedName name="pr_58" localSheetId="4">#REF!</definedName>
    <definedName name="pr_58">#REF!</definedName>
    <definedName name="pr_7" localSheetId="4">#REF!</definedName>
    <definedName name="pr_7">#REF!</definedName>
    <definedName name="pr_8" localSheetId="4">#REF!</definedName>
    <definedName name="pr_8">#REF!</definedName>
    <definedName name="pr_86" localSheetId="1">#REF!</definedName>
    <definedName name="pr_86" localSheetId="4">#REF!</definedName>
    <definedName name="pr_86">#REF!</definedName>
    <definedName name="pr_87" localSheetId="1">#REF!</definedName>
    <definedName name="pr_87" localSheetId="4">#REF!</definedName>
    <definedName name="pr_87">#REF!</definedName>
    <definedName name="pr_9" localSheetId="4">#REF!</definedName>
    <definedName name="pr_9">#REF!</definedName>
    <definedName name="print" localSheetId="1">#REF!</definedName>
    <definedName name="print">#N/A</definedName>
    <definedName name="PRINT_A" localSheetId="4">#REF!</definedName>
    <definedName name="PRINT_A">#REF!</definedName>
    <definedName name="_xlnm.Print_Area" localSheetId="12">'BHN ORGNK'!$B$2:$J$34</definedName>
    <definedName name="_xlnm.Print_Area" localSheetId="18">'Buat Jalan Tnh Mineral'!$A$1:$V$20</definedName>
    <definedName name="_xlnm.Print_Area" localSheetId="10">'Cost MN'!$A$1:$M$56</definedName>
    <definedName name="_xlnm.Print_Area" localSheetId="9">'Cost PN'!$A$1:$M$44</definedName>
    <definedName name="_xlnm.Print_Area" localSheetId="1">'Cover RKP'!$A$2:$J$28</definedName>
    <definedName name="_xlnm.Print_Area" localSheetId="19">'Drainase Tnh Mineral '!$A$1:$U$21</definedName>
    <definedName name="_xlnm.Print_Area" localSheetId="2">Harga!$A$1:$D$68</definedName>
    <definedName name="_xlnm.Print_Area" localSheetId="11">'LC Mekanis'!$A$1:$G$40</definedName>
    <definedName name="_xlnm.Print_Area" localSheetId="5">'Non Tanaman'!#REF!</definedName>
    <definedName name="_xlnm.Print_Area" localSheetId="3">'RKP 08'!$B$1:$AU$108</definedName>
    <definedName name="_xlnm.Print_Area" localSheetId="4">'RKT 18_19 Infra'!$B$2:$DH$29</definedName>
    <definedName name="_xlnm.Print_Area" localSheetId="13">Tanam!$A$1:$G$45</definedName>
    <definedName name="_xlnm.Print_Area" localSheetId="14">'TBM 1'!$A$1:$Q$34</definedName>
    <definedName name="_xlnm.Print_Area" localSheetId="15">'TBM 2'!$A$1:$Q$35</definedName>
    <definedName name="_xlnm.Print_Area" localSheetId="16">'TBM 3'!$A$1:$Q$39</definedName>
    <definedName name="_xlnm.Print_Area" localSheetId="20">'Tingkat Jalan Mineral'!$A$1:$R$20</definedName>
    <definedName name="_xlnm.Print_Area">#N/A</definedName>
    <definedName name="Print_Area_MI" localSheetId="1">#REF!</definedName>
    <definedName name="Print_Area_MI" localSheetId="3">#REF!</definedName>
    <definedName name="Print_Area_MI" localSheetId="4">#REF!</definedName>
    <definedName name="Print_Area_MI">#N/A</definedName>
    <definedName name="Print_Area_MI_26" localSheetId="4">#REF!</definedName>
    <definedName name="Print_Area_MI_26">#REF!</definedName>
    <definedName name="Print_Area_MI_27" localSheetId="4">#REF!</definedName>
    <definedName name="Print_Area_MI_27">#REF!</definedName>
    <definedName name="Print_Area_MI_28" localSheetId="4">[18]KEB_RMH!$B$1:$P$43</definedName>
    <definedName name="Print_Area_MI_28">[6]KEB_RMH!$B$1:$P$43</definedName>
    <definedName name="Print_Area_MI_31" localSheetId="4">#REF!</definedName>
    <definedName name="Print_Area_MI_31">#REF!</definedName>
    <definedName name="Print_Area_MI_7" localSheetId="4">#REF!</definedName>
    <definedName name="Print_Area_MI_7">#REF!</definedName>
    <definedName name="_xlnm.Print_Titles" localSheetId="3">'RKP 08'!$A:$I,'RKP 08'!$1:$9</definedName>
    <definedName name="_xlnm.Print_Titles" localSheetId="4">'RKT 18_19 Infra'!$B:$D</definedName>
    <definedName name="_xlnm.Print_Titles">#N/A</definedName>
    <definedName name="PRINT_TITLES_MI" localSheetId="1">#REF!</definedName>
    <definedName name="PRINT_TITLES_MI">#N/A</definedName>
    <definedName name="q" localSheetId="4" hidden="1">#REF!</definedName>
    <definedName name="q" hidden="1">#REF!</definedName>
    <definedName name="QQ" localSheetId="1">#REF!</definedName>
    <definedName name="QQ" localSheetId="3">#REF!</definedName>
    <definedName name="QQ" localSheetId="4">#REF!</definedName>
    <definedName name="QQ">#N/A</definedName>
    <definedName name="QQ_31" localSheetId="4">#REF!</definedName>
    <definedName name="QQ_31">#REF!</definedName>
    <definedName name="QQ_7" localSheetId="4">#REF!</definedName>
    <definedName name="QQ_7">#REF!</definedName>
    <definedName name="rar" localSheetId="1">#REF!</definedName>
    <definedName name="rar" localSheetId="4">#REF!</definedName>
    <definedName name="rar">#REF!</definedName>
    <definedName name="RAY" localSheetId="1">#REF!</definedName>
    <definedName name="RAY" localSheetId="4">#REF!</definedName>
    <definedName name="RAY">#REF!</definedName>
    <definedName name="raye" localSheetId="1">#REF!</definedName>
    <definedName name="raye" localSheetId="4">#REF!</definedName>
    <definedName name="raye">#REF!</definedName>
    <definedName name="re" localSheetId="1">#REF!</definedName>
    <definedName name="re" localSheetId="4">#REF!</definedName>
    <definedName name="re">#REF!</definedName>
    <definedName name="rkp">#N/A</definedName>
    <definedName name="rr" localSheetId="1">#REF!</definedName>
    <definedName name="rr" localSheetId="4">#REF!</definedName>
    <definedName name="rr">#REF!</definedName>
    <definedName name="s" hidden="1">'[19]data-hujan'!$E$17:$AC$17</definedName>
    <definedName name="sde" localSheetId="1">#REF!</definedName>
    <definedName name="sde">#N/A</definedName>
    <definedName name="SDER" localSheetId="1">#REF!</definedName>
    <definedName name="SDER" localSheetId="4">#REF!</definedName>
    <definedName name="SDER">#REF!</definedName>
    <definedName name="sgsgs" localSheetId="1">#REF!</definedName>
    <definedName name="sgsgs" localSheetId="4">#REF!</definedName>
    <definedName name="sgsgs">#REF!</definedName>
    <definedName name="SKF1_2" localSheetId="1">#REF!</definedName>
    <definedName name="SKF1_2" localSheetId="4">#REF!</definedName>
    <definedName name="SKF1_2">#REF!</definedName>
    <definedName name="SKF1_28" localSheetId="4">#REF!</definedName>
    <definedName name="SKF1_28">#REF!</definedName>
    <definedName name="SKF1_3" localSheetId="1">#REF!</definedName>
    <definedName name="SKF1_3" localSheetId="4">#REF!</definedName>
    <definedName name="SKF1_3">#REF!</definedName>
    <definedName name="SKF1_31" localSheetId="4">#REF!</definedName>
    <definedName name="SKF1_31">#REF!</definedName>
    <definedName name="SKF1_58" localSheetId="1">#REF!</definedName>
    <definedName name="SKF1_58" localSheetId="4">#REF!</definedName>
    <definedName name="SKF1_58">#REF!</definedName>
    <definedName name="SKF1_7" localSheetId="4">#REF!</definedName>
    <definedName name="SKF1_7">#REF!</definedName>
    <definedName name="SKF1_8" localSheetId="4">#REF!</definedName>
    <definedName name="SKF1_8">#REF!</definedName>
    <definedName name="SKF1_86" localSheetId="1">#REF!</definedName>
    <definedName name="SKF1_86" localSheetId="4">#REF!</definedName>
    <definedName name="SKF1_86">#REF!</definedName>
    <definedName name="SKF1_87" localSheetId="1">#REF!</definedName>
    <definedName name="SKF1_87" localSheetId="4">#REF!</definedName>
    <definedName name="SKF1_87">#REF!</definedName>
    <definedName name="SKF1_9" localSheetId="4">#REF!</definedName>
    <definedName name="SKF1_9">#REF!</definedName>
    <definedName name="SKF2_2" localSheetId="1">#REF!</definedName>
    <definedName name="SKF2_2" localSheetId="4">#REF!</definedName>
    <definedName name="SKF2_2">#REF!</definedName>
    <definedName name="SKF2_28" localSheetId="4">#REF!</definedName>
    <definedName name="SKF2_28">#REF!</definedName>
    <definedName name="SKF2_3" localSheetId="1">#REF!</definedName>
    <definedName name="SKF2_3" localSheetId="4">#REF!</definedName>
    <definedName name="SKF2_3">#REF!</definedName>
    <definedName name="SKF2_31" localSheetId="4">#REF!</definedName>
    <definedName name="SKF2_31">#REF!</definedName>
    <definedName name="SKF2_58" localSheetId="1">#REF!</definedName>
    <definedName name="SKF2_58" localSheetId="4">#REF!</definedName>
    <definedName name="SKF2_58">#REF!</definedName>
    <definedName name="SKF2_7" localSheetId="4">#REF!</definedName>
    <definedName name="SKF2_7">#REF!</definedName>
    <definedName name="SKF2_8" localSheetId="4">#REF!</definedName>
    <definedName name="SKF2_8">#REF!</definedName>
    <definedName name="SKF2_86" localSheetId="1">#REF!</definedName>
    <definedName name="SKF2_86" localSheetId="4">#REF!</definedName>
    <definedName name="SKF2_86">#REF!</definedName>
    <definedName name="SKF2_87" localSheetId="1">#REF!</definedName>
    <definedName name="SKF2_87" localSheetId="4">#REF!</definedName>
    <definedName name="SKF2_87">#REF!</definedName>
    <definedName name="SKF2_9" localSheetId="4">#REF!</definedName>
    <definedName name="SKF2_9">#REF!</definedName>
    <definedName name="sku" hidden="1">'[8]data-hujan'!$E$15:$AC$15</definedName>
    <definedName name="SPACE" localSheetId="1">#REF!</definedName>
    <definedName name="SPACE" localSheetId="4">#REF!</definedName>
    <definedName name="SPACE">#REF!</definedName>
    <definedName name="SPACE_31" localSheetId="4">#REF!</definedName>
    <definedName name="SPACE_31">#REF!</definedName>
    <definedName name="SS" localSheetId="1">#REF!</definedName>
    <definedName name="SS" localSheetId="3">#REF!</definedName>
    <definedName name="SS" localSheetId="4">#REF!</definedName>
    <definedName name="SS">#REF!</definedName>
    <definedName name="SS_7" localSheetId="4">#REF!</definedName>
    <definedName name="SS_7">#REF!</definedName>
    <definedName name="sss" localSheetId="1">#REF!</definedName>
    <definedName name="sss" localSheetId="4">#REF!</definedName>
    <definedName name="sss">#REF!</definedName>
    <definedName name="TES" localSheetId="4" hidden="1">#REF!</definedName>
    <definedName name="TES" hidden="1">#REF!</definedName>
    <definedName name="TT">'[15]Master Harga'!$A$2:$B$23</definedName>
    <definedName name="twr" localSheetId="1">#REF!</definedName>
    <definedName name="twr">#N/A</definedName>
    <definedName name="upah" localSheetId="1">#REF!</definedName>
    <definedName name="upah">#N/A</definedName>
    <definedName name="v" localSheetId="1">#REF!</definedName>
    <definedName name="v" localSheetId="3">#REF!</definedName>
    <definedName name="v" localSheetId="4">#REF!</definedName>
    <definedName name="v">#N/A</definedName>
    <definedName name="v_2" localSheetId="1">#REF!</definedName>
    <definedName name="v_2" localSheetId="4">#REF!</definedName>
    <definedName name="v_2">#REF!</definedName>
    <definedName name="v_28" localSheetId="4">#REF!</definedName>
    <definedName name="v_28">#REF!</definedName>
    <definedName name="v_3" localSheetId="1">#REF!</definedName>
    <definedName name="v_3" localSheetId="4">#REF!</definedName>
    <definedName name="v_3">#REF!</definedName>
    <definedName name="v_31" localSheetId="4">#REF!</definedName>
    <definedName name="v_31">#REF!</definedName>
    <definedName name="v_58" localSheetId="1">#REF!</definedName>
    <definedName name="v_58" localSheetId="4">#REF!</definedName>
    <definedName name="v_58">#REF!</definedName>
    <definedName name="v_7" localSheetId="4">#REF!</definedName>
    <definedName name="v_7">#REF!</definedName>
    <definedName name="v_8" localSheetId="4">#REF!</definedName>
    <definedName name="v_8">#REF!</definedName>
    <definedName name="v_86" localSheetId="1">#REF!</definedName>
    <definedName name="v_86" localSheetId="4">#REF!</definedName>
    <definedName name="v_86">#REF!</definedName>
    <definedName name="v_87" localSheetId="1">#REF!</definedName>
    <definedName name="v_87" localSheetId="4">#REF!</definedName>
    <definedName name="v_87">#REF!</definedName>
    <definedName name="v_9" localSheetId="4">#REF!</definedName>
    <definedName name="v_9">#REF!</definedName>
    <definedName name="VV" localSheetId="1">#REF!</definedName>
    <definedName name="VV" localSheetId="3">#REF!</definedName>
    <definedName name="VV" localSheetId="4">#REF!</definedName>
    <definedName name="VV">#N/A</definedName>
    <definedName name="VV_28" localSheetId="4">#REF!</definedName>
    <definedName name="VV_28">#REF!</definedName>
    <definedName name="VV_31" localSheetId="4">#REF!</definedName>
    <definedName name="VV_31">#REF!</definedName>
    <definedName name="vvvvvvvvvvvvvvvvvvv" localSheetId="1">#REF!</definedName>
    <definedName name="vvvvvvvvvvvvvvvvvvv" localSheetId="4">#REF!</definedName>
    <definedName name="vvvvvvvvvvvvvvvvvvv">#REF!</definedName>
    <definedName name="w" hidden="1">#REF!</definedName>
    <definedName name="wewewe" localSheetId="1">#REF!</definedName>
    <definedName name="wewewe" localSheetId="4">#REF!</definedName>
    <definedName name="wewewe">#REF!</definedName>
    <definedName name="ww" localSheetId="1">#REF!</definedName>
    <definedName name="ww" localSheetId="3">#REF!</definedName>
    <definedName name="ww" localSheetId="4">#REF!</definedName>
    <definedName name="ww">#REF!</definedName>
    <definedName name="ww_7" localSheetId="4">#REF!</definedName>
    <definedName name="ww_7">#REF!</definedName>
    <definedName name="www" localSheetId="1">#REF!</definedName>
    <definedName name="www" localSheetId="3">#REF!</definedName>
    <definedName name="www" localSheetId="4">#REF!</definedName>
    <definedName name="www">#REF!</definedName>
    <definedName name="www_7" localSheetId="4">#REF!</definedName>
    <definedName name="www_7">#REF!</definedName>
    <definedName name="X" localSheetId="1">#REF!</definedName>
    <definedName name="X" localSheetId="4">#REF!</definedName>
    <definedName name="X">#REF!</definedName>
    <definedName name="xx" localSheetId="1">'[11]GRFK BJR_TGS_01'!#REF!</definedName>
    <definedName name="xx" localSheetId="4">'[11]GRFK BJR_TGS_01'!#REF!</definedName>
    <definedName name="xx">'[11]GRFK BJR_TGS_01'!#REF!</definedName>
    <definedName name="xxxxx" localSheetId="1">'[11]GRFK BJR_SKC_03'!#REF!</definedName>
    <definedName name="xxxxx" localSheetId="4">'[11]GRFK BJR_SKC_03'!#REF!</definedName>
    <definedName name="xxxxx">'[11]GRFK BJR_SKC_03'!#REF!</definedName>
    <definedName name="XXXXXX" localSheetId="1">#REF!</definedName>
    <definedName name="XXXXXX" localSheetId="3">#REF!</definedName>
    <definedName name="XXXXXX" localSheetId="4">#REF!</definedName>
    <definedName name="XXXXXX">#N/A</definedName>
    <definedName name="XXXXXX_31" localSheetId="4">#REF!</definedName>
    <definedName name="XXXXXX_31">#REF!</definedName>
    <definedName name="XXXXXX_7" localSheetId="4">#REF!</definedName>
    <definedName name="XXXXXX_7">#REF!</definedName>
    <definedName name="XXXXXXXXXXXXXXXXXXXXXX" localSheetId="1" hidden="1">#REF!</definedName>
    <definedName name="XXXXXXXXXXXXXXXXXXXXXX" localSheetId="3" hidden="1">#REF!</definedName>
    <definedName name="XXXXXXXXXXXXXXXXXXXXXX" localSheetId="4" hidden="1">#REF!</definedName>
    <definedName name="XXXXXXXXXXXXXXXXXXXXXX" hidden="1">#REF!</definedName>
    <definedName name="z">#REF!</definedName>
    <definedName name="zzzzz" localSheetId="1">[20]Ulasan!$A$1:$L$31</definedName>
    <definedName name="zzzzz" localSheetId="3">[20]Ulasan!$A$1:$L$31</definedName>
    <definedName name="zzzzz" localSheetId="4">[20]Ulasan!$A$1:$L$31</definedName>
    <definedName name="zzzzz">#REF!</definedName>
    <definedName name="zzzzz_31">[21]Ulasan!$A$1:$L$31</definedName>
    <definedName name="ZZZZZZZ" localSheetId="1">#REF!</definedName>
    <definedName name="ZZZZZZZ" localSheetId="4">#REF!</definedName>
    <definedName name="ZZZZZZZ">#REF!</definedName>
  </definedNames>
  <calcPr calcId="15251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8" i="30" l="1"/>
  <c r="G79" i="30"/>
  <c r="G80" i="30"/>
  <c r="G97" i="30"/>
  <c r="CG28" i="43"/>
  <c r="CF28" i="43"/>
  <c r="CG27" i="43"/>
  <c r="CF27" i="43"/>
  <c r="BU28" i="43"/>
  <c r="BU27" i="43"/>
  <c r="BT28" i="43"/>
  <c r="BS28" i="43"/>
  <c r="BS27" i="43"/>
  <c r="BS26" i="43"/>
  <c r="BR27" i="43"/>
  <c r="BH26" i="43"/>
  <c r="C35" i="19"/>
  <c r="Q75" i="30"/>
  <c r="E71" i="30" l="1"/>
  <c r="HF105" i="44"/>
  <c r="C37" i="44" l="1"/>
  <c r="C38" i="44" s="1"/>
  <c r="E28" i="43" l="1"/>
  <c r="E27" i="43"/>
  <c r="E26" i="43"/>
  <c r="E25" i="43"/>
  <c r="E24" i="43"/>
  <c r="E23" i="43"/>
  <c r="E22" i="43"/>
  <c r="E21" i="43"/>
  <c r="E19" i="43"/>
  <c r="E18" i="43"/>
  <c r="E17" i="43"/>
  <c r="AZ52" i="44"/>
  <c r="AZ46" i="44"/>
  <c r="D67" i="38"/>
  <c r="D68" i="38"/>
  <c r="D60" i="38"/>
  <c r="D59" i="38"/>
  <c r="D58" i="38"/>
  <c r="D57" i="38"/>
  <c r="D48" i="38"/>
  <c r="D44" i="38"/>
  <c r="D43" i="38"/>
  <c r="D42" i="38"/>
  <c r="D41" i="38"/>
  <c r="D40" i="38"/>
  <c r="D39" i="38"/>
  <c r="D36" i="38"/>
  <c r="D35" i="38"/>
  <c r="D30" i="38"/>
  <c r="D13" i="38"/>
  <c r="D9" i="38"/>
  <c r="D8" i="38"/>
  <c r="D7" i="38"/>
  <c r="D6" i="38"/>
  <c r="D5" i="38"/>
  <c r="AZ64" i="44"/>
  <c r="AZ59" i="44"/>
  <c r="F10" i="41" l="1"/>
  <c r="F11" i="41"/>
  <c r="F12" i="41"/>
  <c r="F13" i="41"/>
  <c r="F14" i="41"/>
  <c r="F15" i="41"/>
  <c r="F16" i="41"/>
  <c r="F17" i="41"/>
  <c r="F18" i="41"/>
  <c r="F19" i="41"/>
  <c r="F20" i="41"/>
  <c r="F21" i="41"/>
  <c r="F9" i="41"/>
  <c r="D27" i="43"/>
  <c r="D28" i="43"/>
  <c r="G7" i="22" l="1"/>
  <c r="G8" i="22"/>
  <c r="F9" i="20"/>
  <c r="G5" i="6"/>
  <c r="CA97" i="30"/>
  <c r="G113" i="30"/>
  <c r="AH38" i="30"/>
  <c r="AR38" i="30"/>
  <c r="C35" i="45"/>
  <c r="C37" i="31"/>
  <c r="C39" i="30"/>
  <c r="P6" i="6"/>
  <c r="B2" i="44"/>
  <c r="GZ5" i="43"/>
  <c r="HN28" i="43" l="1"/>
  <c r="HL27" i="43"/>
  <c r="DG27" i="43" l="1"/>
  <c r="IP21" i="43"/>
  <c r="IP19" i="43"/>
  <c r="HP28" i="43" l="1"/>
  <c r="HP27" i="43"/>
  <c r="DG28" i="43"/>
  <c r="E70" i="30"/>
  <c r="GS28" i="43"/>
  <c r="GR28" i="43"/>
  <c r="GS27" i="43"/>
  <c r="GR27" i="43"/>
  <c r="AD49" i="43"/>
  <c r="AD48" i="43"/>
  <c r="AD47" i="43"/>
  <c r="AD46" i="43"/>
  <c r="AD50" i="43" s="1"/>
  <c r="D18" i="43"/>
  <c r="D26" i="43"/>
  <c r="D25" i="43"/>
  <c r="D24" i="43"/>
  <c r="D23" i="43"/>
  <c r="D22" i="43"/>
  <c r="D21" i="43"/>
  <c r="D20" i="43"/>
  <c r="D19" i="43"/>
  <c r="D17" i="43"/>
  <c r="HM27" i="43" l="1"/>
  <c r="HQ27" i="43" s="1"/>
  <c r="II27" i="43" s="1"/>
  <c r="F70" i="30" s="1"/>
  <c r="HO28" i="43"/>
  <c r="HQ28" i="43" s="1"/>
  <c r="II28" i="43" s="1"/>
  <c r="F71" i="30" s="1"/>
  <c r="G71" i="30" s="1"/>
  <c r="CT27" i="43"/>
  <c r="DH27" i="43" s="1"/>
  <c r="CV28" i="43"/>
  <c r="DH28" i="43" s="1"/>
  <c r="G21" i="22"/>
  <c r="G19" i="22"/>
  <c r="G18" i="22"/>
  <c r="G17" i="22"/>
  <c r="G16" i="22"/>
  <c r="G15" i="22"/>
  <c r="G14" i="22"/>
  <c r="G13" i="22"/>
  <c r="G12" i="22"/>
  <c r="G11" i="22"/>
  <c r="G10" i="22"/>
  <c r="G9" i="22"/>
  <c r="G6" i="22"/>
  <c r="G16" i="6"/>
  <c r="G14" i="6"/>
  <c r="G13" i="6"/>
  <c r="G12" i="6"/>
  <c r="G11" i="6"/>
  <c r="G10" i="6"/>
  <c r="G9" i="6"/>
  <c r="G8" i="6"/>
  <c r="G17" i="6" s="1"/>
  <c r="O18" i="6"/>
  <c r="G18" i="20"/>
  <c r="G17" i="20"/>
  <c r="G16" i="20"/>
  <c r="G15" i="20"/>
  <c r="G14" i="20"/>
  <c r="G13" i="20"/>
  <c r="G12" i="20"/>
  <c r="G10" i="20"/>
  <c r="G9" i="20"/>
  <c r="G6" i="20"/>
  <c r="P15" i="6"/>
  <c r="P14" i="6"/>
  <c r="G22" i="22" l="1"/>
  <c r="G19" i="20"/>
  <c r="O32" i="20" s="1"/>
  <c r="G70" i="30"/>
  <c r="O32" i="6"/>
  <c r="F18" i="43"/>
  <c r="F57" i="30" l="1"/>
  <c r="G58" i="30"/>
  <c r="F53" i="30"/>
  <c r="G52" i="30"/>
  <c r="I52" i="30" s="1"/>
  <c r="G56" i="30"/>
  <c r="K56" i="30" s="1"/>
  <c r="G55" i="30"/>
  <c r="O55" i="30" s="1"/>
  <c r="IA29" i="43"/>
  <c r="HZ29" i="43"/>
  <c r="HZ26" i="43"/>
  <c r="HZ25" i="43"/>
  <c r="HZ24" i="43"/>
  <c r="HZ23" i="43"/>
  <c r="HZ22" i="43"/>
  <c r="HZ21" i="43"/>
  <c r="HZ20" i="43"/>
  <c r="HZ19" i="43"/>
  <c r="HZ18" i="43"/>
  <c r="HZ17" i="43"/>
  <c r="GL18" i="43"/>
  <c r="E61" i="30"/>
  <c r="E60" i="30"/>
  <c r="E59" i="30"/>
  <c r="E58" i="30"/>
  <c r="E56" i="30"/>
  <c r="E55" i="30"/>
  <c r="E52" i="30"/>
  <c r="G54" i="30"/>
  <c r="F54" i="30" s="1"/>
  <c r="F19" i="43"/>
  <c r="G19" i="43" s="1"/>
  <c r="F20" i="43"/>
  <c r="F24" i="43"/>
  <c r="AD24" i="43" s="1"/>
  <c r="F25" i="43"/>
  <c r="G25" i="43" s="1"/>
  <c r="F29" i="43"/>
  <c r="GL29" i="43" s="1"/>
  <c r="F22" i="43"/>
  <c r="GL22" i="43" s="1"/>
  <c r="F21" i="43"/>
  <c r="G21" i="43" s="1"/>
  <c r="I21" i="43"/>
  <c r="K21" i="43"/>
  <c r="M21" i="43"/>
  <c r="O21" i="43"/>
  <c r="Q21" i="43"/>
  <c r="S21" i="43"/>
  <c r="U21" i="43"/>
  <c r="W21" i="43"/>
  <c r="Y21" i="43"/>
  <c r="AA21" i="43"/>
  <c r="AC21" i="43"/>
  <c r="AH21" i="43"/>
  <c r="AJ21" i="43"/>
  <c r="AL21" i="43"/>
  <c r="AN21" i="43"/>
  <c r="AP21" i="43"/>
  <c r="AR21" i="43"/>
  <c r="AT21" i="43"/>
  <c r="AV21" i="43"/>
  <c r="AX21" i="43"/>
  <c r="AZ21" i="43"/>
  <c r="BB21" i="43"/>
  <c r="BD21" i="43"/>
  <c r="BE21" i="43"/>
  <c r="BI21" i="43"/>
  <c r="BK21" i="43"/>
  <c r="BM21" i="43"/>
  <c r="BO21" i="43"/>
  <c r="BQ21" i="43"/>
  <c r="BS21" i="43"/>
  <c r="BU21" i="43"/>
  <c r="BW21" i="43"/>
  <c r="BY21" i="43"/>
  <c r="CA21" i="43"/>
  <c r="CC21" i="43"/>
  <c r="CE21" i="43"/>
  <c r="CF21" i="43"/>
  <c r="CJ21" i="43"/>
  <c r="CL21" i="43"/>
  <c r="CN21" i="43"/>
  <c r="CP21" i="43"/>
  <c r="CR21" i="43"/>
  <c r="CT21" i="43"/>
  <c r="CV21" i="43"/>
  <c r="CX21" i="43"/>
  <c r="CZ21" i="43"/>
  <c r="DB21" i="43"/>
  <c r="DD21" i="43"/>
  <c r="DF21" i="43"/>
  <c r="DG21" i="43"/>
  <c r="DK21" i="43"/>
  <c r="DM21" i="43"/>
  <c r="DO21" i="43"/>
  <c r="DQ21" i="43"/>
  <c r="DS21" i="43"/>
  <c r="DU21" i="43"/>
  <c r="DW21" i="43"/>
  <c r="DY21" i="43"/>
  <c r="EA21" i="43"/>
  <c r="EC21" i="43"/>
  <c r="EE21" i="43"/>
  <c r="EG21" i="43"/>
  <c r="EH21" i="43"/>
  <c r="EL21" i="43"/>
  <c r="EN21" i="43"/>
  <c r="EP21" i="43"/>
  <c r="ER21" i="43"/>
  <c r="ET21" i="43"/>
  <c r="EV21" i="43"/>
  <c r="EX21" i="43"/>
  <c r="EZ21" i="43"/>
  <c r="FB21" i="43"/>
  <c r="FD21" i="43"/>
  <c r="FF21" i="43"/>
  <c r="FH21" i="43"/>
  <c r="FI21" i="43"/>
  <c r="FM21" i="43"/>
  <c r="FO21" i="43"/>
  <c r="FQ21" i="43"/>
  <c r="FS21" i="43"/>
  <c r="FU21" i="43"/>
  <c r="FW21" i="43"/>
  <c r="FY21" i="43"/>
  <c r="GA21" i="43"/>
  <c r="GC21" i="43"/>
  <c r="GE21" i="43"/>
  <c r="GG21" i="43"/>
  <c r="GI21" i="43"/>
  <c r="GJ21" i="43"/>
  <c r="I22" i="43"/>
  <c r="K22" i="43"/>
  <c r="M22" i="43"/>
  <c r="O22" i="43"/>
  <c r="Q22" i="43"/>
  <c r="S22" i="43"/>
  <c r="U22" i="43"/>
  <c r="W22" i="43"/>
  <c r="Y22" i="43"/>
  <c r="AA22" i="43"/>
  <c r="AC22" i="43"/>
  <c r="AH22" i="43"/>
  <c r="AJ22" i="43"/>
  <c r="AL22" i="43"/>
  <c r="AN22" i="43"/>
  <c r="AP22" i="43"/>
  <c r="AR22" i="43"/>
  <c r="AT22" i="43"/>
  <c r="AV22" i="43"/>
  <c r="AX22" i="43"/>
  <c r="AZ22" i="43"/>
  <c r="BB22" i="43"/>
  <c r="BD22" i="43"/>
  <c r="BI22" i="43"/>
  <c r="BK22" i="43"/>
  <c r="BM22" i="43"/>
  <c r="BO22" i="43"/>
  <c r="BQ22" i="43"/>
  <c r="BS22" i="43"/>
  <c r="BU22" i="43"/>
  <c r="BW22" i="43"/>
  <c r="BY22" i="43"/>
  <c r="CA22" i="43"/>
  <c r="CC22" i="43"/>
  <c r="CE22" i="43"/>
  <c r="CF22" i="43"/>
  <c r="CJ22" i="43"/>
  <c r="CL22" i="43"/>
  <c r="CN22" i="43"/>
  <c r="CP22" i="43"/>
  <c r="CR22" i="43"/>
  <c r="CT22" i="43"/>
  <c r="CV22" i="43"/>
  <c r="CX22" i="43"/>
  <c r="CZ22" i="43"/>
  <c r="DB22" i="43"/>
  <c r="DD22" i="43"/>
  <c r="DF22" i="43"/>
  <c r="DG22" i="43"/>
  <c r="DK22" i="43"/>
  <c r="DM22" i="43"/>
  <c r="DO22" i="43"/>
  <c r="DQ22" i="43"/>
  <c r="DS22" i="43"/>
  <c r="DU22" i="43"/>
  <c r="DW22" i="43"/>
  <c r="DY22" i="43"/>
  <c r="EA22" i="43"/>
  <c r="EC22" i="43"/>
  <c r="EE22" i="43"/>
  <c r="EG22" i="43"/>
  <c r="EH22" i="43"/>
  <c r="EL22" i="43"/>
  <c r="EN22" i="43"/>
  <c r="EP22" i="43"/>
  <c r="ER22" i="43"/>
  <c r="ET22" i="43"/>
  <c r="EV22" i="43"/>
  <c r="EX22" i="43"/>
  <c r="EZ22" i="43"/>
  <c r="FB22" i="43"/>
  <c r="FD22" i="43"/>
  <c r="FF22" i="43"/>
  <c r="FH22" i="43"/>
  <c r="FI22" i="43"/>
  <c r="FM22" i="43"/>
  <c r="FO22" i="43"/>
  <c r="FQ22" i="43"/>
  <c r="FS22" i="43"/>
  <c r="FU22" i="43"/>
  <c r="FW22" i="43"/>
  <c r="FY22" i="43"/>
  <c r="GA22" i="43"/>
  <c r="GC22" i="43"/>
  <c r="GE22" i="43"/>
  <c r="GG22" i="43"/>
  <c r="GI22" i="43"/>
  <c r="GJ22" i="43"/>
  <c r="G37" i="5"/>
  <c r="G36" i="5"/>
  <c r="G38" i="19"/>
  <c r="F27" i="19"/>
  <c r="F26" i="19"/>
  <c r="G26" i="19" s="1"/>
  <c r="I26" i="19" s="1"/>
  <c r="I6" i="17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5" i="17" s="1"/>
  <c r="I29" i="17" s="1"/>
  <c r="I32" i="17" s="1"/>
  <c r="I33" i="17" s="1"/>
  <c r="I34" i="17" s="1"/>
  <c r="I35" i="17" s="1"/>
  <c r="I36" i="17" s="1"/>
  <c r="I37" i="17" s="1"/>
  <c r="I38" i="17" s="1"/>
  <c r="I39" i="17" s="1"/>
  <c r="M41" i="17"/>
  <c r="D50" i="17" s="1"/>
  <c r="L51" i="17"/>
  <c r="E48" i="17"/>
  <c r="G48" i="17" s="1"/>
  <c r="E49" i="17"/>
  <c r="G49" i="17" s="1"/>
  <c r="G41" i="17"/>
  <c r="G42" i="17"/>
  <c r="G43" i="17"/>
  <c r="G44" i="17"/>
  <c r="E40" i="17"/>
  <c r="E36" i="17"/>
  <c r="G36" i="17" s="1"/>
  <c r="E35" i="17"/>
  <c r="G35" i="17" s="1"/>
  <c r="E37" i="17"/>
  <c r="E19" i="17"/>
  <c r="G19" i="17" s="1"/>
  <c r="E18" i="17"/>
  <c r="G18" i="17" s="1"/>
  <c r="E17" i="17"/>
  <c r="G17" i="17" s="1"/>
  <c r="E34" i="16"/>
  <c r="L21" i="16"/>
  <c r="E29" i="16"/>
  <c r="E30" i="16"/>
  <c r="G30" i="16" s="1"/>
  <c r="E31" i="16"/>
  <c r="G31" i="16" s="1"/>
  <c r="GV22" i="43"/>
  <c r="T55" i="30" s="1"/>
  <c r="GT21" i="43"/>
  <c r="R54" i="30" s="1"/>
  <c r="HB21" i="43"/>
  <c r="AB54" i="30" s="1"/>
  <c r="HJ21" i="43"/>
  <c r="HR21" i="43"/>
  <c r="GN21" i="43"/>
  <c r="L54" i="30" s="1"/>
  <c r="GV21" i="43"/>
  <c r="T54" i="30" s="1"/>
  <c r="HD21" i="43"/>
  <c r="AD54" i="30" s="1"/>
  <c r="HL21" i="43"/>
  <c r="AN54" i="30" s="1"/>
  <c r="HT21" i="43"/>
  <c r="IB21" i="43"/>
  <c r="GP21" i="43"/>
  <c r="N54" i="30" s="1"/>
  <c r="GX21" i="43"/>
  <c r="V54" i="30" s="1"/>
  <c r="HF21" i="43"/>
  <c r="AF54" i="30" s="1"/>
  <c r="HN21" i="43"/>
  <c r="AP54" i="30" s="1"/>
  <c r="HV21" i="43"/>
  <c r="ID21" i="43"/>
  <c r="HR22" i="43"/>
  <c r="GN22" i="43"/>
  <c r="L57" i="30" s="1"/>
  <c r="GP22" i="43"/>
  <c r="N57" i="30" s="1"/>
  <c r="O57" i="30" s="1"/>
  <c r="GX22" i="43"/>
  <c r="V55" i="30" s="1"/>
  <c r="HN22" i="43"/>
  <c r="AP55" i="30" s="1"/>
  <c r="IB22" i="43"/>
  <c r="HB22" i="43"/>
  <c r="AB55" i="30" s="1"/>
  <c r="ID22" i="43"/>
  <c r="HL22" i="43"/>
  <c r="AN55" i="30" s="1"/>
  <c r="GT22" i="43"/>
  <c r="R55" i="30" s="1"/>
  <c r="HJ22" i="43"/>
  <c r="HT22" i="43"/>
  <c r="HF22" i="43"/>
  <c r="AF55" i="30" s="1"/>
  <c r="HD22" i="43"/>
  <c r="AD55" i="30" s="1"/>
  <c r="HV22" i="43"/>
  <c r="BL13" i="30"/>
  <c r="BL19" i="30"/>
  <c r="BL20" i="30"/>
  <c r="BL22" i="30"/>
  <c r="BL23" i="30"/>
  <c r="BL26" i="30"/>
  <c r="BL27" i="30"/>
  <c r="BM27" i="30"/>
  <c r="BL33" i="30"/>
  <c r="BL34" i="30"/>
  <c r="BM34" i="30"/>
  <c r="BL35" i="30"/>
  <c r="BM35" i="30"/>
  <c r="BL36" i="30"/>
  <c r="BM36" i="30"/>
  <c r="BL37" i="30"/>
  <c r="BM37" i="30"/>
  <c r="BL38" i="30"/>
  <c r="BL39" i="30"/>
  <c r="BM39" i="30"/>
  <c r="BL40" i="30"/>
  <c r="BM40" i="30"/>
  <c r="BL41" i="30"/>
  <c r="BM41" i="30"/>
  <c r="BL42" i="30"/>
  <c r="BM42" i="30"/>
  <c r="BL51" i="30"/>
  <c r="BL52" i="30"/>
  <c r="BM52" i="30"/>
  <c r="BL53" i="30"/>
  <c r="BM53" i="30"/>
  <c r="BL54" i="30"/>
  <c r="BM54" i="30"/>
  <c r="BL55" i="30"/>
  <c r="BM55" i="30"/>
  <c r="BL56" i="30"/>
  <c r="BM56" i="30"/>
  <c r="BL57" i="30"/>
  <c r="BM57" i="30"/>
  <c r="BL58" i="30"/>
  <c r="BM58" i="30"/>
  <c r="BL59" i="30"/>
  <c r="BM59" i="30"/>
  <c r="BL60" i="30"/>
  <c r="BM60" i="30"/>
  <c r="BL66" i="30"/>
  <c r="BL67" i="30"/>
  <c r="BL70" i="30"/>
  <c r="BL71" i="30"/>
  <c r="BL78" i="30"/>
  <c r="BL79" i="30"/>
  <c r="BL80" i="30"/>
  <c r="BL81" i="30"/>
  <c r="BL82" i="30"/>
  <c r="BL83" i="30"/>
  <c r="BL84" i="30"/>
  <c r="BL85" i="30"/>
  <c r="BL88" i="30"/>
  <c r="BL89" i="30"/>
  <c r="BL90" i="30"/>
  <c r="BL91" i="30"/>
  <c r="BL92" i="30"/>
  <c r="BL93" i="30"/>
  <c r="BL97" i="30"/>
  <c r="AH34" i="30"/>
  <c r="AH35" i="30"/>
  <c r="AH36" i="30"/>
  <c r="AJ36" i="30" s="1"/>
  <c r="AT36" i="30" s="1"/>
  <c r="BD36" i="30" s="1"/>
  <c r="BN36" i="30" s="1"/>
  <c r="BX36" i="30" s="1"/>
  <c r="AH37" i="30"/>
  <c r="X33" i="30"/>
  <c r="P23" i="30"/>
  <c r="P24" i="30"/>
  <c r="Z24" i="30" s="1"/>
  <c r="AJ24" i="30" s="1"/>
  <c r="AT24" i="30" s="1"/>
  <c r="BD24" i="30" s="1"/>
  <c r="P25" i="30"/>
  <c r="Z25" i="30" s="1"/>
  <c r="AJ25" i="30" s="1"/>
  <c r="AT25" i="30" s="1"/>
  <c r="BD25" i="30" s="1"/>
  <c r="P26" i="30"/>
  <c r="Z26" i="30" s="1"/>
  <c r="AJ26" i="30" s="1"/>
  <c r="P22" i="30"/>
  <c r="Z22" i="30" s="1"/>
  <c r="AJ22" i="30" s="1"/>
  <c r="P19" i="30"/>
  <c r="X13" i="30"/>
  <c r="P13" i="30"/>
  <c r="IB18" i="43"/>
  <c r="ID18" i="43"/>
  <c r="HR29" i="43"/>
  <c r="HS29" i="43"/>
  <c r="HT29" i="43"/>
  <c r="HU29" i="43"/>
  <c r="HV29" i="43"/>
  <c r="HW29" i="43"/>
  <c r="IB29" i="43"/>
  <c r="IC29" i="43"/>
  <c r="ID29" i="43"/>
  <c r="IE29" i="43"/>
  <c r="HN29" i="43"/>
  <c r="HL29" i="43"/>
  <c r="HJ29" i="43"/>
  <c r="HF29" i="43"/>
  <c r="HD29" i="43"/>
  <c r="HB29" i="43"/>
  <c r="GX29" i="43"/>
  <c r="GV29" i="43"/>
  <c r="GT29" i="43"/>
  <c r="GP29" i="43"/>
  <c r="GN29" i="43"/>
  <c r="HX5" i="43"/>
  <c r="HP5" i="43"/>
  <c r="HH5" i="43"/>
  <c r="E93" i="30"/>
  <c r="CA93" i="30" s="1"/>
  <c r="E92" i="30"/>
  <c r="E91" i="30"/>
  <c r="CA91" i="30" s="1"/>
  <c r="E90" i="30"/>
  <c r="E89" i="30"/>
  <c r="F89" i="30" s="1"/>
  <c r="E88" i="30"/>
  <c r="E67" i="30"/>
  <c r="CA67" i="30" s="1"/>
  <c r="E66" i="30"/>
  <c r="CA66" i="30" s="1"/>
  <c r="E43" i="30"/>
  <c r="E42" i="30"/>
  <c r="CA42" i="30" s="1"/>
  <c r="E41" i="30"/>
  <c r="CA41" i="30" s="1"/>
  <c r="E40" i="30"/>
  <c r="CA40" i="30" s="1"/>
  <c r="E39" i="30"/>
  <c r="E38" i="30"/>
  <c r="E37" i="30"/>
  <c r="CA37" i="30" s="1"/>
  <c r="E36" i="30"/>
  <c r="CA36" i="30" s="1"/>
  <c r="E35" i="30"/>
  <c r="CA35" i="30" s="1"/>
  <c r="E34" i="30"/>
  <c r="CA34" i="30" s="1"/>
  <c r="E33" i="30"/>
  <c r="CA33" i="30" s="1"/>
  <c r="E26" i="30"/>
  <c r="CA26" i="30" s="1"/>
  <c r="E25" i="30"/>
  <c r="CA25" i="30" s="1"/>
  <c r="E24" i="30"/>
  <c r="CA24" i="30" s="1"/>
  <c r="E23" i="30"/>
  <c r="CA23" i="30" s="1"/>
  <c r="E22" i="30"/>
  <c r="CA22" i="30" s="1"/>
  <c r="E20" i="30"/>
  <c r="CA20" i="30" s="1"/>
  <c r="E19" i="30"/>
  <c r="CA19" i="30" s="1"/>
  <c r="E13" i="30"/>
  <c r="CA13" i="30" s="1"/>
  <c r="G94" i="30"/>
  <c r="EP26" i="43"/>
  <c r="HC29" i="43"/>
  <c r="HE29" i="43"/>
  <c r="HG29" i="43"/>
  <c r="GU29" i="43"/>
  <c r="GW29" i="43"/>
  <c r="GY29" i="43"/>
  <c r="BH43" i="30"/>
  <c r="BJ43" i="30" s="1"/>
  <c r="AX38" i="30"/>
  <c r="AZ38" i="30" s="1"/>
  <c r="AN33" i="30"/>
  <c r="BV97" i="30"/>
  <c r="BB97" i="30"/>
  <c r="AR97" i="30"/>
  <c r="AH97" i="30"/>
  <c r="X97" i="30"/>
  <c r="P97" i="30"/>
  <c r="D35" i="44"/>
  <c r="D34" i="44" s="1"/>
  <c r="HF109" i="44" s="1"/>
  <c r="P92" i="30"/>
  <c r="P91" i="30"/>
  <c r="CC62" i="30"/>
  <c r="CC99" i="30"/>
  <c r="CD98" i="30"/>
  <c r="CC98" i="30"/>
  <c r="CD96" i="30"/>
  <c r="CC96" i="30"/>
  <c r="CC95" i="30"/>
  <c r="CC94" i="30"/>
  <c r="CD87" i="30"/>
  <c r="CC87" i="30"/>
  <c r="CC86" i="30"/>
  <c r="CD77" i="30"/>
  <c r="CC77" i="30"/>
  <c r="CC76" i="30"/>
  <c r="CC75" i="30"/>
  <c r="CD74" i="30"/>
  <c r="CC74" i="30"/>
  <c r="CC73" i="30"/>
  <c r="CC72" i="30"/>
  <c r="CD69" i="30"/>
  <c r="CC69" i="30"/>
  <c r="CC68" i="30"/>
  <c r="CD65" i="30"/>
  <c r="CC65" i="30"/>
  <c r="CD64" i="30"/>
  <c r="CC64" i="30"/>
  <c r="CC63" i="30"/>
  <c r="CD62" i="30"/>
  <c r="CD50" i="30"/>
  <c r="CC50" i="30"/>
  <c r="CD49" i="30"/>
  <c r="CC48" i="30"/>
  <c r="CD47" i="30"/>
  <c r="CC47" i="30"/>
  <c r="CD46" i="30"/>
  <c r="CC46" i="30"/>
  <c r="CD45" i="30"/>
  <c r="CC45" i="30"/>
  <c r="CD44" i="30"/>
  <c r="CC44" i="30"/>
  <c r="CD32" i="30"/>
  <c r="CC32" i="30"/>
  <c r="CC31" i="30"/>
  <c r="CD30" i="30"/>
  <c r="CC30" i="30"/>
  <c r="CD29" i="30"/>
  <c r="CC29" i="30"/>
  <c r="CD28" i="30"/>
  <c r="CC28" i="30"/>
  <c r="CD27" i="30"/>
  <c r="CC27" i="30"/>
  <c r="CC21" i="30"/>
  <c r="CD18" i="30"/>
  <c r="CC18" i="30"/>
  <c r="CD17" i="30"/>
  <c r="CC17" i="30"/>
  <c r="CD16" i="30"/>
  <c r="CC16" i="30"/>
  <c r="CC15" i="30"/>
  <c r="CD14" i="30"/>
  <c r="CC14" i="30"/>
  <c r="J20" i="30"/>
  <c r="BB33" i="30"/>
  <c r="CA17" i="30"/>
  <c r="CB17" i="30" s="1"/>
  <c r="CA18" i="30"/>
  <c r="DB46" i="44"/>
  <c r="DB47" i="44" s="1"/>
  <c r="CF98" i="30"/>
  <c r="CG98" i="30" s="1"/>
  <c r="CF96" i="30"/>
  <c r="CG96" i="30" s="1"/>
  <c r="CF87" i="30"/>
  <c r="CG87" i="30" s="1"/>
  <c r="CF77" i="30"/>
  <c r="CG77" i="30" s="1"/>
  <c r="CF74" i="30"/>
  <c r="CG74" i="30" s="1"/>
  <c r="CF69" i="30"/>
  <c r="CG69" i="30" s="1"/>
  <c r="CF65" i="30"/>
  <c r="CG65" i="30" s="1"/>
  <c r="CF64" i="30"/>
  <c r="CG64" i="30" s="1"/>
  <c r="CF62" i="30"/>
  <c r="CG62" i="30" s="1"/>
  <c r="CF50" i="30"/>
  <c r="CG50" i="30" s="1"/>
  <c r="CF49" i="30"/>
  <c r="CG49" i="30" s="1"/>
  <c r="CF47" i="30"/>
  <c r="CG47" i="30" s="1"/>
  <c r="CF46" i="30"/>
  <c r="CG46" i="30" s="1"/>
  <c r="CF45" i="30"/>
  <c r="CG45" i="30" s="1"/>
  <c r="CF44" i="30"/>
  <c r="CG44" i="30" s="1"/>
  <c r="CF32" i="30"/>
  <c r="CG32" i="30" s="1"/>
  <c r="CF30" i="30"/>
  <c r="CG30" i="30" s="1"/>
  <c r="CF29" i="30"/>
  <c r="CG29" i="30" s="1"/>
  <c r="CF28" i="30"/>
  <c r="CG28" i="30" s="1"/>
  <c r="CF27" i="30"/>
  <c r="CG27" i="30" s="1"/>
  <c r="CF18" i="30"/>
  <c r="CG18" i="30" s="1"/>
  <c r="CF17" i="30"/>
  <c r="CG17" i="30" s="1"/>
  <c r="CF16" i="30"/>
  <c r="CG16" i="30" s="1"/>
  <c r="CF14" i="30"/>
  <c r="CG14" i="30" s="1"/>
  <c r="BF99" i="44"/>
  <c r="BF101" i="44" s="1"/>
  <c r="BN91" i="44"/>
  <c r="CD91" i="44" s="1"/>
  <c r="BV90" i="44"/>
  <c r="BN90" i="44"/>
  <c r="BF90" i="44"/>
  <c r="BV89" i="44"/>
  <c r="BV92" i="44" s="1"/>
  <c r="BN89" i="44"/>
  <c r="BV88" i="44"/>
  <c r="BN88" i="44"/>
  <c r="BF88" i="44"/>
  <c r="BV87" i="44"/>
  <c r="BN87" i="44"/>
  <c r="BF87" i="44"/>
  <c r="BJ65" i="44"/>
  <c r="BJ68" i="44" s="1"/>
  <c r="BP67" i="44"/>
  <c r="CX46" i="44"/>
  <c r="CX47" i="44" s="1"/>
  <c r="CV46" i="44"/>
  <c r="CV47" i="44" s="1"/>
  <c r="AA7" i="45" s="1"/>
  <c r="AG78" i="30" s="1"/>
  <c r="CP46" i="44"/>
  <c r="CP47" i="44" s="1"/>
  <c r="Y7" i="45" s="1"/>
  <c r="CJ46" i="44"/>
  <c r="CJ47" i="44" s="1"/>
  <c r="BV93" i="30"/>
  <c r="BV92" i="30"/>
  <c r="BV91" i="30"/>
  <c r="BV90" i="30"/>
  <c r="BV89" i="30"/>
  <c r="BV88" i="30"/>
  <c r="BV85" i="30"/>
  <c r="BV84" i="30"/>
  <c r="BV83" i="30"/>
  <c r="BV82" i="30"/>
  <c r="BV81" i="30"/>
  <c r="BV80" i="30"/>
  <c r="BV79" i="30"/>
  <c r="BV78" i="30"/>
  <c r="BV71" i="30"/>
  <c r="BV70" i="30"/>
  <c r="BV67" i="30"/>
  <c r="BV66" i="30"/>
  <c r="BW61" i="30"/>
  <c r="BV61" i="30"/>
  <c r="BW60" i="30"/>
  <c r="BV60" i="30"/>
  <c r="BW59" i="30"/>
  <c r="BV59" i="30"/>
  <c r="BW58" i="30"/>
  <c r="BV58" i="30"/>
  <c r="BW57" i="30"/>
  <c r="BV57" i="30"/>
  <c r="BW56" i="30"/>
  <c r="BV56" i="30"/>
  <c r="BW55" i="30"/>
  <c r="BV55" i="30"/>
  <c r="BW54" i="30"/>
  <c r="BV54" i="30"/>
  <c r="BW53" i="30"/>
  <c r="BV53" i="30"/>
  <c r="BW52" i="30"/>
  <c r="BV52" i="30"/>
  <c r="BV51" i="30"/>
  <c r="BV43" i="30"/>
  <c r="BW42" i="30"/>
  <c r="BV42" i="30"/>
  <c r="BW41" i="30"/>
  <c r="BV41" i="30"/>
  <c r="BW40" i="30"/>
  <c r="BV40" i="30"/>
  <c r="BW39" i="30"/>
  <c r="BV39" i="30"/>
  <c r="BV38" i="30"/>
  <c r="BW37" i="30"/>
  <c r="BV37" i="30"/>
  <c r="BW36" i="30"/>
  <c r="BV36" i="30"/>
  <c r="BW35" i="30"/>
  <c r="BV35" i="30"/>
  <c r="BW34" i="30"/>
  <c r="BV34" i="30"/>
  <c r="BV33" i="30"/>
  <c r="BW27" i="30"/>
  <c r="BV27" i="30"/>
  <c r="BV26" i="30"/>
  <c r="BV23" i="30"/>
  <c r="BV22" i="30"/>
  <c r="BV20" i="30"/>
  <c r="BV19" i="30"/>
  <c r="BV13" i="30"/>
  <c r="BB93" i="30"/>
  <c r="BB92" i="30"/>
  <c r="BB91" i="30"/>
  <c r="BB90" i="30"/>
  <c r="BB89" i="30"/>
  <c r="BB88" i="30"/>
  <c r="BB85" i="30"/>
  <c r="BB84" i="30"/>
  <c r="BB83" i="30"/>
  <c r="BB82" i="30"/>
  <c r="BB81" i="30"/>
  <c r="BB80" i="30"/>
  <c r="BB79" i="30"/>
  <c r="BB78" i="30"/>
  <c r="BB71" i="30"/>
  <c r="BB70" i="30"/>
  <c r="BB67" i="30"/>
  <c r="BB66" i="30"/>
  <c r="BC60" i="30"/>
  <c r="BB60" i="30"/>
  <c r="BC59" i="30"/>
  <c r="BB59" i="30"/>
  <c r="BC58" i="30"/>
  <c r="BB58" i="30"/>
  <c r="BC57" i="30"/>
  <c r="BB57" i="30"/>
  <c r="BC56" i="30"/>
  <c r="BB56" i="30"/>
  <c r="BC55" i="30"/>
  <c r="BB55" i="30"/>
  <c r="BC54" i="30"/>
  <c r="BB54" i="30"/>
  <c r="BC53" i="30"/>
  <c r="BB53" i="30"/>
  <c r="BC52" i="30"/>
  <c r="BB52" i="30"/>
  <c r="BB51" i="30"/>
  <c r="BC42" i="30"/>
  <c r="BB42" i="30"/>
  <c r="BC41" i="30"/>
  <c r="BB41" i="30"/>
  <c r="BC40" i="30"/>
  <c r="BB40" i="30"/>
  <c r="BC39" i="30"/>
  <c r="BB39" i="30"/>
  <c r="BC37" i="30"/>
  <c r="BB37" i="30"/>
  <c r="BC36" i="30"/>
  <c r="BB36" i="30"/>
  <c r="BC35" i="30"/>
  <c r="BB35" i="30"/>
  <c r="BC34" i="30"/>
  <c r="BB34" i="30"/>
  <c r="BC27" i="30"/>
  <c r="BB27" i="30"/>
  <c r="BB26" i="30"/>
  <c r="BB23" i="30"/>
  <c r="BB22" i="30"/>
  <c r="BB20" i="30"/>
  <c r="BB19" i="30"/>
  <c r="BB13" i="30"/>
  <c r="AR93" i="30"/>
  <c r="AR92" i="30"/>
  <c r="AR91" i="30"/>
  <c r="AR90" i="30"/>
  <c r="AR89" i="30"/>
  <c r="AR88" i="30"/>
  <c r="AR85" i="30"/>
  <c r="AR84" i="30"/>
  <c r="AR83" i="30"/>
  <c r="AR82" i="30"/>
  <c r="AR81" i="30"/>
  <c r="AR80" i="30"/>
  <c r="AR79" i="30"/>
  <c r="AR78" i="30"/>
  <c r="AR71" i="30"/>
  <c r="AR70" i="30"/>
  <c r="AR67" i="30"/>
  <c r="AR66" i="30"/>
  <c r="AR51" i="30"/>
  <c r="AS42" i="30"/>
  <c r="AR42" i="30"/>
  <c r="AS41" i="30"/>
  <c r="AR41" i="30"/>
  <c r="AS40" i="30"/>
  <c r="AR40" i="30"/>
  <c r="AS39" i="30"/>
  <c r="AR39" i="30"/>
  <c r="AS37" i="30"/>
  <c r="AR37" i="30"/>
  <c r="AS36" i="30"/>
  <c r="AR36" i="30"/>
  <c r="AS35" i="30"/>
  <c r="AR35" i="30"/>
  <c r="AS34" i="30"/>
  <c r="AR34" i="30"/>
  <c r="AS27" i="30"/>
  <c r="AR27" i="30"/>
  <c r="AR26" i="30"/>
  <c r="AR23" i="30"/>
  <c r="AR22" i="30"/>
  <c r="AR20" i="30"/>
  <c r="AR19" i="30"/>
  <c r="AR13" i="30"/>
  <c r="AH93" i="30"/>
  <c r="AH92" i="30"/>
  <c r="AH91" i="30"/>
  <c r="AH90" i="30"/>
  <c r="AH89" i="30"/>
  <c r="AH88" i="30"/>
  <c r="AH85" i="30"/>
  <c r="AH84" i="30"/>
  <c r="AH83" i="30"/>
  <c r="AH82" i="30"/>
  <c r="AH81" i="30"/>
  <c r="AH80" i="30"/>
  <c r="AH79" i="30"/>
  <c r="AH78" i="30"/>
  <c r="AH71" i="30"/>
  <c r="AH70" i="30"/>
  <c r="AH51" i="30"/>
  <c r="AH43" i="30"/>
  <c r="AH42" i="30"/>
  <c r="AH41" i="30"/>
  <c r="AH40" i="30"/>
  <c r="AH39" i="30"/>
  <c r="AI37" i="30"/>
  <c r="AI36" i="30"/>
  <c r="AI35" i="30"/>
  <c r="AI34" i="30"/>
  <c r="AI27" i="30"/>
  <c r="AH27" i="30"/>
  <c r="AH23" i="30"/>
  <c r="AH20" i="30"/>
  <c r="AH19" i="30"/>
  <c r="AH13" i="30"/>
  <c r="X93" i="30"/>
  <c r="X92" i="30"/>
  <c r="Z92" i="30" s="1"/>
  <c r="AJ92" i="30" s="1"/>
  <c r="AT92" i="30" s="1"/>
  <c r="BD92" i="30" s="1"/>
  <c r="BN92" i="30" s="1"/>
  <c r="X91" i="30"/>
  <c r="X90" i="30"/>
  <c r="X89" i="30"/>
  <c r="X88" i="30"/>
  <c r="X85" i="30"/>
  <c r="X84" i="30"/>
  <c r="X83" i="30"/>
  <c r="X82" i="30"/>
  <c r="X81" i="30"/>
  <c r="X80" i="30"/>
  <c r="X79" i="30"/>
  <c r="Z79" i="30" s="1"/>
  <c r="AJ79" i="30" s="1"/>
  <c r="AT79" i="30" s="1"/>
  <c r="BD79" i="30" s="1"/>
  <c r="X78" i="30"/>
  <c r="X71" i="30"/>
  <c r="X70" i="30"/>
  <c r="X51" i="30"/>
  <c r="X43" i="30"/>
  <c r="X42" i="30"/>
  <c r="X41" i="30"/>
  <c r="X40" i="30"/>
  <c r="X39" i="30"/>
  <c r="X38" i="30"/>
  <c r="Y37" i="30"/>
  <c r="X37" i="30"/>
  <c r="Y36" i="30"/>
  <c r="X36" i="30"/>
  <c r="Y35" i="30"/>
  <c r="X35" i="30"/>
  <c r="Y34" i="30"/>
  <c r="X34" i="30"/>
  <c r="Y27" i="30"/>
  <c r="X27" i="30"/>
  <c r="X23" i="30"/>
  <c r="Z23" i="30" s="1"/>
  <c r="AJ23" i="30" s="1"/>
  <c r="AT23" i="30" s="1"/>
  <c r="BD23" i="30" s="1"/>
  <c r="BN23" i="30" s="1"/>
  <c r="BX23" i="30" s="1"/>
  <c r="X20" i="30"/>
  <c r="X19" i="30"/>
  <c r="P85" i="30"/>
  <c r="P84" i="30"/>
  <c r="P83" i="30"/>
  <c r="P82" i="30"/>
  <c r="P81" i="30"/>
  <c r="P80" i="30"/>
  <c r="P79" i="30"/>
  <c r="P71" i="30"/>
  <c r="P70" i="30"/>
  <c r="P51" i="30"/>
  <c r="Z51" i="30" s="1"/>
  <c r="AJ51" i="30" s="1"/>
  <c r="P43" i="30"/>
  <c r="P42" i="30"/>
  <c r="Z42" i="30" s="1"/>
  <c r="P41" i="30"/>
  <c r="Z41" i="30" s="1"/>
  <c r="AJ41" i="30" s="1"/>
  <c r="AT41" i="30" s="1"/>
  <c r="BD41" i="30" s="1"/>
  <c r="P40" i="30"/>
  <c r="P39" i="30"/>
  <c r="P38" i="30"/>
  <c r="Q37" i="30"/>
  <c r="P37" i="30"/>
  <c r="Q36" i="30"/>
  <c r="P36" i="30"/>
  <c r="Q35" i="30"/>
  <c r="AA35" i="30" s="1"/>
  <c r="P35" i="30"/>
  <c r="Q34" i="30"/>
  <c r="P34" i="30"/>
  <c r="P33" i="30"/>
  <c r="Z33" i="30" s="1"/>
  <c r="Q27" i="30"/>
  <c r="P27" i="30"/>
  <c r="E35" i="45"/>
  <c r="D35" i="45"/>
  <c r="B35" i="45"/>
  <c r="G30" i="45"/>
  <c r="G29" i="45"/>
  <c r="G28" i="45"/>
  <c r="G26" i="45"/>
  <c r="G25" i="45"/>
  <c r="G24" i="45"/>
  <c r="G22" i="45"/>
  <c r="G21" i="45"/>
  <c r="G20" i="45"/>
  <c r="G18" i="45"/>
  <c r="G17" i="45"/>
  <c r="G16" i="45"/>
  <c r="E30" i="45"/>
  <c r="E29" i="45"/>
  <c r="E28" i="45"/>
  <c r="E26" i="45"/>
  <c r="E25" i="45"/>
  <c r="E24" i="45"/>
  <c r="E22" i="45"/>
  <c r="E21" i="45"/>
  <c r="E20" i="45"/>
  <c r="E18" i="45"/>
  <c r="E17" i="45"/>
  <c r="E16" i="45"/>
  <c r="C30" i="45"/>
  <c r="C29" i="45"/>
  <c r="C28" i="45"/>
  <c r="C26" i="45"/>
  <c r="C25" i="45"/>
  <c r="C24" i="45"/>
  <c r="C22" i="45"/>
  <c r="C21" i="45"/>
  <c r="C20" i="45"/>
  <c r="C18" i="45"/>
  <c r="C17" i="45"/>
  <c r="C16" i="45"/>
  <c r="C84" i="44"/>
  <c r="C103" i="44"/>
  <c r="EB97" i="44"/>
  <c r="DT97" i="44"/>
  <c r="AL99" i="44"/>
  <c r="BD99" i="44" s="1"/>
  <c r="DT46" i="44"/>
  <c r="DT52" i="44"/>
  <c r="DT53" i="44"/>
  <c r="ED53" i="44" s="1"/>
  <c r="DT58" i="44"/>
  <c r="DT59" i="44"/>
  <c r="DT61" i="44"/>
  <c r="DT68" i="44"/>
  <c r="DT75" i="44"/>
  <c r="DT85" i="44"/>
  <c r="DT92" i="44"/>
  <c r="EB46" i="44"/>
  <c r="EA47" i="44"/>
  <c r="EA105" i="44" s="1"/>
  <c r="EB48" i="44"/>
  <c r="EB51" i="44"/>
  <c r="ED51" i="44" s="1"/>
  <c r="EB52" i="44"/>
  <c r="EB55" i="44"/>
  <c r="ED55" i="44" s="1"/>
  <c r="EB59" i="44"/>
  <c r="EB60" i="44"/>
  <c r="ED60" i="44"/>
  <c r="EA62" i="44"/>
  <c r="EA68" i="44"/>
  <c r="EB68" i="44"/>
  <c r="EA75" i="44"/>
  <c r="AJ19" i="45" s="1"/>
  <c r="EB75" i="44"/>
  <c r="EB79" i="44"/>
  <c r="EB80" i="44"/>
  <c r="EB81" i="44"/>
  <c r="ED81" i="44" s="1"/>
  <c r="EA85" i="44"/>
  <c r="EA92" i="44"/>
  <c r="EB92" i="44"/>
  <c r="CR72" i="44"/>
  <c r="CZ72" i="44"/>
  <c r="CZ75" i="44" s="1"/>
  <c r="BB65" i="44"/>
  <c r="BB67" i="44" s="1"/>
  <c r="CB53" i="44"/>
  <c r="DT44" i="44"/>
  <c r="EB44" i="44"/>
  <c r="CL46" i="44"/>
  <c r="CL47" i="44" s="1"/>
  <c r="GC80" i="44"/>
  <c r="GC78" i="44"/>
  <c r="GB99" i="44"/>
  <c r="FT99" i="44"/>
  <c r="FL99" i="44"/>
  <c r="FB97" i="44"/>
  <c r="GB97" i="44"/>
  <c r="FB60" i="44"/>
  <c r="GB60" i="44"/>
  <c r="BK23" i="43"/>
  <c r="F23" i="3"/>
  <c r="G23" i="3" s="1"/>
  <c r="G9" i="41"/>
  <c r="F22" i="41"/>
  <c r="E22" i="41"/>
  <c r="BI20" i="43"/>
  <c r="CL59" i="44"/>
  <c r="CL53" i="44"/>
  <c r="DB53" i="44"/>
  <c r="CL52" i="44"/>
  <c r="DB48" i="44"/>
  <c r="CT48" i="44"/>
  <c r="DB99" i="44"/>
  <c r="DB101" i="44" s="1"/>
  <c r="AA31" i="45" s="1"/>
  <c r="AG84" i="30" s="1"/>
  <c r="CT99" i="44"/>
  <c r="CL99" i="44"/>
  <c r="CT97" i="44"/>
  <c r="CL97" i="44"/>
  <c r="CN91" i="44"/>
  <c r="CN90" i="44"/>
  <c r="CF90" i="44"/>
  <c r="CV89" i="44"/>
  <c r="CN89" i="44"/>
  <c r="CV88" i="44"/>
  <c r="CN88" i="44"/>
  <c r="CF88" i="44"/>
  <c r="CV87" i="44"/>
  <c r="CN87" i="44"/>
  <c r="CF87" i="44"/>
  <c r="DD87" i="44" s="1"/>
  <c r="DB80" i="44"/>
  <c r="DB85" i="44" s="1"/>
  <c r="AA23" i="45" s="1"/>
  <c r="AG82" i="30" s="1"/>
  <c r="CP80" i="44"/>
  <c r="DB79" i="44"/>
  <c r="CP79" i="44"/>
  <c r="CP67" i="44"/>
  <c r="DB66" i="44"/>
  <c r="CP66" i="44"/>
  <c r="CP65" i="44"/>
  <c r="DD65" i="44" s="1"/>
  <c r="DB64" i="44"/>
  <c r="DD64" i="44" s="1"/>
  <c r="CT61" i="44"/>
  <c r="DD61" i="44" s="1"/>
  <c r="DB59" i="44"/>
  <c r="CT59" i="44"/>
  <c r="CT62" i="44" s="1"/>
  <c r="DB58" i="44"/>
  <c r="CT58" i="44"/>
  <c r="DB57" i="44"/>
  <c r="DD57" i="44" s="1"/>
  <c r="CT53" i="44"/>
  <c r="DB52" i="44"/>
  <c r="CT52" i="44"/>
  <c r="DB50" i="44"/>
  <c r="CT46" i="44"/>
  <c r="CT47" i="44" s="1"/>
  <c r="EB99" i="44"/>
  <c r="EB101" i="44"/>
  <c r="DT99" i="44"/>
  <c r="DL99" i="44"/>
  <c r="ED99" i="44" s="1"/>
  <c r="DN90" i="44"/>
  <c r="DF90" i="44"/>
  <c r="DV89" i="44"/>
  <c r="DN89" i="44"/>
  <c r="DV88" i="44"/>
  <c r="DN88" i="44"/>
  <c r="DF88" i="44"/>
  <c r="DV87" i="44"/>
  <c r="DN87" i="44"/>
  <c r="DF87" i="44"/>
  <c r="DF92" i="44" s="1"/>
  <c r="DP80" i="44"/>
  <c r="ED80" i="44" s="1"/>
  <c r="DP79" i="44"/>
  <c r="DP77" i="44"/>
  <c r="ED77" i="44" s="1"/>
  <c r="DP76" i="44"/>
  <c r="ED76" i="44" s="1"/>
  <c r="DJ74" i="44"/>
  <c r="ED74" i="44" s="1"/>
  <c r="DJ73" i="44"/>
  <c r="ED73" i="44" s="1"/>
  <c r="DN72" i="44"/>
  <c r="DJ70" i="44"/>
  <c r="ED70" i="44" s="1"/>
  <c r="DH69" i="44"/>
  <c r="ED69" i="44" s="1"/>
  <c r="DP67" i="44"/>
  <c r="DP64" i="44"/>
  <c r="DX61" i="44"/>
  <c r="DX62" i="44" s="1"/>
  <c r="DV61" i="44"/>
  <c r="DV62" i="44" s="1"/>
  <c r="DR61" i="44"/>
  <c r="DR62" i="44" s="1"/>
  <c r="DP61" i="44"/>
  <c r="DP62" i="44" s="1"/>
  <c r="DN61" i="44"/>
  <c r="DL61" i="44"/>
  <c r="DJ61" i="44"/>
  <c r="DJ62" i="44" s="1"/>
  <c r="DL59" i="44"/>
  <c r="DL58" i="44"/>
  <c r="DL53" i="44"/>
  <c r="DL52" i="44"/>
  <c r="DL46" i="44"/>
  <c r="DL47" i="44" s="1"/>
  <c r="AG7" i="45" s="1"/>
  <c r="AM78" i="30" s="1"/>
  <c r="FB100" i="44"/>
  <c r="FD100" i="44" s="1"/>
  <c r="FB99" i="44"/>
  <c r="ET99" i="44"/>
  <c r="ET101" i="44" s="1"/>
  <c r="EL99" i="44"/>
  <c r="FD99" i="44" s="1"/>
  <c r="FB98" i="44"/>
  <c r="ET97" i="44"/>
  <c r="EL97" i="44"/>
  <c r="EL95" i="44"/>
  <c r="FD95" i="44" s="1"/>
  <c r="EL94" i="44"/>
  <c r="FD94" i="44" s="1"/>
  <c r="EN88" i="44"/>
  <c r="EF88" i="44"/>
  <c r="EV87" i="44"/>
  <c r="EV92" i="44" s="1"/>
  <c r="EN87" i="44"/>
  <c r="EF87" i="44"/>
  <c r="FD87" i="44" s="1"/>
  <c r="FB81" i="44"/>
  <c r="FD81" i="44" s="1"/>
  <c r="FB79" i="44"/>
  <c r="FB85" i="44" s="1"/>
  <c r="EP79" i="44"/>
  <c r="EP78" i="44"/>
  <c r="FD78" i="44" s="1"/>
  <c r="EN72" i="44"/>
  <c r="EJ69" i="44"/>
  <c r="EP67" i="44"/>
  <c r="FD67" i="44" s="1"/>
  <c r="EP64" i="44"/>
  <c r="FD64" i="44" s="1"/>
  <c r="ET60" i="44"/>
  <c r="EL59" i="44"/>
  <c r="FD59" i="44" s="1"/>
  <c r="EL58" i="44"/>
  <c r="FD58" i="44" s="1"/>
  <c r="FB56" i="44"/>
  <c r="ET55" i="44"/>
  <c r="FD55" i="44" s="1"/>
  <c r="EL54" i="44"/>
  <c r="FD54" i="44" s="1"/>
  <c r="EL53" i="44"/>
  <c r="ET51" i="44"/>
  <c r="FD51" i="44" s="1"/>
  <c r="FB49" i="44"/>
  <c r="FD49" i="44" s="1"/>
  <c r="EL48" i="44"/>
  <c r="FD48" i="44" s="1"/>
  <c r="FB46" i="44"/>
  <c r="ET46" i="44"/>
  <c r="EL46" i="44"/>
  <c r="FB45" i="44"/>
  <c r="FB44" i="44"/>
  <c r="ET44" i="44"/>
  <c r="ET47" i="44" s="1"/>
  <c r="EL44" i="44"/>
  <c r="EL42" i="44"/>
  <c r="EL41" i="44"/>
  <c r="FD41" i="44" s="1"/>
  <c r="FT97" i="44"/>
  <c r="FL97" i="44"/>
  <c r="FT96" i="44"/>
  <c r="FL95" i="44"/>
  <c r="FL94" i="44"/>
  <c r="GD94" i="44" s="1"/>
  <c r="FL93" i="44"/>
  <c r="GD93" i="44" s="1"/>
  <c r="GB79" i="44"/>
  <c r="GB85" i="44" s="1"/>
  <c r="FP79" i="44"/>
  <c r="GD79" i="44" s="1"/>
  <c r="FP78" i="44"/>
  <c r="GD78" i="44" s="1"/>
  <c r="FP64" i="44"/>
  <c r="FT60" i="44"/>
  <c r="GD60" i="44" s="1"/>
  <c r="GB56" i="44"/>
  <c r="GD56" i="44" s="1"/>
  <c r="FT55" i="44"/>
  <c r="GD55" i="44" s="1"/>
  <c r="FL53" i="44"/>
  <c r="GD53" i="44" s="1"/>
  <c r="FT51" i="44"/>
  <c r="GD51" i="44" s="1"/>
  <c r="FL48" i="44"/>
  <c r="GB46" i="44"/>
  <c r="FT46" i="44"/>
  <c r="FL46" i="44"/>
  <c r="GD46" i="44" s="1"/>
  <c r="GB44" i="44"/>
  <c r="FT44" i="44"/>
  <c r="GD44" i="44" s="1"/>
  <c r="FT43" i="44"/>
  <c r="GD43" i="44" s="1"/>
  <c r="FL42" i="44"/>
  <c r="GD42" i="44" s="1"/>
  <c r="FL41" i="44"/>
  <c r="GD41" i="44" s="1"/>
  <c r="FL40" i="44"/>
  <c r="AM62" i="30"/>
  <c r="GJ20" i="43"/>
  <c r="GI20" i="43"/>
  <c r="GG20" i="43"/>
  <c r="GE20" i="43"/>
  <c r="GC20" i="43"/>
  <c r="GA20" i="43"/>
  <c r="FY20" i="43"/>
  <c r="FW20" i="43"/>
  <c r="FU20" i="43"/>
  <c r="FS20" i="43"/>
  <c r="FQ20" i="43"/>
  <c r="FO20" i="43"/>
  <c r="FM20" i="43"/>
  <c r="FI20" i="43"/>
  <c r="FH20" i="43"/>
  <c r="FF20" i="43"/>
  <c r="FD20" i="43"/>
  <c r="FB20" i="43"/>
  <c r="EZ20" i="43"/>
  <c r="EX20" i="43"/>
  <c r="EV20" i="43"/>
  <c r="ET20" i="43"/>
  <c r="ER20" i="43"/>
  <c r="EP20" i="43"/>
  <c r="EN20" i="43"/>
  <c r="EL20" i="43"/>
  <c r="EH20" i="43"/>
  <c r="EG20" i="43"/>
  <c r="EE20" i="43"/>
  <c r="EC20" i="43"/>
  <c r="EA20" i="43"/>
  <c r="DY20" i="43"/>
  <c r="DW20" i="43"/>
  <c r="DU20" i="43"/>
  <c r="DS20" i="43"/>
  <c r="DQ20" i="43"/>
  <c r="DO20" i="43"/>
  <c r="DM20" i="43"/>
  <c r="DK20" i="43"/>
  <c r="DG20" i="43"/>
  <c r="DF20" i="43"/>
  <c r="DD20" i="43"/>
  <c r="DB20" i="43"/>
  <c r="CZ20" i="43"/>
  <c r="CX20" i="43"/>
  <c r="CV20" i="43"/>
  <c r="CT20" i="43"/>
  <c r="CR20" i="43"/>
  <c r="CP20" i="43"/>
  <c r="CN20" i="43"/>
  <c r="CL20" i="43"/>
  <c r="CJ20" i="43"/>
  <c r="CF20" i="43"/>
  <c r="CE20" i="43"/>
  <c r="CC20" i="43"/>
  <c r="CA20" i="43"/>
  <c r="BY20" i="43"/>
  <c r="BW20" i="43"/>
  <c r="BU20" i="43"/>
  <c r="BS20" i="43"/>
  <c r="BQ20" i="43"/>
  <c r="BO20" i="43"/>
  <c r="BM20" i="43"/>
  <c r="BK20" i="43"/>
  <c r="BE20" i="43"/>
  <c r="BD20" i="43"/>
  <c r="BB20" i="43"/>
  <c r="AZ20" i="43"/>
  <c r="AX20" i="43"/>
  <c r="AV20" i="43"/>
  <c r="AT20" i="43"/>
  <c r="AR20" i="43"/>
  <c r="AP20" i="43"/>
  <c r="AN20" i="43"/>
  <c r="AL20" i="43"/>
  <c r="AJ20" i="43"/>
  <c r="AH20" i="43"/>
  <c r="AC20" i="43"/>
  <c r="AA20" i="43"/>
  <c r="Y20" i="43"/>
  <c r="W20" i="43"/>
  <c r="U20" i="43"/>
  <c r="S20" i="43"/>
  <c r="Q20" i="43"/>
  <c r="O20" i="43"/>
  <c r="M20" i="43"/>
  <c r="K20" i="43"/>
  <c r="I20" i="43"/>
  <c r="BU93" i="30"/>
  <c r="BS93" i="30"/>
  <c r="BQ93" i="30"/>
  <c r="BU92" i="30"/>
  <c r="BS92" i="30"/>
  <c r="BQ92" i="30"/>
  <c r="BU91" i="30"/>
  <c r="BS91" i="30"/>
  <c r="BQ91" i="30"/>
  <c r="BU90" i="30"/>
  <c r="BS90" i="30"/>
  <c r="BQ90" i="30"/>
  <c r="BU89" i="30"/>
  <c r="BS89" i="30"/>
  <c r="BQ89" i="30"/>
  <c r="BW89" i="30" s="1"/>
  <c r="BU88" i="30"/>
  <c r="BS88" i="30"/>
  <c r="BQ88" i="30"/>
  <c r="BU51" i="30"/>
  <c r="BU63" i="30" s="1"/>
  <c r="BS51" i="30"/>
  <c r="BS63" i="30" s="1"/>
  <c r="BQ51" i="30"/>
  <c r="BU23" i="30"/>
  <c r="BS23" i="30"/>
  <c r="BQ23" i="30"/>
  <c r="BS36" i="45"/>
  <c r="BS35" i="45"/>
  <c r="BR35" i="45"/>
  <c r="BS30" i="45"/>
  <c r="BR30" i="45"/>
  <c r="BS29" i="45"/>
  <c r="BR29" i="45"/>
  <c r="BS28" i="45"/>
  <c r="BR28" i="45"/>
  <c r="BS26" i="45"/>
  <c r="BR26" i="45"/>
  <c r="BS25" i="45"/>
  <c r="BR25" i="45"/>
  <c r="BS24" i="45"/>
  <c r="BR24" i="45"/>
  <c r="BS22" i="45"/>
  <c r="BR22" i="45"/>
  <c r="BS21" i="45"/>
  <c r="BR21" i="45"/>
  <c r="BS20" i="45"/>
  <c r="BR20" i="45"/>
  <c r="BS18" i="45"/>
  <c r="BR18" i="45"/>
  <c r="BS17" i="45"/>
  <c r="BR17" i="45"/>
  <c r="BS16" i="45"/>
  <c r="BR16" i="45"/>
  <c r="BS14" i="45"/>
  <c r="BR14" i="45"/>
  <c r="BS13" i="45"/>
  <c r="BR13" i="45"/>
  <c r="BS12" i="45"/>
  <c r="BR12" i="45"/>
  <c r="GK37" i="43"/>
  <c r="GJ37" i="43"/>
  <c r="GK36" i="43"/>
  <c r="GJ36" i="43"/>
  <c r="GK35" i="43"/>
  <c r="GJ35" i="43"/>
  <c r="GK34" i="43"/>
  <c r="GJ34" i="43"/>
  <c r="GK33" i="43"/>
  <c r="GJ33" i="43"/>
  <c r="GK32" i="43"/>
  <c r="GJ32" i="43"/>
  <c r="GJ26" i="43"/>
  <c r="FO26" i="43"/>
  <c r="GJ25" i="43"/>
  <c r="GJ24" i="43"/>
  <c r="GI24" i="43"/>
  <c r="GG24" i="43"/>
  <c r="GE24" i="43"/>
  <c r="GC24" i="43"/>
  <c r="GA24" i="43"/>
  <c r="FY24" i="43"/>
  <c r="FW24" i="43"/>
  <c r="FU24" i="43"/>
  <c r="FS24" i="43"/>
  <c r="FQ24" i="43"/>
  <c r="FO24" i="43"/>
  <c r="FM24" i="43"/>
  <c r="GJ23" i="43"/>
  <c r="GI23" i="43"/>
  <c r="GG23" i="43"/>
  <c r="GE23" i="43"/>
  <c r="GC23" i="43"/>
  <c r="GA23" i="43"/>
  <c r="FY23" i="43"/>
  <c r="FW23" i="43"/>
  <c r="FU23" i="43"/>
  <c r="FS23" i="43"/>
  <c r="FQ23" i="43"/>
  <c r="FO23" i="43"/>
  <c r="FM23" i="43"/>
  <c r="GJ19" i="43"/>
  <c r="GI19" i="43"/>
  <c r="GG19" i="43"/>
  <c r="GE19" i="43"/>
  <c r="GC19" i="43"/>
  <c r="GA19" i="43"/>
  <c r="FY19" i="43"/>
  <c r="FW19" i="43"/>
  <c r="FU19" i="43"/>
  <c r="FS19" i="43"/>
  <c r="FQ19" i="43"/>
  <c r="FO19" i="43"/>
  <c r="FM19" i="43"/>
  <c r="GJ18" i="43"/>
  <c r="GI18" i="43"/>
  <c r="GG18" i="43"/>
  <c r="GE18" i="43"/>
  <c r="GC18" i="43"/>
  <c r="GA18" i="43"/>
  <c r="FY18" i="43"/>
  <c r="FW18" i="43"/>
  <c r="FU18" i="43"/>
  <c r="FS18" i="43"/>
  <c r="FQ18" i="43"/>
  <c r="FO18" i="43"/>
  <c r="FM18" i="43"/>
  <c r="GJ17" i="43"/>
  <c r="GI17" i="43"/>
  <c r="GG17" i="43"/>
  <c r="GE17" i="43"/>
  <c r="GC17" i="43"/>
  <c r="GA17" i="43"/>
  <c r="FY17" i="43"/>
  <c r="FW17" i="43"/>
  <c r="FU17" i="43"/>
  <c r="FS17" i="43"/>
  <c r="FQ17" i="43"/>
  <c r="FO17" i="43"/>
  <c r="FM17" i="43"/>
  <c r="GK13" i="43"/>
  <c r="GJ13" i="43"/>
  <c r="GK12" i="43"/>
  <c r="GJ12" i="43"/>
  <c r="GK11" i="43"/>
  <c r="GJ11" i="43"/>
  <c r="GK10" i="43"/>
  <c r="GJ10" i="43"/>
  <c r="HB104" i="44"/>
  <c r="HA104" i="44"/>
  <c r="GZ104" i="44"/>
  <c r="GY104" i="44"/>
  <c r="GX104" i="44"/>
  <c r="GW104" i="44"/>
  <c r="GV104" i="44"/>
  <c r="GU104" i="44"/>
  <c r="GT104" i="44"/>
  <c r="GS104" i="44"/>
  <c r="GR104" i="44"/>
  <c r="GQ104" i="44"/>
  <c r="GP104" i="44"/>
  <c r="GO104" i="44"/>
  <c r="GN104" i="44"/>
  <c r="GM104" i="44"/>
  <c r="GL104" i="44"/>
  <c r="GK104" i="44"/>
  <c r="GJ104" i="44"/>
  <c r="GI104" i="44"/>
  <c r="GH104" i="44"/>
  <c r="GG104" i="44"/>
  <c r="GF104" i="44"/>
  <c r="GE104" i="44"/>
  <c r="HD103" i="44"/>
  <c r="HC103" i="44"/>
  <c r="HD102" i="44"/>
  <c r="HC102" i="44"/>
  <c r="HC104" i="44" s="1"/>
  <c r="HA101" i="44"/>
  <c r="GZ101" i="44"/>
  <c r="GY101" i="44"/>
  <c r="GX101" i="44"/>
  <c r="GW101" i="44"/>
  <c r="GV101" i="44"/>
  <c r="GU101" i="44"/>
  <c r="GS101" i="44"/>
  <c r="BO31" i="45" s="1"/>
  <c r="BU84" i="30" s="1"/>
  <c r="GR101" i="44"/>
  <c r="GQ101" i="44"/>
  <c r="GP101" i="44"/>
  <c r="GO101" i="44"/>
  <c r="GN101" i="44"/>
  <c r="GM101" i="44"/>
  <c r="GK101" i="44"/>
  <c r="GJ101" i="44"/>
  <c r="GI101" i="44"/>
  <c r="GH101" i="44"/>
  <c r="GG101" i="44"/>
  <c r="GF101" i="44"/>
  <c r="GE101" i="44"/>
  <c r="HD100" i="44"/>
  <c r="HC100" i="44"/>
  <c r="HC99" i="44"/>
  <c r="HB99" i="44"/>
  <c r="HB101" i="44" s="1"/>
  <c r="GT99" i="44"/>
  <c r="GL99" i="44"/>
  <c r="HD98" i="44"/>
  <c r="HC98" i="44"/>
  <c r="HC97" i="44"/>
  <c r="GT97" i="44"/>
  <c r="GL97" i="44"/>
  <c r="HC96" i="44"/>
  <c r="GT96" i="44"/>
  <c r="HC95" i="44"/>
  <c r="GL95" i="44"/>
  <c r="HD95" i="44" s="1"/>
  <c r="HC94" i="44"/>
  <c r="GL94" i="44"/>
  <c r="HD94" i="44" s="1"/>
  <c r="HC93" i="44"/>
  <c r="GL93" i="44"/>
  <c r="HB92" i="44"/>
  <c r="HA92" i="44"/>
  <c r="GZ92" i="44"/>
  <c r="GY92" i="44"/>
  <c r="GY105" i="44" s="1"/>
  <c r="GX92" i="44"/>
  <c r="BP27" i="45" s="1"/>
  <c r="GW92" i="44"/>
  <c r="GV92" i="44"/>
  <c r="GV107" i="44" s="1"/>
  <c r="GU92" i="44"/>
  <c r="GT92" i="44"/>
  <c r="GS92" i="44"/>
  <c r="GR92" i="44"/>
  <c r="GQ92" i="44"/>
  <c r="GP92" i="44"/>
  <c r="GO92" i="44"/>
  <c r="GN92" i="44"/>
  <c r="GM92" i="44"/>
  <c r="GL92" i="44"/>
  <c r="GK92" i="44"/>
  <c r="GJ92" i="44"/>
  <c r="GJ105" i="44" s="1"/>
  <c r="GI92" i="44"/>
  <c r="GH92" i="44"/>
  <c r="GG92" i="44"/>
  <c r="GF92" i="44"/>
  <c r="GE92" i="44"/>
  <c r="HD91" i="44"/>
  <c r="HC91" i="44"/>
  <c r="HD90" i="44"/>
  <c r="HC90" i="44"/>
  <c r="HD89" i="44"/>
  <c r="HC89" i="44"/>
  <c r="HD88" i="44"/>
  <c r="HC88" i="44"/>
  <c r="HD87" i="44"/>
  <c r="HD92" i="44" s="1"/>
  <c r="HC87" i="44"/>
  <c r="HA85" i="44"/>
  <c r="GZ85" i="44"/>
  <c r="GY85" i="44"/>
  <c r="GX85" i="44"/>
  <c r="GW85" i="44"/>
  <c r="GV85" i="44"/>
  <c r="GU85" i="44"/>
  <c r="BO23" i="45" s="1"/>
  <c r="BU82" i="30" s="1"/>
  <c r="GT85" i="44"/>
  <c r="GS85" i="44"/>
  <c r="GR85" i="44"/>
  <c r="GQ85" i="44"/>
  <c r="GO85" i="44"/>
  <c r="GN85" i="44"/>
  <c r="GM85" i="44"/>
  <c r="GL85" i="44"/>
  <c r="GK85" i="44"/>
  <c r="GJ85" i="44"/>
  <c r="GI85" i="44"/>
  <c r="GH85" i="44"/>
  <c r="GH107" i="44" s="1"/>
  <c r="GG85" i="44"/>
  <c r="GF85" i="44"/>
  <c r="BJ23" i="45" s="1"/>
  <c r="GE85" i="44"/>
  <c r="HD84" i="44"/>
  <c r="HC84" i="44"/>
  <c r="HD83" i="44"/>
  <c r="HC83" i="44"/>
  <c r="HD82" i="44"/>
  <c r="HC82" i="44"/>
  <c r="HD81" i="44"/>
  <c r="HC81" i="44"/>
  <c r="HD80" i="44"/>
  <c r="HC80" i="44"/>
  <c r="HC79" i="44"/>
  <c r="HB79" i="44"/>
  <c r="GP79" i="44"/>
  <c r="HC78" i="44"/>
  <c r="GP78" i="44"/>
  <c r="HD78" i="44" s="1"/>
  <c r="HD77" i="44"/>
  <c r="HC77" i="44"/>
  <c r="HD76" i="44"/>
  <c r="HC76" i="44"/>
  <c r="HB75" i="44"/>
  <c r="HA75" i="44"/>
  <c r="GZ75" i="44"/>
  <c r="GZ105" i="44" s="1"/>
  <c r="GY75" i="44"/>
  <c r="GX75" i="44"/>
  <c r="BP19" i="45" s="1"/>
  <c r="GW75" i="44"/>
  <c r="BO19" i="45" s="1"/>
  <c r="BU81" i="30" s="1"/>
  <c r="GV75" i="44"/>
  <c r="GU75" i="44"/>
  <c r="GT75" i="44"/>
  <c r="GS75" i="44"/>
  <c r="GR75" i="44"/>
  <c r="GQ75" i="44"/>
  <c r="GP75" i="44"/>
  <c r="GO75" i="44"/>
  <c r="GN75" i="44"/>
  <c r="GM75" i="44"/>
  <c r="GL75" i="44"/>
  <c r="BL19" i="45" s="1"/>
  <c r="GK75" i="44"/>
  <c r="GJ75" i="44"/>
  <c r="GI75" i="44"/>
  <c r="GH75" i="44"/>
  <c r="GG75" i="44"/>
  <c r="GF75" i="44"/>
  <c r="GE75" i="44"/>
  <c r="HD74" i="44"/>
  <c r="HC74" i="44"/>
  <c r="HD73" i="44"/>
  <c r="HC73" i="44"/>
  <c r="HD72" i="44"/>
  <c r="HD75" i="44" s="1"/>
  <c r="HC72" i="44"/>
  <c r="HD71" i="44"/>
  <c r="HC71" i="44"/>
  <c r="HD70" i="44"/>
  <c r="HC70" i="44"/>
  <c r="HD69" i="44"/>
  <c r="HC69" i="44"/>
  <c r="HB68" i="44"/>
  <c r="HA68" i="44"/>
  <c r="GZ68" i="44"/>
  <c r="GY68" i="44"/>
  <c r="GX68" i="44"/>
  <c r="BP15" i="45" s="1"/>
  <c r="GW68" i="44"/>
  <c r="GV68" i="44"/>
  <c r="GU68" i="44"/>
  <c r="GT68" i="44"/>
  <c r="GS68" i="44"/>
  <c r="GR68" i="44"/>
  <c r="GQ68" i="44"/>
  <c r="GO68" i="44"/>
  <c r="GN68" i="44"/>
  <c r="GM68" i="44"/>
  <c r="BM15" i="45" s="1"/>
  <c r="BS80" i="30" s="1"/>
  <c r="GL68" i="44"/>
  <c r="GK68" i="44"/>
  <c r="BK15" i="45" s="1"/>
  <c r="BQ80" i="30" s="1"/>
  <c r="GJ68" i="44"/>
  <c r="BJ15" i="45" s="1"/>
  <c r="GI68" i="44"/>
  <c r="GH68" i="44"/>
  <c r="GG68" i="44"/>
  <c r="GF68" i="44"/>
  <c r="GE68" i="44"/>
  <c r="HD67" i="44"/>
  <c r="HC67" i="44"/>
  <c r="HD66" i="44"/>
  <c r="HC66" i="44"/>
  <c r="HD65" i="44"/>
  <c r="HC65" i="44"/>
  <c r="HC64" i="44"/>
  <c r="GP64" i="44"/>
  <c r="HA62" i="44"/>
  <c r="GZ62" i="44"/>
  <c r="GY62" i="44"/>
  <c r="GX62" i="44"/>
  <c r="GW62" i="44"/>
  <c r="GV62" i="44"/>
  <c r="GU62" i="44"/>
  <c r="GS62" i="44"/>
  <c r="GR62" i="44"/>
  <c r="GQ62" i="44"/>
  <c r="GP62" i="44"/>
  <c r="GO62" i="44"/>
  <c r="GN62" i="44"/>
  <c r="GM62" i="44"/>
  <c r="GK62" i="44"/>
  <c r="GJ62" i="44"/>
  <c r="GI62" i="44"/>
  <c r="GH62" i="44"/>
  <c r="GG62" i="44"/>
  <c r="GF62" i="44"/>
  <c r="GE62" i="44"/>
  <c r="HD61" i="44"/>
  <c r="HC61" i="44"/>
  <c r="HC60" i="44"/>
  <c r="GT60" i="44"/>
  <c r="HD59" i="44"/>
  <c r="HC59" i="44"/>
  <c r="HD58" i="44"/>
  <c r="HC58" i="44"/>
  <c r="HD57" i="44"/>
  <c r="HC57" i="44"/>
  <c r="HC56" i="44"/>
  <c r="HB56" i="44"/>
  <c r="HC55" i="44"/>
  <c r="GT55" i="44"/>
  <c r="HD55" i="44" s="1"/>
  <c r="HD54" i="44"/>
  <c r="HC54" i="44"/>
  <c r="HC53" i="44"/>
  <c r="GL53" i="44"/>
  <c r="HD52" i="44"/>
  <c r="HC52" i="44"/>
  <c r="HC51" i="44"/>
  <c r="GT51" i="44"/>
  <c r="HD50" i="44"/>
  <c r="HC50" i="44"/>
  <c r="HD49" i="44"/>
  <c r="HC49" i="44"/>
  <c r="HC48" i="44"/>
  <c r="GL48" i="44"/>
  <c r="HD48" i="44" s="1"/>
  <c r="HA47" i="44"/>
  <c r="GZ47" i="44"/>
  <c r="GY47" i="44"/>
  <c r="GX47" i="44"/>
  <c r="GW47" i="44"/>
  <c r="GV47" i="44"/>
  <c r="GU47" i="44"/>
  <c r="GS47" i="44"/>
  <c r="GR47" i="44"/>
  <c r="GQ47" i="44"/>
  <c r="GP47" i="44"/>
  <c r="GO47" i="44"/>
  <c r="GN47" i="44"/>
  <c r="GM47" i="44"/>
  <c r="GK47" i="44"/>
  <c r="GJ47" i="44"/>
  <c r="GI47" i="44"/>
  <c r="GH47" i="44"/>
  <c r="GG47" i="44"/>
  <c r="BK7" i="45" s="1"/>
  <c r="BQ78" i="30" s="1"/>
  <c r="GF47" i="44"/>
  <c r="BJ7" i="45" s="1"/>
  <c r="GE47" i="44"/>
  <c r="HC46" i="44"/>
  <c r="HB46" i="44"/>
  <c r="GT46" i="44"/>
  <c r="GL46" i="44"/>
  <c r="HD45" i="44"/>
  <c r="HC45" i="44"/>
  <c r="HC44" i="44"/>
  <c r="HB44" i="44"/>
  <c r="GT44" i="44"/>
  <c r="HC43" i="44"/>
  <c r="GT43" i="44"/>
  <c r="HD43" i="44" s="1"/>
  <c r="HC42" i="44"/>
  <c r="GL42" i="44"/>
  <c r="HD42" i="44" s="1"/>
  <c r="HC41" i="44"/>
  <c r="GL41" i="44"/>
  <c r="HC40" i="44"/>
  <c r="GL40" i="44"/>
  <c r="HB31" i="44"/>
  <c r="GZ31" i="44"/>
  <c r="GX31" i="44"/>
  <c r="GV31" i="44"/>
  <c r="GT31" i="44"/>
  <c r="GR31" i="44"/>
  <c r="GP31" i="44"/>
  <c r="GN31" i="44"/>
  <c r="GL31" i="44"/>
  <c r="GJ31" i="44"/>
  <c r="GH31" i="44"/>
  <c r="GF31" i="44"/>
  <c r="HD29" i="44"/>
  <c r="HC29" i="44"/>
  <c r="HD28" i="44"/>
  <c r="HC28" i="44"/>
  <c r="HD27" i="44"/>
  <c r="HC27" i="44"/>
  <c r="HD26" i="44"/>
  <c r="HC26" i="44"/>
  <c r="HD25" i="44"/>
  <c r="HC25" i="44"/>
  <c r="HD24" i="44"/>
  <c r="HC24" i="44"/>
  <c r="HD22" i="44"/>
  <c r="HC22" i="44"/>
  <c r="HD21" i="44"/>
  <c r="HC21" i="44"/>
  <c r="HD20" i="44"/>
  <c r="HC20" i="44"/>
  <c r="HD19" i="44"/>
  <c r="HC19" i="44"/>
  <c r="HD18" i="44"/>
  <c r="HC18" i="44"/>
  <c r="HD17" i="44"/>
  <c r="HC17" i="44"/>
  <c r="HD16" i="44"/>
  <c r="HC16" i="44"/>
  <c r="HD15" i="44"/>
  <c r="HC15" i="44"/>
  <c r="F31" i="3"/>
  <c r="F30" i="3"/>
  <c r="G30" i="3" s="1"/>
  <c r="F34" i="19"/>
  <c r="F33" i="19"/>
  <c r="G33" i="19" s="1"/>
  <c r="H33" i="19" s="1"/>
  <c r="G14" i="5"/>
  <c r="G22" i="5"/>
  <c r="G23" i="5"/>
  <c r="E27" i="17"/>
  <c r="G27" i="17" s="1"/>
  <c r="E24" i="17"/>
  <c r="G24" i="17" s="1"/>
  <c r="E31" i="17"/>
  <c r="G31" i="17" s="1"/>
  <c r="E20" i="16"/>
  <c r="G20" i="16" s="1"/>
  <c r="P9" i="6"/>
  <c r="Q9" i="6" s="1"/>
  <c r="F31" i="5"/>
  <c r="G31" i="5" s="1"/>
  <c r="F32" i="5"/>
  <c r="G32" i="5" s="1"/>
  <c r="H30" i="5" s="1"/>
  <c r="E29" i="17"/>
  <c r="G29" i="17" s="1"/>
  <c r="P13" i="6"/>
  <c r="Q13" i="6" s="1"/>
  <c r="E50" i="17"/>
  <c r="E47" i="17"/>
  <c r="G47" i="17" s="1"/>
  <c r="D54" i="17"/>
  <c r="E39" i="16"/>
  <c r="E38" i="16"/>
  <c r="G38" i="16" s="1"/>
  <c r="G35" i="16"/>
  <c r="P32" i="6"/>
  <c r="P32" i="20" s="1"/>
  <c r="P36" i="22" s="1"/>
  <c r="P31" i="6"/>
  <c r="F42" i="5"/>
  <c r="F41" i="5"/>
  <c r="BK23" i="30"/>
  <c r="BI23" i="30"/>
  <c r="BG23" i="30"/>
  <c r="BA23" i="30"/>
  <c r="AY23" i="30"/>
  <c r="AW23" i="30"/>
  <c r="AQ23" i="30"/>
  <c r="AO23" i="30"/>
  <c r="AM23" i="30"/>
  <c r="BK93" i="30"/>
  <c r="BK92" i="30"/>
  <c r="BK91" i="30"/>
  <c r="BK90" i="30"/>
  <c r="BK89" i="30"/>
  <c r="BK88" i="30"/>
  <c r="BI93" i="30"/>
  <c r="BI92" i="30"/>
  <c r="BI91" i="30"/>
  <c r="BI90" i="30"/>
  <c r="BI89" i="30"/>
  <c r="BI88" i="30"/>
  <c r="BG93" i="30"/>
  <c r="BG92" i="30"/>
  <c r="BG91" i="30"/>
  <c r="BG90" i="30"/>
  <c r="BG89" i="30"/>
  <c r="BM89" i="30" s="1"/>
  <c r="BG88" i="30"/>
  <c r="BA93" i="30"/>
  <c r="BA92" i="30"/>
  <c r="BA91" i="30"/>
  <c r="BA90" i="30"/>
  <c r="BA89" i="30"/>
  <c r="BA88" i="30"/>
  <c r="AY93" i="30"/>
  <c r="AY92" i="30"/>
  <c r="AY91" i="30"/>
  <c r="BC91" i="30" s="1"/>
  <c r="AY90" i="30"/>
  <c r="AY89" i="30"/>
  <c r="AY88" i="30"/>
  <c r="AW93" i="30"/>
  <c r="AW92" i="30"/>
  <c r="AW91" i="30"/>
  <c r="AW90" i="30"/>
  <c r="AW89" i="30"/>
  <c r="AW88" i="30"/>
  <c r="AQ93" i="30"/>
  <c r="AQ92" i="30"/>
  <c r="AQ91" i="30"/>
  <c r="AQ90" i="30"/>
  <c r="AQ89" i="30"/>
  <c r="AQ88" i="30"/>
  <c r="AO93" i="30"/>
  <c r="AO92" i="30"/>
  <c r="AO91" i="30"/>
  <c r="AO90" i="30"/>
  <c r="AO89" i="30"/>
  <c r="AO88" i="30"/>
  <c r="AM93" i="30"/>
  <c r="AS93" i="30" s="1"/>
  <c r="AM92" i="30"/>
  <c r="AS92" i="30" s="1"/>
  <c r="AM91" i="30"/>
  <c r="AS91" i="30" s="1"/>
  <c r="AM90" i="30"/>
  <c r="AM89" i="30"/>
  <c r="AS89" i="30" s="1"/>
  <c r="AM88" i="30"/>
  <c r="BK51" i="30"/>
  <c r="BI51" i="30"/>
  <c r="BG51" i="30"/>
  <c r="BA51" i="30"/>
  <c r="AY51" i="30"/>
  <c r="AW51" i="30"/>
  <c r="AQ51" i="30"/>
  <c r="AO51" i="30"/>
  <c r="AM51" i="30"/>
  <c r="HO29" i="43"/>
  <c r="HM29" i="43"/>
  <c r="HK29" i="43"/>
  <c r="FJ37" i="43"/>
  <c r="FI37" i="43"/>
  <c r="FJ36" i="43"/>
  <c r="FI36" i="43"/>
  <c r="FJ35" i="43"/>
  <c r="FI35" i="43"/>
  <c r="FJ34" i="43"/>
  <c r="FI34" i="43"/>
  <c r="FJ33" i="43"/>
  <c r="FI33" i="43"/>
  <c r="FJ32" i="43"/>
  <c r="FI32" i="43"/>
  <c r="FI25" i="43"/>
  <c r="FI24" i="43"/>
  <c r="FH24" i="43"/>
  <c r="FF24" i="43"/>
  <c r="FD24" i="43"/>
  <c r="FB24" i="43"/>
  <c r="EZ24" i="43"/>
  <c r="EX24" i="43"/>
  <c r="EV24" i="43"/>
  <c r="ET24" i="43"/>
  <c r="ER24" i="43"/>
  <c r="EP24" i="43"/>
  <c r="EN24" i="43"/>
  <c r="EL24" i="43"/>
  <c r="FI23" i="43"/>
  <c r="FH23" i="43"/>
  <c r="FF23" i="43"/>
  <c r="FD23" i="43"/>
  <c r="FB23" i="43"/>
  <c r="EZ23" i="43"/>
  <c r="EX23" i="43"/>
  <c r="EV23" i="43"/>
  <c r="ET23" i="43"/>
  <c r="ER23" i="43"/>
  <c r="EP23" i="43"/>
  <c r="EN23" i="43"/>
  <c r="EL23" i="43"/>
  <c r="FI19" i="43"/>
  <c r="FH19" i="43"/>
  <c r="FF19" i="43"/>
  <c r="FD19" i="43"/>
  <c r="FB19" i="43"/>
  <c r="EZ19" i="43"/>
  <c r="EX19" i="43"/>
  <c r="EV19" i="43"/>
  <c r="ET19" i="43"/>
  <c r="ER19" i="43"/>
  <c r="EP19" i="43"/>
  <c r="EN19" i="43"/>
  <c r="EL19" i="43"/>
  <c r="FI18" i="43"/>
  <c r="FH18" i="43"/>
  <c r="FF18" i="43"/>
  <c r="FD18" i="43"/>
  <c r="FB18" i="43"/>
  <c r="EZ18" i="43"/>
  <c r="EX18" i="43"/>
  <c r="EV18" i="43"/>
  <c r="ET18" i="43"/>
  <c r="ER18" i="43"/>
  <c r="EP18" i="43"/>
  <c r="EN18" i="43"/>
  <c r="EL18" i="43"/>
  <c r="FI17" i="43"/>
  <c r="FH17" i="43"/>
  <c r="FF17" i="43"/>
  <c r="FD17" i="43"/>
  <c r="FB17" i="43"/>
  <c r="EZ17" i="43"/>
  <c r="EX17" i="43"/>
  <c r="EV17" i="43"/>
  <c r="ET17" i="43"/>
  <c r="ER17" i="43"/>
  <c r="EP17" i="43"/>
  <c r="EN17" i="43"/>
  <c r="EL17" i="43"/>
  <c r="FJ13" i="43"/>
  <c r="FI13" i="43"/>
  <c r="FJ12" i="43"/>
  <c r="FI12" i="43"/>
  <c r="FJ11" i="43"/>
  <c r="FI11" i="43"/>
  <c r="FJ10" i="43"/>
  <c r="FI10" i="43"/>
  <c r="EH26" i="43"/>
  <c r="EH25" i="43"/>
  <c r="EH24" i="43"/>
  <c r="EG24" i="43"/>
  <c r="EE24" i="43"/>
  <c r="EC24" i="43"/>
  <c r="EA24" i="43"/>
  <c r="DY24" i="43"/>
  <c r="DW24" i="43"/>
  <c r="DU24" i="43"/>
  <c r="DS24" i="43"/>
  <c r="DQ24" i="43"/>
  <c r="DO24" i="43"/>
  <c r="DM24" i="43"/>
  <c r="DK24" i="43"/>
  <c r="EH23" i="43"/>
  <c r="EG23" i="43"/>
  <c r="EE23" i="43"/>
  <c r="EC23" i="43"/>
  <c r="EA23" i="43"/>
  <c r="DY23" i="43"/>
  <c r="DW23" i="43"/>
  <c r="DU23" i="43"/>
  <c r="DS23" i="43"/>
  <c r="DQ23" i="43"/>
  <c r="DO23" i="43"/>
  <c r="DM23" i="43"/>
  <c r="DK23" i="43"/>
  <c r="EH19" i="43"/>
  <c r="EG19" i="43"/>
  <c r="EE19" i="43"/>
  <c r="EC19" i="43"/>
  <c r="EA19" i="43"/>
  <c r="DY19" i="43"/>
  <c r="DW19" i="43"/>
  <c r="DU19" i="43"/>
  <c r="DS19" i="43"/>
  <c r="DQ19" i="43"/>
  <c r="DO19" i="43"/>
  <c r="DM19" i="43"/>
  <c r="DK19" i="43"/>
  <c r="EH18" i="43"/>
  <c r="EG18" i="43"/>
  <c r="EE18" i="43"/>
  <c r="EC18" i="43"/>
  <c r="EA18" i="43"/>
  <c r="DY18" i="43"/>
  <c r="DW18" i="43"/>
  <c r="DU18" i="43"/>
  <c r="DS18" i="43"/>
  <c r="DQ18" i="43"/>
  <c r="DO18" i="43"/>
  <c r="DM18" i="43"/>
  <c r="DK18" i="43"/>
  <c r="EH17" i="43"/>
  <c r="EG17" i="43"/>
  <c r="EE17" i="43"/>
  <c r="EC17" i="43"/>
  <c r="EA17" i="43"/>
  <c r="DY17" i="43"/>
  <c r="DW17" i="43"/>
  <c r="DU17" i="43"/>
  <c r="DS17" i="43"/>
  <c r="DQ17" i="43"/>
  <c r="DO17" i="43"/>
  <c r="DM17" i="43"/>
  <c r="DK17" i="43"/>
  <c r="EI37" i="43"/>
  <c r="EH37" i="43"/>
  <c r="EI36" i="43"/>
  <c r="EH36" i="43"/>
  <c r="EI35" i="43"/>
  <c r="EH35" i="43"/>
  <c r="EI34" i="43"/>
  <c r="EH34" i="43"/>
  <c r="EI33" i="43"/>
  <c r="EH33" i="43"/>
  <c r="EI32" i="43"/>
  <c r="EH32" i="43"/>
  <c r="EI13" i="43"/>
  <c r="EH13" i="43"/>
  <c r="EI12" i="43"/>
  <c r="EH12" i="43"/>
  <c r="EI11" i="43"/>
  <c r="EH11" i="43"/>
  <c r="EI10" i="43"/>
  <c r="EH10" i="43"/>
  <c r="DH37" i="43"/>
  <c r="DG37" i="43"/>
  <c r="DH36" i="43"/>
  <c r="DG36" i="43"/>
  <c r="DH35" i="43"/>
  <c r="DG35" i="43"/>
  <c r="DH34" i="43"/>
  <c r="DG34" i="43"/>
  <c r="DH33" i="43"/>
  <c r="DG33" i="43"/>
  <c r="DH32" i="43"/>
  <c r="DG32" i="43"/>
  <c r="DG26" i="43"/>
  <c r="DG25" i="43"/>
  <c r="DG24" i="43"/>
  <c r="DF24" i="43"/>
  <c r="DD24" i="43"/>
  <c r="DB24" i="43"/>
  <c r="CZ24" i="43"/>
  <c r="CX24" i="43"/>
  <c r="CV24" i="43"/>
  <c r="CT24" i="43"/>
  <c r="CR24" i="43"/>
  <c r="CP24" i="43"/>
  <c r="CN24" i="43"/>
  <c r="CL24" i="43"/>
  <c r="CJ24" i="43"/>
  <c r="DG23" i="43"/>
  <c r="DF23" i="43"/>
  <c r="DD23" i="43"/>
  <c r="DB23" i="43"/>
  <c r="CZ23" i="43"/>
  <c r="CX23" i="43"/>
  <c r="CV23" i="43"/>
  <c r="CT23" i="43"/>
  <c r="CR23" i="43"/>
  <c r="CP23" i="43"/>
  <c r="CN23" i="43"/>
  <c r="CL23" i="43"/>
  <c r="CJ23" i="43"/>
  <c r="DG19" i="43"/>
  <c r="DF19" i="43"/>
  <c r="DD19" i="43"/>
  <c r="DB19" i="43"/>
  <c r="CZ19" i="43"/>
  <c r="CX19" i="43"/>
  <c r="CV19" i="43"/>
  <c r="CT19" i="43"/>
  <c r="CR19" i="43"/>
  <c r="CP19" i="43"/>
  <c r="CN19" i="43"/>
  <c r="CL19" i="43"/>
  <c r="CJ19" i="43"/>
  <c r="DG18" i="43"/>
  <c r="DF18" i="43"/>
  <c r="DD18" i="43"/>
  <c r="DB18" i="43"/>
  <c r="CZ18" i="43"/>
  <c r="CX18" i="43"/>
  <c r="CV18" i="43"/>
  <c r="CT18" i="43"/>
  <c r="CR18" i="43"/>
  <c r="CP18" i="43"/>
  <c r="CN18" i="43"/>
  <c r="CL18" i="43"/>
  <c r="CJ18" i="43"/>
  <c r="DG17" i="43"/>
  <c r="DF17" i="43"/>
  <c r="DD17" i="43"/>
  <c r="DB17" i="43"/>
  <c r="CZ17" i="43"/>
  <c r="CX17" i="43"/>
  <c r="CV17" i="43"/>
  <c r="CT17" i="43"/>
  <c r="CR17" i="43"/>
  <c r="CP17" i="43"/>
  <c r="CN17" i="43"/>
  <c r="CL17" i="43"/>
  <c r="CJ17" i="43"/>
  <c r="DH13" i="43"/>
  <c r="DG13" i="43"/>
  <c r="DH12" i="43"/>
  <c r="DG12" i="43"/>
  <c r="DH11" i="43"/>
  <c r="DG11" i="43"/>
  <c r="DH10" i="43"/>
  <c r="DG10" i="43"/>
  <c r="BI36" i="45"/>
  <c r="BI35" i="45"/>
  <c r="BH35" i="45"/>
  <c r="BI30" i="45"/>
  <c r="BH30" i="45"/>
  <c r="BI29" i="45"/>
  <c r="BH29" i="45"/>
  <c r="BI28" i="45"/>
  <c r="BH28" i="45"/>
  <c r="BI26" i="45"/>
  <c r="BH26" i="45"/>
  <c r="BI25" i="45"/>
  <c r="BH25" i="45"/>
  <c r="BI24" i="45"/>
  <c r="BH24" i="45"/>
  <c r="BI22" i="45"/>
  <c r="BH22" i="45"/>
  <c r="BI21" i="45"/>
  <c r="BH21" i="45"/>
  <c r="BI20" i="45"/>
  <c r="BH20" i="45"/>
  <c r="BI18" i="45"/>
  <c r="BH18" i="45"/>
  <c r="BI17" i="45"/>
  <c r="BH17" i="45"/>
  <c r="BI16" i="45"/>
  <c r="BH16" i="45"/>
  <c r="BI14" i="45"/>
  <c r="BH14" i="45"/>
  <c r="BI13" i="45"/>
  <c r="BH13" i="45"/>
  <c r="BI12" i="45"/>
  <c r="BH12" i="45"/>
  <c r="GB104" i="44"/>
  <c r="GA104" i="44"/>
  <c r="FZ104" i="44"/>
  <c r="FY104" i="44"/>
  <c r="FX104" i="44"/>
  <c r="FX107" i="44" s="1"/>
  <c r="FW104" i="44"/>
  <c r="FV104" i="44"/>
  <c r="FU104" i="44"/>
  <c r="FT104" i="44"/>
  <c r="FS104" i="44"/>
  <c r="FR104" i="44"/>
  <c r="FQ104" i="44"/>
  <c r="FP104" i="44"/>
  <c r="FO104" i="44"/>
  <c r="FN104" i="44"/>
  <c r="FM104" i="44"/>
  <c r="FL104" i="44"/>
  <c r="FK104" i="44"/>
  <c r="FJ104" i="44"/>
  <c r="FI104" i="44"/>
  <c r="FH104" i="44"/>
  <c r="FG104" i="44"/>
  <c r="FF104" i="44"/>
  <c r="FE104" i="44"/>
  <c r="GD103" i="44"/>
  <c r="GC103" i="44"/>
  <c r="GD102" i="44"/>
  <c r="GD104" i="44" s="1"/>
  <c r="GC102" i="44"/>
  <c r="GA101" i="44"/>
  <c r="BF31" i="45" s="1"/>
  <c r="FZ101" i="44"/>
  <c r="FY101" i="44"/>
  <c r="FX101" i="44"/>
  <c r="FW101" i="44"/>
  <c r="FV101" i="44"/>
  <c r="FU101" i="44"/>
  <c r="FS101" i="44"/>
  <c r="FR101" i="44"/>
  <c r="FR107" i="44" s="1"/>
  <c r="FQ101" i="44"/>
  <c r="BD31" i="45" s="1"/>
  <c r="FP101" i="44"/>
  <c r="FO101" i="44"/>
  <c r="FO105" i="44" s="1"/>
  <c r="FN101" i="44"/>
  <c r="FM101" i="44"/>
  <c r="FK101" i="44"/>
  <c r="FJ101" i="44"/>
  <c r="FI101" i="44"/>
  <c r="FH101" i="44"/>
  <c r="FG101" i="44"/>
  <c r="FF101" i="44"/>
  <c r="FF107" i="44" s="1"/>
  <c r="FE101" i="44"/>
  <c r="GD100" i="44"/>
  <c r="GC100" i="44"/>
  <c r="GC99" i="44"/>
  <c r="GD98" i="44"/>
  <c r="GC98" i="44"/>
  <c r="GC97" i="44"/>
  <c r="GC96" i="44"/>
  <c r="GC95" i="44"/>
  <c r="GC94" i="44"/>
  <c r="GC93" i="44"/>
  <c r="GB92" i="44"/>
  <c r="GA92" i="44"/>
  <c r="FZ92" i="44"/>
  <c r="FY92" i="44"/>
  <c r="FY105" i="44" s="1"/>
  <c r="FX92" i="44"/>
  <c r="FX105" i="44" s="1"/>
  <c r="FW92" i="44"/>
  <c r="FV92" i="44"/>
  <c r="FU92" i="44"/>
  <c r="FT92" i="44"/>
  <c r="FS92" i="44"/>
  <c r="FR92" i="44"/>
  <c r="FQ92" i="44"/>
  <c r="FP92" i="44"/>
  <c r="FO92" i="44"/>
  <c r="FN92" i="44"/>
  <c r="FM92" i="44"/>
  <c r="FL92" i="44"/>
  <c r="FK92" i="44"/>
  <c r="BB27" i="45" s="1"/>
  <c r="FJ92" i="44"/>
  <c r="FI92" i="44"/>
  <c r="FH92" i="44"/>
  <c r="FG92" i="44"/>
  <c r="FF92" i="44"/>
  <c r="FE92" i="44"/>
  <c r="GD91" i="44"/>
  <c r="GC91" i="44"/>
  <c r="GD90" i="44"/>
  <c r="GC90" i="44"/>
  <c r="GD89" i="44"/>
  <c r="GC89" i="44"/>
  <c r="GD88" i="44"/>
  <c r="GC88" i="44"/>
  <c r="GD87" i="44"/>
  <c r="GC87" i="44"/>
  <c r="GA85" i="44"/>
  <c r="FZ85" i="44"/>
  <c r="FY85" i="44"/>
  <c r="FX85" i="44"/>
  <c r="BG23" i="45" s="1"/>
  <c r="FW85" i="44"/>
  <c r="FV85" i="44"/>
  <c r="FU85" i="44"/>
  <c r="FT85" i="44"/>
  <c r="FS85" i="44"/>
  <c r="FR85" i="44"/>
  <c r="FQ85" i="44"/>
  <c r="FO85" i="44"/>
  <c r="FN85" i="44"/>
  <c r="FM85" i="44"/>
  <c r="FL85" i="44"/>
  <c r="FK85" i="44"/>
  <c r="BB23" i="45" s="1"/>
  <c r="FJ85" i="44"/>
  <c r="FI85" i="44"/>
  <c r="FH85" i="44"/>
  <c r="FG85" i="44"/>
  <c r="FF85" i="44"/>
  <c r="FE85" i="44"/>
  <c r="GD84" i="44"/>
  <c r="GC84" i="44"/>
  <c r="GD83" i="44"/>
  <c r="GC83" i="44"/>
  <c r="GD82" i="44"/>
  <c r="GC82" i="44"/>
  <c r="GD81" i="44"/>
  <c r="GC81" i="44"/>
  <c r="GD80" i="44"/>
  <c r="GC79" i="44"/>
  <c r="GD77" i="44"/>
  <c r="GC77" i="44"/>
  <c r="GD76" i="44"/>
  <c r="GC76" i="44"/>
  <c r="GB75" i="44"/>
  <c r="GA75" i="44"/>
  <c r="FZ75" i="44"/>
  <c r="FY75" i="44"/>
  <c r="FX75" i="44"/>
  <c r="FW75" i="44"/>
  <c r="FV75" i="44"/>
  <c r="BE19" i="45" s="1"/>
  <c r="BK81" i="30" s="1"/>
  <c r="FU75" i="44"/>
  <c r="BD19" i="45" s="1"/>
  <c r="FT75" i="44"/>
  <c r="FS75" i="44"/>
  <c r="FR75" i="44"/>
  <c r="FQ75" i="44"/>
  <c r="FP75" i="44"/>
  <c r="FO75" i="44"/>
  <c r="FN75" i="44"/>
  <c r="FM75" i="44"/>
  <c r="FL75" i="44"/>
  <c r="FK75" i="44"/>
  <c r="FJ75" i="44"/>
  <c r="FI75" i="44"/>
  <c r="AZ19" i="45" s="1"/>
  <c r="FH75" i="44"/>
  <c r="FG75" i="44"/>
  <c r="FF75" i="44"/>
  <c r="FE75" i="44"/>
  <c r="GD74" i="44"/>
  <c r="GC74" i="44"/>
  <c r="GD73" i="44"/>
  <c r="GC73" i="44"/>
  <c r="GD72" i="44"/>
  <c r="GC72" i="44"/>
  <c r="GD71" i="44"/>
  <c r="GC71" i="44"/>
  <c r="GC75" i="44" s="1"/>
  <c r="GD70" i="44"/>
  <c r="GC70" i="44"/>
  <c r="GD69" i="44"/>
  <c r="GC69" i="44"/>
  <c r="GB68" i="44"/>
  <c r="GA68" i="44"/>
  <c r="FZ68" i="44"/>
  <c r="FY68" i="44"/>
  <c r="FX68" i="44"/>
  <c r="BG15" i="45" s="1"/>
  <c r="FW68" i="44"/>
  <c r="BF15" i="45" s="1"/>
  <c r="FV68" i="44"/>
  <c r="FU68" i="44"/>
  <c r="BD15" i="45" s="1"/>
  <c r="FT68" i="44"/>
  <c r="FS68" i="44"/>
  <c r="FR68" i="44"/>
  <c r="FQ68" i="44"/>
  <c r="FO68" i="44"/>
  <c r="FN68" i="44"/>
  <c r="FM68" i="44"/>
  <c r="FL68" i="44"/>
  <c r="FK68" i="44"/>
  <c r="FJ68" i="44"/>
  <c r="FI68" i="44"/>
  <c r="FH68" i="44"/>
  <c r="FG68" i="44"/>
  <c r="FF68" i="44"/>
  <c r="FE68" i="44"/>
  <c r="GD67" i="44"/>
  <c r="GC67" i="44"/>
  <c r="GD66" i="44"/>
  <c r="GC66" i="44"/>
  <c r="GD65" i="44"/>
  <c r="GC65" i="44"/>
  <c r="GC64" i="44"/>
  <c r="GA62" i="44"/>
  <c r="FZ62" i="44"/>
  <c r="FY62" i="44"/>
  <c r="FX62" i="44"/>
  <c r="FW62" i="44"/>
  <c r="FV62" i="44"/>
  <c r="FU62" i="44"/>
  <c r="FS62" i="44"/>
  <c r="FR62" i="44"/>
  <c r="FQ62" i="44"/>
  <c r="FP62" i="44"/>
  <c r="FO62" i="44"/>
  <c r="FN62" i="44"/>
  <c r="FM62" i="44"/>
  <c r="FK62" i="44"/>
  <c r="FJ62" i="44"/>
  <c r="FI62" i="44"/>
  <c r="FH62" i="44"/>
  <c r="FG62" i="44"/>
  <c r="FF62" i="44"/>
  <c r="FE62" i="44"/>
  <c r="GD61" i="44"/>
  <c r="GC61" i="44"/>
  <c r="GC60" i="44"/>
  <c r="GD59" i="44"/>
  <c r="GC59" i="44"/>
  <c r="GD58" i="44"/>
  <c r="GC58" i="44"/>
  <c r="GD57" i="44"/>
  <c r="GC57" i="44"/>
  <c r="GC56" i="44"/>
  <c r="GC55" i="44"/>
  <c r="GD54" i="44"/>
  <c r="GC54" i="44"/>
  <c r="GC53" i="44"/>
  <c r="GD52" i="44"/>
  <c r="GC52" i="44"/>
  <c r="GC51" i="44"/>
  <c r="GC62" i="44" s="1"/>
  <c r="GD50" i="44"/>
  <c r="GC50" i="44"/>
  <c r="GD49" i="44"/>
  <c r="GC49" i="44"/>
  <c r="GC48" i="44"/>
  <c r="GA47" i="44"/>
  <c r="FZ47" i="44"/>
  <c r="FY47" i="44"/>
  <c r="FX47" i="44"/>
  <c r="FW47" i="44"/>
  <c r="FV47" i="44"/>
  <c r="FU47" i="44"/>
  <c r="FS47" i="44"/>
  <c r="FR47" i="44"/>
  <c r="FQ47" i="44"/>
  <c r="FP47" i="44"/>
  <c r="FO47" i="44"/>
  <c r="FN47" i="44"/>
  <c r="FM47" i="44"/>
  <c r="FK47" i="44"/>
  <c r="FJ47" i="44"/>
  <c r="FI47" i="44"/>
  <c r="FH47" i="44"/>
  <c r="FG47" i="44"/>
  <c r="AZ7" i="45" s="1"/>
  <c r="FF47" i="44"/>
  <c r="FE47" i="44"/>
  <c r="GC46" i="44"/>
  <c r="GD45" i="44"/>
  <c r="GC45" i="44"/>
  <c r="GC44" i="44"/>
  <c r="GC43" i="44"/>
  <c r="GC42" i="44"/>
  <c r="GC41" i="44"/>
  <c r="GC40" i="44"/>
  <c r="GB31" i="44"/>
  <c r="FZ31" i="44"/>
  <c r="FX31" i="44"/>
  <c r="FV31" i="44"/>
  <c r="FT31" i="44"/>
  <c r="FR31" i="44"/>
  <c r="FP31" i="44"/>
  <c r="FN31" i="44"/>
  <c r="FL31" i="44"/>
  <c r="FJ31" i="44"/>
  <c r="FH31" i="44"/>
  <c r="FF31" i="44"/>
  <c r="GD29" i="44"/>
  <c r="GC29" i="44"/>
  <c r="GD28" i="44"/>
  <c r="GC28" i="44"/>
  <c r="GD27" i="44"/>
  <c r="GC27" i="44"/>
  <c r="GD26" i="44"/>
  <c r="GC26" i="44"/>
  <c r="GD25" i="44"/>
  <c r="GC25" i="44"/>
  <c r="GD24" i="44"/>
  <c r="GC24" i="44"/>
  <c r="GD22" i="44"/>
  <c r="GC22" i="44"/>
  <c r="GD21" i="44"/>
  <c r="GC21" i="44"/>
  <c r="GD20" i="44"/>
  <c r="GC20" i="44"/>
  <c r="GD19" i="44"/>
  <c r="GC19" i="44"/>
  <c r="GD18" i="44"/>
  <c r="GC18" i="44"/>
  <c r="GD17" i="44"/>
  <c r="GC17" i="44"/>
  <c r="GD16" i="44"/>
  <c r="GD31" i="44" s="1"/>
  <c r="GC16" i="44"/>
  <c r="GD15" i="44"/>
  <c r="GC15" i="44"/>
  <c r="F19" i="3"/>
  <c r="G19" i="3" s="1"/>
  <c r="AA25" i="30"/>
  <c r="AK25" i="30" s="1"/>
  <c r="AU25" i="30" s="1"/>
  <c r="BE25" i="30" s="1"/>
  <c r="BO25" i="30" s="1"/>
  <c r="BY25" i="30" s="1"/>
  <c r="AA24" i="30"/>
  <c r="AK24" i="30" s="1"/>
  <c r="AU24" i="30" s="1"/>
  <c r="BE24" i="30" s="1"/>
  <c r="BO24" i="30" s="1"/>
  <c r="BY24" i="30" s="1"/>
  <c r="BW32" i="45"/>
  <c r="BY32" i="45" s="1"/>
  <c r="BW30" i="45"/>
  <c r="BY30" i="45" s="1"/>
  <c r="BW29" i="45"/>
  <c r="BY29" i="45" s="1"/>
  <c r="BW25" i="45"/>
  <c r="BY25" i="45" s="1"/>
  <c r="BW16" i="45"/>
  <c r="BY16" i="45" s="1"/>
  <c r="K39" i="45"/>
  <c r="AO36" i="45"/>
  <c r="AY36" i="45"/>
  <c r="FB104" i="44"/>
  <c r="FA104" i="44"/>
  <c r="EZ104" i="44"/>
  <c r="EY104" i="44"/>
  <c r="EX104" i="44"/>
  <c r="EW104" i="44"/>
  <c r="EV104" i="44"/>
  <c r="EU104" i="44"/>
  <c r="ET104" i="44"/>
  <c r="ES104" i="44"/>
  <c r="ER104" i="44"/>
  <c r="EQ104" i="44"/>
  <c r="EP104" i="44"/>
  <c r="EO104" i="44"/>
  <c r="EN104" i="44"/>
  <c r="EM104" i="44"/>
  <c r="EL104" i="44"/>
  <c r="EK104" i="44"/>
  <c r="EJ104" i="44"/>
  <c r="EI104" i="44"/>
  <c r="EH104" i="44"/>
  <c r="EG104" i="44"/>
  <c r="AP35" i="45" s="1"/>
  <c r="EF104" i="44"/>
  <c r="EE104" i="44"/>
  <c r="EB104" i="44"/>
  <c r="EA104" i="44"/>
  <c r="DZ104" i="44"/>
  <c r="DY104" i="44"/>
  <c r="DX104" i="44"/>
  <c r="DW104" i="44"/>
  <c r="DV104" i="44"/>
  <c r="AK35" i="45" s="1"/>
  <c r="DU104" i="44"/>
  <c r="DT104" i="44"/>
  <c r="AI35" i="45" s="1"/>
  <c r="DS104" i="44"/>
  <c r="DR104" i="44"/>
  <c r="DQ104" i="44"/>
  <c r="DP104" i="44"/>
  <c r="DO104" i="44"/>
  <c r="DN104" i="44"/>
  <c r="DM104" i="44"/>
  <c r="DL104" i="44"/>
  <c r="DK104" i="44"/>
  <c r="DK107" i="44" s="1"/>
  <c r="DJ104" i="44"/>
  <c r="DI104" i="44"/>
  <c r="DI107" i="44" s="1"/>
  <c r="DH104" i="44"/>
  <c r="DG104" i="44"/>
  <c r="AF35" i="45" s="1"/>
  <c r="DF104" i="44"/>
  <c r="DE104" i="44"/>
  <c r="DB104" i="44"/>
  <c r="DA104" i="44"/>
  <c r="CZ104" i="44"/>
  <c r="CY104" i="44"/>
  <c r="CX104" i="44"/>
  <c r="CW104" i="44"/>
  <c r="CV104" i="44"/>
  <c r="AA35" i="45" s="1"/>
  <c r="AG85" i="30" s="1"/>
  <c r="CU104" i="44"/>
  <c r="Z35" i="45" s="1"/>
  <c r="CT104" i="44"/>
  <c r="CS104" i="44"/>
  <c r="X35" i="45" s="1"/>
  <c r="CR104" i="44"/>
  <c r="CQ104" i="44"/>
  <c r="CP104" i="44"/>
  <c r="CO104" i="44"/>
  <c r="CN104" i="44"/>
  <c r="CM104" i="44"/>
  <c r="CL104" i="44"/>
  <c r="CK104" i="44"/>
  <c r="CK107" i="44" s="1"/>
  <c r="CJ104" i="44"/>
  <c r="CI104" i="44"/>
  <c r="CI107" i="44" s="1"/>
  <c r="CH104" i="44"/>
  <c r="CG104" i="44"/>
  <c r="V35" i="45" s="1"/>
  <c r="CF104" i="44"/>
  <c r="CE104" i="44"/>
  <c r="CB104" i="44"/>
  <c r="CA104" i="44"/>
  <c r="BZ104" i="44"/>
  <c r="BY104" i="44"/>
  <c r="BX104" i="44"/>
  <c r="BW104" i="44"/>
  <c r="BV104" i="44"/>
  <c r="BU104" i="44"/>
  <c r="BT104" i="44"/>
  <c r="BS104" i="44"/>
  <c r="BR104" i="44"/>
  <c r="BQ104" i="44"/>
  <c r="BP104" i="44"/>
  <c r="BO104" i="44"/>
  <c r="BN104" i="44"/>
  <c r="BM104" i="44"/>
  <c r="BL104" i="44"/>
  <c r="BK104" i="44"/>
  <c r="BJ104" i="44"/>
  <c r="BI104" i="44"/>
  <c r="BH104" i="44"/>
  <c r="BG104" i="44"/>
  <c r="L35" i="45" s="1"/>
  <c r="BF104" i="44"/>
  <c r="BE104" i="44"/>
  <c r="AT104" i="44"/>
  <c r="AS104" i="44"/>
  <c r="AR104" i="44"/>
  <c r="AQ104" i="44"/>
  <c r="AP104" i="44"/>
  <c r="AO104" i="44"/>
  <c r="AN104" i="44"/>
  <c r="AM104" i="44"/>
  <c r="AM107" i="44" s="1"/>
  <c r="AL104" i="44"/>
  <c r="AK104" i="44"/>
  <c r="AK107" i="44" s="1"/>
  <c r="AJ104" i="44"/>
  <c r="AI104" i="44"/>
  <c r="AH104" i="44"/>
  <c r="AG104" i="44"/>
  <c r="AF104" i="44"/>
  <c r="CA86" i="30"/>
  <c r="AY30" i="45"/>
  <c r="AX30" i="45"/>
  <c r="AY29" i="45"/>
  <c r="AX29" i="45"/>
  <c r="AY28" i="45"/>
  <c r="AX28" i="45"/>
  <c r="AY26" i="45"/>
  <c r="AX26" i="45"/>
  <c r="AY25" i="45"/>
  <c r="AX25" i="45"/>
  <c r="AY24" i="45"/>
  <c r="AX24" i="45"/>
  <c r="AY22" i="45"/>
  <c r="AX22" i="45"/>
  <c r="AY21" i="45"/>
  <c r="AX21" i="45"/>
  <c r="AY20" i="45"/>
  <c r="AX20" i="45"/>
  <c r="AY18" i="45"/>
  <c r="AX18" i="45"/>
  <c r="AY17" i="45"/>
  <c r="AX17" i="45"/>
  <c r="AY16" i="45"/>
  <c r="AX16" i="45"/>
  <c r="AY14" i="45"/>
  <c r="AX14" i="45"/>
  <c r="AY13" i="45"/>
  <c r="BU13" i="45" s="1"/>
  <c r="AX13" i="45"/>
  <c r="AY12" i="45"/>
  <c r="AX12" i="45"/>
  <c r="AN30" i="45"/>
  <c r="AN29" i="45"/>
  <c r="AN28" i="45"/>
  <c r="AN26" i="45"/>
  <c r="AN25" i="45"/>
  <c r="AN24" i="45"/>
  <c r="AN22" i="45"/>
  <c r="AN21" i="45"/>
  <c r="AN20" i="45"/>
  <c r="AN18" i="45"/>
  <c r="AN17" i="45"/>
  <c r="AN16" i="45"/>
  <c r="AN14" i="45"/>
  <c r="AN13" i="45"/>
  <c r="AN12" i="45"/>
  <c r="AO30" i="45"/>
  <c r="AO29" i="45"/>
  <c r="AO28" i="45"/>
  <c r="AO26" i="45"/>
  <c r="AO25" i="45"/>
  <c r="AO24" i="45"/>
  <c r="AO22" i="45"/>
  <c r="AO21" i="45"/>
  <c r="AO20" i="45"/>
  <c r="AO18" i="45"/>
  <c r="AO17" i="45"/>
  <c r="AO16" i="45"/>
  <c r="AO14" i="45"/>
  <c r="AO13" i="45"/>
  <c r="AO12" i="45"/>
  <c r="J14" i="45"/>
  <c r="J13" i="45"/>
  <c r="J12" i="45"/>
  <c r="J10" i="45"/>
  <c r="J9" i="45"/>
  <c r="J8" i="45"/>
  <c r="F30" i="45"/>
  <c r="F29" i="45"/>
  <c r="F28" i="45"/>
  <c r="F26" i="45"/>
  <c r="F25" i="45"/>
  <c r="F24" i="45"/>
  <c r="F22" i="45"/>
  <c r="F21" i="45"/>
  <c r="F20" i="45"/>
  <c r="F18" i="45"/>
  <c r="F17" i="45"/>
  <c r="F16" i="45"/>
  <c r="D30" i="45"/>
  <c r="D29" i="45"/>
  <c r="D28" i="45"/>
  <c r="D26" i="45"/>
  <c r="D25" i="45"/>
  <c r="D24" i="45"/>
  <c r="D22" i="45"/>
  <c r="D21" i="45"/>
  <c r="D20" i="45"/>
  <c r="D18" i="45"/>
  <c r="D17" i="45"/>
  <c r="D16" i="45"/>
  <c r="J34" i="45"/>
  <c r="B30" i="45"/>
  <c r="B29" i="45"/>
  <c r="B28" i="45"/>
  <c r="B26" i="45"/>
  <c r="B25" i="45"/>
  <c r="B24" i="45"/>
  <c r="B22" i="45"/>
  <c r="B21" i="45"/>
  <c r="B20" i="45"/>
  <c r="B18" i="45"/>
  <c r="B17" i="45"/>
  <c r="B16" i="45"/>
  <c r="BB82" i="44"/>
  <c r="BD82" i="44" s="1"/>
  <c r="BB99" i="44"/>
  <c r="BB101" i="44" s="1"/>
  <c r="AN91" i="44"/>
  <c r="AT99" i="44"/>
  <c r="AT97" i="44"/>
  <c r="ED78" i="44"/>
  <c r="ED54" i="44"/>
  <c r="DD81" i="44"/>
  <c r="CN75" i="44"/>
  <c r="CB46" i="44"/>
  <c r="CB47" i="44" s="1"/>
  <c r="CB50" i="44"/>
  <c r="CB52" i="44"/>
  <c r="CB59" i="44"/>
  <c r="CB58" i="44"/>
  <c r="CB57" i="44"/>
  <c r="CD57" i="44" s="1"/>
  <c r="CB64" i="44"/>
  <c r="CD64" i="44" s="1"/>
  <c r="CB66" i="44"/>
  <c r="CB80" i="44"/>
  <c r="CB79" i="44"/>
  <c r="CB99" i="44"/>
  <c r="CB101" i="44" s="1"/>
  <c r="BT99" i="44"/>
  <c r="BT97" i="44"/>
  <c r="BT101" i="44" s="1"/>
  <c r="BT61" i="44"/>
  <c r="CD61" i="44" s="1"/>
  <c r="BT59" i="44"/>
  <c r="BT58" i="44"/>
  <c r="BT53" i="44"/>
  <c r="BT52" i="44"/>
  <c r="BT46" i="44"/>
  <c r="BT47" i="44" s="1"/>
  <c r="BP66" i="44"/>
  <c r="BP65" i="44"/>
  <c r="CD65" i="44" s="1"/>
  <c r="BP80" i="44"/>
  <c r="BP79" i="44"/>
  <c r="CD79" i="44" s="1"/>
  <c r="BL46" i="44"/>
  <c r="BL47" i="44" s="1"/>
  <c r="BL97" i="44"/>
  <c r="BL99" i="44"/>
  <c r="CD99" i="44" s="1"/>
  <c r="BB80" i="44"/>
  <c r="BB85" i="44" s="1"/>
  <c r="BB46" i="44"/>
  <c r="BB47" i="44" s="1"/>
  <c r="AZ72" i="44"/>
  <c r="AT46" i="44"/>
  <c r="AR72" i="44"/>
  <c r="AP65" i="44"/>
  <c r="AP68" i="44" s="1"/>
  <c r="AP80" i="44"/>
  <c r="AP83" i="44"/>
  <c r="BD83" i="44" s="1"/>
  <c r="AP84" i="44"/>
  <c r="BD84" i="44" s="1"/>
  <c r="AL97" i="44"/>
  <c r="AL101" i="44" s="1"/>
  <c r="AH77" i="44"/>
  <c r="AH85" i="44" s="1"/>
  <c r="C23" i="45" s="1"/>
  <c r="K82" i="30" s="1"/>
  <c r="AE104" i="44"/>
  <c r="BA101" i="44"/>
  <c r="AZ101" i="44"/>
  <c r="AY101" i="44"/>
  <c r="AX101" i="44"/>
  <c r="AW101" i="44"/>
  <c r="AV101" i="44"/>
  <c r="AU101" i="44"/>
  <c r="AS101" i="44"/>
  <c r="AR101" i="44"/>
  <c r="AQ101" i="44"/>
  <c r="AP101" i="44"/>
  <c r="AO101" i="44"/>
  <c r="AO105" i="44" s="1"/>
  <c r="AN101" i="44"/>
  <c r="AM101" i="44"/>
  <c r="AK101" i="44"/>
  <c r="AJ101" i="44"/>
  <c r="AI101" i="44"/>
  <c r="AH101" i="44"/>
  <c r="AG101" i="44"/>
  <c r="AF101" i="44"/>
  <c r="AF105" i="44" s="1"/>
  <c r="AE101" i="44"/>
  <c r="B31" i="45" s="1"/>
  <c r="FB92" i="44"/>
  <c r="FA92" i="44"/>
  <c r="EZ92" i="44"/>
  <c r="EY92" i="44"/>
  <c r="EX92" i="44"/>
  <c r="EW92" i="44"/>
  <c r="EU92" i="44"/>
  <c r="ET92" i="44"/>
  <c r="ES92" i="44"/>
  <c r="ER92" i="44"/>
  <c r="EQ92" i="44"/>
  <c r="AT27" i="45" s="1"/>
  <c r="EP92" i="44"/>
  <c r="EO92" i="44"/>
  <c r="EM92" i="44"/>
  <c r="EL92" i="44"/>
  <c r="EK92" i="44"/>
  <c r="EJ92" i="44"/>
  <c r="EI92" i="44"/>
  <c r="EH92" i="44"/>
  <c r="EG92" i="44"/>
  <c r="EE92" i="44"/>
  <c r="DZ92" i="44"/>
  <c r="DY92" i="44"/>
  <c r="DX92" i="44"/>
  <c r="DW92" i="44"/>
  <c r="DU92" i="44"/>
  <c r="AJ27" i="45" s="1"/>
  <c r="DS92" i="44"/>
  <c r="AH27" i="45" s="1"/>
  <c r="DR92" i="44"/>
  <c r="DQ92" i="44"/>
  <c r="DP92" i="44"/>
  <c r="DO92" i="44"/>
  <c r="DM92" i="44"/>
  <c r="DL92" i="44"/>
  <c r="DK92" i="44"/>
  <c r="DJ92" i="44"/>
  <c r="DI92" i="44"/>
  <c r="DH92" i="44"/>
  <c r="DG92" i="44"/>
  <c r="DE92" i="44"/>
  <c r="AF27" i="45" s="1"/>
  <c r="DB92" i="44"/>
  <c r="DA92" i="44"/>
  <c r="CZ92" i="44"/>
  <c r="CY92" i="44"/>
  <c r="CX92" i="44"/>
  <c r="CW92" i="44"/>
  <c r="CU92" i="44"/>
  <c r="CT92" i="44"/>
  <c r="CS92" i="44"/>
  <c r="CR92" i="44"/>
  <c r="CQ92" i="44"/>
  <c r="CP92" i="44"/>
  <c r="CO92" i="44"/>
  <c r="CM92" i="44"/>
  <c r="CL92" i="44"/>
  <c r="CK92" i="44"/>
  <c r="CJ92" i="44"/>
  <c r="CI92" i="44"/>
  <c r="CH92" i="44"/>
  <c r="CG92" i="44"/>
  <c r="CE92" i="44"/>
  <c r="CB92" i="44"/>
  <c r="CA92" i="44"/>
  <c r="P27" i="45" s="1"/>
  <c r="BZ92" i="44"/>
  <c r="BY92" i="44"/>
  <c r="BX92" i="44"/>
  <c r="BW92" i="44"/>
  <c r="BU92" i="44"/>
  <c r="BT92" i="44"/>
  <c r="BS92" i="44"/>
  <c r="BR92" i="44"/>
  <c r="BQ92" i="44"/>
  <c r="BP92" i="44"/>
  <c r="BO92" i="44"/>
  <c r="BM92" i="44"/>
  <c r="N27" i="45" s="1"/>
  <c r="BL92" i="44"/>
  <c r="BK92" i="44"/>
  <c r="L27" i="45" s="1"/>
  <c r="BJ92" i="44"/>
  <c r="BI92" i="44"/>
  <c r="BH92" i="44"/>
  <c r="BG92" i="44"/>
  <c r="BE92" i="44"/>
  <c r="BB92" i="44"/>
  <c r="BA92" i="44"/>
  <c r="AZ92" i="44"/>
  <c r="AY92" i="44"/>
  <c r="AX92" i="44"/>
  <c r="AW92" i="44"/>
  <c r="AW105" i="44" s="1"/>
  <c r="AU92" i="44"/>
  <c r="AT92" i="44"/>
  <c r="AS92" i="44"/>
  <c r="AR92" i="44"/>
  <c r="AQ92" i="44"/>
  <c r="AP92" i="44"/>
  <c r="AO92" i="44"/>
  <c r="AM92" i="44"/>
  <c r="AL92" i="44"/>
  <c r="AK92" i="44"/>
  <c r="AJ92" i="44"/>
  <c r="AJ105" i="44" s="1"/>
  <c r="AI92" i="44"/>
  <c r="AI107" i="44" s="1"/>
  <c r="AH92" i="44"/>
  <c r="AG92" i="44"/>
  <c r="AE92" i="44"/>
  <c r="FA85" i="44"/>
  <c r="EZ85" i="44"/>
  <c r="EY85" i="44"/>
  <c r="EX85" i="44"/>
  <c r="EW85" i="44"/>
  <c r="AV23" i="45" s="1"/>
  <c r="EV85" i="44"/>
  <c r="EU85" i="44"/>
  <c r="EU105" i="44" s="1"/>
  <c r="ET85" i="44"/>
  <c r="ES85" i="44"/>
  <c r="AT23" i="45" s="1"/>
  <c r="ER85" i="44"/>
  <c r="EQ85" i="44"/>
  <c r="EO85" i="44"/>
  <c r="EN85" i="44"/>
  <c r="EM85" i="44"/>
  <c r="EL85" i="44"/>
  <c r="EK85" i="44"/>
  <c r="EJ85" i="44"/>
  <c r="EI85" i="44"/>
  <c r="EH85" i="44"/>
  <c r="EG85" i="44"/>
  <c r="EF85" i="44"/>
  <c r="AQ23" i="45" s="1"/>
  <c r="AW82" i="30" s="1"/>
  <c r="EE85" i="44"/>
  <c r="DZ85" i="44"/>
  <c r="DY85" i="44"/>
  <c r="DX85" i="44"/>
  <c r="DW85" i="44"/>
  <c r="DV85" i="44"/>
  <c r="DU85" i="44"/>
  <c r="DS85" i="44"/>
  <c r="DR85" i="44"/>
  <c r="DQ85" i="44"/>
  <c r="DQ107" i="44" s="1"/>
  <c r="DO85" i="44"/>
  <c r="DO105" i="44" s="1"/>
  <c r="DN85" i="44"/>
  <c r="DM85" i="44"/>
  <c r="DL85" i="44"/>
  <c r="DK85" i="44"/>
  <c r="DJ85" i="44"/>
  <c r="DI85" i="44"/>
  <c r="DH85" i="44"/>
  <c r="DG85" i="44"/>
  <c r="DF85" i="44"/>
  <c r="AG23" i="45" s="1"/>
  <c r="AM82" i="30" s="1"/>
  <c r="DE85" i="44"/>
  <c r="AF23" i="45" s="1"/>
  <c r="DA85" i="44"/>
  <c r="CZ85" i="44"/>
  <c r="CZ107" i="44" s="1"/>
  <c r="CY85" i="44"/>
  <c r="CX85" i="44"/>
  <c r="CW85" i="44"/>
  <c r="CV85" i="44"/>
  <c r="CU85" i="44"/>
  <c r="CT85" i="44"/>
  <c r="CS85" i="44"/>
  <c r="CR85" i="44"/>
  <c r="CQ85" i="44"/>
  <c r="CO85" i="44"/>
  <c r="CO105" i="44" s="1"/>
  <c r="CN85" i="44"/>
  <c r="CM85" i="44"/>
  <c r="CL85" i="44"/>
  <c r="CK85" i="44"/>
  <c r="CJ85" i="44"/>
  <c r="CI85" i="44"/>
  <c r="CH85" i="44"/>
  <c r="CG85" i="44"/>
  <c r="CF85" i="44"/>
  <c r="CE85" i="44"/>
  <c r="CA85" i="44"/>
  <c r="BZ85" i="44"/>
  <c r="BY85" i="44"/>
  <c r="BX85" i="44"/>
  <c r="BW85" i="44"/>
  <c r="P23" i="45" s="1"/>
  <c r="BV85" i="44"/>
  <c r="BU85" i="44"/>
  <c r="BT85" i="44"/>
  <c r="BS85" i="44"/>
  <c r="BR85" i="44"/>
  <c r="BQ85" i="44"/>
  <c r="BO85" i="44"/>
  <c r="BN85" i="44"/>
  <c r="BM85" i="44"/>
  <c r="N23" i="45" s="1"/>
  <c r="BL85" i="44"/>
  <c r="BK85" i="44"/>
  <c r="L23" i="45" s="1"/>
  <c r="BJ85" i="44"/>
  <c r="BI85" i="44"/>
  <c r="BH85" i="44"/>
  <c r="BG85" i="44"/>
  <c r="BF85" i="44"/>
  <c r="BE85" i="44"/>
  <c r="BA85" i="44"/>
  <c r="AZ85" i="44"/>
  <c r="AY85" i="44"/>
  <c r="AX85" i="44"/>
  <c r="AW85" i="44"/>
  <c r="AV85" i="44"/>
  <c r="AU85" i="44"/>
  <c r="F23" i="45" s="1"/>
  <c r="AT85" i="44"/>
  <c r="AS85" i="44"/>
  <c r="AR85" i="44"/>
  <c r="AQ85" i="44"/>
  <c r="AO85" i="44"/>
  <c r="AN85" i="44"/>
  <c r="AM85" i="44"/>
  <c r="AL85" i="44"/>
  <c r="AK85" i="44"/>
  <c r="AJ85" i="44"/>
  <c r="AI85" i="44"/>
  <c r="AG85" i="44"/>
  <c r="B23" i="45" s="1"/>
  <c r="AF85" i="44"/>
  <c r="AE85" i="44"/>
  <c r="FB75" i="44"/>
  <c r="FA75" i="44"/>
  <c r="EZ75" i="44"/>
  <c r="EY75" i="44"/>
  <c r="EX75" i="44"/>
  <c r="EW75" i="44"/>
  <c r="AV19" i="45" s="1"/>
  <c r="EV75" i="44"/>
  <c r="EU75" i="44"/>
  <c r="ET75" i="44"/>
  <c r="ES75" i="44"/>
  <c r="ER75" i="44"/>
  <c r="EQ75" i="44"/>
  <c r="EP75" i="44"/>
  <c r="EO75" i="44"/>
  <c r="EM75" i="44"/>
  <c r="EL75" i="44"/>
  <c r="EK75" i="44"/>
  <c r="EI75" i="44"/>
  <c r="EH75" i="44"/>
  <c r="EG75" i="44"/>
  <c r="EF75" i="44"/>
  <c r="EE75" i="44"/>
  <c r="AP19" i="45" s="1"/>
  <c r="DZ75" i="44"/>
  <c r="DY75" i="44"/>
  <c r="DX75" i="44"/>
  <c r="DW75" i="44"/>
  <c r="DV75" i="44"/>
  <c r="DU75" i="44"/>
  <c r="DS75" i="44"/>
  <c r="DR75" i="44"/>
  <c r="DQ75" i="44"/>
  <c r="DP75" i="44"/>
  <c r="DO75" i="44"/>
  <c r="DM75" i="44"/>
  <c r="AH19" i="45" s="1"/>
  <c r="DL75" i="44"/>
  <c r="DK75" i="44"/>
  <c r="DI75" i="44"/>
  <c r="DG75" i="44"/>
  <c r="DF75" i="44"/>
  <c r="DE75" i="44"/>
  <c r="DB75" i="44"/>
  <c r="DA75" i="44"/>
  <c r="CY75" i="44"/>
  <c r="CX75" i="44"/>
  <c r="CX107" i="44" s="1"/>
  <c r="CW75" i="44"/>
  <c r="CV75" i="44"/>
  <c r="AA19" i="45" s="1"/>
  <c r="AG81" i="30" s="1"/>
  <c r="CU75" i="44"/>
  <c r="CT75" i="44"/>
  <c r="CS75" i="44"/>
  <c r="CQ75" i="44"/>
  <c r="CP75" i="44"/>
  <c r="CO75" i="44"/>
  <c r="CM75" i="44"/>
  <c r="CL75" i="44"/>
  <c r="CK75" i="44"/>
  <c r="CI75" i="44"/>
  <c r="CI105" i="44" s="1"/>
  <c r="CH75" i="44"/>
  <c r="CH105" i="44" s="1"/>
  <c r="CG75" i="44"/>
  <c r="V19" i="45" s="1"/>
  <c r="CF75" i="44"/>
  <c r="CE75" i="44"/>
  <c r="CB75" i="44"/>
  <c r="CA75" i="44"/>
  <c r="BZ75" i="44"/>
  <c r="BY75" i="44"/>
  <c r="BX75" i="44"/>
  <c r="BW75" i="44"/>
  <c r="BV75" i="44"/>
  <c r="BU75" i="44"/>
  <c r="BT75" i="44"/>
  <c r="BS75" i="44"/>
  <c r="BR75" i="44"/>
  <c r="BQ75" i="44"/>
  <c r="BP75" i="44"/>
  <c r="BO75" i="44"/>
  <c r="BN75" i="44"/>
  <c r="BM75" i="44"/>
  <c r="BL75" i="44"/>
  <c r="BK75" i="44"/>
  <c r="BJ75" i="44"/>
  <c r="BI75" i="44"/>
  <c r="BH75" i="44"/>
  <c r="BH105" i="44" s="1"/>
  <c r="BG75" i="44"/>
  <c r="BF75" i="44"/>
  <c r="BE75" i="44"/>
  <c r="BB75" i="44"/>
  <c r="BA75" i="44"/>
  <c r="AY75" i="44"/>
  <c r="AX75" i="44"/>
  <c r="AW75" i="44"/>
  <c r="AV75" i="44"/>
  <c r="AU75" i="44"/>
  <c r="F19" i="45" s="1"/>
  <c r="AT75" i="44"/>
  <c r="AS75" i="44"/>
  <c r="AS105" i="44" s="1"/>
  <c r="AQ75" i="44"/>
  <c r="D19" i="45" s="1"/>
  <c r="AP75" i="44"/>
  <c r="AO75" i="44"/>
  <c r="AN75" i="44"/>
  <c r="AM75" i="44"/>
  <c r="AL75" i="44"/>
  <c r="AK75" i="44"/>
  <c r="AJ75" i="44"/>
  <c r="AI75" i="44"/>
  <c r="AH75" i="44"/>
  <c r="AG75" i="44"/>
  <c r="AF75" i="44"/>
  <c r="C19" i="45" s="1"/>
  <c r="AE75" i="44"/>
  <c r="B19" i="45" s="1"/>
  <c r="FB68" i="44"/>
  <c r="AW15" i="45" s="1"/>
  <c r="FA68" i="44"/>
  <c r="EZ68" i="44"/>
  <c r="EY68" i="44"/>
  <c r="EX68" i="44"/>
  <c r="EW68" i="44"/>
  <c r="EV68" i="44"/>
  <c r="EU68" i="44"/>
  <c r="ET68" i="44"/>
  <c r="ES68" i="44"/>
  <c r="ER68" i="44"/>
  <c r="AU15" i="45" s="1"/>
  <c r="BA80" i="30" s="1"/>
  <c r="EQ68" i="44"/>
  <c r="EQ105" i="44" s="1"/>
  <c r="EO68" i="44"/>
  <c r="EN68" i="44"/>
  <c r="EM68" i="44"/>
  <c r="EL68" i="44"/>
  <c r="EK68" i="44"/>
  <c r="EJ68" i="44"/>
  <c r="EI68" i="44"/>
  <c r="EH68" i="44"/>
  <c r="EG68" i="44"/>
  <c r="EF68" i="44"/>
  <c r="AQ15" i="45" s="1"/>
  <c r="EE68" i="44"/>
  <c r="AP15" i="45" s="1"/>
  <c r="AW80" i="30" s="1"/>
  <c r="DZ68" i="44"/>
  <c r="AK15" i="45" s="1"/>
  <c r="AQ80" i="30" s="1"/>
  <c r="DY68" i="44"/>
  <c r="DX68" i="44"/>
  <c r="DW68" i="44"/>
  <c r="DV68" i="44"/>
  <c r="DU68" i="44"/>
  <c r="DS68" i="44"/>
  <c r="DR68" i="44"/>
  <c r="DQ68" i="44"/>
  <c r="DO68" i="44"/>
  <c r="DN68" i="44"/>
  <c r="DM68" i="44"/>
  <c r="AH15" i="45" s="1"/>
  <c r="DL68" i="44"/>
  <c r="DK68" i="44"/>
  <c r="DJ68" i="44"/>
  <c r="DI68" i="44"/>
  <c r="DH68" i="44"/>
  <c r="DG68" i="44"/>
  <c r="DF68" i="44"/>
  <c r="DE68" i="44"/>
  <c r="DA68" i="44"/>
  <c r="CZ68" i="44"/>
  <c r="CY68" i="44"/>
  <c r="CX68" i="44"/>
  <c r="CX105" i="44" s="1"/>
  <c r="CW68" i="44"/>
  <c r="Z15" i="45" s="1"/>
  <c r="CV68" i="44"/>
  <c r="CU68" i="44"/>
  <c r="CT68" i="44"/>
  <c r="CS68" i="44"/>
  <c r="CR68" i="44"/>
  <c r="CQ68" i="44"/>
  <c r="CO68" i="44"/>
  <c r="CN68" i="44"/>
  <c r="Y15" i="45" s="1"/>
  <c r="AE80" i="30" s="1"/>
  <c r="CM68" i="44"/>
  <c r="X15" i="45" s="1"/>
  <c r="CL68" i="44"/>
  <c r="CK68" i="44"/>
  <c r="CJ68" i="44"/>
  <c r="W15" i="45" s="1"/>
  <c r="AC80" i="30" s="1"/>
  <c r="CI68" i="44"/>
  <c r="CH68" i="44"/>
  <c r="CG68" i="44"/>
  <c r="CF68" i="44"/>
  <c r="CE68" i="44"/>
  <c r="CA68" i="44"/>
  <c r="BZ68" i="44"/>
  <c r="BY68" i="44"/>
  <c r="BX68" i="44"/>
  <c r="BW68" i="44"/>
  <c r="BV68" i="44"/>
  <c r="BU68" i="44"/>
  <c r="P15" i="45" s="1"/>
  <c r="BT68" i="44"/>
  <c r="BS68" i="44"/>
  <c r="BR68" i="44"/>
  <c r="BQ68" i="44"/>
  <c r="BO68" i="44"/>
  <c r="BN68" i="44"/>
  <c r="BM68" i="44"/>
  <c r="BL68" i="44"/>
  <c r="BK68" i="44"/>
  <c r="BI68" i="44"/>
  <c r="BH68" i="44"/>
  <c r="BG68" i="44"/>
  <c r="L15" i="45" s="1"/>
  <c r="BF68" i="44"/>
  <c r="BE68" i="44"/>
  <c r="BA68" i="44"/>
  <c r="AZ68" i="44"/>
  <c r="AY68" i="44"/>
  <c r="AX68" i="44"/>
  <c r="AW68" i="44"/>
  <c r="AV68" i="44"/>
  <c r="AU68" i="44"/>
  <c r="F15" i="45" s="1"/>
  <c r="AT68" i="44"/>
  <c r="AS68" i="44"/>
  <c r="D15" i="45" s="1"/>
  <c r="AR68" i="44"/>
  <c r="AQ68" i="44"/>
  <c r="AO68" i="44"/>
  <c r="AN68" i="44"/>
  <c r="AM68" i="44"/>
  <c r="AL68" i="44"/>
  <c r="AK68" i="44"/>
  <c r="AJ68" i="44"/>
  <c r="AI68" i="44"/>
  <c r="AH68" i="44"/>
  <c r="AG68" i="44"/>
  <c r="AF68" i="44"/>
  <c r="C15" i="45" s="1"/>
  <c r="K80" i="30" s="1"/>
  <c r="AE68" i="44"/>
  <c r="B15" i="45" s="1"/>
  <c r="FA62" i="44"/>
  <c r="EZ62" i="44"/>
  <c r="EY62" i="44"/>
  <c r="EX62" i="44"/>
  <c r="EW62" i="44"/>
  <c r="EV62" i="44"/>
  <c r="EU62" i="44"/>
  <c r="ES62" i="44"/>
  <c r="ER62" i="44"/>
  <c r="EQ62" i="44"/>
  <c r="AT11" i="45" s="1"/>
  <c r="EP62" i="44"/>
  <c r="EO62" i="44"/>
  <c r="AR11" i="45" s="1"/>
  <c r="EN62" i="44"/>
  <c r="EM62" i="44"/>
  <c r="EK62" i="44"/>
  <c r="EJ62" i="44"/>
  <c r="EI62" i="44"/>
  <c r="EH62" i="44"/>
  <c r="EG62" i="44"/>
  <c r="EF62" i="44"/>
  <c r="AQ11" i="45" s="1"/>
  <c r="AW79" i="30" s="1"/>
  <c r="EE62" i="44"/>
  <c r="DZ62" i="44"/>
  <c r="DY62" i="44"/>
  <c r="DW62" i="44"/>
  <c r="DU62" i="44"/>
  <c r="DS62" i="44"/>
  <c r="DQ62" i="44"/>
  <c r="DO62" i="44"/>
  <c r="DM62" i="44"/>
  <c r="DK62" i="44"/>
  <c r="DI62" i="44"/>
  <c r="DH62" i="44"/>
  <c r="DG62" i="44"/>
  <c r="DF62" i="44"/>
  <c r="DE62" i="44"/>
  <c r="DA62" i="44"/>
  <c r="Z11" i="45" s="1"/>
  <c r="CZ62" i="44"/>
  <c r="CY62" i="44"/>
  <c r="CX62" i="44"/>
  <c r="CW62" i="44"/>
  <c r="CV62" i="44"/>
  <c r="CU62" i="44"/>
  <c r="CS62" i="44"/>
  <c r="CR62" i="44"/>
  <c r="CQ62" i="44"/>
  <c r="CP62" i="44"/>
  <c r="CO62" i="44"/>
  <c r="CN62" i="44"/>
  <c r="CM62" i="44"/>
  <c r="CK62" i="44"/>
  <c r="CJ62" i="44"/>
  <c r="CI62" i="44"/>
  <c r="CH62" i="44"/>
  <c r="CG62" i="44"/>
  <c r="CF62" i="44"/>
  <c r="CE62" i="44"/>
  <c r="V11" i="45" s="1"/>
  <c r="CA62" i="44"/>
  <c r="BZ62" i="44"/>
  <c r="BY62" i="44"/>
  <c r="P11" i="45" s="1"/>
  <c r="BX62" i="44"/>
  <c r="BX105" i="44" s="1"/>
  <c r="BW62" i="44"/>
  <c r="BV62" i="44"/>
  <c r="BU62" i="44"/>
  <c r="BS62" i="44"/>
  <c r="BR62" i="44"/>
  <c r="BQ62" i="44"/>
  <c r="BP62" i="44"/>
  <c r="BO62" i="44"/>
  <c r="BN62" i="44"/>
  <c r="BM62" i="44"/>
  <c r="BL62" i="44"/>
  <c r="BK62" i="44"/>
  <c r="L11" i="45" s="1"/>
  <c r="BJ62" i="44"/>
  <c r="BI62" i="44"/>
  <c r="BH62" i="44"/>
  <c r="BG62" i="44"/>
  <c r="BF62" i="44"/>
  <c r="BE62" i="44"/>
  <c r="BA62" i="44"/>
  <c r="AZ62" i="44"/>
  <c r="AY62" i="44"/>
  <c r="AX62" i="44"/>
  <c r="AW62" i="44"/>
  <c r="AV62" i="44"/>
  <c r="AU62" i="44"/>
  <c r="AS62" i="44"/>
  <c r="AR62" i="44"/>
  <c r="AQ62" i="44"/>
  <c r="AP62" i="44"/>
  <c r="AO62" i="44"/>
  <c r="AN62" i="44"/>
  <c r="AM62" i="44"/>
  <c r="D11" i="45" s="1"/>
  <c r="AK62" i="44"/>
  <c r="AJ62" i="44"/>
  <c r="AI62" i="44"/>
  <c r="B11" i="45" s="1"/>
  <c r="AH62" i="44"/>
  <c r="AG62" i="44"/>
  <c r="AF62" i="44"/>
  <c r="AE62" i="44"/>
  <c r="FA47" i="44"/>
  <c r="EZ47" i="44"/>
  <c r="EY47" i="44"/>
  <c r="EX47" i="44"/>
  <c r="EW47" i="44"/>
  <c r="EV47" i="44"/>
  <c r="EU47" i="44"/>
  <c r="ES47" i="44"/>
  <c r="ER47" i="44"/>
  <c r="AU7" i="45" s="1"/>
  <c r="BA78" i="30" s="1"/>
  <c r="EQ47" i="44"/>
  <c r="EP47" i="44"/>
  <c r="EO47" i="44"/>
  <c r="EN47" i="44"/>
  <c r="EM47" i="44"/>
  <c r="EK47" i="44"/>
  <c r="EJ47" i="44"/>
  <c r="EI47" i="44"/>
  <c r="EH47" i="44"/>
  <c r="EG47" i="44"/>
  <c r="EF47" i="44"/>
  <c r="AQ7" i="45" s="1"/>
  <c r="AW78" i="30" s="1"/>
  <c r="EE47" i="44"/>
  <c r="DZ47" i="44"/>
  <c r="DY47" i="44"/>
  <c r="DX47" i="44"/>
  <c r="DW47" i="44"/>
  <c r="DV47" i="44"/>
  <c r="DU47" i="44"/>
  <c r="DS47" i="44"/>
  <c r="DR47" i="44"/>
  <c r="DQ47" i="44"/>
  <c r="DP47" i="44"/>
  <c r="DO47" i="44"/>
  <c r="DN47" i="44"/>
  <c r="DM47" i="44"/>
  <c r="DK47" i="44"/>
  <c r="DJ47" i="44"/>
  <c r="DI47" i="44"/>
  <c r="DH47" i="44"/>
  <c r="DG47" i="44"/>
  <c r="DF47" i="44"/>
  <c r="DE47" i="44"/>
  <c r="AF7" i="45" s="1"/>
  <c r="DA47" i="44"/>
  <c r="CZ47" i="44"/>
  <c r="CY47" i="44"/>
  <c r="CW47" i="44"/>
  <c r="Z7" i="45" s="1"/>
  <c r="CU47" i="44"/>
  <c r="CS47" i="44"/>
  <c r="CR47" i="44"/>
  <c r="CQ47" i="44"/>
  <c r="CO47" i="44"/>
  <c r="CN47" i="44"/>
  <c r="CM47" i="44"/>
  <c r="CK47" i="44"/>
  <c r="CI47" i="44"/>
  <c r="CH47" i="44"/>
  <c r="CG47" i="44"/>
  <c r="CF47" i="44"/>
  <c r="CE47" i="44"/>
  <c r="CA47" i="44"/>
  <c r="BZ47" i="44"/>
  <c r="BY47" i="44"/>
  <c r="BX47" i="44"/>
  <c r="BW47" i="44"/>
  <c r="BV47" i="44"/>
  <c r="BU47" i="44"/>
  <c r="BS47" i="44"/>
  <c r="BR47" i="44"/>
  <c r="O7" i="45" s="1"/>
  <c r="U78" i="30" s="1"/>
  <c r="BQ47" i="44"/>
  <c r="N7" i="45" s="1"/>
  <c r="BP47" i="44"/>
  <c r="BO47" i="44"/>
  <c r="BN47" i="44"/>
  <c r="BM47" i="44"/>
  <c r="BK47" i="44"/>
  <c r="BJ47" i="44"/>
  <c r="BI47" i="44"/>
  <c r="BH47" i="44"/>
  <c r="BG47" i="44"/>
  <c r="BF47" i="44"/>
  <c r="BE47" i="44"/>
  <c r="BA47" i="44"/>
  <c r="AZ47" i="44"/>
  <c r="AY47" i="44"/>
  <c r="AX47" i="44"/>
  <c r="AW47" i="44"/>
  <c r="AV47" i="44"/>
  <c r="AU47" i="44"/>
  <c r="AS47" i="44"/>
  <c r="AR47" i="44"/>
  <c r="AQ47" i="44"/>
  <c r="AP47" i="44"/>
  <c r="AO47" i="44"/>
  <c r="D7" i="45" s="1"/>
  <c r="AN47" i="44"/>
  <c r="AM47" i="44"/>
  <c r="AK47" i="44"/>
  <c r="AJ47" i="44"/>
  <c r="AI47" i="44"/>
  <c r="AH47" i="44"/>
  <c r="AG47" i="44"/>
  <c r="AF47" i="44"/>
  <c r="AE47" i="44"/>
  <c r="K34" i="45"/>
  <c r="AL46" i="44"/>
  <c r="AT53" i="44"/>
  <c r="AT62" i="44" s="1"/>
  <c r="E11" i="45" s="1"/>
  <c r="M79" i="30" s="1"/>
  <c r="BB52" i="44"/>
  <c r="AL50" i="44"/>
  <c r="Y19" i="43"/>
  <c r="AJ18" i="43"/>
  <c r="AJ19" i="43"/>
  <c r="AJ23" i="43"/>
  <c r="AH18" i="43"/>
  <c r="AH19" i="43"/>
  <c r="AH23" i="43"/>
  <c r="AH24" i="43"/>
  <c r="AC18" i="43"/>
  <c r="AC23" i="43"/>
  <c r="AA18" i="43"/>
  <c r="AA23" i="43"/>
  <c r="Y18" i="43"/>
  <c r="Y23" i="43"/>
  <c r="W18" i="43"/>
  <c r="W23" i="43"/>
  <c r="U18" i="43"/>
  <c r="U23" i="43"/>
  <c r="S18" i="43"/>
  <c r="S23" i="43"/>
  <c r="Q18" i="43"/>
  <c r="Q23" i="43"/>
  <c r="O18" i="43"/>
  <c r="O23" i="43"/>
  <c r="M18" i="43"/>
  <c r="M23" i="43"/>
  <c r="K18" i="43"/>
  <c r="K23" i="43"/>
  <c r="I18" i="43"/>
  <c r="I23" i="43"/>
  <c r="BE17" i="43"/>
  <c r="AL17" i="43"/>
  <c r="CE17" i="43"/>
  <c r="CC17" i="43"/>
  <c r="CA17" i="43"/>
  <c r="BY17" i="43"/>
  <c r="BW17" i="43"/>
  <c r="BU17" i="43"/>
  <c r="BS17" i="43"/>
  <c r="BQ17" i="43"/>
  <c r="BO17" i="43"/>
  <c r="BM17" i="43"/>
  <c r="BK17" i="43"/>
  <c r="BI17" i="43"/>
  <c r="BD17" i="43"/>
  <c r="BB17" i="43"/>
  <c r="AZ17" i="43"/>
  <c r="AX17" i="43"/>
  <c r="AV17" i="43"/>
  <c r="AT17" i="43"/>
  <c r="AR17" i="43"/>
  <c r="AP17" i="43"/>
  <c r="AN17" i="43"/>
  <c r="AJ17" i="43"/>
  <c r="AH17" i="43"/>
  <c r="AC17" i="43"/>
  <c r="AA17" i="43"/>
  <c r="Y17" i="43"/>
  <c r="W17" i="43"/>
  <c r="U17" i="43"/>
  <c r="S17" i="43"/>
  <c r="Q17" i="43"/>
  <c r="O17" i="43"/>
  <c r="M17" i="43"/>
  <c r="K17" i="43"/>
  <c r="I17" i="43"/>
  <c r="AG93" i="30"/>
  <c r="AG92" i="30"/>
  <c r="AG91" i="30"/>
  <c r="AG90" i="30"/>
  <c r="AG89" i="30"/>
  <c r="AG94" i="30" s="1"/>
  <c r="AG88" i="30"/>
  <c r="AE93" i="30"/>
  <c r="AE92" i="30"/>
  <c r="AE91" i="30"/>
  <c r="AE90" i="30"/>
  <c r="AE89" i="30"/>
  <c r="AE88" i="30"/>
  <c r="AC93" i="30"/>
  <c r="AI93" i="30" s="1"/>
  <c r="AC92" i="30"/>
  <c r="AI92" i="30" s="1"/>
  <c r="AC91" i="30"/>
  <c r="AC90" i="30"/>
  <c r="AI90" i="30" s="1"/>
  <c r="AC89" i="30"/>
  <c r="AC88" i="30"/>
  <c r="W93" i="30"/>
  <c r="W92" i="30"/>
  <c r="W91" i="30"/>
  <c r="W90" i="30"/>
  <c r="W89" i="30"/>
  <c r="W88" i="30"/>
  <c r="U93" i="30"/>
  <c r="Y93" i="30" s="1"/>
  <c r="U92" i="30"/>
  <c r="U91" i="30"/>
  <c r="Y91" i="30" s="1"/>
  <c r="U90" i="30"/>
  <c r="U89" i="30"/>
  <c r="Y89" i="30" s="1"/>
  <c r="U88" i="30"/>
  <c r="S93" i="30"/>
  <c r="S92" i="30"/>
  <c r="S91" i="30"/>
  <c r="S90" i="30"/>
  <c r="S89" i="30"/>
  <c r="S88" i="30"/>
  <c r="O93" i="30"/>
  <c r="O92" i="30"/>
  <c r="O91" i="30"/>
  <c r="O90" i="30"/>
  <c r="O89" i="30"/>
  <c r="O88" i="30"/>
  <c r="M93" i="30"/>
  <c r="M92" i="30"/>
  <c r="M91" i="30"/>
  <c r="M90" i="30"/>
  <c r="M89" i="30"/>
  <c r="M88" i="30"/>
  <c r="K92" i="30"/>
  <c r="K91" i="30"/>
  <c r="Q91" i="30" s="1"/>
  <c r="AG51" i="30"/>
  <c r="AE51" i="30"/>
  <c r="AC51" i="30"/>
  <c r="W51" i="30"/>
  <c r="U51" i="30"/>
  <c r="S51" i="30"/>
  <c r="O51" i="30"/>
  <c r="M51" i="30"/>
  <c r="K51" i="30"/>
  <c r="AG42" i="30"/>
  <c r="AG41" i="30"/>
  <c r="AG40" i="30"/>
  <c r="AG39" i="30"/>
  <c r="AE42" i="30"/>
  <c r="AE41" i="30"/>
  <c r="AE40" i="30"/>
  <c r="AE39" i="30"/>
  <c r="AC42" i="30"/>
  <c r="AC41" i="30"/>
  <c r="AC40" i="30"/>
  <c r="AC39" i="30"/>
  <c r="W42" i="30"/>
  <c r="W41" i="30"/>
  <c r="W40" i="30"/>
  <c r="W39" i="30"/>
  <c r="Y39" i="30" s="1"/>
  <c r="U42" i="30"/>
  <c r="U41" i="30"/>
  <c r="U40" i="30"/>
  <c r="U39" i="30"/>
  <c r="S42" i="30"/>
  <c r="S41" i="30"/>
  <c r="S40" i="30"/>
  <c r="S39" i="30"/>
  <c r="O42" i="30"/>
  <c r="O41" i="30"/>
  <c r="O40" i="30"/>
  <c r="O39" i="30"/>
  <c r="Q39" i="30" s="1"/>
  <c r="M42" i="30"/>
  <c r="Q42" i="30" s="1"/>
  <c r="M41" i="30"/>
  <c r="M40" i="30"/>
  <c r="M39" i="30"/>
  <c r="K42" i="30"/>
  <c r="K41" i="30"/>
  <c r="K40" i="30"/>
  <c r="K39" i="30"/>
  <c r="AG23" i="30"/>
  <c r="AE23" i="30"/>
  <c r="AC23" i="30"/>
  <c r="AI23" i="30" s="1"/>
  <c r="W23" i="30"/>
  <c r="U23" i="30"/>
  <c r="S23" i="30"/>
  <c r="O23" i="30"/>
  <c r="M23" i="30"/>
  <c r="K23" i="30"/>
  <c r="CG37" i="43"/>
  <c r="CF37" i="43"/>
  <c r="CG36" i="43"/>
  <c r="CF36" i="43"/>
  <c r="CG35" i="43"/>
  <c r="CF35" i="43"/>
  <c r="CG34" i="43"/>
  <c r="CF34" i="43"/>
  <c r="CG33" i="43"/>
  <c r="CF33" i="43"/>
  <c r="CG32" i="43"/>
  <c r="CF32" i="43"/>
  <c r="CF26" i="43"/>
  <c r="CF25" i="43"/>
  <c r="CF24" i="43"/>
  <c r="CF23" i="43"/>
  <c r="CF19" i="43"/>
  <c r="CF18" i="43"/>
  <c r="CF17" i="43"/>
  <c r="CG13" i="43"/>
  <c r="CF13" i="43"/>
  <c r="CG12" i="43"/>
  <c r="CF12" i="43"/>
  <c r="CG11" i="43"/>
  <c r="CF11" i="43"/>
  <c r="CG10" i="43"/>
  <c r="CF10" i="43"/>
  <c r="G21" i="41"/>
  <c r="G20" i="41"/>
  <c r="G19" i="41"/>
  <c r="G18" i="41"/>
  <c r="G17" i="41"/>
  <c r="G16" i="41"/>
  <c r="G15" i="41"/>
  <c r="G14" i="41"/>
  <c r="G13" i="41"/>
  <c r="G12" i="41"/>
  <c r="G11" i="41"/>
  <c r="G10" i="41"/>
  <c r="CA50" i="30"/>
  <c r="CB50" i="30" s="1"/>
  <c r="FA101" i="44"/>
  <c r="EZ101" i="44"/>
  <c r="EY101" i="44"/>
  <c r="EX101" i="44"/>
  <c r="EX105" i="44" s="1"/>
  <c r="EW101" i="44"/>
  <c r="EV101" i="44"/>
  <c r="EU101" i="44"/>
  <c r="ES101" i="44"/>
  <c r="ER101" i="44"/>
  <c r="EQ101" i="44"/>
  <c r="EP101" i="44"/>
  <c r="EO101" i="44"/>
  <c r="EN101" i="44"/>
  <c r="EM101" i="44"/>
  <c r="EK101" i="44"/>
  <c r="EK105" i="44" s="1"/>
  <c r="EJ101" i="44"/>
  <c r="EI101" i="44"/>
  <c r="EH101" i="44"/>
  <c r="EH105" i="44" s="1"/>
  <c r="EG101" i="44"/>
  <c r="EF101" i="44"/>
  <c r="EE101" i="44"/>
  <c r="EA101" i="44"/>
  <c r="DZ101" i="44"/>
  <c r="DY101" i="44"/>
  <c r="DX101" i="44"/>
  <c r="DW101" i="44"/>
  <c r="DV101" i="44"/>
  <c r="DV105" i="44" s="1"/>
  <c r="DU101" i="44"/>
  <c r="DS101" i="44"/>
  <c r="DR101" i="44"/>
  <c r="DQ101" i="44"/>
  <c r="DP101" i="44"/>
  <c r="DO101" i="44"/>
  <c r="DN101" i="44"/>
  <c r="DM101" i="44"/>
  <c r="DK101" i="44"/>
  <c r="DJ101" i="44"/>
  <c r="DI101" i="44"/>
  <c r="DI105" i="44" s="1"/>
  <c r="DH101" i="44"/>
  <c r="DH105" i="44" s="1"/>
  <c r="DG101" i="44"/>
  <c r="DG105" i="44" s="1"/>
  <c r="DF101" i="44"/>
  <c r="DE101" i="44"/>
  <c r="DE107" i="44" s="1"/>
  <c r="AD32" i="45"/>
  <c r="AD29" i="45"/>
  <c r="AD25" i="45"/>
  <c r="AD24" i="45"/>
  <c r="AD20" i="45"/>
  <c r="AD16" i="45"/>
  <c r="AE34" i="45"/>
  <c r="AD34" i="45"/>
  <c r="AE33" i="45"/>
  <c r="AD33" i="45"/>
  <c r="AE32" i="45"/>
  <c r="AE30" i="45"/>
  <c r="AD30" i="45"/>
  <c r="AE29" i="45"/>
  <c r="AE28" i="45"/>
  <c r="AD28" i="45"/>
  <c r="AE26" i="45"/>
  <c r="AD26" i="45"/>
  <c r="AE25" i="45"/>
  <c r="AE24" i="45"/>
  <c r="AE22" i="45"/>
  <c r="AD22" i="45"/>
  <c r="AE21" i="45"/>
  <c r="AD21" i="45"/>
  <c r="AE20" i="45"/>
  <c r="AE18" i="45"/>
  <c r="AD18" i="45"/>
  <c r="AE17" i="45"/>
  <c r="AD17" i="45"/>
  <c r="AE16" i="45"/>
  <c r="AE14" i="45"/>
  <c r="AD14" i="45"/>
  <c r="AE13" i="45"/>
  <c r="AD13" i="45"/>
  <c r="AE12" i="45"/>
  <c r="AD12" i="45"/>
  <c r="DA101" i="44"/>
  <c r="CZ101" i="44"/>
  <c r="CY101" i="44"/>
  <c r="CX101" i="44"/>
  <c r="CW101" i="44"/>
  <c r="CV101" i="44"/>
  <c r="CU101" i="44"/>
  <c r="CS101" i="44"/>
  <c r="CS105" i="44" s="1"/>
  <c r="CR101" i="44"/>
  <c r="CQ101" i="44"/>
  <c r="CQ105" i="44" s="1"/>
  <c r="CP101" i="44"/>
  <c r="CO101" i="44"/>
  <c r="CN101" i="44"/>
  <c r="CM101" i="44"/>
  <c r="CK101" i="44"/>
  <c r="CJ101" i="44"/>
  <c r="CI101" i="44"/>
  <c r="CH101" i="44"/>
  <c r="CG101" i="44"/>
  <c r="CF101" i="44"/>
  <c r="CE101" i="44"/>
  <c r="CE107" i="44" s="1"/>
  <c r="U34" i="45"/>
  <c r="U33" i="45"/>
  <c r="U32" i="45"/>
  <c r="U30" i="45"/>
  <c r="U29" i="45"/>
  <c r="U28" i="45"/>
  <c r="T34" i="45"/>
  <c r="T33" i="45"/>
  <c r="T32" i="45"/>
  <c r="T30" i="45"/>
  <c r="T29" i="45"/>
  <c r="T28" i="45"/>
  <c r="U26" i="45"/>
  <c r="T26" i="45"/>
  <c r="U25" i="45"/>
  <c r="T25" i="45"/>
  <c r="U24" i="45"/>
  <c r="T24" i="45"/>
  <c r="U22" i="45"/>
  <c r="T22" i="45"/>
  <c r="U21" i="45"/>
  <c r="T21" i="45"/>
  <c r="U20" i="45"/>
  <c r="T20" i="45"/>
  <c r="U18" i="45"/>
  <c r="T18" i="45"/>
  <c r="U17" i="45"/>
  <c r="T17" i="45"/>
  <c r="U16" i="45"/>
  <c r="T16" i="45"/>
  <c r="U14" i="45"/>
  <c r="T14" i="45"/>
  <c r="U13" i="45"/>
  <c r="T13" i="45"/>
  <c r="U12" i="45"/>
  <c r="T12" i="45"/>
  <c r="CA101" i="44"/>
  <c r="BZ101" i="44"/>
  <c r="BY101" i="44"/>
  <c r="BY107" i="44" s="1"/>
  <c r="BX101" i="44"/>
  <c r="BW101" i="44"/>
  <c r="BV101" i="44"/>
  <c r="BU101" i="44"/>
  <c r="BS101" i="44"/>
  <c r="BR101" i="44"/>
  <c r="BQ101" i="44"/>
  <c r="BP101" i="44"/>
  <c r="BO101" i="44"/>
  <c r="BO107" i="44" s="1"/>
  <c r="BN101" i="44"/>
  <c r="BM101" i="44"/>
  <c r="BK101" i="44"/>
  <c r="L31" i="45" s="1"/>
  <c r="BJ101" i="44"/>
  <c r="BI101" i="44"/>
  <c r="BH101" i="44"/>
  <c r="BG101" i="44"/>
  <c r="BE101" i="44"/>
  <c r="Z105" i="44"/>
  <c r="T105" i="44"/>
  <c r="R105" i="44"/>
  <c r="P105" i="44"/>
  <c r="L105" i="44"/>
  <c r="J105" i="44"/>
  <c r="F105" i="44"/>
  <c r="FD103" i="44"/>
  <c r="FC103" i="44"/>
  <c r="ED103" i="44"/>
  <c r="EC103" i="44"/>
  <c r="DD103" i="44"/>
  <c r="DC103" i="44"/>
  <c r="CD103" i="44"/>
  <c r="CC103" i="44"/>
  <c r="BC103" i="44"/>
  <c r="AD103" i="44"/>
  <c r="AC103" i="44"/>
  <c r="FD102" i="44"/>
  <c r="FC102" i="44"/>
  <c r="ED102" i="44"/>
  <c r="EC102" i="44"/>
  <c r="DD102" i="44"/>
  <c r="DC102" i="44"/>
  <c r="CD102" i="44"/>
  <c r="CC102" i="44"/>
  <c r="CC104" i="44" s="1"/>
  <c r="AY104" i="44"/>
  <c r="AD102" i="44"/>
  <c r="AC102" i="44"/>
  <c r="AD101" i="44"/>
  <c r="AC101" i="44"/>
  <c r="FC100" i="44"/>
  <c r="EC100" i="44"/>
  <c r="ED100" i="44"/>
  <c r="DD100" i="44"/>
  <c r="DC100" i="44"/>
  <c r="CD100" i="44"/>
  <c r="CC100" i="44"/>
  <c r="BD100" i="44"/>
  <c r="BC100" i="44"/>
  <c r="AD100" i="44"/>
  <c r="AC100" i="44"/>
  <c r="FC99" i="44"/>
  <c r="EC99" i="44"/>
  <c r="DC99" i="44"/>
  <c r="CC99" i="44"/>
  <c r="BC99" i="44"/>
  <c r="AC99" i="44"/>
  <c r="AD99" i="44"/>
  <c r="FC98" i="44"/>
  <c r="EC98" i="44"/>
  <c r="ED98" i="44"/>
  <c r="DD98" i="44"/>
  <c r="DC98" i="44"/>
  <c r="CD98" i="44"/>
  <c r="CC98" i="44"/>
  <c r="BD98" i="44"/>
  <c r="BC98" i="44"/>
  <c r="AD98" i="44"/>
  <c r="AC98" i="44"/>
  <c r="FC97" i="44"/>
  <c r="EC97" i="44"/>
  <c r="DC97" i="44"/>
  <c r="CC97" i="44"/>
  <c r="BC97" i="44"/>
  <c r="AD97" i="44"/>
  <c r="AC97" i="44"/>
  <c r="FC96" i="44"/>
  <c r="FD96" i="44"/>
  <c r="ED96" i="44"/>
  <c r="EC96" i="44"/>
  <c r="DD96" i="44"/>
  <c r="DC96" i="44"/>
  <c r="CD96" i="44"/>
  <c r="CC96" i="44"/>
  <c r="BD96" i="44"/>
  <c r="BC96" i="44"/>
  <c r="AD96" i="44"/>
  <c r="AC96" i="44"/>
  <c r="FC95" i="44"/>
  <c r="EC95" i="44"/>
  <c r="ED95" i="44"/>
  <c r="DD95" i="44"/>
  <c r="DC95" i="44"/>
  <c r="CD95" i="44"/>
  <c r="CC95" i="44"/>
  <c r="BD95" i="44"/>
  <c r="BC95" i="44"/>
  <c r="AD95" i="44"/>
  <c r="AC95" i="44"/>
  <c r="FC94" i="44"/>
  <c r="EC94" i="44"/>
  <c r="DD94" i="44"/>
  <c r="DC94" i="44"/>
  <c r="CD94" i="44"/>
  <c r="CC94" i="44"/>
  <c r="BD94" i="44"/>
  <c r="BC94" i="44"/>
  <c r="AD94" i="44"/>
  <c r="AC94" i="44"/>
  <c r="FC93" i="44"/>
  <c r="FD93" i="44"/>
  <c r="ED93" i="44"/>
  <c r="EC93" i="44"/>
  <c r="DD93" i="44"/>
  <c r="DC93" i="44"/>
  <c r="CD93" i="44"/>
  <c r="CC93" i="44"/>
  <c r="BD93" i="44"/>
  <c r="BC93" i="44"/>
  <c r="AD93" i="44"/>
  <c r="AC93" i="44"/>
  <c r="FD91" i="44"/>
  <c r="FC91" i="44"/>
  <c r="ED91" i="44"/>
  <c r="EC91" i="44"/>
  <c r="DC91" i="44"/>
  <c r="CC91" i="44"/>
  <c r="BC91" i="44"/>
  <c r="AD91" i="44"/>
  <c r="AC91" i="44"/>
  <c r="FD90" i="44"/>
  <c r="FC90" i="44"/>
  <c r="EC90" i="44"/>
  <c r="DC90" i="44"/>
  <c r="CC90" i="44"/>
  <c r="BC90" i="44"/>
  <c r="AC90" i="44"/>
  <c r="AD90" i="44"/>
  <c r="FD89" i="44"/>
  <c r="FC89" i="44"/>
  <c r="EC89" i="44"/>
  <c r="DC89" i="44"/>
  <c r="CC89" i="44"/>
  <c r="BC89" i="44"/>
  <c r="AD89" i="44"/>
  <c r="AC89" i="44"/>
  <c r="FC88" i="44"/>
  <c r="EC88" i="44"/>
  <c r="DC88" i="44"/>
  <c r="CC88" i="44"/>
  <c r="BC88" i="44"/>
  <c r="AC88" i="44"/>
  <c r="AD88" i="44"/>
  <c r="FC87" i="44"/>
  <c r="EC87" i="44"/>
  <c r="DC87" i="44"/>
  <c r="DC92" i="44" s="1"/>
  <c r="CC87" i="44"/>
  <c r="BC87" i="44"/>
  <c r="AC87" i="44"/>
  <c r="HE87" i="44" s="1"/>
  <c r="V105" i="44"/>
  <c r="FD84" i="44"/>
  <c r="FC84" i="44"/>
  <c r="ED84" i="44"/>
  <c r="EC84" i="44"/>
  <c r="DD84" i="44"/>
  <c r="DC84" i="44"/>
  <c r="CD84" i="44"/>
  <c r="CC84" i="44"/>
  <c r="BC84" i="44"/>
  <c r="AD84" i="44"/>
  <c r="HF84" i="44" s="1"/>
  <c r="AC84" i="44"/>
  <c r="FD83" i="44"/>
  <c r="FC83" i="44"/>
  <c r="ED83" i="44"/>
  <c r="EC83" i="44"/>
  <c r="DD83" i="44"/>
  <c r="DC83" i="44"/>
  <c r="CD83" i="44"/>
  <c r="CC83" i="44"/>
  <c r="BC83" i="44"/>
  <c r="AD83" i="44"/>
  <c r="AC83" i="44"/>
  <c r="FD82" i="44"/>
  <c r="FC82" i="44"/>
  <c r="ED82" i="44"/>
  <c r="EC82" i="44"/>
  <c r="DD82" i="44"/>
  <c r="DC82" i="44"/>
  <c r="CD82" i="44"/>
  <c r="CC82" i="44"/>
  <c r="BC82" i="44"/>
  <c r="AD82" i="44"/>
  <c r="AC82" i="44"/>
  <c r="FC81" i="44"/>
  <c r="EC81" i="44"/>
  <c r="DC81" i="44"/>
  <c r="CC81" i="44"/>
  <c r="CD81" i="44"/>
  <c r="BD81" i="44"/>
  <c r="BC81" i="44"/>
  <c r="AD81" i="44"/>
  <c r="AC81" i="44"/>
  <c r="FD80" i="44"/>
  <c r="FC80" i="44"/>
  <c r="EC80" i="44"/>
  <c r="DC80" i="44"/>
  <c r="CC80" i="44"/>
  <c r="BC80" i="44"/>
  <c r="AD80" i="44"/>
  <c r="AC80" i="44"/>
  <c r="X105" i="44"/>
  <c r="FC79" i="44"/>
  <c r="EC79" i="44"/>
  <c r="DC79" i="44"/>
  <c r="CC79" i="44"/>
  <c r="BD79" i="44"/>
  <c r="BC79" i="44"/>
  <c r="AD79" i="44"/>
  <c r="AC79" i="44"/>
  <c r="FC78" i="44"/>
  <c r="EC78" i="44"/>
  <c r="DD78" i="44"/>
  <c r="DC78" i="44"/>
  <c r="CD78" i="44"/>
  <c r="CC78" i="44"/>
  <c r="BD78" i="44"/>
  <c r="BC78" i="44"/>
  <c r="AD78" i="44"/>
  <c r="AC78" i="44"/>
  <c r="FD77" i="44"/>
  <c r="FC77" i="44"/>
  <c r="EC77" i="44"/>
  <c r="DD77" i="44"/>
  <c r="DC77" i="44"/>
  <c r="CC77" i="44"/>
  <c r="CD77" i="44"/>
  <c r="BC77" i="44"/>
  <c r="AC77" i="44"/>
  <c r="FD76" i="44"/>
  <c r="FC76" i="44"/>
  <c r="EC76" i="44"/>
  <c r="DC76" i="44"/>
  <c r="CD76" i="44"/>
  <c r="CC76" i="44"/>
  <c r="BD76" i="44"/>
  <c r="BC76" i="44"/>
  <c r="AD76" i="44"/>
  <c r="AC76" i="44"/>
  <c r="FD74" i="44"/>
  <c r="FC74" i="44"/>
  <c r="EC74" i="44"/>
  <c r="DD74" i="44"/>
  <c r="DC74" i="44"/>
  <c r="CD74" i="44"/>
  <c r="CC74" i="44"/>
  <c r="BC74" i="44"/>
  <c r="BD74" i="44"/>
  <c r="AD74" i="44"/>
  <c r="AC74" i="44"/>
  <c r="FD73" i="44"/>
  <c r="FC73" i="44"/>
  <c r="EC73" i="44"/>
  <c r="DD73" i="44"/>
  <c r="DC73" i="44"/>
  <c r="CD73" i="44"/>
  <c r="CC73" i="44"/>
  <c r="BC73" i="44"/>
  <c r="BD73" i="44"/>
  <c r="AD73" i="44"/>
  <c r="AC73" i="44"/>
  <c r="FC72" i="44"/>
  <c r="EC72" i="44"/>
  <c r="DC72" i="44"/>
  <c r="CD72" i="44"/>
  <c r="CC72" i="44"/>
  <c r="BC72" i="44"/>
  <c r="AD72" i="44"/>
  <c r="AC72" i="44"/>
  <c r="FD71" i="44"/>
  <c r="FC71" i="44"/>
  <c r="ED71" i="44"/>
  <c r="EC71" i="44"/>
  <c r="DD71" i="44"/>
  <c r="DC71" i="44"/>
  <c r="CD71" i="44"/>
  <c r="CC71" i="44"/>
  <c r="BD71" i="44"/>
  <c r="BC71" i="44"/>
  <c r="AD71" i="44"/>
  <c r="AC71" i="44"/>
  <c r="FD70" i="44"/>
  <c r="FC70" i="44"/>
  <c r="EC70" i="44"/>
  <c r="DC70" i="44"/>
  <c r="CD70" i="44"/>
  <c r="CC70" i="44"/>
  <c r="BC70" i="44"/>
  <c r="BD70" i="44"/>
  <c r="AD70" i="44"/>
  <c r="AC70" i="44"/>
  <c r="FC69" i="44"/>
  <c r="EC69" i="44"/>
  <c r="DC69" i="44"/>
  <c r="CD69" i="44"/>
  <c r="CC69" i="44"/>
  <c r="BD69" i="44"/>
  <c r="BC69" i="44"/>
  <c r="AD69" i="44"/>
  <c r="AC69" i="44"/>
  <c r="FC67" i="44"/>
  <c r="EC67" i="44"/>
  <c r="DC67" i="44"/>
  <c r="CC67" i="44"/>
  <c r="BC67" i="44"/>
  <c r="AD67" i="44"/>
  <c r="AC67" i="44"/>
  <c r="FD66" i="44"/>
  <c r="FC66" i="44"/>
  <c r="ED66" i="44"/>
  <c r="EC66" i="44"/>
  <c r="DC66" i="44"/>
  <c r="CC66" i="44"/>
  <c r="BC66" i="44"/>
  <c r="BD66" i="44"/>
  <c r="AD66" i="44"/>
  <c r="AC66" i="44"/>
  <c r="FD65" i="44"/>
  <c r="FC65" i="44"/>
  <c r="ED65" i="44"/>
  <c r="EC65" i="44"/>
  <c r="DC65" i="44"/>
  <c r="CC65" i="44"/>
  <c r="BC65" i="44"/>
  <c r="AD65" i="44"/>
  <c r="AC65" i="44"/>
  <c r="FC64" i="44"/>
  <c r="EC64" i="44"/>
  <c r="DC64" i="44"/>
  <c r="CC64" i="44"/>
  <c r="CC68" i="44" s="1"/>
  <c r="BC64" i="44"/>
  <c r="BD64" i="44"/>
  <c r="AD64" i="44"/>
  <c r="AC64" i="44"/>
  <c r="FD61" i="44"/>
  <c r="FC61" i="44"/>
  <c r="EC61" i="44"/>
  <c r="DC61" i="44"/>
  <c r="CC61" i="44"/>
  <c r="BC61" i="44"/>
  <c r="AD61" i="44"/>
  <c r="AC61" i="44"/>
  <c r="HE61" i="44" s="1"/>
  <c r="FC60" i="44"/>
  <c r="EC60" i="44"/>
  <c r="DD60" i="44"/>
  <c r="DC60" i="44"/>
  <c r="CD60" i="44"/>
  <c r="CC60" i="44"/>
  <c r="BD60" i="44"/>
  <c r="BC60" i="44"/>
  <c r="AD60" i="44"/>
  <c r="AC60" i="44"/>
  <c r="FC59" i="44"/>
  <c r="EC59" i="44"/>
  <c r="DC59" i="44"/>
  <c r="CC59" i="44"/>
  <c r="BD59" i="44"/>
  <c r="BC59" i="44"/>
  <c r="AD59" i="44"/>
  <c r="AC59" i="44"/>
  <c r="FC58" i="44"/>
  <c r="EC58" i="44"/>
  <c r="DC58" i="44"/>
  <c r="CC58" i="44"/>
  <c r="BC58" i="44"/>
  <c r="HE58" i="44" s="1"/>
  <c r="BD58" i="44"/>
  <c r="AD58" i="44"/>
  <c r="AC58" i="44"/>
  <c r="FD57" i="44"/>
  <c r="FC57" i="44"/>
  <c r="ED57" i="44"/>
  <c r="EC57" i="44"/>
  <c r="DC57" i="44"/>
  <c r="CC57" i="44"/>
  <c r="BC57" i="44"/>
  <c r="BD57" i="44"/>
  <c r="AD57" i="44"/>
  <c r="AC57" i="44"/>
  <c r="FC56" i="44"/>
  <c r="EC56" i="44"/>
  <c r="ED56" i="44"/>
  <c r="DD56" i="44"/>
  <c r="DC56" i="44"/>
  <c r="CD56" i="44"/>
  <c r="CC56" i="44"/>
  <c r="BD56" i="44"/>
  <c r="BC56" i="44"/>
  <c r="AD56" i="44"/>
  <c r="AC56" i="44"/>
  <c r="FC55" i="44"/>
  <c r="EC55" i="44"/>
  <c r="DD55" i="44"/>
  <c r="DC55" i="44"/>
  <c r="CD55" i="44"/>
  <c r="CC55" i="44"/>
  <c r="BD55" i="44"/>
  <c r="BC55" i="44"/>
  <c r="AD55" i="44"/>
  <c r="AC55" i="44"/>
  <c r="FC54" i="44"/>
  <c r="EC54" i="44"/>
  <c r="DD54" i="44"/>
  <c r="DC54" i="44"/>
  <c r="CD54" i="44"/>
  <c r="CC54" i="44"/>
  <c r="BD54" i="44"/>
  <c r="BC54" i="44"/>
  <c r="AD54" i="44"/>
  <c r="AC54" i="44"/>
  <c r="FC53" i="44"/>
  <c r="EC53" i="44"/>
  <c r="DC53" i="44"/>
  <c r="CC53" i="44"/>
  <c r="HE53" i="44" s="1"/>
  <c r="BC53" i="44"/>
  <c r="AD53" i="44"/>
  <c r="AC53" i="44"/>
  <c r="FD52" i="44"/>
  <c r="FC52" i="44"/>
  <c r="EC52" i="44"/>
  <c r="DC52" i="44"/>
  <c r="CC52" i="44"/>
  <c r="BC52" i="44"/>
  <c r="AD52" i="44"/>
  <c r="AC52" i="44"/>
  <c r="FC51" i="44"/>
  <c r="EC51" i="44"/>
  <c r="DD51" i="44"/>
  <c r="DC51" i="44"/>
  <c r="CD51" i="44"/>
  <c r="CC51" i="44"/>
  <c r="BD51" i="44"/>
  <c r="BC51" i="44"/>
  <c r="AD51" i="44"/>
  <c r="AC51" i="44"/>
  <c r="FD50" i="44"/>
  <c r="FC50" i="44"/>
  <c r="ED50" i="44"/>
  <c r="EC50" i="44"/>
  <c r="DC50" i="44"/>
  <c r="CC50" i="44"/>
  <c r="BC50" i="44"/>
  <c r="AD50" i="44"/>
  <c r="AC50" i="44"/>
  <c r="FC49" i="44"/>
  <c r="EC49" i="44"/>
  <c r="DD49" i="44"/>
  <c r="DC49" i="44"/>
  <c r="CD49" i="44"/>
  <c r="CC49" i="44"/>
  <c r="BD49" i="44"/>
  <c r="BC49" i="44"/>
  <c r="AD49" i="44"/>
  <c r="AC49" i="44"/>
  <c r="FC48" i="44"/>
  <c r="EC48" i="44"/>
  <c r="DC48" i="44"/>
  <c r="CD48" i="44"/>
  <c r="CC48" i="44"/>
  <c r="BD48" i="44"/>
  <c r="BC48" i="44"/>
  <c r="AD48" i="44"/>
  <c r="AC48" i="44"/>
  <c r="FC46" i="44"/>
  <c r="EC46" i="44"/>
  <c r="DC46" i="44"/>
  <c r="CC46" i="44"/>
  <c r="BC46" i="44"/>
  <c r="AC46" i="44"/>
  <c r="FC45" i="44"/>
  <c r="EC45" i="44"/>
  <c r="ED45" i="44"/>
  <c r="DD45" i="44"/>
  <c r="DC45" i="44"/>
  <c r="CD45" i="44"/>
  <c r="CC45" i="44"/>
  <c r="BD45" i="44"/>
  <c r="BC45" i="44"/>
  <c r="AD45" i="44"/>
  <c r="AC45" i="44"/>
  <c r="FC44" i="44"/>
  <c r="EC44" i="44"/>
  <c r="DD44" i="44"/>
  <c r="DC44" i="44"/>
  <c r="CD44" i="44"/>
  <c r="CC44" i="44"/>
  <c r="BD44" i="44"/>
  <c r="BC44" i="44"/>
  <c r="AD44" i="44"/>
  <c r="AC44" i="44"/>
  <c r="FC43" i="44"/>
  <c r="FD43" i="44"/>
  <c r="ED43" i="44"/>
  <c r="EC43" i="44"/>
  <c r="DD43" i="44"/>
  <c r="DC43" i="44"/>
  <c r="CD43" i="44"/>
  <c r="CC43" i="44"/>
  <c r="BD43" i="44"/>
  <c r="BC43" i="44"/>
  <c r="AD43" i="44"/>
  <c r="AC43" i="44"/>
  <c r="FC42" i="44"/>
  <c r="ED42" i="44"/>
  <c r="EC42" i="44"/>
  <c r="DD42" i="44"/>
  <c r="DC42" i="44"/>
  <c r="CD42" i="44"/>
  <c r="CC42" i="44"/>
  <c r="BD42" i="44"/>
  <c r="BC42" i="44"/>
  <c r="AD42" i="44"/>
  <c r="AC42" i="44"/>
  <c r="FC41" i="44"/>
  <c r="EC41" i="44"/>
  <c r="ED41" i="44"/>
  <c r="DD41" i="44"/>
  <c r="DC41" i="44"/>
  <c r="CD41" i="44"/>
  <c r="CC41" i="44"/>
  <c r="BD41" i="44"/>
  <c r="BC41" i="44"/>
  <c r="AD41" i="44"/>
  <c r="AC41" i="44"/>
  <c r="FD40" i="44"/>
  <c r="FC40" i="44"/>
  <c r="ED40" i="44"/>
  <c r="EC40" i="44"/>
  <c r="DD40" i="44"/>
  <c r="DC40" i="44"/>
  <c r="CD40" i="44"/>
  <c r="CC40" i="44"/>
  <c r="BD40" i="44"/>
  <c r="BC40" i="44"/>
  <c r="AD40" i="44"/>
  <c r="AC40" i="44"/>
  <c r="I84" i="30"/>
  <c r="CA84" i="30"/>
  <c r="CB86" i="30"/>
  <c r="I83" i="30"/>
  <c r="CA83" i="30"/>
  <c r="I81" i="30"/>
  <c r="CA81" i="30"/>
  <c r="CA80" i="30"/>
  <c r="CA77" i="30"/>
  <c r="CB77" i="30" s="1"/>
  <c r="K12" i="45"/>
  <c r="G4" i="45"/>
  <c r="I4" i="45"/>
  <c r="I5" i="45"/>
  <c r="E6" i="45"/>
  <c r="E5" i="45"/>
  <c r="C6" i="45"/>
  <c r="C5" i="45"/>
  <c r="C4" i="45"/>
  <c r="C134" i="44"/>
  <c r="C133" i="44"/>
  <c r="C132" i="44"/>
  <c r="C131" i="44"/>
  <c r="C128" i="44"/>
  <c r="FB31" i="44"/>
  <c r="EZ31" i="44"/>
  <c r="EX31" i="44"/>
  <c r="EV31" i="44"/>
  <c r="ET31" i="44"/>
  <c r="ER31" i="44"/>
  <c r="EP31" i="44"/>
  <c r="EN31" i="44"/>
  <c r="EL31" i="44"/>
  <c r="EJ31" i="44"/>
  <c r="EH31" i="44"/>
  <c r="EF31" i="44"/>
  <c r="Z31" i="44"/>
  <c r="X31" i="44"/>
  <c r="X107" i="44" s="1"/>
  <c r="V31" i="44"/>
  <c r="T31" i="44"/>
  <c r="R31" i="44"/>
  <c r="P31" i="44"/>
  <c r="N31" i="44"/>
  <c r="L31" i="44"/>
  <c r="L107" i="44" s="1"/>
  <c r="J31" i="44"/>
  <c r="H31" i="44"/>
  <c r="F31" i="44"/>
  <c r="C31" i="44"/>
  <c r="FD29" i="44"/>
  <c r="FC29" i="44"/>
  <c r="ED29" i="44"/>
  <c r="EC29" i="44"/>
  <c r="DD29" i="44"/>
  <c r="DC29" i="44"/>
  <c r="CC29" i="44"/>
  <c r="HE29" i="44" s="1"/>
  <c r="BN29" i="44"/>
  <c r="BL29" i="44"/>
  <c r="BJ29" i="44"/>
  <c r="BH29" i="44"/>
  <c r="BF29" i="44"/>
  <c r="BC29" i="44"/>
  <c r="BB29" i="44"/>
  <c r="AZ29" i="44"/>
  <c r="AX29" i="44"/>
  <c r="AV29" i="44"/>
  <c r="AT29" i="44"/>
  <c r="AR29" i="44"/>
  <c r="AP29" i="44"/>
  <c r="BD29" i="44" s="1"/>
  <c r="AN29" i="44"/>
  <c r="AL29" i="44"/>
  <c r="AD29" i="44"/>
  <c r="AC29" i="44"/>
  <c r="FD28" i="44"/>
  <c r="FC28" i="44"/>
  <c r="EC28" i="44"/>
  <c r="DR28" i="44"/>
  <c r="DP28" i="44"/>
  <c r="DN28" i="44"/>
  <c r="DL28" i="44"/>
  <c r="DL31" i="44" s="1"/>
  <c r="DJ28" i="44"/>
  <c r="DH28" i="44"/>
  <c r="DF28" i="44"/>
  <c r="DC28" i="44"/>
  <c r="DB28" i="44"/>
  <c r="CZ28" i="44"/>
  <c r="CX28" i="44"/>
  <c r="CV28" i="44"/>
  <c r="CT28" i="44"/>
  <c r="CR28" i="44"/>
  <c r="CP28" i="44"/>
  <c r="CN28" i="44"/>
  <c r="CL28" i="44"/>
  <c r="CJ28" i="44"/>
  <c r="CH28" i="44"/>
  <c r="CF28" i="44"/>
  <c r="CC28" i="44"/>
  <c r="CB28" i="44"/>
  <c r="BZ28" i="44"/>
  <c r="BX28" i="44"/>
  <c r="BV28" i="44"/>
  <c r="BT28" i="44"/>
  <c r="BR28" i="44"/>
  <c r="BP28" i="44"/>
  <c r="BN28" i="44"/>
  <c r="BL28" i="44"/>
  <c r="BJ28" i="44"/>
  <c r="BH28" i="44"/>
  <c r="BF28" i="44"/>
  <c r="BC28" i="44"/>
  <c r="BB28" i="44"/>
  <c r="AZ28" i="44"/>
  <c r="AX28" i="44"/>
  <c r="AD28" i="44"/>
  <c r="AC28" i="44"/>
  <c r="FD27" i="44"/>
  <c r="FC27" i="44"/>
  <c r="ED27" i="44"/>
  <c r="EC27" i="44"/>
  <c r="DC27" i="44"/>
  <c r="CV27" i="44"/>
  <c r="CT27" i="44"/>
  <c r="CR27" i="44"/>
  <c r="CP27" i="44"/>
  <c r="CN27" i="44"/>
  <c r="CL27" i="44"/>
  <c r="CJ27" i="44"/>
  <c r="CJ31" i="44" s="1"/>
  <c r="CH27" i="44"/>
  <c r="CF27" i="44"/>
  <c r="CC27" i="44"/>
  <c r="CB27" i="44"/>
  <c r="BZ27" i="44"/>
  <c r="BX27" i="44"/>
  <c r="BV27" i="44"/>
  <c r="BT27" i="44"/>
  <c r="BR27" i="44"/>
  <c r="BP27" i="44"/>
  <c r="BN27" i="44"/>
  <c r="BL27" i="44"/>
  <c r="BJ27" i="44"/>
  <c r="BH27" i="44"/>
  <c r="BF27" i="44"/>
  <c r="BC27" i="44"/>
  <c r="BB27" i="44"/>
  <c r="AZ27" i="44"/>
  <c r="AX27" i="44"/>
  <c r="AV27" i="44"/>
  <c r="AT27" i="44"/>
  <c r="AR27" i="44"/>
  <c r="AP27" i="44"/>
  <c r="AN27" i="44"/>
  <c r="AL27" i="44"/>
  <c r="AD27" i="44"/>
  <c r="AC27" i="44"/>
  <c r="FD26" i="44"/>
  <c r="FC26" i="44"/>
  <c r="ED26" i="44"/>
  <c r="EC26" i="44"/>
  <c r="DD26" i="44"/>
  <c r="DC26" i="44"/>
  <c r="CC26" i="44"/>
  <c r="BZ26" i="44"/>
  <c r="BX26" i="44"/>
  <c r="BV26" i="44"/>
  <c r="BT26" i="44"/>
  <c r="BR26" i="44"/>
  <c r="BP26" i="44"/>
  <c r="BN26" i="44"/>
  <c r="BL26" i="44"/>
  <c r="BJ26" i="44"/>
  <c r="BH26" i="44"/>
  <c r="BF26" i="44"/>
  <c r="BC26" i="44"/>
  <c r="BB26" i="44"/>
  <c r="AZ26" i="44"/>
  <c r="AX26" i="44"/>
  <c r="AV26" i="44"/>
  <c r="AT26" i="44"/>
  <c r="AD26" i="44"/>
  <c r="AC26" i="44"/>
  <c r="FD25" i="44"/>
  <c r="FC25" i="44"/>
  <c r="ED25" i="44"/>
  <c r="EC25" i="44"/>
  <c r="DD25" i="44"/>
  <c r="DC25" i="44"/>
  <c r="CD25" i="44"/>
  <c r="CC25" i="44"/>
  <c r="BC25" i="44"/>
  <c r="BB25" i="44"/>
  <c r="AZ25" i="44"/>
  <c r="AX25" i="44"/>
  <c r="AV25" i="44"/>
  <c r="AT25" i="44"/>
  <c r="AR25" i="44"/>
  <c r="AP25" i="44"/>
  <c r="AP31" i="44" s="1"/>
  <c r="AN25" i="44"/>
  <c r="AL25" i="44"/>
  <c r="AJ25" i="44"/>
  <c r="AH25" i="44"/>
  <c r="AF25" i="44"/>
  <c r="AD25" i="44"/>
  <c r="AC25" i="44"/>
  <c r="FD24" i="44"/>
  <c r="FC24" i="44"/>
  <c r="ED24" i="44"/>
  <c r="EC24" i="44"/>
  <c r="DD24" i="44"/>
  <c r="DC24" i="44"/>
  <c r="CD24" i="44"/>
  <c r="CC24" i="44"/>
  <c r="BC24" i="44"/>
  <c r="BB24" i="44"/>
  <c r="AZ24" i="44"/>
  <c r="AX24" i="44"/>
  <c r="AV24" i="44"/>
  <c r="AT24" i="44"/>
  <c r="AR24" i="44"/>
  <c r="AP24" i="44"/>
  <c r="AN24" i="44"/>
  <c r="AL24" i="44"/>
  <c r="AJ24" i="44"/>
  <c r="AH24" i="44"/>
  <c r="AF24" i="44"/>
  <c r="AD24" i="44"/>
  <c r="AC24" i="44"/>
  <c r="FD22" i="44"/>
  <c r="FC22" i="44"/>
  <c r="EC22" i="44"/>
  <c r="EB22" i="44"/>
  <c r="EB31" i="44" s="1"/>
  <c r="DZ22" i="44"/>
  <c r="DZ31" i="44" s="1"/>
  <c r="DX22" i="44"/>
  <c r="DX31" i="44" s="1"/>
  <c r="DV22" i="44"/>
  <c r="DV31" i="44" s="1"/>
  <c r="DT22" i="44"/>
  <c r="DT31" i="44" s="1"/>
  <c r="DR22" i="44"/>
  <c r="DP22" i="44"/>
  <c r="DP31" i="44" s="1"/>
  <c r="DN22" i="44"/>
  <c r="ED22" i="44" s="1"/>
  <c r="DL22" i="44"/>
  <c r="DJ22" i="44"/>
  <c r="DH22" i="44"/>
  <c r="DF22" i="44"/>
  <c r="DC22" i="44"/>
  <c r="DB22" i="44"/>
  <c r="CZ22" i="44"/>
  <c r="CX22" i="44"/>
  <c r="CV22" i="44"/>
  <c r="CT22" i="44"/>
  <c r="CR22" i="44"/>
  <c r="CP22" i="44"/>
  <c r="CN22" i="44"/>
  <c r="CL22" i="44"/>
  <c r="CJ22" i="44"/>
  <c r="CH22" i="44"/>
  <c r="CF22" i="44"/>
  <c r="CD22" i="44"/>
  <c r="CC22" i="44"/>
  <c r="BD22" i="44"/>
  <c r="BC22" i="44"/>
  <c r="AD22" i="44"/>
  <c r="AC22" i="44"/>
  <c r="FD21" i="44"/>
  <c r="FC21" i="44"/>
  <c r="ED21" i="44"/>
  <c r="EC21" i="44"/>
  <c r="DC21" i="44"/>
  <c r="DB21" i="44"/>
  <c r="CZ21" i="44"/>
  <c r="CX21" i="44"/>
  <c r="CV21" i="44"/>
  <c r="CT21" i="44"/>
  <c r="CR21" i="44"/>
  <c r="CP21" i="44"/>
  <c r="CN21" i="44"/>
  <c r="CL21" i="44"/>
  <c r="CJ21" i="44"/>
  <c r="CH21" i="44"/>
  <c r="CF21" i="44"/>
  <c r="CC21" i="44"/>
  <c r="CB21" i="44"/>
  <c r="BZ21" i="44"/>
  <c r="BX21" i="44"/>
  <c r="BV21" i="44"/>
  <c r="BT21" i="44"/>
  <c r="BR21" i="44"/>
  <c r="BP21" i="44"/>
  <c r="BN21" i="44"/>
  <c r="BL21" i="44"/>
  <c r="BJ21" i="44"/>
  <c r="BH21" i="44"/>
  <c r="BF21" i="44"/>
  <c r="BD21" i="44"/>
  <c r="BC21" i="44"/>
  <c r="AD21" i="44"/>
  <c r="AC21" i="44"/>
  <c r="HE21" i="44" s="1"/>
  <c r="FD20" i="44"/>
  <c r="FC20" i="44"/>
  <c r="ED20" i="44"/>
  <c r="EC20" i="44"/>
  <c r="DD20" i="44"/>
  <c r="DC20" i="44"/>
  <c r="CC20" i="44"/>
  <c r="CB20" i="44"/>
  <c r="BZ20" i="44"/>
  <c r="BX20" i="44"/>
  <c r="BV20" i="44"/>
  <c r="BT20" i="44"/>
  <c r="BR20" i="44"/>
  <c r="BP20" i="44"/>
  <c r="BN20" i="44"/>
  <c r="BL20" i="44"/>
  <c r="BJ20" i="44"/>
  <c r="BH20" i="44"/>
  <c r="BF20" i="44"/>
  <c r="BC20" i="44"/>
  <c r="BB20" i="44"/>
  <c r="AZ20" i="44"/>
  <c r="AX20" i="44"/>
  <c r="AV20" i="44"/>
  <c r="AD20" i="44"/>
  <c r="AC20" i="44"/>
  <c r="FD19" i="44"/>
  <c r="FC19" i="44"/>
  <c r="ED19" i="44"/>
  <c r="EC19" i="44"/>
  <c r="DD19" i="44"/>
  <c r="DC19" i="44"/>
  <c r="CC19" i="44"/>
  <c r="BZ19" i="44"/>
  <c r="BX19" i="44"/>
  <c r="BV19" i="44"/>
  <c r="BT19" i="44"/>
  <c r="BR19" i="44"/>
  <c r="BP19" i="44"/>
  <c r="BN19" i="44"/>
  <c r="BL19" i="44"/>
  <c r="BJ19" i="44"/>
  <c r="BH19" i="44"/>
  <c r="BF19" i="44"/>
  <c r="BC19" i="44"/>
  <c r="BB19" i="44"/>
  <c r="AZ19" i="44"/>
  <c r="AX19" i="44"/>
  <c r="AV19" i="44"/>
  <c r="AT19" i="44"/>
  <c r="AD19" i="44"/>
  <c r="AC19" i="44"/>
  <c r="FD18" i="44"/>
  <c r="FC18" i="44"/>
  <c r="ED18" i="44"/>
  <c r="EC18" i="44"/>
  <c r="DC18" i="44"/>
  <c r="CF18" i="44"/>
  <c r="DD18" i="44" s="1"/>
  <c r="CC18" i="44"/>
  <c r="CD18" i="44" s="1"/>
  <c r="CB18" i="44"/>
  <c r="BZ18" i="44"/>
  <c r="BX18" i="44"/>
  <c r="BV18" i="44"/>
  <c r="BT18" i="44"/>
  <c r="BR18" i="44"/>
  <c r="BP18" i="44"/>
  <c r="BN18" i="44"/>
  <c r="BL18" i="44"/>
  <c r="BJ18" i="44"/>
  <c r="BH18" i="44"/>
  <c r="BF18" i="44"/>
  <c r="BC18" i="44"/>
  <c r="BB18" i="44"/>
  <c r="AZ18" i="44"/>
  <c r="AX18" i="44"/>
  <c r="AV18" i="44"/>
  <c r="AT18" i="44"/>
  <c r="AR18" i="44"/>
  <c r="AP18" i="44"/>
  <c r="AN18" i="44"/>
  <c r="AL18" i="44"/>
  <c r="AJ18" i="44"/>
  <c r="AH18" i="44"/>
  <c r="AF18" i="44"/>
  <c r="AC18" i="44"/>
  <c r="AB18" i="44"/>
  <c r="AD18" i="44" s="1"/>
  <c r="FD17" i="44"/>
  <c r="FC17" i="44"/>
  <c r="ED17" i="44"/>
  <c r="EC17" i="44"/>
  <c r="DC17" i="44"/>
  <c r="CF17" i="44"/>
  <c r="CC17" i="44"/>
  <c r="CD17" i="44" s="1"/>
  <c r="CB17" i="44"/>
  <c r="BZ17" i="44"/>
  <c r="BX17" i="44"/>
  <c r="BV17" i="44"/>
  <c r="BT17" i="44"/>
  <c r="BR17" i="44"/>
  <c r="BP17" i="44"/>
  <c r="BN17" i="44"/>
  <c r="BL17" i="44"/>
  <c r="BJ17" i="44"/>
  <c r="BH17" i="44"/>
  <c r="BF17" i="44"/>
  <c r="BC17" i="44"/>
  <c r="BB17" i="44"/>
  <c r="AZ17" i="44"/>
  <c r="AX17" i="44"/>
  <c r="AD17" i="44"/>
  <c r="AC17" i="44"/>
  <c r="HE17" i="44" s="1"/>
  <c r="FD16" i="44"/>
  <c r="FC16" i="44"/>
  <c r="ED16" i="44"/>
  <c r="EC16" i="44"/>
  <c r="DD16" i="44"/>
  <c r="DC16" i="44"/>
  <c r="CC16" i="44"/>
  <c r="CD16" i="44" s="1"/>
  <c r="BX16" i="44"/>
  <c r="BV16" i="44"/>
  <c r="BT16" i="44"/>
  <c r="BR16" i="44"/>
  <c r="BP16" i="44"/>
  <c r="BN16" i="44"/>
  <c r="BL16" i="44"/>
  <c r="BJ16" i="44"/>
  <c r="BH16" i="44"/>
  <c r="BF16" i="44"/>
  <c r="BC16" i="44"/>
  <c r="BB16" i="44"/>
  <c r="AZ16" i="44"/>
  <c r="AX16" i="44"/>
  <c r="AV16" i="44"/>
  <c r="AT16" i="44"/>
  <c r="AR16" i="44"/>
  <c r="AD16" i="44"/>
  <c r="AC16" i="44"/>
  <c r="FD15" i="44"/>
  <c r="FC15" i="44"/>
  <c r="ED15" i="44"/>
  <c r="EC15" i="44"/>
  <c r="DD15" i="44"/>
  <c r="DC15" i="44"/>
  <c r="CD15" i="44"/>
  <c r="CC15" i="44"/>
  <c r="BC15" i="44"/>
  <c r="AT15" i="44"/>
  <c r="AR15" i="44"/>
  <c r="AP15" i="44"/>
  <c r="AN15" i="44"/>
  <c r="AL15" i="44"/>
  <c r="AJ15" i="44"/>
  <c r="AH15" i="44"/>
  <c r="AF15" i="44"/>
  <c r="AC15" i="44"/>
  <c r="AB15" i="44"/>
  <c r="BF37" i="43"/>
  <c r="BE37" i="43"/>
  <c r="BE36" i="43"/>
  <c r="BF36" i="43"/>
  <c r="BE35" i="43"/>
  <c r="BF35" i="43"/>
  <c r="BE34" i="43"/>
  <c r="BF34" i="43"/>
  <c r="BE33" i="43"/>
  <c r="BF33" i="43"/>
  <c r="BF32" i="43"/>
  <c r="BE32" i="43"/>
  <c r="BE26" i="43"/>
  <c r="BE25" i="43"/>
  <c r="BE23" i="43"/>
  <c r="BE19" i="43"/>
  <c r="BF13" i="43"/>
  <c r="BE13" i="43"/>
  <c r="BF12" i="43"/>
  <c r="BE12" i="43"/>
  <c r="BF11" i="43"/>
  <c r="BE11" i="43"/>
  <c r="BE10" i="43"/>
  <c r="N37" i="43"/>
  <c r="L37" i="43"/>
  <c r="J37" i="43"/>
  <c r="H37" i="43"/>
  <c r="G37" i="43"/>
  <c r="F37" i="43"/>
  <c r="AD36" i="43"/>
  <c r="AC36" i="43"/>
  <c r="AA36" i="43"/>
  <c r="W36" i="43"/>
  <c r="U36" i="43"/>
  <c r="Q36" i="43"/>
  <c r="O36" i="43"/>
  <c r="I36" i="43"/>
  <c r="AD35" i="43"/>
  <c r="W35" i="43"/>
  <c r="U35" i="43"/>
  <c r="I35" i="43"/>
  <c r="G35" i="43"/>
  <c r="AD34" i="43"/>
  <c r="AA34" i="43"/>
  <c r="G34" i="43"/>
  <c r="AC33" i="43"/>
  <c r="AA33" i="43"/>
  <c r="Z33" i="43"/>
  <c r="X33" i="43"/>
  <c r="V33" i="43"/>
  <c r="U33" i="43"/>
  <c r="T33" i="43"/>
  <c r="R33" i="43"/>
  <c r="P33" i="43"/>
  <c r="O33" i="43"/>
  <c r="N33" i="43"/>
  <c r="L33" i="43"/>
  <c r="K33" i="43"/>
  <c r="J33" i="43"/>
  <c r="H33" i="43"/>
  <c r="F33" i="43"/>
  <c r="Z32" i="43"/>
  <c r="Y32" i="43"/>
  <c r="X32" i="43"/>
  <c r="V32" i="43"/>
  <c r="T32" i="43"/>
  <c r="S32" i="43"/>
  <c r="R32" i="43"/>
  <c r="Q32" i="43"/>
  <c r="P32" i="43"/>
  <c r="N32" i="43"/>
  <c r="M32" i="43"/>
  <c r="L32" i="43"/>
  <c r="J32" i="43"/>
  <c r="H32" i="43"/>
  <c r="G32" i="43"/>
  <c r="F32" i="43"/>
  <c r="D31" i="43"/>
  <c r="W26" i="43"/>
  <c r="U26" i="43"/>
  <c r="S26" i="43"/>
  <c r="AB25" i="43"/>
  <c r="GP25" i="43" s="1"/>
  <c r="P25" i="43"/>
  <c r="J25" i="43"/>
  <c r="K25" i="43" s="1"/>
  <c r="H25" i="43"/>
  <c r="AC24" i="43"/>
  <c r="AA24" i="43"/>
  <c r="Y24" i="43"/>
  <c r="W24" i="43"/>
  <c r="U24" i="43"/>
  <c r="Q24" i="43"/>
  <c r="O24" i="43"/>
  <c r="K24" i="43"/>
  <c r="AC19" i="43"/>
  <c r="AA19" i="43"/>
  <c r="W19" i="43"/>
  <c r="S19" i="43"/>
  <c r="Q19" i="43"/>
  <c r="O19" i="43"/>
  <c r="M19" i="43"/>
  <c r="J19" i="43"/>
  <c r="K19" i="43" s="1"/>
  <c r="H19" i="43"/>
  <c r="AC13" i="43"/>
  <c r="AB13" i="43"/>
  <c r="AA13" i="43"/>
  <c r="Z13" i="43"/>
  <c r="X13" i="43"/>
  <c r="W13" i="43"/>
  <c r="V13" i="43"/>
  <c r="U13" i="43"/>
  <c r="T13" i="43"/>
  <c r="R13" i="43"/>
  <c r="P13" i="43"/>
  <c r="O13" i="43"/>
  <c r="N13" i="43"/>
  <c r="M13" i="43"/>
  <c r="L13" i="43"/>
  <c r="K13" i="43"/>
  <c r="J13" i="43"/>
  <c r="I13" i="43"/>
  <c r="H13" i="43"/>
  <c r="G13" i="43"/>
  <c r="F13" i="43"/>
  <c r="AB12" i="43"/>
  <c r="Z12" i="43"/>
  <c r="X12" i="43"/>
  <c r="V12" i="43"/>
  <c r="T12" i="43"/>
  <c r="R12" i="43"/>
  <c r="P12" i="43"/>
  <c r="N12" i="43"/>
  <c r="L12" i="43"/>
  <c r="J12" i="43"/>
  <c r="H12" i="43"/>
  <c r="F12" i="43"/>
  <c r="AB11" i="43"/>
  <c r="Z11" i="43"/>
  <c r="X11" i="43"/>
  <c r="V11" i="43"/>
  <c r="T11" i="43"/>
  <c r="R11" i="43"/>
  <c r="P11" i="43"/>
  <c r="N11" i="43"/>
  <c r="L11" i="43"/>
  <c r="J11" i="43"/>
  <c r="H11" i="43"/>
  <c r="F11" i="43"/>
  <c r="AB10" i="43"/>
  <c r="Z10" i="43"/>
  <c r="X10" i="43"/>
  <c r="V10" i="43"/>
  <c r="T10" i="43"/>
  <c r="R10" i="43"/>
  <c r="P10" i="43"/>
  <c r="N10" i="43"/>
  <c r="L10" i="43"/>
  <c r="J10" i="43"/>
  <c r="H10" i="43"/>
  <c r="F10" i="43"/>
  <c r="D7" i="39"/>
  <c r="D9" i="39" s="1"/>
  <c r="D11" i="39" s="1"/>
  <c r="D12" i="39"/>
  <c r="E12" i="39" s="1"/>
  <c r="D27" i="39"/>
  <c r="D33" i="39"/>
  <c r="D38" i="39"/>
  <c r="F10" i="4"/>
  <c r="G10" i="4" s="1"/>
  <c r="P10" i="4"/>
  <c r="Q10" i="4" s="1"/>
  <c r="R10" i="4" s="1"/>
  <c r="F11" i="4"/>
  <c r="G11" i="4" s="1"/>
  <c r="P11" i="4"/>
  <c r="Q11" i="4" s="1"/>
  <c r="S11" i="4" s="1"/>
  <c r="Y11" i="4"/>
  <c r="Y12" i="4" s="1"/>
  <c r="Y13" i="4" s="1"/>
  <c r="Z11" i="4"/>
  <c r="Z12" i="4" s="1"/>
  <c r="Z13" i="4" s="1"/>
  <c r="AA11" i="4"/>
  <c r="AA12" i="4" s="1"/>
  <c r="AA13" i="4" s="1"/>
  <c r="AB11" i="4"/>
  <c r="AB12" i="4" s="1"/>
  <c r="AB13" i="4" s="1"/>
  <c r="AC11" i="4"/>
  <c r="AC12" i="4" s="1"/>
  <c r="AC13" i="4" s="1"/>
  <c r="G12" i="4"/>
  <c r="I12" i="4" s="1"/>
  <c r="Q12" i="4"/>
  <c r="R12" i="4" s="1"/>
  <c r="F10" i="11"/>
  <c r="P10" i="11" s="1"/>
  <c r="Q10" i="11" s="1"/>
  <c r="G11" i="11"/>
  <c r="P11" i="11"/>
  <c r="Q11" i="11" s="1"/>
  <c r="S11" i="11" s="1"/>
  <c r="G12" i="11"/>
  <c r="I12" i="11" s="1"/>
  <c r="P12" i="11"/>
  <c r="Q12" i="11" s="1"/>
  <c r="F17" i="11"/>
  <c r="G17" i="11" s="1"/>
  <c r="I17" i="11" s="1"/>
  <c r="P17" i="11"/>
  <c r="Q17" i="11" s="1"/>
  <c r="F18" i="11"/>
  <c r="G18" i="11" s="1"/>
  <c r="P18" i="11"/>
  <c r="Q18" i="11" s="1"/>
  <c r="AF9" i="12"/>
  <c r="AF10" i="12" s="1"/>
  <c r="AF11" i="12" s="1"/>
  <c r="AG9" i="12"/>
  <c r="AG10" i="12" s="1"/>
  <c r="AG11" i="12" s="1"/>
  <c r="F10" i="12"/>
  <c r="G10" i="12" s="1"/>
  <c r="H10" i="12" s="1"/>
  <c r="P10" i="12"/>
  <c r="Q10" i="12" s="1"/>
  <c r="R10" i="12" s="1"/>
  <c r="AH10" i="12"/>
  <c r="AH11" i="12" s="1"/>
  <c r="AH12" i="12" s="1"/>
  <c r="F11" i="12"/>
  <c r="G11" i="12" s="1"/>
  <c r="P11" i="12"/>
  <c r="Q11" i="12" s="1"/>
  <c r="F15" i="12"/>
  <c r="G15" i="12" s="1"/>
  <c r="I15" i="12" s="1"/>
  <c r="P15" i="12"/>
  <c r="Q15" i="12" s="1"/>
  <c r="F16" i="12"/>
  <c r="P16" i="12"/>
  <c r="P17" i="4" s="1"/>
  <c r="Q17" i="4" s="1"/>
  <c r="R17" i="4" s="1"/>
  <c r="H6" i="22"/>
  <c r="H22" i="22" s="1"/>
  <c r="H7" i="22"/>
  <c r="I7" i="22" s="1"/>
  <c r="H9" i="22"/>
  <c r="I9" i="22" s="1"/>
  <c r="H10" i="22"/>
  <c r="I10" i="22" s="1"/>
  <c r="H11" i="22"/>
  <c r="I11" i="22" s="1"/>
  <c r="H12" i="22"/>
  <c r="I12" i="22" s="1"/>
  <c r="H13" i="22"/>
  <c r="I13" i="22" s="1"/>
  <c r="H14" i="22"/>
  <c r="I14" i="22" s="1"/>
  <c r="H16" i="22"/>
  <c r="I16" i="22" s="1"/>
  <c r="H17" i="22"/>
  <c r="I17" i="22" s="1"/>
  <c r="H18" i="22"/>
  <c r="I18" i="22" s="1"/>
  <c r="H19" i="22"/>
  <c r="I19" i="22" s="1"/>
  <c r="H20" i="22"/>
  <c r="I20" i="22" s="1"/>
  <c r="V23" i="22"/>
  <c r="V24" i="22" s="1"/>
  <c r="V25" i="22" s="1"/>
  <c r="O30" i="22"/>
  <c r="Q30" i="22" s="1"/>
  <c r="F26" i="22"/>
  <c r="G26" i="22" s="1"/>
  <c r="I28" i="22" s="1"/>
  <c r="I31" i="22" s="1"/>
  <c r="P31" i="22"/>
  <c r="G33" i="22"/>
  <c r="I35" i="22" s="1"/>
  <c r="G34" i="22"/>
  <c r="H6" i="20"/>
  <c r="H7" i="20"/>
  <c r="I7" i="20" s="1"/>
  <c r="H8" i="20"/>
  <c r="I8" i="20" s="1"/>
  <c r="H9" i="20"/>
  <c r="I9" i="20" s="1"/>
  <c r="H10" i="20"/>
  <c r="I10" i="20" s="1"/>
  <c r="H11" i="20"/>
  <c r="I11" i="20" s="1"/>
  <c r="H13" i="20"/>
  <c r="I13" i="20" s="1"/>
  <c r="H14" i="20"/>
  <c r="I14" i="20" s="1"/>
  <c r="H15" i="20"/>
  <c r="I15" i="20" s="1"/>
  <c r="H16" i="20"/>
  <c r="I16" i="20" s="1"/>
  <c r="H17" i="20"/>
  <c r="I17" i="20" s="1"/>
  <c r="O27" i="20"/>
  <c r="Q27" i="20" s="1"/>
  <c r="U22" i="20"/>
  <c r="U23" i="20" s="1"/>
  <c r="U24" i="20" s="1"/>
  <c r="H5" i="6"/>
  <c r="I5" i="6" s="1"/>
  <c r="H6" i="6"/>
  <c r="I6" i="6" s="1"/>
  <c r="P7" i="20"/>
  <c r="H7" i="6"/>
  <c r="I7" i="6" s="1"/>
  <c r="H8" i="6"/>
  <c r="I8" i="6" s="1"/>
  <c r="P8" i="6"/>
  <c r="Q8" i="6" s="1"/>
  <c r="H10" i="6"/>
  <c r="I10" i="6" s="1"/>
  <c r="P10" i="6"/>
  <c r="P11" i="20" s="1"/>
  <c r="P11" i="22" s="1"/>
  <c r="Q11" i="22" s="1"/>
  <c r="V10" i="6"/>
  <c r="V11" i="6" s="1"/>
  <c r="V12" i="6" s="1"/>
  <c r="H11" i="6"/>
  <c r="I11" i="6" s="1"/>
  <c r="H12" i="6"/>
  <c r="I12" i="6" s="1"/>
  <c r="H13" i="6"/>
  <c r="I13" i="6" s="1"/>
  <c r="H14" i="6"/>
  <c r="I14" i="6" s="1"/>
  <c r="P20" i="6"/>
  <c r="Q20" i="6" s="1"/>
  <c r="H30" i="6" s="1"/>
  <c r="H15" i="6"/>
  <c r="I15" i="6" s="1"/>
  <c r="P21" i="6"/>
  <c r="P21" i="20" s="1"/>
  <c r="P23" i="22" s="1"/>
  <c r="Q23" i="22" s="1"/>
  <c r="P22" i="6"/>
  <c r="Q22" i="6" s="1"/>
  <c r="P23" i="6"/>
  <c r="P24" i="6"/>
  <c r="P24" i="20" s="1"/>
  <c r="P26" i="22" s="1"/>
  <c r="Q26" i="22" s="1"/>
  <c r="H49" i="22" s="1"/>
  <c r="F21" i="6"/>
  <c r="F24" i="20" s="1"/>
  <c r="G24" i="20" s="1"/>
  <c r="I24" i="20" s="1"/>
  <c r="I27" i="20" s="1"/>
  <c r="F22" i="6"/>
  <c r="F23" i="6" s="1"/>
  <c r="G23" i="6" s="1"/>
  <c r="H23" i="6" s="1"/>
  <c r="O27" i="6"/>
  <c r="Q27" i="6" s="1"/>
  <c r="G6" i="5"/>
  <c r="G7" i="5"/>
  <c r="H7" i="5" s="1"/>
  <c r="I7" i="5" s="1"/>
  <c r="G8" i="5"/>
  <c r="H8" i="5" s="1"/>
  <c r="I8" i="5" s="1"/>
  <c r="G9" i="5"/>
  <c r="H9" i="5" s="1"/>
  <c r="I9" i="5" s="1"/>
  <c r="G10" i="5"/>
  <c r="H10" i="5" s="1"/>
  <c r="I10" i="5" s="1"/>
  <c r="G11" i="5"/>
  <c r="H11" i="5" s="1"/>
  <c r="I11" i="5" s="1"/>
  <c r="G12" i="5"/>
  <c r="H12" i="5" s="1"/>
  <c r="I12" i="5" s="1"/>
  <c r="G13" i="5"/>
  <c r="H13" i="5" s="1"/>
  <c r="I13" i="5" s="1"/>
  <c r="H14" i="5"/>
  <c r="I14" i="5" s="1"/>
  <c r="G15" i="5"/>
  <c r="H15" i="5" s="1"/>
  <c r="I15" i="5" s="1"/>
  <c r="G16" i="5"/>
  <c r="H16" i="5" s="1"/>
  <c r="I16" i="5" s="1"/>
  <c r="O18" i="5"/>
  <c r="O19" i="5" s="1"/>
  <c r="O20" i="5" s="1"/>
  <c r="G26" i="5"/>
  <c r="H25" i="5" s="1"/>
  <c r="G27" i="5"/>
  <c r="L29" i="5"/>
  <c r="L30" i="5"/>
  <c r="G35" i="5"/>
  <c r="I33" i="5" s="1"/>
  <c r="G38" i="5"/>
  <c r="H34" i="5" s="1"/>
  <c r="H7" i="3"/>
  <c r="I7" i="3" s="1"/>
  <c r="H8" i="3"/>
  <c r="I8" i="3" s="1"/>
  <c r="H9" i="3"/>
  <c r="I9" i="3" s="1"/>
  <c r="P14" i="3"/>
  <c r="P15" i="3" s="1"/>
  <c r="P16" i="3" s="1"/>
  <c r="F16" i="3"/>
  <c r="F17" i="3"/>
  <c r="F18" i="3"/>
  <c r="E20" i="3"/>
  <c r="E27" i="3" s="1"/>
  <c r="F22" i="3"/>
  <c r="E25" i="3"/>
  <c r="G38" i="3"/>
  <c r="H7" i="19"/>
  <c r="I7" i="19" s="1"/>
  <c r="H8" i="19"/>
  <c r="I8" i="19" s="1"/>
  <c r="H9" i="19"/>
  <c r="I9" i="19" s="1"/>
  <c r="H10" i="19"/>
  <c r="I10" i="19" s="1"/>
  <c r="H11" i="19"/>
  <c r="I11" i="19" s="1"/>
  <c r="H12" i="19"/>
  <c r="I12" i="19" s="1"/>
  <c r="H13" i="19"/>
  <c r="I13" i="19" s="1"/>
  <c r="H14" i="19"/>
  <c r="I14" i="19" s="1"/>
  <c r="G15" i="19"/>
  <c r="E34" i="19" s="1"/>
  <c r="E36" i="19" s="1"/>
  <c r="F19" i="19"/>
  <c r="G19" i="19" s="1"/>
  <c r="H19" i="19" s="1"/>
  <c r="F20" i="19"/>
  <c r="G20" i="19" s="1"/>
  <c r="H20" i="19" s="1"/>
  <c r="F21" i="19"/>
  <c r="G21" i="19" s="1"/>
  <c r="I21" i="19" s="1"/>
  <c r="F23" i="19"/>
  <c r="G23" i="19" s="1"/>
  <c r="H23" i="19" s="1"/>
  <c r="Y23" i="19"/>
  <c r="Y24" i="19" s="1"/>
  <c r="Y25" i="19" s="1"/>
  <c r="F35" i="19"/>
  <c r="G35" i="19" s="1"/>
  <c r="I35" i="19" s="1"/>
  <c r="H5" i="9"/>
  <c r="H6" i="9"/>
  <c r="I6" i="9" s="1"/>
  <c r="H7" i="9"/>
  <c r="I7" i="9" s="1"/>
  <c r="H8" i="9"/>
  <c r="I8" i="9" s="1"/>
  <c r="H9" i="9"/>
  <c r="I9" i="9" s="1"/>
  <c r="H10" i="9"/>
  <c r="I10" i="9" s="1"/>
  <c r="H11" i="9"/>
  <c r="I11" i="9" s="1"/>
  <c r="H12" i="9"/>
  <c r="I12" i="9" s="1"/>
  <c r="H13" i="9"/>
  <c r="I13" i="9" s="1"/>
  <c r="G14" i="9"/>
  <c r="E34" i="9" s="1"/>
  <c r="E18" i="9"/>
  <c r="F18" i="9"/>
  <c r="G19" i="9"/>
  <c r="H19" i="9" s="1"/>
  <c r="H20" i="9"/>
  <c r="I20" i="9"/>
  <c r="F21" i="9"/>
  <c r="F22" i="9" s="1"/>
  <c r="G22" i="9" s="1"/>
  <c r="F23" i="9"/>
  <c r="G23" i="9" s="1"/>
  <c r="I23" i="9" s="1"/>
  <c r="F26" i="9"/>
  <c r="G26" i="9" s="1"/>
  <c r="H26" i="9" s="1"/>
  <c r="H28" i="9" s="1"/>
  <c r="E27" i="9"/>
  <c r="E28" i="9" s="1"/>
  <c r="E30" i="9" s="1"/>
  <c r="G30" i="9" s="1"/>
  <c r="F27" i="9"/>
  <c r="F33" i="9"/>
  <c r="G33" i="9" s="1"/>
  <c r="H33" i="9" s="1"/>
  <c r="H36" i="9" s="1"/>
  <c r="F34" i="9"/>
  <c r="F35" i="9"/>
  <c r="G35" i="9" s="1"/>
  <c r="I35" i="9" s="1"/>
  <c r="E7" i="17"/>
  <c r="G7" i="17" s="1"/>
  <c r="E8" i="17"/>
  <c r="G8" i="17" s="1"/>
  <c r="E9" i="17"/>
  <c r="G9" i="17" s="1"/>
  <c r="E10" i="17"/>
  <c r="G10" i="17" s="1"/>
  <c r="E11" i="17"/>
  <c r="E12" i="17" s="1"/>
  <c r="G12" i="17" s="1"/>
  <c r="E13" i="17"/>
  <c r="G13" i="17" s="1"/>
  <c r="E14" i="17"/>
  <c r="G14" i="17" s="1"/>
  <c r="E22" i="17"/>
  <c r="G22" i="17" s="1"/>
  <c r="A23" i="17"/>
  <c r="A24" i="17" s="1"/>
  <c r="A25" i="17" s="1"/>
  <c r="A26" i="17" s="1"/>
  <c r="A27" i="17" s="1"/>
  <c r="A28" i="17" s="1"/>
  <c r="A29" i="17" s="1"/>
  <c r="E23" i="17"/>
  <c r="G23" i="17" s="1"/>
  <c r="E26" i="17"/>
  <c r="G26" i="17" s="1"/>
  <c r="E28" i="17"/>
  <c r="G28" i="17" s="1"/>
  <c r="E32" i="17"/>
  <c r="G32" i="17" s="1"/>
  <c r="A36" i="17"/>
  <c r="A37" i="17" s="1"/>
  <c r="G37" i="17"/>
  <c r="D38" i="17"/>
  <c r="E6" i="16"/>
  <c r="G6" i="16" s="1"/>
  <c r="E7" i="16"/>
  <c r="E8" i="16" s="1"/>
  <c r="G8" i="16" s="1"/>
  <c r="E9" i="16"/>
  <c r="G9" i="16" s="1"/>
  <c r="E10" i="16"/>
  <c r="G10" i="16" s="1"/>
  <c r="E13" i="16"/>
  <c r="G13" i="16" s="1"/>
  <c r="E14" i="16"/>
  <c r="G14" i="16" s="1"/>
  <c r="E15" i="16"/>
  <c r="G15" i="16" s="1"/>
  <c r="G16" i="16"/>
  <c r="E23" i="16"/>
  <c r="G23" i="16" s="1"/>
  <c r="E26" i="16"/>
  <c r="G26" i="16" s="1"/>
  <c r="K24" i="16"/>
  <c r="L24" i="16" s="1"/>
  <c r="K25" i="16"/>
  <c r="L25" i="16" s="1"/>
  <c r="K26" i="16"/>
  <c r="L26" i="16" s="1"/>
  <c r="G29" i="16"/>
  <c r="K27" i="16"/>
  <c r="L27" i="16" s="1"/>
  <c r="K28" i="16"/>
  <c r="L28" i="16" s="1"/>
  <c r="D32" i="16"/>
  <c r="K38" i="16"/>
  <c r="CA14" i="30"/>
  <c r="CB14" i="30" s="1"/>
  <c r="CA15" i="30"/>
  <c r="CB15" i="30" s="1"/>
  <c r="CA16" i="30"/>
  <c r="CB16" i="30" s="1"/>
  <c r="CB18" i="30"/>
  <c r="CA21" i="30"/>
  <c r="CB21" i="30" s="1"/>
  <c r="CA27" i="30"/>
  <c r="CB27" i="30" s="1"/>
  <c r="CA28" i="30"/>
  <c r="CB28" i="30" s="1"/>
  <c r="CA29" i="30"/>
  <c r="CB29" i="30" s="1"/>
  <c r="CA30" i="30"/>
  <c r="CB30" i="30" s="1"/>
  <c r="CA31" i="30"/>
  <c r="CB31" i="30" s="1"/>
  <c r="CA32" i="30"/>
  <c r="CB32" i="30" s="1"/>
  <c r="CA39" i="30"/>
  <c r="CA44" i="30"/>
  <c r="CB44" i="30" s="1"/>
  <c r="CA45" i="30"/>
  <c r="CB45" i="30" s="1"/>
  <c r="CA46" i="30"/>
  <c r="CB46" i="30" s="1"/>
  <c r="CA47" i="30"/>
  <c r="CB47" i="30" s="1"/>
  <c r="CA48" i="30"/>
  <c r="CB48" i="30" s="1"/>
  <c r="CA49" i="30"/>
  <c r="CB49" i="30" s="1"/>
  <c r="CA51" i="30"/>
  <c r="CA63" i="30"/>
  <c r="CB63" i="30" s="1"/>
  <c r="CA64" i="30"/>
  <c r="CB64" i="30" s="1"/>
  <c r="CA65" i="30"/>
  <c r="CB65" i="30" s="1"/>
  <c r="CA68" i="30"/>
  <c r="CB68" i="30" s="1"/>
  <c r="CA69" i="30"/>
  <c r="CB69" i="30" s="1"/>
  <c r="CA70" i="30"/>
  <c r="CA71" i="30"/>
  <c r="CA72" i="30"/>
  <c r="CB72" i="30" s="1"/>
  <c r="CA73" i="30"/>
  <c r="CB73" i="30" s="1"/>
  <c r="CA74" i="30"/>
  <c r="CB74" i="30" s="1"/>
  <c r="CA75" i="30"/>
  <c r="CB75" i="30" s="1"/>
  <c r="CA76" i="30"/>
  <c r="CB76" i="30" s="1"/>
  <c r="CA87" i="30"/>
  <c r="CB87" i="30" s="1"/>
  <c r="I88" i="30"/>
  <c r="I89" i="30"/>
  <c r="I90" i="30"/>
  <c r="I91" i="30"/>
  <c r="I92" i="30"/>
  <c r="I93" i="30"/>
  <c r="C8" i="31"/>
  <c r="H8" i="31" s="1"/>
  <c r="CA94" i="30"/>
  <c r="CB94" i="30" s="1"/>
  <c r="CA95" i="30"/>
  <c r="CB95" i="30" s="1"/>
  <c r="CA96" i="30"/>
  <c r="CB96" i="30" s="1"/>
  <c r="CA98" i="30"/>
  <c r="CB98" i="30" s="1"/>
  <c r="CA99" i="30"/>
  <c r="CB99" i="30" s="1"/>
  <c r="F8" i="31"/>
  <c r="G8" i="31" s="1"/>
  <c r="F10" i="31"/>
  <c r="G10" i="31" s="1"/>
  <c r="D12" i="31"/>
  <c r="F12" i="31" s="1"/>
  <c r="J12" i="31"/>
  <c r="F14" i="31"/>
  <c r="G14" i="31" s="1"/>
  <c r="H14" i="31" s="1"/>
  <c r="J14" i="31"/>
  <c r="F15" i="31"/>
  <c r="G15" i="31" s="1"/>
  <c r="H15" i="31" s="1"/>
  <c r="F16" i="31"/>
  <c r="G16" i="31" s="1"/>
  <c r="H16" i="31" s="1"/>
  <c r="F17" i="31"/>
  <c r="G17" i="31" s="1"/>
  <c r="H17" i="31" s="1"/>
  <c r="J17" i="31"/>
  <c r="F18" i="31"/>
  <c r="G18" i="31" s="1"/>
  <c r="K18" i="31"/>
  <c r="F19" i="31"/>
  <c r="G19" i="31" s="1"/>
  <c r="F20" i="31"/>
  <c r="G20" i="31" s="1"/>
  <c r="F21" i="31"/>
  <c r="G21" i="31" s="1"/>
  <c r="F22" i="31"/>
  <c r="G22" i="31" s="1"/>
  <c r="K22" i="31"/>
  <c r="F23" i="31"/>
  <c r="G23" i="31" s="1"/>
  <c r="K23" i="31"/>
  <c r="F24" i="31"/>
  <c r="G24" i="31" s="1"/>
  <c r="K24" i="31"/>
  <c r="F25" i="31"/>
  <c r="G25" i="31" s="1"/>
  <c r="K25" i="31"/>
  <c r="F26" i="31"/>
  <c r="G26" i="31" s="1"/>
  <c r="K26" i="31"/>
  <c r="D27" i="31"/>
  <c r="D5" i="31" s="1"/>
  <c r="F5" i="31" s="1"/>
  <c r="E28" i="31"/>
  <c r="F28" i="31"/>
  <c r="G28" i="31" s="1"/>
  <c r="H28" i="31" s="1"/>
  <c r="J28" i="31"/>
  <c r="L28" i="31"/>
  <c r="E29" i="31"/>
  <c r="F29" i="31"/>
  <c r="G29" i="31" s="1"/>
  <c r="H29" i="31" s="1"/>
  <c r="J29" i="31"/>
  <c r="L29" i="31"/>
  <c r="F30" i="31"/>
  <c r="G30" i="31" s="1"/>
  <c r="K30" i="31"/>
  <c r="F31" i="31"/>
  <c r="G31" i="31" s="1"/>
  <c r="K31" i="31"/>
  <c r="F32" i="31"/>
  <c r="G32" i="31" s="1"/>
  <c r="K32" i="31"/>
  <c r="D33" i="31"/>
  <c r="F33" i="31" s="1"/>
  <c r="E34" i="31"/>
  <c r="F34" i="31"/>
  <c r="G34" i="31" s="1"/>
  <c r="H34" i="31" s="1"/>
  <c r="J34" i="31"/>
  <c r="L34" i="31"/>
  <c r="F35" i="31"/>
  <c r="G35" i="31" s="1"/>
  <c r="K35" i="31"/>
  <c r="F36" i="31"/>
  <c r="G36" i="31" s="1"/>
  <c r="K36" i="31"/>
  <c r="F37" i="31"/>
  <c r="G37" i="31" s="1"/>
  <c r="K37" i="31"/>
  <c r="D38" i="31"/>
  <c r="F38" i="31" s="1"/>
  <c r="G38" i="31" s="1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3" i="38"/>
  <c r="K34" i="38"/>
  <c r="J35" i="38"/>
  <c r="K35" i="38" s="1"/>
  <c r="K36" i="38"/>
  <c r="J39" i="38"/>
  <c r="K39" i="38" s="1"/>
  <c r="J40" i="38"/>
  <c r="K40" i="38" s="1"/>
  <c r="J41" i="38"/>
  <c r="K41" i="38" s="1"/>
  <c r="J42" i="38"/>
  <c r="K42" i="38" s="1"/>
  <c r="J44" i="38"/>
  <c r="K44" i="38" s="1"/>
  <c r="J46" i="38"/>
  <c r="K46" i="38" s="1"/>
  <c r="K52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7" i="38"/>
  <c r="K68" i="38"/>
  <c r="E3" i="40"/>
  <c r="E4" i="40"/>
  <c r="E5" i="40"/>
  <c r="E6" i="40"/>
  <c r="C7" i="40"/>
  <c r="D7" i="40"/>
  <c r="A9" i="40"/>
  <c r="A15" i="40" s="1"/>
  <c r="A21" i="40" s="1"/>
  <c r="A27" i="40" s="1"/>
  <c r="E9" i="40"/>
  <c r="E10" i="40"/>
  <c r="E11" i="40"/>
  <c r="C12" i="40"/>
  <c r="E12" i="40" s="1"/>
  <c r="D13" i="40"/>
  <c r="D15" i="40"/>
  <c r="E15" i="40" s="1"/>
  <c r="D16" i="40"/>
  <c r="E16" i="40" s="1"/>
  <c r="D17" i="40"/>
  <c r="C18" i="40"/>
  <c r="D18" i="40"/>
  <c r="D21" i="40"/>
  <c r="E21" i="40" s="1"/>
  <c r="D22" i="40"/>
  <c r="E22" i="40" s="1"/>
  <c r="C23" i="40"/>
  <c r="E23" i="40" s="1"/>
  <c r="C24" i="40"/>
  <c r="H24" i="40"/>
  <c r="I24" i="40"/>
  <c r="E27" i="40"/>
  <c r="H27" i="40"/>
  <c r="H29" i="40" s="1"/>
  <c r="I27" i="40"/>
  <c r="I29" i="40" s="1"/>
  <c r="E28" i="40"/>
  <c r="E29" i="40"/>
  <c r="E30" i="40"/>
  <c r="C31" i="40"/>
  <c r="D31" i="40"/>
  <c r="E36" i="40"/>
  <c r="AD46" i="44"/>
  <c r="AB105" i="44"/>
  <c r="I6" i="45"/>
  <c r="H105" i="44"/>
  <c r="AD77" i="44"/>
  <c r="AD87" i="44"/>
  <c r="AV102" i="44"/>
  <c r="K14" i="45"/>
  <c r="P78" i="30"/>
  <c r="CA78" i="30"/>
  <c r="CA85" i="30"/>
  <c r="CA79" i="30"/>
  <c r="BF10" i="43"/>
  <c r="G40" i="12"/>
  <c r="G41" i="12" s="1"/>
  <c r="F51" i="30"/>
  <c r="I51" i="30"/>
  <c r="S34" i="43"/>
  <c r="AA35" i="43"/>
  <c r="Q33" i="43"/>
  <c r="O32" i="43"/>
  <c r="CA88" i="30"/>
  <c r="Y13" i="43"/>
  <c r="P26" i="43"/>
  <c r="Q26" i="43" s="1"/>
  <c r="T26" i="43"/>
  <c r="N26" i="43"/>
  <c r="O26" i="43" s="1"/>
  <c r="K34" i="43"/>
  <c r="I33" i="43"/>
  <c r="M34" i="43"/>
  <c r="V26" i="43"/>
  <c r="GP26" i="43" s="1"/>
  <c r="H26" i="43"/>
  <c r="I26" i="43" s="1"/>
  <c r="J26" i="43"/>
  <c r="L26" i="43"/>
  <c r="M26" i="43" s="1"/>
  <c r="U34" i="43"/>
  <c r="R26" i="43"/>
  <c r="Y33" i="43"/>
  <c r="I34" i="43"/>
  <c r="O35" i="43"/>
  <c r="M35" i="43"/>
  <c r="P37" i="43"/>
  <c r="Y34" i="43"/>
  <c r="Q34" i="43"/>
  <c r="W34" i="43"/>
  <c r="M33" i="43"/>
  <c r="Y10" i="43"/>
  <c r="K10" i="43"/>
  <c r="AC12" i="43"/>
  <c r="S13" i="43"/>
  <c r="M36" i="43"/>
  <c r="W12" i="43"/>
  <c r="K36" i="43"/>
  <c r="AC11" i="43"/>
  <c r="Y12" i="43"/>
  <c r="U10" i="43"/>
  <c r="U12" i="43"/>
  <c r="S12" i="43"/>
  <c r="W32" i="43"/>
  <c r="W10" i="43"/>
  <c r="Q11" i="43"/>
  <c r="AC10" i="43"/>
  <c r="U32" i="43"/>
  <c r="M11" i="43"/>
  <c r="Q13" i="43"/>
  <c r="M12" i="43"/>
  <c r="S33" i="43"/>
  <c r="S10" i="43"/>
  <c r="W33" i="43"/>
  <c r="O11" i="43"/>
  <c r="G33" i="43"/>
  <c r="U11" i="43"/>
  <c r="K12" i="43"/>
  <c r="Q12" i="43"/>
  <c r="K32" i="43"/>
  <c r="I10" i="43"/>
  <c r="K11" i="43"/>
  <c r="W11" i="43"/>
  <c r="AA10" i="43"/>
  <c r="O12" i="43"/>
  <c r="G36" i="43"/>
  <c r="Q35" i="43"/>
  <c r="Y36" i="43"/>
  <c r="S11" i="43"/>
  <c r="Q10" i="43"/>
  <c r="I11" i="43"/>
  <c r="AA12" i="43"/>
  <c r="M10" i="43"/>
  <c r="Y11" i="43"/>
  <c r="O10" i="43"/>
  <c r="AA11" i="43"/>
  <c r="I12" i="43"/>
  <c r="R37" i="43"/>
  <c r="I32" i="43"/>
  <c r="T37" i="43"/>
  <c r="M37" i="43"/>
  <c r="S35" i="43"/>
  <c r="G10" i="43"/>
  <c r="G12" i="43"/>
  <c r="Y35" i="43"/>
  <c r="G11" i="43"/>
  <c r="AE11" i="43" s="1"/>
  <c r="V37" i="43"/>
  <c r="O37" i="43"/>
  <c r="S36" i="43"/>
  <c r="O34" i="43"/>
  <c r="AA32" i="43"/>
  <c r="K37" i="43"/>
  <c r="AC35" i="43"/>
  <c r="I37" i="43"/>
  <c r="AC34" i="43"/>
  <c r="K35" i="43"/>
  <c r="X37" i="43"/>
  <c r="AC32" i="43"/>
  <c r="Q37" i="43"/>
  <c r="S37" i="43"/>
  <c r="Z37" i="43"/>
  <c r="AB37" i="43"/>
  <c r="W37" i="43"/>
  <c r="U37" i="43"/>
  <c r="Y37" i="43"/>
  <c r="AA37" i="43"/>
  <c r="AC37" i="43"/>
  <c r="G6" i="45"/>
  <c r="ED49" i="44"/>
  <c r="DD69" i="44"/>
  <c r="ED94" i="44"/>
  <c r="N105" i="44"/>
  <c r="DD76" i="44"/>
  <c r="BC102" i="44"/>
  <c r="BD61" i="44"/>
  <c r="K8" i="45"/>
  <c r="K10" i="45"/>
  <c r="K9" i="45"/>
  <c r="K13" i="45"/>
  <c r="U19" i="43"/>
  <c r="BS19" i="43"/>
  <c r="AR19" i="43"/>
  <c r="CC19" i="43"/>
  <c r="BK19" i="43"/>
  <c r="BQ19" i="43"/>
  <c r="BY19" i="43"/>
  <c r="BU19" i="43"/>
  <c r="AZ19" i="43"/>
  <c r="BB19" i="43"/>
  <c r="BD19" i="43"/>
  <c r="BM19" i="43"/>
  <c r="AX19" i="43"/>
  <c r="AN19" i="43"/>
  <c r="AT19" i="43"/>
  <c r="CE19" i="43"/>
  <c r="CA19" i="43"/>
  <c r="BO19" i="43"/>
  <c r="BI19" i="43"/>
  <c r="AL19" i="43"/>
  <c r="AP19" i="43"/>
  <c r="AV19" i="43"/>
  <c r="BW19" i="43"/>
  <c r="AT24" i="43"/>
  <c r="CA24" i="43"/>
  <c r="AX24" i="43"/>
  <c r="BK24" i="43"/>
  <c r="BD24" i="43"/>
  <c r="CE24" i="43"/>
  <c r="AL24" i="43"/>
  <c r="BY24" i="43"/>
  <c r="BW24" i="43"/>
  <c r="BU24" i="43"/>
  <c r="BQ24" i="43"/>
  <c r="BO24" i="43"/>
  <c r="BS24" i="43"/>
  <c r="BB24" i="43"/>
  <c r="AR24" i="43"/>
  <c r="AP24" i="43"/>
  <c r="AV24" i="43"/>
  <c r="CC24" i="43"/>
  <c r="BM24" i="43"/>
  <c r="AN24" i="43"/>
  <c r="AZ24" i="43"/>
  <c r="BI24" i="43"/>
  <c r="AV25" i="43"/>
  <c r="BM25" i="43"/>
  <c r="BW18" i="43"/>
  <c r="BB18" i="43"/>
  <c r="AT18" i="43"/>
  <c r="BO18" i="43"/>
  <c r="AZ18" i="43"/>
  <c r="AV18" i="43"/>
  <c r="BU18" i="43"/>
  <c r="BD18" i="43"/>
  <c r="AX18" i="43"/>
  <c r="BM18" i="43"/>
  <c r="AL18" i="43"/>
  <c r="BY18" i="43"/>
  <c r="BS18" i="43"/>
  <c r="AP18" i="43"/>
  <c r="BI18" i="43"/>
  <c r="CA18" i="43"/>
  <c r="AR18" i="43"/>
  <c r="CE18" i="43"/>
  <c r="BK18" i="43"/>
  <c r="AN18" i="43"/>
  <c r="BQ18" i="43"/>
  <c r="CC18" i="43"/>
  <c r="BU23" i="43"/>
  <c r="BQ23" i="43"/>
  <c r="AP23" i="43"/>
  <c r="BM23" i="43"/>
  <c r="AT23" i="43"/>
  <c r="AX23" i="43"/>
  <c r="CA23" i="43"/>
  <c r="BD23" i="43"/>
  <c r="BS23" i="43"/>
  <c r="BO23" i="43"/>
  <c r="AV23" i="43"/>
  <c r="BI23" i="43"/>
  <c r="AZ23" i="43"/>
  <c r="CC23" i="43"/>
  <c r="AN23" i="43"/>
  <c r="AR23" i="43"/>
  <c r="BB23" i="43"/>
  <c r="BY23" i="43"/>
  <c r="AL23" i="43"/>
  <c r="BW23" i="43"/>
  <c r="CE23" i="43"/>
  <c r="AJ24" i="43"/>
  <c r="O18" i="22"/>
  <c r="K43" i="38"/>
  <c r="G53" i="17"/>
  <c r="G54" i="17" s="1"/>
  <c r="HD40" i="44"/>
  <c r="DD70" i="44"/>
  <c r="CJ75" i="44"/>
  <c r="HD60" i="44"/>
  <c r="BA104" i="44"/>
  <c r="BB102" i="44"/>
  <c r="BB104" i="44" s="1"/>
  <c r="AZ102" i="44"/>
  <c r="AZ104" i="44" s="1"/>
  <c r="BO25" i="43"/>
  <c r="AX25" i="43"/>
  <c r="CR25" i="43"/>
  <c r="EP25" i="43"/>
  <c r="FF25" i="43"/>
  <c r="FY25" i="43"/>
  <c r="BU25" i="43"/>
  <c r="BS25" i="43"/>
  <c r="M25" i="43"/>
  <c r="DK25" i="43"/>
  <c r="EA25" i="43"/>
  <c r="ER25" i="43"/>
  <c r="GA25" i="43"/>
  <c r="AT25" i="43"/>
  <c r="AP25" i="43"/>
  <c r="CV25" i="43"/>
  <c r="DM25" i="43"/>
  <c r="EC25" i="43"/>
  <c r="FM25" i="43"/>
  <c r="GC25" i="43"/>
  <c r="BQ25" i="43"/>
  <c r="CX25" i="43"/>
  <c r="DO25" i="43"/>
  <c r="EE25" i="43"/>
  <c r="FO25" i="43"/>
  <c r="GE25" i="43"/>
  <c r="BY25" i="43"/>
  <c r="AZ25" i="43"/>
  <c r="Y25" i="43"/>
  <c r="O25" i="43"/>
  <c r="CZ25" i="43"/>
  <c r="DQ25" i="43"/>
  <c r="EG25" i="43"/>
  <c r="FQ25" i="43"/>
  <c r="GG25" i="43"/>
  <c r="BW25" i="43"/>
  <c r="BI25" i="43"/>
  <c r="U25" i="43"/>
  <c r="AJ25" i="43"/>
  <c r="DB25" i="43"/>
  <c r="DS25" i="43"/>
  <c r="EZ25" i="43"/>
  <c r="GI25" i="43"/>
  <c r="BD25" i="43"/>
  <c r="CA25" i="43"/>
  <c r="CN25" i="43"/>
  <c r="DD25" i="43"/>
  <c r="DU25" i="43"/>
  <c r="FB25" i="43"/>
  <c r="DC104" i="44"/>
  <c r="DH75" i="44"/>
  <c r="GB101" i="44"/>
  <c r="DD50" i="44"/>
  <c r="CD66" i="44"/>
  <c r="AZ75" i="44"/>
  <c r="CZ31" i="44"/>
  <c r="S24" i="43"/>
  <c r="I24" i="43"/>
  <c r="M85" i="30"/>
  <c r="M24" i="43"/>
  <c r="FD60" i="44"/>
  <c r="GD97" i="44"/>
  <c r="BR107" i="44"/>
  <c r="BP31" i="45"/>
  <c r="AR23" i="45"/>
  <c r="BD87" i="44"/>
  <c r="BN15" i="45"/>
  <c r="BM23" i="45"/>
  <c r="BS82" i="30" s="1"/>
  <c r="DV92" i="44"/>
  <c r="FD46" i="44"/>
  <c r="BL27" i="45"/>
  <c r="BN27" i="45"/>
  <c r="DD53" i="44"/>
  <c r="AV15" i="45"/>
  <c r="AR19" i="45"/>
  <c r="ED64" i="44"/>
  <c r="CP68" i="44"/>
  <c r="FD88" i="44"/>
  <c r="CP85" i="44"/>
  <c r="EC104" i="44"/>
  <c r="AZ11" i="45"/>
  <c r="EN92" i="44"/>
  <c r="AT101" i="44"/>
  <c r="DD67" i="44"/>
  <c r="CD52" i="44"/>
  <c r="FD97" i="44"/>
  <c r="AZ31" i="45"/>
  <c r="DX107" i="44"/>
  <c r="ED88" i="44"/>
  <c r="DD90" i="44"/>
  <c r="AR15" i="45"/>
  <c r="GZ107" i="44"/>
  <c r="FS107" i="44"/>
  <c r="ED89" i="44"/>
  <c r="BD89" i="44"/>
  <c r="CD46" i="44"/>
  <c r="CD47" i="44" s="1"/>
  <c r="BD88" i="44"/>
  <c r="CD58" i="44"/>
  <c r="BK31" i="45"/>
  <c r="BQ84" i="30" s="1"/>
  <c r="DJ75" i="44"/>
  <c r="DX105" i="44"/>
  <c r="DL62" i="44"/>
  <c r="AV92" i="44"/>
  <c r="AW19" i="45"/>
  <c r="BA31" i="45"/>
  <c r="BG84" i="30" s="1"/>
  <c r="AT31" i="45"/>
  <c r="DK105" i="44"/>
  <c r="BD90" i="44"/>
  <c r="AF92" i="44"/>
  <c r="BD80" i="44"/>
  <c r="DD66" i="44"/>
  <c r="CB68" i="44"/>
  <c r="DD48" i="44"/>
  <c r="K32" i="45"/>
  <c r="J33" i="45"/>
  <c r="AP85" i="44"/>
  <c r="E23" i="45" s="1"/>
  <c r="M82" i="30" s="1"/>
  <c r="J32" i="45"/>
  <c r="K33" i="45"/>
  <c r="K85" i="30"/>
  <c r="AR43" i="30"/>
  <c r="G31" i="45"/>
  <c r="O84" i="30" s="1"/>
  <c r="BD67" i="44"/>
  <c r="BB68" i="44"/>
  <c r="G7" i="45"/>
  <c r="O78" i="30" s="1"/>
  <c r="BD46" i="44"/>
  <c r="AX43" i="30"/>
  <c r="AJ23" i="45"/>
  <c r="EA107" i="44"/>
  <c r="P7" i="45"/>
  <c r="M7" i="45"/>
  <c r="S78" i="30" s="1"/>
  <c r="H35" i="22"/>
  <c r="F35" i="45"/>
  <c r="J35" i="45" s="1"/>
  <c r="AU104" i="44"/>
  <c r="AW104" i="44"/>
  <c r="AX102" i="44"/>
  <c r="B7" i="45"/>
  <c r="AJ7" i="45"/>
  <c r="N11" i="45"/>
  <c r="AF19" i="45"/>
  <c r="HD41" i="44"/>
  <c r="AH11" i="45"/>
  <c r="X19" i="45"/>
  <c r="P12" i="6"/>
  <c r="P13" i="20" s="1"/>
  <c r="Q13" i="20" s="1"/>
  <c r="E24" i="16"/>
  <c r="G24" i="16" s="1"/>
  <c r="EN25" i="43"/>
  <c r="DW25" i="43"/>
  <c r="CP25" i="43"/>
  <c r="AF15" i="45"/>
  <c r="Z27" i="45"/>
  <c r="CA38" i="30"/>
  <c r="P31" i="45"/>
  <c r="P7" i="6"/>
  <c r="P8" i="20" s="1"/>
  <c r="F30" i="5"/>
  <c r="G30" i="5" s="1"/>
  <c r="E21" i="16"/>
  <c r="G21" i="16" s="1"/>
  <c r="AK19" i="45"/>
  <c r="AQ81" i="30" s="1"/>
  <c r="V23" i="45"/>
  <c r="P11" i="6"/>
  <c r="Q11" i="6" s="1"/>
  <c r="D23" i="45"/>
  <c r="HE26" i="44"/>
  <c r="AJ15" i="45"/>
  <c r="Z40" i="30"/>
  <c r="AJ40" i="30" s="1"/>
  <c r="AT40" i="30" s="1"/>
  <c r="BD40" i="30" s="1"/>
  <c r="BN40" i="30" s="1"/>
  <c r="BX40" i="30" s="1"/>
  <c r="Z36" i="30"/>
  <c r="BW23" i="30"/>
  <c r="L20" i="30"/>
  <c r="P20" i="30" s="1"/>
  <c r="H8" i="22"/>
  <c r="I8" i="22" s="1"/>
  <c r="AH33" i="30"/>
  <c r="K6" i="45"/>
  <c r="H9" i="6"/>
  <c r="I9" i="6" s="1"/>
  <c r="G30" i="19"/>
  <c r="G31" i="19" s="1"/>
  <c r="CA62" i="30"/>
  <c r="CB62" i="30" s="1"/>
  <c r="C8" i="39"/>
  <c r="E8" i="39" s="1"/>
  <c r="BW33" i="45"/>
  <c r="BY33" i="45" s="1"/>
  <c r="BW34" i="45"/>
  <c r="BY34" i="45" s="1"/>
  <c r="BC89" i="30"/>
  <c r="DM26" i="43"/>
  <c r="ER26" i="43"/>
  <c r="AP26" i="43"/>
  <c r="CV26" i="43"/>
  <c r="AR26" i="43"/>
  <c r="BM26" i="43"/>
  <c r="EV26" i="43"/>
  <c r="CJ26" i="43"/>
  <c r="DS26" i="43"/>
  <c r="CL26" i="43"/>
  <c r="BK26" i="43"/>
  <c r="CN26" i="43"/>
  <c r="AH26" i="43"/>
  <c r="BW26" i="43"/>
  <c r="FM26" i="43"/>
  <c r="EN26" i="43"/>
  <c r="FB26" i="43"/>
  <c r="EZ26" i="43"/>
  <c r="AZ26" i="43"/>
  <c r="CE26" i="43"/>
  <c r="DQ26" i="43"/>
  <c r="FS26" i="43"/>
  <c r="BY26" i="43"/>
  <c r="DF26" i="43"/>
  <c r="DW26" i="43"/>
  <c r="DU26" i="43"/>
  <c r="FW26" i="43"/>
  <c r="BQ26" i="43"/>
  <c r="Y26" i="43"/>
  <c r="EE26" i="43"/>
  <c r="FQ26" i="43"/>
  <c r="CA26" i="43"/>
  <c r="GC26" i="43"/>
  <c r="EA26" i="43"/>
  <c r="AN26" i="43"/>
  <c r="CT26" i="43"/>
  <c r="FH26" i="43"/>
  <c r="AV26" i="43"/>
  <c r="DO26" i="43"/>
  <c r="GI26" i="43"/>
  <c r="BI26" i="43"/>
  <c r="EG26" i="43"/>
  <c r="AA26" i="43"/>
  <c r="EX26" i="43"/>
  <c r="AT26" i="43"/>
  <c r="DB26" i="43"/>
  <c r="FY26" i="43"/>
  <c r="DD26" i="43"/>
  <c r="GA26" i="43"/>
  <c r="CP26" i="43"/>
  <c r="FD26" i="43"/>
  <c r="DK26" i="43"/>
  <c r="GE26" i="43"/>
  <c r="FF26" i="43"/>
  <c r="CR26" i="43"/>
  <c r="AJ26" i="43"/>
  <c r="CC26" i="43"/>
  <c r="EC26" i="43"/>
  <c r="GG26" i="43"/>
  <c r="AX26" i="43"/>
  <c r="ET26" i="43"/>
  <c r="BO26" i="43"/>
  <c r="CX26" i="43"/>
  <c r="FU26" i="43"/>
  <c r="AL26" i="43"/>
  <c r="CZ26" i="43"/>
  <c r="BB26" i="43"/>
  <c r="AC26" i="43"/>
  <c r="BU26" i="43"/>
  <c r="EL26" i="43"/>
  <c r="BD26" i="43"/>
  <c r="DY26" i="43"/>
  <c r="DF25" i="43"/>
  <c r="AH25" i="43"/>
  <c r="BB25" i="43"/>
  <c r="AR25" i="43"/>
  <c r="DY25" i="43"/>
  <c r="AL25" i="43"/>
  <c r="CT25" i="43"/>
  <c r="FH25" i="43"/>
  <c r="S25" i="43"/>
  <c r="ET25" i="43"/>
  <c r="AN25" i="43"/>
  <c r="EV25" i="43"/>
  <c r="CE25" i="43"/>
  <c r="CJ25" i="43"/>
  <c r="EX25" i="43"/>
  <c r="CC25" i="43"/>
  <c r="CL25" i="43"/>
  <c r="FS25" i="43"/>
  <c r="BK25" i="43"/>
  <c r="EL25" i="43"/>
  <c r="W25" i="43"/>
  <c r="FU25" i="43"/>
  <c r="AA25" i="43"/>
  <c r="C19" i="40"/>
  <c r="AL62" i="44"/>
  <c r="BD50" i="44"/>
  <c r="BI105" i="44"/>
  <c r="AU31" i="45"/>
  <c r="BA84" i="30" s="1"/>
  <c r="D13" i="39"/>
  <c r="C13" i="40"/>
  <c r="E33" i="5"/>
  <c r="I19" i="9"/>
  <c r="O25" i="6"/>
  <c r="AF11" i="45"/>
  <c r="DY105" i="44"/>
  <c r="GX23" i="43"/>
  <c r="D39" i="16"/>
  <c r="O27" i="22"/>
  <c r="DF31" i="44"/>
  <c r="E36" i="9"/>
  <c r="S18" i="11"/>
  <c r="R18" i="11"/>
  <c r="E25" i="17"/>
  <c r="G25" i="17" s="1"/>
  <c r="E19" i="16"/>
  <c r="G19" i="16" s="1"/>
  <c r="O25" i="20"/>
  <c r="AV103" i="44"/>
  <c r="BD103" i="44" s="1"/>
  <c r="C135" i="44"/>
  <c r="N15" i="45"/>
  <c r="GD96" i="44"/>
  <c r="AO94" i="30"/>
  <c r="D27" i="16"/>
  <c r="G34" i="16"/>
  <c r="G36" i="16" s="1"/>
  <c r="HD44" i="44"/>
  <c r="FW25" i="43"/>
  <c r="FD25" i="43"/>
  <c r="J88" i="30"/>
  <c r="P88" i="30" s="1"/>
  <c r="Z88" i="30" s="1"/>
  <c r="F88" i="30"/>
  <c r="O18" i="20"/>
  <c r="AP33" i="30"/>
  <c r="HT17" i="43"/>
  <c r="HR17" i="43"/>
  <c r="HF17" i="43"/>
  <c r="AF66" i="30" s="1"/>
  <c r="HD17" i="43"/>
  <c r="AD66" i="30" s="1"/>
  <c r="HB18" i="43"/>
  <c r="HF18" i="43"/>
  <c r="AF67" i="30" s="1"/>
  <c r="HB20" i="43"/>
  <c r="AB53" i="30" s="1"/>
  <c r="HF20" i="43"/>
  <c r="AF53" i="30" s="1"/>
  <c r="HF23" i="43"/>
  <c r="AF56" i="30" s="1"/>
  <c r="HD23" i="43"/>
  <c r="HB23" i="43"/>
  <c r="AB56" i="30" s="1"/>
  <c r="GV18" i="43"/>
  <c r="T67" i="30" s="1"/>
  <c r="GT18" i="43"/>
  <c r="R67" i="30" s="1"/>
  <c r="GV23" i="43"/>
  <c r="GT23" i="43"/>
  <c r="GX20" i="43"/>
  <c r="V53" i="30" s="1"/>
  <c r="W53" i="30" s="1"/>
  <c r="GT20" i="43"/>
  <c r="R53" i="30" s="1"/>
  <c r="GX17" i="43"/>
  <c r="V66" i="30" s="1"/>
  <c r="GV17" i="43"/>
  <c r="T66" i="30" s="1"/>
  <c r="GT17" i="43"/>
  <c r="R66" i="30" s="1"/>
  <c r="GN23" i="43"/>
  <c r="GP20" i="43"/>
  <c r="N53" i="30" s="1"/>
  <c r="O53" i="30" s="1"/>
  <c r="GN20" i="43"/>
  <c r="G67" i="30"/>
  <c r="AY67" i="30" s="1"/>
  <c r="GN18" i="43"/>
  <c r="L67" i="30" s="1"/>
  <c r="GP18" i="43"/>
  <c r="N67" i="30" s="1"/>
  <c r="G66" i="30"/>
  <c r="GP17" i="43"/>
  <c r="N66" i="30" s="1"/>
  <c r="IB17" i="43"/>
  <c r="GN17" i="43"/>
  <c r="L66" i="30" s="1"/>
  <c r="ID17" i="43"/>
  <c r="BG71" i="30"/>
  <c r="S71" i="30"/>
  <c r="BI71" i="30"/>
  <c r="BU71" i="30"/>
  <c r="AO71" i="30"/>
  <c r="U71" i="30"/>
  <c r="BQ71" i="30"/>
  <c r="BK71" i="30"/>
  <c r="W71" i="30"/>
  <c r="AM71" i="30"/>
  <c r="BS71" i="30"/>
  <c r="AQ71" i="30"/>
  <c r="AG71" i="30"/>
  <c r="O71" i="30"/>
  <c r="M71" i="30"/>
  <c r="I71" i="30"/>
  <c r="C36" i="31" s="1"/>
  <c r="K71" i="30"/>
  <c r="AW71" i="30"/>
  <c r="AE71" i="30"/>
  <c r="AY71" i="30"/>
  <c r="AC71" i="30"/>
  <c r="BA71" i="30"/>
  <c r="CA89" i="30"/>
  <c r="K57" i="30"/>
  <c r="CA90" i="30"/>
  <c r="F90" i="30"/>
  <c r="BI70" i="30"/>
  <c r="W70" i="30"/>
  <c r="AE70" i="30"/>
  <c r="AO70" i="30"/>
  <c r="AM70" i="30"/>
  <c r="S70" i="30"/>
  <c r="I70" i="30"/>
  <c r="C35" i="31" s="1"/>
  <c r="AY70" i="30"/>
  <c r="BA70" i="30"/>
  <c r="BK70" i="30"/>
  <c r="U70" i="30"/>
  <c r="AG70" i="30"/>
  <c r="M70" i="30"/>
  <c r="O70" i="30"/>
  <c r="K70" i="30"/>
  <c r="K72" i="30" s="1"/>
  <c r="AW70" i="30"/>
  <c r="BS70" i="30"/>
  <c r="BU70" i="30"/>
  <c r="BG70" i="30"/>
  <c r="G72" i="30"/>
  <c r="AC70" i="30"/>
  <c r="AQ70" i="30"/>
  <c r="BQ70" i="30"/>
  <c r="I30" i="19"/>
  <c r="I31" i="19" s="1"/>
  <c r="HT20" i="43"/>
  <c r="IB20" i="43"/>
  <c r="HL20" i="43"/>
  <c r="AN53" i="30" s="1"/>
  <c r="AO53" i="30" s="1"/>
  <c r="HV20" i="43"/>
  <c r="ID20" i="43"/>
  <c r="HN20" i="43"/>
  <c r="AP53" i="30" s="1"/>
  <c r="AQ53" i="30" s="1"/>
  <c r="HR20" i="43"/>
  <c r="HJ20" i="43"/>
  <c r="AL53" i="30" s="1"/>
  <c r="HD20" i="43"/>
  <c r="AD53" i="30" s="1"/>
  <c r="GP23" i="43"/>
  <c r="GV20" i="43"/>
  <c r="T53" i="30" s="1"/>
  <c r="U53" i="30" s="1"/>
  <c r="HL18" i="43"/>
  <c r="HT18" i="43"/>
  <c r="HV18" i="43"/>
  <c r="HN18" i="43"/>
  <c r="HJ18" i="43"/>
  <c r="HR18" i="43"/>
  <c r="GX18" i="43"/>
  <c r="V67" i="30" s="1"/>
  <c r="HD18" i="43"/>
  <c r="AD67" i="30" s="1"/>
  <c r="HJ17" i="43"/>
  <c r="HL17" i="43"/>
  <c r="HN17" i="43"/>
  <c r="HV17" i="43"/>
  <c r="HB17" i="43"/>
  <c r="AB66" i="30" s="1"/>
  <c r="HJ23" i="43"/>
  <c r="AL56" i="30" s="1"/>
  <c r="HN23" i="43"/>
  <c r="HT23" i="43"/>
  <c r="IB23" i="43"/>
  <c r="HV23" i="43"/>
  <c r="ID23" i="43"/>
  <c r="HL23" i="43"/>
  <c r="HR23" i="43"/>
  <c r="AL55" i="30"/>
  <c r="CX31" i="44"/>
  <c r="G33" i="31"/>
  <c r="M11" i="45"/>
  <c r="S79" i="30" s="1"/>
  <c r="CD90" i="44"/>
  <c r="BC88" i="30"/>
  <c r="AL54" i="30"/>
  <c r="CF25" i="30"/>
  <c r="CG25" i="30" s="1"/>
  <c r="CD25" i="30"/>
  <c r="BM51" i="30"/>
  <c r="S94" i="30"/>
  <c r="CD24" i="30"/>
  <c r="CF24" i="30"/>
  <c r="CG24" i="30" s="1"/>
  <c r="BW90" i="30"/>
  <c r="AS88" i="30"/>
  <c r="BW91" i="30"/>
  <c r="AS23" i="30"/>
  <c r="AJ42" i="30"/>
  <c r="AT42" i="30" s="1"/>
  <c r="BD42" i="30" s="1"/>
  <c r="BN42" i="30" s="1"/>
  <c r="BN25" i="30"/>
  <c r="BX25" i="30" s="1"/>
  <c r="BN24" i="30"/>
  <c r="BX24" i="30" s="1"/>
  <c r="AI88" i="30"/>
  <c r="AE94" i="30"/>
  <c r="BA94" i="30"/>
  <c r="BQ63" i="30"/>
  <c r="BW51" i="30"/>
  <c r="M94" i="30"/>
  <c r="AW94" i="30"/>
  <c r="Q51" i="30"/>
  <c r="HJ19" i="43"/>
  <c r="IB19" i="43"/>
  <c r="GT19" i="43"/>
  <c r="R52" i="30" s="1"/>
  <c r="GP19" i="43"/>
  <c r="HN19" i="43"/>
  <c r="AP52" i="30" s="1"/>
  <c r="HL19" i="43"/>
  <c r="AN52" i="30" s="1"/>
  <c r="GN19" i="43"/>
  <c r="GV19" i="43"/>
  <c r="T52" i="30" s="1"/>
  <c r="HV19" i="43"/>
  <c r="HD19" i="43"/>
  <c r="AD52" i="30" s="1"/>
  <c r="HB19" i="43"/>
  <c r="AB52" i="30" s="1"/>
  <c r="ID19" i="43"/>
  <c r="HF19" i="43"/>
  <c r="HR19" i="43"/>
  <c r="GX19" i="43"/>
  <c r="V52" i="30" s="1"/>
  <c r="HT19" i="43"/>
  <c r="K26" i="43"/>
  <c r="P56" i="30"/>
  <c r="I57" i="30"/>
  <c r="GV24" i="43"/>
  <c r="T57" i="30" s="1"/>
  <c r="U57" i="30" s="1"/>
  <c r="HF24" i="43"/>
  <c r="HV24" i="43"/>
  <c r="HL24" i="43"/>
  <c r="ID24" i="43"/>
  <c r="HD24" i="43"/>
  <c r="HB24" i="43"/>
  <c r="G59" i="30"/>
  <c r="HJ24" i="43"/>
  <c r="HT24" i="43"/>
  <c r="GT24" i="43"/>
  <c r="R57" i="30" s="1"/>
  <c r="S57" i="30" s="1"/>
  <c r="IB24" i="43"/>
  <c r="HR24" i="43"/>
  <c r="HN24" i="43"/>
  <c r="GV25" i="43"/>
  <c r="ID25" i="43"/>
  <c r="HT25" i="43"/>
  <c r="HB25" i="43"/>
  <c r="AB60" i="30" s="1"/>
  <c r="HL25" i="43"/>
  <c r="AN60" i="30" s="1"/>
  <c r="HN25" i="43"/>
  <c r="AP60" i="30" s="1"/>
  <c r="GX25" i="43"/>
  <c r="V60" i="30" s="1"/>
  <c r="HR25" i="43"/>
  <c r="IB25" i="43"/>
  <c r="HD25" i="43"/>
  <c r="AD60" i="30" s="1"/>
  <c r="G60" i="30"/>
  <c r="E28" i="19"/>
  <c r="Q24" i="20"/>
  <c r="I36" i="20" s="1"/>
  <c r="P15" i="20"/>
  <c r="Q14" i="6"/>
  <c r="K38" i="38"/>
  <c r="P16" i="6"/>
  <c r="Q16" i="6" s="1"/>
  <c r="E25" i="16"/>
  <c r="G25" i="16" s="1"/>
  <c r="E22" i="16"/>
  <c r="G22" i="16" s="1"/>
  <c r="G10" i="11"/>
  <c r="H10" i="11" s="1"/>
  <c r="Q24" i="6"/>
  <c r="I34" i="6" s="1"/>
  <c r="K45" i="38"/>
  <c r="P16" i="20"/>
  <c r="Q16" i="20" s="1"/>
  <c r="Q15" i="6"/>
  <c r="G21" i="6"/>
  <c r="H21" i="6" s="1"/>
  <c r="K37" i="38"/>
  <c r="D33" i="17"/>
  <c r="G40" i="17"/>
  <c r="G45" i="17" s="1"/>
  <c r="G50" i="17"/>
  <c r="D51" i="17"/>
  <c r="D40" i="16"/>
  <c r="I10" i="4"/>
  <c r="H10" i="4"/>
  <c r="GX24" i="43"/>
  <c r="GP24" i="43"/>
  <c r="GN24" i="43"/>
  <c r="GT25" i="43"/>
  <c r="HV25" i="43"/>
  <c r="HF25" i="43"/>
  <c r="AF60" i="30" s="1"/>
  <c r="HJ25" i="43"/>
  <c r="AL60" i="30" s="1"/>
  <c r="HD26" i="43"/>
  <c r="HT26" i="43"/>
  <c r="AX61" i="30" s="1"/>
  <c r="HB26" i="43"/>
  <c r="GV26" i="43"/>
  <c r="T61" i="30" s="1"/>
  <c r="ID26" i="43"/>
  <c r="BJ61" i="30" s="1"/>
  <c r="G61" i="30"/>
  <c r="HV26" i="43"/>
  <c r="AZ61" i="30" s="1"/>
  <c r="GX26" i="43"/>
  <c r="V61" i="30" s="1"/>
  <c r="HF26" i="43"/>
  <c r="AF61" i="30" s="1"/>
  <c r="HJ26" i="43"/>
  <c r="AL61" i="30" s="1"/>
  <c r="GT26" i="43"/>
  <c r="R61" i="30" s="1"/>
  <c r="IB26" i="43"/>
  <c r="BH61" i="30" s="1"/>
  <c r="HL26" i="43"/>
  <c r="HR26" i="43"/>
  <c r="AV61" i="30" s="1"/>
  <c r="HN26" i="43"/>
  <c r="AP61" i="30" s="1"/>
  <c r="G32" i="22"/>
  <c r="H34" i="22" s="1"/>
  <c r="G26" i="6"/>
  <c r="C20" i="39"/>
  <c r="G29" i="20"/>
  <c r="O52" i="30" l="1"/>
  <c r="Z81" i="30"/>
  <c r="AJ81" i="30" s="1"/>
  <c r="Z82" i="30"/>
  <c r="ES107" i="44"/>
  <c r="AT35" i="45"/>
  <c r="FD42" i="44"/>
  <c r="EL47" i="44"/>
  <c r="AS7" i="45" s="1"/>
  <c r="AY78" i="30" s="1"/>
  <c r="BC78" i="30" s="1"/>
  <c r="CJ107" i="44"/>
  <c r="AV105" i="44"/>
  <c r="HC62" i="44"/>
  <c r="DT62" i="44"/>
  <c r="BN23" i="45"/>
  <c r="DW105" i="44"/>
  <c r="AO107" i="44"/>
  <c r="CW107" i="44"/>
  <c r="M23" i="45"/>
  <c r="S82" i="30" s="1"/>
  <c r="BJ105" i="44"/>
  <c r="DS107" i="44"/>
  <c r="AH35" i="45"/>
  <c r="GQ107" i="44"/>
  <c r="GQ105" i="44"/>
  <c r="CL101" i="44"/>
  <c r="W31" i="45" s="1"/>
  <c r="DD97" i="44"/>
  <c r="AI89" i="30"/>
  <c r="Q27" i="45"/>
  <c r="W83" i="30" s="1"/>
  <c r="FK105" i="44"/>
  <c r="HF81" i="44"/>
  <c r="BK107" i="44"/>
  <c r="BG105" i="44"/>
  <c r="FG105" i="44"/>
  <c r="BF27" i="45"/>
  <c r="FW105" i="44"/>
  <c r="N31" i="45"/>
  <c r="BM107" i="44"/>
  <c r="CW105" i="44"/>
  <c r="BU105" i="44"/>
  <c r="AL105" i="44"/>
  <c r="BU107" i="44"/>
  <c r="CY107" i="44"/>
  <c r="Z23" i="45"/>
  <c r="CY105" i="44"/>
  <c r="ES105" i="44"/>
  <c r="AW27" i="45"/>
  <c r="EZ105" i="44"/>
  <c r="N35" i="45"/>
  <c r="BS107" i="44"/>
  <c r="HB85" i="44"/>
  <c r="BP23" i="45" s="1"/>
  <c r="BR23" i="45" s="1"/>
  <c r="HD79" i="44"/>
  <c r="HD85" i="44" s="1"/>
  <c r="GU105" i="44"/>
  <c r="GU107" i="44"/>
  <c r="GO105" i="44"/>
  <c r="BM31" i="45"/>
  <c r="BS84" i="30" s="1"/>
  <c r="BW84" i="30" s="1"/>
  <c r="BN92" i="44"/>
  <c r="CD89" i="44"/>
  <c r="EI105" i="44"/>
  <c r="EI107" i="44"/>
  <c r="BB62" i="44"/>
  <c r="BD52" i="44"/>
  <c r="BD62" i="44" s="1"/>
  <c r="FH107" i="44"/>
  <c r="Y11" i="45"/>
  <c r="AE79" i="30" s="1"/>
  <c r="AQ107" i="44"/>
  <c r="GR105" i="44"/>
  <c r="CC101" i="44"/>
  <c r="BG107" i="44"/>
  <c r="EZ107" i="44"/>
  <c r="BK94" i="30"/>
  <c r="AJ31" i="45"/>
  <c r="DU105" i="44"/>
  <c r="FI107" i="44"/>
  <c r="GK105" i="44"/>
  <c r="GT101" i="44"/>
  <c r="BN31" i="45" s="1"/>
  <c r="HD96" i="44"/>
  <c r="HF96" i="44" s="1"/>
  <c r="FD56" i="44"/>
  <c r="HF56" i="44" s="1"/>
  <c r="FB62" i="44"/>
  <c r="AW11" i="45" s="1"/>
  <c r="ED48" i="44"/>
  <c r="EB62" i="44"/>
  <c r="AK11" i="45" s="1"/>
  <c r="AQ79" i="30" s="1"/>
  <c r="S15" i="12"/>
  <c r="R15" i="12"/>
  <c r="HD51" i="44"/>
  <c r="GT62" i="44"/>
  <c r="DF105" i="44"/>
  <c r="G22" i="3"/>
  <c r="H22" i="3" s="1"/>
  <c r="H25" i="3" s="1"/>
  <c r="R12" i="11"/>
  <c r="S12" i="11"/>
  <c r="BQ105" i="44"/>
  <c r="DY107" i="44"/>
  <c r="HD31" i="44"/>
  <c r="EB47" i="44"/>
  <c r="AK7" i="45" s="1"/>
  <c r="AQ78" i="30" s="1"/>
  <c r="BD97" i="44"/>
  <c r="Q15" i="45"/>
  <c r="W80" i="30" s="1"/>
  <c r="Z78" i="30"/>
  <c r="AJ78" i="30" s="1"/>
  <c r="AT78" i="30" s="1"/>
  <c r="BD78" i="30" s="1"/>
  <c r="K38" i="31"/>
  <c r="G18" i="3"/>
  <c r="H18" i="3" s="1"/>
  <c r="I11" i="12"/>
  <c r="H11" i="12"/>
  <c r="H12" i="12" s="1"/>
  <c r="DM107" i="44"/>
  <c r="R11" i="11"/>
  <c r="CE105" i="44"/>
  <c r="G27" i="45"/>
  <c r="O83" i="30" s="1"/>
  <c r="AF31" i="45"/>
  <c r="CZ105" i="44"/>
  <c r="ER107" i="44"/>
  <c r="BC104" i="44"/>
  <c r="BE105" i="44"/>
  <c r="BE107" i="44"/>
  <c r="L7" i="45"/>
  <c r="AS27" i="45"/>
  <c r="AY83" i="30" s="1"/>
  <c r="AQ105" i="44"/>
  <c r="BI107" i="44"/>
  <c r="DU107" i="44"/>
  <c r="AJ35" i="45"/>
  <c r="FN107" i="44"/>
  <c r="AD21" i="43"/>
  <c r="P19" i="45"/>
  <c r="AK31" i="45"/>
  <c r="AQ84" i="30" s="1"/>
  <c r="BO105" i="44"/>
  <c r="ED44" i="44"/>
  <c r="AJ82" i="30"/>
  <c r="AT82" i="30" s="1"/>
  <c r="BD82" i="30" s="1"/>
  <c r="BN82" i="30" s="1"/>
  <c r="BX82" i="30" s="1"/>
  <c r="CC82" i="30" s="1"/>
  <c r="CD67" i="44"/>
  <c r="CD68" i="44" s="1"/>
  <c r="BP68" i="44"/>
  <c r="O15" i="45" s="1"/>
  <c r="U80" i="30" s="1"/>
  <c r="AU107" i="44"/>
  <c r="CO107" i="44"/>
  <c r="AJ107" i="44"/>
  <c r="S10" i="4"/>
  <c r="I25" i="5"/>
  <c r="BK105" i="44"/>
  <c r="BQ107" i="44"/>
  <c r="ET62" i="44"/>
  <c r="ET105" i="44" s="1"/>
  <c r="I30" i="9"/>
  <c r="I31" i="9" s="1"/>
  <c r="H30" i="9"/>
  <c r="H31" i="9" s="1"/>
  <c r="G31" i="9"/>
  <c r="G19" i="45"/>
  <c r="O81" i="30" s="1"/>
  <c r="AR35" i="45"/>
  <c r="EK107" i="44"/>
  <c r="Z19" i="30"/>
  <c r="AJ19" i="30" s="1"/>
  <c r="AT19" i="30" s="1"/>
  <c r="BD19" i="30" s="1"/>
  <c r="BN19" i="30" s="1"/>
  <c r="BX19" i="30" s="1"/>
  <c r="CB19" i="30" s="1"/>
  <c r="Z20" i="30"/>
  <c r="AJ20" i="30" s="1"/>
  <c r="AT20" i="30" s="1"/>
  <c r="BD20" i="30" s="1"/>
  <c r="BN20" i="30" s="1"/>
  <c r="BX20" i="30" s="1"/>
  <c r="GT47" i="44"/>
  <c r="BN7" i="45" s="1"/>
  <c r="Q25" i="43"/>
  <c r="GN25" i="43"/>
  <c r="BX31" i="44"/>
  <c r="CP107" i="44"/>
  <c r="DH107" i="44"/>
  <c r="AG19" i="45"/>
  <c r="AM81" i="30" s="1"/>
  <c r="AF31" i="44"/>
  <c r="BB31" i="44"/>
  <c r="E15" i="45"/>
  <c r="G28" i="5"/>
  <c r="F27" i="31"/>
  <c r="G27" i="31" s="1"/>
  <c r="FT47" i="44"/>
  <c r="J8" i="31"/>
  <c r="E8" i="31"/>
  <c r="CD20" i="44"/>
  <c r="CH31" i="44"/>
  <c r="CA105" i="44"/>
  <c r="CA107" i="44"/>
  <c r="CM107" i="44"/>
  <c r="X23" i="45"/>
  <c r="O31" i="45"/>
  <c r="U84" i="30" s="1"/>
  <c r="HD56" i="44"/>
  <c r="HB62" i="44"/>
  <c r="FP68" i="44"/>
  <c r="BC15" i="45" s="1"/>
  <c r="BI80" i="30" s="1"/>
  <c r="GD64" i="44"/>
  <c r="GD68" i="44" s="1"/>
  <c r="Z19" i="45"/>
  <c r="BD77" i="44"/>
  <c r="BD85" i="44" s="1"/>
  <c r="AL47" i="44"/>
  <c r="C7" i="45" s="1"/>
  <c r="K78" i="30" s="1"/>
  <c r="E4" i="45"/>
  <c r="GO107" i="44"/>
  <c r="BD53" i="44"/>
  <c r="R107" i="44"/>
  <c r="EC92" i="44"/>
  <c r="BU34" i="45"/>
  <c r="S11" i="12"/>
  <c r="R11" i="12"/>
  <c r="CC25" i="30"/>
  <c r="ER105" i="44"/>
  <c r="DV107" i="44"/>
  <c r="HE16" i="44"/>
  <c r="BA107" i="44"/>
  <c r="DL101" i="44"/>
  <c r="X31" i="45"/>
  <c r="DE105" i="44"/>
  <c r="DR105" i="44"/>
  <c r="Q40" i="30"/>
  <c r="AI40" i="30"/>
  <c r="O94" i="30"/>
  <c r="Y88" i="30"/>
  <c r="U94" i="30"/>
  <c r="AH7" i="45"/>
  <c r="AN7" i="45" s="1"/>
  <c r="AT7" i="45"/>
  <c r="AX7" i="45" s="1"/>
  <c r="X11" i="45"/>
  <c r="AD11" i="45" s="1"/>
  <c r="AJ11" i="45"/>
  <c r="O19" i="45"/>
  <c r="U81" i="30" s="1"/>
  <c r="AH23" i="45"/>
  <c r="AP23" i="45"/>
  <c r="AH105" i="44"/>
  <c r="AH107" i="44"/>
  <c r="AU105" i="44"/>
  <c r="AR27" i="45"/>
  <c r="AV27" i="45"/>
  <c r="BA105" i="44"/>
  <c r="F31" i="45"/>
  <c r="G23" i="45"/>
  <c r="O82" i="30" s="1"/>
  <c r="Q82" i="30" s="1"/>
  <c r="O35" i="45"/>
  <c r="BA7" i="45"/>
  <c r="BG78" i="30" s="1"/>
  <c r="BB11" i="45"/>
  <c r="FS105" i="44"/>
  <c r="FJ107" i="44"/>
  <c r="BA27" i="45"/>
  <c r="BG83" i="30" s="1"/>
  <c r="FW107" i="44"/>
  <c r="AQ94" i="30"/>
  <c r="AY94" i="30"/>
  <c r="HC68" i="44"/>
  <c r="BQ15" i="45" s="1"/>
  <c r="BS15" i="45" s="1"/>
  <c r="BJ27" i="45"/>
  <c r="BR27" i="45" s="1"/>
  <c r="GX107" i="44"/>
  <c r="BW92" i="30"/>
  <c r="EL62" i="44"/>
  <c r="AS11" i="45" s="1"/>
  <c r="AY79" i="30" s="1"/>
  <c r="FD53" i="44"/>
  <c r="EP85" i="44"/>
  <c r="AS23" i="45" s="1"/>
  <c r="AY82" i="30" s="1"/>
  <c r="FD79" i="44"/>
  <c r="FD85" i="44" s="1"/>
  <c r="DN62" i="44"/>
  <c r="ED61" i="44"/>
  <c r="DD80" i="44"/>
  <c r="G17" i="3"/>
  <c r="I17" i="3" s="1"/>
  <c r="BZ105" i="44"/>
  <c r="BC51" i="30"/>
  <c r="N107" i="44"/>
  <c r="G16" i="3"/>
  <c r="H16" i="3" s="1"/>
  <c r="AJ88" i="30"/>
  <c r="AT88" i="30" s="1"/>
  <c r="BD88" i="30" s="1"/>
  <c r="AW107" i="44"/>
  <c r="ED58" i="44"/>
  <c r="GL47" i="44"/>
  <c r="AI42" i="30"/>
  <c r="AR7" i="45"/>
  <c r="DW107" i="44"/>
  <c r="CD53" i="44"/>
  <c r="BW63" i="30"/>
  <c r="F7" i="45"/>
  <c r="EP68" i="44"/>
  <c r="AS15" i="45" s="1"/>
  <c r="AY80" i="30" s="1"/>
  <c r="BC80" i="30" s="1"/>
  <c r="DD46" i="44"/>
  <c r="W7" i="45"/>
  <c r="AC78" i="30" s="1"/>
  <c r="CJ105" i="44"/>
  <c r="H21" i="19"/>
  <c r="AY107" i="44"/>
  <c r="M72" i="30"/>
  <c r="I33" i="9"/>
  <c r="I36" i="9" s="1"/>
  <c r="HE78" i="44"/>
  <c r="CC92" i="44"/>
  <c r="HE94" i="44"/>
  <c r="HE98" i="44"/>
  <c r="AS35" i="45"/>
  <c r="HC75" i="44"/>
  <c r="BQ19" i="45" s="1"/>
  <c r="D39" i="31"/>
  <c r="D40" i="31" s="1"/>
  <c r="F40" i="31" s="1"/>
  <c r="G40" i="31" s="1"/>
  <c r="DL107" i="44"/>
  <c r="AV7" i="45"/>
  <c r="BK23" i="45"/>
  <c r="BQ82" i="30" s="1"/>
  <c r="BW82" i="30" s="1"/>
  <c r="BK27" i="45"/>
  <c r="BQ83" i="30" s="1"/>
  <c r="BU66" i="30"/>
  <c r="I66" i="30"/>
  <c r="C30" i="31"/>
  <c r="D25" i="40"/>
  <c r="S12" i="4"/>
  <c r="AT26" i="30"/>
  <c r="BD26" i="30" s="1"/>
  <c r="BN26" i="30" s="1"/>
  <c r="BX26" i="30" s="1"/>
  <c r="CB26" i="30" s="1"/>
  <c r="I19" i="19"/>
  <c r="G12" i="31"/>
  <c r="H12" i="31" s="1"/>
  <c r="C38" i="31"/>
  <c r="I34" i="5"/>
  <c r="I35" i="5" s="1"/>
  <c r="E12" i="31"/>
  <c r="FD92" i="44"/>
  <c r="Z43" i="30"/>
  <c r="AJ43" i="30" s="1"/>
  <c r="AT43" i="30" s="1"/>
  <c r="Z34" i="30"/>
  <c r="AJ34" i="30" s="1"/>
  <c r="AT34" i="30" s="1"/>
  <c r="BD34" i="30" s="1"/>
  <c r="BN34" i="30" s="1"/>
  <c r="BX34" i="30" s="1"/>
  <c r="CA43" i="30"/>
  <c r="Z13" i="30"/>
  <c r="J16" i="45"/>
  <c r="U55" i="30"/>
  <c r="W52" i="30"/>
  <c r="M52" i="30"/>
  <c r="AI71" i="30"/>
  <c r="W72" i="30"/>
  <c r="K88" i="30"/>
  <c r="Q88" i="30" s="1"/>
  <c r="AA88" i="30" s="1"/>
  <c r="AK88" i="30" s="1"/>
  <c r="AU88" i="30" s="1"/>
  <c r="BE88" i="30" s="1"/>
  <c r="BO88" i="30" s="1"/>
  <c r="E110" i="30"/>
  <c r="F93" i="30"/>
  <c r="F94" i="30" s="1"/>
  <c r="F59" i="30"/>
  <c r="F91" i="30"/>
  <c r="DJ107" i="44"/>
  <c r="I15" i="19"/>
  <c r="AU23" i="45"/>
  <c r="BA82" i="30" s="1"/>
  <c r="BC82" i="30" s="1"/>
  <c r="CB85" i="44"/>
  <c r="Q23" i="45" s="1"/>
  <c r="W82" i="30" s="1"/>
  <c r="HS19" i="43"/>
  <c r="HD99" i="44"/>
  <c r="HM20" i="43"/>
  <c r="AN19" i="45"/>
  <c r="BS72" i="30"/>
  <c r="I72" i="30"/>
  <c r="T7" i="45"/>
  <c r="DL105" i="44"/>
  <c r="BD25" i="44"/>
  <c r="HE27" i="44"/>
  <c r="HE40" i="44"/>
  <c r="HE49" i="44"/>
  <c r="HF73" i="44"/>
  <c r="CD104" i="44"/>
  <c r="AP7" i="45"/>
  <c r="AT19" i="45"/>
  <c r="AX19" i="45" s="1"/>
  <c r="CB40" i="30"/>
  <c r="BZ31" i="44"/>
  <c r="DH31" i="44"/>
  <c r="HE43" i="44"/>
  <c r="HE82" i="44"/>
  <c r="CQ107" i="44"/>
  <c r="Y40" i="30"/>
  <c r="HD46" i="44"/>
  <c r="FT101" i="44"/>
  <c r="CF92" i="44"/>
  <c r="K29" i="45"/>
  <c r="BU29" i="45" s="1"/>
  <c r="H30" i="19"/>
  <c r="H31" i="19" s="1"/>
  <c r="E13" i="40"/>
  <c r="Z80" i="30"/>
  <c r="AJ80" i="30" s="1"/>
  <c r="AT80" i="30" s="1"/>
  <c r="BD80" i="30" s="1"/>
  <c r="DD28" i="44"/>
  <c r="HF42" i="44"/>
  <c r="HE93" i="44"/>
  <c r="HD97" i="44"/>
  <c r="DD68" i="44"/>
  <c r="K18" i="45"/>
  <c r="BU18" i="45" s="1"/>
  <c r="AG11" i="45"/>
  <c r="AM79" i="30" s="1"/>
  <c r="BD97" i="30"/>
  <c r="AH31" i="44"/>
  <c r="BH31" i="44"/>
  <c r="CD27" i="44"/>
  <c r="CD29" i="44"/>
  <c r="HF29" i="44" s="1"/>
  <c r="HE59" i="44"/>
  <c r="HF71" i="44"/>
  <c r="BO11" i="45"/>
  <c r="BU79" i="30" s="1"/>
  <c r="DZ105" i="44"/>
  <c r="AY105" i="44"/>
  <c r="BO15" i="45"/>
  <c r="BU80" i="30" s="1"/>
  <c r="BW80" i="30" s="1"/>
  <c r="GP85" i="44"/>
  <c r="BG72" i="30"/>
  <c r="H31" i="40"/>
  <c r="E18" i="40"/>
  <c r="BD27" i="44"/>
  <c r="CD28" i="44"/>
  <c r="J107" i="44"/>
  <c r="FC47" i="44"/>
  <c r="HE44" i="44"/>
  <c r="EC62" i="44"/>
  <c r="HE54" i="44"/>
  <c r="HE83" i="44"/>
  <c r="HE95" i="44"/>
  <c r="BO27" i="45"/>
  <c r="BU83" i="30" s="1"/>
  <c r="Z85" i="30"/>
  <c r="AJ85" i="30" s="1"/>
  <c r="AT85" i="30" s="1"/>
  <c r="BD85" i="30" s="1"/>
  <c r="BN85" i="30" s="1"/>
  <c r="BX85" i="30" s="1"/>
  <c r="CC85" i="30" s="1"/>
  <c r="H17" i="11"/>
  <c r="H19" i="11" s="1"/>
  <c r="H35" i="19"/>
  <c r="P9" i="20"/>
  <c r="Q9" i="20" s="1"/>
  <c r="I18" i="11"/>
  <c r="I19" i="11" s="1"/>
  <c r="H18" i="11"/>
  <c r="I26" i="9"/>
  <c r="I28" i="9" s="1"/>
  <c r="G17" i="16"/>
  <c r="P13" i="22"/>
  <c r="Q13" i="22" s="1"/>
  <c r="F16" i="4"/>
  <c r="G16" i="4" s="1"/>
  <c r="I16" i="4" s="1"/>
  <c r="H15" i="12"/>
  <c r="G39" i="16"/>
  <c r="G40" i="16" s="1"/>
  <c r="P14" i="20"/>
  <c r="I10" i="11"/>
  <c r="S10" i="12"/>
  <c r="I20" i="19"/>
  <c r="G32" i="16"/>
  <c r="Q12" i="12"/>
  <c r="I33" i="19"/>
  <c r="G7" i="16"/>
  <c r="G11" i="16" s="1"/>
  <c r="I94" i="30"/>
  <c r="G19" i="11"/>
  <c r="HF100" i="44"/>
  <c r="V31" i="45"/>
  <c r="CH107" i="44"/>
  <c r="Y35" i="45"/>
  <c r="AE85" i="30" s="1"/>
  <c r="AG35" i="45"/>
  <c r="AM84" i="30" s="1"/>
  <c r="BB7" i="45"/>
  <c r="BE7" i="45"/>
  <c r="BK78" i="30" s="1"/>
  <c r="FI105" i="44"/>
  <c r="GA105" i="44"/>
  <c r="AZ15" i="45"/>
  <c r="GD75" i="44"/>
  <c r="FJ105" i="44"/>
  <c r="GD92" i="44"/>
  <c r="BC27" i="45"/>
  <c r="BI83" i="30" s="1"/>
  <c r="FQ107" i="44"/>
  <c r="FY107" i="44"/>
  <c r="BC93" i="30"/>
  <c r="GF105" i="44"/>
  <c r="BM7" i="45"/>
  <c r="BS78" i="30" s="1"/>
  <c r="GX105" i="44"/>
  <c r="BM11" i="45"/>
  <c r="BS79" i="30" s="1"/>
  <c r="AX23" i="45"/>
  <c r="ET107" i="44"/>
  <c r="BD15" i="44"/>
  <c r="BN31" i="44"/>
  <c r="BD17" i="44"/>
  <c r="BP31" i="44"/>
  <c r="AV31" i="44"/>
  <c r="CB31" i="44"/>
  <c r="HE19" i="44"/>
  <c r="BV31" i="44"/>
  <c r="DD21" i="44"/>
  <c r="HE22" i="44"/>
  <c r="DD22" i="44"/>
  <c r="HF22" i="44" s="1"/>
  <c r="P107" i="44"/>
  <c r="AD105" i="44"/>
  <c r="HE42" i="44"/>
  <c r="HE48" i="44"/>
  <c r="FC62" i="44"/>
  <c r="HF55" i="44"/>
  <c r="DC62" i="44"/>
  <c r="HF60" i="44"/>
  <c r="HE66" i="44"/>
  <c r="HE67" i="44"/>
  <c r="CD75" i="44"/>
  <c r="HE71" i="44"/>
  <c r="HE72" i="44"/>
  <c r="HE74" i="44"/>
  <c r="FC85" i="44"/>
  <c r="EC85" i="44"/>
  <c r="BC85" i="44"/>
  <c r="HE81" i="44"/>
  <c r="HF82" i="44"/>
  <c r="HE84" i="44"/>
  <c r="HE88" i="44"/>
  <c r="HE90" i="44"/>
  <c r="HE96" i="44"/>
  <c r="HE99" i="44"/>
  <c r="BF7" i="45"/>
  <c r="BA11" i="45"/>
  <c r="BG79" i="30" s="1"/>
  <c r="BD11" i="45"/>
  <c r="GC68" i="44"/>
  <c r="BB19" i="45"/>
  <c r="BF19" i="45"/>
  <c r="AZ23" i="45"/>
  <c r="GC92" i="44"/>
  <c r="BD27" i="45"/>
  <c r="BM88" i="30"/>
  <c r="FT62" i="44"/>
  <c r="AU27" i="45"/>
  <c r="BA83" i="30" s="1"/>
  <c r="K24" i="45"/>
  <c r="BU24" i="45" s="1"/>
  <c r="AK35" i="30"/>
  <c r="AU35" i="30" s="1"/>
  <c r="BE35" i="30" s="1"/>
  <c r="BO35" i="30" s="1"/>
  <c r="BY35" i="30" s="1"/>
  <c r="AT22" i="30"/>
  <c r="BD22" i="30" s="1"/>
  <c r="BN22" i="30" s="1"/>
  <c r="BX22" i="30" s="1"/>
  <c r="CC22" i="30" s="1"/>
  <c r="T15" i="45"/>
  <c r="HF66" i="44"/>
  <c r="HF76" i="44"/>
  <c r="BJ107" i="44"/>
  <c r="P22" i="20"/>
  <c r="Q22" i="20" s="1"/>
  <c r="I34" i="20" s="1"/>
  <c r="HE23" i="43"/>
  <c r="H12" i="4"/>
  <c r="AJ31" i="44"/>
  <c r="CP31" i="44"/>
  <c r="BD28" i="44"/>
  <c r="HE17" i="43"/>
  <c r="GB47" i="44"/>
  <c r="BG7" i="45" s="1"/>
  <c r="Z83" i="30"/>
  <c r="AJ83" i="30" s="1"/>
  <c r="AT83" i="30" s="1"/>
  <c r="BD83" i="30" s="1"/>
  <c r="BN83" i="30" s="1"/>
  <c r="BX83" i="30" s="1"/>
  <c r="CC83" i="30" s="1"/>
  <c r="Z70" i="30"/>
  <c r="AJ70" i="30" s="1"/>
  <c r="AT70" i="30" s="1"/>
  <c r="BD70" i="30" s="1"/>
  <c r="AE72" i="30"/>
  <c r="AJ33" i="30"/>
  <c r="AT33" i="30" s="1"/>
  <c r="BD33" i="30" s="1"/>
  <c r="BN33" i="30" s="1"/>
  <c r="BX33" i="30" s="1"/>
  <c r="CC33" i="30" s="1"/>
  <c r="H107" i="44"/>
  <c r="HE18" i="44"/>
  <c r="F107" i="44"/>
  <c r="Q41" i="30"/>
  <c r="AP11" i="45"/>
  <c r="AV11" i="45"/>
  <c r="AU19" i="45"/>
  <c r="BA81" i="30" s="1"/>
  <c r="GH105" i="44"/>
  <c r="DN92" i="44"/>
  <c r="AI27" i="45" s="1"/>
  <c r="AO83" i="30" s="1"/>
  <c r="DB68" i="44"/>
  <c r="AA15" i="45" s="1"/>
  <c r="AG80" i="30" s="1"/>
  <c r="AI80" i="30" s="1"/>
  <c r="CV92" i="44"/>
  <c r="DD52" i="44"/>
  <c r="GD99" i="44"/>
  <c r="HF99" i="44" s="1"/>
  <c r="EB85" i="44"/>
  <c r="AK23" i="45" s="1"/>
  <c r="AQ82" i="30" s="1"/>
  <c r="ED46" i="44"/>
  <c r="HF46" i="44" s="1"/>
  <c r="Z91" i="30"/>
  <c r="AJ91" i="30" s="1"/>
  <c r="AT91" i="30" s="1"/>
  <c r="BD91" i="30" s="1"/>
  <c r="CB91" i="30" s="1"/>
  <c r="P17" i="20"/>
  <c r="P17" i="22" s="1"/>
  <c r="Q17" i="22" s="1"/>
  <c r="DD104" i="44"/>
  <c r="DQ105" i="44"/>
  <c r="BS94" i="30"/>
  <c r="J23" i="45"/>
  <c r="Q12" i="6"/>
  <c r="AV104" i="44"/>
  <c r="AV107" i="44" s="1"/>
  <c r="G11" i="17"/>
  <c r="G15" i="17" s="1"/>
  <c r="DN31" i="44"/>
  <c r="Y23" i="30"/>
  <c r="BD7" i="45"/>
  <c r="BC19" i="45"/>
  <c r="BI81" i="30" s="1"/>
  <c r="BA23" i="45"/>
  <c r="BG82" i="30" s="1"/>
  <c r="FQ105" i="44"/>
  <c r="FO107" i="44"/>
  <c r="BJ19" i="45"/>
  <c r="BN19" i="45"/>
  <c r="EL101" i="44"/>
  <c r="EL105" i="44" s="1"/>
  <c r="CT101" i="44"/>
  <c r="CT105" i="44" s="1"/>
  <c r="DT101" i="44"/>
  <c r="AI31" i="45" s="1"/>
  <c r="AO84" i="30" s="1"/>
  <c r="K20" i="45"/>
  <c r="BU20" i="45" s="1"/>
  <c r="K30" i="45"/>
  <c r="BU30" i="45" s="1"/>
  <c r="Z38" i="30"/>
  <c r="AJ38" i="30" s="1"/>
  <c r="AT38" i="30" s="1"/>
  <c r="BD38" i="30" s="1"/>
  <c r="BN38" i="30" s="1"/>
  <c r="BX38" i="30" s="1"/>
  <c r="CB38" i="30" s="1"/>
  <c r="Z35" i="30"/>
  <c r="AJ35" i="30" s="1"/>
  <c r="AT35" i="30" s="1"/>
  <c r="BD35" i="30" s="1"/>
  <c r="BN35" i="30" s="1"/>
  <c r="BX35" i="30" s="1"/>
  <c r="Z107" i="44"/>
  <c r="HF57" i="44"/>
  <c r="BC68" i="44"/>
  <c r="HF74" i="44"/>
  <c r="FC92" i="44"/>
  <c r="BM105" i="44"/>
  <c r="HO23" i="43"/>
  <c r="HS24" i="43"/>
  <c r="GN107" i="44"/>
  <c r="BK11" i="45"/>
  <c r="BQ79" i="30" s="1"/>
  <c r="IC20" i="43"/>
  <c r="EF92" i="44"/>
  <c r="EF105" i="44" s="1"/>
  <c r="DD99" i="44"/>
  <c r="GB62" i="44"/>
  <c r="BG11" i="45" s="1"/>
  <c r="AG72" i="30"/>
  <c r="AO72" i="30"/>
  <c r="Q71" i="30"/>
  <c r="BA72" i="30"/>
  <c r="Y70" i="30"/>
  <c r="HE18" i="43"/>
  <c r="F56" i="30"/>
  <c r="GU24" i="43"/>
  <c r="M56" i="30"/>
  <c r="HK26" i="43"/>
  <c r="HS18" i="43"/>
  <c r="IC23" i="43"/>
  <c r="GC40" i="43"/>
  <c r="GO20" i="43"/>
  <c r="GU20" i="43"/>
  <c r="HO20" i="43"/>
  <c r="P57" i="30"/>
  <c r="G22" i="43"/>
  <c r="AE22" i="43" s="1"/>
  <c r="AC25" i="43"/>
  <c r="AC29" i="43" s="1"/>
  <c r="GY19" i="43"/>
  <c r="HU18" i="43"/>
  <c r="GI40" i="43"/>
  <c r="AD25" i="43"/>
  <c r="HH24" i="43"/>
  <c r="HP24" i="43"/>
  <c r="GY25" i="43"/>
  <c r="GO23" i="43"/>
  <c r="EZ40" i="43"/>
  <c r="GW20" i="43"/>
  <c r="EI20" i="43"/>
  <c r="GO18" i="43"/>
  <c r="GQ18" i="43"/>
  <c r="HW20" i="43"/>
  <c r="GU23" i="43"/>
  <c r="GW18" i="43"/>
  <c r="GY24" i="43"/>
  <c r="CG24" i="43"/>
  <c r="AR40" i="43"/>
  <c r="DF40" i="43"/>
  <c r="EA40" i="43"/>
  <c r="EI19" i="43"/>
  <c r="EI23" i="43"/>
  <c r="HW23" i="43"/>
  <c r="FJ18" i="43"/>
  <c r="IE18" i="43"/>
  <c r="ER40" i="43"/>
  <c r="FJ24" i="43"/>
  <c r="FJ38" i="43"/>
  <c r="GK17" i="43"/>
  <c r="BD40" i="43"/>
  <c r="HA29" i="43"/>
  <c r="AC66" i="30"/>
  <c r="DB40" i="43"/>
  <c r="GW26" i="43"/>
  <c r="EE40" i="43"/>
  <c r="HC19" i="43"/>
  <c r="IC19" i="43"/>
  <c r="HX17" i="43"/>
  <c r="HG20" i="43"/>
  <c r="HI29" i="43"/>
  <c r="W66" i="30"/>
  <c r="BF14" i="43"/>
  <c r="CX40" i="43"/>
  <c r="W55" i="30"/>
  <c r="M66" i="30"/>
  <c r="HK18" i="43"/>
  <c r="BS66" i="30"/>
  <c r="O56" i="30"/>
  <c r="CL40" i="43"/>
  <c r="HC18" i="43"/>
  <c r="AL58" i="30"/>
  <c r="GW23" i="43"/>
  <c r="FO40" i="43"/>
  <c r="GR29" i="43"/>
  <c r="M57" i="30"/>
  <c r="Q57" i="30" s="1"/>
  <c r="BK40" i="43"/>
  <c r="BF26" i="43"/>
  <c r="GK26" i="43"/>
  <c r="BF38" i="43"/>
  <c r="HM17" i="43"/>
  <c r="HP29" i="43"/>
  <c r="HX21" i="43"/>
  <c r="GE40" i="43"/>
  <c r="BS40" i="43"/>
  <c r="BA66" i="30"/>
  <c r="AH40" i="43"/>
  <c r="HS26" i="43"/>
  <c r="AW61" i="30" s="1"/>
  <c r="AW63" i="30" s="1"/>
  <c r="DO40" i="43"/>
  <c r="GQ24" i="43"/>
  <c r="GU18" i="43"/>
  <c r="DM40" i="43"/>
  <c r="HM21" i="43"/>
  <c r="AE21" i="43"/>
  <c r="EN40" i="43"/>
  <c r="BG66" i="30"/>
  <c r="FD40" i="43"/>
  <c r="FW40" i="43"/>
  <c r="GO24" i="43"/>
  <c r="GO17" i="43"/>
  <c r="GU17" i="43"/>
  <c r="HX25" i="43"/>
  <c r="CE40" i="43"/>
  <c r="AZ40" i="43"/>
  <c r="BI66" i="30"/>
  <c r="CG38" i="43"/>
  <c r="HE20" i="43"/>
  <c r="HX23" i="43"/>
  <c r="BK66" i="30"/>
  <c r="I67" i="30"/>
  <c r="C31" i="31" s="1"/>
  <c r="AO67" i="30"/>
  <c r="AQ67" i="30"/>
  <c r="G28" i="3"/>
  <c r="I27" i="3"/>
  <c r="I28" i="3" s="1"/>
  <c r="DD17" i="44"/>
  <c r="CF31" i="44"/>
  <c r="AN27" i="45"/>
  <c r="AY15" i="45"/>
  <c r="G16" i="12"/>
  <c r="F17" i="4"/>
  <c r="G17" i="4" s="1"/>
  <c r="HE60" i="44"/>
  <c r="HE65" i="44"/>
  <c r="ED28" i="44"/>
  <c r="ED31" i="44" s="1"/>
  <c r="DF107" i="44"/>
  <c r="BD102" i="44"/>
  <c r="BD104" i="44" s="1"/>
  <c r="HE80" i="44"/>
  <c r="GD48" i="44"/>
  <c r="HF48" i="44" s="1"/>
  <c r="FL62" i="44"/>
  <c r="BC11" i="45" s="1"/>
  <c r="ED67" i="44"/>
  <c r="DP68" i="44"/>
  <c r="AI15" i="45" s="1"/>
  <c r="AO80" i="30" s="1"/>
  <c r="ED79" i="44"/>
  <c r="ED85" i="44" s="1"/>
  <c r="DP85" i="44"/>
  <c r="DD58" i="44"/>
  <c r="HF58" i="44" s="1"/>
  <c r="DB62" i="44"/>
  <c r="DD91" i="44"/>
  <c r="CN92" i="44"/>
  <c r="GL20" i="43"/>
  <c r="GR20" i="43" s="1"/>
  <c r="AD20" i="43"/>
  <c r="G12" i="12"/>
  <c r="Q21" i="6"/>
  <c r="I31" i="6" s="1"/>
  <c r="I37" i="6"/>
  <c r="H37" i="6"/>
  <c r="AA42" i="30"/>
  <c r="AK42" i="30" s="1"/>
  <c r="AU42" i="30" s="1"/>
  <c r="BE42" i="30" s="1"/>
  <c r="BO42" i="30" s="1"/>
  <c r="BY42" i="30" s="1"/>
  <c r="GZ29" i="43"/>
  <c r="HX29" i="43"/>
  <c r="G20" i="17"/>
  <c r="I21" i="6"/>
  <c r="H35" i="9"/>
  <c r="AT81" i="30"/>
  <c r="BD81" i="30" s="1"/>
  <c r="CB81" i="30" s="1"/>
  <c r="BM70" i="30"/>
  <c r="CB25" i="30"/>
  <c r="AS71" i="30"/>
  <c r="CT40" i="43"/>
  <c r="Q16" i="12"/>
  <c r="EV107" i="44"/>
  <c r="HA107" i="44"/>
  <c r="HA105" i="44"/>
  <c r="BL23" i="45"/>
  <c r="GE105" i="44"/>
  <c r="GE107" i="44"/>
  <c r="BM27" i="45"/>
  <c r="BS83" i="30" s="1"/>
  <c r="GM107" i="44"/>
  <c r="GM105" i="44"/>
  <c r="HD93" i="44"/>
  <c r="HF93" i="44" s="1"/>
  <c r="GL101" i="44"/>
  <c r="BL31" i="45" s="1"/>
  <c r="GJ107" i="44"/>
  <c r="BJ31" i="45"/>
  <c r="GS105" i="44"/>
  <c r="GS107" i="44"/>
  <c r="GI107" i="44"/>
  <c r="GY107" i="44"/>
  <c r="H6" i="5"/>
  <c r="E41" i="5"/>
  <c r="G17" i="5"/>
  <c r="CD50" i="44"/>
  <c r="HF50" i="44" s="1"/>
  <c r="CB62" i="44"/>
  <c r="Q11" i="45" s="1"/>
  <c r="W79" i="30" s="1"/>
  <c r="HF25" i="44"/>
  <c r="HE64" i="44"/>
  <c r="DC75" i="44"/>
  <c r="I10" i="12"/>
  <c r="CR31" i="44"/>
  <c r="AZ31" i="44"/>
  <c r="E17" i="40"/>
  <c r="D19" i="40"/>
  <c r="D33" i="40" s="1"/>
  <c r="D38" i="40" s="1"/>
  <c r="BF92" i="44"/>
  <c r="BF105" i="44" s="1"/>
  <c r="CD87" i="44"/>
  <c r="IF29" i="43"/>
  <c r="HE21" i="43"/>
  <c r="CC40" i="30"/>
  <c r="Q13" i="4"/>
  <c r="H15" i="19"/>
  <c r="BX42" i="30"/>
  <c r="CC42" i="30" s="1"/>
  <c r="AA39" i="30"/>
  <c r="AT31" i="44"/>
  <c r="S17" i="4"/>
  <c r="IF24" i="43"/>
  <c r="GY26" i="43"/>
  <c r="I55" i="30"/>
  <c r="HP17" i="43"/>
  <c r="BI72" i="30"/>
  <c r="HF103" i="44"/>
  <c r="AG27" i="45"/>
  <c r="AM83" i="30" s="1"/>
  <c r="AP105" i="44"/>
  <c r="HM26" i="43"/>
  <c r="W35" i="45"/>
  <c r="AC85" i="30" s="1"/>
  <c r="BU33" i="45"/>
  <c r="BF11" i="45"/>
  <c r="CL62" i="44"/>
  <c r="CL107" i="44" s="1"/>
  <c r="I22" i="9"/>
  <c r="H22" i="9"/>
  <c r="AD15" i="44"/>
  <c r="AB31" i="44"/>
  <c r="AB107" i="44" s="1"/>
  <c r="AB58" i="30"/>
  <c r="CC47" i="44"/>
  <c r="H33" i="5"/>
  <c r="H35" i="5" s="1"/>
  <c r="BX92" i="30"/>
  <c r="CC92" i="30" s="1"/>
  <c r="HF41" i="44"/>
  <c r="HF61" i="44"/>
  <c r="BN11" i="45"/>
  <c r="Q23" i="6"/>
  <c r="H33" i="6" s="1"/>
  <c r="P23" i="20"/>
  <c r="Q23" i="20" s="1"/>
  <c r="H35" i="20" s="1"/>
  <c r="R17" i="11"/>
  <c r="R19" i="11" s="1"/>
  <c r="S17" i="11"/>
  <c r="S19" i="11" s="1"/>
  <c r="Q19" i="11"/>
  <c r="BD47" i="44"/>
  <c r="CC62" i="44"/>
  <c r="BC62" i="44"/>
  <c r="HE52" i="44"/>
  <c r="HF54" i="44"/>
  <c r="DC68" i="44"/>
  <c r="EC68" i="44"/>
  <c r="EC75" i="44"/>
  <c r="HE73" i="44"/>
  <c r="DC85" i="44"/>
  <c r="HE77" i="44"/>
  <c r="HF83" i="44"/>
  <c r="HE89" i="44"/>
  <c r="HE91" i="44"/>
  <c r="HE97" i="44"/>
  <c r="HC47" i="44"/>
  <c r="BQ7" i="45" s="1"/>
  <c r="HB47" i="44"/>
  <c r="BP7" i="45" s="1"/>
  <c r="AX31" i="44"/>
  <c r="BD16" i="44"/>
  <c r="HF16" i="44" s="1"/>
  <c r="HE76" i="44"/>
  <c r="F92" i="30"/>
  <c r="CA92" i="30"/>
  <c r="CB92" i="30" s="1"/>
  <c r="CC85" i="44"/>
  <c r="HE79" i="44"/>
  <c r="BC92" i="44"/>
  <c r="G39" i="5"/>
  <c r="CC19" i="30"/>
  <c r="BV105" i="44"/>
  <c r="T27" i="45"/>
  <c r="EV40" i="43"/>
  <c r="AV40" i="43"/>
  <c r="FP85" i="44"/>
  <c r="BC23" i="45" s="1"/>
  <c r="BV107" i="44"/>
  <c r="Q31" i="45"/>
  <c r="W84" i="30" s="1"/>
  <c r="CK105" i="44"/>
  <c r="DC101" i="44"/>
  <c r="CU107" i="44"/>
  <c r="CU105" i="44"/>
  <c r="Z31" i="45"/>
  <c r="AD31" i="45" s="1"/>
  <c r="AG31" i="45"/>
  <c r="DS105" i="44"/>
  <c r="EC101" i="44"/>
  <c r="AH31" i="45"/>
  <c r="AN31" i="45" s="1"/>
  <c r="EE105" i="44"/>
  <c r="EE107" i="44"/>
  <c r="AP31" i="45"/>
  <c r="EW105" i="44"/>
  <c r="AV31" i="45"/>
  <c r="EW107" i="44"/>
  <c r="BU12" i="45"/>
  <c r="AP107" i="44"/>
  <c r="BH107" i="44"/>
  <c r="M35" i="45"/>
  <c r="S85" i="30" s="1"/>
  <c r="BX107" i="44"/>
  <c r="Q35" i="45"/>
  <c r="W85" i="30" s="1"/>
  <c r="AQ35" i="45"/>
  <c r="EH107" i="44"/>
  <c r="EX107" i="44"/>
  <c r="AW35" i="45"/>
  <c r="FU105" i="44"/>
  <c r="FU107" i="44"/>
  <c r="BD23" i="45"/>
  <c r="GC104" i="44"/>
  <c r="HE102" i="44"/>
  <c r="CP40" i="43"/>
  <c r="HK17" i="43"/>
  <c r="G24" i="5"/>
  <c r="H22" i="5"/>
  <c r="H23" i="5" s="1"/>
  <c r="I22" i="5"/>
  <c r="I23" i="5" s="1"/>
  <c r="HE103" i="44"/>
  <c r="EM107" i="44"/>
  <c r="EV105" i="44"/>
  <c r="BB15" i="45"/>
  <c r="BH15" i="45" s="1"/>
  <c r="BE15" i="45"/>
  <c r="BA19" i="45"/>
  <c r="BG81" i="30" s="1"/>
  <c r="BG19" i="45"/>
  <c r="BF23" i="45"/>
  <c r="GA107" i="44"/>
  <c r="FR105" i="44"/>
  <c r="BG27" i="45"/>
  <c r="FH105" i="44"/>
  <c r="FZ105" i="44"/>
  <c r="FG107" i="44"/>
  <c r="HM18" i="43"/>
  <c r="EI18" i="43"/>
  <c r="GL62" i="44"/>
  <c r="BL11" i="45" s="1"/>
  <c r="HD53" i="44"/>
  <c r="GP68" i="44"/>
  <c r="BL15" i="45" s="1"/>
  <c r="BR15" i="45" s="1"/>
  <c r="HD64" i="44"/>
  <c r="HD68" i="44" s="1"/>
  <c r="GW107" i="44"/>
  <c r="GW105" i="44"/>
  <c r="GN105" i="44"/>
  <c r="DK40" i="43"/>
  <c r="DJ105" i="44"/>
  <c r="G34" i="9"/>
  <c r="HE20" i="44"/>
  <c r="CM105" i="44"/>
  <c r="AG107" i="44"/>
  <c r="BC101" i="44"/>
  <c r="AG105" i="44"/>
  <c r="BL101" i="44"/>
  <c r="CD101" i="44" s="1"/>
  <c r="CD97" i="44"/>
  <c r="BZ107" i="44"/>
  <c r="DZ107" i="44"/>
  <c r="GC47" i="44"/>
  <c r="BA15" i="45"/>
  <c r="BG80" i="30" s="1"/>
  <c r="FF105" i="44"/>
  <c r="FN105" i="44"/>
  <c r="FV107" i="44"/>
  <c r="BE23" i="45"/>
  <c r="BK82" i="30" s="1"/>
  <c r="FV105" i="44"/>
  <c r="FE105" i="44"/>
  <c r="FE107" i="44"/>
  <c r="AZ27" i="45"/>
  <c r="FM107" i="44"/>
  <c r="FM105" i="44"/>
  <c r="BB31" i="45"/>
  <c r="BH31" i="45" s="1"/>
  <c r="GC101" i="44"/>
  <c r="FK107" i="44"/>
  <c r="FZ107" i="44"/>
  <c r="HS17" i="43"/>
  <c r="HW17" i="43"/>
  <c r="HU24" i="43"/>
  <c r="FD68" i="44"/>
  <c r="AQ27" i="45"/>
  <c r="AW83" i="30" s="1"/>
  <c r="ED87" i="44"/>
  <c r="HF87" i="44" s="1"/>
  <c r="ED90" i="44"/>
  <c r="HF90" i="44" s="1"/>
  <c r="DD88" i="44"/>
  <c r="GC85" i="44"/>
  <c r="CR75" i="44"/>
  <c r="DD72" i="44"/>
  <c r="DD75" i="44" s="1"/>
  <c r="ED97" i="44"/>
  <c r="BU32" i="45"/>
  <c r="HF70" i="44"/>
  <c r="I26" i="5"/>
  <c r="I27" i="5" s="1"/>
  <c r="H26" i="5"/>
  <c r="CT31" i="44"/>
  <c r="BD91" i="44"/>
  <c r="AN92" i="44"/>
  <c r="AV35" i="45"/>
  <c r="AX35" i="45" s="1"/>
  <c r="FA107" i="44"/>
  <c r="GG107" i="44"/>
  <c r="HC101" i="44"/>
  <c r="BQ31" i="45" s="1"/>
  <c r="BS31" i="45" s="1"/>
  <c r="GG105" i="44"/>
  <c r="GD95" i="44"/>
  <c r="HF95" i="44" s="1"/>
  <c r="FL101" i="44"/>
  <c r="ED72" i="44"/>
  <c r="ED75" i="44" s="1"/>
  <c r="DN75" i="44"/>
  <c r="DD59" i="44"/>
  <c r="AM61" i="30"/>
  <c r="O59" i="30"/>
  <c r="F60" i="30"/>
  <c r="AT51" i="30"/>
  <c r="BD51" i="30" s="1"/>
  <c r="BN51" i="30" s="1"/>
  <c r="BX51" i="30" s="1"/>
  <c r="DH25" i="43"/>
  <c r="K4" i="45"/>
  <c r="I11" i="11"/>
  <c r="H11" i="11"/>
  <c r="W19" i="45"/>
  <c r="AC81" i="30" s="1"/>
  <c r="EG107" i="44"/>
  <c r="AP27" i="45"/>
  <c r="EY105" i="44"/>
  <c r="EY107" i="44"/>
  <c r="AI105" i="44"/>
  <c r="AR75" i="44"/>
  <c r="BD72" i="44"/>
  <c r="BP85" i="44"/>
  <c r="O23" i="45" s="1"/>
  <c r="U82" i="30" s="1"/>
  <c r="BK19" i="45"/>
  <c r="BQ81" i="30" s="1"/>
  <c r="BM19" i="45"/>
  <c r="BS81" i="30" s="1"/>
  <c r="HC85" i="44"/>
  <c r="BQ23" i="45" s="1"/>
  <c r="BS23" i="45" s="1"/>
  <c r="HC92" i="44"/>
  <c r="BQ27" i="45" s="1"/>
  <c r="FB47" i="44"/>
  <c r="AW7" i="45" s="1"/>
  <c r="AY7" i="45" s="1"/>
  <c r="FD45" i="44"/>
  <c r="EJ75" i="44"/>
  <c r="EJ107" i="44" s="1"/>
  <c r="FD69" i="44"/>
  <c r="FD98" i="44"/>
  <c r="HF98" i="44" s="1"/>
  <c r="FB101" i="44"/>
  <c r="DR107" i="44"/>
  <c r="J15" i="45"/>
  <c r="BN41" i="30"/>
  <c r="BX41" i="30" s="1"/>
  <c r="AM56" i="30"/>
  <c r="AX11" i="45"/>
  <c r="GD85" i="44"/>
  <c r="BR105" i="44"/>
  <c r="DG107" i="44"/>
  <c r="EO107" i="44"/>
  <c r="EO105" i="44"/>
  <c r="EU107" i="44"/>
  <c r="AT15" i="45"/>
  <c r="AX15" i="45" s="1"/>
  <c r="AM105" i="44"/>
  <c r="DM105" i="44"/>
  <c r="FA105" i="44"/>
  <c r="CG105" i="44"/>
  <c r="CG107" i="44"/>
  <c r="EQ107" i="44"/>
  <c r="AT47" i="44"/>
  <c r="G5" i="45"/>
  <c r="K5" i="45" s="1"/>
  <c r="CD80" i="44"/>
  <c r="CD85" i="44" s="1"/>
  <c r="GI105" i="44"/>
  <c r="GR107" i="44"/>
  <c r="GK14" i="43"/>
  <c r="GD40" i="44"/>
  <c r="HF40" i="44" s="1"/>
  <c r="FL47" i="44"/>
  <c r="BC7" i="45" s="1"/>
  <c r="BI78" i="30" s="1"/>
  <c r="FD72" i="44"/>
  <c r="EN75" i="44"/>
  <c r="EN107" i="44" s="1"/>
  <c r="BG31" i="45"/>
  <c r="HE19" i="43"/>
  <c r="HF49" i="44"/>
  <c r="Q14" i="11"/>
  <c r="CN31" i="44"/>
  <c r="CD26" i="44"/>
  <c r="EC47" i="44"/>
  <c r="V7" i="45"/>
  <c r="X7" i="45"/>
  <c r="BD65" i="44"/>
  <c r="Q7" i="45"/>
  <c r="W78" i="30" s="1"/>
  <c r="Y78" i="30" s="1"/>
  <c r="HK19" i="43"/>
  <c r="IC17" i="43"/>
  <c r="IA24" i="43"/>
  <c r="GQ20" i="43"/>
  <c r="CG20" i="43"/>
  <c r="ED52" i="44"/>
  <c r="HY29" i="43"/>
  <c r="BI40" i="43"/>
  <c r="HE25" i="43"/>
  <c r="FF40" i="43"/>
  <c r="BU14" i="45"/>
  <c r="D39" i="39"/>
  <c r="D40" i="39" s="1"/>
  <c r="BT31" i="44"/>
  <c r="AU35" i="45"/>
  <c r="DH18" i="43"/>
  <c r="HO18" i="43"/>
  <c r="IA23" i="43"/>
  <c r="IE23" i="43"/>
  <c r="BM93" i="30"/>
  <c r="ED59" i="44"/>
  <c r="DD89" i="44"/>
  <c r="AA34" i="30"/>
  <c r="AK34" i="30" s="1"/>
  <c r="AU34" i="30" s="1"/>
  <c r="BE34" i="30" s="1"/>
  <c r="BO34" i="30" s="1"/>
  <c r="BY34" i="30" s="1"/>
  <c r="Z39" i="30"/>
  <c r="AJ39" i="30" s="1"/>
  <c r="AT39" i="30" s="1"/>
  <c r="BD39" i="30" s="1"/>
  <c r="BN39" i="30" s="1"/>
  <c r="BX39" i="30" s="1"/>
  <c r="HF94" i="44"/>
  <c r="G27" i="9"/>
  <c r="T107" i="44"/>
  <c r="Y42" i="30"/>
  <c r="Y90" i="30"/>
  <c r="AC94" i="30"/>
  <c r="U29" i="43"/>
  <c r="GW17" i="43"/>
  <c r="CG17" i="43"/>
  <c r="IA17" i="43"/>
  <c r="IC24" i="43"/>
  <c r="DH20" i="43"/>
  <c r="GK20" i="43"/>
  <c r="G38" i="17"/>
  <c r="E31" i="45"/>
  <c r="M84" i="30" s="1"/>
  <c r="ED68" i="44"/>
  <c r="AK27" i="45"/>
  <c r="AQ83" i="30" s="1"/>
  <c r="GY23" i="43"/>
  <c r="AN40" i="43"/>
  <c r="V107" i="44"/>
  <c r="HE70" i="44"/>
  <c r="Q92" i="30"/>
  <c r="BF23" i="43"/>
  <c r="M15" i="45"/>
  <c r="Q19" i="45"/>
  <c r="W81" i="30" s="1"/>
  <c r="HK23" i="43"/>
  <c r="HU23" i="43"/>
  <c r="IC18" i="43"/>
  <c r="G34" i="19"/>
  <c r="G36" i="19" s="1"/>
  <c r="DT47" i="44"/>
  <c r="AA36" i="30"/>
  <c r="AK36" i="30" s="1"/>
  <c r="AU36" i="30" s="1"/>
  <c r="BE36" i="30" s="1"/>
  <c r="BO36" i="30" s="1"/>
  <c r="BY36" i="30" s="1"/>
  <c r="CD36" i="30" s="1"/>
  <c r="HK22" i="43"/>
  <c r="GM21" i="43"/>
  <c r="F58" i="30"/>
  <c r="I3" i="30" s="1"/>
  <c r="HC24" i="43"/>
  <c r="HE24" i="43"/>
  <c r="E7" i="40"/>
  <c r="L29" i="16"/>
  <c r="AI39" i="30"/>
  <c r="Y92" i="30"/>
  <c r="Y29" i="43"/>
  <c r="HO17" i="43"/>
  <c r="HM24" i="43"/>
  <c r="HW24" i="43"/>
  <c r="IE19" i="43"/>
  <c r="BW88" i="30"/>
  <c r="BQ94" i="30"/>
  <c r="HU20" i="43"/>
  <c r="IA20" i="43"/>
  <c r="IE20" i="43"/>
  <c r="FD44" i="44"/>
  <c r="GR22" i="43"/>
  <c r="CN40" i="43"/>
  <c r="CV40" i="43"/>
  <c r="DD40" i="43"/>
  <c r="DQ40" i="43"/>
  <c r="DU40" i="43"/>
  <c r="DY40" i="43"/>
  <c r="EG40" i="43"/>
  <c r="EP40" i="43"/>
  <c r="FB40" i="43"/>
  <c r="FY40" i="43"/>
  <c r="HE26" i="43"/>
  <c r="EI26" i="43"/>
  <c r="IE26" i="43"/>
  <c r="BK61" i="30" s="1"/>
  <c r="BK63" i="30" s="1"/>
  <c r="HC26" i="43"/>
  <c r="GU25" i="43"/>
  <c r="HS25" i="43"/>
  <c r="HW25" i="43"/>
  <c r="HM25" i="43"/>
  <c r="AM60" i="30"/>
  <c r="HK25" i="43"/>
  <c r="BF25" i="43"/>
  <c r="GW25" i="43"/>
  <c r="I59" i="30"/>
  <c r="M59" i="30"/>
  <c r="IA22" i="43"/>
  <c r="HW22" i="43"/>
  <c r="IC21" i="43"/>
  <c r="IA21" i="43"/>
  <c r="HS21" i="43"/>
  <c r="GY21" i="43"/>
  <c r="AO55" i="30"/>
  <c r="M55" i="30"/>
  <c r="AC55" i="30"/>
  <c r="S55" i="30"/>
  <c r="AE55" i="30"/>
  <c r="HC20" i="43"/>
  <c r="AE52" i="30"/>
  <c r="AO52" i="30"/>
  <c r="AQ52" i="30"/>
  <c r="S52" i="30"/>
  <c r="HG19" i="43"/>
  <c r="CG19" i="43"/>
  <c r="GO19" i="43"/>
  <c r="GQ19" i="43"/>
  <c r="GU19" i="43"/>
  <c r="HM19" i="43"/>
  <c r="HW19" i="43"/>
  <c r="FJ19" i="43"/>
  <c r="BF19" i="43"/>
  <c r="HU19" i="43"/>
  <c r="IA19" i="43"/>
  <c r="BQ40" i="43"/>
  <c r="BW40" i="43"/>
  <c r="AX40" i="43"/>
  <c r="BB40" i="43"/>
  <c r="BM40" i="43"/>
  <c r="BU40" i="43"/>
  <c r="AL40" i="43"/>
  <c r="GY17" i="43"/>
  <c r="IE17" i="43"/>
  <c r="EI17" i="43"/>
  <c r="CJ40" i="43"/>
  <c r="HC17" i="43"/>
  <c r="EC40" i="43"/>
  <c r="ET40" i="43"/>
  <c r="U66" i="30"/>
  <c r="GG40" i="43"/>
  <c r="FQ40" i="43"/>
  <c r="GQ17" i="43"/>
  <c r="HU17" i="43"/>
  <c r="H30" i="3"/>
  <c r="I30" i="3"/>
  <c r="G51" i="17"/>
  <c r="I46" i="22"/>
  <c r="H46" i="22"/>
  <c r="Q21" i="20"/>
  <c r="H33" i="20" s="1"/>
  <c r="H26" i="19"/>
  <c r="G27" i="19"/>
  <c r="Q7" i="20"/>
  <c r="P7" i="22"/>
  <c r="Q7" i="22" s="1"/>
  <c r="I29" i="5"/>
  <c r="H29" i="5"/>
  <c r="H31" i="5" s="1"/>
  <c r="I30" i="5"/>
  <c r="G27" i="16"/>
  <c r="Q7" i="6"/>
  <c r="E30" i="17"/>
  <c r="G30" i="17" s="1"/>
  <c r="G33" i="17" s="1"/>
  <c r="G33" i="5"/>
  <c r="P12" i="20"/>
  <c r="P12" i="22" s="1"/>
  <c r="Q12" i="22" s="1"/>
  <c r="I41" i="22" s="1"/>
  <c r="I42" i="22" s="1"/>
  <c r="Q6" i="6"/>
  <c r="G13" i="4"/>
  <c r="I11" i="4"/>
  <c r="I13" i="4" s="1"/>
  <c r="H11" i="4"/>
  <c r="G14" i="11"/>
  <c r="R10" i="11"/>
  <c r="R11" i="4"/>
  <c r="R13" i="4" s="1"/>
  <c r="I23" i="19"/>
  <c r="H23" i="9"/>
  <c r="G18" i="9"/>
  <c r="H18" i="9" s="1"/>
  <c r="H24" i="9" s="1"/>
  <c r="H38" i="9" s="1"/>
  <c r="S10" i="11"/>
  <c r="G21" i="9"/>
  <c r="F22" i="19"/>
  <c r="G22" i="19" s="1"/>
  <c r="I6" i="22"/>
  <c r="I22" i="22" s="1"/>
  <c r="H28" i="22"/>
  <c r="H31" i="22" s="1"/>
  <c r="I49" i="22"/>
  <c r="H34" i="6"/>
  <c r="Q8" i="20"/>
  <c r="P8" i="22"/>
  <c r="Q8" i="22" s="1"/>
  <c r="I32" i="6"/>
  <c r="H32" i="6"/>
  <c r="I23" i="6"/>
  <c r="Q10" i="6"/>
  <c r="I35" i="20"/>
  <c r="P25" i="22"/>
  <c r="Q25" i="22" s="1"/>
  <c r="Q11" i="20"/>
  <c r="F25" i="20"/>
  <c r="G25" i="20" s="1"/>
  <c r="H25" i="20" s="1"/>
  <c r="I16" i="6"/>
  <c r="H24" i="20"/>
  <c r="H27" i="20" s="1"/>
  <c r="I30" i="6"/>
  <c r="P10" i="20"/>
  <c r="H16" i="6"/>
  <c r="G22" i="6"/>
  <c r="G24" i="6" s="1"/>
  <c r="P20" i="20"/>
  <c r="G24" i="43"/>
  <c r="AE24" i="43" s="1"/>
  <c r="H36" i="20"/>
  <c r="AC72" i="30"/>
  <c r="AI70" i="30"/>
  <c r="CG26" i="43"/>
  <c r="HG26" i="43"/>
  <c r="DS40" i="43"/>
  <c r="HU26" i="43"/>
  <c r="AY61" i="30" s="1"/>
  <c r="AY63" i="30" s="1"/>
  <c r="K81" i="30"/>
  <c r="HF45" i="44"/>
  <c r="R12" i="12"/>
  <c r="V56" i="30"/>
  <c r="W56" i="30" s="1"/>
  <c r="V58" i="30"/>
  <c r="G15" i="45"/>
  <c r="O80" i="30" s="1"/>
  <c r="BB105" i="44"/>
  <c r="V59" i="30"/>
  <c r="W59" i="30" s="1"/>
  <c r="V57" i="30"/>
  <c r="W57" i="30" s="1"/>
  <c r="Y57" i="30" s="1"/>
  <c r="AL57" i="30"/>
  <c r="AL59" i="30"/>
  <c r="AM59" i="30" s="1"/>
  <c r="CC24" i="30"/>
  <c r="CB24" i="30"/>
  <c r="IA25" i="43"/>
  <c r="FJ25" i="43"/>
  <c r="EL40" i="43"/>
  <c r="HO26" i="43"/>
  <c r="DH26" i="43"/>
  <c r="CZ40" i="43"/>
  <c r="EX40" i="43"/>
  <c r="FJ26" i="43"/>
  <c r="GZ26" i="43"/>
  <c r="BK72" i="30"/>
  <c r="BM71" i="30"/>
  <c r="HU25" i="43"/>
  <c r="EI25" i="43"/>
  <c r="AF107" i="44"/>
  <c r="C27" i="45"/>
  <c r="BP11" i="45"/>
  <c r="HF78" i="44"/>
  <c r="G35" i="22"/>
  <c r="I34" i="22"/>
  <c r="S61" i="30"/>
  <c r="H27" i="3"/>
  <c r="H28" i="3" s="1"/>
  <c r="U61" i="30"/>
  <c r="AI11" i="45"/>
  <c r="AO11" i="45" s="1"/>
  <c r="U72" i="30"/>
  <c r="GK25" i="43"/>
  <c r="FS40" i="43"/>
  <c r="IC25" i="43"/>
  <c r="AJ40" i="43"/>
  <c r="GU26" i="43"/>
  <c r="AD35" i="45"/>
  <c r="AD36" i="45"/>
  <c r="H34" i="20"/>
  <c r="Q15" i="20"/>
  <c r="P15" i="22"/>
  <c r="Q15" i="22" s="1"/>
  <c r="BS67" i="30"/>
  <c r="BG67" i="30"/>
  <c r="BA67" i="30"/>
  <c r="BU67" i="30"/>
  <c r="BU68" i="30" s="1"/>
  <c r="BI67" i="30"/>
  <c r="BK67" i="30"/>
  <c r="AW67" i="30"/>
  <c r="AM67" i="30"/>
  <c r="BQ67" i="30"/>
  <c r="M80" i="30"/>
  <c r="HF51" i="44"/>
  <c r="C25" i="40"/>
  <c r="C33" i="40" s="1"/>
  <c r="C38" i="40" s="1"/>
  <c r="C39" i="40" s="1"/>
  <c r="E24" i="40"/>
  <c r="E25" i="40" s="1"/>
  <c r="AP58" i="30"/>
  <c r="AP56" i="30"/>
  <c r="AQ56" i="30" s="1"/>
  <c r="AW72" i="30"/>
  <c r="BC70" i="30"/>
  <c r="BC71" i="30"/>
  <c r="AY72" i="30"/>
  <c r="CP105" i="44"/>
  <c r="Y23" i="45"/>
  <c r="AE82" i="30" s="1"/>
  <c r="HG23" i="43"/>
  <c r="BY40" i="43"/>
  <c r="HC23" i="43"/>
  <c r="CG23" i="43"/>
  <c r="CG18" i="43"/>
  <c r="HG18" i="43"/>
  <c r="GY18" i="43"/>
  <c r="BF18" i="43"/>
  <c r="GW24" i="43"/>
  <c r="AP40" i="43"/>
  <c r="BF24" i="43"/>
  <c r="AT40" i="43"/>
  <c r="GW19" i="43"/>
  <c r="AQ72" i="30"/>
  <c r="AD56" i="30"/>
  <c r="AE56" i="30" s="1"/>
  <c r="AD58" i="30"/>
  <c r="HH23" i="43"/>
  <c r="C31" i="45"/>
  <c r="K84" i="30" s="1"/>
  <c r="BD101" i="44"/>
  <c r="BL7" i="45"/>
  <c r="AB59" i="30"/>
  <c r="AC59" i="30" s="1"/>
  <c r="AB57" i="30"/>
  <c r="Q70" i="30"/>
  <c r="GZ18" i="43"/>
  <c r="G11" i="45"/>
  <c r="O79" i="30" s="1"/>
  <c r="FH40" i="43"/>
  <c r="IA26" i="43"/>
  <c r="BG61" i="30" s="1"/>
  <c r="BG63" i="30" s="1"/>
  <c r="AD23" i="45"/>
  <c r="GB107" i="44"/>
  <c r="CR40" i="43"/>
  <c r="O28" i="6"/>
  <c r="Q28" i="6" s="1"/>
  <c r="I38" i="6" s="1"/>
  <c r="E31" i="40"/>
  <c r="AP59" i="30"/>
  <c r="AQ59" i="30" s="1"/>
  <c r="AP57" i="30"/>
  <c r="AQ57" i="30" s="1"/>
  <c r="AD59" i="30"/>
  <c r="AE59" i="30" s="1"/>
  <c r="AD57" i="30"/>
  <c r="AE57" i="30" s="1"/>
  <c r="AN58" i="30"/>
  <c r="AN56" i="30"/>
  <c r="AO56" i="30" s="1"/>
  <c r="F72" i="30"/>
  <c r="R58" i="30"/>
  <c r="R56" i="30"/>
  <c r="DW40" i="43"/>
  <c r="T23" i="45"/>
  <c r="DN105" i="44"/>
  <c r="I31" i="40"/>
  <c r="HX19" i="43"/>
  <c r="HP19" i="43"/>
  <c r="AR54" i="30"/>
  <c r="Y71" i="30"/>
  <c r="O67" i="30"/>
  <c r="T58" i="30"/>
  <c r="T56" i="30"/>
  <c r="U56" i="30" s="1"/>
  <c r="AG67" i="30"/>
  <c r="FU40" i="43"/>
  <c r="AN59" i="30"/>
  <c r="AO59" i="30" s="1"/>
  <c r="AN57" i="30"/>
  <c r="AO57" i="30" s="1"/>
  <c r="BW70" i="30"/>
  <c r="M67" i="30"/>
  <c r="HH18" i="43"/>
  <c r="T11" i="45"/>
  <c r="CB105" i="44"/>
  <c r="M29" i="43"/>
  <c r="U36" i="45"/>
  <c r="J19" i="45"/>
  <c r="AZ107" i="44"/>
  <c r="M14" i="43"/>
  <c r="AO60" i="30"/>
  <c r="AF59" i="30"/>
  <c r="AG59" i="30" s="1"/>
  <c r="AF57" i="30"/>
  <c r="AG57" i="30" s="1"/>
  <c r="X55" i="30"/>
  <c r="BQ72" i="30"/>
  <c r="AD19" i="45"/>
  <c r="AE7" i="45"/>
  <c r="AE78" i="30"/>
  <c r="AW23" i="45"/>
  <c r="H27" i="5"/>
  <c r="W67" i="30"/>
  <c r="AS70" i="30"/>
  <c r="AN15" i="45"/>
  <c r="CL31" i="44"/>
  <c r="HE55" i="44"/>
  <c r="ED104" i="44"/>
  <c r="Q23" i="30"/>
  <c r="EG105" i="44"/>
  <c r="AS107" i="44"/>
  <c r="J29" i="45"/>
  <c r="EI38" i="43"/>
  <c r="BM91" i="30"/>
  <c r="BO7" i="45"/>
  <c r="BU78" i="30" s="1"/>
  <c r="DD79" i="44"/>
  <c r="Z71" i="30"/>
  <c r="AJ71" i="30" s="1"/>
  <c r="AT71" i="30" s="1"/>
  <c r="BD71" i="30" s="1"/>
  <c r="CB71" i="30" s="1"/>
  <c r="HG21" i="43"/>
  <c r="GW21" i="43"/>
  <c r="AR31" i="44"/>
  <c r="BD19" i="44"/>
  <c r="CD21" i="44"/>
  <c r="DB31" i="44"/>
  <c r="DR31" i="44"/>
  <c r="BD24" i="44"/>
  <c r="HF24" i="44" s="1"/>
  <c r="HE24" i="44"/>
  <c r="HE25" i="44"/>
  <c r="FD31" i="44"/>
  <c r="BC47" i="44"/>
  <c r="HE41" i="44"/>
  <c r="HF43" i="44"/>
  <c r="AQ31" i="45"/>
  <c r="AW84" i="30" s="1"/>
  <c r="BY105" i="44"/>
  <c r="W23" i="45"/>
  <c r="AC82" i="30" s="1"/>
  <c r="CS107" i="44"/>
  <c r="AK105" i="44"/>
  <c r="D31" i="45"/>
  <c r="J26" i="45"/>
  <c r="AS51" i="30"/>
  <c r="AM94" i="30"/>
  <c r="BW93" i="30"/>
  <c r="BL31" i="44"/>
  <c r="F27" i="45"/>
  <c r="P35" i="45"/>
  <c r="T36" i="45" s="1"/>
  <c r="DH24" i="43"/>
  <c r="HO24" i="43"/>
  <c r="DH38" i="43"/>
  <c r="AS90" i="30"/>
  <c r="AS94" i="30" s="1"/>
  <c r="BC23" i="30"/>
  <c r="GK18" i="43"/>
  <c r="GK19" i="43"/>
  <c r="BF20" i="43"/>
  <c r="GQ21" i="43"/>
  <c r="FC68" i="44"/>
  <c r="HE100" i="44"/>
  <c r="AJ13" i="30"/>
  <c r="AT13" i="30" s="1"/>
  <c r="BD13" i="30" s="1"/>
  <c r="BN13" i="30" s="1"/>
  <c r="IA18" i="43"/>
  <c r="BD20" i="44"/>
  <c r="DJ31" i="44"/>
  <c r="HE50" i="44"/>
  <c r="FC75" i="44"/>
  <c r="FC104" i="44"/>
  <c r="Y51" i="30"/>
  <c r="AA51" i="30" s="1"/>
  <c r="HG17" i="43"/>
  <c r="HS23" i="43"/>
  <c r="HQ29" i="43"/>
  <c r="BC90" i="30"/>
  <c r="CD88" i="44"/>
  <c r="HO22" i="43"/>
  <c r="DH22" i="43"/>
  <c r="CG22" i="43"/>
  <c r="GL21" i="43"/>
  <c r="GR21" i="43" s="1"/>
  <c r="W29" i="43"/>
  <c r="CV31" i="44"/>
  <c r="HE46" i="44"/>
  <c r="FD104" i="44"/>
  <c r="AI41" i="30"/>
  <c r="L19" i="45"/>
  <c r="X27" i="45"/>
  <c r="BM23" i="30"/>
  <c r="GF107" i="44"/>
  <c r="HD104" i="44"/>
  <c r="GK38" i="43"/>
  <c r="K16" i="45"/>
  <c r="BU16" i="45" s="1"/>
  <c r="IC22" i="43"/>
  <c r="GY22" i="43"/>
  <c r="GO21" i="43"/>
  <c r="HE57" i="44"/>
  <c r="W94" i="30"/>
  <c r="V27" i="45"/>
  <c r="FJ17" i="43"/>
  <c r="BU94" i="30"/>
  <c r="Z37" i="30"/>
  <c r="AJ37" i="30" s="1"/>
  <c r="AT37" i="30" s="1"/>
  <c r="BD37" i="30" s="1"/>
  <c r="BN37" i="30" s="1"/>
  <c r="BX37" i="30" s="1"/>
  <c r="AA29" i="43"/>
  <c r="HO25" i="43"/>
  <c r="FM40" i="43"/>
  <c r="Q17" i="12"/>
  <c r="HF89" i="44"/>
  <c r="BB107" i="44"/>
  <c r="U38" i="43"/>
  <c r="O29" i="43"/>
  <c r="P16" i="4"/>
  <c r="Q16" i="4" s="1"/>
  <c r="K33" i="31"/>
  <c r="K39" i="31" s="1"/>
  <c r="HE56" i="44"/>
  <c r="BE27" i="45"/>
  <c r="BK83" i="30" s="1"/>
  <c r="EI24" i="43"/>
  <c r="FJ14" i="43"/>
  <c r="BM90" i="30"/>
  <c r="AA37" i="30"/>
  <c r="AK37" i="30" s="1"/>
  <c r="AU37" i="30" s="1"/>
  <c r="BE37" i="30" s="1"/>
  <c r="BO37" i="30" s="1"/>
  <c r="BY37" i="30" s="1"/>
  <c r="CD37" i="30" s="1"/>
  <c r="Z84" i="30"/>
  <c r="AJ84" i="30" s="1"/>
  <c r="AT84" i="30" s="1"/>
  <c r="BD84" i="30" s="1"/>
  <c r="CC20" i="30"/>
  <c r="CB20" i="30"/>
  <c r="O31" i="22"/>
  <c r="Q31" i="22" s="1"/>
  <c r="H54" i="22" s="1"/>
  <c r="P16" i="22"/>
  <c r="Q16" i="22" s="1"/>
  <c r="GQ26" i="43"/>
  <c r="S14" i="43"/>
  <c r="W14" i="43"/>
  <c r="GL19" i="43"/>
  <c r="P52" i="30" s="1"/>
  <c r="J20" i="45"/>
  <c r="K26" i="45"/>
  <c r="BU26" i="45" s="1"/>
  <c r="Q38" i="43"/>
  <c r="J22" i="45"/>
  <c r="K17" i="45"/>
  <c r="BU17" i="45" s="1"/>
  <c r="K38" i="43"/>
  <c r="J25" i="45"/>
  <c r="O61" i="30"/>
  <c r="AE61" i="30"/>
  <c r="W60" i="30"/>
  <c r="HP25" i="43"/>
  <c r="I60" i="30"/>
  <c r="AQ60" i="30"/>
  <c r="GL24" i="43"/>
  <c r="HX24" i="43"/>
  <c r="GZ23" i="43"/>
  <c r="AE53" i="30"/>
  <c r="HH22" i="43"/>
  <c r="X54" i="30"/>
  <c r="GZ21" i="43"/>
  <c r="G20" i="43"/>
  <c r="GM20" i="43" s="1"/>
  <c r="HX20" i="43"/>
  <c r="AG53" i="30"/>
  <c r="GZ19" i="43"/>
  <c r="F52" i="30"/>
  <c r="HH19" i="43"/>
  <c r="AB67" i="30"/>
  <c r="AC67" i="30" s="1"/>
  <c r="HX18" i="43"/>
  <c r="F67" i="30"/>
  <c r="O66" i="30"/>
  <c r="AQ66" i="30"/>
  <c r="AG66" i="30"/>
  <c r="BQ66" i="30"/>
  <c r="AY66" i="30"/>
  <c r="AY68" i="30" s="1"/>
  <c r="AW66" i="30"/>
  <c r="G68" i="30"/>
  <c r="G73" i="30" s="1"/>
  <c r="AO66" i="30"/>
  <c r="AM66" i="30"/>
  <c r="AE66" i="30"/>
  <c r="AH66" i="30"/>
  <c r="AH55" i="30"/>
  <c r="AG55" i="30"/>
  <c r="AQ55" i="30"/>
  <c r="AR55" i="30"/>
  <c r="P54" i="30"/>
  <c r="AC53" i="30"/>
  <c r="AM53" i="30"/>
  <c r="AS53" i="30" s="1"/>
  <c r="AR53" i="30"/>
  <c r="U52" i="30"/>
  <c r="X52" i="30"/>
  <c r="S66" i="30"/>
  <c r="X66" i="30"/>
  <c r="X53" i="30"/>
  <c r="CB88" i="30"/>
  <c r="BN88" i="30"/>
  <c r="BX88" i="30" s="1"/>
  <c r="CC88" i="30" s="1"/>
  <c r="GZ25" i="43"/>
  <c r="CB36" i="30"/>
  <c r="AL52" i="30"/>
  <c r="J89" i="30"/>
  <c r="HH29" i="43"/>
  <c r="HX22" i="43"/>
  <c r="F66" i="30"/>
  <c r="HP21" i="43"/>
  <c r="F55" i="30"/>
  <c r="X61" i="30"/>
  <c r="HH26" i="43"/>
  <c r="W61" i="30"/>
  <c r="AE60" i="30"/>
  <c r="AF52" i="30"/>
  <c r="AG52" i="30" s="1"/>
  <c r="S53" i="30"/>
  <c r="Y53" i="30" s="1"/>
  <c r="HH21" i="43"/>
  <c r="HP22" i="43"/>
  <c r="F61" i="30"/>
  <c r="AR60" i="30"/>
  <c r="O60" i="30"/>
  <c r="HP23" i="43"/>
  <c r="GZ17" i="43"/>
  <c r="GZ20" i="43"/>
  <c r="CC36" i="30"/>
  <c r="HP18" i="43"/>
  <c r="HH20" i="43"/>
  <c r="AG60" i="30"/>
  <c r="U60" i="30"/>
  <c r="S59" i="30"/>
  <c r="HH17" i="43"/>
  <c r="HP20" i="43"/>
  <c r="GR18" i="43"/>
  <c r="IF20" i="43"/>
  <c r="K29" i="43"/>
  <c r="J17" i="45"/>
  <c r="GN26" i="43"/>
  <c r="M61" i="30" s="1"/>
  <c r="GL25" i="43"/>
  <c r="GR25" i="43" s="1"/>
  <c r="I25" i="43"/>
  <c r="GM25" i="43" s="1"/>
  <c r="G14" i="43"/>
  <c r="O14" i="43"/>
  <c r="AC38" i="43"/>
  <c r="AE34" i="43"/>
  <c r="Y14" i="43"/>
  <c r="AE12" i="43"/>
  <c r="AD13" i="43"/>
  <c r="E13" i="43" s="1"/>
  <c r="AA14" i="43"/>
  <c r="I2" i="30"/>
  <c r="G38" i="43"/>
  <c r="AA38" i="43"/>
  <c r="Q14" i="43"/>
  <c r="GO25" i="43"/>
  <c r="Q29" i="43"/>
  <c r="S38" i="43"/>
  <c r="AE32" i="43"/>
  <c r="AE10" i="43"/>
  <c r="M38" i="43"/>
  <c r="O38" i="43"/>
  <c r="AD10" i="43"/>
  <c r="E10" i="43" s="1"/>
  <c r="AD11" i="43"/>
  <c r="E11" i="43" s="1"/>
  <c r="AD12" i="43"/>
  <c r="E12" i="43" s="1"/>
  <c r="AE13" i="43"/>
  <c r="U14" i="43"/>
  <c r="GO26" i="43"/>
  <c r="AD32" i="43"/>
  <c r="AD33" i="43"/>
  <c r="AE35" i="43"/>
  <c r="W38" i="43"/>
  <c r="AD37" i="43"/>
  <c r="J18" i="45"/>
  <c r="AE37" i="43"/>
  <c r="J21" i="45"/>
  <c r="K25" i="45"/>
  <c r="BU25" i="45" s="1"/>
  <c r="J24" i="45"/>
  <c r="J28" i="45"/>
  <c r="K21" i="45"/>
  <c r="BU21" i="45" s="1"/>
  <c r="M60" i="30"/>
  <c r="I38" i="43"/>
  <c r="AD19" i="43"/>
  <c r="AC14" i="43"/>
  <c r="I19" i="43"/>
  <c r="I14" i="43"/>
  <c r="K22" i="45"/>
  <c r="BU22" i="45" s="1"/>
  <c r="K28" i="45"/>
  <c r="BU28" i="45" s="1"/>
  <c r="Y38" i="43"/>
  <c r="J30" i="45"/>
  <c r="AE36" i="43"/>
  <c r="K14" i="43"/>
  <c r="AE33" i="43"/>
  <c r="S29" i="43"/>
  <c r="I29" i="20"/>
  <c r="I30" i="20" s="1"/>
  <c r="H29" i="20"/>
  <c r="H30" i="20" s="1"/>
  <c r="G30" i="20"/>
  <c r="I26" i="6"/>
  <c r="I27" i="6" s="1"/>
  <c r="G27" i="6"/>
  <c r="H26" i="6"/>
  <c r="H27" i="6" s="1"/>
  <c r="AH61" i="30"/>
  <c r="AC61" i="30"/>
  <c r="S60" i="30"/>
  <c r="X60" i="30"/>
  <c r="I61" i="30"/>
  <c r="CC23" i="30"/>
  <c r="CB23" i="30"/>
  <c r="AG61" i="30"/>
  <c r="AE67" i="30"/>
  <c r="AA91" i="30"/>
  <c r="Y94" i="30"/>
  <c r="AC52" i="30"/>
  <c r="CB78" i="30"/>
  <c r="BN78" i="30"/>
  <c r="BX78" i="30" s="1"/>
  <c r="CC78" i="30" s="1"/>
  <c r="BU72" i="30"/>
  <c r="BW71" i="30"/>
  <c r="CB79" i="30"/>
  <c r="BN79" i="30"/>
  <c r="BX79" i="30" s="1"/>
  <c r="CC79" i="30" s="1"/>
  <c r="I6" i="20"/>
  <c r="I18" i="20" s="1"/>
  <c r="H18" i="20"/>
  <c r="H15" i="22"/>
  <c r="I15" i="22" s="1"/>
  <c r="O36" i="22"/>
  <c r="AG56" i="30"/>
  <c r="I56" i="30"/>
  <c r="AQ61" i="30"/>
  <c r="U59" i="30"/>
  <c r="AC84" i="30"/>
  <c r="HF102" i="44"/>
  <c r="BQ11" i="45"/>
  <c r="BS11" i="45" s="1"/>
  <c r="AF58" i="30"/>
  <c r="AH54" i="30"/>
  <c r="AM55" i="30"/>
  <c r="AX104" i="44"/>
  <c r="AX107" i="44" s="1"/>
  <c r="AX105" i="44"/>
  <c r="G35" i="45"/>
  <c r="G38" i="45" s="1"/>
  <c r="G39" i="45" s="1"/>
  <c r="AL107" i="44"/>
  <c r="C11" i="45"/>
  <c r="Q32" i="6"/>
  <c r="O33" i="6"/>
  <c r="J7" i="45"/>
  <c r="AM72" i="30"/>
  <c r="S72" i="30"/>
  <c r="HD47" i="44"/>
  <c r="FT107" i="44"/>
  <c r="BE31" i="45"/>
  <c r="H14" i="9"/>
  <c r="I5" i="9"/>
  <c r="I14" i="9" s="1"/>
  <c r="G11" i="3"/>
  <c r="H10" i="3"/>
  <c r="H12" i="20"/>
  <c r="I12" i="20" s="1"/>
  <c r="U85" i="30"/>
  <c r="U35" i="45"/>
  <c r="AN11" i="45"/>
  <c r="O27" i="45"/>
  <c r="BN105" i="44"/>
  <c r="BN107" i="44"/>
  <c r="O28" i="20"/>
  <c r="Q28" i="20" s="1"/>
  <c r="AN23" i="45"/>
  <c r="E19" i="40"/>
  <c r="O72" i="30"/>
  <c r="EP107" i="44"/>
  <c r="EP105" i="44"/>
  <c r="AC56" i="30"/>
  <c r="DD47" i="44"/>
  <c r="I39" i="20"/>
  <c r="I41" i="20" s="1"/>
  <c r="H39" i="20"/>
  <c r="H41" i="20" s="1"/>
  <c r="P31" i="20"/>
  <c r="Q31" i="6"/>
  <c r="M27" i="45"/>
  <c r="S83" i="30" s="1"/>
  <c r="G5" i="31"/>
  <c r="BJ31" i="44"/>
  <c r="CD19" i="44"/>
  <c r="BW107" i="44"/>
  <c r="BW105" i="44"/>
  <c r="DA105" i="44"/>
  <c r="DA107" i="44"/>
  <c r="CD59" i="44"/>
  <c r="BT62" i="44"/>
  <c r="IE25" i="43"/>
  <c r="CC40" i="43"/>
  <c r="H12" i="11"/>
  <c r="AI23" i="45"/>
  <c r="AR31" i="45"/>
  <c r="EM105" i="44"/>
  <c r="FC101" i="44"/>
  <c r="GB105" i="44"/>
  <c r="T31" i="45"/>
  <c r="AZ105" i="44"/>
  <c r="BF31" i="44"/>
  <c r="BC75" i="44"/>
  <c r="HE69" i="44"/>
  <c r="U67" i="30"/>
  <c r="GA40" i="43"/>
  <c r="I53" i="22"/>
  <c r="I55" i="22" s="1"/>
  <c r="H53" i="22"/>
  <c r="H55" i="22" s="1"/>
  <c r="EL107" i="44"/>
  <c r="CA40" i="43"/>
  <c r="CG14" i="43"/>
  <c r="AG15" i="45"/>
  <c r="DO107" i="44"/>
  <c r="BM92" i="30"/>
  <c r="BG94" i="30"/>
  <c r="GU21" i="43"/>
  <c r="BF21" i="43"/>
  <c r="IF21" i="43"/>
  <c r="BF17" i="43"/>
  <c r="V15" i="45"/>
  <c r="AD15" i="45" s="1"/>
  <c r="DH19" i="43"/>
  <c r="GK107" i="44"/>
  <c r="HE15" i="44"/>
  <c r="HE51" i="44"/>
  <c r="CC75" i="44"/>
  <c r="D27" i="45"/>
  <c r="BI94" i="30"/>
  <c r="AI91" i="30"/>
  <c r="F11" i="45"/>
  <c r="J11" i="45" s="1"/>
  <c r="B27" i="45"/>
  <c r="BC92" i="30"/>
  <c r="BO40" i="43"/>
  <c r="AL31" i="44"/>
  <c r="BR31" i="44"/>
  <c r="BD26" i="44"/>
  <c r="DD27" i="44"/>
  <c r="DC47" i="44"/>
  <c r="HE45" i="44"/>
  <c r="Y41" i="30"/>
  <c r="AI51" i="30"/>
  <c r="N19" i="45"/>
  <c r="BS105" i="44"/>
  <c r="DH17" i="43"/>
  <c r="HW18" i="43"/>
  <c r="GV105" i="44"/>
  <c r="AD22" i="43"/>
  <c r="K55" i="30"/>
  <c r="AN31" i="44"/>
  <c r="BD18" i="44"/>
  <c r="HF18" i="44" s="1"/>
  <c r="HE28" i="44"/>
  <c r="M19" i="45"/>
  <c r="HO19" i="43"/>
  <c r="F23" i="43"/>
  <c r="GL23" i="43" s="1"/>
  <c r="GR23" i="43" s="1"/>
  <c r="IF23" i="43"/>
  <c r="HK24" i="43"/>
  <c r="FJ23" i="43"/>
  <c r="BJ11" i="45"/>
  <c r="HU22" i="43"/>
  <c r="HW21" i="43"/>
  <c r="EI21" i="43"/>
  <c r="HC21" i="43"/>
  <c r="IF22" i="43"/>
  <c r="FJ20" i="43"/>
  <c r="GK22" i="43"/>
  <c r="CG21" i="43"/>
  <c r="DH23" i="43"/>
  <c r="GK24" i="43"/>
  <c r="HS20" i="43"/>
  <c r="HE22" i="43"/>
  <c r="IF17" i="43"/>
  <c r="GU22" i="43"/>
  <c r="IE21" i="43"/>
  <c r="FJ21" i="43"/>
  <c r="HU21" i="43"/>
  <c r="F17" i="43"/>
  <c r="GL17" i="43" s="1"/>
  <c r="IF19" i="43"/>
  <c r="EI14" i="43"/>
  <c r="GY20" i="43"/>
  <c r="HS22" i="43"/>
  <c r="GW22" i="43"/>
  <c r="GK21" i="43"/>
  <c r="BF61" i="30"/>
  <c r="IF18" i="43"/>
  <c r="GQ23" i="43"/>
  <c r="IE24" i="43"/>
  <c r="GK23" i="43"/>
  <c r="HM22" i="43"/>
  <c r="HO21" i="43"/>
  <c r="HK21" i="43"/>
  <c r="GL26" i="43"/>
  <c r="IF25" i="43"/>
  <c r="HM23" i="43"/>
  <c r="HK20" i="43"/>
  <c r="HQ20" i="43" s="1"/>
  <c r="IE22" i="43"/>
  <c r="HG22" i="43"/>
  <c r="HC22" i="43"/>
  <c r="GQ22" i="43"/>
  <c r="DH14" i="43"/>
  <c r="IC26" i="43"/>
  <c r="BI61" i="30" s="1"/>
  <c r="BI63" i="30" s="1"/>
  <c r="BB61" i="30"/>
  <c r="HW26" i="43"/>
  <c r="BA61" i="30" s="1"/>
  <c r="HX26" i="43"/>
  <c r="HP26" i="43"/>
  <c r="AN61" i="30"/>
  <c r="HG25" i="43"/>
  <c r="HG24" i="43"/>
  <c r="CG25" i="43"/>
  <c r="AC60" i="30"/>
  <c r="AH60" i="30"/>
  <c r="HH25" i="43"/>
  <c r="HC25" i="43"/>
  <c r="GZ22" i="43"/>
  <c r="BF22" i="43"/>
  <c r="X67" i="30"/>
  <c r="S67" i="30"/>
  <c r="GZ24" i="43"/>
  <c r="GO22" i="43"/>
  <c r="I53" i="30"/>
  <c r="M53" i="30"/>
  <c r="DH21" i="43"/>
  <c r="EI22" i="43"/>
  <c r="FJ22" i="43"/>
  <c r="AI72" i="30" l="1"/>
  <c r="AS84" i="30"/>
  <c r="Y85" i="30"/>
  <c r="Q84" i="30"/>
  <c r="BW79" i="30"/>
  <c r="BW78" i="30"/>
  <c r="CB83" i="30"/>
  <c r="X59" i="30"/>
  <c r="CC34" i="30"/>
  <c r="CB34" i="30"/>
  <c r="H17" i="3"/>
  <c r="H20" i="3" s="1"/>
  <c r="I18" i="3"/>
  <c r="I12" i="12"/>
  <c r="HF17" i="44"/>
  <c r="HD101" i="44"/>
  <c r="EB105" i="44"/>
  <c r="U7" i="45"/>
  <c r="GC105" i="44"/>
  <c r="BN81" i="30"/>
  <c r="BX81" i="30" s="1"/>
  <c r="CC81" i="30" s="1"/>
  <c r="BM83" i="30"/>
  <c r="G20" i="3"/>
  <c r="BR19" i="45"/>
  <c r="I22" i="3"/>
  <c r="I25" i="3" s="1"/>
  <c r="J31" i="45"/>
  <c r="DT105" i="44"/>
  <c r="G25" i="3"/>
  <c r="BH27" i="45"/>
  <c r="HF77" i="44"/>
  <c r="HF20" i="44"/>
  <c r="HF80" i="44"/>
  <c r="Q21" i="11"/>
  <c r="AX27" i="45"/>
  <c r="AS31" i="45"/>
  <c r="AY84" i="30" s="1"/>
  <c r="BC84" i="30" s="1"/>
  <c r="GT105" i="44"/>
  <c r="AA40" i="30"/>
  <c r="AK40" i="30" s="1"/>
  <c r="AU40" i="30" s="1"/>
  <c r="BE40" i="30" s="1"/>
  <c r="BO40" i="30" s="1"/>
  <c r="BY40" i="30" s="1"/>
  <c r="S14" i="11"/>
  <c r="K23" i="45"/>
  <c r="DD31" i="44"/>
  <c r="R14" i="11"/>
  <c r="R21" i="11" s="1"/>
  <c r="HF44" i="44"/>
  <c r="HF47" i="44" s="1"/>
  <c r="BV7" i="45" s="1"/>
  <c r="BC83" i="30"/>
  <c r="BH23" i="45"/>
  <c r="GT107" i="44"/>
  <c r="S13" i="4"/>
  <c r="FD62" i="44"/>
  <c r="AA23" i="30"/>
  <c r="AK23" i="30" s="1"/>
  <c r="AU23" i="30" s="1"/>
  <c r="BS27" i="45"/>
  <c r="BH11" i="45"/>
  <c r="DD101" i="44"/>
  <c r="I16" i="3"/>
  <c r="I20" i="3" s="1"/>
  <c r="HF53" i="44"/>
  <c r="HF67" i="44"/>
  <c r="BM81" i="30"/>
  <c r="S12" i="12"/>
  <c r="AU11" i="45"/>
  <c r="AO79" i="30"/>
  <c r="AS79" i="30" s="1"/>
  <c r="ED47" i="44"/>
  <c r="BM78" i="30"/>
  <c r="W86" i="30"/>
  <c r="I33" i="6"/>
  <c r="AE15" i="45"/>
  <c r="BD43" i="30"/>
  <c r="BN43" i="30" s="1"/>
  <c r="BX43" i="30" s="1"/>
  <c r="GR17" i="43"/>
  <c r="J66" i="30"/>
  <c r="AA41" i="30"/>
  <c r="AK41" i="30" s="1"/>
  <c r="AU41" i="30" s="1"/>
  <c r="BE41" i="30" s="1"/>
  <c r="BO41" i="30" s="1"/>
  <c r="BY41" i="30" s="1"/>
  <c r="CF41" i="30" s="1"/>
  <c r="CG41" i="30" s="1"/>
  <c r="BI7" i="45"/>
  <c r="HF26" i="44"/>
  <c r="F39" i="31"/>
  <c r="G39" i="31" s="1"/>
  <c r="HI20" i="43"/>
  <c r="HF52" i="44"/>
  <c r="HF15" i="44"/>
  <c r="GP107" i="44"/>
  <c r="HF28" i="44"/>
  <c r="HE47" i="44"/>
  <c r="AX31" i="45"/>
  <c r="H14" i="11"/>
  <c r="H21" i="11" s="1"/>
  <c r="BP105" i="44"/>
  <c r="HF104" i="44"/>
  <c r="BV35" i="45" s="1"/>
  <c r="CB42" i="30"/>
  <c r="BN91" i="30"/>
  <c r="BX91" i="30" s="1"/>
  <c r="CC91" i="30" s="1"/>
  <c r="HF21" i="44"/>
  <c r="AY23" i="45"/>
  <c r="D6" i="31"/>
  <c r="F6" i="31" s="1"/>
  <c r="G6" i="31" s="1"/>
  <c r="ED62" i="44"/>
  <c r="G21" i="11"/>
  <c r="FD47" i="44"/>
  <c r="AO31" i="45"/>
  <c r="BR31" i="45"/>
  <c r="BW83" i="30"/>
  <c r="DP105" i="44"/>
  <c r="BF107" i="44"/>
  <c r="GD101" i="44"/>
  <c r="AQ19" i="45"/>
  <c r="AW81" i="30" s="1"/>
  <c r="W68" i="30"/>
  <c r="W73" i="30" s="1"/>
  <c r="CF36" i="30"/>
  <c r="CG36" i="30" s="1"/>
  <c r="AS83" i="30"/>
  <c r="H13" i="4"/>
  <c r="H31" i="6"/>
  <c r="H35" i="6" s="1"/>
  <c r="EF107" i="44"/>
  <c r="ED101" i="44"/>
  <c r="EB107" i="44"/>
  <c r="CB33" i="30"/>
  <c r="CB22" i="30"/>
  <c r="BX13" i="30"/>
  <c r="X57" i="30"/>
  <c r="Z57" i="30" s="1"/>
  <c r="GM22" i="43"/>
  <c r="GS22" i="43" s="1"/>
  <c r="Y72" i="30"/>
  <c r="BA68" i="30"/>
  <c r="BA73" i="30" s="1"/>
  <c r="AH67" i="30"/>
  <c r="Q72" i="30"/>
  <c r="AS72" i="30"/>
  <c r="Y55" i="30"/>
  <c r="I68" i="30"/>
  <c r="I73" i="30" s="1"/>
  <c r="AD7" i="45"/>
  <c r="DD62" i="44"/>
  <c r="GQ25" i="43"/>
  <c r="GS25" i="43" s="1"/>
  <c r="HF97" i="44"/>
  <c r="Y82" i="30"/>
  <c r="AA82" i="30" s="1"/>
  <c r="AD27" i="45"/>
  <c r="BH19" i="45"/>
  <c r="EJ105" i="44"/>
  <c r="GC107" i="44"/>
  <c r="AO27" i="45"/>
  <c r="W27" i="45"/>
  <c r="AC83" i="30" s="1"/>
  <c r="CF107" i="44"/>
  <c r="CF105" i="44"/>
  <c r="CB85" i="30"/>
  <c r="H16" i="4"/>
  <c r="P9" i="22"/>
  <c r="Q9" i="22" s="1"/>
  <c r="G18" i="4"/>
  <c r="G20" i="4" s="1"/>
  <c r="C35" i="44" s="1"/>
  <c r="Q19" i="12"/>
  <c r="C31" i="39" s="1"/>
  <c r="E31" i="39" s="1"/>
  <c r="I14" i="11"/>
  <c r="I21" i="11" s="1"/>
  <c r="P14" i="22"/>
  <c r="Q14" i="22" s="1"/>
  <c r="Q14" i="20"/>
  <c r="I18" i="9"/>
  <c r="I24" i="9" s="1"/>
  <c r="I38" i="9" s="1"/>
  <c r="Q17" i="20"/>
  <c r="P24" i="22"/>
  <c r="Q24" i="22" s="1"/>
  <c r="H47" i="22" s="1"/>
  <c r="CB70" i="30"/>
  <c r="BN70" i="30"/>
  <c r="BX70" i="30" s="1"/>
  <c r="CC70" i="30" s="1"/>
  <c r="BI82" i="30"/>
  <c r="BM82" i="30" s="1"/>
  <c r="BI23" i="45"/>
  <c r="CC35" i="30"/>
  <c r="CB35" i="30"/>
  <c r="DD92" i="44"/>
  <c r="EC107" i="44"/>
  <c r="HB107" i="44"/>
  <c r="Q25" i="6"/>
  <c r="HD62" i="44"/>
  <c r="HD107" i="44" s="1"/>
  <c r="ED92" i="44"/>
  <c r="CB107" i="44"/>
  <c r="DH29" i="43"/>
  <c r="DH40" i="43" s="1"/>
  <c r="T19" i="45"/>
  <c r="BR7" i="45"/>
  <c r="HB105" i="44"/>
  <c r="CG29" i="43"/>
  <c r="CG40" i="43" s="1"/>
  <c r="HE92" i="44"/>
  <c r="CV107" i="44"/>
  <c r="AA27" i="45"/>
  <c r="AG83" i="30" s="1"/>
  <c r="CV105" i="44"/>
  <c r="BE11" i="45"/>
  <c r="BK79" i="30" s="1"/>
  <c r="FT105" i="44"/>
  <c r="AI82" i="30"/>
  <c r="S21" i="11"/>
  <c r="E42" i="5"/>
  <c r="G42" i="5" s="1"/>
  <c r="AO35" i="45"/>
  <c r="AK39" i="30"/>
  <c r="AU39" i="30" s="1"/>
  <c r="BE39" i="30" s="1"/>
  <c r="BO39" i="30" s="1"/>
  <c r="BY39" i="30" s="1"/>
  <c r="Q56" i="30"/>
  <c r="BH7" i="45"/>
  <c r="Y31" i="45"/>
  <c r="CT107" i="44"/>
  <c r="BW72" i="30"/>
  <c r="BN71" i="30"/>
  <c r="BX71" i="30" s="1"/>
  <c r="CC71" i="30" s="1"/>
  <c r="BC72" i="30"/>
  <c r="AY73" i="30"/>
  <c r="AY75" i="30" s="1"/>
  <c r="BK68" i="30"/>
  <c r="BK73" i="30" s="1"/>
  <c r="BK75" i="30" s="1"/>
  <c r="HA17" i="43"/>
  <c r="HI23" i="43"/>
  <c r="HQ24" i="43"/>
  <c r="AC68" i="30"/>
  <c r="AC73" i="30" s="1"/>
  <c r="IG18" i="43"/>
  <c r="HA24" i="43"/>
  <c r="HY18" i="43"/>
  <c r="Y61" i="30"/>
  <c r="HY25" i="43"/>
  <c r="HI18" i="43"/>
  <c r="HA20" i="43"/>
  <c r="Y66" i="30"/>
  <c r="HY20" i="43"/>
  <c r="BI68" i="30"/>
  <c r="BI73" i="30" s="1"/>
  <c r="BI75" i="30" s="1"/>
  <c r="AH52" i="30"/>
  <c r="U40" i="43"/>
  <c r="HA25" i="43"/>
  <c r="AQ68" i="30"/>
  <c r="AQ73" i="30" s="1"/>
  <c r="IG20" i="43"/>
  <c r="HA23" i="43"/>
  <c r="HQ26" i="43"/>
  <c r="HY23" i="43"/>
  <c r="M68" i="30"/>
  <c r="M73" i="30" s="1"/>
  <c r="AI59" i="30"/>
  <c r="HQ17" i="43"/>
  <c r="HY17" i="43"/>
  <c r="IG24" i="43"/>
  <c r="HQ23" i="43"/>
  <c r="J53" i="30"/>
  <c r="K53" i="30" s="1"/>
  <c r="Q53" i="30" s="1"/>
  <c r="AA53" i="30" s="1"/>
  <c r="HA18" i="43"/>
  <c r="BS68" i="30"/>
  <c r="BS73" i="30" s="1"/>
  <c r="BS75" i="30" s="1"/>
  <c r="AG68" i="30"/>
  <c r="AG73" i="30" s="1"/>
  <c r="BM66" i="30"/>
  <c r="AO68" i="30"/>
  <c r="AO73" i="30" s="1"/>
  <c r="AS67" i="30"/>
  <c r="AE20" i="43"/>
  <c r="M40" i="43"/>
  <c r="AR58" i="30"/>
  <c r="BC67" i="30"/>
  <c r="GS21" i="43"/>
  <c r="HY22" i="43"/>
  <c r="HI21" i="43"/>
  <c r="GM24" i="43"/>
  <c r="GS24" i="43" s="1"/>
  <c r="Y52" i="30"/>
  <c r="AH56" i="30"/>
  <c r="IG22" i="43"/>
  <c r="AM68" i="30"/>
  <c r="AM73" i="30" s="1"/>
  <c r="X58" i="30"/>
  <c r="EI29" i="43"/>
  <c r="EI42" i="43" s="1"/>
  <c r="HI24" i="43"/>
  <c r="HQ19" i="43"/>
  <c r="BG68" i="30"/>
  <c r="BG73" i="30" s="1"/>
  <c r="BG75" i="30" s="1"/>
  <c r="HI19" i="43"/>
  <c r="AI55" i="30"/>
  <c r="IG23" i="43"/>
  <c r="CC39" i="30"/>
  <c r="CB39" i="30"/>
  <c r="AT107" i="44"/>
  <c r="AT105" i="44"/>
  <c r="AW31" i="45"/>
  <c r="FB105" i="44"/>
  <c r="CR107" i="44"/>
  <c r="Y19" i="45"/>
  <c r="CR105" i="44"/>
  <c r="H34" i="9"/>
  <c r="I34" i="9"/>
  <c r="G36" i="9"/>
  <c r="BI15" i="45"/>
  <c r="BK80" i="30"/>
  <c r="BM80" i="30" s="1"/>
  <c r="BS19" i="45"/>
  <c r="AA71" i="30"/>
  <c r="AK71" i="30" s="1"/>
  <c r="AU71" i="30" s="1"/>
  <c r="BE71" i="30" s="1"/>
  <c r="BO71" i="30" s="1"/>
  <c r="BY71" i="30" s="1"/>
  <c r="U23" i="45"/>
  <c r="G41" i="5"/>
  <c r="I39" i="5" s="1"/>
  <c r="E37" i="31"/>
  <c r="D39" i="40"/>
  <c r="G56" i="17"/>
  <c r="M46" i="17" s="1"/>
  <c r="M53" i="17" s="1"/>
  <c r="K55" i="17" s="1"/>
  <c r="DT107" i="44"/>
  <c r="AI7" i="45"/>
  <c r="FD101" i="44"/>
  <c r="AY35" i="45"/>
  <c r="GP105" i="44"/>
  <c r="S16" i="12"/>
  <c r="S17" i="12" s="1"/>
  <c r="R16" i="12"/>
  <c r="R17" i="12" s="1"/>
  <c r="R19" i="12" s="1"/>
  <c r="AA11" i="45"/>
  <c r="DB107" i="44"/>
  <c r="DB105" i="44"/>
  <c r="HE68" i="44"/>
  <c r="HY21" i="43"/>
  <c r="HE75" i="44"/>
  <c r="CF37" i="30"/>
  <c r="CG37" i="30" s="1"/>
  <c r="BM67" i="30"/>
  <c r="BW17" i="45"/>
  <c r="BY17" i="45" s="1"/>
  <c r="AS66" i="30"/>
  <c r="O68" i="30"/>
  <c r="O73" i="30" s="1"/>
  <c r="HF88" i="44"/>
  <c r="E7" i="45"/>
  <c r="M78" i="30" s="1"/>
  <c r="BW94" i="30"/>
  <c r="FB107" i="44"/>
  <c r="Q80" i="30"/>
  <c r="BM72" i="30"/>
  <c r="G41" i="16"/>
  <c r="L33" i="16" s="1"/>
  <c r="L34" i="16" s="1"/>
  <c r="L40" i="16" s="1"/>
  <c r="L41" i="16" s="1"/>
  <c r="L43" i="16" s="1"/>
  <c r="C19" i="39" s="1"/>
  <c r="C21" i="39" s="1"/>
  <c r="E21" i="39" s="1"/>
  <c r="I34" i="19"/>
  <c r="I36" i="19" s="1"/>
  <c r="GD47" i="44"/>
  <c r="HF72" i="44"/>
  <c r="HE104" i="44"/>
  <c r="EC105" i="44"/>
  <c r="BD75" i="44"/>
  <c r="I6" i="5"/>
  <c r="I17" i="5" s="1"/>
  <c r="H17" i="5"/>
  <c r="DP107" i="44"/>
  <c r="AY27" i="45"/>
  <c r="HY24" i="43"/>
  <c r="BL107" i="44"/>
  <c r="BL105" i="44"/>
  <c r="M31" i="45"/>
  <c r="HE62" i="44"/>
  <c r="BC105" i="44"/>
  <c r="AE23" i="45"/>
  <c r="AE68" i="30"/>
  <c r="AE73" i="30" s="1"/>
  <c r="HI17" i="43"/>
  <c r="BE23" i="30"/>
  <c r="BO23" i="30" s="1"/>
  <c r="BY23" i="30" s="1"/>
  <c r="CF23" i="30" s="1"/>
  <c r="CG23" i="30" s="1"/>
  <c r="AS56" i="30"/>
  <c r="HF64" i="44"/>
  <c r="HC107" i="44"/>
  <c r="GL107" i="44"/>
  <c r="K15" i="45"/>
  <c r="H34" i="19"/>
  <c r="H36" i="19" s="1"/>
  <c r="AR107" i="44"/>
  <c r="AR105" i="44"/>
  <c r="E19" i="45"/>
  <c r="AI19" i="45"/>
  <c r="DN107" i="44"/>
  <c r="HE85" i="44"/>
  <c r="H17" i="4"/>
  <c r="I17" i="4"/>
  <c r="I18" i="4" s="1"/>
  <c r="I20" i="4" s="1"/>
  <c r="AE35" i="45"/>
  <c r="AH58" i="30"/>
  <c r="HC105" i="44"/>
  <c r="AA70" i="30"/>
  <c r="CC26" i="30"/>
  <c r="HE101" i="44"/>
  <c r="GD62" i="44"/>
  <c r="I39" i="6"/>
  <c r="GL105" i="44"/>
  <c r="IG17" i="43"/>
  <c r="IG21" i="43"/>
  <c r="HF65" i="44"/>
  <c r="BD68" i="44"/>
  <c r="H16" i="12"/>
  <c r="H17" i="12" s="1"/>
  <c r="H19" i="12" s="1"/>
  <c r="G17" i="12"/>
  <c r="G19" i="12" s="1"/>
  <c r="I16" i="12"/>
  <c r="I17" i="12" s="1"/>
  <c r="I19" i="12" s="1"/>
  <c r="FD75" i="44"/>
  <c r="BR11" i="45"/>
  <c r="HQ22" i="43"/>
  <c r="HA22" i="43"/>
  <c r="DC107" i="44"/>
  <c r="AD31" i="44"/>
  <c r="AD107" i="44" s="1"/>
  <c r="AR56" i="30"/>
  <c r="GS20" i="43"/>
  <c r="HQ25" i="43"/>
  <c r="HI26" i="43"/>
  <c r="IG19" i="43"/>
  <c r="AA92" i="30"/>
  <c r="AK92" i="30" s="1"/>
  <c r="AU92" i="30" s="1"/>
  <c r="BE92" i="30" s="1"/>
  <c r="BW21" i="45" s="1"/>
  <c r="BY21" i="45" s="1"/>
  <c r="G28" i="9"/>
  <c r="I27" i="9"/>
  <c r="H27" i="9"/>
  <c r="BC31" i="45"/>
  <c r="BI84" i="30" s="1"/>
  <c r="FL105" i="44"/>
  <c r="FL107" i="44"/>
  <c r="AN105" i="44"/>
  <c r="AN107" i="44"/>
  <c r="E27" i="45"/>
  <c r="M83" i="30" s="1"/>
  <c r="HQ18" i="43"/>
  <c r="BI19" i="45"/>
  <c r="FP105" i="44"/>
  <c r="FP107" i="44"/>
  <c r="W11" i="45"/>
  <c r="AC79" i="30" s="1"/>
  <c r="CL105" i="44"/>
  <c r="AE36" i="45"/>
  <c r="BP107" i="44"/>
  <c r="K31" i="45"/>
  <c r="AA57" i="30"/>
  <c r="BY88" i="30"/>
  <c r="CD88" i="30" s="1"/>
  <c r="AI85" i="30"/>
  <c r="HF69" i="44"/>
  <c r="HA26" i="43"/>
  <c r="S80" i="30"/>
  <c r="Y80" i="30" s="1"/>
  <c r="U15" i="45"/>
  <c r="EN105" i="44"/>
  <c r="AS19" i="45"/>
  <c r="AY81" i="30" s="1"/>
  <c r="BC81" i="30" s="1"/>
  <c r="CC51" i="30"/>
  <c r="CB51" i="30"/>
  <c r="BD92" i="44"/>
  <c r="HF91" i="44"/>
  <c r="CN107" i="44"/>
  <c r="Y27" i="45"/>
  <c r="CN105" i="44"/>
  <c r="BI79" i="30"/>
  <c r="GK29" i="43"/>
  <c r="GK42" i="43" s="1"/>
  <c r="BW67" i="30"/>
  <c r="IG26" i="43"/>
  <c r="AE25" i="43"/>
  <c r="IG25" i="43"/>
  <c r="AI60" i="30"/>
  <c r="AS60" i="30"/>
  <c r="HI22" i="43"/>
  <c r="HQ21" i="43"/>
  <c r="Q55" i="30"/>
  <c r="HA21" i="43"/>
  <c r="HA19" i="43"/>
  <c r="HY19" i="43"/>
  <c r="U68" i="30"/>
  <c r="U73" i="30" s="1"/>
  <c r="GQ29" i="43"/>
  <c r="BU73" i="30"/>
  <c r="BU75" i="30" s="1"/>
  <c r="I33" i="20"/>
  <c r="I27" i="19"/>
  <c r="I28" i="19" s="1"/>
  <c r="H27" i="19"/>
  <c r="H28" i="19" s="1"/>
  <c r="G28" i="19"/>
  <c r="Q12" i="20"/>
  <c r="H41" i="22"/>
  <c r="H42" i="22" s="1"/>
  <c r="H29" i="6"/>
  <c r="Q18" i="6"/>
  <c r="I29" i="6"/>
  <c r="I31" i="5"/>
  <c r="G24" i="19"/>
  <c r="H22" i="19"/>
  <c r="H24" i="19" s="1"/>
  <c r="I22" i="19"/>
  <c r="I24" i="19" s="1"/>
  <c r="I21" i="9"/>
  <c r="H21" i="9"/>
  <c r="C32" i="39"/>
  <c r="E32" i="39" s="1"/>
  <c r="G24" i="9"/>
  <c r="F26" i="20"/>
  <c r="G26" i="20" s="1"/>
  <c r="I26" i="20" s="1"/>
  <c r="I35" i="6"/>
  <c r="Q29" i="6"/>
  <c r="F27" i="22"/>
  <c r="F28" i="22" s="1"/>
  <c r="G28" i="22" s="1"/>
  <c r="I25" i="20"/>
  <c r="I48" i="22"/>
  <c r="H48" i="22"/>
  <c r="H38" i="6"/>
  <c r="H39" i="6" s="1"/>
  <c r="P10" i="22"/>
  <c r="Q10" i="22" s="1"/>
  <c r="Q18" i="22" s="1"/>
  <c r="Q10" i="20"/>
  <c r="P22" i="22"/>
  <c r="Q22" i="22" s="1"/>
  <c r="Q20" i="20"/>
  <c r="I47" i="22"/>
  <c r="I22" i="6"/>
  <c r="I24" i="6" s="1"/>
  <c r="H22" i="6"/>
  <c r="H24" i="6" s="1"/>
  <c r="AS59" i="30"/>
  <c r="AH59" i="30"/>
  <c r="AR59" i="30"/>
  <c r="Y60" i="30"/>
  <c r="W40" i="43"/>
  <c r="Z52" i="30"/>
  <c r="AI78" i="30"/>
  <c r="CD92" i="44"/>
  <c r="AY31" i="45"/>
  <c r="BN84" i="30"/>
  <c r="BX84" i="30" s="1"/>
  <c r="CC84" i="30" s="1"/>
  <c r="CB84" i="30"/>
  <c r="BN80" i="30"/>
  <c r="BX80" i="30" s="1"/>
  <c r="CC80" i="30" s="1"/>
  <c r="CB80" i="30"/>
  <c r="DD85" i="44"/>
  <c r="HF79" i="44"/>
  <c r="BI27" i="45"/>
  <c r="S16" i="4"/>
  <c r="S18" i="4" s="1"/>
  <c r="S20" i="4" s="1"/>
  <c r="Q18" i="4"/>
  <c r="Q20" i="4" s="1"/>
  <c r="R16" i="4"/>
  <c r="R18" i="4" s="1"/>
  <c r="R20" i="4" s="1"/>
  <c r="AC57" i="30"/>
  <c r="AI57" i="30" s="1"/>
  <c r="AH57" i="30"/>
  <c r="BF29" i="43"/>
  <c r="BF40" i="43" s="1"/>
  <c r="FJ29" i="43"/>
  <c r="FJ42" i="43" s="1"/>
  <c r="AI66" i="30"/>
  <c r="T35" i="45"/>
  <c r="AI67" i="30"/>
  <c r="X56" i="30"/>
  <c r="Z56" i="30" s="1"/>
  <c r="S56" i="30"/>
  <c r="Y56" i="30" s="1"/>
  <c r="BS7" i="45"/>
  <c r="BS37" i="45" s="1"/>
  <c r="J27" i="45"/>
  <c r="J37" i="45" s="1"/>
  <c r="E33" i="40"/>
  <c r="E38" i="40" s="1"/>
  <c r="CD34" i="30"/>
  <c r="CF34" i="30"/>
  <c r="CG34" i="30" s="1"/>
  <c r="K83" i="30"/>
  <c r="AR57" i="30"/>
  <c r="AM57" i="30"/>
  <c r="AS57" i="30" s="1"/>
  <c r="I54" i="22"/>
  <c r="Q32" i="22"/>
  <c r="D11" i="43"/>
  <c r="GR19" i="43"/>
  <c r="S40" i="43"/>
  <c r="O40" i="43"/>
  <c r="K40" i="43"/>
  <c r="D12" i="43"/>
  <c r="AC40" i="43"/>
  <c r="GR24" i="43"/>
  <c r="Y59" i="30"/>
  <c r="P55" i="30"/>
  <c r="Z55" i="30" s="1"/>
  <c r="AJ55" i="30" s="1"/>
  <c r="AT55" i="30" s="1"/>
  <c r="BD55" i="30" s="1"/>
  <c r="BN55" i="30" s="1"/>
  <c r="BX55" i="30" s="1"/>
  <c r="CC55" i="30" s="1"/>
  <c r="Z54" i="30"/>
  <c r="AJ54" i="30" s="1"/>
  <c r="AT54" i="30" s="1"/>
  <c r="BD54" i="30" s="1"/>
  <c r="BN54" i="30" s="1"/>
  <c r="BX54" i="30" s="1"/>
  <c r="CC54" i="30" s="1"/>
  <c r="AI53" i="30"/>
  <c r="AH53" i="30"/>
  <c r="K52" i="30"/>
  <c r="Q52" i="30" s="1"/>
  <c r="F68" i="30"/>
  <c r="F73" i="30" s="1"/>
  <c r="BC66" i="30"/>
  <c r="AW68" i="30"/>
  <c r="AW73" i="30" s="1"/>
  <c r="AW75" i="30" s="1"/>
  <c r="BW66" i="30"/>
  <c r="BQ68" i="30"/>
  <c r="BQ73" i="30" s="1"/>
  <c r="BQ75" i="30" s="1"/>
  <c r="K60" i="30"/>
  <c r="Q60" i="30" s="1"/>
  <c r="P89" i="30"/>
  <c r="Z89" i="30" s="1"/>
  <c r="AJ89" i="30" s="1"/>
  <c r="AT89" i="30" s="1"/>
  <c r="BD89" i="30" s="1"/>
  <c r="K89" i="30"/>
  <c r="J90" i="30"/>
  <c r="AR52" i="30"/>
  <c r="AM52" i="30"/>
  <c r="AS52" i="30" s="1"/>
  <c r="AS55" i="30"/>
  <c r="GR26" i="43"/>
  <c r="Y40" i="43"/>
  <c r="AE14" i="43"/>
  <c r="AA40" i="43"/>
  <c r="D13" i="43"/>
  <c r="AE38" i="43"/>
  <c r="Q40" i="43"/>
  <c r="AI56" i="30"/>
  <c r="IF26" i="43"/>
  <c r="D10" i="43"/>
  <c r="GO29" i="43"/>
  <c r="GM19" i="43"/>
  <c r="GS19" i="43" s="1"/>
  <c r="AE19" i="43"/>
  <c r="I29" i="43"/>
  <c r="I40" i="43" s="1"/>
  <c r="CB37" i="30"/>
  <c r="CC37" i="30"/>
  <c r="CC105" i="44"/>
  <c r="CC107" i="44"/>
  <c r="BM94" i="30"/>
  <c r="BC107" i="44"/>
  <c r="Q31" i="20"/>
  <c r="P35" i="22"/>
  <c r="Q35" i="22" s="1"/>
  <c r="Q29" i="20"/>
  <c r="I40" i="20"/>
  <c r="H40" i="20"/>
  <c r="K11" i="45"/>
  <c r="K79" i="30"/>
  <c r="HF27" i="44"/>
  <c r="S81" i="30"/>
  <c r="U19" i="45"/>
  <c r="BN97" i="30"/>
  <c r="BX97" i="30" s="1"/>
  <c r="CC97" i="30" s="1"/>
  <c r="CB97" i="30"/>
  <c r="CD35" i="30"/>
  <c r="CF35" i="30"/>
  <c r="CG35" i="30" s="1"/>
  <c r="CF42" i="30"/>
  <c r="CG42" i="30" s="1"/>
  <c r="CD42" i="30"/>
  <c r="HF19" i="44"/>
  <c r="CD31" i="44"/>
  <c r="DC105" i="44"/>
  <c r="CD40" i="30"/>
  <c r="CF40" i="30"/>
  <c r="CG40" i="30" s="1"/>
  <c r="BC94" i="30"/>
  <c r="AM80" i="30"/>
  <c r="AO15" i="45"/>
  <c r="CC38" i="30"/>
  <c r="AI52" i="30"/>
  <c r="HI25" i="43"/>
  <c r="G26" i="43"/>
  <c r="AD26" i="43"/>
  <c r="G18" i="43"/>
  <c r="GM18" i="43" s="1"/>
  <c r="GS18" i="43" s="1"/>
  <c r="AD18" i="43"/>
  <c r="J67" i="30"/>
  <c r="BT107" i="44"/>
  <c r="O11" i="45"/>
  <c r="BT105" i="44"/>
  <c r="BD31" i="44"/>
  <c r="O33" i="20"/>
  <c r="Q32" i="20"/>
  <c r="BK84" i="30"/>
  <c r="O37" i="22"/>
  <c r="Q36" i="22"/>
  <c r="E43" i="5"/>
  <c r="AD17" i="43"/>
  <c r="G17" i="43"/>
  <c r="HF59" i="44"/>
  <c r="CD62" i="44"/>
  <c r="I40" i="5"/>
  <c r="H40" i="5"/>
  <c r="AI94" i="30"/>
  <c r="AK91" i="30"/>
  <c r="AU91" i="30" s="1"/>
  <c r="BE91" i="30" s="1"/>
  <c r="AO82" i="30"/>
  <c r="AS82" i="30" s="1"/>
  <c r="AO23" i="45"/>
  <c r="I10" i="3"/>
  <c r="I11" i="3" s="1"/>
  <c r="H11" i="3"/>
  <c r="AI61" i="30"/>
  <c r="AD23" i="43"/>
  <c r="G23" i="43"/>
  <c r="FC107" i="44"/>
  <c r="FC105" i="44"/>
  <c r="E32" i="3"/>
  <c r="G31" i="3"/>
  <c r="I42" i="6"/>
  <c r="H42" i="6"/>
  <c r="BW81" i="30"/>
  <c r="CB41" i="30"/>
  <c r="CC41" i="30"/>
  <c r="AK51" i="30"/>
  <c r="AU51" i="30" s="1"/>
  <c r="BE51" i="30" s="1"/>
  <c r="BO51" i="30" s="1"/>
  <c r="BY51" i="30" s="1"/>
  <c r="H41" i="6"/>
  <c r="I41" i="6"/>
  <c r="Q33" i="6"/>
  <c r="U83" i="30"/>
  <c r="Y83" i="30" s="1"/>
  <c r="U27" i="45"/>
  <c r="O85" i="30"/>
  <c r="Q85" i="30" s="1"/>
  <c r="K35" i="45"/>
  <c r="BM61" i="30"/>
  <c r="BM63" i="30" s="1"/>
  <c r="HY26" i="43"/>
  <c r="BA63" i="30"/>
  <c r="BC61" i="30"/>
  <c r="BC63" i="30" s="1"/>
  <c r="AO61" i="30"/>
  <c r="AS61" i="30" s="1"/>
  <c r="AR61" i="30"/>
  <c r="S68" i="30"/>
  <c r="S73" i="30" s="1"/>
  <c r="Y67" i="30"/>
  <c r="P53" i="30" l="1"/>
  <c r="Z53" i="30" s="1"/>
  <c r="AC86" i="30"/>
  <c r="AK82" i="30"/>
  <c r="AU82" i="30" s="1"/>
  <c r="BE82" i="30" s="1"/>
  <c r="BO82" i="30" s="1"/>
  <c r="BY82" i="30" s="1"/>
  <c r="CF82" i="30" s="1"/>
  <c r="CG82" i="30" s="1"/>
  <c r="C37" i="43"/>
  <c r="C37" i="3"/>
  <c r="HF85" i="44"/>
  <c r="BV23" i="45" s="1"/>
  <c r="C37" i="20"/>
  <c r="C37" i="16"/>
  <c r="C37" i="30"/>
  <c r="C37" i="39"/>
  <c r="E37" i="39" s="1"/>
  <c r="C37" i="42"/>
  <c r="H35" i="11"/>
  <c r="C37" i="6"/>
  <c r="I35" i="11"/>
  <c r="C37" i="17"/>
  <c r="C37" i="32"/>
  <c r="C37" i="33"/>
  <c r="HD105" i="44"/>
  <c r="HF62" i="44"/>
  <c r="BV11" i="45" s="1"/>
  <c r="BI11" i="45"/>
  <c r="S19" i="12"/>
  <c r="BA79" i="30"/>
  <c r="BC79" i="30" s="1"/>
  <c r="AY11" i="45"/>
  <c r="AA72" i="30"/>
  <c r="ED107" i="44"/>
  <c r="C35" i="39"/>
  <c r="BD107" i="44"/>
  <c r="BU15" i="45"/>
  <c r="CB43" i="30"/>
  <c r="CC43" i="30"/>
  <c r="C36" i="44"/>
  <c r="C36" i="6"/>
  <c r="C36" i="30"/>
  <c r="C36" i="33"/>
  <c r="C36" i="3"/>
  <c r="C38" i="45"/>
  <c r="C39" i="45" s="1"/>
  <c r="C36" i="20"/>
  <c r="C36" i="43"/>
  <c r="C36" i="16"/>
  <c r="C36" i="32"/>
  <c r="C36" i="17"/>
  <c r="C36" i="42"/>
  <c r="K7" i="45"/>
  <c r="BM84" i="30"/>
  <c r="HF31" i="44"/>
  <c r="HH31" i="44" s="1"/>
  <c r="D7" i="31"/>
  <c r="F7" i="31" s="1"/>
  <c r="G7" i="31" s="1"/>
  <c r="BD105" i="44"/>
  <c r="C35" i="43"/>
  <c r="C35" i="42"/>
  <c r="C35" i="33"/>
  <c r="C35" i="3"/>
  <c r="C35" i="32"/>
  <c r="C35" i="20"/>
  <c r="C35" i="30"/>
  <c r="C35" i="16"/>
  <c r="C35" i="17"/>
  <c r="C35" i="6"/>
  <c r="C38" i="6" s="1"/>
  <c r="C39" i="6" s="1"/>
  <c r="CC13" i="30"/>
  <c r="CB13" i="30"/>
  <c r="HE105" i="44"/>
  <c r="DD107" i="44"/>
  <c r="ED105" i="44"/>
  <c r="H18" i="4"/>
  <c r="H20" i="4" s="1"/>
  <c r="BA75" i="30"/>
  <c r="AA55" i="30"/>
  <c r="AK55" i="30" s="1"/>
  <c r="AU55" i="30" s="1"/>
  <c r="BE55" i="30" s="1"/>
  <c r="BO55" i="30" s="1"/>
  <c r="BY55" i="30" s="1"/>
  <c r="CF55" i="30" s="1"/>
  <c r="CG55" i="30" s="1"/>
  <c r="AJ57" i="30"/>
  <c r="AT57" i="30" s="1"/>
  <c r="BD57" i="30" s="1"/>
  <c r="BN57" i="30" s="1"/>
  <c r="BX57" i="30" s="1"/>
  <c r="CC57" i="30" s="1"/>
  <c r="CF88" i="30"/>
  <c r="CG88" i="30" s="1"/>
  <c r="AA56" i="30"/>
  <c r="AK56" i="30" s="1"/>
  <c r="AU56" i="30" s="1"/>
  <c r="BE56" i="30" s="1"/>
  <c r="BO56" i="30" s="1"/>
  <c r="BY56" i="30" s="1"/>
  <c r="CF56" i="30" s="1"/>
  <c r="CG56" i="30" s="1"/>
  <c r="AJ56" i="30"/>
  <c r="AT56" i="30" s="1"/>
  <c r="BD56" i="30" s="1"/>
  <c r="BN56" i="30" s="1"/>
  <c r="BX56" i="30" s="1"/>
  <c r="CC56" i="30" s="1"/>
  <c r="AK70" i="30"/>
  <c r="AK72" i="30" s="1"/>
  <c r="DD105" i="44"/>
  <c r="AY19" i="45"/>
  <c r="BI31" i="45"/>
  <c r="G43" i="5"/>
  <c r="G45" i="5" s="1"/>
  <c r="C23" i="39" s="1"/>
  <c r="E23" i="39" s="1"/>
  <c r="HF75" i="44"/>
  <c r="BV19" i="45" s="1"/>
  <c r="HF92" i="44"/>
  <c r="BV27" i="45" s="1"/>
  <c r="HE107" i="44"/>
  <c r="FD105" i="44"/>
  <c r="AE84" i="30"/>
  <c r="AI84" i="30" s="1"/>
  <c r="AE31" i="45"/>
  <c r="I40" i="19"/>
  <c r="GD105" i="44"/>
  <c r="CD39" i="30"/>
  <c r="CF39" i="30"/>
  <c r="CG39" i="30" s="1"/>
  <c r="Y68" i="30"/>
  <c r="Y73" i="30" s="1"/>
  <c r="AA52" i="30"/>
  <c r="AK52" i="30" s="1"/>
  <c r="AU52" i="30" s="1"/>
  <c r="BE52" i="30" s="1"/>
  <c r="BO52" i="30" s="1"/>
  <c r="BY52" i="30" s="1"/>
  <c r="CF52" i="30" s="1"/>
  <c r="CG52" i="30" s="1"/>
  <c r="BC68" i="30"/>
  <c r="BC73" i="30" s="1"/>
  <c r="BC75" i="30" s="1"/>
  <c r="II20" i="43"/>
  <c r="IJ20" i="43" s="1"/>
  <c r="AJ52" i="30"/>
  <c r="AT52" i="30" s="1"/>
  <c r="BD52" i="30" s="1"/>
  <c r="BN52" i="30" s="1"/>
  <c r="BX52" i="30" s="1"/>
  <c r="CC52" i="30" s="1"/>
  <c r="AS68" i="30"/>
  <c r="AS73" i="30" s="1"/>
  <c r="II24" i="43"/>
  <c r="IJ24" i="43" s="1"/>
  <c r="AK57" i="30"/>
  <c r="AU57" i="30" s="1"/>
  <c r="BE57" i="30" s="1"/>
  <c r="BO57" i="30" s="1"/>
  <c r="BY57" i="30" s="1"/>
  <c r="CF57" i="30" s="1"/>
  <c r="CG57" i="30" s="1"/>
  <c r="GK40" i="43"/>
  <c r="BM68" i="30"/>
  <c r="BM73" i="30" s="1"/>
  <c r="BM75" i="30" s="1"/>
  <c r="EI40" i="43"/>
  <c r="II21" i="43"/>
  <c r="IJ21" i="43" s="1"/>
  <c r="II22" i="43"/>
  <c r="IJ22" i="43" s="1"/>
  <c r="FJ40" i="43"/>
  <c r="II19" i="43"/>
  <c r="BW68" i="30"/>
  <c r="BW73" i="30" s="1"/>
  <c r="BW75" i="30" s="1"/>
  <c r="Q34" i="6"/>
  <c r="C24" i="31" s="1"/>
  <c r="C30" i="39"/>
  <c r="E30" i="39" s="1"/>
  <c r="GD107" i="44"/>
  <c r="CD23" i="30"/>
  <c r="G38" i="9"/>
  <c r="M45" i="17"/>
  <c r="M47" i="17" s="1"/>
  <c r="M60" i="17" s="1"/>
  <c r="CD41" i="30"/>
  <c r="H37" i="31"/>
  <c r="C19" i="31"/>
  <c r="G19" i="30" s="1"/>
  <c r="AO78" i="30"/>
  <c r="AO7" i="45"/>
  <c r="II18" i="43"/>
  <c r="IJ18" i="43" s="1"/>
  <c r="L37" i="31"/>
  <c r="K27" i="45"/>
  <c r="BM79" i="30"/>
  <c r="HF101" i="44"/>
  <c r="BV31" i="45" s="1"/>
  <c r="AE81" i="30"/>
  <c r="AE19" i="45"/>
  <c r="H40" i="19"/>
  <c r="BU36" i="45"/>
  <c r="J37" i="31"/>
  <c r="Q83" i="30"/>
  <c r="AA83" i="30" s="1"/>
  <c r="AO81" i="30"/>
  <c r="AS81" i="30" s="1"/>
  <c r="AO19" i="45"/>
  <c r="AE11" i="45"/>
  <c r="AG79" i="30"/>
  <c r="S84" i="30"/>
  <c r="Y84" i="30" s="1"/>
  <c r="AA84" i="30" s="1"/>
  <c r="U31" i="45"/>
  <c r="BU31" i="45" s="1"/>
  <c r="AA80" i="30"/>
  <c r="AK80" i="30" s="1"/>
  <c r="H39" i="5"/>
  <c r="H41" i="5" s="1"/>
  <c r="H43" i="5" s="1"/>
  <c r="M81" i="30"/>
  <c r="Q81" i="30" s="1"/>
  <c r="K19" i="45"/>
  <c r="HF68" i="44"/>
  <c r="BV15" i="45" s="1"/>
  <c r="AE83" i="30"/>
  <c r="AI83" i="30" s="1"/>
  <c r="AE27" i="45"/>
  <c r="FD107" i="44"/>
  <c r="AA60" i="30"/>
  <c r="AK60" i="30" s="1"/>
  <c r="AU60" i="30" s="1"/>
  <c r="BE60" i="30" s="1"/>
  <c r="BO60" i="30" s="1"/>
  <c r="BY60" i="30" s="1"/>
  <c r="CF60" i="30" s="1"/>
  <c r="CG60" i="30" s="1"/>
  <c r="AI68" i="30"/>
  <c r="AI73" i="30" s="1"/>
  <c r="M55" i="17"/>
  <c r="C20" i="31" s="1"/>
  <c r="G40" i="19"/>
  <c r="C18" i="39" s="1"/>
  <c r="E18" i="39" s="1"/>
  <c r="Q18" i="20"/>
  <c r="G27" i="22"/>
  <c r="I29" i="22" s="1"/>
  <c r="G27" i="20"/>
  <c r="I43" i="6"/>
  <c r="I44" i="6" s="1"/>
  <c r="H26" i="20"/>
  <c r="H32" i="20"/>
  <c r="H37" i="20" s="1"/>
  <c r="Q25" i="20"/>
  <c r="I32" i="20"/>
  <c r="I37" i="20" s="1"/>
  <c r="I45" i="22"/>
  <c r="I50" i="22" s="1"/>
  <c r="Q27" i="22"/>
  <c r="H45" i="22"/>
  <c r="H50" i="22" s="1"/>
  <c r="I41" i="5"/>
  <c r="I43" i="5" s="1"/>
  <c r="G29" i="43"/>
  <c r="GM29" i="43" s="1"/>
  <c r="Q78" i="30"/>
  <c r="I30" i="22"/>
  <c r="H30" i="22"/>
  <c r="C36" i="39"/>
  <c r="E36" i="39" s="1"/>
  <c r="L31" i="31"/>
  <c r="H31" i="31"/>
  <c r="E31" i="31"/>
  <c r="J31" i="31"/>
  <c r="H43" i="6"/>
  <c r="H44" i="6" s="1"/>
  <c r="II25" i="43"/>
  <c r="IJ25" i="43" s="1"/>
  <c r="P60" i="30"/>
  <c r="Z60" i="30" s="1"/>
  <c r="AJ60" i="30" s="1"/>
  <c r="AT60" i="30" s="1"/>
  <c r="BD60" i="30" s="1"/>
  <c r="BN60" i="30" s="1"/>
  <c r="BX60" i="30" s="1"/>
  <c r="CC60" i="30" s="1"/>
  <c r="K59" i="30"/>
  <c r="Q59" i="30" s="1"/>
  <c r="AA59" i="30" s="1"/>
  <c r="AK59" i="30" s="1"/>
  <c r="AU59" i="30" s="1"/>
  <c r="BE59" i="30" s="1"/>
  <c r="BO59" i="30" s="1"/>
  <c r="BY59" i="30" s="1"/>
  <c r="P59" i="30"/>
  <c r="Z59" i="30" s="1"/>
  <c r="AJ59" i="30" s="1"/>
  <c r="AT59" i="30" s="1"/>
  <c r="BD59" i="30" s="1"/>
  <c r="BN59" i="30" s="1"/>
  <c r="BX59" i="30" s="1"/>
  <c r="CC59" i="30" s="1"/>
  <c r="AJ53" i="30"/>
  <c r="AT53" i="30" s="1"/>
  <c r="BD53" i="30" s="1"/>
  <c r="BN53" i="30" s="1"/>
  <c r="BX53" i="30" s="1"/>
  <c r="CC53" i="30" s="1"/>
  <c r="AK53" i="30"/>
  <c r="AU53" i="30" s="1"/>
  <c r="BE53" i="30" s="1"/>
  <c r="BO53" i="30" s="1"/>
  <c r="K90" i="30"/>
  <c r="Q90" i="30" s="1"/>
  <c r="AA90" i="30" s="1"/>
  <c r="AK90" i="30" s="1"/>
  <c r="AU90" i="30" s="1"/>
  <c r="BE90" i="30" s="1"/>
  <c r="BO90" i="30" s="1"/>
  <c r="BY90" i="30" s="1"/>
  <c r="J93" i="30"/>
  <c r="P90" i="30"/>
  <c r="Z90" i="30" s="1"/>
  <c r="AJ90" i="30" s="1"/>
  <c r="AT90" i="30" s="1"/>
  <c r="BD90" i="30" s="1"/>
  <c r="Q89" i="30"/>
  <c r="P58" i="30"/>
  <c r="Z58" i="30" s="1"/>
  <c r="AJ58" i="30" s="1"/>
  <c r="AT58" i="30" s="1"/>
  <c r="BD58" i="30" s="1"/>
  <c r="BN58" i="30" s="1"/>
  <c r="BX58" i="30" s="1"/>
  <c r="CC58" i="30" s="1"/>
  <c r="K58" i="30"/>
  <c r="BN89" i="30"/>
  <c r="BX89" i="30" s="1"/>
  <c r="CC89" i="30" s="1"/>
  <c r="CB89" i="30"/>
  <c r="I58" i="22"/>
  <c r="I60" i="22" s="1"/>
  <c r="H58" i="22"/>
  <c r="H60" i="22" s="1"/>
  <c r="Q37" i="22"/>
  <c r="CF71" i="30"/>
  <c r="CG71" i="30" s="1"/>
  <c r="CD71" i="30"/>
  <c r="BW20" i="45"/>
  <c r="BY20" i="45" s="1"/>
  <c r="BO91" i="30"/>
  <c r="BY91" i="30" s="1"/>
  <c r="BU23" i="45"/>
  <c r="CD107" i="44"/>
  <c r="CD105" i="44"/>
  <c r="I43" i="20"/>
  <c r="I45" i="20" s="1"/>
  <c r="H43" i="20"/>
  <c r="H45" i="20" s="1"/>
  <c r="Q33" i="20"/>
  <c r="F82" i="30"/>
  <c r="U79" i="30"/>
  <c r="U11" i="45"/>
  <c r="K61" i="30"/>
  <c r="Q61" i="30" s="1"/>
  <c r="AA61" i="30" s="1"/>
  <c r="AK61" i="30" s="1"/>
  <c r="AU61" i="30" s="1"/>
  <c r="BE61" i="30" s="1"/>
  <c r="BO61" i="30" s="1"/>
  <c r="BY61" i="30" s="1"/>
  <c r="CF61" i="30" s="1"/>
  <c r="CG61" i="30" s="1"/>
  <c r="P61" i="30"/>
  <c r="Z61" i="30" s="1"/>
  <c r="AJ61" i="30" s="1"/>
  <c r="AT61" i="30" s="1"/>
  <c r="BD61" i="30" s="1"/>
  <c r="BN61" i="30" s="1"/>
  <c r="BX61" i="30" s="1"/>
  <c r="CC61" i="30" s="1"/>
  <c r="BU35" i="45"/>
  <c r="Q79" i="30"/>
  <c r="K86" i="30"/>
  <c r="I59" i="22"/>
  <c r="H59" i="22"/>
  <c r="AE18" i="43"/>
  <c r="CF51" i="30"/>
  <c r="CG51" i="30" s="1"/>
  <c r="CD51" i="30"/>
  <c r="GM17" i="43"/>
  <c r="GS17" i="43" s="1"/>
  <c r="II17" i="43" s="1"/>
  <c r="IJ17" i="43" s="1"/>
  <c r="AE17" i="43"/>
  <c r="BI37" i="45"/>
  <c r="AE26" i="43"/>
  <c r="GM26" i="43"/>
  <c r="GS26" i="43" s="1"/>
  <c r="II26" i="43" s="1"/>
  <c r="O86" i="30"/>
  <c r="K66" i="30"/>
  <c r="P66" i="30"/>
  <c r="Z66" i="30" s="1"/>
  <c r="AJ66" i="30" s="1"/>
  <c r="AT66" i="30" s="1"/>
  <c r="BD66" i="30" s="1"/>
  <c r="AE23" i="43"/>
  <c r="GM23" i="43"/>
  <c r="GS23" i="43" s="1"/>
  <c r="II23" i="43" s="1"/>
  <c r="IJ23" i="43" s="1"/>
  <c r="H44" i="20"/>
  <c r="I44" i="20"/>
  <c r="AS80" i="30"/>
  <c r="BO92" i="30"/>
  <c r="BY92" i="30" s="1"/>
  <c r="H31" i="3"/>
  <c r="H32" i="3" s="1"/>
  <c r="H34" i="3" s="1"/>
  <c r="G32" i="3"/>
  <c r="G34" i="3" s="1"/>
  <c r="I31" i="3"/>
  <c r="I32" i="3" s="1"/>
  <c r="I34" i="3" s="1"/>
  <c r="E35" i="39"/>
  <c r="H35" i="31"/>
  <c r="J35" i="31"/>
  <c r="E35" i="31"/>
  <c r="L35" i="31"/>
  <c r="K67" i="30"/>
  <c r="Q67" i="30" s="1"/>
  <c r="AA67" i="30" s="1"/>
  <c r="P67" i="30"/>
  <c r="Z67" i="30" s="1"/>
  <c r="AJ67" i="30" s="1"/>
  <c r="AT67" i="30" s="1"/>
  <c r="BD67" i="30" s="1"/>
  <c r="CB67" i="30" s="1"/>
  <c r="Y81" i="30"/>
  <c r="AG54" i="30"/>
  <c r="K54" i="30"/>
  <c r="W54" i="30"/>
  <c r="O54" i="30"/>
  <c r="AE54" i="30"/>
  <c r="S54" i="30"/>
  <c r="I54" i="30"/>
  <c r="AO54" i="30"/>
  <c r="AM54" i="30"/>
  <c r="AC54" i="30"/>
  <c r="U54" i="30"/>
  <c r="M54" i="30"/>
  <c r="AQ54" i="30"/>
  <c r="F63" i="30"/>
  <c r="F75" i="30" s="1"/>
  <c r="G63" i="30"/>
  <c r="G75" i="30" s="1"/>
  <c r="W58" i="30"/>
  <c r="AO58" i="30"/>
  <c r="AC58" i="30"/>
  <c r="S58" i="30"/>
  <c r="I58" i="30"/>
  <c r="O58" i="30"/>
  <c r="U58" i="30"/>
  <c r="AQ58" i="30"/>
  <c r="AG58" i="30"/>
  <c r="AE58" i="30"/>
  <c r="AM58" i="30"/>
  <c r="M58" i="30"/>
  <c r="S86" i="30" l="1"/>
  <c r="F84" i="30"/>
  <c r="AK84" i="30"/>
  <c r="AU84" i="30" s="1"/>
  <c r="BE84" i="30" s="1"/>
  <c r="BW13" i="45" s="1"/>
  <c r="BY13" i="45" s="1"/>
  <c r="AY37" i="45"/>
  <c r="D9" i="31"/>
  <c r="BU7" i="45"/>
  <c r="AO37" i="45"/>
  <c r="AO39" i="45" s="1"/>
  <c r="I44" i="5"/>
  <c r="C38" i="32"/>
  <c r="C39" i="32" s="1"/>
  <c r="C38" i="3"/>
  <c r="C39" i="3" s="1"/>
  <c r="I47" i="20"/>
  <c r="H19" i="31"/>
  <c r="C38" i="42"/>
  <c r="C39" i="42" s="1"/>
  <c r="C38" i="43"/>
  <c r="C39" i="43" s="1"/>
  <c r="C38" i="20"/>
  <c r="C39" i="20" s="1"/>
  <c r="H44" i="5"/>
  <c r="C23" i="31"/>
  <c r="E23" i="31" s="1"/>
  <c r="O46" i="5"/>
  <c r="HH30" i="44"/>
  <c r="AY39" i="45"/>
  <c r="C33" i="39"/>
  <c r="E33" i="39" s="1"/>
  <c r="C38" i="16"/>
  <c r="C39" i="16" s="1"/>
  <c r="C39" i="44"/>
  <c r="C105" i="44" s="1"/>
  <c r="C38" i="33"/>
  <c r="C39" i="33" s="1"/>
  <c r="BV37" i="45"/>
  <c r="C38" i="17"/>
  <c r="C39" i="17" s="1"/>
  <c r="AU70" i="30"/>
  <c r="AU72" i="30" s="1"/>
  <c r="K37" i="45"/>
  <c r="H45" i="6"/>
  <c r="C24" i="39"/>
  <c r="E24" i="39" s="1"/>
  <c r="G29" i="22"/>
  <c r="Q39" i="22" s="1"/>
  <c r="G64" i="22" s="1"/>
  <c r="J19" i="31"/>
  <c r="E19" i="31"/>
  <c r="L19" i="31"/>
  <c r="C21" i="31"/>
  <c r="H21" i="31" s="1"/>
  <c r="AK83" i="30"/>
  <c r="AU83" i="30" s="1"/>
  <c r="BE83" i="30" s="1"/>
  <c r="BW12" i="45" s="1"/>
  <c r="BY12" i="45" s="1"/>
  <c r="AE37" i="45"/>
  <c r="AE39" i="45" s="1"/>
  <c r="BU11" i="45"/>
  <c r="H29" i="22"/>
  <c r="I45" i="6"/>
  <c r="C18" i="31"/>
  <c r="J18" i="31" s="1"/>
  <c r="IJ19" i="43"/>
  <c r="II29" i="43"/>
  <c r="W63" i="30"/>
  <c r="W75" i="30" s="1"/>
  <c r="CD56" i="30"/>
  <c r="CD60" i="30"/>
  <c r="CD55" i="30"/>
  <c r="U63" i="30"/>
  <c r="U75" i="30" s="1"/>
  <c r="AG63" i="30"/>
  <c r="AG75" i="30" s="1"/>
  <c r="Q35" i="20"/>
  <c r="BW23" i="45"/>
  <c r="BY23" i="45" s="1"/>
  <c r="AS78" i="30"/>
  <c r="F78" i="30" s="1"/>
  <c r="I78" i="30" s="1"/>
  <c r="CD82" i="30"/>
  <c r="F83" i="30"/>
  <c r="HF107" i="44"/>
  <c r="BU27" i="45"/>
  <c r="AI81" i="30"/>
  <c r="F81" i="30" s="1"/>
  <c r="AE86" i="30"/>
  <c r="H30" i="31"/>
  <c r="J30" i="31"/>
  <c r="L30" i="31"/>
  <c r="E30" i="31"/>
  <c r="HH105" i="44"/>
  <c r="AG86" i="30"/>
  <c r="AI79" i="30"/>
  <c r="BU19" i="45"/>
  <c r="M86" i="30"/>
  <c r="AQ63" i="30"/>
  <c r="AQ75" i="30" s="1"/>
  <c r="O63" i="30"/>
  <c r="O75" i="30" s="1"/>
  <c r="G20" i="30"/>
  <c r="G21" i="30" s="1"/>
  <c r="J20" i="31"/>
  <c r="L20" i="31"/>
  <c r="H20" i="31"/>
  <c r="E20" i="31"/>
  <c r="H47" i="20"/>
  <c r="I62" i="22"/>
  <c r="H62" i="22"/>
  <c r="AC63" i="30"/>
  <c r="AC75" i="30" s="1"/>
  <c r="G40" i="43"/>
  <c r="CD57" i="30"/>
  <c r="AO63" i="30"/>
  <c r="AO75" i="30" s="1"/>
  <c r="AA78" i="30"/>
  <c r="AK78" i="30" s="1"/>
  <c r="C38" i="39"/>
  <c r="E38" i="39" s="1"/>
  <c r="D11" i="31"/>
  <c r="F11" i="31" s="1"/>
  <c r="G11" i="31" s="1"/>
  <c r="D13" i="31"/>
  <c r="F9" i="31"/>
  <c r="G9" i="31" s="1"/>
  <c r="AE63" i="30"/>
  <c r="AE75" i="30" s="1"/>
  <c r="J36" i="31"/>
  <c r="H36" i="31"/>
  <c r="E36" i="31"/>
  <c r="L36" i="31"/>
  <c r="M63" i="30"/>
  <c r="M75" i="30" s="1"/>
  <c r="CF59" i="30"/>
  <c r="CG59" i="30" s="1"/>
  <c r="CD59" i="30"/>
  <c r="AA89" i="30"/>
  <c r="BN90" i="30"/>
  <c r="BX90" i="30" s="1"/>
  <c r="CC90" i="30" s="1"/>
  <c r="CB90" i="30"/>
  <c r="P93" i="30"/>
  <c r="Z93" i="30" s="1"/>
  <c r="AJ93" i="30" s="1"/>
  <c r="AT93" i="30" s="1"/>
  <c r="BD93" i="30" s="1"/>
  <c r="K93" i="30"/>
  <c r="CF90" i="30"/>
  <c r="CG90" i="30" s="1"/>
  <c r="CD90" i="30"/>
  <c r="IJ26" i="43"/>
  <c r="IG29" i="43"/>
  <c r="GS29" i="43"/>
  <c r="AS58" i="30"/>
  <c r="CD52" i="30"/>
  <c r="AA81" i="30"/>
  <c r="U86" i="30"/>
  <c r="Y79" i="30"/>
  <c r="E24" i="31"/>
  <c r="J24" i="31"/>
  <c r="H24" i="31"/>
  <c r="G33" i="30"/>
  <c r="L24" i="31"/>
  <c r="CD92" i="30"/>
  <c r="CF92" i="30"/>
  <c r="CG92" i="30" s="1"/>
  <c r="Q66" i="30"/>
  <c r="K68" i="30"/>
  <c r="K73" i="30" s="1"/>
  <c r="AE29" i="43"/>
  <c r="AE42" i="43" s="1"/>
  <c r="BF42" i="43" s="1"/>
  <c r="CG42" i="43" s="1"/>
  <c r="DH42" i="43" s="1"/>
  <c r="BN67" i="30"/>
  <c r="BX67" i="30" s="1"/>
  <c r="CC67" i="30" s="1"/>
  <c r="AA85" i="30"/>
  <c r="AK85" i="30" s="1"/>
  <c r="Q86" i="30"/>
  <c r="K40" i="45" s="1"/>
  <c r="O19" i="30"/>
  <c r="BS19" i="30"/>
  <c r="U19" i="30"/>
  <c r="AG19" i="30"/>
  <c r="W19" i="30"/>
  <c r="BU19" i="30"/>
  <c r="BK19" i="30"/>
  <c r="F19" i="30"/>
  <c r="AQ19" i="30"/>
  <c r="AC19" i="30"/>
  <c r="AW19" i="30"/>
  <c r="I19" i="30"/>
  <c r="BI19" i="30"/>
  <c r="K19" i="30"/>
  <c r="AE19" i="30"/>
  <c r="BQ19" i="30"/>
  <c r="BA19" i="30"/>
  <c r="M19" i="30"/>
  <c r="AO19" i="30"/>
  <c r="AM19" i="30"/>
  <c r="S19" i="30"/>
  <c r="BG19" i="30"/>
  <c r="AY19" i="30"/>
  <c r="E38" i="31"/>
  <c r="H38" i="31"/>
  <c r="L38" i="31"/>
  <c r="J38" i="31"/>
  <c r="U37" i="45"/>
  <c r="AU80" i="30"/>
  <c r="BE80" i="30" s="1"/>
  <c r="F80" i="30"/>
  <c r="I80" i="30" s="1"/>
  <c r="CD91" i="30"/>
  <c r="CF91" i="30"/>
  <c r="CG91" i="30" s="1"/>
  <c r="C22" i="39"/>
  <c r="G40" i="3"/>
  <c r="C22" i="31"/>
  <c r="CB66" i="30"/>
  <c r="BN66" i="30"/>
  <c r="BX66" i="30" s="1"/>
  <c r="CC66" i="30" s="1"/>
  <c r="Y58" i="30"/>
  <c r="AI54" i="30"/>
  <c r="CD61" i="30"/>
  <c r="AK67" i="30"/>
  <c r="BY53" i="30"/>
  <c r="S63" i="30"/>
  <c r="S75" i="30" s="1"/>
  <c r="Y54" i="30"/>
  <c r="Q54" i="30"/>
  <c r="K63" i="30"/>
  <c r="I63" i="30"/>
  <c r="AM63" i="30"/>
  <c r="AM75" i="30" s="1"/>
  <c r="AS54" i="30"/>
  <c r="AI58" i="30"/>
  <c r="Q58" i="30"/>
  <c r="BO84" i="30" l="1"/>
  <c r="BW31" i="45" s="1"/>
  <c r="BY31" i="45" s="1"/>
  <c r="AK81" i="30"/>
  <c r="AU81" i="30" s="1"/>
  <c r="BE81" i="30" s="1"/>
  <c r="BO83" i="30"/>
  <c r="H23" i="31"/>
  <c r="BY84" i="30"/>
  <c r="CF84" i="30" s="1"/>
  <c r="CG84" i="30" s="1"/>
  <c r="I48" i="20"/>
  <c r="J23" i="31"/>
  <c r="BE70" i="30"/>
  <c r="BE72" i="30" s="1"/>
  <c r="L23" i="31"/>
  <c r="G26" i="30"/>
  <c r="F26" i="30" s="1"/>
  <c r="I75" i="30"/>
  <c r="C32" i="31"/>
  <c r="BI43" i="45"/>
  <c r="H18" i="31"/>
  <c r="AI86" i="30"/>
  <c r="AE40" i="45" s="1"/>
  <c r="AU78" i="30"/>
  <c r="BE78" i="30" s="1"/>
  <c r="BO78" i="30" s="1"/>
  <c r="BW7" i="45" s="1"/>
  <c r="BY7" i="45" s="1"/>
  <c r="K21" i="31"/>
  <c r="K27" i="31" s="1"/>
  <c r="I21" i="31"/>
  <c r="E21" i="31"/>
  <c r="J21" i="31"/>
  <c r="I18" i="31"/>
  <c r="E18" i="31"/>
  <c r="H48" i="20"/>
  <c r="L18" i="31"/>
  <c r="G13" i="30"/>
  <c r="C25" i="31"/>
  <c r="G38" i="30" s="1"/>
  <c r="F38" i="30" s="1"/>
  <c r="C25" i="39"/>
  <c r="E25" i="39" s="1"/>
  <c r="G49" i="20"/>
  <c r="HH107" i="44"/>
  <c r="HH106" i="44"/>
  <c r="HF110" i="44"/>
  <c r="HH104" i="44"/>
  <c r="AG20" i="30"/>
  <c r="AG21" i="30" s="1"/>
  <c r="AQ20" i="30"/>
  <c r="AQ21" i="30" s="1"/>
  <c r="O20" i="30"/>
  <c r="O21" i="30" s="1"/>
  <c r="AO20" i="30"/>
  <c r="AO21" i="30" s="1"/>
  <c r="I20" i="30"/>
  <c r="I21" i="30" s="1"/>
  <c r="BK20" i="30"/>
  <c r="BK21" i="30" s="1"/>
  <c r="AE20" i="30"/>
  <c r="AE21" i="30" s="1"/>
  <c r="AC20" i="30"/>
  <c r="AC21" i="30" s="1"/>
  <c r="BA20" i="30"/>
  <c r="BA21" i="30" s="1"/>
  <c r="BS20" i="30"/>
  <c r="BS21" i="30" s="1"/>
  <c r="S20" i="30"/>
  <c r="BU20" i="30"/>
  <c r="BU21" i="30" s="1"/>
  <c r="BI20" i="30"/>
  <c r="BI21" i="30" s="1"/>
  <c r="BG20" i="30"/>
  <c r="BG21" i="30" s="1"/>
  <c r="F20" i="30"/>
  <c r="F21" i="30" s="1"/>
  <c r="AY20" i="30"/>
  <c r="AY21" i="30" s="1"/>
  <c r="M20" i="30"/>
  <c r="M21" i="30" s="1"/>
  <c r="W20" i="30"/>
  <c r="W21" i="30" s="1"/>
  <c r="BQ20" i="30"/>
  <c r="U20" i="30"/>
  <c r="U21" i="30" s="1"/>
  <c r="AM20" i="30"/>
  <c r="AM21" i="30" s="1"/>
  <c r="K20" i="30"/>
  <c r="K21" i="30" s="1"/>
  <c r="AW20" i="30"/>
  <c r="AW21" i="30" s="1"/>
  <c r="C39" i="39"/>
  <c r="E39" i="39" s="1"/>
  <c r="I63" i="22"/>
  <c r="C26" i="39"/>
  <c r="E26" i="39" s="1"/>
  <c r="H63" i="22"/>
  <c r="C26" i="31"/>
  <c r="AI63" i="30"/>
  <c r="AI75" i="30" s="1"/>
  <c r="F13" i="31"/>
  <c r="G13" i="31" s="1"/>
  <c r="Q63" i="30"/>
  <c r="CB93" i="30"/>
  <c r="BN93" i="30"/>
  <c r="BX93" i="30" s="1"/>
  <c r="CC93" i="30" s="1"/>
  <c r="Q93" i="30"/>
  <c r="K94" i="30"/>
  <c r="AK89" i="30"/>
  <c r="K75" i="30"/>
  <c r="AA58" i="30"/>
  <c r="AK58" i="30" s="1"/>
  <c r="AU58" i="30" s="1"/>
  <c r="BE58" i="30" s="1"/>
  <c r="BO58" i="30" s="1"/>
  <c r="BY58" i="30" s="1"/>
  <c r="AE40" i="43"/>
  <c r="J22" i="31"/>
  <c r="G22" i="30"/>
  <c r="L22" i="31"/>
  <c r="H22" i="31"/>
  <c r="E22" i="31"/>
  <c r="AI19" i="30"/>
  <c r="E22" i="39"/>
  <c r="BS43" i="45"/>
  <c r="BC19" i="30"/>
  <c r="AA66" i="30"/>
  <c r="Q68" i="30"/>
  <c r="Q73" i="30" s="1"/>
  <c r="BW19" i="30"/>
  <c r="BW27" i="45"/>
  <c r="BY27" i="45" s="1"/>
  <c r="BY83" i="30"/>
  <c r="U39" i="45"/>
  <c r="BU37" i="45"/>
  <c r="AY43" i="45"/>
  <c r="BM19" i="30"/>
  <c r="AA79" i="30"/>
  <c r="Y86" i="30"/>
  <c r="U40" i="45" s="1"/>
  <c r="Y19" i="30"/>
  <c r="Q19" i="30"/>
  <c r="F79" i="30"/>
  <c r="I79" i="30" s="1"/>
  <c r="AS19" i="30"/>
  <c r="M33" i="30"/>
  <c r="U33" i="30"/>
  <c r="AM33" i="30"/>
  <c r="BA33" i="30"/>
  <c r="F33" i="30"/>
  <c r="BU33" i="30"/>
  <c r="K33" i="30"/>
  <c r="AE33" i="30"/>
  <c r="BQ33" i="30"/>
  <c r="AY33" i="30"/>
  <c r="BI33" i="30"/>
  <c r="BS33" i="30"/>
  <c r="W33" i="30"/>
  <c r="I33" i="30"/>
  <c r="AG33" i="30"/>
  <c r="AQ33" i="30"/>
  <c r="BK33" i="30"/>
  <c r="S33" i="30"/>
  <c r="AO33" i="30"/>
  <c r="BG33" i="30"/>
  <c r="AW33" i="30"/>
  <c r="O33" i="30"/>
  <c r="AC33" i="30"/>
  <c r="L21" i="31"/>
  <c r="BO81" i="30"/>
  <c r="BW10" i="45"/>
  <c r="BO80" i="30"/>
  <c r="BW9" i="45"/>
  <c r="AU67" i="30"/>
  <c r="CF53" i="30"/>
  <c r="CG53" i="30" s="1"/>
  <c r="CD53" i="30"/>
  <c r="AA54" i="30"/>
  <c r="Y63" i="30"/>
  <c r="Y75" i="30" s="1"/>
  <c r="AS63" i="30"/>
  <c r="AS75" i="30" s="1"/>
  <c r="CD84" i="30" l="1"/>
  <c r="K13" i="30"/>
  <c r="F13" i="30"/>
  <c r="F15" i="30" s="1"/>
  <c r="BY78" i="30"/>
  <c r="CF78" i="30" s="1"/>
  <c r="CG78" i="30" s="1"/>
  <c r="BO70" i="30"/>
  <c r="BO72" i="30" s="1"/>
  <c r="O26" i="30"/>
  <c r="M26" i="30"/>
  <c r="S13" i="30"/>
  <c r="S15" i="30" s="1"/>
  <c r="U13" i="30"/>
  <c r="U15" i="30" s="1"/>
  <c r="BK13" i="30"/>
  <c r="BK15" i="30" s="1"/>
  <c r="AQ13" i="30"/>
  <c r="AQ15" i="30" s="1"/>
  <c r="BI13" i="30"/>
  <c r="BI15" i="30" s="1"/>
  <c r="AY13" i="30"/>
  <c r="AY15" i="30" s="1"/>
  <c r="W13" i="30"/>
  <c r="W15" i="30" s="1"/>
  <c r="AW13" i="30"/>
  <c r="AW15" i="30" s="1"/>
  <c r="AC13" i="30"/>
  <c r="BQ13" i="30"/>
  <c r="BQ15" i="30" s="1"/>
  <c r="BA13" i="30"/>
  <c r="BA15" i="30" s="1"/>
  <c r="AM13" i="30"/>
  <c r="AO13" i="30"/>
  <c r="AO15" i="30" s="1"/>
  <c r="G15" i="30"/>
  <c r="M13" i="30"/>
  <c r="M15" i="30" s="1"/>
  <c r="O13" i="30"/>
  <c r="O15" i="30" s="1"/>
  <c r="I13" i="30"/>
  <c r="I15" i="30" s="1"/>
  <c r="AE13" i="30"/>
  <c r="AE15" i="30" s="1"/>
  <c r="BU13" i="30"/>
  <c r="BU15" i="30" s="1"/>
  <c r="AG13" i="30"/>
  <c r="AG15" i="30" s="1"/>
  <c r="BG13" i="30"/>
  <c r="BG15" i="30" s="1"/>
  <c r="I26" i="30"/>
  <c r="BI26" i="30" s="1"/>
  <c r="K26" i="30"/>
  <c r="G31" i="30"/>
  <c r="L32" i="31"/>
  <c r="C33" i="31"/>
  <c r="J32" i="31"/>
  <c r="E32" i="31"/>
  <c r="H32" i="31"/>
  <c r="J25" i="31"/>
  <c r="C27" i="31"/>
  <c r="BS13" i="30"/>
  <c r="BS15" i="30" s="1"/>
  <c r="L25" i="31"/>
  <c r="H25" i="31"/>
  <c r="E25" i="31"/>
  <c r="BW20" i="30"/>
  <c r="BW21" i="30" s="1"/>
  <c r="BC20" i="30"/>
  <c r="BC21" i="30" s="1"/>
  <c r="AS20" i="30"/>
  <c r="AS21" i="30" s="1"/>
  <c r="Y20" i="30"/>
  <c r="Y21" i="30" s="1"/>
  <c r="S21" i="30"/>
  <c r="BQ21" i="30"/>
  <c r="Q20" i="30"/>
  <c r="Q21" i="30" s="1"/>
  <c r="BM20" i="30"/>
  <c r="BM21" i="30" s="1"/>
  <c r="AI20" i="30"/>
  <c r="AI21" i="30" s="1"/>
  <c r="C6" i="39"/>
  <c r="E6" i="39" s="1"/>
  <c r="K15" i="30"/>
  <c r="C27" i="39"/>
  <c r="C5" i="39" s="1"/>
  <c r="G43" i="30"/>
  <c r="E26" i="31"/>
  <c r="H26" i="31"/>
  <c r="J26" i="31"/>
  <c r="L26" i="31"/>
  <c r="BW33" i="30"/>
  <c r="AU89" i="30"/>
  <c r="AA93" i="30"/>
  <c r="Q94" i="30"/>
  <c r="BW19" i="45"/>
  <c r="BY19" i="45" s="1"/>
  <c r="BY81" i="30"/>
  <c r="CF83" i="30"/>
  <c r="CG83" i="30" s="1"/>
  <c r="CD83" i="30"/>
  <c r="AG38" i="30"/>
  <c r="AY38" i="30"/>
  <c r="I38" i="30"/>
  <c r="K38" i="30"/>
  <c r="AQ38" i="30"/>
  <c r="BS38" i="30"/>
  <c r="BK38" i="30"/>
  <c r="BQ38" i="30"/>
  <c r="BA38" i="30"/>
  <c r="O38" i="30"/>
  <c r="M38" i="30"/>
  <c r="AC38" i="30"/>
  <c r="BU38" i="30"/>
  <c r="U38" i="30"/>
  <c r="AW38" i="30"/>
  <c r="BG38" i="30"/>
  <c r="W38" i="30"/>
  <c r="AM38" i="30"/>
  <c r="AE38" i="30"/>
  <c r="S38" i="30"/>
  <c r="AO38" i="30"/>
  <c r="BI38" i="30"/>
  <c r="AI33" i="30"/>
  <c r="Q33" i="30"/>
  <c r="BW15" i="45"/>
  <c r="BY15" i="45" s="1"/>
  <c r="BY80" i="30"/>
  <c r="BC33" i="30"/>
  <c r="AA86" i="30"/>
  <c r="AK79" i="30"/>
  <c r="BI22" i="30"/>
  <c r="AY22" i="30"/>
  <c r="F22" i="30"/>
  <c r="AM22" i="30"/>
  <c r="U22" i="30"/>
  <c r="BG22" i="30"/>
  <c r="BQ22" i="30"/>
  <c r="BU22" i="30"/>
  <c r="W22" i="30"/>
  <c r="I22" i="30"/>
  <c r="AG22" i="30"/>
  <c r="AW22" i="30"/>
  <c r="AC22" i="30"/>
  <c r="AO22" i="30"/>
  <c r="AE22" i="30"/>
  <c r="AQ22" i="30"/>
  <c r="S22" i="30"/>
  <c r="BK22" i="30"/>
  <c r="K22" i="30"/>
  <c r="BS22" i="30"/>
  <c r="BA22" i="30"/>
  <c r="O22" i="30"/>
  <c r="M22" i="30"/>
  <c r="M31" i="30" s="1"/>
  <c r="Y33" i="30"/>
  <c r="BM33" i="30"/>
  <c r="AK66" i="30"/>
  <c r="AA68" i="30"/>
  <c r="AA73" i="30" s="1"/>
  <c r="K40" i="31"/>
  <c r="AS33" i="30"/>
  <c r="BK26" i="30"/>
  <c r="AA19" i="30"/>
  <c r="BE67" i="30"/>
  <c r="AA63" i="30"/>
  <c r="AK54" i="30"/>
  <c r="CF58" i="30"/>
  <c r="CG58" i="30" s="1"/>
  <c r="CD58" i="30"/>
  <c r="L27" i="31" l="1"/>
  <c r="C40" i="31"/>
  <c r="BG26" i="30"/>
  <c r="BA26" i="30"/>
  <c r="AM26" i="30"/>
  <c r="AS26" i="30" s="1"/>
  <c r="Q26" i="30"/>
  <c r="AC26" i="30"/>
  <c r="AC31" i="30" s="1"/>
  <c r="AW26" i="30"/>
  <c r="BU26" i="30"/>
  <c r="W26" i="30"/>
  <c r="W31" i="30" s="1"/>
  <c r="AG26" i="30"/>
  <c r="BS26" i="30"/>
  <c r="AO26" i="30"/>
  <c r="AY26" i="30"/>
  <c r="BC26" i="30" s="1"/>
  <c r="AQ26" i="30"/>
  <c r="S26" i="30"/>
  <c r="S31" i="30" s="1"/>
  <c r="BY70" i="30"/>
  <c r="CD70" i="30" s="1"/>
  <c r="CD78" i="30"/>
  <c r="O31" i="30"/>
  <c r="AI13" i="30"/>
  <c r="AI15" i="30" s="1"/>
  <c r="AS13" i="30"/>
  <c r="AS15" i="30" s="1"/>
  <c r="BM13" i="30"/>
  <c r="BM15" i="30" s="1"/>
  <c r="AC15" i="30"/>
  <c r="Y13" i="30"/>
  <c r="Y15" i="30" s="1"/>
  <c r="Q13" i="30"/>
  <c r="Q15" i="30" s="1"/>
  <c r="AM15" i="30"/>
  <c r="BC13" i="30"/>
  <c r="BC15" i="30" s="1"/>
  <c r="BW13" i="30"/>
  <c r="BW15" i="30" s="1"/>
  <c r="AE26" i="30"/>
  <c r="AE31" i="30" s="1"/>
  <c r="U26" i="30"/>
  <c r="BQ26" i="30"/>
  <c r="BW26" i="30" s="1"/>
  <c r="J27" i="31"/>
  <c r="C5" i="31"/>
  <c r="H5" i="31" s="1"/>
  <c r="J33" i="31"/>
  <c r="H33" i="31"/>
  <c r="E33" i="31"/>
  <c r="L33" i="31"/>
  <c r="C39" i="31"/>
  <c r="L40" i="31" s="1"/>
  <c r="BA43" i="30"/>
  <c r="F43" i="30"/>
  <c r="H27" i="31"/>
  <c r="E27" i="31"/>
  <c r="AM43" i="30"/>
  <c r="AA20" i="30"/>
  <c r="AA21" i="30" s="1"/>
  <c r="BK43" i="30"/>
  <c r="AC43" i="30"/>
  <c r="AW43" i="30"/>
  <c r="BS43" i="30"/>
  <c r="AG43" i="30"/>
  <c r="E27" i="39"/>
  <c r="O43" i="30"/>
  <c r="AQ43" i="30"/>
  <c r="AE43" i="30"/>
  <c r="U43" i="30"/>
  <c r="BI43" i="30"/>
  <c r="AY43" i="30"/>
  <c r="AO43" i="30"/>
  <c r="M43" i="30"/>
  <c r="M48" i="30" s="1"/>
  <c r="M76" i="30" s="1"/>
  <c r="M95" i="30" s="1"/>
  <c r="M97" i="30" s="1"/>
  <c r="K43" i="30"/>
  <c r="BQ43" i="30"/>
  <c r="W43" i="30"/>
  <c r="C40" i="39"/>
  <c r="E40" i="39" s="1"/>
  <c r="G48" i="30"/>
  <c r="G76" i="30" s="1"/>
  <c r="I43" i="30"/>
  <c r="BU43" i="30"/>
  <c r="S43" i="30"/>
  <c r="BG43" i="30"/>
  <c r="AM31" i="30"/>
  <c r="AO31" i="30"/>
  <c r="AU54" i="30"/>
  <c r="AK63" i="30"/>
  <c r="AK19" i="30"/>
  <c r="AA33" i="30"/>
  <c r="AK33" i="30" s="1"/>
  <c r="AU33" i="30" s="1"/>
  <c r="BE33" i="30" s="1"/>
  <c r="BO33" i="30" s="1"/>
  <c r="BY33" i="30" s="1"/>
  <c r="AS38" i="30"/>
  <c r="BC38" i="30"/>
  <c r="AK93" i="30"/>
  <c r="AA94" i="30"/>
  <c r="BE89" i="30"/>
  <c r="AA75" i="30"/>
  <c r="Y22" i="30"/>
  <c r="Q22" i="30"/>
  <c r="BW22" i="30"/>
  <c r="BM22" i="30"/>
  <c r="AG31" i="30"/>
  <c r="AK86" i="30"/>
  <c r="AU79" i="30"/>
  <c r="C7" i="39"/>
  <c r="E5" i="39"/>
  <c r="BK31" i="30"/>
  <c r="I25" i="30"/>
  <c r="I31" i="30"/>
  <c r="AY31" i="30"/>
  <c r="BG31" i="30"/>
  <c r="AW31" i="30"/>
  <c r="BI31" i="30"/>
  <c r="CF80" i="30"/>
  <c r="CG80" i="30" s="1"/>
  <c r="CD80" i="30"/>
  <c r="AQ31" i="30"/>
  <c r="BU31" i="30"/>
  <c r="Y38" i="30"/>
  <c r="AI38" i="30"/>
  <c r="Q38" i="30"/>
  <c r="BM26" i="30"/>
  <c r="BA31" i="30"/>
  <c r="AI22" i="30"/>
  <c r="CF81" i="30"/>
  <c r="CG81" i="30" s="1"/>
  <c r="CD81" i="30"/>
  <c r="AU66" i="30"/>
  <c r="AK68" i="30"/>
  <c r="AK73" i="30" s="1"/>
  <c r="K31" i="30"/>
  <c r="BS31" i="30"/>
  <c r="BC22" i="30"/>
  <c r="AS22" i="30"/>
  <c r="F31" i="30"/>
  <c r="BM38" i="30"/>
  <c r="BW38" i="30"/>
  <c r="CF70" i="30"/>
  <c r="CG70" i="30" s="1"/>
  <c r="BY72" i="30"/>
  <c r="BO67" i="30"/>
  <c r="Q31" i="30" l="1"/>
  <c r="Y26" i="30"/>
  <c r="AA26" i="30" s="1"/>
  <c r="O48" i="30"/>
  <c r="O76" i="30" s="1"/>
  <c r="O95" i="30" s="1"/>
  <c r="U31" i="30"/>
  <c r="U48" i="30" s="1"/>
  <c r="U76" i="30" s="1"/>
  <c r="U95" i="30" s="1"/>
  <c r="U97" i="30" s="1"/>
  <c r="BQ31" i="30"/>
  <c r="BQ48" i="30" s="1"/>
  <c r="BQ76" i="30" s="1"/>
  <c r="AI26" i="30"/>
  <c r="AK26" i="30" s="1"/>
  <c r="AA13" i="30"/>
  <c r="AA15" i="30" s="1"/>
  <c r="BK48" i="30"/>
  <c r="BK76" i="30" s="1"/>
  <c r="E5" i="31"/>
  <c r="M99" i="30"/>
  <c r="J5" i="31"/>
  <c r="H39" i="31"/>
  <c r="C6" i="31"/>
  <c r="L39" i="31"/>
  <c r="E39" i="31"/>
  <c r="J39" i="31"/>
  <c r="BA48" i="30"/>
  <c r="BA76" i="30" s="1"/>
  <c r="J40" i="31"/>
  <c r="E40" i="31"/>
  <c r="H40" i="31"/>
  <c r="AO48" i="30"/>
  <c r="AO76" i="30" s="1"/>
  <c r="Q43" i="30"/>
  <c r="Q48" i="30" s="1"/>
  <c r="Q76" i="30" s="1"/>
  <c r="Q95" i="30" s="1"/>
  <c r="AS43" i="30"/>
  <c r="AM48" i="30"/>
  <c r="AM76" i="30" s="1"/>
  <c r="Y43" i="30"/>
  <c r="BS48" i="30"/>
  <c r="BS76" i="30" s="1"/>
  <c r="AK20" i="30"/>
  <c r="AU20" i="30" s="1"/>
  <c r="BE20" i="30" s="1"/>
  <c r="BO20" i="30" s="1"/>
  <c r="BY20" i="30" s="1"/>
  <c r="CF20" i="30" s="1"/>
  <c r="CG20" i="30" s="1"/>
  <c r="BW43" i="30"/>
  <c r="BM43" i="30"/>
  <c r="AI43" i="30"/>
  <c r="AE48" i="30"/>
  <c r="AE76" i="30" s="1"/>
  <c r="AE95" i="30" s="1"/>
  <c r="AE97" i="30" s="1"/>
  <c r="AG48" i="30"/>
  <c r="AG76" i="30" s="1"/>
  <c r="AG95" i="30" s="1"/>
  <c r="AG97" i="30" s="1"/>
  <c r="BC43" i="30"/>
  <c r="BG48" i="30"/>
  <c r="BG76" i="30" s="1"/>
  <c r="AW48" i="30"/>
  <c r="AW76" i="30" s="1"/>
  <c r="AC48" i="30"/>
  <c r="AC76" i="30" s="1"/>
  <c r="AC95" i="30" s="1"/>
  <c r="AC97" i="30" s="1"/>
  <c r="I48" i="30"/>
  <c r="I76" i="30" s="1"/>
  <c r="AU19" i="30"/>
  <c r="BE19" i="30" s="1"/>
  <c r="BI48" i="30"/>
  <c r="BI76" i="30" s="1"/>
  <c r="BW31" i="30"/>
  <c r="W48" i="30"/>
  <c r="W76" i="30" s="1"/>
  <c r="W95" i="30" s="1"/>
  <c r="W97" i="30" s="1"/>
  <c r="BU48" i="30"/>
  <c r="BU76" i="30" s="1"/>
  <c r="S48" i="30"/>
  <c r="S76" i="30" s="1"/>
  <c r="S95" i="30" s="1"/>
  <c r="S97" i="30" s="1"/>
  <c r="K48" i="30"/>
  <c r="K76" i="30" s="1"/>
  <c r="K95" i="30" s="1"/>
  <c r="K97" i="30" s="1"/>
  <c r="AQ48" i="30"/>
  <c r="AQ76" i="30" s="1"/>
  <c r="AY48" i="30"/>
  <c r="AY76" i="30" s="1"/>
  <c r="BM31" i="30"/>
  <c r="F48" i="30"/>
  <c r="F76" i="30" s="1"/>
  <c r="AK75" i="30"/>
  <c r="BE54" i="30"/>
  <c r="AU63" i="30"/>
  <c r="AA22" i="30"/>
  <c r="AK22" i="30" s="1"/>
  <c r="AU22" i="30" s="1"/>
  <c r="BE22" i="30" s="1"/>
  <c r="BO22" i="30" s="1"/>
  <c r="BY22" i="30" s="1"/>
  <c r="BW18" i="45"/>
  <c r="BY18" i="45" s="1"/>
  <c r="BO89" i="30"/>
  <c r="AU93" i="30"/>
  <c r="AK94" i="30"/>
  <c r="CF33" i="30"/>
  <c r="CG33" i="30" s="1"/>
  <c r="CD33" i="30"/>
  <c r="AA38" i="30"/>
  <c r="AK38" i="30" s="1"/>
  <c r="AU38" i="30" s="1"/>
  <c r="BE38" i="30" s="1"/>
  <c r="BO38" i="30" s="1"/>
  <c r="BY38" i="30" s="1"/>
  <c r="Y31" i="30"/>
  <c r="BE66" i="30"/>
  <c r="AU68" i="30"/>
  <c r="AU73" i="30" s="1"/>
  <c r="BC31" i="30"/>
  <c r="CD72" i="30"/>
  <c r="CF72" i="30"/>
  <c r="CG72" i="30" s="1"/>
  <c r="E7" i="39"/>
  <c r="C9" i="39"/>
  <c r="AS31" i="30"/>
  <c r="BE79" i="30"/>
  <c r="BY67" i="30"/>
  <c r="AI31" i="30" l="1"/>
  <c r="AI97" i="30"/>
  <c r="Y97" i="30"/>
  <c r="O97" i="30"/>
  <c r="Q97" i="30" s="1"/>
  <c r="AK13" i="30"/>
  <c r="AK15" i="30" s="1"/>
  <c r="U99" i="30"/>
  <c r="AG99" i="30"/>
  <c r="AE99" i="30"/>
  <c r="AA43" i="30"/>
  <c r="AK43" i="30" s="1"/>
  <c r="AU43" i="30" s="1"/>
  <c r="BE43" i="30" s="1"/>
  <c r="BO43" i="30" s="1"/>
  <c r="BY43" i="30" s="1"/>
  <c r="CF43" i="30" s="1"/>
  <c r="CG43" i="30" s="1"/>
  <c r="W99" i="30"/>
  <c r="H6" i="31"/>
  <c r="J6" i="31"/>
  <c r="E6" i="31"/>
  <c r="C7" i="31"/>
  <c r="BC48" i="30"/>
  <c r="BC76" i="30" s="1"/>
  <c r="AK21" i="30"/>
  <c r="AK31" i="30" s="1"/>
  <c r="AU21" i="30"/>
  <c r="BW48" i="30"/>
  <c r="BW76" i="30" s="1"/>
  <c r="AS48" i="30"/>
  <c r="AS76" i="30" s="1"/>
  <c r="Y48" i="30"/>
  <c r="Y76" i="30" s="1"/>
  <c r="Y95" i="30" s="1"/>
  <c r="BM48" i="30"/>
  <c r="BM76" i="30" s="1"/>
  <c r="AC99" i="30"/>
  <c r="S99" i="30"/>
  <c r="CD20" i="30"/>
  <c r="AI48" i="30"/>
  <c r="AI76" i="30" s="1"/>
  <c r="AI95" i="30" s="1"/>
  <c r="AA31" i="30"/>
  <c r="AU75" i="30"/>
  <c r="BO54" i="30"/>
  <c r="BE63" i="30"/>
  <c r="BE93" i="30"/>
  <c r="AU94" i="30"/>
  <c r="BY89" i="30"/>
  <c r="CF38" i="30"/>
  <c r="CG38" i="30" s="1"/>
  <c r="CD38" i="30"/>
  <c r="CF22" i="30"/>
  <c r="CG22" i="30" s="1"/>
  <c r="CD22" i="30"/>
  <c r="BW8" i="45"/>
  <c r="BO79" i="30"/>
  <c r="BE21" i="30"/>
  <c r="BO19" i="30"/>
  <c r="AU26" i="30"/>
  <c r="BE26" i="30" s="1"/>
  <c r="BO26" i="30" s="1"/>
  <c r="BY26" i="30" s="1"/>
  <c r="C13" i="39"/>
  <c r="E13" i="39" s="1"/>
  <c r="C10" i="39"/>
  <c r="C11" i="39" s="1"/>
  <c r="E11" i="39" s="1"/>
  <c r="K99" i="30"/>
  <c r="BO66" i="30"/>
  <c r="BE68" i="30"/>
  <c r="BE73" i="30" s="1"/>
  <c r="CF67" i="30"/>
  <c r="CG67" i="30" s="1"/>
  <c r="CD67" i="30"/>
  <c r="Q99" i="30" l="1"/>
  <c r="Q110" i="30" s="1"/>
  <c r="AA97" i="30"/>
  <c r="AK97" i="30" s="1"/>
  <c r="O99" i="30"/>
  <c r="AU13" i="30"/>
  <c r="AU15" i="30" s="1"/>
  <c r="AA48" i="30"/>
  <c r="AA76" i="30" s="1"/>
  <c r="AA95" i="30" s="1"/>
  <c r="J7" i="31"/>
  <c r="C9" i="31"/>
  <c r="H7" i="31"/>
  <c r="E7" i="31"/>
  <c r="CD43" i="30"/>
  <c r="AI99" i="30"/>
  <c r="AI110" i="30" s="1"/>
  <c r="AK48" i="30"/>
  <c r="AK76" i="30" s="1"/>
  <c r="AK95" i="30" s="1"/>
  <c r="AU31" i="30"/>
  <c r="BE75" i="30"/>
  <c r="BY54" i="30"/>
  <c r="BO63" i="30"/>
  <c r="BE31" i="30"/>
  <c r="CD89" i="30"/>
  <c r="CF89" i="30"/>
  <c r="CG89" i="30" s="1"/>
  <c r="BO93" i="30"/>
  <c r="BW22" i="45"/>
  <c r="BY22" i="45" s="1"/>
  <c r="BE94" i="30"/>
  <c r="Y99" i="30"/>
  <c r="Y110" i="30" s="1"/>
  <c r="BO21" i="30"/>
  <c r="BO31" i="30" s="1"/>
  <c r="BY19" i="30"/>
  <c r="BY79" i="30"/>
  <c r="BW11" i="45"/>
  <c r="BY66" i="30"/>
  <c r="BO68" i="30"/>
  <c r="BO73" i="30" s="1"/>
  <c r="CF26" i="30"/>
  <c r="CG26" i="30" s="1"/>
  <c r="CD26" i="30"/>
  <c r="BE13" i="30" l="1"/>
  <c r="BE15" i="30" s="1"/>
  <c r="BE48" i="30" s="1"/>
  <c r="BE76" i="30" s="1"/>
  <c r="AA99" i="30"/>
  <c r="AA110" i="30" s="1"/>
  <c r="H9" i="31"/>
  <c r="C13" i="31"/>
  <c r="E9" i="31"/>
  <c r="J9" i="31"/>
  <c r="AK99" i="30"/>
  <c r="AK110" i="30" s="1"/>
  <c r="BO75" i="30"/>
  <c r="AU48" i="30"/>
  <c r="AU76" i="30" s="1"/>
  <c r="BY63" i="30"/>
  <c r="CF54" i="30"/>
  <c r="CG54" i="30" s="1"/>
  <c r="CD54" i="30"/>
  <c r="BY93" i="30"/>
  <c r="BO94" i="30"/>
  <c r="CF79" i="30"/>
  <c r="CG79" i="30" s="1"/>
  <c r="CD79" i="30"/>
  <c r="CF19" i="30"/>
  <c r="CG19" i="30" s="1"/>
  <c r="BY21" i="30"/>
  <c r="CD19" i="30"/>
  <c r="CF66" i="30"/>
  <c r="CG66" i="30" s="1"/>
  <c r="CD66" i="30"/>
  <c r="BY68" i="30"/>
  <c r="BY11" i="45"/>
  <c r="BO13" i="30" l="1"/>
  <c r="BY13" i="30" s="1"/>
  <c r="CD13" i="30" s="1"/>
  <c r="H13" i="31"/>
  <c r="J13" i="31"/>
  <c r="E13" i="31"/>
  <c r="CD63" i="30"/>
  <c r="CF63" i="30"/>
  <c r="CG63" i="30" s="1"/>
  <c r="CD93" i="30"/>
  <c r="CF93" i="30"/>
  <c r="CG93" i="30" s="1"/>
  <c r="BY94" i="30"/>
  <c r="CF21" i="30"/>
  <c r="CG21" i="30" s="1"/>
  <c r="BY31" i="30"/>
  <c r="CD21" i="30"/>
  <c r="CF68" i="30"/>
  <c r="CG68" i="30" s="1"/>
  <c r="BY73" i="30"/>
  <c r="CD68" i="30"/>
  <c r="BO15" i="30" l="1"/>
  <c r="BO48" i="30" s="1"/>
  <c r="BO76" i="30" s="1"/>
  <c r="CF13" i="30"/>
  <c r="CG13" i="30" s="1"/>
  <c r="BY15" i="30"/>
  <c r="BY48" i="30" s="1"/>
  <c r="CD94" i="30"/>
  <c r="CF94" i="30"/>
  <c r="CG94" i="30" s="1"/>
  <c r="BY75" i="30"/>
  <c r="CD73" i="30"/>
  <c r="CF73" i="30"/>
  <c r="CG73" i="30" s="1"/>
  <c r="CF31" i="30"/>
  <c r="CG31" i="30" s="1"/>
  <c r="CD31" i="30"/>
  <c r="CF15" i="30" l="1"/>
  <c r="CG15" i="30" s="1"/>
  <c r="CD15" i="30"/>
  <c r="CF48" i="30"/>
  <c r="CG48" i="30" s="1"/>
  <c r="CD48" i="30"/>
  <c r="BY76" i="30"/>
  <c r="CD75" i="30"/>
  <c r="CF75" i="30"/>
  <c r="CG75" i="30" s="1"/>
  <c r="CD76" i="30" l="1"/>
  <c r="CF76" i="30"/>
  <c r="CG76" i="30" s="1"/>
  <c r="G86" i="30"/>
  <c r="G95" i="30" s="1"/>
  <c r="I85" i="30"/>
  <c r="BK85" i="30" s="1"/>
  <c r="BK86" i="30" s="1"/>
  <c r="BK95" i="30" s="1"/>
  <c r="AO85" i="30" l="1"/>
  <c r="AO86" i="30" s="1"/>
  <c r="AO95" i="30" s="1"/>
  <c r="AO97" i="30" s="1"/>
  <c r="AY85" i="30"/>
  <c r="AY86" i="30" s="1"/>
  <c r="AY95" i="30" s="1"/>
  <c r="AY97" i="30" s="1"/>
  <c r="AY99" i="30" s="1"/>
  <c r="BU85" i="30"/>
  <c r="BU86" i="30" s="1"/>
  <c r="BU95" i="30" s="1"/>
  <c r="AM85" i="30"/>
  <c r="AM86" i="30" s="1"/>
  <c r="AM95" i="30" s="1"/>
  <c r="AM97" i="30" s="1"/>
  <c r="BS85" i="30"/>
  <c r="BS86" i="30" s="1"/>
  <c r="BS95" i="30" s="1"/>
  <c r="BQ85" i="30"/>
  <c r="BQ86" i="30" s="1"/>
  <c r="BQ95" i="30" s="1"/>
  <c r="BQ97" i="30" s="1"/>
  <c r="BG85" i="30"/>
  <c r="BG86" i="30" s="1"/>
  <c r="BG95" i="30" s="1"/>
  <c r="BK97" i="30"/>
  <c r="BK99" i="30" s="1"/>
  <c r="AW85" i="30"/>
  <c r="BA85" i="30"/>
  <c r="BA86" i="30" s="1"/>
  <c r="BA95" i="30" s="1"/>
  <c r="AQ85" i="30"/>
  <c r="AQ86" i="30" s="1"/>
  <c r="AQ95" i="30" s="1"/>
  <c r="AQ97" i="30" s="1"/>
  <c r="I86" i="30"/>
  <c r="I95" i="30" s="1"/>
  <c r="BI85" i="30"/>
  <c r="BI86" i="30" s="1"/>
  <c r="BI95" i="30" s="1"/>
  <c r="AS97" i="30" l="1"/>
  <c r="AU97" i="30" s="1"/>
  <c r="BW85" i="30"/>
  <c r="BU97" i="30"/>
  <c r="BU99" i="30" s="1"/>
  <c r="BS97" i="30"/>
  <c r="BS99" i="30" s="1"/>
  <c r="AO99" i="30"/>
  <c r="AS85" i="30"/>
  <c r="AS86" i="30"/>
  <c r="AU85" i="30"/>
  <c r="AU86" i="30" s="1"/>
  <c r="AU95" i="30" s="1"/>
  <c r="BG97" i="30"/>
  <c r="BA97" i="30"/>
  <c r="BA99" i="30" s="1"/>
  <c r="BQ99" i="30"/>
  <c r="BW86" i="30"/>
  <c r="BW95" i="30" s="1"/>
  <c r="BW97" i="30" s="1"/>
  <c r="BI97" i="30"/>
  <c r="BI99" i="30" s="1"/>
  <c r="AQ99" i="30"/>
  <c r="BM85" i="30"/>
  <c r="BC85" i="30"/>
  <c r="AW86" i="30"/>
  <c r="AW95" i="30" s="1"/>
  <c r="AU99" i="30" l="1"/>
  <c r="AU110" i="30" s="1"/>
  <c r="BW99" i="30"/>
  <c r="BW110" i="30" s="1"/>
  <c r="BC86" i="30"/>
  <c r="BE85" i="30"/>
  <c r="BO85" i="30" s="1"/>
  <c r="BM86" i="30"/>
  <c r="BM95" i="30" s="1"/>
  <c r="BM97" i="30" s="1"/>
  <c r="AM99" i="30"/>
  <c r="BG99" i="30"/>
  <c r="F85" i="30"/>
  <c r="AO40" i="45"/>
  <c r="AS95" i="30"/>
  <c r="AW97" i="30"/>
  <c r="AS99" i="30" l="1"/>
  <c r="AS110" i="30" s="1"/>
  <c r="BM99" i="30"/>
  <c r="BM110" i="30" s="1"/>
  <c r="AW99" i="30"/>
  <c r="BW35" i="45"/>
  <c r="BO86" i="30"/>
  <c r="BY85" i="30"/>
  <c r="F86" i="30"/>
  <c r="BE86" i="30"/>
  <c r="BW14" i="45"/>
  <c r="BY14" i="45" s="1"/>
  <c r="AY40" i="45"/>
  <c r="BC95" i="30"/>
  <c r="BC97" i="30" l="1"/>
  <c r="BC99" i="30" s="1"/>
  <c r="BC110" i="30" s="1"/>
  <c r="F95" i="30"/>
  <c r="BY86" i="30"/>
  <c r="CF85" i="30"/>
  <c r="CG85" i="30" s="1"/>
  <c r="AY44" i="45"/>
  <c r="BE95" i="30"/>
  <c r="BW26" i="45" s="1"/>
  <c r="BY26" i="45" s="1"/>
  <c r="CD85" i="30"/>
  <c r="BO95" i="30"/>
  <c r="BI44" i="45"/>
  <c r="BW37" i="45"/>
  <c r="BY35" i="45"/>
  <c r="F97" i="30" l="1"/>
  <c r="I97" i="30" s="1"/>
  <c r="I99" i="30" s="1"/>
  <c r="BO99" i="30"/>
  <c r="BO110" i="30" s="1"/>
  <c r="BW24" i="45"/>
  <c r="BY24" i="45" s="1"/>
  <c r="BE99" i="30"/>
  <c r="BY95" i="30"/>
  <c r="BS44" i="45"/>
  <c r="CF86" i="30"/>
  <c r="CG86" i="30" s="1"/>
  <c r="CD86" i="30"/>
  <c r="P11" i="31" l="1"/>
  <c r="G99" i="30"/>
  <c r="C10" i="31"/>
  <c r="J10" i="31" s="1"/>
  <c r="CD95" i="30"/>
  <c r="H10" i="31"/>
  <c r="F99" i="30"/>
  <c r="CF95" i="30"/>
  <c r="CG95" i="30" s="1"/>
  <c r="BE110" i="30"/>
  <c r="BW28" i="45"/>
  <c r="BY28" i="45" s="1"/>
  <c r="C11" i="31" l="1"/>
  <c r="E10" i="31"/>
  <c r="CF97" i="30"/>
  <c r="CG97" i="30" s="1"/>
  <c r="CD97" i="30"/>
  <c r="BY99" i="30"/>
  <c r="BY110" i="30" s="1"/>
  <c r="H11" i="31"/>
  <c r="E11" i="31"/>
  <c r="O11" i="31"/>
  <c r="P14" i="31" s="1"/>
  <c r="J11" i="31"/>
  <c r="F110" i="30"/>
  <c r="CD99" i="30" l="1"/>
  <c r="CF99" i="30"/>
  <c r="CG99" i="30" s="1"/>
  <c r="G111" i="30"/>
  <c r="F112" i="30"/>
</calcChain>
</file>

<file path=xl/comments1.xml><?xml version="1.0" encoding="utf-8"?>
<comments xmlns="http://schemas.openxmlformats.org/spreadsheetml/2006/main">
  <authors>
    <author>Nur Alam</author>
    <author>BEST</author>
  </authors>
  <commentList>
    <comment ref="D60" authorId="0" shapeId="0">
      <text>
        <r>
          <rPr>
            <b/>
            <sz val="9"/>
            <color rgb="FF000000"/>
            <rFont val="Tahoma"/>
            <family val="2"/>
          </rPr>
          <t>Nur Alam: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84 unit overflow 5 m
</t>
        </r>
      </text>
    </comment>
    <comment ref="D66" authorId="1" shapeId="0">
      <text>
        <r>
          <rPr>
            <b/>
            <sz val="9"/>
            <color rgb="FF000000"/>
            <rFont val="Tahoma"/>
            <family val="2"/>
          </rPr>
          <t>BEST: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jalan boundry</t>
        </r>
      </text>
    </comment>
  </commentList>
</comments>
</file>

<file path=xl/comments2.xml><?xml version="1.0" encoding="utf-8"?>
<comments xmlns="http://schemas.openxmlformats.org/spreadsheetml/2006/main">
  <authors>
    <author>BEST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>BEST:</t>
        </r>
        <r>
          <rPr>
            <sz val="9"/>
            <color indexed="81"/>
            <rFont val="Tahoma"/>
            <family val="2"/>
          </rPr>
          <t xml:space="preserve">
jalan boundry 10.540 m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BEST:</t>
        </r>
        <r>
          <rPr>
            <sz val="9"/>
            <color indexed="81"/>
            <rFont val="Tahoma"/>
            <family val="2"/>
          </rPr>
          <t xml:space="preserve">
84 unit overflow</t>
        </r>
      </text>
    </comment>
    <comment ref="D26" authorId="0" shapeId="0">
      <text>
        <r>
          <rPr>
            <b/>
            <sz val="9"/>
            <color rgb="FF000000"/>
            <rFont val="Tahoma"/>
            <family val="2"/>
          </rPr>
          <t>BEST: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panjang 2m = 1.056.000
</t>
        </r>
        <r>
          <rPr>
            <sz val="9"/>
            <color rgb="FF000000"/>
            <rFont val="Tahoma"/>
            <family val="2"/>
          </rPr>
          <t xml:space="preserve">panjang 6m = 1.872.500
</t>
        </r>
        <r>
          <rPr>
            <sz val="9"/>
            <color rgb="FF000000"/>
            <rFont val="Tahoma"/>
            <family val="2"/>
          </rPr>
          <t>alat berat = 437.000/unit</t>
        </r>
      </text>
    </comment>
  </commentList>
</comments>
</file>

<file path=xl/comments3.xml><?xml version="1.0" encoding="utf-8"?>
<comments xmlns="http://schemas.openxmlformats.org/spreadsheetml/2006/main">
  <authors>
    <author>Lenovo</author>
  </authors>
  <commentList>
    <comment ref="C84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Kelotok Damkar 1
Kelotok angkutan 2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Menara Api, Posko dan Embung</t>
        </r>
      </text>
    </comment>
  </commentList>
</comments>
</file>

<file path=xl/sharedStrings.xml><?xml version="1.0" encoding="utf-8"?>
<sst xmlns="http://schemas.openxmlformats.org/spreadsheetml/2006/main" count="2518" uniqueCount="647">
  <si>
    <t>Perkiraan Biaya Per Hektar</t>
  </si>
  <si>
    <t>Pre Nursery</t>
  </si>
  <si>
    <t>Mandor</t>
  </si>
  <si>
    <t>Persiapan Bedeng</t>
  </si>
  <si>
    <t>Naungan</t>
  </si>
  <si>
    <t>Pengumpulan Tanah</t>
  </si>
  <si>
    <t>Merumput (weeding)</t>
  </si>
  <si>
    <t>Penyiraman</t>
  </si>
  <si>
    <t>Pemberantasan Hama &amp; Penyakit</t>
  </si>
  <si>
    <t>Pemupukan</t>
  </si>
  <si>
    <t>Konsolidasi</t>
  </si>
  <si>
    <t>Buruh</t>
  </si>
  <si>
    <t>A</t>
  </si>
  <si>
    <t>Peralatan</t>
  </si>
  <si>
    <t>Saringan</t>
  </si>
  <si>
    <t>Sprayer</t>
  </si>
  <si>
    <t>Pipa Paralon/Slang</t>
  </si>
  <si>
    <t>Mesin Alkon</t>
  </si>
  <si>
    <t>B</t>
  </si>
  <si>
    <t>Bahan-bahan</t>
  </si>
  <si>
    <t>Urea</t>
  </si>
  <si>
    <t>Kecambah</t>
  </si>
  <si>
    <t>Badan Naungan</t>
  </si>
  <si>
    <t>Air</t>
  </si>
  <si>
    <t>C</t>
  </si>
  <si>
    <t>Pupuk</t>
  </si>
  <si>
    <t>Pestisida</t>
  </si>
  <si>
    <t>Pupuk Kandang</t>
  </si>
  <si>
    <t>D</t>
  </si>
  <si>
    <t xml:space="preserve">Material </t>
  </si>
  <si>
    <t>Medan - Lokasi</t>
  </si>
  <si>
    <t>Uraian Kegiatan</t>
  </si>
  <si>
    <t>Rotasi / Tahun</t>
  </si>
  <si>
    <t>Total HK</t>
  </si>
  <si>
    <t>Jumlah</t>
  </si>
  <si>
    <t>Satuan</t>
  </si>
  <si>
    <t>UNSUR BIAYA</t>
  </si>
  <si>
    <t>Harga</t>
  </si>
  <si>
    <t>E</t>
  </si>
  <si>
    <t>Pekerja</t>
  </si>
  <si>
    <t>Terobosan</t>
  </si>
  <si>
    <t>TOTAL A + B + C + D</t>
  </si>
  <si>
    <t>Total</t>
  </si>
  <si>
    <t>Main Nursery</t>
  </si>
  <si>
    <t>Pengisian Polybag</t>
  </si>
  <si>
    <t>Pengajiran</t>
  </si>
  <si>
    <t>Pemeliharaan Tanah</t>
  </si>
  <si>
    <t>Lahan</t>
  </si>
  <si>
    <t xml:space="preserve">   - Buldozer</t>
  </si>
  <si>
    <t xml:space="preserve">   - Grader</t>
  </si>
  <si>
    <t xml:space="preserve">   - Excavator</t>
  </si>
  <si>
    <t>Sumi sansui irigasi</t>
  </si>
  <si>
    <t>RP</t>
  </si>
  <si>
    <t xml:space="preserve">   - Farm Tractor</t>
  </si>
  <si>
    <t>PJ</t>
  </si>
  <si>
    <t>CM</t>
  </si>
  <si>
    <t>Rhizobium</t>
  </si>
  <si>
    <t>Tanam Kelapa Sawit</t>
  </si>
  <si>
    <t>Survey Lapangan</t>
  </si>
  <si>
    <t>Pemeliharaan Jalan</t>
  </si>
  <si>
    <t>Pemeliharaan drainase</t>
  </si>
  <si>
    <t>Melobang</t>
  </si>
  <si>
    <t>Penanaman</t>
  </si>
  <si>
    <t>Supplying</t>
  </si>
  <si>
    <t>Memupuk</t>
  </si>
  <si>
    <t>Pancang</t>
  </si>
  <si>
    <t>Bibit</t>
  </si>
  <si>
    <t>TOTAL A + B + C + D + E</t>
  </si>
  <si>
    <t>Angkutan (km)</t>
  </si>
  <si>
    <t>Pemeliharaan Piringan (cw)</t>
  </si>
  <si>
    <t>Menyulam</t>
  </si>
  <si>
    <t>Hama &amp; Penyakit</t>
  </si>
  <si>
    <t>Peralatan ringan</t>
  </si>
  <si>
    <t>TBM 1</t>
  </si>
  <si>
    <t>Pemangkasan</t>
  </si>
  <si>
    <t>Kastrasi</t>
  </si>
  <si>
    <t>Pembukaan Lahan Sekunder (Imas, Tumbang, Cincang, Rumpuk)</t>
  </si>
  <si>
    <t>Tukang gergaji rantai</t>
  </si>
  <si>
    <t>Buldozer (jk)</t>
  </si>
  <si>
    <t>Alat-alat &amp; Material</t>
  </si>
  <si>
    <t>Excavator</t>
  </si>
  <si>
    <t>Peningkatan Drainase &amp; Jalan</t>
  </si>
  <si>
    <t>Alat-alat</t>
  </si>
  <si>
    <t>Bulldozer</t>
  </si>
  <si>
    <t>Grader</t>
  </si>
  <si>
    <t>Compactor</t>
  </si>
  <si>
    <t>Bahan pengeras jalan (sirtu)</t>
  </si>
  <si>
    <t>Biaya - 100%</t>
  </si>
  <si>
    <t>NPK 15.15.6.4</t>
  </si>
  <si>
    <t>OST</t>
  </si>
  <si>
    <t>Insektisida</t>
  </si>
  <si>
    <t>Suburin</t>
  </si>
  <si>
    <t>Kieserite</t>
  </si>
  <si>
    <t>Bayfolan</t>
  </si>
  <si>
    <t>Ostindo</t>
  </si>
  <si>
    <t>Bayleton</t>
  </si>
  <si>
    <t>Daconil</t>
  </si>
  <si>
    <t>Decis</t>
  </si>
  <si>
    <t>Persiapan Areal</t>
  </si>
  <si>
    <t>Pengisian &amp; Penyusunan Kantong</t>
  </si>
  <si>
    <t>Unit</t>
  </si>
  <si>
    <t>Butir</t>
  </si>
  <si>
    <t>Lbr</t>
  </si>
  <si>
    <t>Kg</t>
  </si>
  <si>
    <t>Ltr</t>
  </si>
  <si>
    <t>Pcs</t>
  </si>
  <si>
    <t>Btg</t>
  </si>
  <si>
    <t>F</t>
  </si>
  <si>
    <t>Unsur Biaya</t>
  </si>
  <si>
    <t>Transport</t>
  </si>
  <si>
    <t>Pemeliharaan Persemaian</t>
  </si>
  <si>
    <t>Tiang Pagar - ulin (buah)</t>
  </si>
  <si>
    <t>Kawat Duri (gulung)</t>
  </si>
  <si>
    <t>Paku (kg)</t>
  </si>
  <si>
    <t>Total Biaya</t>
  </si>
  <si>
    <t>Jumlah kecambah</t>
  </si>
  <si>
    <t>Jumlah dipindahkan ke Main Nursery</t>
  </si>
  <si>
    <t>Total biaya per ha Nursery</t>
  </si>
  <si>
    <t>Biaya / pokok</t>
  </si>
  <si>
    <t>A. Peralatan</t>
  </si>
  <si>
    <t>B. Bahan-bahan</t>
  </si>
  <si>
    <t>Jumlah B</t>
  </si>
  <si>
    <t>C. Pupuk</t>
  </si>
  <si>
    <t>PERHITUNGAN BIAYA NURSERY</t>
  </si>
  <si>
    <t>Biaya Pre Nursery</t>
  </si>
  <si>
    <t>Biaya Main Nursery</t>
  </si>
  <si>
    <t>Total Biaya Nursery</t>
  </si>
  <si>
    <t>Jumlah pokok masuk ke Main Nursery</t>
  </si>
  <si>
    <t>Jumlah tanaman</t>
  </si>
  <si>
    <t>Jumlah biaya per pokok</t>
  </si>
  <si>
    <t>Harga tanaman per ha =</t>
  </si>
  <si>
    <t>Hm</t>
  </si>
  <si>
    <t>Set</t>
  </si>
  <si>
    <t>Roll</t>
  </si>
  <si>
    <t>Btr</t>
  </si>
  <si>
    <t>Hk</t>
  </si>
  <si>
    <t>Rumah Jaga (Unit)</t>
  </si>
  <si>
    <t>Buruh (Hk)</t>
  </si>
  <si>
    <t>Jumlah gagal/rusak/mati,dll (Seleksi)</t>
  </si>
  <si>
    <t>Imas</t>
  </si>
  <si>
    <t>Tumbang</t>
  </si>
  <si>
    <t>Spraying Gulma / lalang</t>
  </si>
  <si>
    <t>Bahan</t>
  </si>
  <si>
    <t>Glyphosat</t>
  </si>
  <si>
    <t>Metil M.Sulfuron</t>
  </si>
  <si>
    <t>Cincang Rumpuk</t>
  </si>
  <si>
    <t>Spare part sprayer (25%)</t>
  </si>
  <si>
    <t>Angkutan</t>
  </si>
  <si>
    <t>Survey</t>
  </si>
  <si>
    <t>Blocking Areal</t>
  </si>
  <si>
    <t>NPK 12.12.17.2</t>
  </si>
  <si>
    <t xml:space="preserve">Angkutan </t>
  </si>
  <si>
    <t>Ember</t>
  </si>
  <si>
    <t>Spot Spraying Gulma / lalang</t>
  </si>
  <si>
    <t>Pancang / ajir</t>
  </si>
  <si>
    <t>Pkk</t>
  </si>
  <si>
    <t>Mengecer bibit</t>
  </si>
  <si>
    <t>MOP</t>
  </si>
  <si>
    <t>Borate</t>
  </si>
  <si>
    <t>Pupuk / Pestisida</t>
  </si>
  <si>
    <t>Air / pestisida</t>
  </si>
  <si>
    <t>Rodentisida</t>
  </si>
  <si>
    <t>Parakuat</t>
  </si>
  <si>
    <t>Teras / tapak kuda</t>
  </si>
  <si>
    <t>Jembatan Permanen</t>
  </si>
  <si>
    <t>Jembatan Semi Permanen / Gorong-gorong</t>
  </si>
  <si>
    <t>Pada Tanah Mineral</t>
  </si>
  <si>
    <t>Pembuatan Jalan Produksi (10 Mtr / Ha)</t>
  </si>
  <si>
    <t>Pembuatan Jalan Koleksi (33 Mtr / Ha )</t>
  </si>
  <si>
    <t>Peningkatan Jalan Produksi (10 Mtr / Ha)</t>
  </si>
  <si>
    <t>Peningkatan Jalan Koleksi (33 Mtr / Ha)</t>
  </si>
  <si>
    <t xml:space="preserve">Pembuatan Drainase &amp; Jembatan </t>
  </si>
  <si>
    <t>Sensus Tanaman</t>
  </si>
  <si>
    <t>Sensus Produksi</t>
  </si>
  <si>
    <t>Buat Jalan Pikul</t>
  </si>
  <si>
    <t>Titi Panen</t>
  </si>
  <si>
    <t>TPH</t>
  </si>
  <si>
    <t>Pemasangan Titi Panen</t>
  </si>
  <si>
    <t>Paku Ulin</t>
  </si>
  <si>
    <t xml:space="preserve">Gergaji Rantai </t>
  </si>
  <si>
    <t>Gergaji Rantai</t>
  </si>
  <si>
    <t>M2</t>
  </si>
  <si>
    <t>Persiapan Lahan</t>
  </si>
  <si>
    <t>No</t>
  </si>
  <si>
    <t>Uraian</t>
  </si>
  <si>
    <t>I</t>
  </si>
  <si>
    <t>Nursery</t>
  </si>
  <si>
    <t>II</t>
  </si>
  <si>
    <t>Pemeliharaan TBM 1</t>
  </si>
  <si>
    <t>Pemeliharaan TBM 2</t>
  </si>
  <si>
    <t>Pemeliharaan TBM 3</t>
  </si>
  <si>
    <t>Luas 2.500 Ha</t>
  </si>
  <si>
    <t>Luas : 2.500 Ha</t>
  </si>
  <si>
    <t>TBM 2</t>
  </si>
  <si>
    <t>TBM 3</t>
  </si>
  <si>
    <t>TOTAL A + B + C + D + E + F</t>
  </si>
  <si>
    <t xml:space="preserve">TOTAL A + B </t>
  </si>
  <si>
    <t>26m / hm</t>
  </si>
  <si>
    <t>33m/hm</t>
  </si>
  <si>
    <t>45m/hm</t>
  </si>
  <si>
    <t>3,2 hm / ha</t>
  </si>
  <si>
    <t xml:space="preserve">Perkiraan Biaya </t>
  </si>
  <si>
    <t>JK</t>
  </si>
  <si>
    <t>No.</t>
  </si>
  <si>
    <t>Item</t>
  </si>
  <si>
    <t>Rencana</t>
  </si>
  <si>
    <t>Rotasi</t>
  </si>
  <si>
    <t>Jumlah Tahun I</t>
  </si>
  <si>
    <t>Jumlah Tahun II</t>
  </si>
  <si>
    <t>Jumlah Tahun III</t>
  </si>
  <si>
    <t>Jumlah S/d Tahun III</t>
  </si>
  <si>
    <t>Jumlah Tahun IV</t>
  </si>
  <si>
    <t>Jumlah S/d Tahun IV</t>
  </si>
  <si>
    <t>Jumlah Tahun V</t>
  </si>
  <si>
    <t>Jumlah S/d Tahun V</t>
  </si>
  <si>
    <t>Volume</t>
  </si>
  <si>
    <t>Biaya</t>
  </si>
  <si>
    <t>(Periode)</t>
  </si>
  <si>
    <t>(Rp/Ha/Rot)</t>
  </si>
  <si>
    <t>Fisik</t>
  </si>
  <si>
    <t>( Ha )</t>
  </si>
  <si>
    <t>( Rp )</t>
  </si>
  <si>
    <t>( Rp / Ha )</t>
  </si>
  <si>
    <t>A.</t>
  </si>
  <si>
    <t>TANAMAN &amp; INFRASTRUKTUR KEBUN</t>
  </si>
  <si>
    <t>TANAMAN</t>
  </si>
  <si>
    <t>Pembukaan Lahan (Land Clearing)</t>
  </si>
  <si>
    <t>Total  Pembukaan Lahan</t>
  </si>
  <si>
    <t>Harga Satuan Land Clearing</t>
  </si>
  <si>
    <t>a. Nursery</t>
  </si>
  <si>
    <t xml:space="preserve">      Pre Nursery</t>
  </si>
  <si>
    <t xml:space="preserve">      Main Nursery</t>
  </si>
  <si>
    <t>Sub Total Pembibitan</t>
  </si>
  <si>
    <t xml:space="preserve">      Penanaman</t>
  </si>
  <si>
    <t xml:space="preserve">      Pemeliharaan</t>
  </si>
  <si>
    <t>Sub Total Tanam LCC</t>
  </si>
  <si>
    <t>c. Tanam Kelapa Sawit</t>
  </si>
  <si>
    <t>Total Persiapan Lahan</t>
  </si>
  <si>
    <t>Pemeliharaan TBM-1</t>
  </si>
  <si>
    <t xml:space="preserve">      Pembersihan Piringan/Gawangan</t>
  </si>
  <si>
    <t xml:space="preserve">      Pemupukan</t>
  </si>
  <si>
    <t xml:space="preserve">      Pemberantasan Hama Penyakit</t>
  </si>
  <si>
    <t>Pemeliharaan TBM-2</t>
  </si>
  <si>
    <t>Total TBM-2</t>
  </si>
  <si>
    <t>Pemeliharaan TBM-3</t>
  </si>
  <si>
    <t>Total TBM-3</t>
  </si>
  <si>
    <t>TOTAL TANAMAN</t>
  </si>
  <si>
    <t>INFRASTRUKTUR KEBUN</t>
  </si>
  <si>
    <t>Drainase</t>
  </si>
  <si>
    <t xml:space="preserve">      Pembuatan Drainase dan Jembatan</t>
  </si>
  <si>
    <t xml:space="preserve">      Pemeliharaan Drainase dan Jembatan</t>
  </si>
  <si>
    <t>Total Drainase</t>
  </si>
  <si>
    <t>Jalan</t>
  </si>
  <si>
    <t xml:space="preserve">      Jalan Produksi</t>
  </si>
  <si>
    <t xml:space="preserve">      Jalan Koleksi</t>
  </si>
  <si>
    <t>Sub Total Pembuatan Jalan</t>
  </si>
  <si>
    <t>Sub Total Peningkatan Jalan</t>
  </si>
  <si>
    <t>Total Jalan</t>
  </si>
  <si>
    <t>TOTAL INFRASTRUKTUR KEBUN</t>
  </si>
  <si>
    <t>TOTAL TANAMAN &amp; INFRASTRUKTUR KEBUN</t>
  </si>
  <si>
    <t>B.</t>
  </si>
  <si>
    <t>C.</t>
  </si>
  <si>
    <t xml:space="preserve">Biaya per hektar lapangan </t>
  </si>
  <si>
    <t>Pembuatan Jalan Produksi</t>
  </si>
  <si>
    <t>Pembuatan Jalan Koleksi</t>
  </si>
  <si>
    <t>Peningkatan / Pemeliharaan Jalan Produksi</t>
  </si>
  <si>
    <t>Peningkatan / Pemeliharaan Jalan Koleksi</t>
  </si>
  <si>
    <t>Pemeliharaan Drainase &amp; Jembatan</t>
  </si>
  <si>
    <t>PRA OPERASIONAL</t>
  </si>
  <si>
    <t xml:space="preserve">GRAND TOTAL BIAYA </t>
  </si>
  <si>
    <t>Peningkatan Jalan</t>
  </si>
  <si>
    <t>Pembuatan Jalan</t>
  </si>
  <si>
    <t>TOTAL BIAYA PRA OPERASIONAL</t>
  </si>
  <si>
    <t>LUAS :</t>
  </si>
  <si>
    <t>Investasi Kebun</t>
  </si>
  <si>
    <t>Tanaman</t>
  </si>
  <si>
    <t>Infrastruktur</t>
  </si>
  <si>
    <t>Jumlah Investasi Kebun</t>
  </si>
  <si>
    <t>III</t>
  </si>
  <si>
    <t>Bunga Masa Pembangunan</t>
  </si>
  <si>
    <t xml:space="preserve">          TOTAL INVESTASI</t>
  </si>
  <si>
    <t>Pembukaan Lahan</t>
  </si>
  <si>
    <t>Penanaman LCC</t>
  </si>
  <si>
    <t>Penanaman Kelapa Sawit (TBM-0)</t>
  </si>
  <si>
    <t>Non Tanaman (Infrastruktur)</t>
  </si>
  <si>
    <t>II.1</t>
  </si>
  <si>
    <t>Pembuatan Infrastruktur</t>
  </si>
  <si>
    <t xml:space="preserve">          Jumlah Biaya Pembuatan Infrastruktur</t>
  </si>
  <si>
    <t>II.2</t>
  </si>
  <si>
    <t>Peningkatan Infrastruktur</t>
  </si>
  <si>
    <t xml:space="preserve">          Jumlah Biaya Peningkatan Infrastruktur</t>
  </si>
  <si>
    <t>Total Biaya Infrastruktur</t>
  </si>
  <si>
    <t>Total Biaya Tanaman</t>
  </si>
  <si>
    <t>Biaya ( Rp / Ha )</t>
  </si>
  <si>
    <t>BKB</t>
  </si>
  <si>
    <t>Konsultan</t>
  </si>
  <si>
    <t>TOTAL INVESTASI KEBUN</t>
  </si>
  <si>
    <t>RENCANA KERJA PROYEK</t>
  </si>
  <si>
    <t>Pra Operasional</t>
  </si>
  <si>
    <t>REKAPITULASI BIAYA INVESTASI</t>
  </si>
  <si>
    <t>Selisih</t>
  </si>
  <si>
    <t>Manajemen Fee ( 5 % )</t>
  </si>
  <si>
    <t>Include</t>
  </si>
  <si>
    <t>Biaya Investasi Kebun(di luar IDC)</t>
  </si>
  <si>
    <t xml:space="preserve">   Investasi Kebun (di luar IDC)</t>
  </si>
  <si>
    <t>Cangkul, Parang, dsb</t>
  </si>
  <si>
    <t>Studi Kelayakan</t>
  </si>
  <si>
    <t xml:space="preserve">RENCANA KERJA PROYEK ( RKP ) </t>
  </si>
  <si>
    <t>Sertifikasi Tanah</t>
  </si>
  <si>
    <t>LAMPIRAN</t>
  </si>
  <si>
    <t>PERHITUNGAN</t>
  </si>
  <si>
    <t>Dolomite</t>
  </si>
  <si>
    <t>Buldozer</t>
  </si>
  <si>
    <t>Farm Tractor</t>
  </si>
  <si>
    <t>Polybag (PN)</t>
  </si>
  <si>
    <t>Polybag (MN)</t>
  </si>
  <si>
    <t>Daftar Harga Satuan</t>
  </si>
  <si>
    <t>Gulung</t>
  </si>
  <si>
    <t xml:space="preserve">Tiang Pagar - ulin </t>
  </si>
  <si>
    <t xml:space="preserve">Kawat Duri </t>
  </si>
  <si>
    <t xml:space="preserve">Paku </t>
  </si>
  <si>
    <t xml:space="preserve">Rumah Jaga </t>
  </si>
  <si>
    <t>Kecambah (Socfindo)</t>
  </si>
  <si>
    <t>Saringan / Ayak</t>
  </si>
  <si>
    <t>SKMHT</t>
  </si>
  <si>
    <t xml:space="preserve">Biaya Notaris </t>
  </si>
  <si>
    <t>Biaya Perjanjian</t>
  </si>
  <si>
    <t>Pra Survey</t>
  </si>
  <si>
    <t>Konsultan(*)</t>
  </si>
  <si>
    <t>Konsultan (*) : Revisi pertama yang dilakukan oleh Konsultan.</t>
  </si>
  <si>
    <t>FFD</t>
  </si>
  <si>
    <t>jb</t>
  </si>
  <si>
    <t>bb</t>
  </si>
  <si>
    <t>ttl</t>
  </si>
  <si>
    <t>rencana</t>
  </si>
  <si>
    <t xml:space="preserve">  </t>
  </si>
  <si>
    <t>Afdeling</t>
  </si>
  <si>
    <t>Blok</t>
  </si>
  <si>
    <t>Tahun Tanam</t>
  </si>
  <si>
    <t>Luas (Ha)</t>
  </si>
  <si>
    <t>Jumlah Pokok</t>
  </si>
  <si>
    <t>Pokok Per Ha</t>
  </si>
  <si>
    <t>DATA LUASAN PER BLOK</t>
  </si>
  <si>
    <t>PT. KUMAI SENTOSA</t>
  </si>
  <si>
    <t>143 pokok/hektar</t>
  </si>
  <si>
    <t>( 1 ha = 143 pokok)</t>
  </si>
  <si>
    <t>X 143</t>
  </si>
  <si>
    <t>Pembukaan Lahan Rawa</t>
  </si>
  <si>
    <t>Mekanis</t>
  </si>
  <si>
    <t>SITE KUMAI</t>
  </si>
  <si>
    <t xml:space="preserve">      Mekanis </t>
  </si>
  <si>
    <t>- Pembuatan Jembatan Permanen (3-4 Mtr)</t>
  </si>
  <si>
    <t>- Pintu Air</t>
  </si>
  <si>
    <t>- Titi Panen Beton</t>
  </si>
  <si>
    <t>Unit Cost</t>
  </si>
  <si>
    <t>Qty</t>
  </si>
  <si>
    <t>(Rp/Satuan)</t>
  </si>
  <si>
    <t>Januari</t>
  </si>
  <si>
    <t>Pebruari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</si>
  <si>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</si>
  <si>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</si>
  <si>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</si>
  <si>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</si>
  <si>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</si>
  <si>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</si>
  <si>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</si>
  <si>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</si>
  <si>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</si>
  <si>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</si>
  <si>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Rp</t>
  </si>
  <si>
    <t>PEMBUKAAN LAHAN</t>
  </si>
  <si>
    <t>- Blok</t>
  </si>
  <si>
    <t>Ha</t>
  </si>
  <si>
    <t>- Perun Mekanis</t>
  </si>
  <si>
    <t>- Pemberantasan Lalang dan Gulma Lainnya</t>
  </si>
  <si>
    <t>- Pemadatan Tanah</t>
  </si>
  <si>
    <t>M</t>
  </si>
  <si>
    <t>Total Pembukaan Lahan</t>
  </si>
  <si>
    <t>PEMBUATAN SARANA DAN PRASARANA</t>
  </si>
  <si>
    <t>- Pembuatan Jalan Produksi</t>
  </si>
  <si>
    <t>- Pembuatan Jalan Koleksi</t>
  </si>
  <si>
    <t>Total Pembuatan Sarana dan Prasarana</t>
  </si>
  <si>
    <t>TANAM DAN PEMELIHARAAN AWAL</t>
  </si>
  <si>
    <t>- Tanam Kacangan</t>
  </si>
  <si>
    <t>- Tanam Kelapa Sawit</t>
  </si>
  <si>
    <t>- Pemeliharaan</t>
  </si>
  <si>
    <t>- Pemupukan Kelapa Sawit</t>
  </si>
  <si>
    <t>- Pemupukan Kacangan</t>
  </si>
  <si>
    <t>- Pengawasan dan Administrasi</t>
  </si>
  <si>
    <t>Total Tanam dan Pemeliharaan Awal</t>
  </si>
  <si>
    <t>Grand Total Tanam Baru</t>
  </si>
  <si>
    <t>Tahun ke</t>
  </si>
  <si>
    <t>Luas</t>
  </si>
  <si>
    <t>(Rp/Ha)</t>
  </si>
  <si>
    <t>(Ha)</t>
  </si>
  <si>
    <t>INVESTASI TANAMAN</t>
  </si>
  <si>
    <t>- Luas Kotor</t>
  </si>
  <si>
    <t>- Luas Efektif</t>
  </si>
  <si>
    <t>Inflasi</t>
  </si>
  <si>
    <t>LC</t>
  </si>
  <si>
    <t>- Survey &amp; Blocking Area</t>
  </si>
  <si>
    <t>LCC</t>
  </si>
  <si>
    <t>Tanam &amp; TBM-1</t>
  </si>
  <si>
    <t>TBM-2</t>
  </si>
  <si>
    <t>TBM-3</t>
  </si>
  <si>
    <t>- Pembuatan Jalan</t>
  </si>
  <si>
    <t>- Pembuatan Parit</t>
  </si>
  <si>
    <t>- Pembuatan Parit Tersier</t>
  </si>
  <si>
    <t>- Pembuatan Jembatan</t>
  </si>
  <si>
    <t>Total Investasi Tanaman</t>
  </si>
  <si>
    <t>INVESTASI NON TANAMAN</t>
  </si>
  <si>
    <t>Investasi Rumah</t>
  </si>
  <si>
    <t>1. Rumah Karyawan</t>
  </si>
  <si>
    <t>- General Manager</t>
  </si>
  <si>
    <t>- Manajer Estate</t>
  </si>
  <si>
    <t>- Asisten Kepala</t>
  </si>
  <si>
    <t>- KTU</t>
  </si>
  <si>
    <t>- Asisten Kebun / Kasi</t>
  </si>
  <si>
    <t>- Kepala Bengkel</t>
  </si>
  <si>
    <t>- Rumah G10SP</t>
  </si>
  <si>
    <t>2. Bangunan Perusahaan</t>
  </si>
  <si>
    <t>- Kantor Kebun</t>
  </si>
  <si>
    <t>- Mess Tamu</t>
  </si>
  <si>
    <t>- Gudang Sentral</t>
  </si>
  <si>
    <t xml:space="preserve">- Kantor Rayon </t>
  </si>
  <si>
    <t>- Masjid</t>
  </si>
  <si>
    <t>- Poliklinik</t>
  </si>
  <si>
    <t>- Rumah Penitipan anak</t>
  </si>
  <si>
    <t>- Tempat pertemuan</t>
  </si>
  <si>
    <t>- Bengkel</t>
  </si>
  <si>
    <t>- Pos Jaga</t>
  </si>
  <si>
    <t>- Rumah genset</t>
  </si>
  <si>
    <t>- Koperasi</t>
  </si>
  <si>
    <t>- Dermaga</t>
  </si>
  <si>
    <t>Investasi Mesin dan Peralatan</t>
  </si>
  <si>
    <t>1. Mesin dan Peralatan</t>
  </si>
  <si>
    <t>- Genset 60 KVA</t>
  </si>
  <si>
    <t>- Alat Perbengkelan</t>
  </si>
  <si>
    <t>- Water Pump</t>
  </si>
  <si>
    <t>2. Alat Berat</t>
  </si>
  <si>
    <t>- Excavator</t>
  </si>
  <si>
    <t>- Grader</t>
  </si>
  <si>
    <t>- Buldozer</t>
  </si>
  <si>
    <t>- Traktor</t>
  </si>
  <si>
    <t>- Compactor</t>
  </si>
  <si>
    <t>- TLB</t>
  </si>
  <si>
    <t>3. Kendaraan Bermotor</t>
  </si>
  <si>
    <t>- Jeep / GM</t>
  </si>
  <si>
    <t>- Jeep / Manager</t>
  </si>
  <si>
    <t>- Minibus / Bus Sekolah</t>
  </si>
  <si>
    <t>- Truk</t>
  </si>
  <si>
    <t>- Sepeda Motor</t>
  </si>
  <si>
    <t>- Mobil Askep</t>
  </si>
  <si>
    <t>- Mobil Pool</t>
  </si>
  <si>
    <t>- Speedboat + engine 2 x 60 HP</t>
  </si>
  <si>
    <t>- Kelotok + engine</t>
  </si>
  <si>
    <t>Investasi Perabot dan Peralatan</t>
  </si>
  <si>
    <t>1. FFOE Perusahaan</t>
  </si>
  <si>
    <t>- Komputer</t>
  </si>
  <si>
    <t>- Meja Kerja Set</t>
  </si>
  <si>
    <t>- Sarana Komunikasi RIC</t>
  </si>
  <si>
    <t>- Sarana Komunikasi HT</t>
  </si>
  <si>
    <t>- Perabot Kantor lainnya</t>
  </si>
  <si>
    <t>2. FFOE Perumahan</t>
  </si>
  <si>
    <t>- G10SP</t>
  </si>
  <si>
    <t>- Mess tamu</t>
  </si>
  <si>
    <t>Investasi Pabrik</t>
  </si>
  <si>
    <t>Tapak Pabrik</t>
  </si>
  <si>
    <t>Total Investasi Non Tanaman</t>
  </si>
  <si>
    <t>Total Investasi</t>
  </si>
  <si>
    <t>Tanam/hektar Kotor</t>
  </si>
  <si>
    <t>Tanam/hektar Bersih</t>
  </si>
  <si>
    <t>Rumah Karyawan</t>
  </si>
  <si>
    <t>Bangunan Perusahaan</t>
  </si>
  <si>
    <t>Mesin dan Peralatan</t>
  </si>
  <si>
    <t>Alat Berat</t>
  </si>
  <si>
    <t>Kendaraan Bermotor</t>
  </si>
  <si>
    <t>FFOE Perusahaan</t>
  </si>
  <si>
    <t>FFOE Perumahan</t>
  </si>
  <si>
    <t>NON TANAMAN</t>
  </si>
  <si>
    <t>Kapital Pabrik</t>
  </si>
  <si>
    <t>D.</t>
  </si>
  <si>
    <t>TOTAL BIAYA NON TANAMAN</t>
  </si>
  <si>
    <t>TOTAL A + B + C</t>
  </si>
  <si>
    <t>KS</t>
  </si>
  <si>
    <t>Rp/ Ha</t>
  </si>
  <si>
    <t>Non Tanaman</t>
  </si>
  <si>
    <t>RKP</t>
  </si>
  <si>
    <t>Jumlah S/d Tahun II</t>
  </si>
  <si>
    <t>CEK</t>
  </si>
  <si>
    <t>CRF</t>
  </si>
  <si>
    <t>COOPER ZINC</t>
  </si>
  <si>
    <t>LCC MB</t>
  </si>
  <si>
    <t>Jumlah Tahun VI</t>
  </si>
  <si>
    <t>Jumlah S/d Tahun VI</t>
  </si>
  <si>
    <t>Dolomit</t>
  </si>
  <si>
    <t>Pokok</t>
  </si>
  <si>
    <t>Material (Bibit)</t>
  </si>
  <si>
    <t>Lubang Tanam Mekanis</t>
  </si>
  <si>
    <t>Lbg</t>
  </si>
  <si>
    <t>Jumlah Tahun VII</t>
  </si>
  <si>
    <t>Jumlah S/d Tahun VII</t>
  </si>
  <si>
    <t>NPK 17-8-19+1,5 TE ( Palmo )</t>
  </si>
  <si>
    <t>NPK 15-15-15-1-3+TE ( Sawitree )</t>
  </si>
  <si>
    <t>Sub Total</t>
  </si>
  <si>
    <t>Keterangan :</t>
  </si>
  <si>
    <t>Rekap Non Tanaman</t>
  </si>
  <si>
    <t>Plasma</t>
  </si>
  <si>
    <t>Proyek 4 Tahun</t>
  </si>
  <si>
    <t>Menara Pantau</t>
  </si>
  <si>
    <t>- Pembuatan Parit 10x5x3.5</t>
  </si>
  <si>
    <t>- Pembuatan Parit 3x1.5x2</t>
  </si>
  <si>
    <t>- Pembuatan Parit 1x1x1</t>
  </si>
  <si>
    <t>Catur Wulan 1</t>
  </si>
  <si>
    <t>Catur Wulan 2</t>
  </si>
  <si>
    <t>Catur Wulan 3</t>
  </si>
  <si>
    <t>Perbandingan Cost / Ha</t>
  </si>
  <si>
    <t>Mitra</t>
  </si>
  <si>
    <t>- Pintu Air / Overflow</t>
  </si>
  <si>
    <t>Tulis Identitas</t>
  </si>
  <si>
    <t>Seleksi + Sensus</t>
  </si>
  <si>
    <t>Pemberian Mulsa</t>
  </si>
  <si>
    <t>Buang kecambah mati &amp; abnormal</t>
  </si>
  <si>
    <t>Penanaman&amp;ecer Kecambah</t>
  </si>
  <si>
    <t>Alokasi Sarana dan Prasarana</t>
  </si>
  <si>
    <t>Angkutan Top soil</t>
  </si>
  <si>
    <t>Rit</t>
  </si>
  <si>
    <t>Angkutan topsoil</t>
  </si>
  <si>
    <t>Cat</t>
  </si>
  <si>
    <t>Anak Pancang</t>
  </si>
  <si>
    <t>Buah</t>
  </si>
  <si>
    <t>Unit Askep</t>
  </si>
  <si>
    <t>Unit Manager</t>
  </si>
  <si>
    <t>Angkutan Topsoil</t>
  </si>
  <si>
    <t>Angkutan Material/Krywn</t>
  </si>
  <si>
    <t>Angkutan Pupuk</t>
  </si>
  <si>
    <t>Ton</t>
  </si>
  <si>
    <t>M3</t>
  </si>
  <si>
    <t>Kerani</t>
  </si>
  <si>
    <t>Waker</t>
  </si>
  <si>
    <t xml:space="preserve">Kerani </t>
  </si>
  <si>
    <t>Instalasi Air</t>
  </si>
  <si>
    <t>Campur Tanah dengan Pupuk</t>
  </si>
  <si>
    <t>Susun Polybag pada barisan</t>
  </si>
  <si>
    <t>Konsolidasi Tanah Polybag</t>
  </si>
  <si>
    <t>Langsir/Susun Bibit</t>
  </si>
  <si>
    <t>Pembuatan Lubang Tanam Polybag</t>
  </si>
  <si>
    <t>Pengumpulan baby Polybag</t>
  </si>
  <si>
    <t>Tulis Identitas Bibit</t>
  </si>
  <si>
    <t>Sensus Bibit</t>
  </si>
  <si>
    <t>- PHPT Insek</t>
  </si>
  <si>
    <t>- PHPT Fungi</t>
  </si>
  <si>
    <t>- PHPT Tikus</t>
  </si>
  <si>
    <t>- NPK 15-15-6-4+TE</t>
  </si>
  <si>
    <t>- NPK12-12-17-2+TE</t>
  </si>
  <si>
    <t>- Dolomite</t>
  </si>
  <si>
    <t>- Mekanis</t>
  </si>
  <si>
    <t>- Manial</t>
  </si>
  <si>
    <t>- Pemeliharaan Instalasi Penyiraman</t>
  </si>
  <si>
    <t>Merumput (weeding) diluar Polybag</t>
  </si>
  <si>
    <t>Merumput (weeding) di Polybag</t>
  </si>
  <si>
    <t>Seleksi Bibit</t>
  </si>
  <si>
    <t>Pemeliharaan jalan</t>
  </si>
  <si>
    <t>Pemeliharaan parit</t>
  </si>
  <si>
    <t>Putar pangkas &amp; ikat bibit</t>
  </si>
  <si>
    <t>Pengisian Pelindung bibt</t>
  </si>
  <si>
    <t>TUS 1</t>
  </si>
  <si>
    <t>HK</t>
  </si>
  <si>
    <t>-Pembuatan Parit Primer (6x3x3) (Tanggul Keliling)</t>
  </si>
  <si>
    <t>- Pembuatan Parit Tersier (1x1x1) 1 : 4</t>
  </si>
  <si>
    <t>-Pembuatan Parit Primer (6x3x3) (Outlet)</t>
  </si>
  <si>
    <t>-Pembuatan Parit Primer (3x3x3) (Main Drain)</t>
  </si>
  <si>
    <t>- Pembuatan Parit Sekunder (2x2x1.5) (Collection Drain)</t>
  </si>
  <si>
    <t>satuan ha warna sheet putih</t>
  </si>
  <si>
    <t>satuan m atau unit sheet kuning</t>
  </si>
  <si>
    <t>NPK 15-15-6-4+ TE</t>
  </si>
  <si>
    <t xml:space="preserve">NPK 12-12-17-2+TE </t>
  </si>
  <si>
    <t>Pancang Rumpuk</t>
  </si>
  <si>
    <t>Until Pupuk</t>
  </si>
  <si>
    <t>- Pembuatan Parit 6x3x3 (Outlet)</t>
  </si>
  <si>
    <t>- Pembuatan Parit 6x3x3 (Tanggul)</t>
  </si>
  <si>
    <t>- Pembuatan Parit 3x3x2 (Main drain)</t>
  </si>
  <si>
    <t>- Pembuatan Parit 2x2x1.5 (Collection Drain)</t>
  </si>
  <si>
    <t>D. Pestisida</t>
  </si>
  <si>
    <t>E. Angkutan ( Km )</t>
  </si>
  <si>
    <t>F. Pekerja</t>
  </si>
  <si>
    <t xml:space="preserve">G. Lanngsir Bibit ke Lapangan </t>
  </si>
  <si>
    <t>Total A + B + C + D + E + F + G</t>
  </si>
  <si>
    <t>Total A + B +C+ D + E + F</t>
  </si>
  <si>
    <t>- Peningkatan Jalan Produksi</t>
  </si>
  <si>
    <t>Tanah</t>
  </si>
  <si>
    <t>Greader</t>
  </si>
  <si>
    <t>HM</t>
  </si>
  <si>
    <t>Truck</t>
  </si>
  <si>
    <t>Sprayer (Inter)</t>
  </si>
  <si>
    <t>Pemeliharaan Gawangan</t>
  </si>
  <si>
    <t>Pemberantasan Lalang</t>
  </si>
  <si>
    <t>Pemeliharaan Drainase</t>
  </si>
  <si>
    <t>+</t>
  </si>
  <si>
    <t>MANAJEMEN FEE (5%)</t>
  </si>
  <si>
    <t>PHPT</t>
  </si>
  <si>
    <t>Aplikasi Bahan Organik</t>
  </si>
  <si>
    <t>-</t>
  </si>
  <si>
    <t>b. Aplikasi Bahan Organik</t>
  </si>
  <si>
    <t>Buat Piringan</t>
  </si>
  <si>
    <t>Aplikasi Janjang Kosong</t>
  </si>
  <si>
    <t>Pemeliharaan Piringan Man</t>
  </si>
  <si>
    <t>Aplikasi Jangkos</t>
  </si>
  <si>
    <t>MA 2</t>
  </si>
  <si>
    <t>MA 1</t>
  </si>
  <si>
    <t>MA 3</t>
  </si>
  <si>
    <t>MA 4</t>
  </si>
  <si>
    <t>M 1</t>
  </si>
  <si>
    <t>M 2</t>
  </si>
  <si>
    <t>M 3</t>
  </si>
  <si>
    <t>M 4</t>
  </si>
  <si>
    <t>M 5</t>
  </si>
  <si>
    <t>M 6</t>
  </si>
  <si>
    <t>M 7</t>
  </si>
  <si>
    <t>M 11</t>
  </si>
  <si>
    <t>M 12</t>
  </si>
  <si>
    <t>- Genset 45 KVA</t>
  </si>
  <si>
    <t>- Gudang Afdeling</t>
  </si>
  <si>
    <t>TAHUN I ( 2026)</t>
  </si>
  <si>
    <t>TAHUN II ( 2027 )</t>
  </si>
  <si>
    <t>TAHUN IV ( 2029 )</t>
  </si>
  <si>
    <t>TAHUN V ( 2030 )</t>
  </si>
  <si>
    <t>TAHUN VI ( 2031)</t>
  </si>
  <si>
    <t>TAHUN VII ( 2032 )</t>
  </si>
  <si>
    <t>TAHUN III ( 2028 )</t>
  </si>
  <si>
    <t>Harga 2026</t>
  </si>
  <si>
    <t>Tahun Tanam 2026/2027/2028/2029</t>
  </si>
  <si>
    <t>Kebun Teluk Pulai</t>
  </si>
  <si>
    <t>A. Erist Nuryadin</t>
  </si>
  <si>
    <t>Hairul Amri</t>
  </si>
  <si>
    <t>Diketahui</t>
  </si>
  <si>
    <t>Disetujui</t>
  </si>
  <si>
    <t>Diperiksa</t>
  </si>
  <si>
    <t>Disusun</t>
  </si>
  <si>
    <t>Alwin Berkat</t>
  </si>
  <si>
    <t>Direktur Utama</t>
  </si>
  <si>
    <t>Direktur</t>
  </si>
  <si>
    <t>Kumai, 05 Maret 2026</t>
  </si>
  <si>
    <t>GM Agronomi</t>
  </si>
  <si>
    <t>Tahun 2026 - 2029</t>
  </si>
  <si>
    <t>KEBUN TELUK PULAI</t>
  </si>
  <si>
    <t>Rencana Kerja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</si>
</sst>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_);_(@_)"/>
    <numFmt numFmtId="166" formatCode="_(* #,##0.00_);_(* \(#,##0.00\);_(* &quot;-&quot;_);_(@_)"/>
    <numFmt numFmtId="167" formatCode="0.0000"/>
    <numFmt numFmtId="168" formatCode="_(* #,##0_);_(* \(#,##0\);_(* &quot;-&quot;??_);_(@_)"/>
    <numFmt numFmtId="169" formatCode="General_)"/>
    <numFmt numFmtId="170" formatCode="_(* #,##0.0_);_(* \(#,##0.0\);_(* &quot;-&quot;??_);_(@_)"/>
    <numFmt numFmtId="171" formatCode="[$-409]mmmm\-yy;@"/>
    <numFmt numFmtId="172" formatCode="0.0"/>
    <numFmt numFmtId="173" formatCode="0.00\ &quot; Ha&quot;"/>
    <numFmt numFmtId="174" formatCode="_(* #,##0.000_);_(* \(#,##0.000\);_(* &quot;-&quot;??_);_(@_)"/>
    <numFmt numFmtId="175" formatCode="&quot;Tahun&quot;\ #"/>
    <numFmt numFmtId="176" formatCode="_(* #,##0.0000_);_(* \(#,##0.0000\);_(* &quot;-&quot;_);_(@_)"/>
    <numFmt numFmtId="177" formatCode="_(* #,##0.00000000_);_(* \(#,##0.00000000\);_(* &quot;-&quot;_);_(@_)"/>
    <numFmt numFmtId="178" formatCode="_(* #,##0.0_);_(* \(#,##0.0\);_(* &quot;-&quot;?_);_(@_)"/>
    <numFmt numFmtId="179" formatCode="_(* #,##0.00000_);_(* \(#,##0.00000\);_(* &quot;-&quot;??_);_(@_)"/>
    <numFmt numFmtId="180" formatCode="_(* #,##0.000000_);_(* \(#,##0.000000\);_(* &quot;-&quot;??_);_(@_)"/>
    <numFmt numFmtId="181" formatCode="_(* #,##0.0000000_);_(* \(#,##0.0000000\);_(* &quot;-&quot;??_);_(@_)"/>
    <numFmt numFmtId="182" formatCode="_-* #,##0.0_-;\-* #,##0.0_-;_-* &quot;-&quot;_-;_-@_-"/>
  </numFmts>
  <fonts count="87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Helv"/>
    </font>
    <font>
      <sz val="12"/>
      <name val="Arial Narrow"/>
      <family val="2"/>
    </font>
    <font>
      <sz val="12"/>
      <name val="Helv"/>
    </font>
    <font>
      <sz val="10"/>
      <name val="Tms Rmn"/>
    </font>
    <font>
      <sz val="12"/>
      <name val="Tms Rmn"/>
    </font>
    <font>
      <sz val="10"/>
      <name val="Courier"/>
    </font>
    <font>
      <sz val="10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sz val="10"/>
      <color indexed="10"/>
      <name val="Book Antiqua"/>
      <family val="1"/>
    </font>
    <font>
      <b/>
      <sz val="10"/>
      <color indexed="10"/>
      <name val="Book Antiqua"/>
      <family val="1"/>
    </font>
    <font>
      <b/>
      <sz val="12"/>
      <name val="Book Antiqua"/>
      <family val="1"/>
    </font>
    <font>
      <b/>
      <i/>
      <sz val="10"/>
      <name val="Book Antiqua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color indexed="10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10"/>
      <name val="Times New Roman"/>
      <family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Arial"/>
      <family val="2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Arial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12"/>
      <name val="Century Gothic"/>
      <family val="2"/>
    </font>
    <font>
      <b/>
      <i/>
      <sz val="18"/>
      <name val="Book Antiqua"/>
      <family val="1"/>
    </font>
    <font>
      <b/>
      <i/>
      <sz val="14"/>
      <name val="Book Antiqua"/>
      <family val="1"/>
    </font>
    <font>
      <sz val="36"/>
      <name val="Book Antiqua"/>
      <family val="1"/>
    </font>
    <font>
      <b/>
      <i/>
      <sz val="36"/>
      <name val="Book Antiqua"/>
      <family val="1"/>
    </font>
    <font>
      <b/>
      <sz val="36"/>
      <name val="Book Antiqua"/>
      <family val="1"/>
    </font>
    <font>
      <i/>
      <sz val="10"/>
      <name val="Book Antiqua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theme="0"/>
      <name val="Times New Roman"/>
      <family val="1"/>
    </font>
    <font>
      <sz val="8"/>
      <color theme="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11"/>
      <color indexed="10"/>
      <name val="Arial"/>
      <family val="2"/>
    </font>
    <font>
      <sz val="14"/>
      <name val="Times New Roman"/>
      <family val="1"/>
    </font>
    <font>
      <sz val="14"/>
      <name val="Arial"/>
      <family val="2"/>
    </font>
    <font>
      <sz val="14"/>
      <color indexed="10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b/>
      <sz val="14"/>
      <color indexed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68">
    <xf numFmtId="0" fontId="0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5" borderId="0" applyNumberFormat="0" applyBorder="0" applyAlignment="0" applyProtection="0"/>
    <xf numFmtId="0" fontId="29" fillId="8" borderId="0" applyNumberFormat="0" applyBorder="0" applyAlignment="0" applyProtection="0"/>
    <xf numFmtId="0" fontId="29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9" borderId="0" applyNumberFormat="0" applyBorder="0" applyAlignment="0" applyProtection="0"/>
    <xf numFmtId="0" fontId="31" fillId="3" borderId="0" applyNumberFormat="0" applyBorder="0" applyAlignment="0" applyProtection="0"/>
    <xf numFmtId="0" fontId="32" fillId="20" borderId="1" applyNumberFormat="0" applyAlignment="0" applyProtection="0"/>
    <xf numFmtId="0" fontId="33" fillId="21" borderId="2" applyNumberFormat="0" applyAlignment="0" applyProtection="0"/>
    <xf numFmtId="43" fontId="3" fillId="0" borderId="0" applyFont="0" applyFill="0" applyBorder="0" applyAlignment="0" applyProtection="0"/>
    <xf numFmtId="169" fontId="7" fillId="0" borderId="0"/>
    <xf numFmtId="169" fontId="8" fillId="0" borderId="0"/>
    <xf numFmtId="169" fontId="8" fillId="0" borderId="0"/>
    <xf numFmtId="41" fontId="3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178" fontId="34" fillId="0" borderId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9" fontId="7" fillId="0" borderId="0"/>
    <xf numFmtId="169" fontId="8" fillId="0" borderId="0"/>
    <xf numFmtId="169" fontId="8" fillId="0" borderId="0"/>
    <xf numFmtId="0" fontId="35" fillId="0" borderId="0" applyNumberFormat="0" applyFill="0" applyBorder="0" applyAlignment="0" applyProtection="0"/>
    <xf numFmtId="0" fontId="36" fillId="4" borderId="0" applyNumberFormat="0" applyBorder="0" applyAlignment="0" applyProtection="0"/>
    <xf numFmtId="0" fontId="37" fillId="0" borderId="3" applyNumberFormat="0" applyFill="0" applyAlignment="0" applyProtection="0"/>
    <xf numFmtId="0" fontId="38" fillId="0" borderId="4" applyNumberFormat="0" applyFill="0" applyAlignment="0" applyProtection="0"/>
    <xf numFmtId="0" fontId="39" fillId="0" borderId="5" applyNumberFormat="0" applyFill="0" applyAlignment="0" applyProtection="0"/>
    <xf numFmtId="0" fontId="39" fillId="0" borderId="0" applyNumberFormat="0" applyFill="0" applyBorder="0" applyAlignment="0" applyProtection="0"/>
    <xf numFmtId="0" fontId="40" fillId="7" borderId="1" applyNumberFormat="0" applyAlignment="0" applyProtection="0"/>
    <xf numFmtId="0" fontId="41" fillId="0" borderId="6" applyNumberFormat="0" applyFill="0" applyAlignment="0" applyProtection="0"/>
    <xf numFmtId="0" fontId="42" fillId="22" borderId="0" applyNumberFormat="0" applyBorder="0" applyAlignment="0" applyProtection="0"/>
    <xf numFmtId="169" fontId="9" fillId="0" borderId="0"/>
    <xf numFmtId="169" fontId="10" fillId="0" borderId="0"/>
    <xf numFmtId="169" fontId="10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169" fontId="11" fillId="0" borderId="0"/>
    <xf numFmtId="0" fontId="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9" fillId="0" borderId="0"/>
    <xf numFmtId="0" fontId="29" fillId="0" borderId="0"/>
    <xf numFmtId="0" fontId="55" fillId="0" borderId="0"/>
    <xf numFmtId="0" fontId="29" fillId="0" borderId="0"/>
    <xf numFmtId="0" fontId="29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6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34" fillId="0" borderId="0"/>
    <xf numFmtId="0" fontId="29" fillId="0" borderId="0"/>
    <xf numFmtId="0" fontId="43" fillId="0" borderId="0"/>
    <xf numFmtId="0" fontId="3" fillId="0" borderId="0"/>
    <xf numFmtId="0" fontId="34" fillId="23" borderId="7" applyNumberFormat="0" applyFont="0" applyAlignment="0" applyProtection="0"/>
    <xf numFmtId="0" fontId="44" fillId="20" borderId="8" applyNumberFormat="0" applyAlignment="0" applyProtection="0"/>
    <xf numFmtId="9" fontId="55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9" applyNumberFormat="0" applyFill="0" applyAlignment="0" applyProtection="0"/>
    <xf numFmtId="0" fontId="12" fillId="0" borderId="0"/>
    <xf numFmtId="0" fontId="47" fillId="0" borderId="0" applyNumberFormat="0" applyFill="0" applyBorder="0" applyAlignment="0" applyProtection="0"/>
  </cellStyleXfs>
  <cellXfs count="711">
    <xf numFmtId="0" fontId="0" fillId="0" borderId="0" xfId="0"/>
    <xf numFmtId="0" fontId="4" fillId="0" borderId="10" xfId="0" applyFont="1" applyBorder="1"/>
    <xf numFmtId="0" fontId="0" fillId="0" borderId="10" xfId="0" applyBorder="1"/>
    <xf numFmtId="41" fontId="0" fillId="0" borderId="0" xfId="0" applyNumberFormat="1"/>
    <xf numFmtId="43" fontId="0" fillId="0" borderId="0" xfId="28" applyFont="1"/>
    <xf numFmtId="41" fontId="3" fillId="0" borderId="0" xfId="32"/>
    <xf numFmtId="0" fontId="5" fillId="0" borderId="0" xfId="0" applyFont="1" applyAlignment="1">
      <alignment horizontal="center"/>
    </xf>
    <xf numFmtId="0" fontId="13" fillId="0" borderId="0" xfId="0" applyFont="1"/>
    <xf numFmtId="0" fontId="14" fillId="0" borderId="10" xfId="0" applyFont="1" applyBorder="1"/>
    <xf numFmtId="0" fontId="13" fillId="0" borderId="10" xfId="0" applyFont="1" applyBorder="1"/>
    <xf numFmtId="0" fontId="14" fillId="0" borderId="10" xfId="0" applyFont="1" applyBorder="1" applyAlignment="1">
      <alignment horizontal="center"/>
    </xf>
    <xf numFmtId="0" fontId="14" fillId="0" borderId="0" xfId="0" applyFont="1"/>
    <xf numFmtId="41" fontId="13" fillId="0" borderId="0" xfId="32" applyFont="1"/>
    <xf numFmtId="0" fontId="13" fillId="0" borderId="0" xfId="0" applyFont="1" applyAlignment="1">
      <alignment horizontal="center"/>
    </xf>
    <xf numFmtId="41" fontId="15" fillId="0" borderId="0" xfId="32" applyFont="1"/>
    <xf numFmtId="165" fontId="13" fillId="0" borderId="0" xfId="32" applyNumberFormat="1" applyFont="1"/>
    <xf numFmtId="41" fontId="13" fillId="0" borderId="0" xfId="0" applyNumberFormat="1" applyFont="1"/>
    <xf numFmtId="0" fontId="13" fillId="0" borderId="10" xfId="0" applyFont="1" applyBorder="1" applyAlignment="1">
      <alignment horizontal="center"/>
    </xf>
    <xf numFmtId="41" fontId="15" fillId="0" borderId="10" xfId="32" applyFont="1" applyBorder="1"/>
    <xf numFmtId="165" fontId="13" fillId="0" borderId="10" xfId="32" applyNumberFormat="1" applyFont="1" applyBorder="1"/>
    <xf numFmtId="41" fontId="14" fillId="0" borderId="10" xfId="32" applyFont="1" applyBorder="1"/>
    <xf numFmtId="41" fontId="13" fillId="0" borderId="10" xfId="32" applyFont="1" applyBorder="1"/>
    <xf numFmtId="41" fontId="15" fillId="0" borderId="10" xfId="0" applyNumberFormat="1" applyFont="1" applyBorder="1"/>
    <xf numFmtId="165" fontId="13" fillId="0" borderId="0" xfId="32" applyNumberFormat="1" applyFont="1" applyBorder="1"/>
    <xf numFmtId="41" fontId="14" fillId="0" borderId="0" xfId="32" applyFont="1" applyBorder="1"/>
    <xf numFmtId="168" fontId="13" fillId="0" borderId="0" xfId="28" applyNumberFormat="1" applyFont="1" applyBorder="1"/>
    <xf numFmtId="41" fontId="15" fillId="0" borderId="0" xfId="32" applyFont="1" applyBorder="1"/>
    <xf numFmtId="41" fontId="16" fillId="0" borderId="0" xfId="32" applyFont="1"/>
    <xf numFmtId="41" fontId="16" fillId="0" borderId="10" xfId="32" applyFont="1" applyBorder="1"/>
    <xf numFmtId="41" fontId="14" fillId="0" borderId="10" xfId="0" applyNumberFormat="1" applyFont="1" applyBorder="1"/>
    <xf numFmtId="41" fontId="17" fillId="0" borderId="10" xfId="32" applyFont="1" applyBorder="1"/>
    <xf numFmtId="41" fontId="14" fillId="0" borderId="0" xfId="32" applyFont="1"/>
    <xf numFmtId="0" fontId="14" fillId="0" borderId="11" xfId="0" applyFont="1" applyBorder="1" applyAlignment="1">
      <alignment vertical="center"/>
    </xf>
    <xf numFmtId="41" fontId="14" fillId="0" borderId="12" xfId="32" applyFont="1" applyBorder="1" applyAlignment="1">
      <alignment vertical="center"/>
    </xf>
    <xf numFmtId="41" fontId="14" fillId="0" borderId="13" xfId="32" applyFont="1" applyBorder="1" applyAlignment="1">
      <alignment vertical="center"/>
    </xf>
    <xf numFmtId="168" fontId="13" fillId="0" borderId="0" xfId="28" applyNumberFormat="1" applyFont="1"/>
    <xf numFmtId="0" fontId="13" fillId="0" borderId="0" xfId="0" quotePrefix="1" applyFont="1"/>
    <xf numFmtId="43" fontId="13" fillId="0" borderId="0" xfId="28" applyFont="1"/>
    <xf numFmtId="168" fontId="13" fillId="0" borderId="10" xfId="28" applyNumberFormat="1" applyFont="1" applyBorder="1"/>
    <xf numFmtId="41" fontId="13" fillId="0" borderId="0" xfId="32" applyFont="1" applyBorder="1"/>
    <xf numFmtId="168" fontId="13" fillId="0" borderId="0" xfId="0" applyNumberFormat="1" applyFont="1"/>
    <xf numFmtId="41" fontId="14" fillId="0" borderId="12" xfId="32" quotePrefix="1" applyFont="1" applyBorder="1" applyAlignment="1">
      <alignment vertical="center"/>
    </xf>
    <xf numFmtId="9" fontId="14" fillId="0" borderId="10" xfId="0" applyNumberFormat="1" applyFont="1" applyBorder="1" applyAlignment="1">
      <alignment horizontal="center"/>
    </xf>
    <xf numFmtId="2" fontId="13" fillId="0" borderId="0" xfId="0" applyNumberFormat="1" applyFont="1"/>
    <xf numFmtId="0" fontId="13" fillId="0" borderId="14" xfId="0" applyFont="1" applyBorder="1"/>
    <xf numFmtId="0" fontId="14" fillId="0" borderId="14" xfId="0" applyFont="1" applyBorder="1"/>
    <xf numFmtId="41" fontId="13" fillId="0" borderId="14" xfId="32" applyFont="1" applyBorder="1"/>
    <xf numFmtId="41" fontId="14" fillId="0" borderId="14" xfId="32" applyFont="1" applyBorder="1"/>
    <xf numFmtId="167" fontId="13" fillId="0" borderId="0" xfId="0" applyNumberFormat="1" applyFont="1"/>
    <xf numFmtId="0" fontId="14" fillId="0" borderId="0" xfId="0" applyFont="1" applyAlignment="1">
      <alignment horizontal="center"/>
    </xf>
    <xf numFmtId="1" fontId="13" fillId="0" borderId="0" xfId="0" applyNumberFormat="1" applyFont="1"/>
    <xf numFmtId="168" fontId="14" fillId="0" borderId="10" xfId="28" applyNumberFormat="1" applyFont="1" applyBorder="1"/>
    <xf numFmtId="9" fontId="14" fillId="0" borderId="0" xfId="0" applyNumberFormat="1" applyFont="1" applyAlignment="1">
      <alignment horizontal="center"/>
    </xf>
    <xf numFmtId="166" fontId="13" fillId="0" borderId="0" xfId="32" applyNumberFormat="1" applyFont="1"/>
    <xf numFmtId="1" fontId="13" fillId="0" borderId="10" xfId="0" applyNumberFormat="1" applyFont="1" applyBorder="1"/>
    <xf numFmtId="0" fontId="14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/>
    <xf numFmtId="0" fontId="13" fillId="0" borderId="18" xfId="0" applyFont="1" applyBorder="1"/>
    <xf numFmtId="41" fontId="13" fillId="0" borderId="18" xfId="0" applyNumberFormat="1" applyFont="1" applyBorder="1"/>
    <xf numFmtId="0" fontId="13" fillId="0" borderId="19" xfId="0" applyFont="1" applyBorder="1"/>
    <xf numFmtId="41" fontId="13" fillId="0" borderId="19" xfId="0" applyNumberFormat="1" applyFont="1" applyBorder="1"/>
    <xf numFmtId="0" fontId="13" fillId="0" borderId="20" xfId="0" applyFont="1" applyBorder="1"/>
    <xf numFmtId="41" fontId="14" fillId="0" borderId="20" xfId="0" applyNumberFormat="1" applyFont="1" applyBorder="1"/>
    <xf numFmtId="168" fontId="13" fillId="0" borderId="18" xfId="28" applyNumberFormat="1" applyFont="1" applyBorder="1"/>
    <xf numFmtId="0" fontId="14" fillId="0" borderId="18" xfId="0" applyFont="1" applyBorder="1"/>
    <xf numFmtId="0" fontId="14" fillId="0" borderId="20" xfId="0" applyFont="1" applyBorder="1"/>
    <xf numFmtId="0" fontId="13" fillId="0" borderId="16" xfId="0" applyFont="1" applyBorder="1"/>
    <xf numFmtId="0" fontId="14" fillId="0" borderId="16" xfId="0" applyFont="1" applyBorder="1" applyAlignment="1">
      <alignment horizontal="center"/>
    </xf>
    <xf numFmtId="0" fontId="13" fillId="0" borderId="21" xfId="0" applyFont="1" applyBorder="1"/>
    <xf numFmtId="41" fontId="13" fillId="0" borderId="21" xfId="0" applyNumberFormat="1" applyFont="1" applyBorder="1"/>
    <xf numFmtId="43" fontId="13" fillId="0" borderId="0" xfId="0" applyNumberFormat="1" applyFont="1"/>
    <xf numFmtId="168" fontId="6" fillId="0" borderId="21" xfId="28" applyNumberFormat="1" applyFont="1" applyFill="1" applyBorder="1"/>
    <xf numFmtId="168" fontId="6" fillId="0" borderId="20" xfId="28" applyNumberFormat="1" applyFont="1" applyFill="1" applyBorder="1"/>
    <xf numFmtId="168" fontId="6" fillId="0" borderId="22" xfId="28" applyNumberFormat="1" applyFont="1" applyFill="1" applyBorder="1"/>
    <xf numFmtId="0" fontId="6" fillId="0" borderId="21" xfId="160" applyFont="1" applyBorder="1"/>
    <xf numFmtId="170" fontId="13" fillId="0" borderId="0" xfId="28" applyNumberFormat="1" applyFont="1"/>
    <xf numFmtId="0" fontId="14" fillId="0" borderId="0" xfId="0" applyFont="1" applyAlignment="1">
      <alignment vertical="center"/>
    </xf>
    <xf numFmtId="41" fontId="14" fillId="0" borderId="0" xfId="32" applyFont="1" applyBorder="1" applyAlignment="1">
      <alignment vertical="center"/>
    </xf>
    <xf numFmtId="0" fontId="14" fillId="0" borderId="11" xfId="0" applyFont="1" applyBorder="1"/>
    <xf numFmtId="0" fontId="13" fillId="0" borderId="12" xfId="0" applyFont="1" applyBorder="1"/>
    <xf numFmtId="168" fontId="14" fillId="0" borderId="13" xfId="0" applyNumberFormat="1" applyFont="1" applyBorder="1"/>
    <xf numFmtId="41" fontId="14" fillId="0" borderId="18" xfId="0" applyNumberFormat="1" applyFont="1" applyBorder="1"/>
    <xf numFmtId="41" fontId="14" fillId="0" borderId="0" xfId="0" applyNumberFormat="1" applyFont="1"/>
    <xf numFmtId="0" fontId="14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/>
    </xf>
    <xf numFmtId="0" fontId="14" fillId="0" borderId="21" xfId="0" applyFont="1" applyBorder="1" applyAlignment="1">
      <alignment horizontal="left" vertical="center"/>
    </xf>
    <xf numFmtId="0" fontId="14" fillId="0" borderId="23" xfId="0" applyFont="1" applyBorder="1"/>
    <xf numFmtId="41" fontId="14" fillId="0" borderId="23" xfId="0" applyNumberFormat="1" applyFont="1" applyBorder="1"/>
    <xf numFmtId="0" fontId="14" fillId="0" borderId="23" xfId="0" applyFont="1" applyBorder="1" applyAlignment="1">
      <alignment horizontal="right"/>
    </xf>
    <xf numFmtId="0" fontId="14" fillId="0" borderId="23" xfId="0" applyFont="1" applyBorder="1" applyAlignment="1">
      <alignment horizontal="center"/>
    </xf>
    <xf numFmtId="0" fontId="14" fillId="0" borderId="18" xfId="0" applyFont="1" applyBorder="1" applyAlignment="1">
      <alignment horizontal="right"/>
    </xf>
    <xf numFmtId="0" fontId="14" fillId="0" borderId="20" xfId="0" applyFont="1" applyBorder="1" applyAlignment="1">
      <alignment horizontal="center"/>
    </xf>
    <xf numFmtId="0" fontId="13" fillId="0" borderId="24" xfId="0" applyFont="1" applyBorder="1"/>
    <xf numFmtId="168" fontId="14" fillId="0" borderId="21" xfId="28" applyNumberFormat="1" applyFont="1" applyBorder="1"/>
    <xf numFmtId="0" fontId="18" fillId="0" borderId="20" xfId="0" applyFont="1" applyBorder="1"/>
    <xf numFmtId="41" fontId="18" fillId="0" borderId="20" xfId="0" applyNumberFormat="1" applyFont="1" applyBorder="1"/>
    <xf numFmtId="0" fontId="18" fillId="0" borderId="0" xfId="0" applyFont="1"/>
    <xf numFmtId="0" fontId="43" fillId="0" borderId="0" xfId="159"/>
    <xf numFmtId="0" fontId="43" fillId="0" borderId="25" xfId="159" applyBorder="1"/>
    <xf numFmtId="0" fontId="43" fillId="0" borderId="26" xfId="159" applyBorder="1"/>
    <xf numFmtId="0" fontId="43" fillId="0" borderId="27" xfId="159" applyBorder="1"/>
    <xf numFmtId="0" fontId="43" fillId="0" borderId="28" xfId="159" applyBorder="1"/>
    <xf numFmtId="0" fontId="43" fillId="0" borderId="29" xfId="159" applyBorder="1"/>
    <xf numFmtId="0" fontId="43" fillId="0" borderId="30" xfId="159" applyBorder="1"/>
    <xf numFmtId="0" fontId="43" fillId="0" borderId="31" xfId="159" applyBorder="1"/>
    <xf numFmtId="0" fontId="43" fillId="0" borderId="32" xfId="159" applyBorder="1"/>
    <xf numFmtId="0" fontId="19" fillId="0" borderId="18" xfId="0" applyFont="1" applyBorder="1"/>
    <xf numFmtId="41" fontId="19" fillId="0" borderId="18" xfId="0" applyNumberFormat="1" applyFont="1" applyBorder="1"/>
    <xf numFmtId="168" fontId="13" fillId="0" borderId="18" xfId="0" applyNumberFormat="1" applyFont="1" applyBorder="1"/>
    <xf numFmtId="168" fontId="13" fillId="0" borderId="33" xfId="28" applyNumberFormat="1" applyFont="1" applyBorder="1"/>
    <xf numFmtId="168" fontId="14" fillId="0" borderId="18" xfId="28" applyNumberFormat="1" applyFont="1" applyBorder="1"/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68" fontId="4" fillId="0" borderId="20" xfId="28" applyNumberFormat="1" applyFont="1" applyFill="1" applyBorder="1"/>
    <xf numFmtId="168" fontId="14" fillId="0" borderId="14" xfId="28" applyNumberFormat="1" applyFont="1" applyBorder="1"/>
    <xf numFmtId="0" fontId="14" fillId="0" borderId="15" xfId="0" applyFont="1" applyBorder="1"/>
    <xf numFmtId="0" fontId="13" fillId="0" borderId="15" xfId="0" applyFont="1" applyBorder="1"/>
    <xf numFmtId="0" fontId="13" fillId="0" borderId="15" xfId="0" applyFont="1" applyBorder="1" applyAlignment="1">
      <alignment horizontal="center"/>
    </xf>
    <xf numFmtId="41" fontId="13" fillId="0" borderId="15" xfId="32" applyFont="1" applyBorder="1" applyAlignment="1">
      <alignment horizontal="center"/>
    </xf>
    <xf numFmtId="0" fontId="51" fillId="0" borderId="34" xfId="0" applyFont="1" applyBorder="1"/>
    <xf numFmtId="0" fontId="51" fillId="0" borderId="35" xfId="0" applyFont="1" applyBorder="1"/>
    <xf numFmtId="0" fontId="51" fillId="0" borderId="36" xfId="0" applyFont="1" applyBorder="1"/>
    <xf numFmtId="0" fontId="51" fillId="0" borderId="37" xfId="0" applyFont="1" applyBorder="1"/>
    <xf numFmtId="0" fontId="51" fillId="0" borderId="38" xfId="0" applyFont="1" applyBorder="1"/>
    <xf numFmtId="0" fontId="53" fillId="0" borderId="0" xfId="0" applyFont="1"/>
    <xf numFmtId="0" fontId="51" fillId="0" borderId="0" xfId="0" applyFont="1"/>
    <xf numFmtId="0" fontId="51" fillId="0" borderId="39" xfId="0" applyFont="1" applyBorder="1"/>
    <xf numFmtId="0" fontId="51" fillId="0" borderId="40" xfId="0" applyFont="1" applyBorder="1"/>
    <xf numFmtId="0" fontId="51" fillId="0" borderId="41" xfId="0" applyFont="1" applyBorder="1"/>
    <xf numFmtId="0" fontId="54" fillId="0" borderId="0" xfId="159" applyFont="1"/>
    <xf numFmtId="0" fontId="54" fillId="0" borderId="29" xfId="159" applyFont="1" applyBorder="1"/>
    <xf numFmtId="41" fontId="13" fillId="0" borderId="16" xfId="0" applyNumberFormat="1" applyFont="1" applyBorder="1"/>
    <xf numFmtId="168" fontId="13" fillId="0" borderId="16" xfId="28" applyNumberFormat="1" applyFont="1" applyBorder="1"/>
    <xf numFmtId="41" fontId="14" fillId="0" borderId="18" xfId="0" applyNumberFormat="1" applyFont="1" applyBorder="1" applyAlignment="1">
      <alignment horizontal="center"/>
    </xf>
    <xf numFmtId="168" fontId="15" fillId="0" borderId="0" xfId="28" applyNumberFormat="1" applyFont="1"/>
    <xf numFmtId="1" fontId="13" fillId="0" borderId="10" xfId="32" applyNumberFormat="1" applyFont="1" applyBorder="1"/>
    <xf numFmtId="1" fontId="13" fillId="0" borderId="0" xfId="32" applyNumberFormat="1" applyFont="1"/>
    <xf numFmtId="0" fontId="14" fillId="24" borderId="33" xfId="0" applyFont="1" applyFill="1" applyBorder="1"/>
    <xf numFmtId="41" fontId="14" fillId="24" borderId="16" xfId="0" applyNumberFormat="1" applyFont="1" applyFill="1" applyBorder="1"/>
    <xf numFmtId="0" fontId="14" fillId="0" borderId="24" xfId="0" applyFont="1" applyBorder="1"/>
    <xf numFmtId="0" fontId="14" fillId="0" borderId="21" xfId="0" applyFont="1" applyBorder="1"/>
    <xf numFmtId="0" fontId="26" fillId="0" borderId="0" xfId="0" applyFont="1"/>
    <xf numFmtId="43" fontId="14" fillId="0" borderId="0" xfId="0" applyNumberFormat="1" applyFont="1"/>
    <xf numFmtId="41" fontId="14" fillId="25" borderId="18" xfId="0" applyNumberFormat="1" applyFont="1" applyFill="1" applyBorder="1"/>
    <xf numFmtId="168" fontId="0" fillId="0" borderId="0" xfId="0" applyNumberFormat="1"/>
    <xf numFmtId="0" fontId="34" fillId="0" borderId="0" xfId="157"/>
    <xf numFmtId="0" fontId="34" fillId="0" borderId="20" xfId="157" applyBorder="1"/>
    <xf numFmtId="166" fontId="55" fillId="0" borderId="0" xfId="32" applyNumberFormat="1" applyFont="1" applyAlignment="1">
      <alignment horizontal="right"/>
    </xf>
    <xf numFmtId="166" fontId="34" fillId="0" borderId="0" xfId="32" applyNumberFormat="1" applyFont="1"/>
    <xf numFmtId="166" fontId="55" fillId="0" borderId="0" xfId="32" applyNumberFormat="1" applyFont="1"/>
    <xf numFmtId="43" fontId="34" fillId="0" borderId="0" xfId="157" applyNumberFormat="1"/>
    <xf numFmtId="166" fontId="34" fillId="0" borderId="20" xfId="32" applyNumberFormat="1" applyFont="1" applyBorder="1"/>
    <xf numFmtId="0" fontId="14" fillId="0" borderId="42" xfId="0" applyFont="1" applyBorder="1" applyAlignment="1">
      <alignment horizontal="center"/>
    </xf>
    <xf numFmtId="0" fontId="28" fillId="0" borderId="0" xfId="160" applyFont="1" applyAlignment="1">
      <alignment horizontal="left"/>
    </xf>
    <xf numFmtId="0" fontId="28" fillId="0" borderId="0" xfId="160" applyFont="1"/>
    <xf numFmtId="0" fontId="21" fillId="0" borderId="0" xfId="160" applyFont="1"/>
    <xf numFmtId="0" fontId="20" fillId="0" borderId="0" xfId="160" applyFont="1"/>
    <xf numFmtId="0" fontId="20" fillId="0" borderId="0" xfId="160" applyFont="1" applyProtection="1">
      <protection locked="0"/>
    </xf>
    <xf numFmtId="0" fontId="20" fillId="0" borderId="43" xfId="160" applyFont="1" applyBorder="1"/>
    <xf numFmtId="0" fontId="20" fillId="0" borderId="44" xfId="160" applyFont="1" applyBorder="1"/>
    <xf numFmtId="0" fontId="20" fillId="0" borderId="45" xfId="160" applyFont="1" applyBorder="1"/>
    <xf numFmtId="0" fontId="22" fillId="0" borderId="46" xfId="160" applyFont="1" applyBorder="1" applyAlignment="1">
      <alignment horizontal="center"/>
    </xf>
    <xf numFmtId="0" fontId="22" fillId="0" borderId="21" xfId="160" applyFont="1" applyBorder="1" applyAlignment="1">
      <alignment horizontal="center"/>
    </xf>
    <xf numFmtId="0" fontId="22" fillId="0" borderId="47" xfId="160" applyFont="1" applyBorder="1" applyAlignment="1">
      <alignment horizontal="center"/>
    </xf>
    <xf numFmtId="0" fontId="22" fillId="0" borderId="48" xfId="160" applyFont="1" applyBorder="1" applyAlignment="1">
      <alignment horizontal="center" vertical="center"/>
    </xf>
    <xf numFmtId="0" fontId="22" fillId="0" borderId="49" xfId="160" applyFont="1" applyBorder="1" applyAlignment="1">
      <alignment horizontal="center" vertical="center"/>
    </xf>
    <xf numFmtId="0" fontId="22" fillId="0" borderId="50" xfId="160" applyFont="1" applyBorder="1" applyAlignment="1">
      <alignment horizontal="center"/>
    </xf>
    <xf numFmtId="0" fontId="22" fillId="0" borderId="51" xfId="160" applyFont="1" applyBorder="1" applyAlignment="1">
      <alignment horizontal="center"/>
    </xf>
    <xf numFmtId="0" fontId="22" fillId="0" borderId="24" xfId="160" applyFont="1" applyBorder="1" applyAlignment="1">
      <alignment horizontal="center"/>
    </xf>
    <xf numFmtId="0" fontId="22" fillId="0" borderId="52" xfId="160" applyFont="1" applyBorder="1" applyAlignment="1">
      <alignment horizontal="center"/>
    </xf>
    <xf numFmtId="0" fontId="22" fillId="0" borderId="53" xfId="160" applyFont="1" applyBorder="1" applyAlignment="1">
      <alignment horizontal="center"/>
    </xf>
    <xf numFmtId="0" fontId="22" fillId="0" borderId="54" xfId="160" applyFont="1" applyBorder="1" applyAlignment="1">
      <alignment horizontal="center"/>
    </xf>
    <xf numFmtId="0" fontId="22" fillId="0" borderId="55" xfId="160" applyFont="1" applyBorder="1" applyAlignment="1">
      <alignment horizontal="center" vertical="center"/>
    </xf>
    <xf numFmtId="0" fontId="22" fillId="0" borderId="56" xfId="160" applyFont="1" applyBorder="1" applyAlignment="1">
      <alignment horizontal="center" vertical="center"/>
    </xf>
    <xf numFmtId="0" fontId="22" fillId="0" borderId="57" xfId="160" applyFont="1" applyBorder="1" applyAlignment="1">
      <alignment horizontal="center"/>
    </xf>
    <xf numFmtId="0" fontId="22" fillId="0" borderId="56" xfId="160" applyFont="1" applyBorder="1" applyAlignment="1">
      <alignment horizontal="center"/>
    </xf>
    <xf numFmtId="0" fontId="22" fillId="0" borderId="58" xfId="160" applyFont="1" applyBorder="1" applyAlignment="1">
      <alignment horizontal="center"/>
    </xf>
    <xf numFmtId="0" fontId="22" fillId="0" borderId="55" xfId="160" applyFont="1" applyBorder="1" applyAlignment="1">
      <alignment horizontal="center"/>
    </xf>
    <xf numFmtId="0" fontId="22" fillId="0" borderId="59" xfId="160" applyFont="1" applyBorder="1" applyAlignment="1">
      <alignment horizontal="center"/>
    </xf>
    <xf numFmtId="0" fontId="22" fillId="0" borderId="60" xfId="160" applyFont="1" applyBorder="1" applyAlignment="1">
      <alignment horizontal="center"/>
    </xf>
    <xf numFmtId="0" fontId="22" fillId="0" borderId="61" xfId="160" applyFont="1" applyBorder="1" applyAlignment="1">
      <alignment horizontal="center"/>
    </xf>
    <xf numFmtId="0" fontId="23" fillId="0" borderId="62" xfId="160" applyFont="1" applyBorder="1"/>
    <xf numFmtId="0" fontId="23" fillId="0" borderId="28" xfId="160" applyFont="1" applyBorder="1"/>
    <xf numFmtId="0" fontId="23" fillId="0" borderId="0" xfId="160" applyFont="1"/>
    <xf numFmtId="0" fontId="23" fillId="0" borderId="62" xfId="160" applyFont="1" applyBorder="1" applyAlignment="1">
      <alignment horizontal="right"/>
    </xf>
    <xf numFmtId="0" fontId="24" fillId="0" borderId="62" xfId="160" applyFont="1" applyBorder="1"/>
    <xf numFmtId="0" fontId="24" fillId="0" borderId="28" xfId="160" applyFont="1" applyBorder="1"/>
    <xf numFmtId="0" fontId="24" fillId="0" borderId="0" xfId="160" applyFont="1"/>
    <xf numFmtId="168" fontId="6" fillId="0" borderId="47" xfId="28" applyNumberFormat="1" applyFont="1" applyFill="1" applyBorder="1"/>
    <xf numFmtId="168" fontId="6" fillId="0" borderId="63" xfId="28" applyNumberFormat="1" applyFont="1" applyFill="1" applyBorder="1"/>
    <xf numFmtId="168" fontId="6" fillId="0" borderId="46" xfId="28" applyNumberFormat="1" applyFont="1" applyFill="1" applyBorder="1"/>
    <xf numFmtId="168" fontId="6" fillId="0" borderId="49" xfId="28" applyNumberFormat="1" applyFont="1" applyFill="1" applyBorder="1"/>
    <xf numFmtId="168" fontId="6" fillId="0" borderId="48" xfId="28" applyNumberFormat="1" applyFont="1" applyFill="1" applyBorder="1"/>
    <xf numFmtId="168" fontId="6" fillId="0" borderId="64" xfId="28" applyNumberFormat="1" applyFont="1" applyFill="1" applyBorder="1"/>
    <xf numFmtId="0" fontId="23" fillId="0" borderId="65" xfId="160" applyFont="1" applyBorder="1" applyAlignment="1">
      <alignment horizontal="left"/>
    </xf>
    <xf numFmtId="0" fontId="23" fillId="0" borderId="10" xfId="160" applyFont="1" applyBorder="1" applyAlignment="1">
      <alignment horizontal="right"/>
    </xf>
    <xf numFmtId="168" fontId="4" fillId="0" borderId="66" xfId="28" applyNumberFormat="1" applyFont="1" applyFill="1" applyBorder="1"/>
    <xf numFmtId="168" fontId="4" fillId="0" borderId="67" xfId="28" applyNumberFormat="1" applyFont="1" applyFill="1" applyBorder="1"/>
    <xf numFmtId="0" fontId="24" fillId="0" borderId="68" xfId="160" applyFont="1" applyBorder="1" applyAlignment="1">
      <alignment horizontal="left"/>
    </xf>
    <xf numFmtId="0" fontId="24" fillId="0" borderId="69" xfId="160" applyFont="1" applyBorder="1" applyAlignment="1">
      <alignment horizontal="right"/>
    </xf>
    <xf numFmtId="168" fontId="6" fillId="0" borderId="70" xfId="28" applyNumberFormat="1" applyFont="1" applyFill="1" applyBorder="1"/>
    <xf numFmtId="168" fontId="6" fillId="0" borderId="71" xfId="28" applyNumberFormat="1" applyFont="1" applyFill="1" applyBorder="1"/>
    <xf numFmtId="168" fontId="6" fillId="0" borderId="72" xfId="28" applyNumberFormat="1" applyFont="1" applyFill="1" applyBorder="1"/>
    <xf numFmtId="168" fontId="6" fillId="0" borderId="73" xfId="28" applyNumberFormat="1" applyFont="1" applyFill="1" applyBorder="1"/>
    <xf numFmtId="168" fontId="6" fillId="0" borderId="74" xfId="28" applyNumberFormat="1" applyFont="1" applyFill="1" applyBorder="1"/>
    <xf numFmtId="168" fontId="6" fillId="0" borderId="75" xfId="28" applyNumberFormat="1" applyFont="1" applyFill="1" applyBorder="1"/>
    <xf numFmtId="168" fontId="6" fillId="0" borderId="66" xfId="28" applyNumberFormat="1" applyFont="1" applyFill="1" applyBorder="1"/>
    <xf numFmtId="168" fontId="6" fillId="0" borderId="76" xfId="28" applyNumberFormat="1" applyFont="1" applyFill="1" applyBorder="1"/>
    <xf numFmtId="168" fontId="6" fillId="0" borderId="77" xfId="28" applyNumberFormat="1" applyFont="1" applyFill="1" applyBorder="1"/>
    <xf numFmtId="168" fontId="6" fillId="0" borderId="67" xfId="28" applyNumberFormat="1" applyFont="1" applyFill="1" applyBorder="1"/>
    <xf numFmtId="0" fontId="23" fillId="0" borderId="78" xfId="160" applyFont="1" applyBorder="1" applyAlignment="1">
      <alignment horizontal="left"/>
    </xf>
    <xf numFmtId="0" fontId="23" fillId="0" borderId="10" xfId="160" applyFont="1" applyBorder="1" applyAlignment="1">
      <alignment horizontal="left"/>
    </xf>
    <xf numFmtId="0" fontId="23" fillId="0" borderId="78" xfId="160" applyFont="1" applyBorder="1"/>
    <xf numFmtId="0" fontId="23" fillId="0" borderId="65" xfId="160" applyFont="1" applyBorder="1"/>
    <xf numFmtId="0" fontId="23" fillId="0" borderId="10" xfId="160" applyFont="1" applyBorder="1"/>
    <xf numFmtId="0" fontId="28" fillId="0" borderId="78" xfId="160" applyFont="1" applyBorder="1"/>
    <xf numFmtId="0" fontId="22" fillId="0" borderId="62" xfId="160" applyFont="1" applyBorder="1"/>
    <xf numFmtId="0" fontId="6" fillId="0" borderId="47" xfId="160" applyFont="1" applyBorder="1"/>
    <xf numFmtId="0" fontId="6" fillId="0" borderId="48" xfId="160" applyFont="1" applyBorder="1"/>
    <xf numFmtId="0" fontId="6" fillId="0" borderId="63" xfId="160" applyFont="1" applyBorder="1"/>
    <xf numFmtId="0" fontId="6" fillId="0" borderId="46" xfId="160" applyFont="1" applyBorder="1"/>
    <xf numFmtId="0" fontId="6" fillId="0" borderId="49" xfId="160" applyFont="1" applyBorder="1"/>
    <xf numFmtId="0" fontId="20" fillId="0" borderId="62" xfId="160" applyFont="1" applyBorder="1"/>
    <xf numFmtId="0" fontId="28" fillId="0" borderId="79" xfId="160" applyFont="1" applyBorder="1"/>
    <xf numFmtId="0" fontId="23" fillId="0" borderId="80" xfId="160" applyFont="1" applyBorder="1"/>
    <xf numFmtId="168" fontId="20" fillId="0" borderId="0" xfId="28" applyNumberFormat="1" applyFont="1" applyFill="1"/>
    <xf numFmtId="43" fontId="20" fillId="0" borderId="0" xfId="28" applyFont="1" applyFill="1"/>
    <xf numFmtId="0" fontId="20" fillId="0" borderId="0" xfId="160" quotePrefix="1" applyFont="1"/>
    <xf numFmtId="9" fontId="0" fillId="0" borderId="0" xfId="28" applyNumberFormat="1" applyFont="1"/>
    <xf numFmtId="43" fontId="0" fillId="0" borderId="0" xfId="0" applyNumberFormat="1"/>
    <xf numFmtId="38" fontId="13" fillId="0" borderId="18" xfId="0" applyNumberFormat="1" applyFont="1" applyBorder="1"/>
    <xf numFmtId="38" fontId="14" fillId="0" borderId="18" xfId="0" applyNumberFormat="1" applyFont="1" applyBorder="1"/>
    <xf numFmtId="38" fontId="14" fillId="24" borderId="16" xfId="0" applyNumberFormat="1" applyFont="1" applyFill="1" applyBorder="1"/>
    <xf numFmtId="38" fontId="13" fillId="0" borderId="0" xfId="0" applyNumberFormat="1" applyFont="1"/>
    <xf numFmtId="38" fontId="14" fillId="0" borderId="0" xfId="0" applyNumberFormat="1" applyFont="1"/>
    <xf numFmtId="38" fontId="13" fillId="0" borderId="20" xfId="0" applyNumberFormat="1" applyFont="1" applyBorder="1"/>
    <xf numFmtId="38" fontId="14" fillId="0" borderId="20" xfId="0" applyNumberFormat="1" applyFont="1" applyBorder="1" applyAlignment="1">
      <alignment horizontal="center"/>
    </xf>
    <xf numFmtId="38" fontId="13" fillId="0" borderId="24" xfId="0" applyNumberFormat="1" applyFont="1" applyBorder="1"/>
    <xf numFmtId="38" fontId="13" fillId="0" borderId="21" xfId="0" applyNumberFormat="1" applyFont="1" applyBorder="1"/>
    <xf numFmtId="38" fontId="13" fillId="0" borderId="16" xfId="0" applyNumberFormat="1" applyFont="1" applyBorder="1"/>
    <xf numFmtId="38" fontId="14" fillId="0" borderId="20" xfId="0" applyNumberFormat="1" applyFont="1" applyBorder="1"/>
    <xf numFmtId="38" fontId="14" fillId="0" borderId="24" xfId="0" applyNumberFormat="1" applyFont="1" applyBorder="1"/>
    <xf numFmtId="38" fontId="14" fillId="0" borderId="21" xfId="0" applyNumberFormat="1" applyFont="1" applyBorder="1"/>
    <xf numFmtId="168" fontId="0" fillId="0" borderId="0" xfId="28" applyNumberFormat="1" applyFont="1"/>
    <xf numFmtId="43" fontId="13" fillId="0" borderId="0" xfId="28" applyFont="1" applyBorder="1"/>
    <xf numFmtId="172" fontId="13" fillId="0" borderId="0" xfId="0" applyNumberFormat="1" applyFont="1"/>
    <xf numFmtId="43" fontId="14" fillId="0" borderId="0" xfId="28" applyFont="1"/>
    <xf numFmtId="43" fontId="13" fillId="25" borderId="0" xfId="28" applyFont="1" applyFill="1"/>
    <xf numFmtId="168" fontId="14" fillId="0" borderId="0" xfId="28" applyNumberFormat="1" applyFont="1"/>
    <xf numFmtId="0" fontId="57" fillId="0" borderId="0" xfId="158" applyFont="1" applyAlignment="1">
      <alignment horizontal="center"/>
    </xf>
    <xf numFmtId="0" fontId="57" fillId="0" borderId="0" xfId="158" applyFont="1"/>
    <xf numFmtId="43" fontId="57" fillId="0" borderId="0" xfId="28" applyFont="1"/>
    <xf numFmtId="0" fontId="58" fillId="26" borderId="0" xfId="158" applyFont="1" applyFill="1"/>
    <xf numFmtId="168" fontId="57" fillId="0" borderId="0" xfId="28" applyNumberFormat="1" applyFont="1"/>
    <xf numFmtId="0" fontId="66" fillId="0" borderId="0" xfId="130" applyFont="1" applyAlignment="1">
      <alignment horizontal="center"/>
    </xf>
    <xf numFmtId="0" fontId="60" fillId="28" borderId="44" xfId="130" applyFont="1" applyFill="1" applyBorder="1" applyAlignment="1">
      <alignment horizontal="center"/>
    </xf>
    <xf numFmtId="0" fontId="60" fillId="0" borderId="0" xfId="130" applyFont="1"/>
    <xf numFmtId="0" fontId="60" fillId="28" borderId="16" xfId="130" applyFont="1" applyFill="1" applyBorder="1" applyAlignment="1">
      <alignment horizontal="center"/>
    </xf>
    <xf numFmtId="0" fontId="60" fillId="28" borderId="20" xfId="130" applyFont="1" applyFill="1" applyBorder="1" applyAlignment="1">
      <alignment horizontal="center"/>
    </xf>
    <xf numFmtId="0" fontId="60" fillId="0" borderId="21" xfId="130" applyFont="1" applyBorder="1"/>
    <xf numFmtId="168" fontId="67" fillId="0" borderId="21" xfId="73" applyNumberFormat="1" applyFont="1" applyBorder="1"/>
    <xf numFmtId="168" fontId="67" fillId="0" borderId="81" xfId="73" applyNumberFormat="1" applyFont="1" applyFill="1" applyBorder="1"/>
    <xf numFmtId="168" fontId="67" fillId="27" borderId="0" xfId="73" applyNumberFormat="1" applyFont="1" applyFill="1" applyBorder="1"/>
    <xf numFmtId="168" fontId="60" fillId="0" borderId="49" xfId="73" applyNumberFormat="1" applyFont="1" applyFill="1" applyBorder="1"/>
    <xf numFmtId="0" fontId="60" fillId="28" borderId="24" xfId="130" applyFont="1" applyFill="1" applyBorder="1"/>
    <xf numFmtId="168" fontId="60" fillId="28" borderId="24" xfId="73" applyNumberFormat="1" applyFont="1" applyFill="1" applyBorder="1"/>
    <xf numFmtId="168" fontId="68" fillId="27" borderId="0" xfId="73" applyNumberFormat="1" applyFont="1" applyFill="1" applyBorder="1"/>
    <xf numFmtId="0" fontId="60" fillId="28" borderId="20" xfId="130" applyFont="1" applyFill="1" applyBorder="1"/>
    <xf numFmtId="168" fontId="60" fillId="28" borderId="20" xfId="73" applyNumberFormat="1" applyFont="1" applyFill="1" applyBorder="1"/>
    <xf numFmtId="0" fontId="60" fillId="28" borderId="82" xfId="130" applyFont="1" applyFill="1" applyBorder="1" applyAlignment="1">
      <alignment horizontal="center"/>
    </xf>
    <xf numFmtId="168" fontId="60" fillId="28" borderId="82" xfId="73" applyNumberFormat="1" applyFont="1" applyFill="1" applyBorder="1"/>
    <xf numFmtId="168" fontId="68" fillId="27" borderId="83" xfId="73" applyNumberFormat="1" applyFont="1" applyFill="1" applyBorder="1"/>
    <xf numFmtId="0" fontId="60" fillId="28" borderId="82" xfId="0" applyFont="1" applyFill="1" applyBorder="1"/>
    <xf numFmtId="0" fontId="0" fillId="0" borderId="20" xfId="0" applyBorder="1"/>
    <xf numFmtId="168" fontId="60" fillId="28" borderId="20" xfId="63" applyNumberFormat="1" applyFont="1" applyFill="1" applyBorder="1" applyAlignment="1">
      <alignment horizontal="center"/>
    </xf>
    <xf numFmtId="41" fontId="0" fillId="0" borderId="20" xfId="32" applyFont="1" applyBorder="1"/>
    <xf numFmtId="41" fontId="0" fillId="0" borderId="20" xfId="0" applyNumberFormat="1" applyBorder="1"/>
    <xf numFmtId="0" fontId="6" fillId="0" borderId="0" xfId="160" applyFont="1"/>
    <xf numFmtId="0" fontId="25" fillId="0" borderId="0" xfId="160" applyFont="1"/>
    <xf numFmtId="168" fontId="6" fillId="0" borderId="0" xfId="160" applyNumberFormat="1" applyFont="1"/>
    <xf numFmtId="0" fontId="4" fillId="0" borderId="0" xfId="160" applyFont="1"/>
    <xf numFmtId="0" fontId="24" fillId="0" borderId="65" xfId="160" applyFont="1" applyBorder="1" applyAlignment="1">
      <alignment horizontal="left"/>
    </xf>
    <xf numFmtId="0" fontId="24" fillId="0" borderId="10" xfId="160" applyFont="1" applyBorder="1" applyAlignment="1">
      <alignment horizontal="right"/>
    </xf>
    <xf numFmtId="0" fontId="23" fillId="0" borderId="85" xfId="160" applyFont="1" applyBorder="1"/>
    <xf numFmtId="0" fontId="23" fillId="0" borderId="86" xfId="160" applyFont="1" applyBorder="1"/>
    <xf numFmtId="168" fontId="6" fillId="0" borderId="0" xfId="28" applyNumberFormat="1" applyFont="1" applyFill="1"/>
    <xf numFmtId="168" fontId="25" fillId="0" borderId="0" xfId="28" applyNumberFormat="1" applyFont="1" applyFill="1"/>
    <xf numFmtId="0" fontId="22" fillId="0" borderId="0" xfId="160" applyFont="1"/>
    <xf numFmtId="43" fontId="22" fillId="0" borderId="0" xfId="28" applyFont="1" applyFill="1"/>
    <xf numFmtId="168" fontId="22" fillId="0" borderId="0" xfId="28" applyNumberFormat="1" applyFont="1" applyFill="1"/>
    <xf numFmtId="168" fontId="4" fillId="0" borderId="0" xfId="28" applyNumberFormat="1" applyFont="1" applyFill="1"/>
    <xf numFmtId="168" fontId="27" fillId="0" borderId="0" xfId="28" applyNumberFormat="1" applyFont="1" applyFill="1"/>
    <xf numFmtId="0" fontId="67" fillId="0" borderId="21" xfId="0" applyFont="1" applyBorder="1"/>
    <xf numFmtId="0" fontId="67" fillId="0" borderId="81" xfId="0" applyFont="1" applyBorder="1"/>
    <xf numFmtId="168" fontId="68" fillId="0" borderId="21" xfId="73" applyNumberFormat="1" applyFont="1" applyBorder="1"/>
    <xf numFmtId="41" fontId="57" fillId="0" borderId="0" xfId="32" applyFont="1"/>
    <xf numFmtId="168" fontId="4" fillId="27" borderId="0" xfId="28" applyNumberFormat="1" applyFont="1" applyFill="1"/>
    <xf numFmtId="168" fontId="60" fillId="0" borderId="0" xfId="73" applyNumberFormat="1" applyFont="1" applyFill="1" applyBorder="1" applyAlignment="1">
      <alignment horizontal="left" vertical="center"/>
    </xf>
    <xf numFmtId="0" fontId="60" fillId="28" borderId="20" xfId="137" applyFont="1" applyFill="1" applyBorder="1" applyAlignment="1">
      <alignment horizontal="left" vertical="center"/>
    </xf>
    <xf numFmtId="168" fontId="60" fillId="28" borderId="20" xfId="73" applyNumberFormat="1" applyFont="1" applyFill="1" applyBorder="1" applyAlignment="1">
      <alignment horizontal="left" vertical="center"/>
    </xf>
    <xf numFmtId="168" fontId="60" fillId="28" borderId="20" xfId="63" applyNumberFormat="1" applyFont="1" applyFill="1" applyBorder="1" applyAlignment="1">
      <alignment horizontal="left" vertical="center"/>
    </xf>
    <xf numFmtId="0" fontId="65" fillId="0" borderId="0" xfId="137" applyAlignment="1">
      <alignment horizontal="left" vertical="center"/>
    </xf>
    <xf numFmtId="168" fontId="68" fillId="0" borderId="0" xfId="73" applyNumberFormat="1" applyFont="1" applyFill="1" applyBorder="1" applyAlignment="1">
      <alignment horizontal="left" vertical="center"/>
    </xf>
    <xf numFmtId="168" fontId="65" fillId="0" borderId="0" xfId="137" applyNumberFormat="1" applyAlignment="1">
      <alignment horizontal="left" vertical="center"/>
    </xf>
    <xf numFmtId="168" fontId="0" fillId="0" borderId="20" xfId="28" applyNumberFormat="1" applyFont="1" applyBorder="1"/>
    <xf numFmtId="168" fontId="60" fillId="28" borderId="0" xfId="63" applyNumberFormat="1" applyFont="1" applyFill="1" applyBorder="1" applyAlignment="1">
      <alignment horizontal="center"/>
    </xf>
    <xf numFmtId="168" fontId="6" fillId="0" borderId="81" xfId="28" applyNumberFormat="1" applyFont="1" applyFill="1" applyBorder="1"/>
    <xf numFmtId="168" fontId="60" fillId="28" borderId="49" xfId="63" applyNumberFormat="1" applyFont="1" applyFill="1" applyBorder="1" applyAlignment="1">
      <alignment horizontal="center"/>
    </xf>
    <xf numFmtId="0" fontId="34" fillId="0" borderId="0" xfId="130" applyFont="1"/>
    <xf numFmtId="168" fontId="34" fillId="0" borderId="0" xfId="73" applyNumberFormat="1" applyFont="1" applyBorder="1"/>
    <xf numFmtId="0" fontId="34" fillId="0" borderId="21" xfId="130" applyFont="1" applyBorder="1"/>
    <xf numFmtId="168" fontId="34" fillId="0" borderId="21" xfId="73" applyNumberFormat="1" applyFont="1" applyBorder="1"/>
    <xf numFmtId="0" fontId="34" fillId="0" borderId="21" xfId="130" quotePrefix="1" applyFont="1" applyBorder="1"/>
    <xf numFmtId="43" fontId="34" fillId="0" borderId="21" xfId="73" applyFont="1" applyBorder="1"/>
    <xf numFmtId="10" fontId="34" fillId="0" borderId="21" xfId="130" applyNumberFormat="1" applyFont="1" applyBorder="1"/>
    <xf numFmtId="0" fontId="34" fillId="29" borderId="21" xfId="130" quotePrefix="1" applyFont="1" applyFill="1" applyBorder="1"/>
    <xf numFmtId="168" fontId="34" fillId="29" borderId="21" xfId="73" applyNumberFormat="1" applyFont="1" applyFill="1" applyBorder="1"/>
    <xf numFmtId="168" fontId="34" fillId="30" borderId="21" xfId="73" applyNumberFormat="1" applyFont="1" applyFill="1" applyBorder="1"/>
    <xf numFmtId="0" fontId="34" fillId="0" borderId="81" xfId="130" applyFont="1" applyBorder="1"/>
    <xf numFmtId="168" fontId="34" fillId="0" borderId="81" xfId="73" applyNumberFormat="1" applyFont="1" applyFill="1" applyBorder="1"/>
    <xf numFmtId="0" fontId="34" fillId="29" borderId="21" xfId="130" applyFont="1" applyFill="1" applyBorder="1"/>
    <xf numFmtId="168" fontId="34" fillId="0" borderId="21" xfId="73" applyNumberFormat="1" applyFont="1" applyFill="1" applyBorder="1"/>
    <xf numFmtId="168" fontId="34" fillId="0" borderId="0" xfId="73" applyNumberFormat="1" applyFont="1"/>
    <xf numFmtId="0" fontId="34" fillId="0" borderId="24" xfId="130" applyFont="1" applyBorder="1"/>
    <xf numFmtId="0" fontId="34" fillId="0" borderId="24" xfId="0" applyFont="1" applyBorder="1"/>
    <xf numFmtId="168" fontId="34" fillId="0" borderId="24" xfId="73" applyNumberFormat="1" applyFont="1" applyBorder="1"/>
    <xf numFmtId="0" fontId="34" fillId="0" borderId="21" xfId="0" applyFont="1" applyBorder="1"/>
    <xf numFmtId="41" fontId="34" fillId="0" borderId="81" xfId="43" applyFont="1" applyFill="1" applyBorder="1"/>
    <xf numFmtId="168" fontId="34" fillId="0" borderId="81" xfId="28" applyNumberFormat="1" applyFont="1" applyFill="1" applyBorder="1"/>
    <xf numFmtId="41" fontId="34" fillId="0" borderId="21" xfId="43" applyFont="1" applyBorder="1"/>
    <xf numFmtId="0" fontId="34" fillId="28" borderId="20" xfId="0" applyFont="1" applyFill="1" applyBorder="1"/>
    <xf numFmtId="168" fontId="34" fillId="28" borderId="20" xfId="73" applyNumberFormat="1" applyFont="1" applyFill="1" applyBorder="1"/>
    <xf numFmtId="168" fontId="34" fillId="27" borderId="0" xfId="130" applyNumberFormat="1" applyFont="1" applyFill="1"/>
    <xf numFmtId="168" fontId="34" fillId="27" borderId="21" xfId="73" applyNumberFormat="1" applyFont="1" applyFill="1" applyBorder="1"/>
    <xf numFmtId="0" fontId="34" fillId="27" borderId="0" xfId="130" applyFont="1" applyFill="1"/>
    <xf numFmtId="0" fontId="6" fillId="0" borderId="59" xfId="160" applyFont="1" applyBorder="1"/>
    <xf numFmtId="0" fontId="6" fillId="0" borderId="61" xfId="160" applyFont="1" applyBorder="1"/>
    <xf numFmtId="0" fontId="6" fillId="0" borderId="55" xfId="160" applyFont="1" applyBorder="1"/>
    <xf numFmtId="168" fontId="60" fillId="0" borderId="21" xfId="63" applyNumberFormat="1" applyFont="1" applyFill="1" applyBorder="1" applyAlignment="1">
      <alignment horizontal="center" vertical="center" wrapText="1"/>
    </xf>
    <xf numFmtId="168" fontId="60" fillId="0" borderId="21" xfId="63" applyNumberFormat="1" applyFont="1" applyFill="1" applyBorder="1" applyAlignment="1">
      <alignment horizontal="left" vertical="center"/>
    </xf>
    <xf numFmtId="168" fontId="60" fillId="0" borderId="49" xfId="63" applyNumberFormat="1" applyFont="1" applyFill="1" applyBorder="1" applyAlignment="1">
      <alignment horizontal="center" vertical="center" wrapText="1"/>
    </xf>
    <xf numFmtId="168" fontId="60" fillId="0" borderId="0" xfId="63" applyNumberFormat="1" applyFont="1" applyFill="1" applyBorder="1" applyAlignment="1">
      <alignment horizontal="left" vertical="center"/>
    </xf>
    <xf numFmtId="166" fontId="28" fillId="0" borderId="0" xfId="32" applyNumberFormat="1" applyFont="1" applyFill="1" applyAlignment="1">
      <alignment horizontal="left"/>
    </xf>
    <xf numFmtId="166" fontId="6" fillId="0" borderId="0" xfId="32" applyNumberFormat="1" applyFont="1" applyFill="1"/>
    <xf numFmtId="176" fontId="28" fillId="0" borderId="0" xfId="32" applyNumberFormat="1" applyFont="1" applyFill="1" applyAlignment="1">
      <alignment horizontal="left"/>
    </xf>
    <xf numFmtId="176" fontId="6" fillId="0" borderId="0" xfId="32" applyNumberFormat="1" applyFont="1" applyFill="1"/>
    <xf numFmtId="177" fontId="28" fillId="0" borderId="0" xfId="32" applyNumberFormat="1" applyFont="1" applyFill="1" applyAlignment="1">
      <alignment horizontal="left"/>
    </xf>
    <xf numFmtId="177" fontId="6" fillId="0" borderId="0" xfId="32" applyNumberFormat="1" applyFont="1" applyFill="1"/>
    <xf numFmtId="168" fontId="6" fillId="0" borderId="87" xfId="28" applyNumberFormat="1" applyFont="1" applyFill="1" applyBorder="1"/>
    <xf numFmtId="168" fontId="6" fillId="0" borderId="88" xfId="28" applyNumberFormat="1" applyFont="1" applyFill="1" applyBorder="1"/>
    <xf numFmtId="168" fontId="6" fillId="0" borderId="89" xfId="28" applyNumberFormat="1" applyFont="1" applyFill="1" applyBorder="1"/>
    <xf numFmtId="168" fontId="6" fillId="0" borderId="47" xfId="160" applyNumberFormat="1" applyFont="1" applyBorder="1"/>
    <xf numFmtId="168" fontId="6" fillId="0" borderId="48" xfId="160" applyNumberFormat="1" applyFont="1" applyBorder="1"/>
    <xf numFmtId="0" fontId="4" fillId="0" borderId="48" xfId="160" applyFont="1" applyBorder="1"/>
    <xf numFmtId="0" fontId="4" fillId="0" borderId="49" xfId="160" applyFont="1" applyBorder="1"/>
    <xf numFmtId="0" fontId="4" fillId="0" borderId="66" xfId="160" applyFont="1" applyBorder="1" applyAlignment="1">
      <alignment horizontal="right"/>
    </xf>
    <xf numFmtId="168" fontId="4" fillId="0" borderId="90" xfId="160" applyNumberFormat="1" applyFont="1" applyBorder="1" applyAlignment="1">
      <alignment horizontal="right"/>
    </xf>
    <xf numFmtId="168" fontId="4" fillId="0" borderId="67" xfId="160" applyNumberFormat="1" applyFont="1" applyBorder="1" applyAlignment="1">
      <alignment horizontal="right"/>
    </xf>
    <xf numFmtId="168" fontId="4" fillId="0" borderId="76" xfId="160" applyNumberFormat="1" applyFont="1" applyBorder="1" applyAlignment="1">
      <alignment horizontal="right"/>
    </xf>
    <xf numFmtId="168" fontId="4" fillId="0" borderId="20" xfId="160" applyNumberFormat="1" applyFont="1" applyBorder="1" applyAlignment="1">
      <alignment horizontal="right"/>
    </xf>
    <xf numFmtId="168" fontId="4" fillId="0" borderId="77" xfId="160" applyNumberFormat="1" applyFont="1" applyBorder="1" applyAlignment="1">
      <alignment horizontal="right"/>
    </xf>
    <xf numFmtId="0" fontId="6" fillId="0" borderId="91" xfId="160" applyFont="1" applyBorder="1" applyAlignment="1">
      <alignment horizontal="right"/>
    </xf>
    <xf numFmtId="0" fontId="6" fillId="0" borderId="92" xfId="160" applyFont="1" applyBorder="1" applyAlignment="1">
      <alignment horizontal="right"/>
    </xf>
    <xf numFmtId="0" fontId="6" fillId="0" borderId="70" xfId="160" applyFont="1" applyBorder="1" applyAlignment="1">
      <alignment horizontal="right"/>
    </xf>
    <xf numFmtId="168" fontId="6" fillId="0" borderId="93" xfId="28" applyNumberFormat="1" applyFont="1" applyFill="1" applyBorder="1" applyAlignment="1">
      <alignment horizontal="right"/>
    </xf>
    <xf numFmtId="168" fontId="6" fillId="0" borderId="73" xfId="28" applyNumberFormat="1" applyFont="1" applyFill="1" applyBorder="1" applyAlignment="1">
      <alignment horizontal="right"/>
    </xf>
    <xf numFmtId="168" fontId="6" fillId="0" borderId="22" xfId="28" applyNumberFormat="1" applyFont="1" applyFill="1" applyBorder="1" applyAlignment="1">
      <alignment horizontal="right"/>
    </xf>
    <xf numFmtId="168" fontId="6" fillId="0" borderId="71" xfId="28" applyNumberFormat="1" applyFont="1" applyFill="1" applyBorder="1" applyAlignment="1">
      <alignment horizontal="right"/>
    </xf>
    <xf numFmtId="168" fontId="6" fillId="0" borderId="70" xfId="28" applyNumberFormat="1" applyFont="1" applyFill="1" applyBorder="1" applyAlignment="1">
      <alignment horizontal="right"/>
    </xf>
    <xf numFmtId="168" fontId="6" fillId="0" borderId="72" xfId="28" applyNumberFormat="1" applyFont="1" applyFill="1" applyBorder="1" applyAlignment="1">
      <alignment horizontal="right"/>
    </xf>
    <xf numFmtId="168" fontId="6" fillId="0" borderId="93" xfId="160" applyNumberFormat="1" applyFont="1" applyBorder="1" applyAlignment="1">
      <alignment horizontal="right"/>
    </xf>
    <xf numFmtId="168" fontId="4" fillId="0" borderId="66" xfId="160" applyNumberFormat="1" applyFont="1" applyBorder="1" applyAlignment="1">
      <alignment horizontal="right"/>
    </xf>
    <xf numFmtId="168" fontId="6" fillId="0" borderId="90" xfId="28" applyNumberFormat="1" applyFont="1" applyFill="1" applyBorder="1" applyAlignment="1">
      <alignment horizontal="right"/>
    </xf>
    <xf numFmtId="168" fontId="6" fillId="0" borderId="66" xfId="160" applyNumberFormat="1" applyFont="1" applyBorder="1" applyAlignment="1">
      <alignment horizontal="right"/>
    </xf>
    <xf numFmtId="0" fontId="6" fillId="0" borderId="90" xfId="160" applyFont="1" applyBorder="1" applyAlignment="1">
      <alignment horizontal="right"/>
    </xf>
    <xf numFmtId="0" fontId="4" fillId="0" borderId="66" xfId="160" applyFont="1" applyBorder="1" applyAlignment="1">
      <alignment horizontal="left"/>
    </xf>
    <xf numFmtId="168" fontId="4" fillId="0" borderId="90" xfId="160" applyNumberFormat="1" applyFont="1" applyBorder="1" applyAlignment="1">
      <alignment horizontal="left"/>
    </xf>
    <xf numFmtId="168" fontId="4" fillId="0" borderId="67" xfId="160" applyNumberFormat="1" applyFont="1" applyBorder="1" applyAlignment="1">
      <alignment horizontal="left"/>
    </xf>
    <xf numFmtId="168" fontId="4" fillId="0" borderId="20" xfId="160" applyNumberFormat="1" applyFont="1" applyBorder="1" applyAlignment="1">
      <alignment horizontal="left"/>
    </xf>
    <xf numFmtId="168" fontId="4" fillId="0" borderId="76" xfId="160" applyNumberFormat="1" applyFont="1" applyBorder="1" applyAlignment="1">
      <alignment horizontal="left"/>
    </xf>
    <xf numFmtId="168" fontId="4" fillId="0" borderId="66" xfId="160" applyNumberFormat="1" applyFont="1" applyBorder="1" applyAlignment="1">
      <alignment horizontal="left"/>
    </xf>
    <xf numFmtId="168" fontId="4" fillId="0" borderId="77" xfId="160" applyNumberFormat="1" applyFont="1" applyBorder="1" applyAlignment="1">
      <alignment horizontal="left"/>
    </xf>
    <xf numFmtId="0" fontId="4" fillId="0" borderId="48" xfId="160" applyFont="1" applyBorder="1" applyAlignment="1">
      <alignment horizontal="center"/>
    </xf>
    <xf numFmtId="168" fontId="6" fillId="0" borderId="73" xfId="160" applyNumberFormat="1" applyFont="1" applyBorder="1" applyAlignment="1">
      <alignment horizontal="right"/>
    </xf>
    <xf numFmtId="168" fontId="6" fillId="0" borderId="22" xfId="160" applyNumberFormat="1" applyFont="1" applyBorder="1" applyAlignment="1">
      <alignment horizontal="right"/>
    </xf>
    <xf numFmtId="168" fontId="6" fillId="0" borderId="71" xfId="160" applyNumberFormat="1" applyFont="1" applyBorder="1" applyAlignment="1">
      <alignment horizontal="right"/>
    </xf>
    <xf numFmtId="168" fontId="6" fillId="0" borderId="70" xfId="160" applyNumberFormat="1" applyFont="1" applyBorder="1" applyAlignment="1">
      <alignment horizontal="right"/>
    </xf>
    <xf numFmtId="168" fontId="6" fillId="0" borderId="72" xfId="160" applyNumberFormat="1" applyFont="1" applyBorder="1" applyAlignment="1">
      <alignment horizontal="right"/>
    </xf>
    <xf numFmtId="0" fontId="4" fillId="0" borderId="66" xfId="160" applyFont="1" applyBorder="1"/>
    <xf numFmtId="168" fontId="4" fillId="0" borderId="90" xfId="160" applyNumberFormat="1" applyFont="1" applyBorder="1"/>
    <xf numFmtId="168" fontId="4" fillId="0" borderId="67" xfId="160" applyNumberFormat="1" applyFont="1" applyBorder="1"/>
    <xf numFmtId="168" fontId="4" fillId="0" borderId="20" xfId="160" applyNumberFormat="1" applyFont="1" applyBorder="1"/>
    <xf numFmtId="168" fontId="4" fillId="0" borderId="76" xfId="160" applyNumberFormat="1" applyFont="1" applyBorder="1"/>
    <xf numFmtId="168" fontId="4" fillId="0" borderId="66" xfId="160" applyNumberFormat="1" applyFont="1" applyBorder="1"/>
    <xf numFmtId="168" fontId="4" fillId="0" borderId="77" xfId="160" applyNumberFormat="1" applyFont="1" applyBorder="1"/>
    <xf numFmtId="168" fontId="4" fillId="0" borderId="94" xfId="160" applyNumberFormat="1" applyFont="1" applyBorder="1"/>
    <xf numFmtId="168" fontId="4" fillId="0" borderId="10" xfId="160" applyNumberFormat="1" applyFont="1" applyBorder="1"/>
    <xf numFmtId="0" fontId="4" fillId="0" borderId="95" xfId="160" applyFont="1" applyBorder="1"/>
    <xf numFmtId="168" fontId="4" fillId="0" borderId="96" xfId="160" applyNumberFormat="1" applyFont="1" applyBorder="1"/>
    <xf numFmtId="168" fontId="4" fillId="0" borderId="97" xfId="160" applyNumberFormat="1" applyFont="1" applyBorder="1"/>
    <xf numFmtId="168" fontId="4" fillId="0" borderId="98" xfId="160" applyNumberFormat="1" applyFont="1" applyBorder="1"/>
    <xf numFmtId="168" fontId="4" fillId="0" borderId="99" xfId="160" applyNumberFormat="1" applyFont="1" applyBorder="1"/>
    <xf numFmtId="168" fontId="4" fillId="0" borderId="95" xfId="160" applyNumberFormat="1" applyFont="1" applyBorder="1"/>
    <xf numFmtId="168" fontId="4" fillId="0" borderId="100" xfId="160" applyNumberFormat="1" applyFont="1" applyBorder="1"/>
    <xf numFmtId="41" fontId="13" fillId="0" borderId="0" xfId="32" applyFont="1" applyFill="1"/>
    <xf numFmtId="41" fontId="13" fillId="0" borderId="10" xfId="32" applyFont="1" applyFill="1" applyBorder="1"/>
    <xf numFmtId="41" fontId="14" fillId="0" borderId="10" xfId="32" applyFont="1" applyFill="1" applyBorder="1"/>
    <xf numFmtId="168" fontId="15" fillId="0" borderId="101" xfId="28" applyNumberFormat="1" applyFont="1" applyBorder="1"/>
    <xf numFmtId="164" fontId="25" fillId="0" borderId="0" xfId="160" applyNumberFormat="1" applyFont="1"/>
    <xf numFmtId="168" fontId="28" fillId="0" borderId="0" xfId="160" applyNumberFormat="1" applyFont="1" applyAlignment="1">
      <alignment horizontal="left"/>
    </xf>
    <xf numFmtId="0" fontId="24" fillId="0" borderId="0" xfId="160" quotePrefix="1" applyFont="1"/>
    <xf numFmtId="164" fontId="6" fillId="0" borderId="0" xfId="160" applyNumberFormat="1" applyFont="1"/>
    <xf numFmtId="0" fontId="58" fillId="0" borderId="0" xfId="158" applyFont="1"/>
    <xf numFmtId="41" fontId="58" fillId="0" borderId="24" xfId="32" applyFont="1" applyBorder="1"/>
    <xf numFmtId="41" fontId="58" fillId="0" borderId="21" xfId="32" applyFont="1" applyBorder="1"/>
    <xf numFmtId="168" fontId="58" fillId="0" borderId="20" xfId="28" applyNumberFormat="1" applyFont="1" applyFill="1" applyBorder="1"/>
    <xf numFmtId="41" fontId="58" fillId="0" borderId="21" xfId="32" applyFont="1" applyFill="1" applyBorder="1"/>
    <xf numFmtId="41" fontId="58" fillId="0" borderId="21" xfId="32" applyFont="1" applyFill="1" applyBorder="1" applyAlignment="1">
      <alignment horizontal="right"/>
    </xf>
    <xf numFmtId="0" fontId="58" fillId="0" borderId="20" xfId="28" applyNumberFormat="1" applyFont="1" applyFill="1" applyBorder="1" applyAlignment="1">
      <alignment horizontal="center"/>
    </xf>
    <xf numFmtId="0" fontId="58" fillId="0" borderId="20" xfId="158" applyFont="1" applyBorder="1" applyAlignment="1">
      <alignment horizontal="center" vertical="center"/>
    </xf>
    <xf numFmtId="41" fontId="58" fillId="0" borderId="20" xfId="32" applyFont="1" applyFill="1" applyBorder="1"/>
    <xf numFmtId="41" fontId="58" fillId="0" borderId="10" xfId="32" applyFont="1" applyFill="1" applyBorder="1"/>
    <xf numFmtId="43" fontId="57" fillId="0" borderId="10" xfId="28" applyFont="1" applyFill="1" applyBorder="1" applyAlignment="1">
      <alignment horizontal="left"/>
    </xf>
    <xf numFmtId="0" fontId="57" fillId="0" borderId="10" xfId="158" applyFont="1" applyBorder="1" applyAlignment="1">
      <alignment horizontal="center" vertical="center"/>
    </xf>
    <xf numFmtId="43" fontId="57" fillId="0" borderId="10" xfId="158" applyNumberFormat="1" applyFont="1" applyBorder="1"/>
    <xf numFmtId="168" fontId="57" fillId="0" borderId="10" xfId="28" applyNumberFormat="1" applyFont="1" applyFill="1" applyBorder="1"/>
    <xf numFmtId="165" fontId="57" fillId="0" borderId="0" xfId="32" applyNumberFormat="1" applyFont="1"/>
    <xf numFmtId="165" fontId="58" fillId="0" borderId="0" xfId="32" applyNumberFormat="1" applyFont="1"/>
    <xf numFmtId="165" fontId="57" fillId="0" borderId="0" xfId="32" applyNumberFormat="1" applyFont="1" applyBorder="1"/>
    <xf numFmtId="0" fontId="58" fillId="0" borderId="0" xfId="158" applyFont="1" applyAlignment="1">
      <alignment horizontal="center"/>
    </xf>
    <xf numFmtId="0" fontId="57" fillId="30" borderId="0" xfId="158" applyFont="1" applyFill="1"/>
    <xf numFmtId="0" fontId="57" fillId="30" borderId="0" xfId="158" applyFont="1" applyFill="1" applyAlignment="1">
      <alignment horizontal="center"/>
    </xf>
    <xf numFmtId="165" fontId="57" fillId="30" borderId="0" xfId="32" applyNumberFormat="1" applyFont="1" applyFill="1" applyAlignment="1">
      <alignment horizontal="center"/>
    </xf>
    <xf numFmtId="168" fontId="0" fillId="0" borderId="0" xfId="28" applyNumberFormat="1" applyFont="1" applyFill="1"/>
    <xf numFmtId="168" fontId="64" fillId="27" borderId="0" xfId="28" applyNumberFormat="1" applyFont="1" applyFill="1"/>
    <xf numFmtId="168" fontId="34" fillId="0" borderId="21" xfId="28" applyNumberFormat="1" applyFont="1" applyFill="1" applyBorder="1"/>
    <xf numFmtId="165" fontId="57" fillId="0" borderId="0" xfId="32" applyNumberFormat="1" applyFont="1" applyFill="1" applyAlignment="1">
      <alignment horizontal="center"/>
    </xf>
    <xf numFmtId="168" fontId="25" fillId="0" borderId="0" xfId="160" applyNumberFormat="1" applyFont="1"/>
    <xf numFmtId="43" fontId="6" fillId="0" borderId="0" xfId="28" applyFont="1" applyFill="1"/>
    <xf numFmtId="43" fontId="6" fillId="0" borderId="0" xfId="160" applyNumberFormat="1" applyFont="1"/>
    <xf numFmtId="43" fontId="22" fillId="27" borderId="0" xfId="160" applyNumberFormat="1" applyFont="1" applyFill="1"/>
    <xf numFmtId="173" fontId="28" fillId="0" borderId="0" xfId="160" applyNumberFormat="1" applyFont="1" applyAlignment="1">
      <alignment horizontal="left"/>
    </xf>
    <xf numFmtId="43" fontId="6" fillId="0" borderId="48" xfId="28" applyFont="1" applyFill="1" applyBorder="1"/>
    <xf numFmtId="43" fontId="6" fillId="0" borderId="70" xfId="160" applyNumberFormat="1" applyFont="1" applyBorder="1" applyAlignment="1">
      <alignment horizontal="right"/>
    </xf>
    <xf numFmtId="43" fontId="6" fillId="0" borderId="48" xfId="160" applyNumberFormat="1" applyFont="1" applyBorder="1"/>
    <xf numFmtId="43" fontId="4" fillId="0" borderId="66" xfId="160" applyNumberFormat="1" applyFont="1" applyBorder="1" applyAlignment="1">
      <alignment horizontal="right"/>
    </xf>
    <xf numFmtId="41" fontId="34" fillId="0" borderId="21" xfId="43" applyFont="1" applyFill="1" applyBorder="1"/>
    <xf numFmtId="168" fontId="34" fillId="0" borderId="0" xfId="130" applyNumberFormat="1" applyFont="1"/>
    <xf numFmtId="168" fontId="34" fillId="0" borderId="0" xfId="0" applyNumberFormat="1" applyFont="1"/>
    <xf numFmtId="0" fontId="60" fillId="0" borderId="21" xfId="0" applyFont="1" applyBorder="1"/>
    <xf numFmtId="168" fontId="60" fillId="0" borderId="21" xfId="73" applyNumberFormat="1" applyFont="1" applyFill="1" applyBorder="1"/>
    <xf numFmtId="168" fontId="68" fillId="0" borderId="21" xfId="73" applyNumberFormat="1" applyFont="1" applyFill="1" applyBorder="1"/>
    <xf numFmtId="43" fontId="34" fillId="0" borderId="21" xfId="73" applyFont="1" applyFill="1" applyBorder="1"/>
    <xf numFmtId="174" fontId="34" fillId="0" borderId="21" xfId="28" applyNumberFormat="1" applyFont="1" applyFill="1" applyBorder="1"/>
    <xf numFmtId="0" fontId="68" fillId="0" borderId="21" xfId="0" applyFont="1" applyBorder="1"/>
    <xf numFmtId="170" fontId="34" fillId="0" borderId="21" xfId="73" applyNumberFormat="1" applyFont="1" applyFill="1" applyBorder="1"/>
    <xf numFmtId="168" fontId="67" fillId="0" borderId="21" xfId="73" applyNumberFormat="1" applyFont="1" applyFill="1" applyBorder="1"/>
    <xf numFmtId="43" fontId="21" fillId="0" borderId="0" xfId="160" applyNumberFormat="1" applyFont="1"/>
    <xf numFmtId="43" fontId="57" fillId="32" borderId="20" xfId="28" applyFont="1" applyFill="1" applyBorder="1" applyAlignment="1">
      <alignment horizontal="center"/>
    </xf>
    <xf numFmtId="0" fontId="57" fillId="32" borderId="20" xfId="158" applyFont="1" applyFill="1" applyBorder="1" applyAlignment="1">
      <alignment horizontal="center" vertical="center"/>
    </xf>
    <xf numFmtId="165" fontId="57" fillId="32" borderId="20" xfId="32" applyNumberFormat="1" applyFont="1" applyFill="1" applyBorder="1" applyAlignment="1">
      <alignment horizontal="center" vertical="center"/>
    </xf>
    <xf numFmtId="41" fontId="57" fillId="32" borderId="20" xfId="32" applyFont="1" applyFill="1" applyBorder="1"/>
    <xf numFmtId="168" fontId="57" fillId="32" borderId="20" xfId="28" applyNumberFormat="1" applyFont="1" applyFill="1" applyBorder="1"/>
    <xf numFmtId="0" fontId="57" fillId="32" borderId="20" xfId="28" applyNumberFormat="1" applyFont="1" applyFill="1" applyBorder="1" applyAlignment="1">
      <alignment horizontal="center"/>
    </xf>
    <xf numFmtId="170" fontId="58" fillId="0" borderId="20" xfId="28" applyNumberFormat="1" applyFont="1" applyFill="1" applyBorder="1" applyAlignment="1">
      <alignment horizontal="center" vertical="center"/>
    </xf>
    <xf numFmtId="168" fontId="6" fillId="33" borderId="46" xfId="28" applyNumberFormat="1" applyFont="1" applyFill="1" applyBorder="1"/>
    <xf numFmtId="168" fontId="6" fillId="0" borderId="28" xfId="28" applyNumberFormat="1" applyFont="1" applyFill="1" applyBorder="1"/>
    <xf numFmtId="168" fontId="6" fillId="0" borderId="0" xfId="28" applyNumberFormat="1" applyFont="1" applyFill="1" applyAlignment="1">
      <alignment horizontal="center"/>
    </xf>
    <xf numFmtId="43" fontId="6" fillId="0" borderId="70" xfId="28" applyFont="1" applyFill="1" applyBorder="1" applyAlignment="1">
      <alignment horizontal="right"/>
    </xf>
    <xf numFmtId="43" fontId="6" fillId="0" borderId="70" xfId="28" applyFont="1" applyFill="1" applyBorder="1"/>
    <xf numFmtId="43" fontId="6" fillId="0" borderId="21" xfId="28" applyFont="1" applyFill="1" applyBorder="1"/>
    <xf numFmtId="43" fontId="6" fillId="0" borderId="22" xfId="28" applyFont="1" applyFill="1" applyBorder="1" applyAlignment="1">
      <alignment horizontal="right"/>
    </xf>
    <xf numFmtId="43" fontId="6" fillId="0" borderId="22" xfId="28" applyFont="1" applyFill="1" applyBorder="1"/>
    <xf numFmtId="43" fontId="6" fillId="0" borderId="46" xfId="28" applyFont="1" applyFill="1" applyBorder="1"/>
    <xf numFmtId="43" fontId="6" fillId="0" borderId="73" xfId="28" applyFont="1" applyFill="1" applyBorder="1" applyAlignment="1">
      <alignment horizontal="right"/>
    </xf>
    <xf numFmtId="43" fontId="6" fillId="0" borderId="73" xfId="28" applyFont="1" applyFill="1" applyBorder="1"/>
    <xf numFmtId="43" fontId="4" fillId="0" borderId="66" xfId="28" applyFont="1" applyFill="1" applyBorder="1"/>
    <xf numFmtId="43" fontId="6" fillId="0" borderId="66" xfId="28" applyFont="1" applyFill="1" applyBorder="1"/>
    <xf numFmtId="43" fontId="4" fillId="0" borderId="66" xfId="160" applyNumberFormat="1" applyFont="1" applyBorder="1" applyAlignment="1">
      <alignment horizontal="left"/>
    </xf>
    <xf numFmtId="43" fontId="4" fillId="0" borderId="20" xfId="28" applyFont="1" applyFill="1" applyBorder="1"/>
    <xf numFmtId="43" fontId="4" fillId="0" borderId="20" xfId="160" applyNumberFormat="1" applyFont="1" applyBorder="1" applyAlignment="1">
      <alignment horizontal="right"/>
    </xf>
    <xf numFmtId="43" fontId="6" fillId="0" borderId="20" xfId="28" applyFont="1" applyFill="1" applyBorder="1"/>
    <xf numFmtId="43" fontId="4" fillId="0" borderId="20" xfId="160" applyNumberFormat="1" applyFont="1" applyBorder="1" applyAlignment="1">
      <alignment horizontal="left"/>
    </xf>
    <xf numFmtId="43" fontId="6" fillId="0" borderId="102" xfId="28" applyFont="1" applyFill="1" applyBorder="1"/>
    <xf numFmtId="43" fontId="4" fillId="0" borderId="67" xfId="28" applyFont="1" applyFill="1" applyBorder="1"/>
    <xf numFmtId="43" fontId="4" fillId="0" borderId="67" xfId="160" applyNumberFormat="1" applyFont="1" applyBorder="1" applyAlignment="1">
      <alignment horizontal="right"/>
    </xf>
    <xf numFmtId="43" fontId="6" fillId="0" borderId="67" xfId="28" applyFont="1" applyFill="1" applyBorder="1"/>
    <xf numFmtId="43" fontId="4" fillId="0" borderId="67" xfId="160" applyNumberFormat="1" applyFont="1" applyBorder="1" applyAlignment="1">
      <alignment horizontal="left"/>
    </xf>
    <xf numFmtId="43" fontId="6" fillId="0" borderId="74" xfId="28" applyFont="1" applyFill="1" applyBorder="1"/>
    <xf numFmtId="168" fontId="60" fillId="28" borderId="44" xfId="63" applyNumberFormat="1" applyFont="1" applyFill="1" applyBorder="1" applyAlignment="1">
      <alignment horizontal="center" vertical="center"/>
    </xf>
    <xf numFmtId="168" fontId="60" fillId="28" borderId="16" xfId="63" applyNumberFormat="1" applyFont="1" applyFill="1" applyBorder="1" applyAlignment="1">
      <alignment horizontal="center" vertical="center"/>
    </xf>
    <xf numFmtId="0" fontId="65" fillId="0" borderId="0" xfId="137" applyAlignment="1">
      <alignment vertical="center"/>
    </xf>
    <xf numFmtId="0" fontId="59" fillId="0" borderId="0" xfId="137" applyFont="1" applyAlignment="1">
      <alignment vertical="center"/>
    </xf>
    <xf numFmtId="0" fontId="65" fillId="0" borderId="0" xfId="137" applyAlignment="1">
      <alignment horizontal="center" vertical="center"/>
    </xf>
    <xf numFmtId="168" fontId="65" fillId="0" borderId="0" xfId="63" applyNumberFormat="1" applyFont="1" applyAlignment="1">
      <alignment vertical="center"/>
    </xf>
    <xf numFmtId="174" fontId="65" fillId="0" borderId="0" xfId="63" applyNumberFormat="1" applyFont="1" applyAlignment="1">
      <alignment vertical="center"/>
    </xf>
    <xf numFmtId="168" fontId="65" fillId="0" borderId="0" xfId="63" applyNumberFormat="1" applyFont="1" applyFill="1" applyBorder="1" applyAlignment="1">
      <alignment vertical="center"/>
    </xf>
    <xf numFmtId="0" fontId="66" fillId="0" borderId="0" xfId="137" applyFont="1" applyAlignment="1">
      <alignment horizontal="center" vertical="center"/>
    </xf>
    <xf numFmtId="168" fontId="66" fillId="0" borderId="0" xfId="63" applyNumberFormat="1" applyFont="1" applyAlignment="1">
      <alignment horizontal="center" vertical="center"/>
    </xf>
    <xf numFmtId="168" fontId="66" fillId="0" borderId="0" xfId="63" applyNumberFormat="1" applyFont="1" applyFill="1" applyBorder="1" applyAlignment="1">
      <alignment horizontal="center" vertical="center"/>
    </xf>
    <xf numFmtId="168" fontId="60" fillId="0" borderId="81" xfId="63" applyNumberFormat="1" applyFont="1" applyFill="1" applyBorder="1" applyAlignment="1">
      <alignment horizontal="center" vertical="center"/>
    </xf>
    <xf numFmtId="0" fontId="60" fillId="0" borderId="0" xfId="137" applyFont="1" applyAlignment="1">
      <alignment vertical="center"/>
    </xf>
    <xf numFmtId="168" fontId="60" fillId="0" borderId="21" xfId="63" applyNumberFormat="1" applyFont="1" applyFill="1" applyBorder="1" applyAlignment="1">
      <alignment horizontal="center" vertical="center"/>
    </xf>
    <xf numFmtId="0" fontId="65" fillId="0" borderId="21" xfId="137" applyBorder="1" applyAlignment="1">
      <alignment vertical="center"/>
    </xf>
    <xf numFmtId="0" fontId="65" fillId="0" borderId="21" xfId="137" applyBorder="1" applyAlignment="1">
      <alignment horizontal="center" vertical="center"/>
    </xf>
    <xf numFmtId="168" fontId="65" fillId="0" borderId="21" xfId="63" applyNumberFormat="1" applyFont="1" applyBorder="1" applyAlignment="1">
      <alignment vertical="center"/>
    </xf>
    <xf numFmtId="168" fontId="65" fillId="0" borderId="21" xfId="63" applyNumberFormat="1" applyFont="1" applyFill="1" applyBorder="1" applyAlignment="1">
      <alignment vertical="center"/>
    </xf>
    <xf numFmtId="0" fontId="60" fillId="0" borderId="21" xfId="137" applyFont="1" applyBorder="1" applyAlignment="1">
      <alignment vertical="center"/>
    </xf>
    <xf numFmtId="168" fontId="65" fillId="0" borderId="21" xfId="73" applyNumberFormat="1" applyFont="1" applyFill="1" applyBorder="1" applyAlignment="1">
      <alignment horizontal="center" vertical="center"/>
    </xf>
    <xf numFmtId="0" fontId="65" fillId="0" borderId="21" xfId="137" quotePrefix="1" applyBorder="1" applyAlignment="1">
      <alignment vertical="center"/>
    </xf>
    <xf numFmtId="168" fontId="65" fillId="0" borderId="0" xfId="137" applyNumberFormat="1" applyAlignment="1">
      <alignment vertical="center"/>
    </xf>
    <xf numFmtId="0" fontId="60" fillId="0" borderId="21" xfId="137" applyFont="1" applyBorder="1" applyAlignment="1">
      <alignment horizontal="right" vertical="center"/>
    </xf>
    <xf numFmtId="168" fontId="60" fillId="0" borderId="21" xfId="73" applyNumberFormat="1" applyFont="1" applyFill="1" applyBorder="1" applyAlignment="1">
      <alignment horizontal="center" vertical="center"/>
    </xf>
    <xf numFmtId="168" fontId="60" fillId="0" borderId="21" xfId="63" applyNumberFormat="1" applyFont="1" applyFill="1" applyBorder="1" applyAlignment="1">
      <alignment vertical="center"/>
    </xf>
    <xf numFmtId="168" fontId="60" fillId="0" borderId="0" xfId="63" applyNumberFormat="1" applyFont="1" applyFill="1" applyBorder="1" applyAlignment="1">
      <alignment vertical="center"/>
    </xf>
    <xf numFmtId="0" fontId="61" fillId="30" borderId="21" xfId="137" applyFont="1" applyFill="1" applyBorder="1" applyAlignment="1">
      <alignment vertical="center"/>
    </xf>
    <xf numFmtId="168" fontId="65" fillId="30" borderId="21" xfId="73" applyNumberFormat="1" applyFont="1" applyFill="1" applyBorder="1" applyAlignment="1">
      <alignment horizontal="center" vertical="center"/>
    </xf>
    <xf numFmtId="168" fontId="65" fillId="30" borderId="21" xfId="63" applyNumberFormat="1" applyFont="1" applyFill="1" applyBorder="1" applyAlignment="1">
      <alignment vertical="center"/>
    </xf>
    <xf numFmtId="0" fontId="69" fillId="0" borderId="0" xfId="137" applyFont="1" applyAlignment="1">
      <alignment vertical="center"/>
    </xf>
    <xf numFmtId="0" fontId="69" fillId="30" borderId="21" xfId="137" quotePrefix="1" applyFont="1" applyFill="1" applyBorder="1" applyAlignment="1">
      <alignment vertical="center"/>
    </xf>
    <xf numFmtId="168" fontId="69" fillId="30" borderId="21" xfId="73" applyNumberFormat="1" applyFont="1" applyFill="1" applyBorder="1" applyAlignment="1">
      <alignment horizontal="center" vertical="center"/>
    </xf>
    <xf numFmtId="168" fontId="69" fillId="30" borderId="21" xfId="63" applyNumberFormat="1" applyFont="1" applyFill="1" applyBorder="1" applyAlignment="1">
      <alignment vertical="center"/>
    </xf>
    <xf numFmtId="168" fontId="69" fillId="0" borderId="0" xfId="137" applyNumberFormat="1" applyFont="1" applyAlignment="1">
      <alignment vertical="center"/>
    </xf>
    <xf numFmtId="168" fontId="69" fillId="0" borderId="21" xfId="63" applyNumberFormat="1" applyFont="1" applyFill="1" applyBorder="1" applyAlignment="1">
      <alignment vertical="center"/>
    </xf>
    <xf numFmtId="168" fontId="69" fillId="0" borderId="0" xfId="63" applyNumberFormat="1" applyFont="1" applyFill="1" applyBorder="1" applyAlignment="1">
      <alignment vertical="center"/>
    </xf>
    <xf numFmtId="168" fontId="69" fillId="30" borderId="81" xfId="63" applyNumberFormat="1" applyFont="1" applyFill="1" applyBorder="1" applyAlignment="1">
      <alignment vertical="center"/>
    </xf>
    <xf numFmtId="168" fontId="70" fillId="30" borderId="81" xfId="63" applyNumberFormat="1" applyFont="1" applyFill="1" applyBorder="1" applyAlignment="1">
      <alignment vertical="center"/>
    </xf>
    <xf numFmtId="0" fontId="69" fillId="0" borderId="81" xfId="137" applyFont="1" applyBorder="1" applyAlignment="1">
      <alignment vertical="center"/>
    </xf>
    <xf numFmtId="168" fontId="69" fillId="0" borderId="81" xfId="63" applyNumberFormat="1" applyFont="1" applyFill="1" applyBorder="1" applyAlignment="1">
      <alignment vertical="center"/>
    </xf>
    <xf numFmtId="168" fontId="70" fillId="30" borderId="21" xfId="63" applyNumberFormat="1" applyFont="1" applyFill="1" applyBorder="1" applyAlignment="1">
      <alignment vertical="center"/>
    </xf>
    <xf numFmtId="0" fontId="65" fillId="0" borderId="81" xfId="137" applyBorder="1" applyAlignment="1">
      <alignment vertical="center"/>
    </xf>
    <xf numFmtId="0" fontId="65" fillId="30" borderId="21" xfId="137" quotePrefix="1" applyFill="1" applyBorder="1" applyAlignment="1">
      <alignment vertical="center"/>
    </xf>
    <xf numFmtId="168" fontId="65" fillId="30" borderId="81" xfId="63" applyNumberFormat="1" applyFont="1" applyFill="1" applyBorder="1" applyAlignment="1">
      <alignment vertical="center"/>
    </xf>
    <xf numFmtId="168" fontId="65" fillId="0" borderId="81" xfId="63" applyNumberFormat="1" applyFont="1" applyFill="1" applyBorder="1" applyAlignment="1">
      <alignment vertical="center"/>
    </xf>
    <xf numFmtId="0" fontId="61" fillId="0" borderId="0" xfId="137" applyFont="1" applyAlignment="1">
      <alignment vertical="center"/>
    </xf>
    <xf numFmtId="0" fontId="61" fillId="30" borderId="21" xfId="137" applyFont="1" applyFill="1" applyBorder="1" applyAlignment="1">
      <alignment horizontal="left" vertical="center"/>
    </xf>
    <xf numFmtId="168" fontId="61" fillId="30" borderId="21" xfId="73" applyNumberFormat="1" applyFont="1" applyFill="1" applyBorder="1" applyAlignment="1">
      <alignment horizontal="center" vertical="center"/>
    </xf>
    <xf numFmtId="168" fontId="61" fillId="30" borderId="21" xfId="63" applyNumberFormat="1" applyFont="1" applyFill="1" applyBorder="1" applyAlignment="1">
      <alignment vertical="center"/>
    </xf>
    <xf numFmtId="168" fontId="61" fillId="30" borderId="81" xfId="63" applyNumberFormat="1" applyFont="1" applyFill="1" applyBorder="1" applyAlignment="1">
      <alignment vertical="center"/>
    </xf>
    <xf numFmtId="168" fontId="61" fillId="0" borderId="81" xfId="63" applyNumberFormat="1" applyFont="1" applyFill="1" applyBorder="1" applyAlignment="1">
      <alignment vertical="center"/>
    </xf>
    <xf numFmtId="168" fontId="61" fillId="0" borderId="0" xfId="63" applyNumberFormat="1" applyFont="1" applyFill="1" applyBorder="1" applyAlignment="1">
      <alignment vertical="center"/>
    </xf>
    <xf numFmtId="168" fontId="60" fillId="0" borderId="81" xfId="63" applyNumberFormat="1" applyFont="1" applyFill="1" applyBorder="1" applyAlignment="1">
      <alignment vertical="center"/>
    </xf>
    <xf numFmtId="168" fontId="60" fillId="0" borderId="21" xfId="63" applyNumberFormat="1" applyFont="1" applyBorder="1" applyAlignment="1">
      <alignment vertical="center"/>
    </xf>
    <xf numFmtId="168" fontId="65" fillId="0" borderId="0" xfId="73" applyNumberFormat="1" applyFont="1" applyBorder="1" applyAlignment="1">
      <alignment vertical="center"/>
    </xf>
    <xf numFmtId="168" fontId="65" fillId="0" borderId="0" xfId="73" applyNumberFormat="1" applyFont="1" applyFill="1" applyBorder="1" applyAlignment="1">
      <alignment vertical="center"/>
    </xf>
    <xf numFmtId="43" fontId="28" fillId="0" borderId="0" xfId="28" applyFont="1" applyFill="1" applyAlignment="1">
      <alignment horizontal="left"/>
    </xf>
    <xf numFmtId="43" fontId="21" fillId="0" borderId="0" xfId="28" applyFont="1" applyFill="1"/>
    <xf numFmtId="179" fontId="65" fillId="0" borderId="0" xfId="28" applyNumberFormat="1" applyFont="1" applyAlignment="1">
      <alignment vertical="center"/>
    </xf>
    <xf numFmtId="180" fontId="65" fillId="0" borderId="0" xfId="28" applyNumberFormat="1" applyFont="1" applyAlignment="1">
      <alignment vertical="center"/>
    </xf>
    <xf numFmtId="181" fontId="65" fillId="0" borderId="0" xfId="28" applyNumberFormat="1" applyFont="1" applyAlignment="1">
      <alignment vertical="center"/>
    </xf>
    <xf numFmtId="43" fontId="20" fillId="0" borderId="0" xfId="160" applyNumberFormat="1" applyFont="1"/>
    <xf numFmtId="41" fontId="13" fillId="33" borderId="0" xfId="32" applyFont="1" applyFill="1"/>
    <xf numFmtId="0" fontId="13" fillId="33" borderId="0" xfId="0" applyFont="1" applyFill="1"/>
    <xf numFmtId="0" fontId="13" fillId="33" borderId="0" xfId="0" applyFont="1" applyFill="1" applyAlignment="1">
      <alignment horizontal="right"/>
    </xf>
    <xf numFmtId="43" fontId="13" fillId="0" borderId="0" xfId="63" applyFont="1"/>
    <xf numFmtId="43" fontId="14" fillId="0" borderId="10" xfId="63" applyFont="1" applyBorder="1"/>
    <xf numFmtId="0" fontId="14" fillId="0" borderId="101" xfId="0" applyFont="1" applyBorder="1"/>
    <xf numFmtId="0" fontId="13" fillId="0" borderId="101" xfId="0" applyFont="1" applyBorder="1"/>
    <xf numFmtId="41" fontId="13" fillId="0" borderId="101" xfId="32" applyFont="1" applyBorder="1"/>
    <xf numFmtId="41" fontId="14" fillId="0" borderId="101" xfId="32" applyFont="1" applyBorder="1"/>
    <xf numFmtId="43" fontId="13" fillId="0" borderId="0" xfId="28" applyFont="1" applyAlignment="1">
      <alignment horizontal="right"/>
    </xf>
    <xf numFmtId="0" fontId="73" fillId="0" borderId="0" xfId="160" applyFont="1"/>
    <xf numFmtId="0" fontId="24" fillId="0" borderId="84" xfId="160" applyFont="1" applyBorder="1" applyAlignment="1">
      <alignment horizontal="left"/>
    </xf>
    <xf numFmtId="0" fontId="24" fillId="0" borderId="15" xfId="160" applyFont="1" applyBorder="1" applyAlignment="1">
      <alignment horizontal="right"/>
    </xf>
    <xf numFmtId="43" fontId="13" fillId="0" borderId="0" xfId="63" applyFont="1" applyAlignment="1">
      <alignment horizontal="center"/>
    </xf>
    <xf numFmtId="182" fontId="34" fillId="0" borderId="0" xfId="0" applyNumberFormat="1" applyFont="1"/>
    <xf numFmtId="0" fontId="2" fillId="30" borderId="21" xfId="137" quotePrefix="1" applyFont="1" applyFill="1" applyBorder="1" applyAlignment="1">
      <alignment vertical="center"/>
    </xf>
    <xf numFmtId="168" fontId="2" fillId="30" borderId="21" xfId="73" applyNumberFormat="1" applyFont="1" applyFill="1" applyBorder="1" applyAlignment="1">
      <alignment horizontal="center" vertical="center"/>
    </xf>
    <xf numFmtId="168" fontId="13" fillId="0" borderId="20" xfId="28" applyNumberFormat="1" applyFont="1" applyFill="1" applyBorder="1"/>
    <xf numFmtId="0" fontId="2" fillId="0" borderId="20" xfId="137" applyFont="1" applyBorder="1" applyAlignment="1">
      <alignment vertical="center"/>
    </xf>
    <xf numFmtId="0" fontId="65" fillId="0" borderId="20" xfId="137" applyBorder="1" applyAlignment="1">
      <alignment horizontal="center" vertical="center"/>
    </xf>
    <xf numFmtId="168" fontId="65" fillId="0" borderId="20" xfId="63" applyNumberFormat="1" applyFont="1" applyBorder="1" applyAlignment="1">
      <alignment vertical="center"/>
    </xf>
    <xf numFmtId="0" fontId="2" fillId="0" borderId="20" xfId="137" applyFont="1" applyBorder="1" applyAlignment="1">
      <alignment horizontal="center" vertical="center"/>
    </xf>
    <xf numFmtId="168" fontId="69" fillId="34" borderId="21" xfId="63" applyNumberFormat="1" applyFont="1" applyFill="1" applyBorder="1" applyAlignment="1">
      <alignment vertical="center"/>
    </xf>
    <xf numFmtId="168" fontId="65" fillId="34" borderId="21" xfId="63" applyNumberFormat="1" applyFont="1" applyFill="1" applyBorder="1" applyAlignment="1">
      <alignment vertical="center"/>
    </xf>
    <xf numFmtId="168" fontId="69" fillId="30" borderId="21" xfId="28" applyNumberFormat="1" applyFont="1" applyFill="1" applyBorder="1" applyAlignment="1">
      <alignment vertical="center"/>
    </xf>
    <xf numFmtId="0" fontId="69" fillId="35" borderId="0" xfId="137" applyFont="1" applyFill="1" applyAlignment="1">
      <alignment vertical="center"/>
    </xf>
    <xf numFmtId="0" fontId="65" fillId="35" borderId="0" xfId="137" applyFill="1" applyAlignment="1">
      <alignment vertical="center"/>
    </xf>
    <xf numFmtId="168" fontId="65" fillId="0" borderId="21" xfId="137" applyNumberFormat="1" applyBorder="1" applyAlignment="1">
      <alignment horizontal="center" vertical="center"/>
    </xf>
    <xf numFmtId="0" fontId="1" fillId="0" borderId="0" xfId="137" applyFont="1" applyAlignment="1">
      <alignment vertical="center"/>
    </xf>
    <xf numFmtId="9" fontId="34" fillId="0" borderId="21" xfId="0" applyNumberFormat="1" applyFont="1" applyBorder="1"/>
    <xf numFmtId="0" fontId="60" fillId="0" borderId="0" xfId="63" applyNumberFormat="1" applyFont="1" applyFill="1" applyBorder="1" applyAlignment="1">
      <alignment horizontal="center" vertical="center"/>
    </xf>
    <xf numFmtId="0" fontId="76" fillId="0" borderId="0" xfId="160" applyFont="1" applyAlignment="1">
      <alignment horizontal="left"/>
    </xf>
    <xf numFmtId="0" fontId="77" fillId="0" borderId="0" xfId="160" applyFont="1" applyProtection="1">
      <protection locked="0"/>
    </xf>
    <xf numFmtId="0" fontId="5" fillId="0" borderId="0" xfId="0" applyFont="1" applyAlignment="1">
      <alignment horizontal="center"/>
    </xf>
    <xf numFmtId="0" fontId="28" fillId="0" borderId="104" xfId="160" applyFont="1" applyBorder="1" applyAlignment="1">
      <alignment horizontal="center"/>
    </xf>
    <xf numFmtId="0" fontId="28" fillId="0" borderId="105" xfId="160" applyFont="1" applyBorder="1" applyAlignment="1">
      <alignment horizontal="center"/>
    </xf>
    <xf numFmtId="0" fontId="28" fillId="0" borderId="106" xfId="160" applyFont="1" applyBorder="1" applyAlignment="1">
      <alignment horizontal="center"/>
    </xf>
    <xf numFmtId="0" fontId="22" fillId="0" borderId="65" xfId="160" applyFont="1" applyBorder="1" applyAlignment="1">
      <alignment horizontal="center"/>
    </xf>
    <xf numFmtId="0" fontId="22" fillId="0" borderId="94" xfId="160" applyFont="1" applyBorder="1" applyAlignment="1">
      <alignment horizontal="center"/>
    </xf>
    <xf numFmtId="0" fontId="22" fillId="0" borderId="20" xfId="160" applyFont="1" applyBorder="1" applyAlignment="1">
      <alignment horizontal="center"/>
    </xf>
    <xf numFmtId="0" fontId="22" fillId="0" borderId="103" xfId="160" applyFont="1" applyBorder="1" applyAlignment="1">
      <alignment horizontal="center"/>
    </xf>
    <xf numFmtId="0" fontId="22" fillId="0" borderId="67" xfId="160" applyFont="1" applyBorder="1" applyAlignment="1">
      <alignment horizontal="center"/>
    </xf>
    <xf numFmtId="0" fontId="28" fillId="0" borderId="109" xfId="160" applyFont="1" applyBorder="1" applyAlignment="1">
      <alignment horizontal="center"/>
    </xf>
    <xf numFmtId="0" fontId="28" fillId="0" borderId="26" xfId="160" applyFont="1" applyBorder="1" applyAlignment="1">
      <alignment horizontal="center"/>
    </xf>
    <xf numFmtId="0" fontId="28" fillId="0" borderId="110" xfId="160" applyFont="1" applyBorder="1" applyAlignment="1">
      <alignment horizontal="center"/>
    </xf>
    <xf numFmtId="168" fontId="6" fillId="0" borderId="0" xfId="28" applyNumberFormat="1" applyFont="1" applyFill="1" applyAlignment="1">
      <alignment horizontal="center"/>
    </xf>
    <xf numFmtId="0" fontId="28" fillId="0" borderId="0" xfId="160" applyFont="1" applyAlignment="1">
      <alignment horizontal="left"/>
    </xf>
    <xf numFmtId="0" fontId="22" fillId="0" borderId="107" xfId="160" applyFont="1" applyBorder="1" applyAlignment="1">
      <alignment horizontal="center" vertical="center"/>
    </xf>
    <xf numFmtId="0" fontId="22" fillId="0" borderId="62" xfId="160" applyFont="1" applyBorder="1" applyAlignment="1">
      <alignment horizontal="center" vertical="center"/>
    </xf>
    <xf numFmtId="0" fontId="22" fillId="0" borderId="108" xfId="160" applyFont="1" applyBorder="1" applyAlignment="1">
      <alignment horizontal="center" vertical="center"/>
    </xf>
    <xf numFmtId="0" fontId="22" fillId="0" borderId="26" xfId="160" applyFont="1" applyBorder="1" applyAlignment="1">
      <alignment horizontal="center" vertical="center"/>
    </xf>
    <xf numFmtId="0" fontId="22" fillId="0" borderId="0" xfId="160" applyFont="1" applyAlignment="1">
      <alignment horizontal="center" vertical="center"/>
    </xf>
    <xf numFmtId="0" fontId="22" fillId="0" borderId="31" xfId="160" applyFont="1" applyBorder="1" applyAlignment="1">
      <alignment horizontal="center" vertical="center"/>
    </xf>
    <xf numFmtId="0" fontId="22" fillId="0" borderId="66" xfId="160" applyFont="1" applyBorder="1" applyAlignment="1">
      <alignment horizontal="center"/>
    </xf>
    <xf numFmtId="0" fontId="22" fillId="0" borderId="90" xfId="160" applyFont="1" applyBorder="1" applyAlignment="1">
      <alignment horizontal="center"/>
    </xf>
    <xf numFmtId="0" fontId="22" fillId="0" borderId="42" xfId="160" applyFont="1" applyBorder="1" applyAlignment="1">
      <alignment horizontal="center"/>
    </xf>
    <xf numFmtId="0" fontId="22" fillId="0" borderId="84" xfId="160" applyFont="1" applyBorder="1" applyAlignment="1">
      <alignment horizontal="center" vertical="center"/>
    </xf>
    <xf numFmtId="0" fontId="22" fillId="0" borderId="15" xfId="160" applyFont="1" applyBorder="1" applyAlignment="1">
      <alignment horizontal="center" vertical="center"/>
    </xf>
    <xf numFmtId="0" fontId="22" fillId="0" borderId="25" xfId="16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60" fillId="28" borderId="111" xfId="63" applyNumberFormat="1" applyFont="1" applyFill="1" applyBorder="1" applyAlignment="1">
      <alignment horizontal="center" vertical="center"/>
    </xf>
    <xf numFmtId="0" fontId="60" fillId="28" borderId="105" xfId="63" applyNumberFormat="1" applyFont="1" applyFill="1" applyBorder="1" applyAlignment="1">
      <alignment horizontal="center" vertical="center"/>
    </xf>
    <xf numFmtId="0" fontId="60" fillId="28" borderId="112" xfId="63" applyNumberFormat="1" applyFont="1" applyFill="1" applyBorder="1" applyAlignment="1">
      <alignment horizontal="center" vertical="center"/>
    </xf>
    <xf numFmtId="168" fontId="60" fillId="28" borderId="20" xfId="63" applyNumberFormat="1" applyFont="1" applyFill="1" applyBorder="1" applyAlignment="1">
      <alignment horizontal="center" vertical="center" wrapText="1"/>
    </xf>
    <xf numFmtId="0" fontId="60" fillId="28" borderId="44" xfId="137" applyFont="1" applyFill="1" applyBorder="1" applyAlignment="1">
      <alignment horizontal="center" vertical="center"/>
    </xf>
    <xf numFmtId="0" fontId="60" fillId="28" borderId="21" xfId="137" applyFont="1" applyFill="1" applyBorder="1" applyAlignment="1">
      <alignment horizontal="center" vertical="center"/>
    </xf>
    <xf numFmtId="0" fontId="60" fillId="28" borderId="16" xfId="137" applyFont="1" applyFill="1" applyBorder="1" applyAlignment="1">
      <alignment horizontal="center" vertical="center"/>
    </xf>
    <xf numFmtId="168" fontId="60" fillId="28" borderId="44" xfId="63" applyNumberFormat="1" applyFont="1" applyFill="1" applyBorder="1" applyAlignment="1">
      <alignment horizontal="center" vertical="center"/>
    </xf>
    <xf numFmtId="168" fontId="60" fillId="28" borderId="21" xfId="63" applyNumberFormat="1" applyFont="1" applyFill="1" applyBorder="1" applyAlignment="1">
      <alignment horizontal="center" vertical="center"/>
    </xf>
    <xf numFmtId="168" fontId="60" fillId="28" borderId="16" xfId="63" applyNumberFormat="1" applyFont="1" applyFill="1" applyBorder="1" applyAlignment="1">
      <alignment horizontal="center" vertical="center"/>
    </xf>
    <xf numFmtId="0" fontId="65" fillId="34" borderId="20" xfId="137" applyFill="1" applyBorder="1" applyAlignment="1">
      <alignment horizontal="center" vertical="center"/>
    </xf>
    <xf numFmtId="168" fontId="60" fillId="28" borderId="49" xfId="63" applyNumberFormat="1" applyFont="1" applyFill="1" applyBorder="1" applyAlignment="1">
      <alignment horizontal="center" vertical="center" wrapText="1"/>
    </xf>
    <xf numFmtId="168" fontId="60" fillId="28" borderId="0" xfId="63" applyNumberFormat="1" applyFont="1" applyFill="1" applyBorder="1" applyAlignment="1">
      <alignment horizontal="center" vertical="center" wrapText="1"/>
    </xf>
    <xf numFmtId="168" fontId="60" fillId="28" borderId="92" xfId="63" applyNumberFormat="1" applyFont="1" applyFill="1" applyBorder="1" applyAlignment="1">
      <alignment horizontal="center" vertical="center" wrapText="1"/>
    </xf>
    <xf numFmtId="168" fontId="60" fillId="28" borderId="15" xfId="63" applyNumberFormat="1" applyFont="1" applyFill="1" applyBorder="1" applyAlignment="1">
      <alignment horizontal="center" vertical="center" wrapText="1"/>
    </xf>
    <xf numFmtId="0" fontId="60" fillId="28" borderId="49" xfId="63" applyNumberFormat="1" applyFont="1" applyFill="1" applyBorder="1" applyAlignment="1">
      <alignment horizontal="center" vertical="center" wrapText="1"/>
    </xf>
    <xf numFmtId="0" fontId="60" fillId="28" borderId="0" xfId="63" applyNumberFormat="1" applyFont="1" applyFill="1" applyBorder="1" applyAlignment="1">
      <alignment horizontal="center" vertical="center" wrapText="1"/>
    </xf>
    <xf numFmtId="0" fontId="60" fillId="28" borderId="92" xfId="63" applyNumberFormat="1" applyFont="1" applyFill="1" applyBorder="1" applyAlignment="1">
      <alignment horizontal="center" vertical="center" wrapText="1"/>
    </xf>
    <xf numFmtId="0" fontId="60" fillId="28" borderId="15" xfId="63" applyNumberFormat="1" applyFont="1" applyFill="1" applyBorder="1" applyAlignment="1">
      <alignment horizontal="center" vertical="center" wrapText="1"/>
    </xf>
    <xf numFmtId="168" fontId="60" fillId="28" borderId="90" xfId="63" applyNumberFormat="1" applyFont="1" applyFill="1" applyBorder="1" applyAlignment="1">
      <alignment horizontal="center" vertical="center" wrapText="1"/>
    </xf>
    <xf numFmtId="168" fontId="60" fillId="28" borderId="42" xfId="63" applyNumberFormat="1" applyFont="1" applyFill="1" applyBorder="1" applyAlignment="1">
      <alignment horizontal="center" vertical="center" wrapText="1"/>
    </xf>
    <xf numFmtId="0" fontId="72" fillId="27" borderId="0" xfId="137" applyFont="1" applyFill="1" applyAlignment="1">
      <alignment horizontal="center" vertical="center"/>
    </xf>
    <xf numFmtId="0" fontId="60" fillId="28" borderId="20" xfId="130" applyFont="1" applyFill="1" applyBorder="1" applyAlignment="1">
      <alignment horizontal="center" vertical="center" wrapText="1"/>
    </xf>
    <xf numFmtId="175" fontId="60" fillId="28" borderId="111" xfId="130" applyNumberFormat="1" applyFont="1" applyFill="1" applyBorder="1" applyAlignment="1">
      <alignment horizontal="center"/>
    </xf>
    <xf numFmtId="175" fontId="60" fillId="28" borderId="105" xfId="130" applyNumberFormat="1" applyFont="1" applyFill="1" applyBorder="1" applyAlignment="1">
      <alignment horizontal="center"/>
    </xf>
    <xf numFmtId="175" fontId="60" fillId="28" borderId="112" xfId="130" applyNumberFormat="1" applyFont="1" applyFill="1" applyBorder="1" applyAlignment="1">
      <alignment horizontal="center"/>
    </xf>
    <xf numFmtId="0" fontId="60" fillId="28" borderId="113" xfId="130" applyFont="1" applyFill="1" applyBorder="1" applyAlignment="1">
      <alignment horizontal="center" vertical="center"/>
    </xf>
    <xf numFmtId="0" fontId="60" fillId="28" borderId="114" xfId="130" applyFont="1" applyFill="1" applyBorder="1" applyAlignment="1">
      <alignment horizontal="center" vertical="center"/>
    </xf>
    <xf numFmtId="0" fontId="60" fillId="28" borderId="49" xfId="130" applyFont="1" applyFill="1" applyBorder="1" applyAlignment="1">
      <alignment horizontal="center" vertical="center"/>
    </xf>
    <xf numFmtId="0" fontId="60" fillId="28" borderId="81" xfId="130" applyFont="1" applyFill="1" applyBorder="1" applyAlignment="1">
      <alignment horizontal="center" vertical="center"/>
    </xf>
    <xf numFmtId="0" fontId="60" fillId="28" borderId="44" xfId="130" applyFont="1" applyFill="1" applyBorder="1" applyAlignment="1">
      <alignment horizontal="center" vertical="center"/>
    </xf>
    <xf numFmtId="0" fontId="60" fillId="28" borderId="21" xfId="130" applyFont="1" applyFill="1" applyBorder="1" applyAlignment="1">
      <alignment horizontal="center" vertical="center"/>
    </xf>
    <xf numFmtId="0" fontId="60" fillId="28" borderId="16" xfId="130" applyFont="1" applyFill="1" applyBorder="1" applyAlignment="1">
      <alignment horizontal="center" vertical="center"/>
    </xf>
    <xf numFmtId="0" fontId="65" fillId="34" borderId="20" xfId="137" applyFill="1" applyBorder="1" applyAlignment="1">
      <alignment horizontal="center"/>
    </xf>
    <xf numFmtId="0" fontId="71" fillId="0" borderId="0" xfId="0" applyFont="1" applyAlignment="1">
      <alignment horizontal="center" vertic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9" fontId="14" fillId="0" borderId="10" xfId="0" applyNumberFormat="1" applyFont="1" applyBorder="1" applyAlignment="1">
      <alignment horizontal="center"/>
    </xf>
    <xf numFmtId="9" fontId="14" fillId="0" borderId="15" xfId="0" applyNumberFormat="1" applyFont="1" applyBorder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0" fontId="5" fillId="31" borderId="24" xfId="134" applyFont="1" applyFill="1" applyBorder="1" applyAlignment="1">
      <alignment horizontal="center" vertical="center" wrapText="1"/>
    </xf>
    <xf numFmtId="0" fontId="5" fillId="31" borderId="21" xfId="134" applyFont="1" applyFill="1" applyBorder="1" applyAlignment="1">
      <alignment horizontal="center" vertical="center" wrapText="1"/>
    </xf>
    <xf numFmtId="168" fontId="5" fillId="31" borderId="24" xfId="28" applyNumberFormat="1" applyFont="1" applyFill="1" applyBorder="1" applyAlignment="1">
      <alignment horizontal="center" vertical="center" wrapText="1"/>
    </xf>
    <xf numFmtId="168" fontId="5" fillId="31" borderId="21" xfId="28" applyNumberFormat="1" applyFont="1" applyFill="1" applyBorder="1" applyAlignment="1">
      <alignment horizontal="center" vertical="center" wrapText="1"/>
    </xf>
    <xf numFmtId="0" fontId="5" fillId="31" borderId="20" xfId="134" applyFont="1" applyFill="1" applyBorder="1" applyAlignment="1">
      <alignment horizontal="center" vertical="center"/>
    </xf>
    <xf numFmtId="0" fontId="14" fillId="0" borderId="90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78" fillId="0" borderId="0" xfId="160" applyFont="1"/>
    <xf numFmtId="168" fontId="78" fillId="0" borderId="0" xfId="28" applyNumberFormat="1" applyFont="1" applyFill="1"/>
    <xf numFmtId="168" fontId="79" fillId="0" borderId="0" xfId="28" applyNumberFormat="1" applyFont="1" applyFill="1"/>
    <xf numFmtId="168" fontId="80" fillId="0" borderId="0" xfId="28" applyNumberFormat="1" applyFont="1" applyFill="1"/>
    <xf numFmtId="0" fontId="79" fillId="0" borderId="0" xfId="160" applyFont="1"/>
    <xf numFmtId="0" fontId="81" fillId="0" borderId="0" xfId="160" applyFont="1" applyAlignment="1">
      <alignment vertical="center"/>
    </xf>
    <xf numFmtId="168" fontId="81" fillId="0" borderId="0" xfId="28" applyNumberFormat="1" applyFont="1" applyFill="1" applyAlignment="1">
      <alignment vertical="center"/>
    </xf>
    <xf numFmtId="168" fontId="82" fillId="0" borderId="0" xfId="28" applyNumberFormat="1" applyFont="1" applyFill="1" applyAlignment="1">
      <alignment vertical="center"/>
    </xf>
    <xf numFmtId="168" fontId="83" fillId="0" borderId="0" xfId="28" applyNumberFormat="1" applyFont="1" applyFill="1" applyAlignment="1">
      <alignment vertical="center"/>
    </xf>
    <xf numFmtId="168" fontId="82" fillId="0" borderId="0" xfId="28" applyNumberFormat="1" applyFont="1" applyFill="1" applyAlignment="1">
      <alignment horizontal="center" vertical="center"/>
    </xf>
    <xf numFmtId="0" fontId="82" fillId="0" borderId="0" xfId="160" applyFont="1" applyAlignment="1">
      <alignment vertical="center"/>
    </xf>
    <xf numFmtId="0" fontId="81" fillId="0" borderId="0" xfId="160" applyFont="1" applyAlignment="1">
      <alignment horizontal="center" vertical="center"/>
    </xf>
    <xf numFmtId="168" fontId="81" fillId="0" borderId="0" xfId="28" applyNumberFormat="1" applyFont="1" applyFill="1" applyAlignment="1">
      <alignment horizontal="center" vertical="center"/>
    </xf>
    <xf numFmtId="168" fontId="83" fillId="0" borderId="0" xfId="28" applyNumberFormat="1" applyFont="1" applyFill="1" applyAlignment="1">
      <alignment horizontal="center" vertical="center"/>
    </xf>
    <xf numFmtId="0" fontId="82" fillId="0" borderId="0" xfId="160" applyFont="1" applyAlignment="1">
      <alignment horizontal="center" vertical="center"/>
    </xf>
    <xf numFmtId="168" fontId="82" fillId="0" borderId="0" xfId="28" applyNumberFormat="1" applyFont="1" applyFill="1" applyAlignment="1">
      <alignment horizontal="center" vertical="center"/>
    </xf>
    <xf numFmtId="0" fontId="84" fillId="0" borderId="0" xfId="160" applyFont="1" applyAlignment="1">
      <alignment vertical="center"/>
    </xf>
    <xf numFmtId="168" fontId="84" fillId="0" borderId="0" xfId="28" applyNumberFormat="1" applyFont="1" applyFill="1" applyAlignment="1">
      <alignment vertical="center"/>
    </xf>
    <xf numFmtId="168" fontId="85" fillId="0" borderId="0" xfId="28" applyNumberFormat="1" applyFont="1" applyFill="1" applyAlignment="1">
      <alignment vertical="center"/>
    </xf>
    <xf numFmtId="168" fontId="86" fillId="0" borderId="0" xfId="28" applyNumberFormat="1" applyFont="1" applyFill="1" applyAlignment="1">
      <alignment vertical="center"/>
    </xf>
    <xf numFmtId="168" fontId="85" fillId="0" borderId="0" xfId="28" applyNumberFormat="1" applyFont="1" applyFill="1" applyAlignment="1">
      <alignment horizontal="center" vertical="center"/>
    </xf>
    <xf numFmtId="0" fontId="85" fillId="0" borderId="0" xfId="160" applyFont="1" applyAlignment="1">
      <alignment vertical="center"/>
    </xf>
    <xf numFmtId="0" fontId="19" fillId="0" borderId="18" xfId="0" applyFont="1" applyFill="1" applyBorder="1"/>
    <xf numFmtId="41" fontId="19" fillId="0" borderId="18" xfId="0" applyNumberFormat="1" applyFont="1" applyFill="1" applyBorder="1"/>
    <xf numFmtId="0" fontId="5" fillId="0" borderId="0" xfId="0" applyFont="1" applyAlignment="1"/>
    <xf numFmtId="0" fontId="13" fillId="0" borderId="20" xfId="0" applyFont="1" applyFill="1" applyBorder="1"/>
    <xf numFmtId="0" fontId="13" fillId="0" borderId="20" xfId="0" applyFont="1" applyFill="1" applyBorder="1" applyAlignment="1">
      <alignment horizontal="center"/>
    </xf>
    <xf numFmtId="0" fontId="13" fillId="0" borderId="0" xfId="0" applyFont="1" applyFill="1"/>
    <xf numFmtId="168" fontId="0" fillId="0" borderId="0" xfId="0" applyNumberFormat="1" applyFill="1"/>
    <xf numFmtId="0" fontId="0" fillId="0" borderId="0" xfId="0" applyFill="1"/>
    <xf numFmtId="168" fontId="15" fillId="0" borderId="20" xfId="28" applyNumberFormat="1" applyFont="1" applyFill="1" applyBorder="1"/>
    <xf numFmtId="0" fontId="13" fillId="0" borderId="0" xfId="0" applyFont="1" applyFill="1" applyAlignment="1">
      <alignment horizontal="center"/>
    </xf>
    <xf numFmtId="168" fontId="15" fillId="0" borderId="0" xfId="28" applyNumberFormat="1" applyFont="1" applyFill="1"/>
    <xf numFmtId="0" fontId="14" fillId="0" borderId="0" xfId="0" applyFont="1" applyFill="1"/>
    <xf numFmtId="0" fontId="14" fillId="0" borderId="0" xfId="0" applyFont="1" applyFill="1" applyAlignment="1">
      <alignment horizontal="center"/>
    </xf>
    <xf numFmtId="168" fontId="13" fillId="0" borderId="0" xfId="28" applyNumberFormat="1" applyFont="1" applyFill="1" applyBorder="1"/>
    <xf numFmtId="168" fontId="13" fillId="0" borderId="0" xfId="28" applyNumberFormat="1" applyFont="1" applyFill="1"/>
    <xf numFmtId="168" fontId="15" fillId="0" borderId="0" xfId="28" applyNumberFormat="1" applyFont="1" applyFill="1" applyBorder="1"/>
    <xf numFmtId="0" fontId="13" fillId="0" borderId="42" xfId="0" applyFont="1" applyFill="1" applyBorder="1"/>
    <xf numFmtId="168" fontId="16" fillId="0" borderId="0" xfId="28" applyNumberFormat="1" applyFont="1" applyFill="1"/>
    <xf numFmtId="0" fontId="43" fillId="0" borderId="0" xfId="159" applyBorder="1"/>
    <xf numFmtId="0" fontId="18" fillId="0" borderId="0" xfId="159" applyFont="1" applyBorder="1"/>
    <xf numFmtId="0" fontId="43" fillId="0" borderId="0" xfId="159" applyBorder="1" applyAlignment="1">
      <alignment horizontal="center"/>
    </xf>
    <xf numFmtId="0" fontId="49" fillId="0" borderId="0" xfId="159" applyFont="1" applyBorder="1" applyAlignment="1">
      <alignment horizontal="center"/>
    </xf>
    <xf numFmtId="0" fontId="48" fillId="0" borderId="0" xfId="159" applyFont="1" applyBorder="1" applyAlignment="1">
      <alignment horizontal="center"/>
    </xf>
    <xf numFmtId="0" fontId="50" fillId="0" borderId="0" xfId="159" applyFont="1" applyBorder="1" applyAlignment="1">
      <alignment horizontal="center"/>
    </xf>
    <xf numFmtId="171" fontId="50" fillId="0" borderId="0" xfId="159" applyNumberFormat="1" applyFont="1" applyBorder="1" applyAlignment="1">
      <alignment horizontal="center"/>
    </xf>
  </cellXfs>
  <cellStyles count="16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 - Style1" xfId="29"/>
    <cellStyle name="Comma  - Style2" xfId="30"/>
    <cellStyle name="Comma  - Style3" xfId="31"/>
    <cellStyle name="Comma [0]" xfId="32" builtinId="6"/>
    <cellStyle name="Comma [0] 10" xfId="33"/>
    <cellStyle name="Comma [0] 11" xfId="34"/>
    <cellStyle name="Comma [0] 12" xfId="35"/>
    <cellStyle name="Comma [0] 13" xfId="36"/>
    <cellStyle name="Comma [0] 14" xfId="37"/>
    <cellStyle name="Comma [0] 15" xfId="38"/>
    <cellStyle name="Comma [0] 16" xfId="39"/>
    <cellStyle name="Comma [0] 17" xfId="40"/>
    <cellStyle name="Comma [0] 18" xfId="41"/>
    <cellStyle name="Comma [0] 19" xfId="42"/>
    <cellStyle name="Comma [0] 2" xfId="43"/>
    <cellStyle name="Comma [0] 2 2" xfId="44"/>
    <cellStyle name="Comma [0] 2 2 2" xfId="45"/>
    <cellStyle name="Comma [0] 2 2 3" xfId="46"/>
    <cellStyle name="Comma [0] 2 3" xfId="47"/>
    <cellStyle name="Comma [0] 2 3 2" xfId="48"/>
    <cellStyle name="Comma [0] 2 3 3" xfId="49"/>
    <cellStyle name="Comma [0] 2 4" xfId="50"/>
    <cellStyle name="Comma [0] 2 4 2" xfId="51"/>
    <cellStyle name="Comma [0] 2 4 3" xfId="52"/>
    <cellStyle name="Comma [0] 20" xfId="53"/>
    <cellStyle name="Comma [0] 21" xfId="54"/>
    <cellStyle name="Comma [0] 3" xfId="55"/>
    <cellStyle name="Comma [0] 4" xfId="56"/>
    <cellStyle name="Comma [0] 4 2" xfId="57"/>
    <cellStyle name="Comma [0] 5" xfId="58"/>
    <cellStyle name="Comma [0] 6" xfId="59"/>
    <cellStyle name="Comma [0] 7" xfId="60"/>
    <cellStyle name="Comma [0] 8" xfId="61"/>
    <cellStyle name="Comma [0] 9" xfId="62"/>
    <cellStyle name="Comma 10" xfId="63"/>
    <cellStyle name="Comma 11" xfId="64"/>
    <cellStyle name="Comma 12" xfId="65"/>
    <cellStyle name="Comma 13" xfId="66"/>
    <cellStyle name="Comma 14" xfId="67"/>
    <cellStyle name="Comma 15" xfId="68"/>
    <cellStyle name="Comma 16" xfId="69"/>
    <cellStyle name="Comma 17" xfId="70"/>
    <cellStyle name="Comma 18" xfId="71"/>
    <cellStyle name="Comma 19" xfId="72"/>
    <cellStyle name="Comma 2" xfId="73"/>
    <cellStyle name="Comma 2 2" xfId="74"/>
    <cellStyle name="Comma 2 2 2" xfId="75"/>
    <cellStyle name="Comma 2 2 3" xfId="76"/>
    <cellStyle name="Comma 2 3" xfId="77"/>
    <cellStyle name="Comma 2 3 2" xfId="78"/>
    <cellStyle name="Comma 2 3 3" xfId="79"/>
    <cellStyle name="Comma 2 4" xfId="80"/>
    <cellStyle name="Comma 2 4 2" xfId="81"/>
    <cellStyle name="Comma 2 4 3" xfId="82"/>
    <cellStyle name="Comma 2 5" xfId="83"/>
    <cellStyle name="Comma 2 6" xfId="84"/>
    <cellStyle name="Comma 20" xfId="85"/>
    <cellStyle name="Comma 21" xfId="86"/>
    <cellStyle name="Comma 22" xfId="87"/>
    <cellStyle name="Comma 3" xfId="88"/>
    <cellStyle name="Comma 3 2" xfId="89"/>
    <cellStyle name="Comma 3 3" xfId="90"/>
    <cellStyle name="Comma 4" xfId="91"/>
    <cellStyle name="Comma 5" xfId="92"/>
    <cellStyle name="Comma 6" xfId="93"/>
    <cellStyle name="Comma 7" xfId="94"/>
    <cellStyle name="Comma 8" xfId="95"/>
    <cellStyle name="Comma 9" xfId="96"/>
    <cellStyle name="Curren - Style2" xfId="97"/>
    <cellStyle name="Curren - Style7" xfId="98"/>
    <cellStyle name="Curren - Style8" xfId="99"/>
    <cellStyle name="Explanatory Text" xfId="100" builtinId="53" customBuiltin="1"/>
    <cellStyle name="Good" xfId="101" builtinId="26" customBuiltin="1"/>
    <cellStyle name="Heading 1" xfId="102" builtinId="16" customBuiltin="1"/>
    <cellStyle name="Heading 2" xfId="103" builtinId="17" customBuiltin="1"/>
    <cellStyle name="Heading 3" xfId="104" builtinId="18" customBuiltin="1"/>
    <cellStyle name="Heading 4" xfId="105" builtinId="19" customBuiltin="1"/>
    <cellStyle name="Input" xfId="106" builtinId="20" customBuiltin="1"/>
    <cellStyle name="Linked Cell" xfId="107" builtinId="24" customBuiltin="1"/>
    <cellStyle name="Neutral" xfId="108" builtinId="28" customBuiltin="1"/>
    <cellStyle name="Norma - Style1" xfId="109"/>
    <cellStyle name="Norma - Style2" xfId="110"/>
    <cellStyle name="Norma - Style3" xfId="111"/>
    <cellStyle name="Norma - Style4" xfId="112"/>
    <cellStyle name="Norma - Style5" xfId="113"/>
    <cellStyle name="Norma - Style6" xfId="114"/>
    <cellStyle name="Norma - Style7" xfId="115"/>
    <cellStyle name="Norma - Style8" xfId="116"/>
    <cellStyle name="Normal" xfId="0" builtinId="0"/>
    <cellStyle name="Normal - Style1" xfId="117"/>
    <cellStyle name="Normal 10" xfId="118"/>
    <cellStyle name="Normal 11" xfId="119"/>
    <cellStyle name="Normal 12" xfId="120"/>
    <cellStyle name="Normal 13" xfId="121"/>
    <cellStyle name="Normal 14" xfId="122"/>
    <cellStyle name="Normal 15" xfId="123"/>
    <cellStyle name="Normal 16" xfId="124"/>
    <cellStyle name="Normal 17" xfId="125"/>
    <cellStyle name="Normal 18" xfId="126"/>
    <cellStyle name="Normal 19" xfId="127"/>
    <cellStyle name="Normal 2" xfId="128"/>
    <cellStyle name="Normal 2 2" xfId="129"/>
    <cellStyle name="Normal 2 2 2" xfId="130"/>
    <cellStyle name="Normal 2 2 2 2" xfId="131"/>
    <cellStyle name="Normal 2 2 3" xfId="132"/>
    <cellStyle name="Normal 2 3" xfId="133"/>
    <cellStyle name="Normal 2_Data Luas Blok Per tahun tanam tahun 2011-LSU" xfId="134"/>
    <cellStyle name="Normal 20" xfId="135"/>
    <cellStyle name="Normal 21" xfId="136"/>
    <cellStyle name="Normal 22" xfId="137"/>
    <cellStyle name="Normal 3" xfId="138"/>
    <cellStyle name="Normal 3 2" xfId="139"/>
    <cellStyle name="Normal 3 2 2" xfId="140"/>
    <cellStyle name="Normal 3 2 3" xfId="141"/>
    <cellStyle name="Normal 3 3" xfId="142"/>
    <cellStyle name="Normal 3 3 2" xfId="143"/>
    <cellStyle name="Normal 3 3 3" xfId="144"/>
    <cellStyle name="Normal 3 4" xfId="145"/>
    <cellStyle name="Normal 3 4 2" xfId="146"/>
    <cellStyle name="Normal 3 4 3" xfId="147"/>
    <cellStyle name="Normal 4" xfId="148"/>
    <cellStyle name="Normal 4 2" xfId="149"/>
    <cellStyle name="Normal 4 3" xfId="150"/>
    <cellStyle name="Normal 4 4" xfId="151"/>
    <cellStyle name="Normal 5" xfId="152"/>
    <cellStyle name="Normal 6" xfId="153"/>
    <cellStyle name="Normal 7" xfId="154"/>
    <cellStyle name="Normal 8" xfId="155"/>
    <cellStyle name="Normal 9" xfId="156"/>
    <cellStyle name="Normal_Book1" xfId="157"/>
    <cellStyle name="Normal_Data Luas Blok Per tahun tanam tahun 2011-LSU" xfId="158"/>
    <cellStyle name="Normal_Form Budget 2008 Non Biaya Rev01" xfId="159"/>
    <cellStyle name="Normal_RKP FFD 5 Tahun 2008-2012" xfId="160"/>
    <cellStyle name="Note" xfId="161" builtinId="10" customBuiltin="1"/>
    <cellStyle name="Output" xfId="162" builtinId="21" customBuiltin="1"/>
    <cellStyle name="Percent 2" xfId="163"/>
    <cellStyle name="Title" xfId="164" builtinId="15" customBuiltin="1"/>
    <cellStyle name="Total" xfId="165" builtinId="25" customBuiltin="1"/>
    <cellStyle name="User_Defined_A" xfId="166"/>
    <cellStyle name="Warning Text" xfId="16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170793</xdr:colOff>
      <xdr:row>11</xdr:row>
      <xdr:rowOff>26276</xdr:rowOff>
    </xdr:from>
    <xdr:to>
      <xdr:col>6</xdr:col>
      <xdr:colOff>505810</xdr:colOff>
      <xdr:row>19</xdr:row>
      <xdr:rowOff>203638</xdr:rowOff>
    </xdr:to>
    <xdr:pic>
      <xdr:nvPicPr>
        <xdr:cNvPr id="3" name="Picture 2" descr="logo kumai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3741" y="2167759"/>
          <a:ext cx="2483069" cy="19641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mi\umum\CH3-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1\data\BUDGET\MSOFFICE\EXCEL\MGR-2000\AGST\MGR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1\data\MSOFFICE\EXCEL\AGRONOMY\LAP_SKT\SRH_TRM\2001_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sma1-04\sharing\Data%20Yitno\PRESENTASE%20BUDGET-2008\DAFTAR%20FORM%20BUDGET%202008_KEBUN-REVISI%2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DGET%202018%20PT.KS%20Koreksi%20EM\Data%20kerja\Agronomi%20Staff\Budget\2009\Budget%202009%20OK\PLASMA%201\BUDGET%20KAPIT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784716b0031ab24/Documents/RKP%202022/4.%20RKP%202022%20-%20Update%20November%202022/Data%20FFD/BUDGET%20KAPIT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2000\Upah%20SKU%20Budget%20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aataaa\hujan\CH3-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yan\MY%20DOCUMENTS\DOCUME~1\Aan\LOCALS~1\Temp\Agro%2003%20-%201997\Excel\Manager%20Repo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shori\agronomi\Agro%2003%20-%201997\Excel\Manager%20Repo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kb-po1\ojeng_folder_share\F\BUDGET%202008\BGT%202008_INTI\BGT%20KPTL%20IT%2024_09_07_KOREKSI\PLANTATION%20OPERATION%20F\PRESENTASI%202006\PRESENTASI%20PROGRESS%202006_MANAGER_DATA_BLANGKO%20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sma1-04\sharing\Data%20Yitno\PRESENTASE%20BUDGET-2008\PLANTATION%20OPERATION%20F\PRESENTASI%202006\PRESENTASI%20PROGRESS%202006_MANAGER_DATA_BLANGKO%20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3.49\po\F\BUDGET%202008_FINAL\BGT%202008_REKAPITULASI\BUDGET%20INTI%20TA%202008\PLANTATION%20OPERATION%20F\PRESENTASI%202006\PRESENTASI%20PROGRESS%202006_MANAGER_DATA_BLANGKO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kb-po1\ojeng_folder_share\F\BUDGET%202008\BGT%202008_LAIN2\PLANTATION%20OPERATION%20F\PRESENTASI%202006\PRESENTASI%20PROGRESS%202006_MANAGER_DATA_BLANGKO%20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DGET%202018%20PT.KS%20Koreksi%20EM\Budget%20Tanam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1\data\BGT-2003\pres\MSOFFICE\EXCEL\MGR-2000\AGST\MGR_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3.49\po\F\BUDGET%202008_FINAL\BGT%202008_REKAPITULASI\Budget%20P2%202008%20edit%20ok\P2%20Lama\data%20link\TITIPAN\TITIPAN%20TANAMAN\Yitno\DATA%20Utk%20MEETING%20TGL%2007-0-2007\PRESENTASI%20PROGRESS%202006_MANAGER_DATA_BLANGKO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3.49\po\F\BUDGET%202008_FINAL\BGT%202008_REKAPITULASI\BGT_2008_PLASMA%201-REVISI\BUDGET%20KAPIT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e-01\data-off\data-off\budget-03\prabudget\daaataaa\hujan\CH3-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grkebun\C\Documents%20and%20Settings\Ojeng\My%20Documents\DOKUMEN%20DARI%20PKS\CONTOH%20BUDGET%20P%20SYOFNIR\6.%20%20%20BUDGET%20-%202007\Presentasi-Totalitas-Estate-Bgt2007%20a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sma3\c\Documents%20and%20Settings\Ojeng\My%20Documents\DOKUMEN%20DARI%20PKS\CONTOH%20BUDGET%20P%20SYOFNIR\6.%20%20%20BUDGET%20-%202007\Presentasi-Totalitas-Estate-Bgt2007%20as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uz\Downloads\Daftar%20harga%20satu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784716b0031ab24/Documents/RKP%202022/4.%20RKP%202022%20-%20Update%20November%202022/RKP%20PT.%20KS_Inti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784716b0031ab24/Documents/RKP%202022/4.%20RKP%202022%20-%20Update%20November%202022/RKP%20PT.%20KS_Inti%20Revisi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huja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_8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p Rinci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">
          <cell r="B1" t="str">
            <v>PT.BUANA KARYA BHAKTI</v>
          </cell>
        </row>
        <row r="2">
          <cell r="B2" t="str">
            <v>KEBUN PLASMA 1</v>
          </cell>
        </row>
        <row r="4">
          <cell r="B4" t="str">
            <v xml:space="preserve">KEBUTUHAN  PERUMAHAN dan BANGUNAN PERMANEN LAINNYA   </v>
          </cell>
        </row>
        <row r="6">
          <cell r="P6" t="str">
            <v>Satuan :  Unit</v>
          </cell>
        </row>
        <row r="7">
          <cell r="B7" t="str">
            <v>TIPE dan JENIS BANGUNAN</v>
          </cell>
          <cell r="H7" t="str">
            <v>Aktual 2006</v>
          </cell>
          <cell r="I7" t="str">
            <v>Posisi Tahun 2007</v>
          </cell>
          <cell r="N7" t="str">
            <v>Budget 2008</v>
          </cell>
          <cell r="O7" t="str">
            <v>Expected           Sd.              Des. 2008</v>
          </cell>
          <cell r="P7" t="str">
            <v>Total</v>
          </cell>
        </row>
        <row r="8">
          <cell r="I8" t="str">
            <v>Aktual Jan - Jun</v>
          </cell>
          <cell r="J8" t="str">
            <v>Expected Jul - Des</v>
          </cell>
          <cell r="K8" t="str">
            <v>Total   Jan - Des</v>
          </cell>
          <cell r="L8" t="str">
            <v>Budget Tahun</v>
          </cell>
          <cell r="M8" t="str">
            <v>Expected</v>
          </cell>
          <cell r="P8" t="str">
            <v>Kebutuhan</v>
          </cell>
        </row>
        <row r="9">
          <cell r="M9" t="str">
            <v xml:space="preserve">Sd. Desember </v>
          </cell>
          <cell r="P9" t="str">
            <v>(Standar)</v>
          </cell>
        </row>
        <row r="11">
          <cell r="C11" t="str">
            <v>A.</v>
          </cell>
          <cell r="D11" t="str">
            <v>Perumahan Staf / Karyawan</v>
          </cell>
          <cell r="H11">
            <v>26</v>
          </cell>
          <cell r="I11">
            <v>0</v>
          </cell>
          <cell r="J11">
            <v>1</v>
          </cell>
          <cell r="K11">
            <v>1</v>
          </cell>
          <cell r="L11">
            <v>6</v>
          </cell>
          <cell r="M11">
            <v>27</v>
          </cell>
          <cell r="N11">
            <v>7</v>
          </cell>
          <cell r="O11">
            <v>34</v>
          </cell>
          <cell r="P11">
            <v>41</v>
          </cell>
        </row>
        <row r="12">
          <cell r="D12" t="str">
            <v>1.</v>
          </cell>
          <cell r="E12" t="str">
            <v>G 1 Beton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D13" t="str">
            <v>2.</v>
          </cell>
          <cell r="E13" t="str">
            <v>G 1 Kayu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</v>
          </cell>
          <cell r="N13">
            <v>0</v>
          </cell>
          <cell r="O13">
            <v>4</v>
          </cell>
          <cell r="P13">
            <v>4</v>
          </cell>
        </row>
        <row r="14">
          <cell r="D14" t="str">
            <v>3.</v>
          </cell>
          <cell r="E14" t="str">
            <v>G 2 Beton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1</v>
          </cell>
          <cell r="O14">
            <v>1</v>
          </cell>
          <cell r="P14">
            <v>2</v>
          </cell>
        </row>
        <row r="15">
          <cell r="D15" t="str">
            <v>4.</v>
          </cell>
          <cell r="E15" t="str">
            <v>G 2 Kayu</v>
          </cell>
          <cell r="H15">
            <v>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</v>
          </cell>
          <cell r="N15">
            <v>0</v>
          </cell>
          <cell r="O15">
            <v>5</v>
          </cell>
          <cell r="P15">
            <v>5</v>
          </cell>
        </row>
        <row r="16">
          <cell r="D16" t="str">
            <v>5.</v>
          </cell>
          <cell r="E16" t="str">
            <v xml:space="preserve">G 10 Beton Type A ( 6 x 60 ) 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 t="str">
            <v>6.</v>
          </cell>
          <cell r="E17" t="str">
            <v>G 10 Beton Type B ( 6 x 60 )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4</v>
          </cell>
          <cell r="O17">
            <v>4</v>
          </cell>
          <cell r="P17">
            <v>8</v>
          </cell>
        </row>
        <row r="18">
          <cell r="D18" t="str">
            <v>7.</v>
          </cell>
          <cell r="E18" t="str">
            <v>G 10 Beton Type C ( 5 x 60 )</v>
          </cell>
          <cell r="H18">
            <v>11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11</v>
          </cell>
          <cell r="N18">
            <v>2</v>
          </cell>
          <cell r="O18">
            <v>13</v>
          </cell>
          <cell r="P18">
            <v>15</v>
          </cell>
        </row>
        <row r="19">
          <cell r="D19" t="str">
            <v>8.</v>
          </cell>
          <cell r="E19" t="str">
            <v>G 10 Kayu ( 5 x 60 )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D20" t="str">
            <v>9.</v>
          </cell>
          <cell r="E20" t="str">
            <v>G 7 Kayu ( 5 x 60 )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</row>
        <row r="21">
          <cell r="D21" t="str">
            <v>10.</v>
          </cell>
          <cell r="E21" t="str">
            <v>G 6 Kayu ( 5 x 60 )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D22" t="str">
            <v>11.</v>
          </cell>
          <cell r="E22" t="str">
            <v>G 5 Kayu ( 5 x 60 )</v>
          </cell>
          <cell r="H22">
            <v>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</v>
          </cell>
          <cell r="N22">
            <v>0</v>
          </cell>
          <cell r="O22">
            <v>2</v>
          </cell>
          <cell r="P22">
            <v>2</v>
          </cell>
        </row>
        <row r="23">
          <cell r="D23" t="str">
            <v>12.</v>
          </cell>
          <cell r="E23" t="str">
            <v>G 4 Kayu ( 5 x 60 )</v>
          </cell>
          <cell r="H23">
            <v>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2</v>
          </cell>
          <cell r="N23">
            <v>0</v>
          </cell>
          <cell r="O23">
            <v>2</v>
          </cell>
          <cell r="P23">
            <v>2</v>
          </cell>
        </row>
        <row r="24">
          <cell r="C24" t="str">
            <v>B.</v>
          </cell>
          <cell r="D24" t="str">
            <v>Bangunan Prasarana Lainnya</v>
          </cell>
          <cell r="H24">
            <v>16</v>
          </cell>
          <cell r="I24">
            <v>3</v>
          </cell>
          <cell r="J24">
            <v>1</v>
          </cell>
          <cell r="K24">
            <v>4</v>
          </cell>
          <cell r="L24">
            <v>5</v>
          </cell>
          <cell r="M24">
            <v>20</v>
          </cell>
          <cell r="N24">
            <v>18</v>
          </cell>
          <cell r="O24">
            <v>38</v>
          </cell>
          <cell r="P24">
            <v>56</v>
          </cell>
        </row>
        <row r="25">
          <cell r="D25" t="str">
            <v>1.</v>
          </cell>
          <cell r="E25" t="str">
            <v>Gudang ( 4 x 6  )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 t="str">
            <v>2.</v>
          </cell>
          <cell r="E26" t="str">
            <v>Gudang ( 6 x 8  )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</v>
          </cell>
          <cell r="N26">
            <v>0</v>
          </cell>
          <cell r="O26">
            <v>3</v>
          </cell>
          <cell r="P26">
            <v>3</v>
          </cell>
        </row>
        <row r="27">
          <cell r="D27" t="str">
            <v>3.</v>
          </cell>
          <cell r="E27" t="str">
            <v>Gudang ( 8 x 12 )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3</v>
          </cell>
          <cell r="O27">
            <v>4</v>
          </cell>
          <cell r="P27">
            <v>7</v>
          </cell>
        </row>
        <row r="28">
          <cell r="D28" t="str">
            <v>4.</v>
          </cell>
          <cell r="E28" t="str">
            <v>Gudang ( 10 x 12 )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D29" t="str">
            <v>5.</v>
          </cell>
          <cell r="E29" t="str">
            <v>Gudang ( 7 x 15 )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D30" t="str">
            <v>6.</v>
          </cell>
          <cell r="E30" t="str">
            <v>Gudang SENTRAL ( 20 x 10 )</v>
          </cell>
          <cell r="H30">
            <v>0</v>
          </cell>
          <cell r="I30">
            <v>0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2</v>
          </cell>
          <cell r="P30">
            <v>3</v>
          </cell>
        </row>
        <row r="31">
          <cell r="D31" t="str">
            <v>7.</v>
          </cell>
          <cell r="E31" t="str">
            <v>Instalasi Air dalam Rumah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D32" t="str">
            <v>8.</v>
          </cell>
          <cell r="E32" t="str">
            <v>Kantor ( 6 x 8 )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2</v>
          </cell>
          <cell r="M32">
            <v>1</v>
          </cell>
          <cell r="N32">
            <v>3</v>
          </cell>
          <cell r="O32">
            <v>4</v>
          </cell>
          <cell r="P32">
            <v>7</v>
          </cell>
        </row>
        <row r="33">
          <cell r="D33" t="str">
            <v>9.</v>
          </cell>
          <cell r="E33" t="str">
            <v>Garasi</v>
          </cell>
          <cell r="H33">
            <v>1</v>
          </cell>
          <cell r="I33">
            <v>1</v>
          </cell>
          <cell r="J33">
            <v>0</v>
          </cell>
          <cell r="K33">
            <v>1</v>
          </cell>
          <cell r="L33">
            <v>0</v>
          </cell>
          <cell r="M33">
            <v>2</v>
          </cell>
          <cell r="N33">
            <v>1</v>
          </cell>
          <cell r="O33">
            <v>3</v>
          </cell>
          <cell r="P33">
            <v>4</v>
          </cell>
        </row>
        <row r="34">
          <cell r="D34" t="str">
            <v>10.</v>
          </cell>
          <cell r="E34" t="str">
            <v>MCK ( 1,5 x 2 )</v>
          </cell>
          <cell r="H34">
            <v>3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</v>
          </cell>
          <cell r="N34">
            <v>0</v>
          </cell>
          <cell r="O34">
            <v>3</v>
          </cell>
          <cell r="P34">
            <v>3</v>
          </cell>
        </row>
        <row r="35">
          <cell r="D35" t="str">
            <v>11.</v>
          </cell>
          <cell r="E35" t="str">
            <v>Musholla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2</v>
          </cell>
          <cell r="M35">
            <v>1</v>
          </cell>
          <cell r="N35">
            <v>3</v>
          </cell>
          <cell r="O35">
            <v>4</v>
          </cell>
          <cell r="P35">
            <v>7</v>
          </cell>
        </row>
        <row r="36">
          <cell r="D36" t="str">
            <v>12.</v>
          </cell>
          <cell r="E36" t="str">
            <v>Rumah Genset (4 x 6 m)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</v>
          </cell>
          <cell r="N36">
            <v>1</v>
          </cell>
          <cell r="O36">
            <v>2</v>
          </cell>
          <cell r="P36">
            <v>3</v>
          </cell>
        </row>
        <row r="37">
          <cell r="D37" t="str">
            <v>13.</v>
          </cell>
          <cell r="E37" t="str">
            <v>Rumah Genset (4 x 4 m)</v>
          </cell>
          <cell r="H37">
            <v>0</v>
          </cell>
          <cell r="I37">
            <v>2</v>
          </cell>
          <cell r="J37">
            <v>0</v>
          </cell>
          <cell r="K37">
            <v>2</v>
          </cell>
          <cell r="L37">
            <v>0</v>
          </cell>
          <cell r="M37">
            <v>2</v>
          </cell>
          <cell r="N37">
            <v>0</v>
          </cell>
          <cell r="O37">
            <v>2</v>
          </cell>
          <cell r="P37">
            <v>2</v>
          </cell>
        </row>
        <row r="38">
          <cell r="D38" t="str">
            <v>14.</v>
          </cell>
          <cell r="E38" t="str">
            <v>Rumah Genset (3 x 4 m)</v>
          </cell>
          <cell r="H38">
            <v>4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4</v>
          </cell>
          <cell r="N38">
            <v>0</v>
          </cell>
          <cell r="O38">
            <v>4</v>
          </cell>
          <cell r="P38">
            <v>4</v>
          </cell>
        </row>
        <row r="39">
          <cell r="D39" t="str">
            <v>15.</v>
          </cell>
          <cell r="E39" t="str">
            <v>Tempat Pencucian Mobil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</row>
        <row r="40">
          <cell r="D40" t="str">
            <v>16.</v>
          </cell>
          <cell r="E40" t="str">
            <v>Sumur Bor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6</v>
          </cell>
          <cell r="O40">
            <v>6</v>
          </cell>
          <cell r="P40">
            <v>12</v>
          </cell>
        </row>
        <row r="41">
          <cell r="P41">
            <v>0</v>
          </cell>
        </row>
        <row r="42">
          <cell r="D42" t="str">
            <v>Total ( A + B )</v>
          </cell>
          <cell r="H42">
            <v>42</v>
          </cell>
          <cell r="I42">
            <v>3</v>
          </cell>
          <cell r="J42">
            <v>2</v>
          </cell>
          <cell r="K42">
            <v>5</v>
          </cell>
          <cell r="L42">
            <v>11</v>
          </cell>
          <cell r="M42">
            <v>47</v>
          </cell>
          <cell r="N42">
            <v>25</v>
          </cell>
          <cell r="O42">
            <v>72</v>
          </cell>
          <cell r="P42">
            <v>97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 SKUH"/>
      <sheetName val="Rata2 Upah SKUB"/>
      <sheetName val="Upah SKUB"/>
      <sheetName val="XXXXXXXXXXXX"/>
      <sheetName val="CALE"/>
      <sheetName val="GOL"/>
      <sheetName val="UPAH STAF"/>
      <sheetName val="1-SKUH"/>
      <sheetName val="1-SKUB"/>
      <sheetName val="1-KB"/>
      <sheetName val="1-TRK"/>
      <sheetName val="1-AFD"/>
      <sheetName val="2-SKUH"/>
      <sheetName val="2-SKUB"/>
      <sheetName val="2-KB"/>
      <sheetName val="2-TRK"/>
      <sheetName val="2-AFD"/>
      <sheetName val="RUN-RTE1"/>
      <sheetName val="EX-1"/>
      <sheetName val="ALK1"/>
      <sheetName val="R-RTE2"/>
      <sheetName val="EX-2"/>
      <sheetName val="ALK2"/>
      <sheetName val="MDR1"/>
      <sheetName val="MDR2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Pk prod"/>
      <sheetName val="INPUT-12"/>
      <sheetName val="Curah hujan"/>
      <sheetName val="MGR-12"/>
      <sheetName val="P-12"/>
      <sheetName val="data-hujan"/>
      <sheetName val="Upah_SKUH"/>
      <sheetName val="Rata2_Upah_SKUB"/>
      <sheetName val="Upah_SKUB"/>
      <sheetName val="UPAH_STAF"/>
      <sheetName val="Curah_hujan"/>
      <sheetName val="Upah_SKUH1"/>
      <sheetName val="Rata2_Upah_SKUB1"/>
      <sheetName val="Upah_SKUB1"/>
      <sheetName val="UPAH_STAF1"/>
      <sheetName val="Curah_hujan1"/>
      <sheetName val="Sheet3"/>
      <sheetName val="Sheet2"/>
      <sheetName val="Mgr_02"/>
      <sheetName val="BPE"/>
      <sheetName val="SPE"/>
      <sheetName val="LPE"/>
      <sheetName val="RJE"/>
      <sheetName val="KRE"/>
      <sheetName val="MJE"/>
      <sheetName val="SJE"/>
      <sheetName val="Upah_SKUH2"/>
      <sheetName val="Rata2_Upah_SKUB2"/>
      <sheetName val="Upah_SKUB2"/>
      <sheetName val="UPAH_STAF2"/>
      <sheetName val="Curah_hujan2"/>
      <sheetName val="BJR-JJ"/>
      <sheetName val="Sources"/>
      <sheetName val="12"/>
      <sheetName val="Permanent info"/>
      <sheetName val="Marshal"/>
      <sheetName val="GeneralInfo"/>
      <sheetName val="DAT_1"/>
      <sheetName val="Permanent_info"/>
      <sheetName val="Dumtk"/>
      <sheetName val="Upah_SKUH3"/>
      <sheetName val="Rata2_Upah_SKUB3"/>
      <sheetName val="Upah_SKUB3"/>
      <sheetName val="UPAH_STAF3"/>
      <sheetName val="Curah_hujan3"/>
      <sheetName val="Permanent_info1"/>
      <sheetName val="Upah_SKUH4"/>
      <sheetName val="Rata2_Upah_SKUB4"/>
      <sheetName val="Upah_SKUB4"/>
      <sheetName val="UPAH_STAF4"/>
      <sheetName val="Curah_hujan4"/>
      <sheetName val="Permanent_info2"/>
      <sheetName val="Upah_SKUH6"/>
      <sheetName val="Rata2_Upah_SKUB6"/>
      <sheetName val="Upah_SKUB6"/>
      <sheetName val="UPAH_STAF6"/>
      <sheetName val="Curah_hujan6"/>
      <sheetName val="Permanent_info4"/>
      <sheetName val="Upah_SKUH5"/>
      <sheetName val="Rata2_Upah_SKUB5"/>
      <sheetName val="Upah_SKUB5"/>
      <sheetName val="UPAH_STAF5"/>
      <sheetName val="Curah_hujan5"/>
      <sheetName val="Permanent_info3"/>
      <sheetName val="Upah_SKUH7"/>
      <sheetName val="Rata2_Upah_SKUB7"/>
      <sheetName val="Upah_SKUB7"/>
      <sheetName val="UPAH_STAF7"/>
      <sheetName val="Curah_hujan7"/>
      <sheetName val="Permanent_info5"/>
      <sheetName val="Upah_SKUH9"/>
      <sheetName val="Rata2_Upah_SKUB9"/>
      <sheetName val="Upah_SKUB9"/>
      <sheetName val="UPAH_STAF9"/>
      <sheetName val="Curah_hujan9"/>
      <sheetName val="Permanent_info7"/>
      <sheetName val="Upah_SKUH8"/>
      <sheetName val="Rata2_Upah_SKUB8"/>
      <sheetName val="Upah_SKUB8"/>
      <sheetName val="UPAH_STAF8"/>
      <sheetName val="Curah_hujan8"/>
      <sheetName val="Permanent_info6"/>
      <sheetName val="Upah_SKUH10"/>
      <sheetName val="Rata2_Upah_SKUB10"/>
      <sheetName val="Upah_SKUB10"/>
      <sheetName val="UPAH_STAF10"/>
      <sheetName val="Curah_hujan10"/>
      <sheetName val="Permanent_info8"/>
      <sheetName val="Upah_SKUH12"/>
      <sheetName val="Rata2_Upah_SKUB12"/>
      <sheetName val="Upah_SKUB12"/>
      <sheetName val="UPAH_STAF12"/>
      <sheetName val="Curah_hujan12"/>
      <sheetName val="Permanent_info10"/>
      <sheetName val="Upah_SKUH11"/>
      <sheetName val="Rata2_Upah_SKUB11"/>
      <sheetName val="Upah_SKUB11"/>
      <sheetName val="UPAH_STAF11"/>
      <sheetName val="Curah_hujan11"/>
      <sheetName val="Permanent_info9"/>
      <sheetName val="III.9"/>
      <sheetName val="XXXXXXXXX"/>
      <sheetName val="Hal-12 "/>
      <sheetName val="Hal-13"/>
      <sheetName val="Hal-14 "/>
      <sheetName val="Hal 14a "/>
      <sheetName val="14 b "/>
      <sheetName val="BUdget Kg TBS"/>
      <sheetName val="BUdget Premi"/>
      <sheetName val="Hal-15"/>
      <sheetName val="Hal-16"/>
      <sheetName val="Hal-16a"/>
      <sheetName val="Hal-17 "/>
      <sheetName val="Hal-17a "/>
      <sheetName val="Hal-17b "/>
      <sheetName val="Hal-17c "/>
      <sheetName val="ppk TM"/>
      <sheetName val="org TM"/>
      <sheetName val="ppk TBM "/>
      <sheetName val="org TBM "/>
      <sheetName val="RkpTBM I "/>
      <sheetName val="RkpTBM  (2)"/>
      <sheetName val="(TBM)"/>
      <sheetName val="Pemel(actual)"/>
      <sheetName val="Pemel (Kondisi)"/>
      <sheetName val="Hal-18"/>
      <sheetName val="Upah_SKUH13"/>
      <sheetName val="Rata2_Upah_SKUB13"/>
      <sheetName val="Upah_SKUB13"/>
      <sheetName val="UPAH_STAF13"/>
      <sheetName val="Curah_hujan13"/>
      <sheetName val="Permanent_info11"/>
      <sheetName val="Hal-12_"/>
      <sheetName val="Hal-14_"/>
      <sheetName val="Hal_14a_"/>
      <sheetName val="14_b_"/>
      <sheetName val="BUdget_Kg_TBS"/>
      <sheetName val="BUdget_Premi"/>
      <sheetName val="Hal-17_"/>
      <sheetName val="Hal-17a_"/>
      <sheetName val="Hal-17b_"/>
      <sheetName val="Hal-17c_"/>
      <sheetName val="ppk_TM"/>
      <sheetName val="org_TM"/>
      <sheetName val="ppk_TBM_"/>
      <sheetName val="org_TBM_"/>
      <sheetName val="RkpTBM_I_"/>
      <sheetName val="RkpTBM__(2)"/>
      <sheetName val="Pemel_(Kondisi)"/>
      <sheetName val="III_9"/>
      <sheetName val="Populasi"/>
      <sheetName val="2007"/>
      <sheetName val=" 45KVA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hujan"/>
      <sheetName val="data_hujan"/>
      <sheetName val="GRFK BJR_TT_02"/>
      <sheetName val="GRFK BJR_TT_00"/>
      <sheetName val="GRFK BJR_TT_01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XXXXXXXXXXXX"/>
      <sheetName val="Master"/>
      <sheetName val="Index"/>
      <sheetName val="BS-PL Indo 2006"/>
      <sheetName val="Kode Barang"/>
      <sheetName val="MUTU BUAH"/>
      <sheetName val="RPT"/>
      <sheetName val="MGR-12"/>
      <sheetName val="2002"/>
      <sheetName val="Upah SKUB"/>
      <sheetName val="36"/>
      <sheetName val="General"/>
      <sheetName val="Capex Sum"/>
      <sheetName val="AAL"/>
      <sheetName val="IIS"/>
      <sheetName val="AARJ"/>
      <sheetName val="BJR-JJ"/>
      <sheetName val="grafik-2000"/>
      <sheetName val="grafik-99"/>
      <sheetName val="grafik-98"/>
      <sheetName val="grafik-97"/>
      <sheetName val="NK Oct'11"/>
      <sheetName val="MUTU_BUAH"/>
      <sheetName val="NK_Oct'11"/>
      <sheetName val="Bahasa"/>
      <sheetName val="Pk prod"/>
      <sheetName val="MrTong"/>
      <sheetName val="1"/>
      <sheetName val="Hal-12 "/>
      <sheetName val="MUTU_BUAH1"/>
      <sheetName val="NK_Oct'111"/>
      <sheetName val="Pk_prod"/>
      <sheetName val="Hal-12_"/>
      <sheetName val="BA"/>
      <sheetName val="TBSv"/>
      <sheetName val="INDIRECT DETAIL"/>
      <sheetName val="DIRECT COS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Master Bahan SAP"/>
      <sheetName val="Nomenclature CF-Agro"/>
      <sheetName val="Budget"/>
      <sheetName val="97EST120-ok"/>
      <sheetName val="12"/>
      <sheetName val="PT"/>
      <sheetName val="Dkg-16"/>
      <sheetName val="CH"/>
      <sheetName val="keb-bbm"/>
      <sheetName val="Sheet1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Dumtk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97EST021"/>
      <sheetName val="Premi Iuran"/>
      <sheetName val="OPR-99"/>
      <sheetName val="JSiar"/>
      <sheetName val="Ex_Rate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INDIRECT_DETAIL"/>
      <sheetName val="DIRECT_COST"/>
      <sheetName val="KGP Thp I"/>
      <sheetName val="KGP Thp II"/>
      <sheetName val="Book1"/>
      <sheetName val="DETAIL"/>
      <sheetName val="#REF"/>
      <sheetName val="Akomodasi"/>
      <sheetName val="PBG_2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Asumsi"/>
      <sheetName val="CF Konsol"/>
      <sheetName val="Ulasan"/>
      <sheetName val=" Penjelasan RKB-PDO"/>
      <sheetName val="Rekap  Total"/>
      <sheetName val="SAK"/>
      <sheetName val="BPTL"/>
      <sheetName val="PABRIK (2)"/>
      <sheetName val="BAB-1"/>
      <sheetName val="REKAP EST PROD 13 edt"/>
      <sheetName val="aktual"/>
      <sheetName val="Daftar Harga Barang"/>
      <sheetName val="Pk_prod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Premi_Iuran"/>
      <sheetName val="KGP_Thp_I"/>
      <sheetName val="KGP_Thp_II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REKAP_EST_PROD_13_edt"/>
      <sheetName val="Upah_SKUB"/>
      <sheetName val="Daftar_Harga_Barang"/>
      <sheetName val="87013611"/>
      <sheetName val="KURS"/>
      <sheetName val="Actvty"/>
      <sheetName val="Rekap"/>
      <sheetName val="INDRCT DTL"/>
      <sheetName val="F"/>
      <sheetName val="WIL 1"/>
      <sheetName val="AKTIVA"/>
      <sheetName val="MM.PAGE-2.X"/>
      <sheetName val="HAL10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Global"/>
      <sheetName val="ocean voyage"/>
      <sheetName val="PO"/>
      <sheetName val="FISIK RAB 2000"/>
      <sheetName val="Karung"/>
      <sheetName val="Data"/>
      <sheetName val="list"/>
      <sheetName val="CPO 16-9-TID "/>
      <sheetName val="Bantu"/>
      <sheetName val="Sheet2"/>
      <sheetName val="Sheet3"/>
      <sheetName val="Kualitas TBS"/>
      <sheetName val="Kesegaran TBS"/>
      <sheetName val="GeneralInfo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8.Upah rata2"/>
      <sheetName val="LEMBUR 2006"/>
      <sheetName val="Prod. Stats"/>
      <sheetName val="Capital"/>
      <sheetName val="mst_akun"/>
      <sheetName val="Rin1"/>
      <sheetName val="MGR_12"/>
      <sheetName val="Penjelasan SCK"/>
      <sheetName val="HET PBG3"/>
      <sheetName val="A"/>
      <sheetName val="Trip"/>
      <sheetName val="HARVEST02"/>
      <sheetName val="Sat. Pek."/>
      <sheetName val="RBSB"/>
      <sheetName val="List Rayon"/>
      <sheetName val="List Department"/>
      <sheetName val="Palm Prod"/>
      <sheetName val="MILL-EXP"/>
      <sheetName val="Data Kar"/>
      <sheetName val="Data Rekon"/>
      <sheetName val="renc. kerja LC"/>
      <sheetName val="SASARAN "/>
      <sheetName val="LOCAL GOVT TAX"/>
      <sheetName val="Sheet1 (3)"/>
      <sheetName val="1-AFD"/>
      <sheetName val="MANU"/>
      <sheetName val="BY TM 99 "/>
      <sheetName val="PL"/>
      <sheetName val=" 45KVA-1"/>
      <sheetName val="DATA LTW"/>
      <sheetName val="Sheet10"/>
      <sheetName val="Harga"/>
      <sheetName val="0508"/>
      <sheetName val="BELI"/>
      <sheetName val="N-ASII"/>
      <sheetName val="ANTMN"/>
      <sheetName val="BBCA"/>
      <sheetName val="BBRI-J"/>
      <sheetName val="BBRI-N"/>
      <sheetName val="BMRI"/>
      <sheetName val="N-CTRS"/>
      <sheetName val="IDSR"/>
      <sheetName val="INTP"/>
      <sheetName val="ISAT-N"/>
      <sheetName val="N-KLBF"/>
      <sheetName val="PTBA"/>
      <sheetName val="N-TLKM"/>
      <sheetName val="N-UNTR"/>
      <sheetName val="N-UNVR"/>
      <sheetName val="DATA_KARY"/>
      <sheetName val="TABEL"/>
      <sheetName val="TbGaji"/>
      <sheetName val="Local travel"/>
      <sheetName val="BHL"/>
      <sheetName val="grafi聫-98"/>
      <sheetName val="COA (3)"/>
      <sheetName val="AL08"/>
      <sheetName val="BB08"/>
      <sheetName val="PP08"/>
      <sheetName val="TG08"/>
      <sheetName val="LB08"/>
      <sheetName val="MP08"/>
      <sheetName val="NL08"/>
      <sheetName val="REKOP08"/>
      <sheetName val="SG08"/>
      <sheetName val="SL08"/>
      <sheetName val="SY08"/>
      <sheetName val="cogs"/>
      <sheetName val="Fomat  1"/>
      <sheetName val="04NPE025"/>
      <sheetName val="04NPE008F"/>
      <sheetName val="04NPEII"/>
      <sheetName val="Form"/>
      <sheetName val="WRKP TM"/>
      <sheetName val="Production S2"/>
      <sheetName val="Production S3"/>
      <sheetName val="97EST120_ok"/>
      <sheetName val="HK Effektif &amp; Rate Upah"/>
      <sheetName val="Harga 2011"/>
      <sheetName val="Kend"/>
      <sheetName val="TRAIL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Rinci-Biaya"/>
      <sheetName val="Rinci-Pendapatan"/>
      <sheetName val="LR"/>
      <sheetName val="BTL"/>
      <sheetName val="CHART SAMPLES RECEIVED"/>
      <sheetName val="TBM 3"/>
      <sheetName val="TBM 0"/>
      <sheetName val="BJ &amp; Koreksi"/>
      <sheetName val="III"/>
      <sheetName val="PAGE 1.X"/>
      <sheetName val="PREMI"/>
      <sheetName val="Rumus"/>
      <sheetName val="Div01"/>
      <sheetName val="Div02"/>
      <sheetName val="Div03"/>
      <sheetName val="New Position"/>
      <sheetName val="prod"/>
      <sheetName val="MUTU_BUAH2"/>
      <sheetName val="NK_Oct'112"/>
      <sheetName val="Pk_prod2"/>
      <sheetName val="Hal-12_1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REKAP_EST_PROD_13_edt1"/>
      <sheetName val="Upah_SKUB1"/>
      <sheetName val="Daftar_Harga_Barang1"/>
      <sheetName val="Capex_Sum"/>
      <sheetName val="INDRCT_DTL"/>
      <sheetName val="WIL_1"/>
      <sheetName val="MM_PAGE-2_X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ocean_voyage"/>
      <sheetName val="FISIK_RAB_2000"/>
      <sheetName val="CPO_16-9-TID_"/>
      <sheetName val="Kualitas_TBS"/>
      <sheetName val="Kesegaran_TBS"/>
      <sheetName val="10__Summary_all"/>
      <sheetName val="8_Upah_rata2"/>
      <sheetName val="LEMBUR_2006"/>
      <sheetName val="Prod__Stats"/>
      <sheetName val="Penjelasan_SCK"/>
      <sheetName val="HET_PBG3"/>
      <sheetName val="NEW POSITION BD"/>
      <sheetName val="Jenis kendaraan"/>
      <sheetName val="JK"/>
      <sheetName val="UOM-primary"/>
      <sheetName val="Sheet6"/>
      <sheetName val="transport method"/>
      <sheetName val="1999"/>
      <sheetName val="KOMP"/>
      <sheetName val="Kode_Barang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Master_Bahan_SAP"/>
      <sheetName val="BS-PL_Indo_2006"/>
      <sheetName val="Nomenclature_CF-Agro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Sat__Pek_"/>
      <sheetName val="Local_travel"/>
      <sheetName val="Capex_Sum1"/>
      <sheetName val="MUTU_BUAH3"/>
      <sheetName val="Upah_SKUB2"/>
      <sheetName val="INDIRECT_DETAIL3"/>
      <sheetName val="DIRECT_COST3"/>
      <sheetName val="NK_Oct'113"/>
      <sheetName val="Pk_prod3"/>
      <sheetName val="Hal-12_2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Premi_Iuran2"/>
      <sheetName val="KGP_Thp_I2"/>
      <sheetName val="KGP_Thp_II2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REKAP_EST_PROD_13_edt2"/>
      <sheetName val="Daftar_Harga_Barang2"/>
      <sheetName val="INDRCT_DTL1"/>
      <sheetName val="WIL_11"/>
      <sheetName val="MM_PAGE-2_X1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ocean_voyage1"/>
      <sheetName val="FISIK_RAB_20001"/>
      <sheetName val="CPO_16-9-TID_1"/>
      <sheetName val="Kualitas_TBS1"/>
      <sheetName val="Kesegaran_TBS1"/>
      <sheetName val="10__Summary_all1"/>
      <sheetName val="8_Upah_rata21"/>
      <sheetName val="LEMBUR_20061"/>
      <sheetName val="Prod__Stats1"/>
      <sheetName val="Penjelasan_SCK1"/>
      <sheetName val="HET_PBG31"/>
      <sheetName val="COA_(3)"/>
      <sheetName val="Fomat__1"/>
      <sheetName val="WRKP_TM"/>
      <sheetName val="Production_S2"/>
      <sheetName val="Production_S3"/>
      <sheetName val="HK_Effektif_&amp;_Rate_Upah"/>
      <sheetName val="Harga_2011"/>
      <sheetName val="Trading_Statement"/>
      <sheetName val="KODE_TRANS"/>
      <sheetName val="Kas_Bank"/>
      <sheetName val="CHART_SAMPLES_RECEIVED"/>
      <sheetName val="TBM_3"/>
      <sheetName val="TBM_0"/>
      <sheetName val="BJ_&amp;_Koreksi"/>
      <sheetName val="PAGE_1_X"/>
      <sheetName val="New_Position"/>
      <sheetName val="NEW_POSITION_BD"/>
      <sheetName val="Jenis_kendaraan"/>
      <sheetName val="transport_method"/>
      <sheetName val="Kode_Barang1"/>
      <sheetName val="MUTU_BUAH4"/>
      <sheetName val="Upah_SKUB3"/>
      <sheetName val="Capex_Sum2"/>
      <sheetName val="NK_Oct'114"/>
      <sheetName val="Pk_prod4"/>
      <sheetName val="Hal-12_3"/>
      <sheetName val="INDIRECT_DETAIL4"/>
      <sheetName val="DIRECT_COST4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BS-PL_Indo_20061"/>
      <sheetName val="Master_Bahan_SAP1"/>
      <sheetName val="Nomenclature_CF-Agro1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remi_Iuran3"/>
      <sheetName val="KGP_Thp_I3"/>
      <sheetName val="KGP_Thp_II3"/>
      <sheetName val="L_BA_blok3"/>
      <sheetName val="fin_pro_centers3"/>
      <sheetName val="KK_CFP_JAKARTA3"/>
      <sheetName val="Gaji_Non_Staff3"/>
      <sheetName val="CF_Konsol3"/>
      <sheetName val="_Penjelasan_RKB-PDO3"/>
      <sheetName val="Rekap__Total3"/>
      <sheetName val="PABRIK_(2)3"/>
      <sheetName val="REKAP_EST_PROD_13_edt3"/>
      <sheetName val="Daftar_Harga_Barang3"/>
      <sheetName val="INDRCT_DTL2"/>
      <sheetName val="WIL_12"/>
      <sheetName val="MM_PAGE-2_X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ocean_voyage2"/>
      <sheetName val="FISIK_RAB_20002"/>
      <sheetName val="CPO_16-9-TID_2"/>
      <sheetName val="Kualitas_TBS2"/>
      <sheetName val="Kesegaran_TBS2"/>
      <sheetName val="10__Summary_all2"/>
      <sheetName val="8_Upah_rata22"/>
      <sheetName val="LEMBUR_20062"/>
      <sheetName val="Prod__Stats2"/>
      <sheetName val="Penjelasan_SCK2"/>
      <sheetName val="HET_PBG32"/>
      <sheetName val="Sat__Pek_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Local_travel1"/>
      <sheetName val="COA_(3)1"/>
      <sheetName val="Fomat__11"/>
      <sheetName val="WRKP_TM1"/>
      <sheetName val="Production_S21"/>
      <sheetName val="Production_S31"/>
      <sheetName val="HK_Effektif_&amp;_Rate_Upah1"/>
      <sheetName val="Harga_20111"/>
      <sheetName val="Trading_Statement1"/>
      <sheetName val="KODE_TRANS1"/>
      <sheetName val="Kas_Bank1"/>
      <sheetName val="CHART_SAMPLES_RECEIVED1"/>
      <sheetName val="TBM_31"/>
      <sheetName val="TBM_01"/>
      <sheetName val="BJ_&amp;_Koreksi1"/>
      <sheetName val="PAGE_1_X1"/>
      <sheetName val="New_Position1"/>
      <sheetName val="NEW_POSITION_BD1"/>
      <sheetName val="Jenis_kendaraan1"/>
      <sheetName val="transport_method1"/>
      <sheetName val="Harga Spare Part"/>
      <sheetName val="KOMEN"/>
      <sheetName val="ALAT1"/>
      <sheetName val="ALAT"/>
      <sheetName val="ANA-HRG"/>
      <sheetName val="Kap Rinci"/>
      <sheetName val="Transp2"/>
      <sheetName val="Running_Acc"/>
      <sheetName val="MUTU_BUAH5"/>
      <sheetName val="NK_Oct'115"/>
      <sheetName val="Pk_prod5"/>
      <sheetName val="Hal-12_4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INDIRECT_DETAIL5"/>
      <sheetName val="DIRECT_COST5"/>
      <sheetName val="Premi_Iuran4"/>
      <sheetName val="KGP_Thp_I4"/>
      <sheetName val="KGP_Thp_II4"/>
      <sheetName val="L_BA_blok4"/>
      <sheetName val="fin_pro_centers4"/>
      <sheetName val="KK_CFP_JAKARTA4"/>
      <sheetName val="Gaji_Non_Staff4"/>
      <sheetName val="CF_Konsol4"/>
      <sheetName val="_Penjelasan_RKB-PDO4"/>
      <sheetName val="Rekap__Total4"/>
      <sheetName val="PABRIK_(2)4"/>
      <sheetName val="REKAP_EST_PROD_13_edt4"/>
      <sheetName val="Upah_SKUB4"/>
      <sheetName val="Daftar_Harga_Barang4"/>
      <sheetName val="Capex_Sum3"/>
      <sheetName val="INDRCT_DTL3"/>
      <sheetName val="WIL_13"/>
      <sheetName val="MM_PAGE-2_X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ocean_voyage3"/>
      <sheetName val="FISIK_RAB_20003"/>
      <sheetName val="CPO_16-9-TID_3"/>
      <sheetName val="Kualitas_TBS3"/>
      <sheetName val="Kesegaran_TBS3"/>
      <sheetName val="10__Summary_all3"/>
      <sheetName val="8_Upah_rata23"/>
      <sheetName val="LEMBUR_20063"/>
      <sheetName val="Prod__Stats3"/>
      <sheetName val="Penjelasan_SCK3"/>
      <sheetName val="HET_PBG33"/>
      <sheetName val="Kode_Barang2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Master_Bahan_SAP2"/>
      <sheetName val="BS-PL_Indo_20062"/>
      <sheetName val="Nomenclature_CF-Agro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Sat__Pek_2"/>
      <sheetName val="Local_travel2"/>
      <sheetName val="COA_(3)2"/>
      <sheetName val="Fomat__12"/>
      <sheetName val="WRKP_TM2"/>
      <sheetName val="Production_S22"/>
      <sheetName val="Production_S32"/>
      <sheetName val="HK_Effektif_&amp;_Rate_Upah2"/>
      <sheetName val="Harga_20112"/>
      <sheetName val="Trading_Statement2"/>
      <sheetName val="KODE_TRANS2"/>
      <sheetName val="Kas_Bank2"/>
      <sheetName val="CHART_SAMPLES_RECEIVED2"/>
      <sheetName val="TBM_32"/>
      <sheetName val="TBM_02"/>
      <sheetName val="BJ_&amp;_Koreksi2"/>
      <sheetName val="PAGE_1_X2"/>
      <sheetName val="New_Position2"/>
      <sheetName val="NEW_POSITION_BD2"/>
      <sheetName val="Jenis_kendaraan2"/>
      <sheetName val="transport_method2"/>
      <sheetName val="Kap_Rinci"/>
      <sheetName val="Harga Spare Part-revisi"/>
      <sheetName val="MN"/>
      <sheetName val="PN"/>
      <sheetName val="Rincian Iuran"/>
      <sheetName val="Curah hujan"/>
      <sheetName val="Sheet20"/>
      <sheetName val="List Jabatan"/>
      <sheetName val="5b.Pemupukan"/>
      <sheetName val="L-PCR08"/>
      <sheetName val="L-PCR03"/>
      <sheetName val="L-PCR04"/>
      <sheetName val="L-PCR05"/>
      <sheetName val="L-PCR06"/>
      <sheetName val="L-PCR09"/>
      <sheetName val="L-PCR02"/>
      <sheetName val="Fisik"/>
      <sheetName val="Astek"/>
      <sheetName val="Angkutan"/>
      <sheetName val="Panen"/>
      <sheetName val="RPS"/>
      <sheetName val="DP Volume"/>
      <sheetName val="4-09"/>
      <sheetName val="Jun"/>
      <sheetName val="Biaya"/>
      <sheetName val="Diagram"/>
      <sheetName val="Std-Prod KS"/>
      <sheetName val="Sheet19"/>
      <sheetName val=""/>
      <sheetName val="CROP"/>
      <sheetName val="RKB1"/>
      <sheetName val="RKB2"/>
      <sheetName val="RKB3"/>
      <sheetName val="RKB4"/>
      <sheetName val="KEB_RMH"/>
      <sheetName val="0507"/>
      <sheetName val="0506"/>
      <sheetName val="0510"/>
      <sheetName val="0509"/>
      <sheetName val="0801 Lembur"/>
      <sheetName val="0802 Lembur"/>
    </sheetNames>
    <sheetDataSet>
      <sheetData sheetId="0" refreshError="1">
        <row r="14">
          <cell r="E14">
            <v>16</v>
          </cell>
          <cell r="F14">
            <v>50</v>
          </cell>
          <cell r="G14">
            <v>2</v>
          </cell>
          <cell r="H14">
            <v>124</v>
          </cell>
          <cell r="I14">
            <v>6</v>
          </cell>
          <cell r="J14">
            <v>226</v>
          </cell>
          <cell r="K14">
            <v>12</v>
          </cell>
          <cell r="L14">
            <v>232</v>
          </cell>
          <cell r="M14">
            <v>14</v>
          </cell>
          <cell r="N14">
            <v>114</v>
          </cell>
          <cell r="O14">
            <v>12</v>
          </cell>
          <cell r="P14">
            <v>972</v>
          </cell>
          <cell r="Q14">
            <v>62</v>
          </cell>
          <cell r="R14">
            <v>135</v>
          </cell>
          <cell r="S14">
            <v>17</v>
          </cell>
          <cell r="T14">
            <v>68</v>
          </cell>
          <cell r="U14">
            <v>4</v>
          </cell>
          <cell r="V14">
            <v>149</v>
          </cell>
          <cell r="W14">
            <v>13</v>
          </cell>
          <cell r="X14">
            <v>265</v>
          </cell>
          <cell r="Y14">
            <v>13</v>
          </cell>
          <cell r="Z14">
            <v>277</v>
          </cell>
          <cell r="AA14">
            <v>18</v>
          </cell>
          <cell r="AB14">
            <v>292</v>
          </cell>
          <cell r="AC14">
            <v>17</v>
          </cell>
        </row>
        <row r="15">
          <cell r="E15">
            <v>14</v>
          </cell>
          <cell r="F15">
            <v>411</v>
          </cell>
          <cell r="G15">
            <v>17</v>
          </cell>
          <cell r="H15">
            <v>180</v>
          </cell>
          <cell r="I15">
            <v>14</v>
          </cell>
          <cell r="J15">
            <v>264</v>
          </cell>
          <cell r="K15">
            <v>13</v>
          </cell>
          <cell r="L15">
            <v>360</v>
          </cell>
          <cell r="M15">
            <v>19</v>
          </cell>
          <cell r="N15">
            <v>322</v>
          </cell>
          <cell r="O15">
            <v>16</v>
          </cell>
          <cell r="P15">
            <v>1858</v>
          </cell>
          <cell r="Q15">
            <v>93</v>
          </cell>
          <cell r="R15">
            <v>77</v>
          </cell>
          <cell r="S15">
            <v>7</v>
          </cell>
          <cell r="T15">
            <v>23</v>
          </cell>
          <cell r="U15">
            <v>1</v>
          </cell>
          <cell r="V15">
            <v>1</v>
          </cell>
          <cell r="W15">
            <v>1</v>
          </cell>
          <cell r="X15">
            <v>130</v>
          </cell>
          <cell r="Y15">
            <v>8</v>
          </cell>
          <cell r="Z15">
            <v>248</v>
          </cell>
          <cell r="AA15">
            <v>16</v>
          </cell>
          <cell r="AB15">
            <v>228</v>
          </cell>
          <cell r="AC15">
            <v>12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 prod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 prod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FK BJR_SBH_02"/>
      <sheetName val="GRFK BJR_TGS_01"/>
      <sheetName val="GRFK BJR_SKC_0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Harga"/>
      <sheetName val="Pekerjaan"/>
      <sheetName val="SI TM"/>
      <sheetName val="SI TBM"/>
      <sheetName val="SI TB"/>
      <sheetName val="SI BBT"/>
      <sheetName val="Cover"/>
      <sheetName val="R1-08"/>
      <sheetName val="R1-09"/>
      <sheetName val="R1-10"/>
      <sheetName val="R2-09"/>
      <sheetName val="R2-10"/>
      <sheetName val="R2-11"/>
      <sheetName val="Ttl TM"/>
      <sheetName val="R1-12 (4)"/>
      <sheetName val="R1-12 (3)"/>
      <sheetName val="R1-12 (2)"/>
      <sheetName val="R2-14 (2)"/>
      <sheetName val="R1-12"/>
      <sheetName val="R2-14"/>
      <sheetName val="TTL TBM"/>
      <sheetName val="TB 1"/>
      <sheetName val="TB 2"/>
      <sheetName val="TB 3"/>
      <sheetName val="TB 4"/>
      <sheetName val="TB 5"/>
      <sheetName val="TTL TB"/>
      <sheetName val="BBT TT1"/>
      <sheetName val="BBT TT2"/>
      <sheetName val="BBT TT3"/>
      <sheetName val="TTL BBT"/>
      <sheetName val="TM R1"/>
      <sheetName val="TM R2"/>
      <sheetName val="TBM R1"/>
      <sheetName val="TBM R2"/>
      <sheetName val="2008"/>
      <sheetName val="2009"/>
      <sheetName val="2010"/>
      <sheetName val="2011"/>
      <sheetName val="2012"/>
      <sheetName val="2014"/>
      <sheetName val="2018"/>
      <sheetName val="RKT 18"/>
      <sheetName val="RKT 18 2"/>
      <sheetName val="RKT 18 3"/>
      <sheetName val="Sebaran Fisik"/>
    </sheetNames>
    <sheetDataSet>
      <sheetData sheetId="0" refreshError="1">
        <row r="2">
          <cell r="A2">
            <v>1998</v>
          </cell>
          <cell r="B2" t="str">
            <v>01</v>
          </cell>
          <cell r="D2" t="str">
            <v>Afdeling 1</v>
          </cell>
          <cell r="E2" t="str">
            <v>AFD-1</v>
          </cell>
          <cell r="F2">
            <v>11</v>
          </cell>
        </row>
        <row r="3">
          <cell r="A3">
            <v>1999</v>
          </cell>
          <cell r="B3" t="str">
            <v>02</v>
          </cell>
          <cell r="D3" t="str">
            <v>Afdeling 2</v>
          </cell>
          <cell r="E3" t="str">
            <v>AFD-2</v>
          </cell>
          <cell r="F3">
            <v>12</v>
          </cell>
        </row>
        <row r="4">
          <cell r="A4">
            <v>2000</v>
          </cell>
          <cell r="B4" t="str">
            <v>03</v>
          </cell>
          <cell r="D4" t="str">
            <v>Afdeling 3</v>
          </cell>
          <cell r="E4" t="str">
            <v>AFD-3</v>
          </cell>
          <cell r="F4">
            <v>13</v>
          </cell>
        </row>
        <row r="5">
          <cell r="A5">
            <v>2001</v>
          </cell>
          <cell r="B5" t="str">
            <v>04</v>
          </cell>
          <cell r="D5" t="str">
            <v>Sungai Cuka</v>
          </cell>
          <cell r="E5" t="str">
            <v>AFD6</v>
          </cell>
          <cell r="F5">
            <v>14</v>
          </cell>
        </row>
        <row r="6">
          <cell r="A6">
            <v>2002</v>
          </cell>
          <cell r="B6" t="str">
            <v>05</v>
          </cell>
        </row>
        <row r="7">
          <cell r="A7">
            <v>2003</v>
          </cell>
          <cell r="B7" t="str">
            <v>06</v>
          </cell>
          <cell r="D7" t="str">
            <v>Tegalsari</v>
          </cell>
          <cell r="E7" t="str">
            <v>TGS</v>
          </cell>
          <cell r="F7">
            <v>31</v>
          </cell>
        </row>
        <row r="8">
          <cell r="A8">
            <v>2004</v>
          </cell>
          <cell r="B8" t="str">
            <v>07</v>
          </cell>
          <cell r="D8" t="str">
            <v>Sekapuk 1</v>
          </cell>
          <cell r="E8" t="str">
            <v>SK1</v>
          </cell>
          <cell r="F8">
            <v>32</v>
          </cell>
        </row>
        <row r="9">
          <cell r="A9">
            <v>2005</v>
          </cell>
          <cell r="B9" t="str">
            <v>08</v>
          </cell>
          <cell r="D9" t="str">
            <v>Sekapuk induk B</v>
          </cell>
          <cell r="E9" t="str">
            <v>SKB</v>
          </cell>
          <cell r="F9">
            <v>33</v>
          </cell>
        </row>
        <row r="10">
          <cell r="A10">
            <v>2006</v>
          </cell>
          <cell r="B10" t="str">
            <v>09</v>
          </cell>
          <cell r="D10" t="str">
            <v>Sekapuk Induk C</v>
          </cell>
          <cell r="E10" t="str">
            <v>SKC</v>
          </cell>
          <cell r="F10">
            <v>39</v>
          </cell>
        </row>
        <row r="11">
          <cell r="A11">
            <v>2007</v>
          </cell>
          <cell r="B11" t="str">
            <v>10</v>
          </cell>
          <cell r="D11" t="str">
            <v>Sekapuk 2</v>
          </cell>
          <cell r="E11" t="str">
            <v>SK2</v>
          </cell>
          <cell r="F11">
            <v>44</v>
          </cell>
        </row>
        <row r="12">
          <cell r="A12">
            <v>2008</v>
          </cell>
          <cell r="B12" t="str">
            <v>11</v>
          </cell>
          <cell r="D12" t="str">
            <v>Sekapuk Induk A</v>
          </cell>
          <cell r="E12" t="str">
            <v>SKA</v>
          </cell>
          <cell r="F12">
            <v>45</v>
          </cell>
        </row>
        <row r="13">
          <cell r="A13">
            <v>2009</v>
          </cell>
          <cell r="B13" t="str">
            <v>12</v>
          </cell>
          <cell r="D13" t="str">
            <v>Sumber Makmur</v>
          </cell>
          <cell r="E13" t="str">
            <v>SMM</v>
          </cell>
          <cell r="F13">
            <v>41</v>
          </cell>
        </row>
        <row r="14">
          <cell r="A14">
            <v>2010</v>
          </cell>
          <cell r="B14" t="str">
            <v>13</v>
          </cell>
          <cell r="D14" t="str">
            <v>Wonorejo A</v>
          </cell>
          <cell r="E14" t="str">
            <v>WRJ-A</v>
          </cell>
          <cell r="F14">
            <v>43</v>
          </cell>
        </row>
        <row r="15">
          <cell r="A15">
            <v>2011</v>
          </cell>
          <cell r="B15" t="str">
            <v>14</v>
          </cell>
          <cell r="D15" t="str">
            <v>Wonorejo B</v>
          </cell>
          <cell r="E15" t="str">
            <v>WRJ-B</v>
          </cell>
          <cell r="F15">
            <v>46</v>
          </cell>
        </row>
        <row r="16">
          <cell r="A16">
            <v>2012</v>
          </cell>
          <cell r="B16" t="str">
            <v>15</v>
          </cell>
          <cell r="D16" t="str">
            <v>Sumber Baru A</v>
          </cell>
          <cell r="E16" t="str">
            <v>SBB-A</v>
          </cell>
          <cell r="F16">
            <v>38</v>
          </cell>
        </row>
        <row r="17">
          <cell r="A17">
            <v>2013</v>
          </cell>
          <cell r="B17" t="str">
            <v>16</v>
          </cell>
          <cell r="D17" t="str">
            <v>Sumber Baru B</v>
          </cell>
          <cell r="E17" t="str">
            <v>SBB-B</v>
          </cell>
          <cell r="F17">
            <v>51</v>
          </cell>
        </row>
        <row r="18">
          <cell r="A18">
            <v>2014</v>
          </cell>
          <cell r="B18" t="str">
            <v>17</v>
          </cell>
        </row>
        <row r="19">
          <cell r="A19">
            <v>2015</v>
          </cell>
          <cell r="B19" t="str">
            <v>18</v>
          </cell>
          <cell r="D19" t="str">
            <v>Rayon 1</v>
          </cell>
          <cell r="E19" t="str">
            <v>RAY-1</v>
          </cell>
          <cell r="F19">
            <v>11</v>
          </cell>
        </row>
        <row r="20">
          <cell r="A20">
            <v>2016</v>
          </cell>
          <cell r="B20" t="str">
            <v>19</v>
          </cell>
          <cell r="D20" t="str">
            <v>Rayon 2</v>
          </cell>
          <cell r="E20" t="str">
            <v>RAY-2</v>
          </cell>
          <cell r="F20">
            <v>12</v>
          </cell>
        </row>
        <row r="21">
          <cell r="A21">
            <v>2017</v>
          </cell>
          <cell r="B21" t="str">
            <v>20</v>
          </cell>
          <cell r="D21" t="str">
            <v>Nursery</v>
          </cell>
          <cell r="E21" t="str">
            <v>NR2</v>
          </cell>
          <cell r="F21" t="str">
            <v>00</v>
          </cell>
        </row>
        <row r="22">
          <cell r="A22">
            <v>2018</v>
          </cell>
          <cell r="B22" t="str">
            <v>21</v>
          </cell>
        </row>
        <row r="23">
          <cell r="A23">
            <v>2019</v>
          </cell>
          <cell r="B23" t="str">
            <v>22</v>
          </cell>
          <cell r="D23" t="str">
            <v>Majelis Taklim</v>
          </cell>
          <cell r="E23" t="str">
            <v>MTL</v>
          </cell>
          <cell r="F23">
            <v>51</v>
          </cell>
        </row>
        <row r="24">
          <cell r="D24" t="str">
            <v>Sumber Harapan</v>
          </cell>
          <cell r="E24" t="str">
            <v>SBH</v>
          </cell>
          <cell r="F24">
            <v>52</v>
          </cell>
        </row>
        <row r="25">
          <cell r="D25" t="str">
            <v>Tani Bersatu</v>
          </cell>
          <cell r="E25" t="str">
            <v>TNB</v>
          </cell>
          <cell r="F25">
            <v>53</v>
          </cell>
        </row>
        <row r="26">
          <cell r="D26" t="str">
            <v>Sumber Usaha</v>
          </cell>
          <cell r="E26" t="str">
            <v>SBU</v>
          </cell>
          <cell r="F26">
            <v>54</v>
          </cell>
        </row>
        <row r="27">
          <cell r="D27" t="str">
            <v>Jombang - 1</v>
          </cell>
          <cell r="E27" t="str">
            <v>JB1</v>
          </cell>
          <cell r="F27">
            <v>31</v>
          </cell>
        </row>
        <row r="28">
          <cell r="D28" t="str">
            <v>Jombang - 2</v>
          </cell>
          <cell r="E28" t="str">
            <v>JB2</v>
          </cell>
          <cell r="F28">
            <v>32</v>
          </cell>
        </row>
        <row r="29">
          <cell r="D29" t="str">
            <v>Jombang - 3</v>
          </cell>
          <cell r="E29" t="str">
            <v>JB3</v>
          </cell>
          <cell r="F29">
            <v>33</v>
          </cell>
        </row>
        <row r="30">
          <cell r="D30" t="str">
            <v>Bukit Baru - 1</v>
          </cell>
          <cell r="E30" t="str">
            <v>BB1</v>
          </cell>
          <cell r="F30">
            <v>41</v>
          </cell>
        </row>
        <row r="31">
          <cell r="D31" t="str">
            <v>Bukit Baru - 2</v>
          </cell>
          <cell r="E31" t="str">
            <v>BB2</v>
          </cell>
          <cell r="F31">
            <v>42</v>
          </cell>
        </row>
        <row r="32">
          <cell r="D32" t="str">
            <v>Bukit Baru - 3</v>
          </cell>
          <cell r="E32" t="str">
            <v>BB3</v>
          </cell>
          <cell r="F32">
            <v>43</v>
          </cell>
        </row>
        <row r="33">
          <cell r="D33" t="str">
            <v>Bukit Baru - 4</v>
          </cell>
          <cell r="E33" t="str">
            <v>BB4</v>
          </cell>
          <cell r="F33">
            <v>44</v>
          </cell>
        </row>
        <row r="34">
          <cell r="D34" t="str">
            <v>Sumber Rejeki</v>
          </cell>
          <cell r="E34" t="str">
            <v>SR</v>
          </cell>
          <cell r="F34">
            <v>61</v>
          </cell>
        </row>
        <row r="36">
          <cell r="D36" t="str">
            <v>Rayon I</v>
          </cell>
          <cell r="E36" t="str">
            <v>RAY-01</v>
          </cell>
          <cell r="F36">
            <v>62</v>
          </cell>
        </row>
        <row r="37">
          <cell r="D37" t="str">
            <v>Rayon II</v>
          </cell>
          <cell r="E37" t="str">
            <v>RAY-02</v>
          </cell>
          <cell r="F37">
            <v>63</v>
          </cell>
        </row>
        <row r="38">
          <cell r="D38" t="str">
            <v>Rayon III</v>
          </cell>
          <cell r="E38" t="str">
            <v>RAY-03</v>
          </cell>
          <cell r="F38">
            <v>64</v>
          </cell>
        </row>
        <row r="39">
          <cell r="D39" t="str">
            <v>Rayon IV</v>
          </cell>
          <cell r="E39" t="str">
            <v>RAY-04</v>
          </cell>
          <cell r="F39">
            <v>65</v>
          </cell>
        </row>
        <row r="45">
          <cell r="E45" t="str">
            <v>SKU Panen</v>
          </cell>
          <cell r="F45" t="str">
            <v>HK</v>
          </cell>
          <cell r="G45">
            <v>108453</v>
          </cell>
          <cell r="H45" t="str">
            <v>1.TK.001</v>
          </cell>
        </row>
        <row r="46">
          <cell r="E46" t="str">
            <v>Upah PHL</v>
          </cell>
          <cell r="F46" t="str">
            <v>HK</v>
          </cell>
          <cell r="G46">
            <v>103311</v>
          </cell>
          <cell r="H46" t="str">
            <v>1.TK.002</v>
          </cell>
        </row>
        <row r="47">
          <cell r="E47" t="str">
            <v>Biaya Konsultan</v>
          </cell>
          <cell r="F47" t="str">
            <v>Rp/Ha</v>
          </cell>
          <cell r="G47">
            <v>25000</v>
          </cell>
          <cell r="H47" t="str">
            <v>1.TK.003</v>
          </cell>
        </row>
        <row r="48">
          <cell r="E48" t="str">
            <v>Muat TBS</v>
          </cell>
          <cell r="F48" t="str">
            <v>Kg</v>
          </cell>
          <cell r="H48" t="str">
            <v>1.TK.004</v>
          </cell>
        </row>
        <row r="49">
          <cell r="E49" t="str">
            <v>BM Pupuk Intern</v>
          </cell>
          <cell r="F49" t="str">
            <v>Ton</v>
          </cell>
          <cell r="G49">
            <v>25000</v>
          </cell>
          <cell r="H49" t="str">
            <v>1.TK.005</v>
          </cell>
        </row>
        <row r="50">
          <cell r="E50" t="str">
            <v>BM Pupuk Ekstern</v>
          </cell>
          <cell r="F50" t="str">
            <v>Ton</v>
          </cell>
          <cell r="H50" t="str">
            <v>1.TK.006</v>
          </cell>
        </row>
        <row r="51">
          <cell r="E51" t="str">
            <v>Upah Supervisi Panen 1</v>
          </cell>
          <cell r="F51" t="str">
            <v>HK</v>
          </cell>
          <cell r="H51" t="str">
            <v>1.TK.007</v>
          </cell>
        </row>
        <row r="52">
          <cell r="E52" t="str">
            <v>Upah Supervisi Panen 2</v>
          </cell>
          <cell r="F52" t="str">
            <v>HK</v>
          </cell>
          <cell r="H52" t="str">
            <v>1.TK.008</v>
          </cell>
        </row>
        <row r="53">
          <cell r="E53" t="str">
            <v>Upah Supervisi Panen 3</v>
          </cell>
          <cell r="F53" t="str">
            <v>HK</v>
          </cell>
          <cell r="H53" t="str">
            <v>1.TK.009</v>
          </cell>
        </row>
        <row r="54">
          <cell r="E54" t="str">
            <v>Upah Supervisi Panen 4</v>
          </cell>
          <cell r="F54" t="str">
            <v>HK</v>
          </cell>
          <cell r="H54" t="str">
            <v>1.TK.010</v>
          </cell>
        </row>
        <row r="55">
          <cell r="E55" t="str">
            <v>Upah Supervisi Perawatan 1</v>
          </cell>
          <cell r="F55" t="str">
            <v>HK</v>
          </cell>
          <cell r="H55" t="str">
            <v>1.TK.011</v>
          </cell>
        </row>
        <row r="56">
          <cell r="E56" t="str">
            <v>Upah Supervisi Perawatan 2</v>
          </cell>
          <cell r="F56" t="str">
            <v>HK</v>
          </cell>
          <cell r="H56" t="str">
            <v>1.TK.012</v>
          </cell>
        </row>
        <row r="57">
          <cell r="E57" t="str">
            <v>Upah Supervisi Perawatan 3</v>
          </cell>
          <cell r="F57" t="str">
            <v>HK</v>
          </cell>
          <cell r="H57" t="str">
            <v>1.TK.013</v>
          </cell>
        </row>
        <row r="58">
          <cell r="E58" t="str">
            <v>Upah Supervisi Perawatan 4</v>
          </cell>
          <cell r="F58" t="str">
            <v>HK</v>
          </cell>
          <cell r="H58" t="str">
            <v>1.TK.014</v>
          </cell>
        </row>
        <row r="59">
          <cell r="E59" t="str">
            <v>Lain-lain Spv Perawatan 1</v>
          </cell>
          <cell r="F59" t="str">
            <v>HK</v>
          </cell>
          <cell r="H59" t="str">
            <v>1.TK.015</v>
          </cell>
        </row>
        <row r="60">
          <cell r="E60" t="str">
            <v>Lain-lain Spv Perawatan 2</v>
          </cell>
          <cell r="F60" t="str">
            <v>HK</v>
          </cell>
          <cell r="H60" t="str">
            <v>1.TK.016</v>
          </cell>
        </row>
        <row r="61">
          <cell r="E61" t="str">
            <v>Lain-lain Spv Perawatan 3</v>
          </cell>
          <cell r="F61" t="str">
            <v>HK</v>
          </cell>
          <cell r="H61" t="str">
            <v>1.TK.017</v>
          </cell>
        </row>
        <row r="62">
          <cell r="E62" t="str">
            <v>Lain-lain Spv Perawatan 4</v>
          </cell>
          <cell r="F62" t="str">
            <v>HK</v>
          </cell>
          <cell r="H62" t="str">
            <v>1.TK.018</v>
          </cell>
        </row>
        <row r="64">
          <cell r="E64" t="str">
            <v>Premi Panen 1</v>
          </cell>
          <cell r="F64" t="str">
            <v>HK</v>
          </cell>
          <cell r="H64" t="str">
            <v>2.TK.001</v>
          </cell>
        </row>
        <row r="65">
          <cell r="E65" t="str">
            <v>Premi Panen 2</v>
          </cell>
          <cell r="F65" t="str">
            <v>HK</v>
          </cell>
          <cell r="H65" t="str">
            <v>2.TK.002</v>
          </cell>
        </row>
        <row r="66">
          <cell r="E66" t="str">
            <v>Premi Panen 3</v>
          </cell>
          <cell r="F66" t="str">
            <v>HK</v>
          </cell>
          <cell r="H66" t="str">
            <v>2.TK.003</v>
          </cell>
        </row>
        <row r="67">
          <cell r="E67" t="str">
            <v>Premi Panen 4</v>
          </cell>
          <cell r="F67" t="str">
            <v>HK</v>
          </cell>
          <cell r="H67" t="str">
            <v>2.TK.004</v>
          </cell>
        </row>
        <row r="68">
          <cell r="E68" t="str">
            <v>Premi Extra Fooding</v>
          </cell>
          <cell r="F68" t="str">
            <v>HK</v>
          </cell>
          <cell r="H68" t="str">
            <v>2.TK.005</v>
          </cell>
        </row>
        <row r="69">
          <cell r="E69" t="str">
            <v>Premi Supervisi Panen</v>
          </cell>
          <cell r="F69" t="str">
            <v>HK</v>
          </cell>
          <cell r="H69" t="str">
            <v>2.TK.006</v>
          </cell>
        </row>
        <row r="70">
          <cell r="E70" t="str">
            <v>Premi Supervisi Perawatan</v>
          </cell>
          <cell r="F70" t="str">
            <v>HK</v>
          </cell>
          <cell r="H70" t="str">
            <v>2.TK.007</v>
          </cell>
        </row>
        <row r="71">
          <cell r="E71" t="str">
            <v>Premi Kerani Panen</v>
          </cell>
          <cell r="F71" t="str">
            <v>HK</v>
          </cell>
          <cell r="H71" t="str">
            <v>2.TK.008</v>
          </cell>
        </row>
        <row r="72">
          <cell r="E72" t="str">
            <v>Premi Kerani Perawatan</v>
          </cell>
          <cell r="F72" t="str">
            <v>HK</v>
          </cell>
          <cell r="H72" t="str">
            <v>2.TK.009</v>
          </cell>
        </row>
        <row r="73">
          <cell r="H73" t="str">
            <v>2.TK.010</v>
          </cell>
        </row>
        <row r="75">
          <cell r="E75" t="str">
            <v>Alat Sensus</v>
          </cell>
          <cell r="F75" t="str">
            <v>Set</v>
          </cell>
          <cell r="G75">
            <v>20000</v>
          </cell>
          <cell r="H75" t="str">
            <v>3.AK.001</v>
          </cell>
        </row>
        <row r="76">
          <cell r="E76" t="str">
            <v>Anak Pancang</v>
          </cell>
          <cell r="F76" t="str">
            <v>Buah</v>
          </cell>
          <cell r="G76">
            <v>125</v>
          </cell>
          <cell r="H76" t="str">
            <v>3.AK.002</v>
          </cell>
        </row>
        <row r="77">
          <cell r="E77" t="str">
            <v>Angkong</v>
          </cell>
          <cell r="F77" t="str">
            <v>Buah</v>
          </cell>
          <cell r="G77">
            <v>395960.4</v>
          </cell>
          <cell r="H77" t="str">
            <v>3.AK.003</v>
          </cell>
        </row>
        <row r="78">
          <cell r="E78" t="str">
            <v>ATK</v>
          </cell>
          <cell r="F78" t="str">
            <v>Set</v>
          </cell>
          <cell r="G78">
            <v>20000</v>
          </cell>
          <cell r="H78" t="str">
            <v>3.AK.004</v>
          </cell>
        </row>
        <row r="79">
          <cell r="E79" t="str">
            <v>Baby Bag</v>
          </cell>
          <cell r="F79" t="str">
            <v>Lbr</v>
          </cell>
          <cell r="G79">
            <v>110</v>
          </cell>
          <cell r="H79" t="str">
            <v>3.AK.005</v>
          </cell>
        </row>
        <row r="80">
          <cell r="E80" t="str">
            <v>Batu Asah</v>
          </cell>
          <cell r="F80" t="str">
            <v>Buah</v>
          </cell>
          <cell r="G80">
            <v>7908.3</v>
          </cell>
          <cell r="H80" t="str">
            <v>3.AK.006</v>
          </cell>
        </row>
        <row r="81">
          <cell r="E81" t="str">
            <v>Cados</v>
          </cell>
          <cell r="F81" t="str">
            <v>Buah</v>
          </cell>
          <cell r="G81">
            <v>79992</v>
          </cell>
          <cell r="H81" t="str">
            <v>3.AK.007</v>
          </cell>
        </row>
        <row r="82">
          <cell r="E82" t="str">
            <v>Cangkul</v>
          </cell>
          <cell r="F82" t="str">
            <v>Buah</v>
          </cell>
          <cell r="G82">
            <v>50176.800000000003</v>
          </cell>
          <cell r="H82" t="str">
            <v>3.AK.008</v>
          </cell>
        </row>
        <row r="83">
          <cell r="E83" t="str">
            <v>Cat</v>
          </cell>
          <cell r="F83" t="str">
            <v>Kg</v>
          </cell>
          <cell r="G83">
            <v>50176.800000000003</v>
          </cell>
          <cell r="H83" t="str">
            <v>3.AK.009</v>
          </cell>
        </row>
        <row r="84">
          <cell r="E84" t="str">
            <v>Celemek</v>
          </cell>
          <cell r="F84" t="str">
            <v>Buah</v>
          </cell>
          <cell r="G84">
            <v>42541.2</v>
          </cell>
          <cell r="H84" t="str">
            <v>3.AK.010</v>
          </cell>
        </row>
        <row r="85">
          <cell r="E85" t="str">
            <v>Dodos 3"</v>
          </cell>
          <cell r="F85" t="str">
            <v>Buah</v>
          </cell>
          <cell r="G85">
            <v>77992.2</v>
          </cell>
          <cell r="H85" t="str">
            <v>3.AK.011</v>
          </cell>
        </row>
        <row r="86">
          <cell r="E86" t="str">
            <v>Dodos 4"</v>
          </cell>
          <cell r="F86" t="str">
            <v>Buah</v>
          </cell>
          <cell r="G86">
            <v>113388.66</v>
          </cell>
          <cell r="H86" t="str">
            <v>3.AK.012</v>
          </cell>
        </row>
        <row r="87">
          <cell r="E87" t="str">
            <v>Dodos 5"</v>
          </cell>
          <cell r="F87" t="str">
            <v>Buah</v>
          </cell>
          <cell r="G87">
            <v>129805.2</v>
          </cell>
          <cell r="H87" t="str">
            <v>3.AK.013</v>
          </cell>
        </row>
        <row r="88">
          <cell r="E88" t="str">
            <v>Egrek Set Pool</v>
          </cell>
          <cell r="F88" t="str">
            <v>Set</v>
          </cell>
          <cell r="G88">
            <v>939942.36</v>
          </cell>
          <cell r="H88" t="str">
            <v>3.AK.014</v>
          </cell>
        </row>
        <row r="89">
          <cell r="E89" t="str">
            <v>Egrek Sikles</v>
          </cell>
          <cell r="F89" t="str">
            <v>Buah</v>
          </cell>
          <cell r="G89">
            <v>153257.4</v>
          </cell>
          <cell r="H89" t="str">
            <v>3.AK.015</v>
          </cell>
        </row>
        <row r="90">
          <cell r="E90" t="str">
            <v>Ember</v>
          </cell>
          <cell r="F90" t="str">
            <v>Buah</v>
          </cell>
          <cell r="G90">
            <v>30000</v>
          </cell>
          <cell r="H90" t="str">
            <v>3.AK.016</v>
          </cell>
        </row>
        <row r="91">
          <cell r="E91" t="str">
            <v>Galapool</v>
          </cell>
          <cell r="F91" t="str">
            <v>Buah</v>
          </cell>
          <cell r="G91">
            <v>612702.36</v>
          </cell>
          <cell r="H91" t="str">
            <v>3.AK.017</v>
          </cell>
        </row>
        <row r="92">
          <cell r="E92" t="str">
            <v>Gancu</v>
          </cell>
          <cell r="F92" t="str">
            <v>Buah</v>
          </cell>
          <cell r="G92">
            <v>64433.555999999997</v>
          </cell>
          <cell r="H92" t="str">
            <v>3.AK.018</v>
          </cell>
        </row>
        <row r="93">
          <cell r="E93" t="str">
            <v>Garuk Brondolan</v>
          </cell>
          <cell r="F93" t="str">
            <v>Buah</v>
          </cell>
          <cell r="G93">
            <v>94026.96</v>
          </cell>
          <cell r="H93" t="str">
            <v>3.AK.019</v>
          </cell>
        </row>
        <row r="94">
          <cell r="E94" t="str">
            <v>GPS</v>
          </cell>
          <cell r="F94" t="str">
            <v>Buah</v>
          </cell>
          <cell r="G94">
            <v>4888400</v>
          </cell>
          <cell r="H94" t="str">
            <v>3.AK.020</v>
          </cell>
        </row>
        <row r="95">
          <cell r="E95" t="str">
            <v>Helm</v>
          </cell>
          <cell r="F95" t="str">
            <v>Buah</v>
          </cell>
          <cell r="G95">
            <v>26179.200000000001</v>
          </cell>
          <cell r="H95" t="str">
            <v>3.AK.021</v>
          </cell>
        </row>
        <row r="96">
          <cell r="E96" t="str">
            <v>Jas Hujan</v>
          </cell>
          <cell r="F96" t="str">
            <v>Buah</v>
          </cell>
          <cell r="G96">
            <v>49086</v>
          </cell>
          <cell r="H96" t="str">
            <v>3.AK.022</v>
          </cell>
        </row>
        <row r="97">
          <cell r="E97" t="str">
            <v>Kaca Mata</v>
          </cell>
          <cell r="F97" t="str">
            <v>Buah</v>
          </cell>
          <cell r="G97">
            <v>33574.824000000001</v>
          </cell>
          <cell r="H97" t="str">
            <v>3.AK.023</v>
          </cell>
        </row>
        <row r="98">
          <cell r="E98" t="str">
            <v>Kapak Panen</v>
          </cell>
          <cell r="F98" t="str">
            <v>Buah</v>
          </cell>
          <cell r="G98">
            <v>128169</v>
          </cell>
          <cell r="H98" t="str">
            <v>3.AK.024</v>
          </cell>
        </row>
        <row r="99">
          <cell r="E99" t="str">
            <v>Kompas</v>
          </cell>
          <cell r="F99" t="str">
            <v>Buah</v>
          </cell>
          <cell r="G99">
            <v>1568025</v>
          </cell>
          <cell r="H99" t="str">
            <v>3.AK.025</v>
          </cell>
        </row>
        <row r="100">
          <cell r="E100" t="str">
            <v>Kuas</v>
          </cell>
          <cell r="F100" t="str">
            <v>Buah</v>
          </cell>
          <cell r="G100">
            <v>3272.4</v>
          </cell>
          <cell r="H100" t="str">
            <v>3.AK.026</v>
          </cell>
        </row>
        <row r="101">
          <cell r="E101" t="str">
            <v>Large Bag</v>
          </cell>
          <cell r="F101" t="str">
            <v>Lbr</v>
          </cell>
          <cell r="G101">
            <v>1200</v>
          </cell>
          <cell r="H101" t="str">
            <v>3.AK.027</v>
          </cell>
        </row>
        <row r="102">
          <cell r="E102" t="str">
            <v>Masker</v>
          </cell>
          <cell r="F102" t="str">
            <v>Buah</v>
          </cell>
          <cell r="G102">
            <v>10908</v>
          </cell>
          <cell r="H102" t="str">
            <v>3.AK.028</v>
          </cell>
        </row>
        <row r="103">
          <cell r="E103" t="str">
            <v>Material Instalasi Air</v>
          </cell>
          <cell r="F103" t="str">
            <v>Set</v>
          </cell>
          <cell r="G103">
            <v>21500000</v>
          </cell>
          <cell r="H103" t="str">
            <v>3.AK.029</v>
          </cell>
        </row>
        <row r="104">
          <cell r="E104" t="str">
            <v>Material Pondok Hujan</v>
          </cell>
          <cell r="F104" t="str">
            <v>Unit</v>
          </cell>
          <cell r="G104">
            <v>5000000</v>
          </cell>
          <cell r="H104" t="str">
            <v>3.AK.030</v>
          </cell>
        </row>
        <row r="105">
          <cell r="E105" t="str">
            <v>Meteran</v>
          </cell>
          <cell r="F105" t="str">
            <v>Buah</v>
          </cell>
          <cell r="G105">
            <v>61105</v>
          </cell>
          <cell r="H105" t="str">
            <v>3.AK.031</v>
          </cell>
        </row>
        <row r="106">
          <cell r="E106" t="str">
            <v>Micron Herbi (MHS)</v>
          </cell>
          <cell r="F106" t="str">
            <v>Buah</v>
          </cell>
          <cell r="G106">
            <v>1854360</v>
          </cell>
          <cell r="H106" t="str">
            <v>3.AK.032</v>
          </cell>
        </row>
        <row r="107">
          <cell r="E107" t="str">
            <v>Paku Ulin</v>
          </cell>
          <cell r="F107" t="str">
            <v>Kg</v>
          </cell>
          <cell r="G107">
            <v>16109.5</v>
          </cell>
          <cell r="H107" t="str">
            <v>3.AK.033</v>
          </cell>
        </row>
        <row r="108">
          <cell r="E108" t="str">
            <v>Papan</v>
          </cell>
          <cell r="F108" t="str">
            <v>Lbr</v>
          </cell>
          <cell r="G108">
            <v>30000</v>
          </cell>
          <cell r="H108" t="str">
            <v>3.AK.034</v>
          </cell>
        </row>
        <row r="109">
          <cell r="E109" t="str">
            <v>Paranet</v>
          </cell>
          <cell r="F109" t="str">
            <v>Rol</v>
          </cell>
          <cell r="G109">
            <v>2280000</v>
          </cell>
          <cell r="H109" t="str">
            <v>3.AK.035</v>
          </cell>
        </row>
        <row r="110">
          <cell r="E110" t="str">
            <v>Parang</v>
          </cell>
          <cell r="F110" t="str">
            <v>Buah</v>
          </cell>
          <cell r="G110">
            <v>50000</v>
          </cell>
          <cell r="H110" t="str">
            <v>3.AK.036</v>
          </cell>
        </row>
        <row r="111">
          <cell r="E111" t="str">
            <v>Pengki Brondolan</v>
          </cell>
          <cell r="F111" t="str">
            <v>Buah</v>
          </cell>
          <cell r="G111">
            <v>81591.839999999997</v>
          </cell>
          <cell r="H111" t="str">
            <v>3.AK.037</v>
          </cell>
        </row>
        <row r="112">
          <cell r="E112" t="str">
            <v>Sarung Dodos</v>
          </cell>
          <cell r="F112" t="str">
            <v>Buah</v>
          </cell>
          <cell r="G112">
            <v>47995.199999999997</v>
          </cell>
          <cell r="H112" t="str">
            <v>3.AK.038</v>
          </cell>
        </row>
        <row r="113">
          <cell r="E113" t="str">
            <v>Sarung Egrek</v>
          </cell>
          <cell r="F113" t="str">
            <v>Buah</v>
          </cell>
          <cell r="G113">
            <v>62721</v>
          </cell>
          <cell r="H113" t="str">
            <v>3.AK.039</v>
          </cell>
        </row>
        <row r="114">
          <cell r="E114" t="str">
            <v>Sarung Tangan Kain</v>
          </cell>
          <cell r="F114" t="str">
            <v>Buah</v>
          </cell>
          <cell r="G114">
            <v>44606.65</v>
          </cell>
          <cell r="H114" t="str">
            <v>3.AK.040</v>
          </cell>
        </row>
        <row r="115">
          <cell r="E115" t="str">
            <v>Sarung Tangan Karet</v>
          </cell>
          <cell r="F115" t="str">
            <v>Buah</v>
          </cell>
          <cell r="G115">
            <v>11998.8</v>
          </cell>
          <cell r="H115" t="str">
            <v>3.AK.041</v>
          </cell>
        </row>
        <row r="116">
          <cell r="E116" t="str">
            <v>Sepatu Boots</v>
          </cell>
          <cell r="F116" t="str">
            <v>Buah</v>
          </cell>
          <cell r="G116">
            <v>70902</v>
          </cell>
          <cell r="H116" t="str">
            <v>3.AK.042</v>
          </cell>
        </row>
        <row r="117">
          <cell r="E117" t="str">
            <v>Sepatu Safety</v>
          </cell>
          <cell r="F117" t="str">
            <v>Buah</v>
          </cell>
          <cell r="G117">
            <v>392688</v>
          </cell>
          <cell r="H117" t="str">
            <v>3.AK.043</v>
          </cell>
        </row>
        <row r="118">
          <cell r="E118" t="str">
            <v>Sprayer (Inter)</v>
          </cell>
          <cell r="F118" t="str">
            <v>Buah</v>
          </cell>
          <cell r="G118">
            <v>944632.8</v>
          </cell>
          <cell r="H118" t="str">
            <v>3.AK.044</v>
          </cell>
        </row>
        <row r="119">
          <cell r="E119" t="str">
            <v>Sprayer (Solo)</v>
          </cell>
          <cell r="F119" t="str">
            <v>Buah</v>
          </cell>
          <cell r="G119">
            <v>278154</v>
          </cell>
          <cell r="H119" t="str">
            <v>3.AK.045</v>
          </cell>
        </row>
        <row r="120">
          <cell r="E120" t="str">
            <v>Takaran Pupuk</v>
          </cell>
          <cell r="F120" t="str">
            <v>Buah</v>
          </cell>
          <cell r="G120">
            <v>12500</v>
          </cell>
          <cell r="H120" t="str">
            <v>3.AK.046</v>
          </cell>
        </row>
        <row r="121">
          <cell r="E121" t="str">
            <v>Tiang Kayu Bibitan</v>
          </cell>
          <cell r="F121" t="str">
            <v>Batang</v>
          </cell>
          <cell r="G121">
            <v>40000</v>
          </cell>
          <cell r="H121" t="str">
            <v>3.AK.047</v>
          </cell>
        </row>
        <row r="122">
          <cell r="E122" t="str">
            <v>Tojok</v>
          </cell>
          <cell r="F122" t="str">
            <v>Buah</v>
          </cell>
          <cell r="G122">
            <v>71104</v>
          </cell>
          <cell r="H122" t="str">
            <v>3.AK.048</v>
          </cell>
        </row>
        <row r="123">
          <cell r="H123" t="str">
            <v>3.AK.049</v>
          </cell>
        </row>
        <row r="124">
          <cell r="H124" t="str">
            <v>3.AK.050</v>
          </cell>
        </row>
        <row r="126">
          <cell r="E126" t="str">
            <v>Glyphosate</v>
          </cell>
          <cell r="F126" t="str">
            <v>Liter</v>
          </cell>
          <cell r="G126">
            <v>43758</v>
          </cell>
          <cell r="H126" t="str">
            <v>3.OB.001</v>
          </cell>
        </row>
        <row r="127">
          <cell r="E127" t="str">
            <v>Metil Metsulfuron</v>
          </cell>
          <cell r="F127" t="str">
            <v>Kg</v>
          </cell>
          <cell r="G127">
            <v>147543</v>
          </cell>
          <cell r="H127" t="str">
            <v>3.OB.002</v>
          </cell>
        </row>
        <row r="128">
          <cell r="E128" t="str">
            <v>Perekat</v>
          </cell>
          <cell r="F128" t="str">
            <v>Liter</v>
          </cell>
          <cell r="G128">
            <v>64793.52</v>
          </cell>
          <cell r="H128" t="str">
            <v>3.OB.003</v>
          </cell>
        </row>
        <row r="129">
          <cell r="E129" t="str">
            <v>Parakuat</v>
          </cell>
          <cell r="F129" t="str">
            <v>Liter</v>
          </cell>
          <cell r="G129">
            <v>49648.500000000007</v>
          </cell>
          <cell r="H129" t="str">
            <v>3.OB.004</v>
          </cell>
        </row>
        <row r="130">
          <cell r="E130" t="str">
            <v>Triclophir</v>
          </cell>
          <cell r="F130" t="str">
            <v>Liter</v>
          </cell>
          <cell r="G130">
            <v>148348.79999999999</v>
          </cell>
          <cell r="H130" t="str">
            <v>3.OB.005</v>
          </cell>
        </row>
        <row r="131">
          <cell r="E131" t="str">
            <v>Rodentisida</v>
          </cell>
          <cell r="F131" t="str">
            <v>Kg</v>
          </cell>
          <cell r="G131">
            <v>39107.199999999997</v>
          </cell>
          <cell r="H131" t="str">
            <v>3.OB.006</v>
          </cell>
        </row>
        <row r="132">
          <cell r="E132" t="str">
            <v>Decis</v>
          </cell>
          <cell r="F132" t="str">
            <v>Liter</v>
          </cell>
          <cell r="G132">
            <v>196350.00000000003</v>
          </cell>
          <cell r="H132" t="str">
            <v>3.OB.007</v>
          </cell>
        </row>
        <row r="133">
          <cell r="E133" t="str">
            <v>Becano</v>
          </cell>
          <cell r="F133" t="str">
            <v>Liter</v>
          </cell>
          <cell r="G133">
            <v>1522156.86</v>
          </cell>
          <cell r="H133" t="str">
            <v>3.OB.008</v>
          </cell>
        </row>
        <row r="134">
          <cell r="E134" t="str">
            <v>Furadan</v>
          </cell>
          <cell r="F134" t="str">
            <v>Kg</v>
          </cell>
          <cell r="G134">
            <v>11665.5</v>
          </cell>
          <cell r="H134" t="str">
            <v>3.OB.009</v>
          </cell>
        </row>
        <row r="135">
          <cell r="E135" t="str">
            <v>Marfu</v>
          </cell>
          <cell r="F135" t="str">
            <v>Liter</v>
          </cell>
          <cell r="H135" t="str">
            <v>3.OB.010</v>
          </cell>
        </row>
        <row r="136">
          <cell r="E136" t="str">
            <v>Marshal</v>
          </cell>
          <cell r="F136" t="str">
            <v>Liter</v>
          </cell>
          <cell r="H136" t="str">
            <v>3.OB.011</v>
          </cell>
        </row>
        <row r="137">
          <cell r="E137" t="str">
            <v>Dithane</v>
          </cell>
          <cell r="F137" t="str">
            <v>Kg</v>
          </cell>
          <cell r="H137" t="str">
            <v>3.OB.012</v>
          </cell>
        </row>
        <row r="138">
          <cell r="E138" t="str">
            <v>Sevin</v>
          </cell>
          <cell r="F138" t="str">
            <v>Liter</v>
          </cell>
          <cell r="H138" t="str">
            <v>3.OB.013</v>
          </cell>
        </row>
        <row r="139">
          <cell r="E139" t="str">
            <v>Pheromone</v>
          </cell>
          <cell r="F139" t="str">
            <v>Buah</v>
          </cell>
          <cell r="G139">
            <v>91657.5</v>
          </cell>
          <cell r="H139" t="str">
            <v>3.OB.014</v>
          </cell>
        </row>
        <row r="140">
          <cell r="E140" t="str">
            <v>Kapur Barus</v>
          </cell>
          <cell r="F140" t="str">
            <v>Pak</v>
          </cell>
          <cell r="H140" t="str">
            <v>3.OB.015</v>
          </cell>
        </row>
        <row r="142">
          <cell r="E142" t="str">
            <v>Urea</v>
          </cell>
          <cell r="F142" t="str">
            <v>Kg</v>
          </cell>
          <cell r="G142">
            <v>4895.42</v>
          </cell>
          <cell r="H142" t="str">
            <v>3.PP.001</v>
          </cell>
        </row>
        <row r="143">
          <cell r="E143" t="str">
            <v>Rock Phosphate</v>
          </cell>
          <cell r="F143" t="str">
            <v>Kg</v>
          </cell>
          <cell r="G143">
            <v>2299.2199999999998</v>
          </cell>
          <cell r="H143" t="str">
            <v>3.PP.002</v>
          </cell>
        </row>
        <row r="144">
          <cell r="E144" t="str">
            <v>MOP</v>
          </cell>
          <cell r="F144" t="str">
            <v>Kg</v>
          </cell>
          <cell r="G144">
            <v>5357.22</v>
          </cell>
          <cell r="H144" t="str">
            <v>3.PP.003</v>
          </cell>
        </row>
        <row r="145">
          <cell r="E145" t="str">
            <v>Kieserite</v>
          </cell>
          <cell r="F145" t="str">
            <v>Kg</v>
          </cell>
          <cell r="G145">
            <v>2349.6734999999999</v>
          </cell>
          <cell r="H145" t="str">
            <v>3.PP.004</v>
          </cell>
        </row>
        <row r="146">
          <cell r="E146" t="str">
            <v>Borate</v>
          </cell>
          <cell r="F146" t="str">
            <v>Kg</v>
          </cell>
          <cell r="G146">
            <v>9495.5</v>
          </cell>
          <cell r="H146" t="str">
            <v>3.PP.005</v>
          </cell>
        </row>
        <row r="147">
          <cell r="E147" t="str">
            <v>Organik</v>
          </cell>
          <cell r="F147" t="str">
            <v>Kg</v>
          </cell>
          <cell r="G147">
            <v>3737.14</v>
          </cell>
          <cell r="H147" t="str">
            <v>3.PP.006</v>
          </cell>
        </row>
        <row r="148">
          <cell r="E148" t="str">
            <v>NPK 12-12-17-2+TE</v>
          </cell>
          <cell r="F148" t="str">
            <v>Kg</v>
          </cell>
          <cell r="G148">
            <v>3693.0000000000005</v>
          </cell>
          <cell r="H148" t="str">
            <v>3.PP.007</v>
          </cell>
        </row>
        <row r="149">
          <cell r="E149" t="str">
            <v>NPK 13-6-27-4+0.65B</v>
          </cell>
          <cell r="F149" t="str">
            <v>Kg</v>
          </cell>
          <cell r="G149">
            <v>4353</v>
          </cell>
          <cell r="H149" t="str">
            <v>3.PP.008</v>
          </cell>
        </row>
        <row r="150">
          <cell r="E150" t="str">
            <v>NPK 15-15-6-4</v>
          </cell>
          <cell r="F150" t="str">
            <v>Kg</v>
          </cell>
          <cell r="G150">
            <v>3583.0000000000005</v>
          </cell>
          <cell r="H150" t="str">
            <v>3.PP.009</v>
          </cell>
        </row>
        <row r="151">
          <cell r="E151" t="str">
            <v>Suburin</v>
          </cell>
          <cell r="F151" t="str">
            <v>Liter</v>
          </cell>
          <cell r="H151" t="str">
            <v>3.PP.010</v>
          </cell>
        </row>
        <row r="152">
          <cell r="E152" t="str">
            <v>Bayfolan</v>
          </cell>
          <cell r="F152" t="str">
            <v>Liter</v>
          </cell>
          <cell r="G152">
            <v>250000</v>
          </cell>
          <cell r="H152" t="str">
            <v>3.PP.011</v>
          </cell>
        </row>
        <row r="153">
          <cell r="E153" t="str">
            <v>PUPUK NPK MUTIARA</v>
          </cell>
          <cell r="H153" t="str">
            <v>3.PP.012</v>
          </cell>
        </row>
        <row r="154">
          <cell r="E154" t="str">
            <v>PUPUK KAPTAN</v>
          </cell>
          <cell r="H154" t="str">
            <v>3.PP.013</v>
          </cell>
        </row>
        <row r="155">
          <cell r="H155" t="str">
            <v>3.PP.014</v>
          </cell>
        </row>
        <row r="156">
          <cell r="H156" t="str">
            <v>3.PP.015</v>
          </cell>
        </row>
        <row r="158">
          <cell r="E158" t="str">
            <v>Titi Panen 1</v>
          </cell>
          <cell r="F158" t="str">
            <v>Buah</v>
          </cell>
          <cell r="G158">
            <v>700000</v>
          </cell>
          <cell r="H158" t="str">
            <v>3.TP.001</v>
          </cell>
        </row>
        <row r="159">
          <cell r="E159" t="str">
            <v>Titi Panen 2</v>
          </cell>
          <cell r="F159" t="str">
            <v>Buah</v>
          </cell>
          <cell r="G159">
            <v>300000</v>
          </cell>
          <cell r="H159" t="str">
            <v>3.TP.002</v>
          </cell>
        </row>
        <row r="160">
          <cell r="E160" t="str">
            <v>Titi Panen 3</v>
          </cell>
          <cell r="F160" t="str">
            <v>Buah</v>
          </cell>
          <cell r="G160">
            <v>400000</v>
          </cell>
          <cell r="H160" t="str">
            <v>3.TP.003</v>
          </cell>
        </row>
        <row r="161">
          <cell r="E161" t="str">
            <v>Titi Panen 4</v>
          </cell>
          <cell r="F161" t="str">
            <v>Buah</v>
          </cell>
          <cell r="G161">
            <v>525000</v>
          </cell>
          <cell r="H161" t="str">
            <v>3.TP.004</v>
          </cell>
        </row>
        <row r="162">
          <cell r="E162" t="str">
            <v>Titi Panen 5</v>
          </cell>
          <cell r="F162" t="str">
            <v>Buah</v>
          </cell>
          <cell r="G162">
            <v>650000</v>
          </cell>
          <cell r="H162" t="str">
            <v>3.TP.005</v>
          </cell>
        </row>
        <row r="163">
          <cell r="E163" t="str">
            <v>Titi Panen 6</v>
          </cell>
          <cell r="F163" t="str">
            <v>Buah</v>
          </cell>
          <cell r="G163">
            <v>750000</v>
          </cell>
          <cell r="H163" t="str">
            <v>3.TP.006</v>
          </cell>
        </row>
        <row r="164">
          <cell r="E164" t="str">
            <v>Titi Pasar Rintis 1</v>
          </cell>
          <cell r="F164" t="str">
            <v>Buah</v>
          </cell>
          <cell r="H164" t="str">
            <v>3.TP.007</v>
          </cell>
        </row>
        <row r="165">
          <cell r="E165" t="str">
            <v>Titi Pasar Rintis 2</v>
          </cell>
          <cell r="F165" t="str">
            <v>Buah</v>
          </cell>
          <cell r="H165" t="str">
            <v>3.TP.008</v>
          </cell>
        </row>
        <row r="166">
          <cell r="E166" t="str">
            <v>Titi Pasar Rintis 3</v>
          </cell>
          <cell r="F166" t="str">
            <v>Buah</v>
          </cell>
          <cell r="H166" t="str">
            <v>3.TP.009</v>
          </cell>
        </row>
        <row r="167">
          <cell r="E167" t="str">
            <v>Titi Pasar Rintis 4</v>
          </cell>
          <cell r="F167" t="str">
            <v>Buah</v>
          </cell>
          <cell r="H167" t="str">
            <v>3.TP.010</v>
          </cell>
        </row>
        <row r="168">
          <cell r="E168" t="str">
            <v>Titi Pasar Rintis 5</v>
          </cell>
          <cell r="F168" t="str">
            <v>Buah</v>
          </cell>
          <cell r="H168" t="str">
            <v>3.TP.011</v>
          </cell>
        </row>
        <row r="170">
          <cell r="E170" t="str">
            <v>Bahan Jembatan Permanen 1</v>
          </cell>
          <cell r="F170" t="str">
            <v>Unit</v>
          </cell>
          <cell r="G170">
            <v>130000000</v>
          </cell>
          <cell r="H170" t="str">
            <v>3.BJ.001</v>
          </cell>
        </row>
        <row r="171">
          <cell r="E171" t="str">
            <v>Bahan Jembatan Permanen 2</v>
          </cell>
          <cell r="F171" t="str">
            <v>Unit</v>
          </cell>
          <cell r="G171">
            <v>50000000</v>
          </cell>
          <cell r="H171" t="str">
            <v>3.BJ.002</v>
          </cell>
        </row>
        <row r="172">
          <cell r="E172" t="str">
            <v>Bahan Jembatan Permanen 3</v>
          </cell>
          <cell r="F172" t="str">
            <v>Unit</v>
          </cell>
          <cell r="H172" t="str">
            <v>3.BJ.003</v>
          </cell>
        </row>
        <row r="173">
          <cell r="E173" t="str">
            <v>Bahan Jembatan Semi Permanen 1</v>
          </cell>
          <cell r="F173" t="str">
            <v>Unit</v>
          </cell>
          <cell r="H173" t="str">
            <v>3.BJ.004</v>
          </cell>
        </row>
        <row r="174">
          <cell r="E174" t="str">
            <v>Bahan Jembatan Semi Permanen 2</v>
          </cell>
          <cell r="F174" t="str">
            <v>Unit</v>
          </cell>
          <cell r="H174" t="str">
            <v>3.BJ.005</v>
          </cell>
        </row>
        <row r="175">
          <cell r="E175" t="str">
            <v>Bahan Jembatan Semi Permanen 3</v>
          </cell>
          <cell r="F175" t="str">
            <v>Unit</v>
          </cell>
          <cell r="H175" t="str">
            <v>3.BJ.006</v>
          </cell>
        </row>
        <row r="176">
          <cell r="E176" t="str">
            <v>Bahan Jembatan Ulin Bulat</v>
          </cell>
          <cell r="F176" t="str">
            <v>Unit</v>
          </cell>
          <cell r="G176">
            <v>20000000</v>
          </cell>
          <cell r="H176" t="str">
            <v>3.BJ.007</v>
          </cell>
        </row>
        <row r="177">
          <cell r="E177" t="str">
            <v>Gorong-Gorong 40 Cm</v>
          </cell>
          <cell r="F177" t="str">
            <v>Unit</v>
          </cell>
          <cell r="G177">
            <v>375000</v>
          </cell>
          <cell r="H177" t="str">
            <v>3.BJ.008</v>
          </cell>
        </row>
        <row r="178">
          <cell r="E178" t="str">
            <v>Gorong-Gorong 60 Cm</v>
          </cell>
          <cell r="F178" t="str">
            <v>Unit</v>
          </cell>
          <cell r="G178">
            <v>435000</v>
          </cell>
          <cell r="H178" t="str">
            <v>3.BJ.009</v>
          </cell>
        </row>
        <row r="179">
          <cell r="E179" t="str">
            <v>Gorong-Gorong 80 Cm</v>
          </cell>
          <cell r="F179" t="str">
            <v>Unit</v>
          </cell>
          <cell r="G179">
            <v>750000</v>
          </cell>
          <cell r="H179" t="str">
            <v>3.BJ.010</v>
          </cell>
        </row>
        <row r="180">
          <cell r="E180" t="str">
            <v>Gorong-Gorong 100 Cm</v>
          </cell>
          <cell r="F180" t="str">
            <v>Unit</v>
          </cell>
          <cell r="H180" t="str">
            <v>3.BJ.011</v>
          </cell>
        </row>
        <row r="181">
          <cell r="E181" t="str">
            <v>Material Pintu Air 1</v>
          </cell>
          <cell r="F181" t="str">
            <v>Unit</v>
          </cell>
          <cell r="G181">
            <v>300000000</v>
          </cell>
          <cell r="H181" t="str">
            <v>3.BJ.012</v>
          </cell>
        </row>
        <row r="182">
          <cell r="E182" t="str">
            <v>Material Pintu Air 2</v>
          </cell>
          <cell r="F182" t="str">
            <v>Unit</v>
          </cell>
          <cell r="H182" t="str">
            <v>3.BJ.013</v>
          </cell>
        </row>
        <row r="183">
          <cell r="E183" t="str">
            <v>Material Pintu Air 3</v>
          </cell>
          <cell r="F183" t="str">
            <v>Unit</v>
          </cell>
          <cell r="H183" t="str">
            <v>3.BJ.014</v>
          </cell>
        </row>
        <row r="184">
          <cell r="E184" t="str">
            <v>Material Pintu Air 4</v>
          </cell>
          <cell r="F184" t="str">
            <v>Unit</v>
          </cell>
          <cell r="H184" t="str">
            <v>3.BJ.015</v>
          </cell>
        </row>
        <row r="186">
          <cell r="E186" t="str">
            <v>Bibit KS 1</v>
          </cell>
          <cell r="F186" t="str">
            <v>Pokok</v>
          </cell>
          <cell r="H186" t="str">
            <v>3.BB.001</v>
          </cell>
        </row>
        <row r="187">
          <cell r="E187" t="str">
            <v>Bibit KS 2</v>
          </cell>
          <cell r="F187" t="str">
            <v>Pokok</v>
          </cell>
          <cell r="H187" t="str">
            <v>3.BB.002</v>
          </cell>
        </row>
        <row r="188">
          <cell r="E188" t="str">
            <v>PJ</v>
          </cell>
          <cell r="F188" t="str">
            <v>Kg</v>
          </cell>
          <cell r="G188">
            <v>98879</v>
          </cell>
          <cell r="H188" t="str">
            <v>3.BB.003</v>
          </cell>
        </row>
        <row r="189">
          <cell r="E189" t="str">
            <v>CM</v>
          </cell>
          <cell r="F189" t="str">
            <v>Kg</v>
          </cell>
          <cell r="G189">
            <v>27497.25</v>
          </cell>
          <cell r="H189" t="str">
            <v>3.BB.004</v>
          </cell>
        </row>
        <row r="190">
          <cell r="E190" t="str">
            <v>MB</v>
          </cell>
          <cell r="F190" t="str">
            <v>Kg</v>
          </cell>
          <cell r="G190">
            <v>879912</v>
          </cell>
          <cell r="H190" t="str">
            <v>3.BB.005</v>
          </cell>
        </row>
        <row r="191">
          <cell r="E191" t="str">
            <v>Tunera</v>
          </cell>
          <cell r="F191" t="str">
            <v>Bibit</v>
          </cell>
          <cell r="H191" t="str">
            <v>3.BB.006</v>
          </cell>
        </row>
        <row r="192">
          <cell r="E192" t="str">
            <v>Rizhobium</v>
          </cell>
          <cell r="F192" t="str">
            <v>Kg</v>
          </cell>
          <cell r="G192">
            <v>71654.22</v>
          </cell>
          <cell r="H192" t="str">
            <v>3.BB.007</v>
          </cell>
        </row>
        <row r="193">
          <cell r="E193" t="str">
            <v>Kecambah KS</v>
          </cell>
          <cell r="F193" t="str">
            <v>Btr</v>
          </cell>
          <cell r="G193">
            <v>10168</v>
          </cell>
          <cell r="H193" t="str">
            <v>3.BB.008</v>
          </cell>
        </row>
        <row r="194">
          <cell r="H194" t="str">
            <v>3.BB.009</v>
          </cell>
        </row>
        <row r="195">
          <cell r="H195" t="str">
            <v>3.BB.010</v>
          </cell>
        </row>
        <row r="197">
          <cell r="E197" t="str">
            <v>Batu 1</v>
          </cell>
          <cell r="F197" t="str">
            <v>M3</v>
          </cell>
          <cell r="G197">
            <v>135000</v>
          </cell>
          <cell r="H197" t="str">
            <v>3.BT.001</v>
          </cell>
        </row>
        <row r="198">
          <cell r="E198" t="str">
            <v>Batu 2</v>
          </cell>
          <cell r="F198" t="str">
            <v>M3</v>
          </cell>
          <cell r="H198" t="str">
            <v>3.BT.002</v>
          </cell>
        </row>
        <row r="199">
          <cell r="E199" t="str">
            <v>Batu 3</v>
          </cell>
          <cell r="F199" t="str">
            <v>M3</v>
          </cell>
          <cell r="H199" t="str">
            <v>3.BT.003</v>
          </cell>
        </row>
        <row r="200">
          <cell r="E200" t="str">
            <v>Batu 4</v>
          </cell>
          <cell r="F200" t="str">
            <v>M3</v>
          </cell>
          <cell r="H200" t="str">
            <v>3.BT.004</v>
          </cell>
        </row>
        <row r="201">
          <cell r="H201" t="str">
            <v>3.BT.005</v>
          </cell>
        </row>
        <row r="203">
          <cell r="E203" t="str">
            <v>Laterit 1</v>
          </cell>
          <cell r="F203" t="str">
            <v>M3</v>
          </cell>
          <cell r="G203">
            <v>103500</v>
          </cell>
          <cell r="H203" t="str">
            <v>3.LT.001</v>
          </cell>
        </row>
        <row r="204">
          <cell r="E204" t="str">
            <v>Laterit 2</v>
          </cell>
          <cell r="F204" t="str">
            <v>M3</v>
          </cell>
          <cell r="H204" t="str">
            <v>3.LT.002</v>
          </cell>
        </row>
        <row r="205">
          <cell r="E205" t="str">
            <v>Laterit 3</v>
          </cell>
          <cell r="F205" t="str">
            <v>M3</v>
          </cell>
          <cell r="H205" t="str">
            <v>3.LT.003</v>
          </cell>
        </row>
        <row r="206">
          <cell r="E206" t="str">
            <v>Laterit 4</v>
          </cell>
          <cell r="F206" t="str">
            <v>M3</v>
          </cell>
          <cell r="H206" t="str">
            <v>3.LT.004</v>
          </cell>
        </row>
        <row r="207">
          <cell r="E207" t="str">
            <v>Laterit 5</v>
          </cell>
          <cell r="F207" t="str">
            <v>M3</v>
          </cell>
          <cell r="H207" t="str">
            <v>3.LT.005</v>
          </cell>
        </row>
        <row r="208">
          <cell r="E208" t="str">
            <v>Laterit 6</v>
          </cell>
          <cell r="F208" t="str">
            <v>M3</v>
          </cell>
          <cell r="H208" t="str">
            <v>3.LT.006</v>
          </cell>
        </row>
        <row r="209">
          <cell r="E209" t="str">
            <v>Laterit 7</v>
          </cell>
          <cell r="F209" t="str">
            <v>M3</v>
          </cell>
          <cell r="H209" t="str">
            <v>3.LT.007</v>
          </cell>
        </row>
        <row r="210">
          <cell r="E210" t="str">
            <v>Laterit 8</v>
          </cell>
          <cell r="F210" t="str">
            <v>M3</v>
          </cell>
          <cell r="H210" t="str">
            <v>3.LT.008</v>
          </cell>
        </row>
        <row r="211">
          <cell r="E211" t="str">
            <v>Laterit 9</v>
          </cell>
          <cell r="F211" t="str">
            <v>M3</v>
          </cell>
          <cell r="H211" t="str">
            <v>3.LT.009</v>
          </cell>
        </row>
        <row r="212">
          <cell r="E212" t="str">
            <v>Laterit 10</v>
          </cell>
          <cell r="F212" t="str">
            <v>M3</v>
          </cell>
          <cell r="H212" t="str">
            <v>3.LT.010</v>
          </cell>
        </row>
        <row r="214">
          <cell r="E214" t="str">
            <v>Angkutan TBS 1</v>
          </cell>
          <cell r="F214" t="str">
            <v>Ton</v>
          </cell>
          <cell r="G214">
            <v>30450</v>
          </cell>
          <cell r="H214" t="str">
            <v>6.AB.001</v>
          </cell>
        </row>
        <row r="215">
          <cell r="E215" t="str">
            <v>Angkutan TBS 2</v>
          </cell>
          <cell r="F215" t="str">
            <v>Ton</v>
          </cell>
          <cell r="G215">
            <v>37000</v>
          </cell>
          <cell r="H215" t="str">
            <v>6.AB.002</v>
          </cell>
        </row>
        <row r="216">
          <cell r="E216" t="str">
            <v>Angkutan TBS 3</v>
          </cell>
          <cell r="F216" t="str">
            <v>Ton</v>
          </cell>
          <cell r="G216">
            <v>32950</v>
          </cell>
          <cell r="H216" t="str">
            <v>6.AB.003</v>
          </cell>
        </row>
        <row r="217">
          <cell r="E217" t="str">
            <v>Angkutan TBS 4</v>
          </cell>
          <cell r="F217" t="str">
            <v>Ton</v>
          </cell>
          <cell r="G217">
            <v>44650</v>
          </cell>
          <cell r="H217" t="str">
            <v>6.AB.004</v>
          </cell>
        </row>
        <row r="218">
          <cell r="E218" t="str">
            <v>Angkutan TBS 5</v>
          </cell>
          <cell r="F218" t="str">
            <v>Ton</v>
          </cell>
          <cell r="G218">
            <v>39900</v>
          </cell>
          <cell r="H218" t="str">
            <v>6.AB.005</v>
          </cell>
        </row>
        <row r="219">
          <cell r="E219" t="str">
            <v>Angkutan TBS 6</v>
          </cell>
          <cell r="F219" t="str">
            <v>Ton</v>
          </cell>
          <cell r="G219">
            <v>51350</v>
          </cell>
          <cell r="H219" t="str">
            <v>6.AB.006</v>
          </cell>
        </row>
        <row r="220">
          <cell r="E220" t="str">
            <v>Angkutan TBS 7</v>
          </cell>
          <cell r="F220" t="str">
            <v>Ton</v>
          </cell>
          <cell r="G220">
            <v>54900</v>
          </cell>
          <cell r="H220" t="str">
            <v>6.AB.007</v>
          </cell>
        </row>
        <row r="221">
          <cell r="E221" t="str">
            <v>Angkutan TBS 8</v>
          </cell>
          <cell r="F221" t="str">
            <v>Ton</v>
          </cell>
          <cell r="G221">
            <v>50950</v>
          </cell>
          <cell r="H221" t="str">
            <v>6.AB.008</v>
          </cell>
        </row>
        <row r="222">
          <cell r="E222" t="str">
            <v>Angkutan TBS 9</v>
          </cell>
          <cell r="F222" t="str">
            <v>Ton</v>
          </cell>
          <cell r="G222">
            <v>48800</v>
          </cell>
          <cell r="H222" t="str">
            <v>6.AB.009</v>
          </cell>
        </row>
        <row r="223">
          <cell r="E223" t="str">
            <v>Angkutan TBS 10</v>
          </cell>
          <cell r="F223" t="str">
            <v>Ton</v>
          </cell>
          <cell r="G223">
            <v>56650</v>
          </cell>
          <cell r="H223" t="str">
            <v>6.AB.010</v>
          </cell>
        </row>
        <row r="224">
          <cell r="E224" t="str">
            <v>Angkutan TBS 11</v>
          </cell>
          <cell r="F224" t="str">
            <v>Ton</v>
          </cell>
          <cell r="G224">
            <v>50950</v>
          </cell>
          <cell r="H224" t="str">
            <v>6.AB.011</v>
          </cell>
        </row>
        <row r="225">
          <cell r="E225" t="str">
            <v>Angkutan TBS 12</v>
          </cell>
          <cell r="F225" t="str">
            <v>Ton</v>
          </cell>
          <cell r="G225">
            <v>49900</v>
          </cell>
          <cell r="H225" t="str">
            <v>6.AB.012</v>
          </cell>
        </row>
        <row r="226">
          <cell r="E226" t="str">
            <v>Angkutan TBS 13</v>
          </cell>
          <cell r="F226" t="str">
            <v>Ton</v>
          </cell>
          <cell r="G226">
            <v>55200</v>
          </cell>
          <cell r="H226" t="str">
            <v>6.AB.013</v>
          </cell>
        </row>
        <row r="227">
          <cell r="E227" t="str">
            <v>Angkutan TBS 14</v>
          </cell>
          <cell r="F227" t="str">
            <v>Ton</v>
          </cell>
          <cell r="G227">
            <v>54250</v>
          </cell>
          <cell r="H227" t="str">
            <v>6.AB.014</v>
          </cell>
        </row>
        <row r="228">
          <cell r="E228" t="str">
            <v>Angkutan TBS 15</v>
          </cell>
          <cell r="F228" t="str">
            <v>Ton</v>
          </cell>
          <cell r="H228" t="str">
            <v>6.AB.015</v>
          </cell>
        </row>
        <row r="229">
          <cell r="E229" t="str">
            <v>Angkutan TBS 16</v>
          </cell>
          <cell r="F229" t="str">
            <v>Ton</v>
          </cell>
          <cell r="H229" t="str">
            <v>6.AB.016</v>
          </cell>
        </row>
        <row r="230">
          <cell r="E230" t="str">
            <v>Angkutan TBS 17</v>
          </cell>
          <cell r="F230" t="str">
            <v>Ton</v>
          </cell>
          <cell r="H230" t="str">
            <v>6.AB.017</v>
          </cell>
        </row>
        <row r="231">
          <cell r="E231" t="str">
            <v>Angkutan TBS 18</v>
          </cell>
          <cell r="F231" t="str">
            <v>Ton</v>
          </cell>
          <cell r="H231" t="str">
            <v>6.AB.018</v>
          </cell>
        </row>
        <row r="232">
          <cell r="E232" t="str">
            <v>Angkutan TBS 19</v>
          </cell>
          <cell r="F232" t="str">
            <v>Ton</v>
          </cell>
          <cell r="H232" t="str">
            <v>6.AB.019</v>
          </cell>
        </row>
        <row r="233">
          <cell r="E233" t="str">
            <v>Angkutan TBS 20</v>
          </cell>
          <cell r="F233" t="str">
            <v>Ton</v>
          </cell>
          <cell r="H233" t="str">
            <v>6.AB.020</v>
          </cell>
        </row>
        <row r="235">
          <cell r="E235" t="str">
            <v>Angkutan JJK 1</v>
          </cell>
          <cell r="F235" t="str">
            <v>Ton</v>
          </cell>
          <cell r="G235">
            <v>27405</v>
          </cell>
          <cell r="H235" t="str">
            <v>6.AJ.001</v>
          </cell>
        </row>
        <row r="236">
          <cell r="E236" t="str">
            <v>Angkutan JJK 2</v>
          </cell>
          <cell r="F236" t="str">
            <v>Ton</v>
          </cell>
          <cell r="G236">
            <v>33300</v>
          </cell>
          <cell r="H236" t="str">
            <v>6.AJ.002</v>
          </cell>
        </row>
        <row r="237">
          <cell r="E237" t="str">
            <v>Angkutan JJK 3</v>
          </cell>
          <cell r="F237" t="str">
            <v>Ton</v>
          </cell>
          <cell r="G237">
            <v>29655</v>
          </cell>
          <cell r="H237" t="str">
            <v>6.AJ.003</v>
          </cell>
        </row>
        <row r="238">
          <cell r="E238" t="str">
            <v>Angkutan JJK 4</v>
          </cell>
          <cell r="F238" t="str">
            <v>Ton</v>
          </cell>
          <cell r="G238">
            <v>40185</v>
          </cell>
          <cell r="H238" t="str">
            <v>6.AJ.004</v>
          </cell>
        </row>
        <row r="239">
          <cell r="E239" t="str">
            <v>Angkutan JJK 5</v>
          </cell>
          <cell r="F239" t="str">
            <v>Ton</v>
          </cell>
          <cell r="G239">
            <v>35910</v>
          </cell>
          <cell r="H239" t="str">
            <v>6.AJ.005</v>
          </cell>
        </row>
        <row r="240">
          <cell r="E240" t="str">
            <v>Angkutan JJK 6</v>
          </cell>
          <cell r="F240" t="str">
            <v>Ton</v>
          </cell>
          <cell r="G240">
            <v>46215</v>
          </cell>
          <cell r="H240" t="str">
            <v>6.AJ.006</v>
          </cell>
        </row>
        <row r="241">
          <cell r="E241" t="str">
            <v>Angkutan JJK 7</v>
          </cell>
          <cell r="F241" t="str">
            <v>Ton</v>
          </cell>
          <cell r="G241">
            <v>49410</v>
          </cell>
          <cell r="H241" t="str">
            <v>6.AJ.007</v>
          </cell>
        </row>
        <row r="242">
          <cell r="E242" t="str">
            <v>Angkutan JJK 8</v>
          </cell>
          <cell r="F242" t="str">
            <v>Ton</v>
          </cell>
          <cell r="G242">
            <v>45855</v>
          </cell>
          <cell r="H242" t="str">
            <v>6.AJ.008</v>
          </cell>
        </row>
        <row r="243">
          <cell r="E243" t="str">
            <v>Angkutan JJK 9</v>
          </cell>
          <cell r="F243" t="str">
            <v>Ton</v>
          </cell>
          <cell r="G243">
            <v>43920</v>
          </cell>
          <cell r="H243" t="str">
            <v>6.AJ.009</v>
          </cell>
        </row>
        <row r="244">
          <cell r="E244" t="str">
            <v>Angkutan JJK 10</v>
          </cell>
          <cell r="F244" t="str">
            <v>Ton</v>
          </cell>
          <cell r="G244">
            <v>50985</v>
          </cell>
          <cell r="H244" t="str">
            <v>6.AJ.010</v>
          </cell>
        </row>
        <row r="245">
          <cell r="E245" t="str">
            <v>Angkutan JJK 11</v>
          </cell>
          <cell r="F245" t="str">
            <v>Ton</v>
          </cell>
          <cell r="G245">
            <v>45855</v>
          </cell>
          <cell r="H245" t="str">
            <v>6.AJ.011</v>
          </cell>
        </row>
        <row r="246">
          <cell r="E246" t="str">
            <v>Angkutan JJK 12</v>
          </cell>
          <cell r="F246" t="str">
            <v>Ton</v>
          </cell>
          <cell r="G246">
            <v>44910</v>
          </cell>
          <cell r="H246" t="str">
            <v>6.AJ.012</v>
          </cell>
        </row>
        <row r="247">
          <cell r="E247" t="str">
            <v>Angkutan JJK 13</v>
          </cell>
          <cell r="F247" t="str">
            <v>Ton</v>
          </cell>
          <cell r="G247">
            <v>49680</v>
          </cell>
          <cell r="H247" t="str">
            <v>6.AJ.013</v>
          </cell>
        </row>
        <row r="248">
          <cell r="E248" t="str">
            <v>Angkutan JJK 14</v>
          </cell>
          <cell r="F248" t="str">
            <v>Ton</v>
          </cell>
          <cell r="G248">
            <v>48825</v>
          </cell>
          <cell r="H248" t="str">
            <v>6.AJ.014</v>
          </cell>
        </row>
        <row r="249">
          <cell r="E249" t="str">
            <v>Angkutan JJK 15</v>
          </cell>
          <cell r="F249" t="str">
            <v>Ton</v>
          </cell>
          <cell r="H249" t="str">
            <v>6.AJ.015</v>
          </cell>
        </row>
        <row r="250">
          <cell r="E250" t="str">
            <v>Angkutan JJK 16</v>
          </cell>
          <cell r="F250" t="str">
            <v>Ton</v>
          </cell>
          <cell r="H250" t="str">
            <v>6.AJ.016</v>
          </cell>
        </row>
        <row r="251">
          <cell r="E251" t="str">
            <v>Angkutan JJK 17</v>
          </cell>
          <cell r="F251" t="str">
            <v>Ton</v>
          </cell>
          <cell r="H251" t="str">
            <v>6.AJ.017</v>
          </cell>
        </row>
        <row r="252">
          <cell r="E252" t="str">
            <v>Angkutan JJK 18</v>
          </cell>
          <cell r="F252" t="str">
            <v>Ton</v>
          </cell>
          <cell r="H252" t="str">
            <v>6.AJ.018</v>
          </cell>
        </row>
        <row r="253">
          <cell r="E253" t="str">
            <v>Angkutan JJK 19</v>
          </cell>
          <cell r="F253" t="str">
            <v>Ton</v>
          </cell>
          <cell r="H253" t="str">
            <v>6.AJ.019</v>
          </cell>
        </row>
        <row r="254">
          <cell r="E254" t="str">
            <v>Angkutan JJK 20</v>
          </cell>
          <cell r="F254" t="str">
            <v>Ton</v>
          </cell>
          <cell r="H254" t="str">
            <v>6.AJ.020</v>
          </cell>
        </row>
        <row r="256">
          <cell r="E256" t="str">
            <v>Angkutan Pupuk 1</v>
          </cell>
          <cell r="F256" t="str">
            <v>Ton</v>
          </cell>
          <cell r="G256">
            <v>17500</v>
          </cell>
          <cell r="H256" t="str">
            <v>6.AP.001</v>
          </cell>
        </row>
        <row r="257">
          <cell r="E257" t="str">
            <v>Angkutan Pupuk 2</v>
          </cell>
          <cell r="F257" t="str">
            <v>Ton</v>
          </cell>
          <cell r="G257">
            <v>11500</v>
          </cell>
          <cell r="H257" t="str">
            <v>6.AP.002</v>
          </cell>
        </row>
        <row r="258">
          <cell r="E258" t="str">
            <v>Angkutan Pupuk 3</v>
          </cell>
          <cell r="F258" t="str">
            <v>Ton</v>
          </cell>
          <cell r="G258">
            <v>9500</v>
          </cell>
          <cell r="H258" t="str">
            <v>6.AP.003</v>
          </cell>
        </row>
        <row r="259">
          <cell r="E259" t="str">
            <v>Angkutan Pupuk 4</v>
          </cell>
          <cell r="F259" t="str">
            <v>Ton</v>
          </cell>
          <cell r="G259">
            <v>8000</v>
          </cell>
          <cell r="H259" t="str">
            <v>6.AP.004</v>
          </cell>
        </row>
        <row r="260">
          <cell r="E260" t="str">
            <v>Angkutan Pupuk 5</v>
          </cell>
          <cell r="F260" t="str">
            <v>Ton</v>
          </cell>
          <cell r="G260">
            <v>10500</v>
          </cell>
          <cell r="H260" t="str">
            <v>6.AP.005</v>
          </cell>
        </row>
        <row r="261">
          <cell r="E261" t="str">
            <v>Angkutan Pupuk 6</v>
          </cell>
          <cell r="F261" t="str">
            <v>Ton</v>
          </cell>
          <cell r="H261" t="str">
            <v>6.AP.006</v>
          </cell>
        </row>
        <row r="262">
          <cell r="E262" t="str">
            <v>Angkutan Pupuk 7</v>
          </cell>
          <cell r="F262" t="str">
            <v>Ton</v>
          </cell>
          <cell r="H262" t="str">
            <v>6.AP.007</v>
          </cell>
        </row>
        <row r="263">
          <cell r="E263" t="str">
            <v>Angkutan Pupuk 8</v>
          </cell>
          <cell r="F263" t="str">
            <v>Ton</v>
          </cell>
          <cell r="H263" t="str">
            <v>6.AP.008</v>
          </cell>
        </row>
        <row r="264">
          <cell r="E264" t="str">
            <v>Angkutan Pupuk 9</v>
          </cell>
          <cell r="F264" t="str">
            <v>Ton</v>
          </cell>
          <cell r="H264" t="str">
            <v>6.AP.009</v>
          </cell>
        </row>
        <row r="265">
          <cell r="E265" t="str">
            <v>Angkutan Pupuk 10</v>
          </cell>
          <cell r="F265" t="str">
            <v>Ton</v>
          </cell>
          <cell r="H265" t="str">
            <v>6.AP.010</v>
          </cell>
        </row>
        <row r="267">
          <cell r="E267" t="str">
            <v>Unit Manager 1</v>
          </cell>
          <cell r="F267" t="str">
            <v>HA</v>
          </cell>
          <cell r="G267">
            <v>47235.179584904101</v>
          </cell>
          <cell r="H267" t="str">
            <v>6.AU.001</v>
          </cell>
        </row>
        <row r="268">
          <cell r="E268" t="str">
            <v>Unit Manager 2</v>
          </cell>
          <cell r="F268" t="str">
            <v>HA</v>
          </cell>
          <cell r="G268">
            <v>39376.311222771896</v>
          </cell>
          <cell r="H268" t="str">
            <v>6.AU.002</v>
          </cell>
        </row>
        <row r="269">
          <cell r="E269" t="str">
            <v>Unit Manager 3</v>
          </cell>
          <cell r="F269" t="str">
            <v>HA</v>
          </cell>
          <cell r="G269">
            <v>47480.758127122754</v>
          </cell>
          <cell r="H269" t="str">
            <v>6.AU.003</v>
          </cell>
        </row>
        <row r="270">
          <cell r="E270" t="str">
            <v>Unit Manager 4</v>
          </cell>
          <cell r="F270" t="str">
            <v>HA</v>
          </cell>
          <cell r="G270">
            <v>41711.026007430693</v>
          </cell>
          <cell r="H270" t="str">
            <v>6.AU.004</v>
          </cell>
        </row>
        <row r="271">
          <cell r="E271" t="str">
            <v>Unit Askep 1</v>
          </cell>
          <cell r="F271" t="str">
            <v>HA</v>
          </cell>
          <cell r="G271">
            <v>27023.709039313973</v>
          </cell>
          <cell r="H271" t="str">
            <v>6.AU.005</v>
          </cell>
        </row>
        <row r="272">
          <cell r="E272" t="str">
            <v>Unit Askep 2</v>
          </cell>
          <cell r="F272" t="str">
            <v>HA</v>
          </cell>
          <cell r="G272">
            <v>22527.573450059139</v>
          </cell>
          <cell r="H272" t="str">
            <v>6.AU.006</v>
          </cell>
        </row>
        <row r="273">
          <cell r="E273" t="str">
            <v>Unit Askep 3</v>
          </cell>
          <cell r="F273" t="str">
            <v>HA</v>
          </cell>
          <cell r="G273">
            <v>31650.9127850558</v>
          </cell>
          <cell r="H273" t="str">
            <v>6.AU.007</v>
          </cell>
        </row>
        <row r="274">
          <cell r="E274" t="str">
            <v>Unit Askep 4</v>
          </cell>
          <cell r="F274" t="str">
            <v>HA</v>
          </cell>
          <cell r="G274">
            <v>23863.286653329524</v>
          </cell>
          <cell r="H274" t="str">
            <v>6.AU.008</v>
          </cell>
        </row>
        <row r="275">
          <cell r="E275" t="str">
            <v>Unit Askep 5</v>
          </cell>
          <cell r="F275" t="str">
            <v>KM</v>
          </cell>
          <cell r="H275" t="str">
            <v>6.AU.009</v>
          </cell>
        </row>
        <row r="276">
          <cell r="E276" t="str">
            <v>Unit Askep 6</v>
          </cell>
          <cell r="F276" t="str">
            <v>KM</v>
          </cell>
          <cell r="H276" t="str">
            <v>6.AU.010</v>
          </cell>
        </row>
        <row r="277">
          <cell r="E277" t="str">
            <v>TUS 1</v>
          </cell>
          <cell r="F277" t="str">
            <v>KM</v>
          </cell>
          <cell r="H277" t="str">
            <v>6.AU.011</v>
          </cell>
        </row>
        <row r="278">
          <cell r="E278" t="str">
            <v>TUS 2</v>
          </cell>
          <cell r="F278" t="str">
            <v>KM</v>
          </cell>
          <cell r="H278" t="str">
            <v>6.AU.012</v>
          </cell>
        </row>
        <row r="279">
          <cell r="E279" t="str">
            <v>TUS 3</v>
          </cell>
          <cell r="F279" t="str">
            <v>KM</v>
          </cell>
          <cell r="H279" t="str">
            <v>6.AU.013</v>
          </cell>
        </row>
        <row r="280">
          <cell r="E280" t="str">
            <v>BKMS</v>
          </cell>
          <cell r="F280" t="str">
            <v>KM</v>
          </cell>
          <cell r="H280" t="str">
            <v>6.AU.014</v>
          </cell>
        </row>
        <row r="281">
          <cell r="E281" t="str">
            <v>Transport Karyawan 1</v>
          </cell>
          <cell r="F281" t="str">
            <v>KM</v>
          </cell>
          <cell r="H281" t="str">
            <v>6.AU.015</v>
          </cell>
        </row>
        <row r="282">
          <cell r="E282" t="str">
            <v>Transport Karyawan 2</v>
          </cell>
          <cell r="F282" t="str">
            <v>KM</v>
          </cell>
          <cell r="H282" t="str">
            <v>6.AU.016</v>
          </cell>
        </row>
        <row r="283">
          <cell r="E283" t="str">
            <v>Transport Karyawan 3</v>
          </cell>
          <cell r="F283" t="str">
            <v>KM</v>
          </cell>
          <cell r="H283" t="str">
            <v>6.AU.017</v>
          </cell>
        </row>
        <row r="284">
          <cell r="E284" t="str">
            <v>Transport Karyawan 4</v>
          </cell>
          <cell r="F284" t="str">
            <v>KM</v>
          </cell>
          <cell r="H284" t="str">
            <v>6.AU.018</v>
          </cell>
        </row>
        <row r="285">
          <cell r="H285" t="str">
            <v>6.AU.019</v>
          </cell>
        </row>
        <row r="286">
          <cell r="H286" t="str">
            <v>6.AU.020</v>
          </cell>
        </row>
        <row r="288">
          <cell r="E288" t="str">
            <v>Farm Traktor 1</v>
          </cell>
          <cell r="F288" t="str">
            <v>HM</v>
          </cell>
          <cell r="G288">
            <v>148674</v>
          </cell>
          <cell r="H288" t="str">
            <v>7.FT.001</v>
          </cell>
        </row>
        <row r="289">
          <cell r="E289" t="str">
            <v>Farm Traktor 2</v>
          </cell>
          <cell r="F289" t="str">
            <v>HM</v>
          </cell>
          <cell r="G289">
            <v>136429</v>
          </cell>
          <cell r="H289" t="str">
            <v>7.FT.002</v>
          </cell>
        </row>
        <row r="290">
          <cell r="E290" t="str">
            <v>Farm Traktor 3</v>
          </cell>
          <cell r="F290" t="str">
            <v>HM</v>
          </cell>
          <cell r="G290">
            <v>159630</v>
          </cell>
          <cell r="H290" t="str">
            <v>7.FT.003</v>
          </cell>
        </row>
        <row r="291">
          <cell r="E291" t="str">
            <v>Farm Traktor 4</v>
          </cell>
          <cell r="F291" t="str">
            <v>HM</v>
          </cell>
          <cell r="G291">
            <v>160052</v>
          </cell>
          <cell r="H291" t="str">
            <v>7.FT.004</v>
          </cell>
        </row>
        <row r="292">
          <cell r="E292" t="str">
            <v>Farm Traktor 5</v>
          </cell>
          <cell r="F292" t="str">
            <v>HM</v>
          </cell>
          <cell r="G292">
            <v>116715</v>
          </cell>
          <cell r="H292" t="str">
            <v>7.FT.005</v>
          </cell>
        </row>
        <row r="293">
          <cell r="E293" t="str">
            <v>Farm Traktor 6</v>
          </cell>
          <cell r="F293" t="str">
            <v>HM</v>
          </cell>
          <cell r="G293">
            <v>117390</v>
          </cell>
          <cell r="H293" t="str">
            <v>7.FT.006</v>
          </cell>
        </row>
        <row r="294">
          <cell r="E294" t="str">
            <v>Farm Traktor 7</v>
          </cell>
          <cell r="F294" t="str">
            <v>HM</v>
          </cell>
          <cell r="G294">
            <v>120030</v>
          </cell>
          <cell r="H294" t="str">
            <v>7.FT.007</v>
          </cell>
        </row>
        <row r="295">
          <cell r="E295" t="str">
            <v>Farm Traktor 8</v>
          </cell>
          <cell r="F295" t="str">
            <v>HM</v>
          </cell>
          <cell r="G295">
            <v>105761</v>
          </cell>
          <cell r="H295" t="str">
            <v>7.FT.008</v>
          </cell>
        </row>
        <row r="296">
          <cell r="E296" t="str">
            <v>Farm Traktor 9</v>
          </cell>
          <cell r="F296" t="str">
            <v>HM</v>
          </cell>
          <cell r="G296">
            <v>112245</v>
          </cell>
          <cell r="H296" t="str">
            <v>7.FT.009</v>
          </cell>
        </row>
        <row r="297">
          <cell r="E297" t="str">
            <v>Farm Traktor 10</v>
          </cell>
          <cell r="F297" t="str">
            <v>HM</v>
          </cell>
          <cell r="G297">
            <v>112245</v>
          </cell>
          <cell r="H297" t="str">
            <v>7.FT.010</v>
          </cell>
        </row>
        <row r="298">
          <cell r="E298" t="str">
            <v>Farm Traktor 11</v>
          </cell>
          <cell r="F298" t="str">
            <v>HM</v>
          </cell>
          <cell r="G298">
            <v>120030</v>
          </cell>
          <cell r="H298" t="str">
            <v>7.FT.011</v>
          </cell>
        </row>
        <row r="299">
          <cell r="E299" t="str">
            <v>Farm Traktor 12</v>
          </cell>
          <cell r="F299" t="str">
            <v>HM</v>
          </cell>
          <cell r="G299">
            <v>120806</v>
          </cell>
          <cell r="H299" t="str">
            <v>7.FT.012</v>
          </cell>
        </row>
        <row r="300">
          <cell r="E300" t="str">
            <v>Farm Traktor 13</v>
          </cell>
          <cell r="F300" t="str">
            <v>HM</v>
          </cell>
          <cell r="G300">
            <v>159630</v>
          </cell>
          <cell r="H300" t="str">
            <v>7.FT.013</v>
          </cell>
        </row>
        <row r="301">
          <cell r="E301" t="str">
            <v>Farm Traktor 14</v>
          </cell>
          <cell r="F301" t="str">
            <v>HM</v>
          </cell>
          <cell r="G301">
            <v>159630</v>
          </cell>
          <cell r="H301" t="str">
            <v>7.FT.014</v>
          </cell>
        </row>
        <row r="302">
          <cell r="E302" t="str">
            <v>Farm Traktor 15</v>
          </cell>
          <cell r="F302" t="str">
            <v>HM</v>
          </cell>
          <cell r="G302">
            <v>159630</v>
          </cell>
          <cell r="H302" t="str">
            <v>7.FT.015</v>
          </cell>
        </row>
        <row r="303">
          <cell r="E303" t="str">
            <v>Farm Traktor 16</v>
          </cell>
          <cell r="F303" t="str">
            <v>HM</v>
          </cell>
          <cell r="G303">
            <v>159630</v>
          </cell>
          <cell r="H303" t="str">
            <v>7.FT.016</v>
          </cell>
        </row>
        <row r="304">
          <cell r="E304" t="str">
            <v>Farm Traktor 17</v>
          </cell>
          <cell r="F304" t="str">
            <v>HM</v>
          </cell>
          <cell r="G304">
            <v>159630</v>
          </cell>
          <cell r="H304" t="str">
            <v>7.FT.017</v>
          </cell>
        </row>
        <row r="306">
          <cell r="E306" t="str">
            <v>Excavator 1</v>
          </cell>
          <cell r="F306" t="str">
            <v>HM</v>
          </cell>
          <cell r="G306">
            <v>525000</v>
          </cell>
          <cell r="H306" t="str">
            <v>7.EX.001</v>
          </cell>
        </row>
        <row r="307">
          <cell r="E307" t="str">
            <v>Excavator 2</v>
          </cell>
          <cell r="F307" t="str">
            <v>HM</v>
          </cell>
          <cell r="G307">
            <v>510250</v>
          </cell>
          <cell r="H307" t="str">
            <v>7.EX.002</v>
          </cell>
        </row>
        <row r="308">
          <cell r="E308" t="str">
            <v>Excavator 3</v>
          </cell>
          <cell r="F308" t="str">
            <v>HM</v>
          </cell>
          <cell r="G308">
            <v>510250</v>
          </cell>
          <cell r="H308" t="str">
            <v>7.EX.003</v>
          </cell>
        </row>
        <row r="309">
          <cell r="E309" t="str">
            <v>Excavator 4</v>
          </cell>
          <cell r="F309" t="str">
            <v>HM</v>
          </cell>
          <cell r="G309">
            <v>567750</v>
          </cell>
          <cell r="H309" t="str">
            <v>7.EX.004</v>
          </cell>
        </row>
        <row r="310">
          <cell r="E310" t="str">
            <v>Excavator 5</v>
          </cell>
          <cell r="F310" t="str">
            <v>HM</v>
          </cell>
          <cell r="H310" t="str">
            <v>7.EX.005</v>
          </cell>
        </row>
        <row r="312">
          <cell r="E312" t="str">
            <v>Compactor 1</v>
          </cell>
          <cell r="F312" t="str">
            <v>HM</v>
          </cell>
          <cell r="G312">
            <v>425950</v>
          </cell>
          <cell r="H312" t="str">
            <v>7.KP.001</v>
          </cell>
        </row>
        <row r="313">
          <cell r="E313" t="str">
            <v>Compactor 2</v>
          </cell>
          <cell r="F313" t="str">
            <v>HM</v>
          </cell>
          <cell r="G313">
            <v>448950</v>
          </cell>
          <cell r="H313" t="str">
            <v>7.KP.002</v>
          </cell>
        </row>
        <row r="314">
          <cell r="E314" t="str">
            <v>Compactor 3</v>
          </cell>
          <cell r="F314" t="str">
            <v>HM</v>
          </cell>
          <cell r="G314">
            <v>448950</v>
          </cell>
          <cell r="H314" t="str">
            <v>7.KP.003</v>
          </cell>
        </row>
        <row r="315">
          <cell r="E315" t="str">
            <v>Compactor 4</v>
          </cell>
          <cell r="F315" t="str">
            <v>HM</v>
          </cell>
          <cell r="G315">
            <v>448950</v>
          </cell>
          <cell r="H315" t="str">
            <v>7.KP.004</v>
          </cell>
        </row>
        <row r="316">
          <cell r="E316" t="str">
            <v>Compactor 5</v>
          </cell>
          <cell r="F316" t="str">
            <v>HM</v>
          </cell>
          <cell r="H316" t="str">
            <v>7.KP.005</v>
          </cell>
        </row>
        <row r="318">
          <cell r="E318" t="str">
            <v>Greader 1</v>
          </cell>
          <cell r="F318" t="str">
            <v>HM</v>
          </cell>
          <cell r="G318">
            <v>456375</v>
          </cell>
          <cell r="H318" t="str">
            <v>7.GD.001</v>
          </cell>
        </row>
        <row r="319">
          <cell r="E319" t="str">
            <v>Greader 2</v>
          </cell>
          <cell r="F319" t="str">
            <v>HM</v>
          </cell>
          <cell r="G319">
            <v>456375</v>
          </cell>
          <cell r="H319" t="str">
            <v>7.GD.002</v>
          </cell>
        </row>
        <row r="320">
          <cell r="E320" t="str">
            <v>Greader 3</v>
          </cell>
          <cell r="F320" t="str">
            <v>HM</v>
          </cell>
          <cell r="G320">
            <v>456375</v>
          </cell>
          <cell r="H320" t="str">
            <v>7.GD.003</v>
          </cell>
        </row>
        <row r="321">
          <cell r="E321" t="str">
            <v>Greader 4</v>
          </cell>
          <cell r="F321" t="str">
            <v>HM</v>
          </cell>
          <cell r="G321">
            <v>517725</v>
          </cell>
          <cell r="H321" t="str">
            <v>7.GD.004</v>
          </cell>
        </row>
        <row r="322">
          <cell r="E322" t="str">
            <v>Greader 5</v>
          </cell>
          <cell r="F322" t="str">
            <v>HM</v>
          </cell>
          <cell r="G322">
            <v>479375</v>
          </cell>
          <cell r="H322" t="str">
            <v>7.GD.005</v>
          </cell>
        </row>
        <row r="323">
          <cell r="E323" t="str">
            <v>Greader 6</v>
          </cell>
          <cell r="F323" t="str">
            <v>HM</v>
          </cell>
          <cell r="G323">
            <v>502375</v>
          </cell>
          <cell r="H323" t="str">
            <v>7.GD.006</v>
          </cell>
        </row>
        <row r="325">
          <cell r="E325" t="str">
            <v>TLB 1</v>
          </cell>
          <cell r="F325" t="str">
            <v>HM</v>
          </cell>
          <cell r="G325">
            <v>413725</v>
          </cell>
          <cell r="H325" t="str">
            <v>7.BL.001</v>
          </cell>
        </row>
        <row r="326">
          <cell r="E326" t="str">
            <v>TLB 2</v>
          </cell>
          <cell r="F326" t="str">
            <v>HM</v>
          </cell>
          <cell r="G326">
            <v>413725</v>
          </cell>
          <cell r="H326" t="str">
            <v>7.BL.002</v>
          </cell>
        </row>
        <row r="327">
          <cell r="E327" t="str">
            <v>TLB 3</v>
          </cell>
          <cell r="F327" t="str">
            <v>HM</v>
          </cell>
          <cell r="G327">
            <v>413725</v>
          </cell>
          <cell r="H327" t="str">
            <v>7.BL.003</v>
          </cell>
        </row>
        <row r="328">
          <cell r="E328" t="str">
            <v>TLB 4</v>
          </cell>
          <cell r="F328" t="str">
            <v>HM</v>
          </cell>
          <cell r="G328">
            <v>471225</v>
          </cell>
          <cell r="H328" t="str">
            <v>7.BL.004</v>
          </cell>
        </row>
        <row r="329">
          <cell r="E329" t="str">
            <v>TLB 5</v>
          </cell>
          <cell r="F329" t="str">
            <v>HM</v>
          </cell>
          <cell r="G329">
            <v>471225</v>
          </cell>
          <cell r="H329" t="str">
            <v>7.BL.005</v>
          </cell>
        </row>
        <row r="331">
          <cell r="E331" t="str">
            <v>Buldozer 1</v>
          </cell>
          <cell r="F331" t="str">
            <v>HM</v>
          </cell>
          <cell r="G331">
            <v>621625</v>
          </cell>
          <cell r="H331" t="str">
            <v>7.DZ.001</v>
          </cell>
        </row>
        <row r="332">
          <cell r="E332" t="str">
            <v>Buldozer 2</v>
          </cell>
          <cell r="F332" t="str">
            <v>HM</v>
          </cell>
          <cell r="G332">
            <v>621625</v>
          </cell>
          <cell r="H332" t="str">
            <v>7.DZ.002</v>
          </cell>
        </row>
        <row r="333">
          <cell r="E333" t="str">
            <v>Buldozer 3</v>
          </cell>
          <cell r="F333" t="str">
            <v>HM</v>
          </cell>
          <cell r="G333">
            <v>658750</v>
          </cell>
          <cell r="H333" t="str">
            <v>7.DZ.003</v>
          </cell>
        </row>
        <row r="334">
          <cell r="E334" t="str">
            <v>Buldozer 4</v>
          </cell>
          <cell r="F334" t="str">
            <v>HM</v>
          </cell>
          <cell r="G334">
            <v>658750</v>
          </cell>
          <cell r="H334" t="str">
            <v>7.DZ.004</v>
          </cell>
        </row>
        <row r="335">
          <cell r="E335" t="str">
            <v>Buldozer 5</v>
          </cell>
          <cell r="F335" t="str">
            <v>HM</v>
          </cell>
          <cell r="G335">
            <v>621625</v>
          </cell>
          <cell r="H335" t="str">
            <v>7.DZ.005</v>
          </cell>
        </row>
        <row r="337">
          <cell r="E337" t="str">
            <v>G 10A Kayu</v>
          </cell>
          <cell r="F337" t="str">
            <v>Unit</v>
          </cell>
          <cell r="H337" t="str">
            <v>3.BR.001</v>
          </cell>
        </row>
        <row r="338">
          <cell r="E338" t="str">
            <v>G 10B Kayu</v>
          </cell>
          <cell r="F338" t="str">
            <v>Unit</v>
          </cell>
          <cell r="H338" t="str">
            <v>3.BR.002</v>
          </cell>
        </row>
        <row r="339">
          <cell r="E339" t="str">
            <v>G 10C Kayu</v>
          </cell>
          <cell r="F339" t="str">
            <v>Unit</v>
          </cell>
          <cell r="G339">
            <v>450000000</v>
          </cell>
          <cell r="H339" t="str">
            <v>3.BR.003</v>
          </cell>
        </row>
        <row r="340">
          <cell r="H340" t="str">
            <v>3.BR.004</v>
          </cell>
        </row>
        <row r="341">
          <cell r="H341" t="str">
            <v>3.BR.005</v>
          </cell>
        </row>
        <row r="343">
          <cell r="E343" t="str">
            <v>Chain Saw 1</v>
          </cell>
          <cell r="F343" t="str">
            <v>Unit</v>
          </cell>
          <cell r="H343" t="str">
            <v>3.CS.001</v>
          </cell>
        </row>
        <row r="344">
          <cell r="E344" t="str">
            <v>Chain Saw 2</v>
          </cell>
          <cell r="F344" t="str">
            <v>Unit</v>
          </cell>
          <cell r="H344" t="str">
            <v>3.CS.002</v>
          </cell>
        </row>
        <row r="345">
          <cell r="E345" t="str">
            <v>Chain Saw 3</v>
          </cell>
          <cell r="F345" t="str">
            <v>Unit</v>
          </cell>
          <cell r="H345" t="str">
            <v>3.CS.003</v>
          </cell>
        </row>
        <row r="346">
          <cell r="E346" t="str">
            <v>Chain Saw 4</v>
          </cell>
          <cell r="F346" t="str">
            <v>Unit</v>
          </cell>
          <cell r="H346" t="str">
            <v>3.CS.004</v>
          </cell>
        </row>
        <row r="347">
          <cell r="H347" t="str">
            <v>3.CS.005</v>
          </cell>
        </row>
        <row r="349">
          <cell r="E349" t="str">
            <v>Water Pump 1</v>
          </cell>
          <cell r="F349" t="str">
            <v>HM</v>
          </cell>
          <cell r="H349" t="str">
            <v>3.WP.001</v>
          </cell>
        </row>
        <row r="350">
          <cell r="E350" t="str">
            <v>Water Pump 2</v>
          </cell>
          <cell r="F350" t="str">
            <v>HM</v>
          </cell>
          <cell r="H350" t="str">
            <v>3.WP.002</v>
          </cell>
        </row>
        <row r="351">
          <cell r="E351" t="str">
            <v>Water Pump 3</v>
          </cell>
          <cell r="F351" t="str">
            <v>HM</v>
          </cell>
          <cell r="H351" t="str">
            <v>3.WP.003</v>
          </cell>
        </row>
        <row r="352">
          <cell r="E352" t="str">
            <v>Water Pump 4</v>
          </cell>
          <cell r="F352" t="str">
            <v>HM</v>
          </cell>
          <cell r="H352" t="str">
            <v>3.WP.004</v>
          </cell>
        </row>
        <row r="353">
          <cell r="H353" t="str">
            <v>3.WP.005</v>
          </cell>
        </row>
        <row r="354">
          <cell r="H354" t="str">
            <v>..</v>
          </cell>
        </row>
        <row r="355">
          <cell r="H355" t="str">
            <v>..</v>
          </cell>
        </row>
        <row r="356">
          <cell r="H356" t="str">
            <v>..</v>
          </cell>
        </row>
        <row r="357">
          <cell r="E357">
            <v>0</v>
          </cell>
          <cell r="F357">
            <v>0</v>
          </cell>
          <cell r="G357">
            <v>1</v>
          </cell>
          <cell r="H357" t="str">
            <v>0.0.0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4">
          <cell r="W14">
            <v>600</v>
          </cell>
          <cell r="Y14">
            <v>600</v>
          </cell>
          <cell r="AA14">
            <v>407.39</v>
          </cell>
          <cell r="AC14">
            <v>600</v>
          </cell>
          <cell r="AE14">
            <v>600</v>
          </cell>
          <cell r="AG14">
            <v>457.63</v>
          </cell>
          <cell r="AI14">
            <v>600</v>
          </cell>
          <cell r="AK14">
            <v>600</v>
          </cell>
          <cell r="AM14">
            <v>414.93</v>
          </cell>
          <cell r="AO14">
            <v>600</v>
          </cell>
          <cell r="AQ14">
            <v>600</v>
          </cell>
          <cell r="AS14">
            <v>431.65</v>
          </cell>
        </row>
        <row r="21">
          <cell r="X21">
            <v>66458122.5</v>
          </cell>
          <cell r="Z21">
            <v>66458122.5</v>
          </cell>
          <cell r="AB21">
            <v>45123957.542125002</v>
          </cell>
          <cell r="AD21">
            <v>66458122.5</v>
          </cell>
          <cell r="AF21">
            <v>66458122.5</v>
          </cell>
          <cell r="AH21">
            <v>50688717.666125</v>
          </cell>
          <cell r="AJ21">
            <v>66458122.5</v>
          </cell>
          <cell r="AL21">
            <v>66458122.5</v>
          </cell>
          <cell r="AN21">
            <v>45959114.614875004</v>
          </cell>
          <cell r="AP21">
            <v>66458122.5</v>
          </cell>
          <cell r="AR21">
            <v>66458122.5</v>
          </cell>
          <cell r="AT21">
            <v>47811080.961874999</v>
          </cell>
        </row>
        <row r="45"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</row>
        <row r="47"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  <cell r="AK47">
            <v>0</v>
          </cell>
          <cell r="AM47">
            <v>0</v>
          </cell>
          <cell r="AO47">
            <v>0</v>
          </cell>
          <cell r="AQ47">
            <v>0</v>
          </cell>
          <cell r="AS47">
            <v>0</v>
          </cell>
        </row>
        <row r="49"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300</v>
          </cell>
          <cell r="AK49">
            <v>400</v>
          </cell>
          <cell r="AM49">
            <v>400</v>
          </cell>
          <cell r="AO49">
            <v>400</v>
          </cell>
          <cell r="AQ49">
            <v>500</v>
          </cell>
          <cell r="AS49">
            <v>500</v>
          </cell>
        </row>
        <row r="52">
          <cell r="X52">
            <v>0</v>
          </cell>
          <cell r="Z52">
            <v>0</v>
          </cell>
          <cell r="AB52">
            <v>0</v>
          </cell>
          <cell r="AD52">
            <v>0</v>
          </cell>
          <cell r="AF52">
            <v>0</v>
          </cell>
          <cell r="AH52">
            <v>0</v>
          </cell>
          <cell r="AJ52">
            <v>1575000000</v>
          </cell>
          <cell r="AL52">
            <v>2100000000</v>
          </cell>
          <cell r="AN52">
            <v>2100000000</v>
          </cell>
          <cell r="AP52">
            <v>2100000000</v>
          </cell>
          <cell r="AR52">
            <v>2625000000</v>
          </cell>
          <cell r="AT52">
            <v>2625000000</v>
          </cell>
        </row>
        <row r="53"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300</v>
          </cell>
          <cell r="AQ53">
            <v>400</v>
          </cell>
          <cell r="AS53">
            <v>400</v>
          </cell>
        </row>
        <row r="61">
          <cell r="X61">
            <v>0</v>
          </cell>
          <cell r="Z61">
            <v>0</v>
          </cell>
          <cell r="AB61">
            <v>0</v>
          </cell>
          <cell r="AD61">
            <v>0</v>
          </cell>
          <cell r="AF61">
            <v>0</v>
          </cell>
          <cell r="AH61">
            <v>0</v>
          </cell>
          <cell r="AJ61">
            <v>0</v>
          </cell>
          <cell r="AL61">
            <v>0</v>
          </cell>
          <cell r="AN61">
            <v>0</v>
          </cell>
          <cell r="AP61">
            <v>264819966.12</v>
          </cell>
          <cell r="AR61">
            <v>353093288.15999997</v>
          </cell>
          <cell r="AT61">
            <v>353093288.15999997</v>
          </cell>
        </row>
        <row r="62">
          <cell r="W62">
            <v>0</v>
          </cell>
          <cell r="Y62">
            <v>0</v>
          </cell>
          <cell r="AA62">
            <v>0</v>
          </cell>
          <cell r="AC62">
            <v>27200</v>
          </cell>
          <cell r="AE62">
            <v>27200</v>
          </cell>
          <cell r="AG62">
            <v>24725.16</v>
          </cell>
          <cell r="AI62">
            <v>27200</v>
          </cell>
          <cell r="AK62">
            <v>27200</v>
          </cell>
          <cell r="AM62">
            <v>26935.72</v>
          </cell>
          <cell r="AO62">
            <v>27200</v>
          </cell>
          <cell r="AQ62">
            <v>27200</v>
          </cell>
          <cell r="AS62">
            <v>25056.92</v>
          </cell>
        </row>
        <row r="66">
          <cell r="X66">
            <v>0</v>
          </cell>
          <cell r="Z66">
            <v>0</v>
          </cell>
          <cell r="AB66">
            <v>0</v>
          </cell>
          <cell r="AD66">
            <v>171360000.00000003</v>
          </cell>
          <cell r="AF66">
            <v>171360000.00000003</v>
          </cell>
          <cell r="AH66">
            <v>155768508.00000003</v>
          </cell>
          <cell r="AJ66">
            <v>171360000.00000003</v>
          </cell>
          <cell r="AL66">
            <v>171360000.00000003</v>
          </cell>
          <cell r="AN66">
            <v>169695036.00000003</v>
          </cell>
          <cell r="AP66">
            <v>171360000.00000003</v>
          </cell>
          <cell r="AR66">
            <v>171360000.00000003</v>
          </cell>
          <cell r="AT66">
            <v>157858596</v>
          </cell>
        </row>
        <row r="104">
          <cell r="Y104">
            <v>0</v>
          </cell>
          <cell r="AA104">
            <v>0</v>
          </cell>
        </row>
        <row r="158">
          <cell r="Y158">
            <v>0</v>
          </cell>
          <cell r="AA158">
            <v>0</v>
          </cell>
          <cell r="AG158">
            <v>0</v>
          </cell>
          <cell r="AS158">
            <v>0</v>
          </cell>
        </row>
        <row r="202">
          <cell r="Y202">
            <v>0</v>
          </cell>
          <cell r="AA202">
            <v>0</v>
          </cell>
          <cell r="AC202">
            <v>0</v>
          </cell>
          <cell r="AE202">
            <v>0</v>
          </cell>
          <cell r="AG202">
            <v>0</v>
          </cell>
          <cell r="AI202">
            <v>0</v>
          </cell>
          <cell r="AK202">
            <v>0</v>
          </cell>
          <cell r="AM202">
            <v>0</v>
          </cell>
        </row>
        <row r="204">
          <cell r="AJ204">
            <v>0</v>
          </cell>
          <cell r="AL204">
            <v>0</v>
          </cell>
          <cell r="AN204">
            <v>0</v>
          </cell>
        </row>
        <row r="208">
          <cell r="W208">
            <v>0</v>
          </cell>
          <cell r="Y208">
            <v>0</v>
          </cell>
          <cell r="AA208">
            <v>0</v>
          </cell>
          <cell r="AC208">
            <v>0</v>
          </cell>
          <cell r="AE208">
            <v>0</v>
          </cell>
          <cell r="AG208">
            <v>0</v>
          </cell>
          <cell r="AI208">
            <v>0</v>
          </cell>
          <cell r="AK208">
            <v>300</v>
          </cell>
          <cell r="AM208">
            <v>400</v>
          </cell>
          <cell r="AO208">
            <v>400</v>
          </cell>
          <cell r="AQ208">
            <v>400</v>
          </cell>
        </row>
        <row r="237">
          <cell r="X237">
            <v>0</v>
          </cell>
          <cell r="Z237">
            <v>0</v>
          </cell>
          <cell r="AB237">
            <v>0</v>
          </cell>
          <cell r="AD237">
            <v>0</v>
          </cell>
          <cell r="AF237">
            <v>0</v>
          </cell>
          <cell r="AH237">
            <v>0</v>
          </cell>
          <cell r="AJ237">
            <v>0</v>
          </cell>
          <cell r="AL237">
            <v>174691352.331</v>
          </cell>
          <cell r="AN237">
            <v>466426796.26799995</v>
          </cell>
          <cell r="AP237">
            <v>497771843.98799998</v>
          </cell>
          <cell r="AR237">
            <v>497771843.98799998</v>
          </cell>
          <cell r="AT237">
            <v>476313922.87667549</v>
          </cell>
        </row>
        <row r="250">
          <cell r="W250">
            <v>0</v>
          </cell>
          <cell r="Y250">
            <v>0</v>
          </cell>
          <cell r="AA250">
            <v>0</v>
          </cell>
          <cell r="AC250">
            <v>0</v>
          </cell>
          <cell r="AE250">
            <v>0</v>
          </cell>
          <cell r="AG250">
            <v>0</v>
          </cell>
          <cell r="AI250">
            <v>0</v>
          </cell>
          <cell r="AK250">
            <v>0</v>
          </cell>
          <cell r="AM250">
            <v>300</v>
          </cell>
          <cell r="AO250">
            <v>400</v>
          </cell>
          <cell r="AQ250">
            <v>400</v>
          </cell>
        </row>
        <row r="256">
          <cell r="X256">
            <v>0</v>
          </cell>
          <cell r="Z256">
            <v>0</v>
          </cell>
          <cell r="AB256">
            <v>0</v>
          </cell>
          <cell r="AD256">
            <v>0</v>
          </cell>
          <cell r="AF256">
            <v>0</v>
          </cell>
          <cell r="AH256">
            <v>0</v>
          </cell>
          <cell r="AJ256">
            <v>0</v>
          </cell>
          <cell r="AL256">
            <v>98342400</v>
          </cell>
          <cell r="AN256">
            <v>504923938</v>
          </cell>
          <cell r="AP256">
            <v>629524184</v>
          </cell>
          <cell r="AR256">
            <v>629524184</v>
          </cell>
          <cell r="AT256">
            <v>617444459.20000005</v>
          </cell>
        </row>
        <row r="302">
          <cell r="X302">
            <v>0</v>
          </cell>
          <cell r="Z302">
            <v>0</v>
          </cell>
          <cell r="AB302">
            <v>0</v>
          </cell>
          <cell r="AD302">
            <v>0</v>
          </cell>
          <cell r="AF302">
            <v>0</v>
          </cell>
          <cell r="AH302">
            <v>0</v>
          </cell>
          <cell r="AJ302">
            <v>0</v>
          </cell>
          <cell r="AL302">
            <v>0</v>
          </cell>
          <cell r="AN302">
            <v>32588485.515000001</v>
          </cell>
          <cell r="AP302">
            <v>110178386.30340001</v>
          </cell>
          <cell r="AR302">
            <v>136041686.56620002</v>
          </cell>
          <cell r="AT302">
            <v>136041686.56620002</v>
          </cell>
        </row>
        <row r="353">
          <cell r="X353">
            <v>0</v>
          </cell>
          <cell r="Z353">
            <v>0</v>
          </cell>
          <cell r="AB353">
            <v>0</v>
          </cell>
          <cell r="AD353">
            <v>0</v>
          </cell>
          <cell r="AF353">
            <v>0</v>
          </cell>
          <cell r="AH353">
            <v>0</v>
          </cell>
          <cell r="AJ353">
            <v>0</v>
          </cell>
          <cell r="AL353">
            <v>0</v>
          </cell>
          <cell r="AN353">
            <v>110552408.58804022</v>
          </cell>
          <cell r="AP353">
            <v>198931881.93804023</v>
          </cell>
          <cell r="AR353">
            <v>217166321.45804024</v>
          </cell>
          <cell r="AT353">
            <v>215615505.87453604</v>
          </cell>
        </row>
        <row r="376">
          <cell r="X376">
            <v>0</v>
          </cell>
          <cell r="Z376">
            <v>0</v>
          </cell>
          <cell r="AB376">
            <v>0</v>
          </cell>
          <cell r="AD376">
            <v>0</v>
          </cell>
          <cell r="AF376">
            <v>0</v>
          </cell>
          <cell r="AH376">
            <v>0</v>
          </cell>
          <cell r="AJ376">
            <v>0</v>
          </cell>
          <cell r="AL376">
            <v>0</v>
          </cell>
          <cell r="AN376">
            <v>83045639.797131866</v>
          </cell>
          <cell r="AP376">
            <v>83045639.797131866</v>
          </cell>
          <cell r="AR376">
            <v>83045639.797131866</v>
          </cell>
          <cell r="AT376">
            <v>83045639.797131866</v>
          </cell>
        </row>
        <row r="378">
          <cell r="W378">
            <v>272.08500000000004</v>
          </cell>
          <cell r="Y378">
            <v>272.08500000000004</v>
          </cell>
          <cell r="AA378">
            <v>272.08500000000004</v>
          </cell>
          <cell r="AC378">
            <v>272.08500000000004</v>
          </cell>
          <cell r="AE378">
            <v>272.08500000000004</v>
          </cell>
          <cell r="AG378">
            <v>272.08500000000004</v>
          </cell>
          <cell r="AI378">
            <v>810.3950000000001</v>
          </cell>
          <cell r="AK378">
            <v>810.3950000000001</v>
          </cell>
          <cell r="AM378">
            <v>810.3950000000001</v>
          </cell>
          <cell r="AO378">
            <v>815.96833333333336</v>
          </cell>
          <cell r="AQ378">
            <v>815.96833333333336</v>
          </cell>
          <cell r="AS378">
            <v>815.96833333333336</v>
          </cell>
        </row>
        <row r="393">
          <cell r="X393">
            <v>37323049.866666675</v>
          </cell>
          <cell r="Z393">
            <v>37323049.866666675</v>
          </cell>
          <cell r="AB393">
            <v>37323049.866666675</v>
          </cell>
          <cell r="AD393">
            <v>37323049.866666675</v>
          </cell>
          <cell r="AF393">
            <v>37323049.866666675</v>
          </cell>
          <cell r="AH393">
            <v>37323049.866666675</v>
          </cell>
          <cell r="AJ393">
            <v>59072234.933333345</v>
          </cell>
          <cell r="AL393">
            <v>59072234.933333345</v>
          </cell>
          <cell r="AN393">
            <v>59072234.933333345</v>
          </cell>
          <cell r="AP393">
            <v>59072234.933333337</v>
          </cell>
          <cell r="AR393">
            <v>59072234.933333337</v>
          </cell>
          <cell r="AT393">
            <v>59072234.933333337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per Ha-TT 2000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B_RMH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hujan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asan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asan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7">
          <cell r="F7">
            <v>815200</v>
          </cell>
        </row>
        <row r="8">
          <cell r="F8">
            <v>663600</v>
          </cell>
        </row>
        <row r="9">
          <cell r="F9">
            <v>691200</v>
          </cell>
        </row>
        <row r="10">
          <cell r="F10">
            <v>579200</v>
          </cell>
        </row>
        <row r="11">
          <cell r="F11">
            <v>327000</v>
          </cell>
        </row>
        <row r="15">
          <cell r="F15">
            <v>1450770</v>
          </cell>
        </row>
        <row r="32">
          <cell r="F32">
            <v>702065.43</v>
          </cell>
        </row>
        <row r="37">
          <cell r="F37">
            <v>5561.1</v>
          </cell>
        </row>
        <row r="38">
          <cell r="F38">
            <v>6277.09</v>
          </cell>
        </row>
        <row r="41">
          <cell r="F41">
            <v>61795.55</v>
          </cell>
        </row>
        <row r="42">
          <cell r="F42">
            <v>6444.51</v>
          </cell>
        </row>
        <row r="43">
          <cell r="F43">
            <v>2008.63</v>
          </cell>
        </row>
        <row r="44">
          <cell r="F44">
            <v>5372.68</v>
          </cell>
        </row>
        <row r="45">
          <cell r="F45">
            <v>3522.13</v>
          </cell>
        </row>
        <row r="46">
          <cell r="F46">
            <v>11419.34</v>
          </cell>
        </row>
        <row r="50">
          <cell r="F50">
            <v>27934</v>
          </cell>
        </row>
        <row r="58">
          <cell r="F58">
            <v>47942.06</v>
          </cell>
        </row>
        <row r="59">
          <cell r="F59">
            <v>85000.05</v>
          </cell>
        </row>
        <row r="60">
          <cell r="F60">
            <v>24455.34</v>
          </cell>
        </row>
        <row r="61">
          <cell r="F61">
            <v>31441.77</v>
          </cell>
        </row>
        <row r="70">
          <cell r="F70">
            <v>148028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ver RKP"/>
      <sheetName val="Harga"/>
      <sheetName val="RKP 08"/>
      <sheetName val="RKT 18_19 Infra"/>
      <sheetName val="Non Tanaman"/>
      <sheetName val="Rekap Non Tanaman"/>
      <sheetName val="Lampiran"/>
      <sheetName val="Cost PN"/>
      <sheetName val="Cost MN"/>
      <sheetName val="LC Manual"/>
      <sheetName val="LC Mekanis"/>
      <sheetName val="LCC"/>
      <sheetName val="Tanam"/>
      <sheetName val="TBM 1"/>
      <sheetName val="TBM 2"/>
      <sheetName val="TBM 3"/>
      <sheetName val="Buat Jalan Tnh Mineral"/>
      <sheetName val="Drainase Tnh Mineral "/>
      <sheetName val="Tingkat Jalan Mineral"/>
      <sheetName val="Rekapitulasi Biaya"/>
      <sheetName val="ARSTAT"/>
      <sheetName val="PETA"/>
      <sheetName val="Rekapitulasi Biaya (2)"/>
      <sheetName val="Lampir"/>
      <sheetName val="KUMAI"/>
    </sheetNames>
    <sheetDataSet>
      <sheetData sheetId="0"/>
      <sheetData sheetId="1"/>
      <sheetData sheetId="2"/>
      <sheetData sheetId="3"/>
      <sheetData sheetId="4"/>
      <sheetData sheetId="5">
        <row r="72">
          <cell r="AQ72">
            <v>3</v>
          </cell>
          <cell r="AR72">
            <v>1620000000</v>
          </cell>
        </row>
        <row r="80">
          <cell r="AO80">
            <v>2</v>
          </cell>
          <cell r="AP80">
            <v>60000000</v>
          </cell>
        </row>
        <row r="82">
          <cell r="AE82">
            <v>1</v>
          </cell>
          <cell r="AF82">
            <v>360000000</v>
          </cell>
        </row>
        <row r="83">
          <cell r="AO83">
            <v>1</v>
          </cell>
          <cell r="AP83">
            <v>270000000</v>
          </cell>
        </row>
        <row r="84">
          <cell r="AO84">
            <v>1</v>
          </cell>
          <cell r="AP84">
            <v>330000000</v>
          </cell>
        </row>
        <row r="87">
          <cell r="AM87">
            <v>2</v>
          </cell>
          <cell r="AN87">
            <v>18000000</v>
          </cell>
          <cell r="AU87">
            <v>2</v>
          </cell>
          <cell r="AV87">
            <v>18000000</v>
          </cell>
        </row>
        <row r="88">
          <cell r="AE88">
            <v>5</v>
          </cell>
          <cell r="AF88">
            <v>4200000</v>
          </cell>
          <cell r="AM88">
            <v>5</v>
          </cell>
          <cell r="AN88">
            <v>4200000</v>
          </cell>
          <cell r="AU88">
            <v>5</v>
          </cell>
          <cell r="AV88">
            <v>4200000</v>
          </cell>
        </row>
        <row r="89">
          <cell r="AM89">
            <v>1</v>
          </cell>
          <cell r="AN89">
            <v>24000000</v>
          </cell>
          <cell r="AU89">
            <v>1</v>
          </cell>
          <cell r="AV89">
            <v>24000000</v>
          </cell>
        </row>
        <row r="90">
          <cell r="AM90">
            <v>2</v>
          </cell>
          <cell r="AN90">
            <v>8400000</v>
          </cell>
          <cell r="AU90">
            <v>2</v>
          </cell>
          <cell r="AV90">
            <v>8400000</v>
          </cell>
        </row>
        <row r="91">
          <cell r="AM91">
            <v>1</v>
          </cell>
          <cell r="AN91">
            <v>12000000</v>
          </cell>
        </row>
        <row r="99">
          <cell r="AU99">
            <v>3</v>
          </cell>
          <cell r="AV99">
            <v>18000000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ver RKP"/>
      <sheetName val="Harga"/>
      <sheetName val="RKP 08"/>
      <sheetName val="RKT 18_19 Infra"/>
      <sheetName val="Non Tanaman"/>
      <sheetName val="Rekap Non Tanaman"/>
      <sheetName val="Lampiran"/>
      <sheetName val="Cost PN"/>
      <sheetName val="Cost MN"/>
      <sheetName val="LC Manual"/>
      <sheetName val="LC Mekanis"/>
      <sheetName val="LCC"/>
      <sheetName val="Tanam"/>
      <sheetName val="TBM 1"/>
      <sheetName val="TBM 2"/>
      <sheetName val="TBM 3"/>
      <sheetName val="Buat Jalan Tnh Mineral"/>
      <sheetName val="Drainase Tnh Mineral "/>
      <sheetName val="Tingkat Jalan Mineral"/>
      <sheetName val="Rekapitulasi Biaya"/>
      <sheetName val="KUMAI"/>
      <sheetName val="Peta"/>
      <sheetName val="Rekapitulasi Biaya (2)"/>
    </sheetNames>
    <sheetDataSet>
      <sheetData sheetId="0"/>
      <sheetData sheetId="1"/>
      <sheetData sheetId="2">
        <row r="30">
          <cell r="D30">
            <v>460000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9"/>
  <sheetViews>
    <sheetView workbookViewId="0">
      <selection activeCell="M1" sqref="M1"/>
    </sheetView>
  </sheetViews>
  <sheetFormatPr defaultColWidth="10.6640625" defaultRowHeight="12.75" x14ac:dyDescent="0.2"/>
  <cols>
    <col min="1" max="16384" width="10.6640625" style="146"/>
  </cols>
  <sheetData>
    <row r="2" spans="1:5" x14ac:dyDescent="0.2">
      <c r="C2" s="146" t="s">
        <v>331</v>
      </c>
      <c r="D2" s="146" t="s">
        <v>332</v>
      </c>
    </row>
    <row r="3" spans="1:5" x14ac:dyDescent="0.2">
      <c r="A3" s="147">
        <v>2008</v>
      </c>
      <c r="B3" s="147">
        <v>1</v>
      </c>
      <c r="C3" s="147"/>
      <c r="D3" s="147"/>
      <c r="E3" s="147">
        <f>SUM(C3:D3)</f>
        <v>0</v>
      </c>
    </row>
    <row r="4" spans="1:5" x14ac:dyDescent="0.2">
      <c r="A4" s="147"/>
      <c r="B4" s="147">
        <v>2</v>
      </c>
      <c r="C4" s="147"/>
      <c r="D4" s="147"/>
      <c r="E4" s="147">
        <f>SUM(C4:D4)</f>
        <v>0</v>
      </c>
    </row>
    <row r="5" spans="1:5" x14ac:dyDescent="0.2">
      <c r="A5" s="147"/>
      <c r="B5" s="147">
        <v>3</v>
      </c>
      <c r="C5" s="147"/>
      <c r="D5" s="147"/>
      <c r="E5" s="147">
        <f>SUM(C5:D5)</f>
        <v>0</v>
      </c>
    </row>
    <row r="6" spans="1:5" x14ac:dyDescent="0.2">
      <c r="A6" s="147"/>
      <c r="B6" s="147">
        <v>4</v>
      </c>
      <c r="C6" s="147">
        <v>310</v>
      </c>
      <c r="D6" s="147">
        <v>50</v>
      </c>
      <c r="E6" s="147">
        <f>SUM(C6:D6)</f>
        <v>360</v>
      </c>
    </row>
    <row r="7" spans="1:5" x14ac:dyDescent="0.2">
      <c r="A7" s="147"/>
      <c r="B7" s="147" t="s">
        <v>333</v>
      </c>
      <c r="C7" s="147">
        <f>SUM(C3:C6)</f>
        <v>310</v>
      </c>
      <c r="D7" s="147">
        <f>SUM(D3:D6)</f>
        <v>50</v>
      </c>
      <c r="E7" s="147">
        <f>SUM(E3:E6)</f>
        <v>360</v>
      </c>
    </row>
    <row r="9" spans="1:5" x14ac:dyDescent="0.2">
      <c r="A9" s="147">
        <f>A3+1</f>
        <v>2009</v>
      </c>
      <c r="B9" s="147">
        <v>1</v>
      </c>
      <c r="C9" s="147"/>
      <c r="D9" s="147"/>
      <c r="E9" s="147">
        <f>SUM(C9:D9)</f>
        <v>0</v>
      </c>
    </row>
    <row r="10" spans="1:5" x14ac:dyDescent="0.2">
      <c r="A10" s="147"/>
      <c r="B10" s="147">
        <v>2</v>
      </c>
      <c r="C10" s="147"/>
      <c r="D10" s="147"/>
      <c r="E10" s="147">
        <f>SUM(C10:D10)</f>
        <v>0</v>
      </c>
    </row>
    <row r="11" spans="1:5" x14ac:dyDescent="0.2">
      <c r="A11" s="147"/>
      <c r="B11" s="147">
        <v>3</v>
      </c>
      <c r="C11" s="147"/>
      <c r="D11" s="147"/>
      <c r="E11" s="147">
        <f>SUM(C11:D11)</f>
        <v>0</v>
      </c>
    </row>
    <row r="12" spans="1:5" x14ac:dyDescent="0.2">
      <c r="A12" s="147"/>
      <c r="B12" s="147">
        <v>4</v>
      </c>
      <c r="C12" s="147">
        <f>50.3+80.23+78.84</f>
        <v>209.37</v>
      </c>
      <c r="D12" s="147"/>
      <c r="E12" s="147">
        <f>SUM(C12:D12)</f>
        <v>209.37</v>
      </c>
    </row>
    <row r="13" spans="1:5" x14ac:dyDescent="0.2">
      <c r="A13" s="147"/>
      <c r="B13" s="147" t="s">
        <v>333</v>
      </c>
      <c r="C13" s="147">
        <f>SUM(C9:C12)</f>
        <v>209.37</v>
      </c>
      <c r="D13" s="147">
        <f>SUM(D9:D12)</f>
        <v>0</v>
      </c>
      <c r="E13" s="147">
        <f>SUM(E9:E12)</f>
        <v>209.37</v>
      </c>
    </row>
    <row r="15" spans="1:5" x14ac:dyDescent="0.2">
      <c r="A15" s="147">
        <f>A9+1</f>
        <v>2010</v>
      </c>
      <c r="B15" s="147">
        <v>1</v>
      </c>
      <c r="C15" s="147"/>
      <c r="D15" s="147">
        <f>52.15+61.73+19.59</f>
        <v>133.47</v>
      </c>
      <c r="E15" s="147">
        <f>SUM(C15:D15)</f>
        <v>133.47</v>
      </c>
    </row>
    <row r="16" spans="1:5" x14ac:dyDescent="0.2">
      <c r="A16" s="147"/>
      <c r="B16" s="147">
        <v>2</v>
      </c>
      <c r="C16" s="147"/>
      <c r="D16" s="147">
        <f>60.74+51.74+45.2</f>
        <v>157.68</v>
      </c>
      <c r="E16" s="147">
        <f>SUM(C16:D16)</f>
        <v>157.68</v>
      </c>
    </row>
    <row r="17" spans="1:9" x14ac:dyDescent="0.2">
      <c r="A17" s="147"/>
      <c r="B17" s="147">
        <v>3</v>
      </c>
      <c r="C17" s="147">
        <v>21.54</v>
      </c>
      <c r="D17" s="147">
        <f>8.02+54.92+1.62</f>
        <v>64.56</v>
      </c>
      <c r="E17" s="147">
        <f>SUM(C17:D17)</f>
        <v>86.1</v>
      </c>
    </row>
    <row r="18" spans="1:9" x14ac:dyDescent="0.2">
      <c r="A18" s="147"/>
      <c r="B18" s="147">
        <v>4</v>
      </c>
      <c r="C18" s="147">
        <f>26.19+46.62-2.62</f>
        <v>70.19</v>
      </c>
      <c r="D18" s="147">
        <f>22+87.37+141.82</f>
        <v>251.19</v>
      </c>
      <c r="E18" s="147">
        <f>SUM(C18:D18)</f>
        <v>321.38</v>
      </c>
    </row>
    <row r="19" spans="1:9" x14ac:dyDescent="0.2">
      <c r="A19" s="147"/>
      <c r="B19" s="147" t="s">
        <v>333</v>
      </c>
      <c r="C19" s="147">
        <f>SUM(C15:C18)</f>
        <v>91.72999999999999</v>
      </c>
      <c r="D19" s="147">
        <f>SUM(D15:D18)</f>
        <v>606.9</v>
      </c>
      <c r="E19" s="147">
        <f>SUM(E15:E18)</f>
        <v>698.63</v>
      </c>
    </row>
    <row r="20" spans="1:9" x14ac:dyDescent="0.2">
      <c r="H20" s="148">
        <v>326.60000000000002</v>
      </c>
      <c r="I20" s="149">
        <v>50</v>
      </c>
    </row>
    <row r="21" spans="1:9" x14ac:dyDescent="0.2">
      <c r="A21" s="147">
        <f>A15+1</f>
        <v>2011</v>
      </c>
      <c r="B21" s="147">
        <v>1</v>
      </c>
      <c r="C21" s="147"/>
      <c r="D21" s="147">
        <f>68.25+93.06+66.29</f>
        <v>227.60000000000002</v>
      </c>
      <c r="E21" s="147">
        <f>SUM(C21:D21)</f>
        <v>227.60000000000002</v>
      </c>
      <c r="H21" s="148">
        <v>197.2</v>
      </c>
      <c r="I21" s="150">
        <v>606.9</v>
      </c>
    </row>
    <row r="22" spans="1:9" x14ac:dyDescent="0.2">
      <c r="A22" s="147"/>
      <c r="B22" s="147">
        <v>2</v>
      </c>
      <c r="C22" s="147"/>
      <c r="D22" s="152">
        <f>38.5+29.04+4.43+0.03</f>
        <v>72</v>
      </c>
      <c r="E22" s="147">
        <f>SUM(C22:D22)</f>
        <v>72</v>
      </c>
      <c r="H22" s="148">
        <v>87.3</v>
      </c>
      <c r="I22" s="150">
        <v>299.60000000000002</v>
      </c>
    </row>
    <row r="23" spans="1:9" x14ac:dyDescent="0.2">
      <c r="A23" s="147"/>
      <c r="B23" s="147">
        <v>3</v>
      </c>
      <c r="C23" s="147">
        <f>24.26+15.22</f>
        <v>39.480000000000004</v>
      </c>
      <c r="D23" s="147"/>
      <c r="E23" s="147">
        <f>SUM(C23:D23)</f>
        <v>39.480000000000004</v>
      </c>
      <c r="H23" s="148">
        <v>53.79</v>
      </c>
      <c r="I23" s="149"/>
    </row>
    <row r="24" spans="1:9" x14ac:dyDescent="0.2">
      <c r="A24" s="147"/>
      <c r="B24" s="147">
        <v>4</v>
      </c>
      <c r="C24" s="147">
        <f>6.25+8.06</f>
        <v>14.31</v>
      </c>
      <c r="D24" s="147"/>
      <c r="E24" s="147">
        <f>SUM(C24:D24)</f>
        <v>14.31</v>
      </c>
      <c r="H24" s="149">
        <f>SUM(H20:H23)</f>
        <v>664.88999999999987</v>
      </c>
      <c r="I24" s="149">
        <f>SUM(I20:I23)</f>
        <v>956.5</v>
      </c>
    </row>
    <row r="25" spans="1:9" x14ac:dyDescent="0.2">
      <c r="A25" s="147"/>
      <c r="B25" s="147" t="s">
        <v>333</v>
      </c>
      <c r="C25" s="147">
        <f>SUM(C21:C24)</f>
        <v>53.790000000000006</v>
      </c>
      <c r="D25" s="147">
        <f>SUM(D21:D24)</f>
        <v>299.60000000000002</v>
      </c>
      <c r="E25" s="147">
        <f>SUM(E21:E24)</f>
        <v>353.39000000000004</v>
      </c>
      <c r="H25" s="149"/>
      <c r="I25" s="149"/>
    </row>
    <row r="26" spans="1:9" x14ac:dyDescent="0.2">
      <c r="H26" s="149"/>
      <c r="I26" s="149"/>
    </row>
    <row r="27" spans="1:9" x14ac:dyDescent="0.2">
      <c r="A27" s="147">
        <f>A21+1</f>
        <v>2012</v>
      </c>
      <c r="B27" s="147">
        <v>1</v>
      </c>
      <c r="C27" s="147">
        <v>40.65</v>
      </c>
      <c r="D27" s="147">
        <v>313.54000000000002</v>
      </c>
      <c r="E27" s="147">
        <f>SUM(C27:D27)</f>
        <v>354.19</v>
      </c>
      <c r="H27" s="149">
        <f>200+40.65</f>
        <v>240.65</v>
      </c>
      <c r="I27" s="149">
        <f>600+13.54</f>
        <v>613.54</v>
      </c>
    </row>
    <row r="28" spans="1:9" x14ac:dyDescent="0.2">
      <c r="A28" s="147"/>
      <c r="B28" s="147">
        <v>2</v>
      </c>
      <c r="C28" s="147">
        <v>200</v>
      </c>
      <c r="D28" s="147">
        <v>300</v>
      </c>
      <c r="E28" s="147">
        <f>SUM(C28:D28)</f>
        <v>500</v>
      </c>
      <c r="H28" s="149"/>
      <c r="I28" s="149">
        <v>200</v>
      </c>
    </row>
    <row r="29" spans="1:9" x14ac:dyDescent="0.2">
      <c r="A29" s="147"/>
      <c r="B29" s="147">
        <v>3</v>
      </c>
      <c r="C29" s="147"/>
      <c r="D29" s="147"/>
      <c r="E29" s="147">
        <f>SUM(C29:D29)</f>
        <v>0</v>
      </c>
      <c r="H29" s="149">
        <f>SUM(H27:H28)</f>
        <v>240.65</v>
      </c>
      <c r="I29" s="149">
        <f>SUM(I27:I28)</f>
        <v>813.54</v>
      </c>
    </row>
    <row r="30" spans="1:9" x14ac:dyDescent="0.2">
      <c r="A30" s="147"/>
      <c r="B30" s="147">
        <v>4</v>
      </c>
      <c r="C30" s="147"/>
      <c r="D30" s="147"/>
      <c r="E30" s="147">
        <f>SUM(C30:D30)</f>
        <v>0</v>
      </c>
      <c r="H30" s="149"/>
      <c r="I30" s="149"/>
    </row>
    <row r="31" spans="1:9" x14ac:dyDescent="0.2">
      <c r="A31" s="147"/>
      <c r="B31" s="147" t="s">
        <v>333</v>
      </c>
      <c r="C31" s="147">
        <f>SUM(C27:C30)</f>
        <v>240.65</v>
      </c>
      <c r="D31" s="147">
        <f>SUM(D27:D30)</f>
        <v>613.54</v>
      </c>
      <c r="E31" s="147">
        <f>SUM(E27:E30)</f>
        <v>854.19</v>
      </c>
      <c r="H31" s="149">
        <f>H29+H24</f>
        <v>905.53999999999985</v>
      </c>
      <c r="I31" s="149">
        <f>I29+I24</f>
        <v>1770.04</v>
      </c>
    </row>
    <row r="33" spans="1:5" x14ac:dyDescent="0.2">
      <c r="C33" s="146">
        <f>C7+C13+C19+C25+C31</f>
        <v>905.54</v>
      </c>
      <c r="D33" s="146">
        <f>D7+D13+D19+D25+D31</f>
        <v>1570.04</v>
      </c>
      <c r="E33" s="146">
        <f>E7+E13+E19+E25+E31</f>
        <v>2475.58</v>
      </c>
    </row>
    <row r="36" spans="1:5" x14ac:dyDescent="0.2">
      <c r="A36" s="146" t="s">
        <v>334</v>
      </c>
      <c r="D36" s="146">
        <v>200</v>
      </c>
      <c r="E36" s="147">
        <f>SUM(C36:D36)</f>
        <v>200</v>
      </c>
    </row>
    <row r="38" spans="1:5" x14ac:dyDescent="0.2">
      <c r="C38" s="146">
        <f>C33+C36</f>
        <v>905.54</v>
      </c>
      <c r="D38" s="146">
        <f>D33+D36</f>
        <v>1770.04</v>
      </c>
      <c r="E38" s="146">
        <f>E33+E36</f>
        <v>2675.58</v>
      </c>
    </row>
    <row r="39" spans="1:5" x14ac:dyDescent="0.2">
      <c r="C39" s="151">
        <f>C38-H31</f>
        <v>0</v>
      </c>
      <c r="D39" s="151">
        <f>D38-I31</f>
        <v>0</v>
      </c>
    </row>
  </sheetData>
  <phoneticPr fontId="34" type="noConversion"/>
  <pageMargins left="0.75" right="0.75" top="1" bottom="1" header="0.5" footer="0.5"/>
  <pageSetup orientation="portrait" horizontalDpi="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J39"/>
  <sheetViews>
    <sheetView showGridLines="0" view="pageBreakPreview" topLeftCell="A10" zoomScale="145" zoomScaleNormal="100" zoomScaleSheetLayoutView="145" workbookViewId="0">
      <selection activeCell="B15" sqref="B15:I15"/>
    </sheetView>
  </sheetViews>
  <sheetFormatPr defaultColWidth="10.6640625" defaultRowHeight="12.75" x14ac:dyDescent="0.2"/>
  <cols>
    <col min="1" max="1" width="10.6640625" style="98" customWidth="1"/>
    <col min="2" max="9" width="12.5" style="98" customWidth="1"/>
    <col min="10" max="10" width="10.6640625" style="98" customWidth="1"/>
    <col min="11" max="16384" width="10.6640625" style="98"/>
  </cols>
  <sheetData>
    <row r="1" spans="1:10" ht="13.5" thickBot="1" x14ac:dyDescent="0.25"/>
    <row r="2" spans="1:10" ht="13.5" thickTop="1" x14ac:dyDescent="0.2">
      <c r="A2" s="99"/>
      <c r="B2" s="100"/>
      <c r="C2" s="100"/>
      <c r="D2" s="100"/>
      <c r="E2" s="100"/>
      <c r="F2" s="100"/>
      <c r="G2" s="100"/>
      <c r="H2" s="100"/>
      <c r="I2" s="100"/>
      <c r="J2" s="101"/>
    </row>
    <row r="3" spans="1:10" x14ac:dyDescent="0.2">
      <c r="A3" s="102"/>
      <c r="J3" s="103"/>
    </row>
    <row r="4" spans="1:10" x14ac:dyDescent="0.2">
      <c r="A4" s="102"/>
      <c r="J4" s="103"/>
    </row>
    <row r="5" spans="1:10" x14ac:dyDescent="0.2">
      <c r="A5" s="102"/>
      <c r="J5" s="103"/>
    </row>
    <row r="6" spans="1:10" x14ac:dyDescent="0.2">
      <c r="A6" s="102"/>
      <c r="J6" s="103"/>
    </row>
    <row r="7" spans="1:10" x14ac:dyDescent="0.2">
      <c r="A7" s="102"/>
      <c r="B7" s="704"/>
      <c r="C7" s="704"/>
      <c r="D7" s="704"/>
      <c r="E7" s="704"/>
      <c r="F7" s="704"/>
      <c r="G7" s="704"/>
      <c r="H7" s="704"/>
      <c r="I7" s="704"/>
      <c r="J7" s="103"/>
    </row>
    <row r="8" spans="1:10" ht="16.5" x14ac:dyDescent="0.3">
      <c r="A8" s="102"/>
      <c r="B8" s="705"/>
      <c r="C8" s="704"/>
      <c r="D8" s="704"/>
      <c r="E8" s="704"/>
      <c r="F8" s="704"/>
      <c r="G8" s="704"/>
      <c r="H8" s="704"/>
      <c r="I8" s="704"/>
      <c r="J8" s="103"/>
    </row>
    <row r="9" spans="1:10" x14ac:dyDescent="0.2">
      <c r="A9" s="102"/>
      <c r="B9" s="706"/>
      <c r="C9" s="706"/>
      <c r="D9" s="706"/>
      <c r="E9" s="704"/>
      <c r="F9" s="704"/>
      <c r="G9" s="704"/>
      <c r="H9" s="704"/>
      <c r="I9" s="704"/>
      <c r="J9" s="103"/>
    </row>
    <row r="10" spans="1:10" ht="24" x14ac:dyDescent="0.4">
      <c r="A10" s="102"/>
      <c r="B10" s="707" t="s">
        <v>297</v>
      </c>
      <c r="C10" s="707"/>
      <c r="D10" s="707"/>
      <c r="E10" s="707"/>
      <c r="F10" s="707"/>
      <c r="G10" s="707"/>
      <c r="H10" s="707"/>
      <c r="I10" s="707"/>
      <c r="J10" s="103"/>
    </row>
    <row r="11" spans="1:10" ht="24" x14ac:dyDescent="0.4">
      <c r="A11" s="102"/>
      <c r="B11" s="707" t="s">
        <v>645</v>
      </c>
      <c r="C11" s="707"/>
      <c r="D11" s="707"/>
      <c r="E11" s="707"/>
      <c r="F11" s="707"/>
      <c r="G11" s="707"/>
      <c r="H11" s="707"/>
      <c r="I11" s="707"/>
      <c r="J11" s="103"/>
    </row>
    <row r="12" spans="1:10" ht="15" customHeight="1" x14ac:dyDescent="0.4">
      <c r="A12" s="102"/>
      <c r="B12" s="707"/>
      <c r="C12" s="707"/>
      <c r="D12" s="707"/>
      <c r="E12" s="707"/>
      <c r="F12" s="707"/>
      <c r="G12" s="707"/>
      <c r="H12" s="707"/>
      <c r="I12" s="707"/>
      <c r="J12" s="103"/>
    </row>
    <row r="13" spans="1:10" ht="15" x14ac:dyDescent="0.2">
      <c r="A13" s="102"/>
      <c r="B13" s="708"/>
      <c r="C13" s="708"/>
      <c r="D13" s="708"/>
      <c r="E13" s="708"/>
      <c r="F13" s="708"/>
      <c r="G13" s="708"/>
      <c r="H13" s="708"/>
      <c r="I13" s="708"/>
      <c r="J13" s="103"/>
    </row>
    <row r="14" spans="1:10" ht="24" x14ac:dyDescent="0.4">
      <c r="A14" s="102"/>
      <c r="B14" s="707"/>
      <c r="C14" s="707"/>
      <c r="D14" s="707"/>
      <c r="E14" s="707"/>
      <c r="F14" s="707"/>
      <c r="G14" s="707"/>
      <c r="H14" s="707"/>
      <c r="I14" s="707"/>
      <c r="J14" s="103"/>
    </row>
    <row r="15" spans="1:10" ht="24" x14ac:dyDescent="0.4">
      <c r="A15" s="102"/>
      <c r="B15" s="707"/>
      <c r="C15" s="707"/>
      <c r="D15" s="707"/>
      <c r="E15" s="707"/>
      <c r="F15" s="707"/>
      <c r="G15" s="707"/>
      <c r="H15" s="707"/>
      <c r="I15" s="707"/>
      <c r="J15" s="103"/>
    </row>
    <row r="16" spans="1:10" ht="18.75" x14ac:dyDescent="0.3">
      <c r="A16" s="102"/>
      <c r="B16" s="709"/>
      <c r="C16" s="709"/>
      <c r="D16" s="709"/>
      <c r="E16" s="709"/>
      <c r="F16" s="709"/>
      <c r="G16" s="709"/>
      <c r="H16" s="709"/>
      <c r="I16" s="709"/>
      <c r="J16" s="103"/>
    </row>
    <row r="17" spans="1:10" x14ac:dyDescent="0.2">
      <c r="A17" s="102"/>
      <c r="B17" s="706"/>
      <c r="C17" s="706"/>
      <c r="D17" s="706"/>
      <c r="E17" s="706"/>
      <c r="F17" s="706"/>
      <c r="G17" s="706"/>
      <c r="H17" s="706"/>
      <c r="I17" s="706"/>
      <c r="J17" s="103"/>
    </row>
    <row r="18" spans="1:10" x14ac:dyDescent="0.2">
      <c r="A18" s="102"/>
      <c r="B18" s="706"/>
      <c r="C18" s="706"/>
      <c r="D18" s="706"/>
      <c r="E18" s="706"/>
      <c r="F18" s="706"/>
      <c r="G18" s="706"/>
      <c r="H18" s="706"/>
      <c r="I18" s="706"/>
      <c r="J18" s="103"/>
    </row>
    <row r="19" spans="1:10" ht="18.75" x14ac:dyDescent="0.3">
      <c r="A19" s="102"/>
      <c r="B19" s="709"/>
      <c r="C19" s="709"/>
      <c r="D19" s="709"/>
      <c r="E19" s="709"/>
      <c r="F19" s="709"/>
      <c r="G19" s="709"/>
      <c r="H19" s="709"/>
      <c r="I19" s="709"/>
      <c r="J19" s="103"/>
    </row>
    <row r="20" spans="1:10" ht="18.75" x14ac:dyDescent="0.3">
      <c r="A20" s="102"/>
      <c r="B20" s="709"/>
      <c r="C20" s="709"/>
      <c r="D20" s="709"/>
      <c r="E20" s="709"/>
      <c r="F20" s="709"/>
      <c r="G20" s="709"/>
      <c r="H20" s="709"/>
      <c r="I20" s="709"/>
      <c r="J20" s="103"/>
    </row>
    <row r="21" spans="1:10" ht="18.75" x14ac:dyDescent="0.3">
      <c r="A21" s="102"/>
      <c r="B21" s="709" t="s">
        <v>644</v>
      </c>
      <c r="C21" s="709"/>
      <c r="D21" s="709"/>
      <c r="E21" s="709"/>
      <c r="F21" s="709"/>
      <c r="G21" s="709"/>
      <c r="H21" s="709"/>
      <c r="I21" s="709"/>
      <c r="J21" s="103"/>
    </row>
    <row r="22" spans="1:10" ht="18.75" x14ac:dyDescent="0.3">
      <c r="A22" s="102"/>
      <c r="B22" s="710"/>
      <c r="C22" s="710"/>
      <c r="D22" s="710"/>
      <c r="E22" s="710"/>
      <c r="F22" s="710"/>
      <c r="G22" s="710"/>
      <c r="H22" s="710"/>
      <c r="I22" s="710"/>
      <c r="J22" s="103"/>
    </row>
    <row r="23" spans="1:10" x14ac:dyDescent="0.2">
      <c r="A23" s="102"/>
      <c r="J23" s="103"/>
    </row>
    <row r="24" spans="1:10" x14ac:dyDescent="0.2">
      <c r="A24" s="102"/>
      <c r="J24" s="103"/>
    </row>
    <row r="25" spans="1:10" x14ac:dyDescent="0.2">
      <c r="A25" s="102"/>
      <c r="J25" s="103"/>
    </row>
    <row r="26" spans="1:10" x14ac:dyDescent="0.2">
      <c r="A26" s="102"/>
      <c r="J26" s="103"/>
    </row>
    <row r="27" spans="1:10" ht="15" x14ac:dyDescent="0.3">
      <c r="A27" s="102"/>
      <c r="H27" s="130"/>
      <c r="I27" s="130"/>
      <c r="J27" s="131"/>
    </row>
    <row r="28" spans="1:10" ht="13.5" thickBot="1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6"/>
    </row>
    <row r="29" spans="1:10" ht="13.5" thickTop="1" x14ac:dyDescent="0.2"/>
    <row r="35" spans="3:3" x14ac:dyDescent="0.2">
      <c r="C35" s="98">
        <f>'Tingkat Jalan Mineral'!G20</f>
        <v>998942.8</v>
      </c>
    </row>
    <row r="36" spans="3:3" x14ac:dyDescent="0.2">
      <c r="C36" s="98">
        <f>'Tingkat Jalan Mineral'!Q20</f>
        <v>1522646.8</v>
      </c>
    </row>
    <row r="37" spans="3:3" x14ac:dyDescent="0.2">
      <c r="C37" s="98">
        <f>'Drainase Tnh Mineral '!Q21</f>
        <v>581740</v>
      </c>
    </row>
    <row r="38" spans="3:3" x14ac:dyDescent="0.2">
      <c r="C38" s="98">
        <f>SUM(C35:C37)</f>
        <v>3103329.6</v>
      </c>
    </row>
    <row r="39" spans="3:3" x14ac:dyDescent="0.2">
      <c r="C39" s="98">
        <f>C33+C38</f>
        <v>3103329.6</v>
      </c>
    </row>
  </sheetData>
  <mergeCells count="14">
    <mergeCell ref="B11:I11"/>
    <mergeCell ref="B9:D9"/>
    <mergeCell ref="B12:I12"/>
    <mergeCell ref="B13:I13"/>
    <mergeCell ref="B14:I14"/>
    <mergeCell ref="B10:I10"/>
    <mergeCell ref="B22:I22"/>
    <mergeCell ref="B21:I21"/>
    <mergeCell ref="B16:I16"/>
    <mergeCell ref="B15:I15"/>
    <mergeCell ref="B20:I20"/>
    <mergeCell ref="B19:I19"/>
    <mergeCell ref="B18:I18"/>
    <mergeCell ref="B17:I17"/>
  </mergeCells>
  <phoneticPr fontId="34" type="noConversion"/>
  <printOptions horizontalCentered="1" verticalCentered="1"/>
  <pageMargins left="0.75" right="0.75" top="0.47986111100000001" bottom="0.5" header="0.51180555555555596" footer="0.51180555555555596"/>
  <pageSetup paperSize="9" scale="125" firstPageNumber="0" orientation="landscape" blackAndWhite="1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N118"/>
  <sheetViews>
    <sheetView showGridLines="0" zoomScale="135" zoomScaleNormal="100" workbookViewId="0">
      <selection sqref="A1:D68"/>
    </sheetView>
  </sheetViews>
  <sheetFormatPr defaultColWidth="8.6640625" defaultRowHeight="11.25" x14ac:dyDescent="0.2"/>
  <cols>
    <col min="1" max="1" width="3.1640625" customWidth="1"/>
    <col min="2" max="2" width="30" customWidth="1"/>
    <col min="3" max="3" width="10.6640625" customWidth="1"/>
    <col min="4" max="4" width="19.6640625" customWidth="1"/>
    <col min="5" max="5" width="9" customWidth="1"/>
    <col min="6" max="6" width="13" style="244" hidden="1" customWidth="1"/>
    <col min="7" max="7" width="3.1640625" hidden="1" customWidth="1"/>
    <col min="8" max="8" width="30" hidden="1" customWidth="1"/>
    <col min="9" max="9" width="10.6640625" hidden="1" customWidth="1"/>
    <col min="10" max="10" width="19.6640625" hidden="1" customWidth="1"/>
    <col min="11" max="11" width="10.5" hidden="1" customWidth="1"/>
    <col min="12" max="13" width="0" hidden="1" customWidth="1"/>
    <col min="14" max="14" width="13" hidden="1" customWidth="1"/>
    <col min="15" max="16" width="0" hidden="1" customWidth="1"/>
  </cols>
  <sheetData>
    <row r="1" spans="1:14" ht="15.75" x14ac:dyDescent="0.25">
      <c r="A1" s="585" t="s">
        <v>316</v>
      </c>
      <c r="B1" s="585"/>
      <c r="C1" s="585"/>
      <c r="D1" s="585"/>
      <c r="E1" s="688"/>
    </row>
    <row r="2" spans="1:14" ht="15.75" x14ac:dyDescent="0.25">
      <c r="A2" s="6"/>
      <c r="B2" s="6"/>
      <c r="C2" s="6"/>
      <c r="D2" s="6"/>
      <c r="E2" s="6"/>
      <c r="G2" s="6"/>
      <c r="H2" s="6"/>
      <c r="I2" s="6"/>
      <c r="J2" s="6"/>
    </row>
    <row r="3" spans="1:14" ht="15" x14ac:dyDescent="0.3">
      <c r="A3" s="66"/>
      <c r="B3" s="92" t="s">
        <v>204</v>
      </c>
      <c r="C3" s="62"/>
      <c r="D3" s="92" t="s">
        <v>630</v>
      </c>
      <c r="E3" s="7"/>
      <c r="G3" s="8"/>
      <c r="H3" s="10" t="s">
        <v>204</v>
      </c>
      <c r="I3" s="9"/>
      <c r="J3" s="10" t="s">
        <v>37</v>
      </c>
    </row>
    <row r="4" spans="1:14" ht="15" x14ac:dyDescent="0.3">
      <c r="A4" s="11" t="s">
        <v>12</v>
      </c>
      <c r="B4" s="11" t="s">
        <v>13</v>
      </c>
      <c r="C4" s="11"/>
      <c r="D4" s="12"/>
      <c r="E4" s="7"/>
      <c r="G4" s="11" t="s">
        <v>12</v>
      </c>
      <c r="H4" s="11" t="s">
        <v>13</v>
      </c>
      <c r="I4" s="11"/>
      <c r="J4" s="12"/>
    </row>
    <row r="5" spans="1:14" s="693" customFormat="1" ht="13.5" x14ac:dyDescent="0.25">
      <c r="A5" s="689">
        <v>1</v>
      </c>
      <c r="B5" s="689" t="s">
        <v>312</v>
      </c>
      <c r="C5" s="690" t="s">
        <v>131</v>
      </c>
      <c r="D5" s="569">
        <f>[22]Sheet1!$F$7</f>
        <v>815200</v>
      </c>
      <c r="E5" s="691"/>
      <c r="F5" s="434">
        <v>450000</v>
      </c>
      <c r="G5" s="689">
        <v>1</v>
      </c>
      <c r="H5" s="689" t="s">
        <v>312</v>
      </c>
      <c r="I5" s="690" t="s">
        <v>131</v>
      </c>
      <c r="J5" s="569">
        <v>300000</v>
      </c>
      <c r="K5" s="692">
        <f>D5-J5</f>
        <v>515200</v>
      </c>
      <c r="N5" s="434">
        <v>380000</v>
      </c>
    </row>
    <row r="6" spans="1:14" s="693" customFormat="1" ht="13.5" x14ac:dyDescent="0.25">
      <c r="A6" s="689">
        <v>2</v>
      </c>
      <c r="B6" s="689" t="s">
        <v>84</v>
      </c>
      <c r="C6" s="690" t="s">
        <v>131</v>
      </c>
      <c r="D6" s="569">
        <f>[22]Sheet1!$F$8</f>
        <v>663600</v>
      </c>
      <c r="E6" s="691"/>
      <c r="F6" s="434">
        <v>300000</v>
      </c>
      <c r="G6" s="689">
        <v>2</v>
      </c>
      <c r="H6" s="689" t="s">
        <v>84</v>
      </c>
      <c r="I6" s="690" t="s">
        <v>131</v>
      </c>
      <c r="J6" s="569">
        <v>200000</v>
      </c>
      <c r="K6" s="692">
        <f t="shared" ref="K6:K46" si="0">D6-J6</f>
        <v>463600</v>
      </c>
      <c r="N6" s="434">
        <v>260000</v>
      </c>
    </row>
    <row r="7" spans="1:14" s="693" customFormat="1" ht="13.5" x14ac:dyDescent="0.25">
      <c r="A7" s="689">
        <v>3</v>
      </c>
      <c r="B7" s="689" t="s">
        <v>80</v>
      </c>
      <c r="C7" s="690" t="s">
        <v>131</v>
      </c>
      <c r="D7" s="569">
        <f>[22]Sheet1!$F$9</f>
        <v>691200</v>
      </c>
      <c r="E7" s="691"/>
      <c r="F7" s="434">
        <v>350000</v>
      </c>
      <c r="G7" s="689">
        <v>3</v>
      </c>
      <c r="H7" s="689" t="s">
        <v>80</v>
      </c>
      <c r="I7" s="690" t="s">
        <v>131</v>
      </c>
      <c r="J7" s="569">
        <v>300000</v>
      </c>
      <c r="K7" s="692">
        <f t="shared" si="0"/>
        <v>391200</v>
      </c>
      <c r="N7" s="434">
        <v>350000</v>
      </c>
    </row>
    <row r="8" spans="1:14" s="693" customFormat="1" ht="13.5" x14ac:dyDescent="0.25">
      <c r="A8" s="689">
        <v>4</v>
      </c>
      <c r="B8" s="689" t="s">
        <v>85</v>
      </c>
      <c r="C8" s="690" t="s">
        <v>131</v>
      </c>
      <c r="D8" s="569">
        <f>[22]Sheet1!$F$10</f>
        <v>579200</v>
      </c>
      <c r="E8" s="691"/>
      <c r="F8" s="434">
        <v>300000</v>
      </c>
      <c r="G8" s="689">
        <v>4</v>
      </c>
      <c r="H8" s="689" t="s">
        <v>85</v>
      </c>
      <c r="I8" s="690" t="s">
        <v>131</v>
      </c>
      <c r="J8" s="569">
        <v>190000</v>
      </c>
      <c r="K8" s="692">
        <f t="shared" si="0"/>
        <v>389200</v>
      </c>
      <c r="N8" s="434">
        <v>300000</v>
      </c>
    </row>
    <row r="9" spans="1:14" s="693" customFormat="1" ht="13.5" x14ac:dyDescent="0.25">
      <c r="A9" s="689">
        <v>5</v>
      </c>
      <c r="B9" s="689" t="s">
        <v>313</v>
      </c>
      <c r="C9" s="690" t="s">
        <v>131</v>
      </c>
      <c r="D9" s="569">
        <f>[22]Sheet1!$F$11</f>
        <v>327000</v>
      </c>
      <c r="E9" s="691"/>
      <c r="F9" s="434">
        <v>150000</v>
      </c>
      <c r="G9" s="689">
        <v>5</v>
      </c>
      <c r="H9" s="689" t="s">
        <v>313</v>
      </c>
      <c r="I9" s="690" t="s">
        <v>131</v>
      </c>
      <c r="J9" s="569">
        <v>150000</v>
      </c>
      <c r="K9" s="692">
        <f t="shared" si="0"/>
        <v>177000</v>
      </c>
      <c r="N9" s="434">
        <v>150000</v>
      </c>
    </row>
    <row r="10" spans="1:14" s="693" customFormat="1" ht="13.5" x14ac:dyDescent="0.25">
      <c r="A10" s="689">
        <v>6</v>
      </c>
      <c r="B10" s="689" t="s">
        <v>179</v>
      </c>
      <c r="C10" s="690" t="s">
        <v>202</v>
      </c>
      <c r="D10" s="569">
        <v>50490</v>
      </c>
      <c r="E10" s="691"/>
      <c r="F10" s="434">
        <v>50000</v>
      </c>
      <c r="G10" s="689">
        <v>6</v>
      </c>
      <c r="H10" s="689" t="s">
        <v>179</v>
      </c>
      <c r="I10" s="690" t="s">
        <v>202</v>
      </c>
      <c r="J10" s="569">
        <v>50000</v>
      </c>
      <c r="K10" s="692">
        <f t="shared" si="0"/>
        <v>490</v>
      </c>
      <c r="N10" s="434">
        <v>50000</v>
      </c>
    </row>
    <row r="11" spans="1:14" s="693" customFormat="1" ht="13.5" x14ac:dyDescent="0.25">
      <c r="A11" s="689">
        <v>7</v>
      </c>
      <c r="B11" s="689" t="s">
        <v>51</v>
      </c>
      <c r="C11" s="690" t="s">
        <v>133</v>
      </c>
      <c r="D11" s="569">
        <v>325000</v>
      </c>
      <c r="E11" s="691"/>
      <c r="F11" s="434">
        <v>350000</v>
      </c>
      <c r="G11" s="689">
        <v>7</v>
      </c>
      <c r="H11" s="689" t="s">
        <v>51</v>
      </c>
      <c r="I11" s="690" t="s">
        <v>133</v>
      </c>
      <c r="J11" s="569">
        <v>350000</v>
      </c>
      <c r="K11" s="692">
        <f t="shared" si="0"/>
        <v>-25000</v>
      </c>
      <c r="N11" s="434">
        <v>350000</v>
      </c>
    </row>
    <row r="12" spans="1:14" s="693" customFormat="1" ht="13.5" x14ac:dyDescent="0.25">
      <c r="A12" s="689">
        <v>8</v>
      </c>
      <c r="B12" s="689" t="s">
        <v>14</v>
      </c>
      <c r="C12" s="690" t="s">
        <v>105</v>
      </c>
      <c r="D12" s="694">
        <v>50000</v>
      </c>
      <c r="E12" s="691"/>
      <c r="F12" s="434">
        <v>50000</v>
      </c>
      <c r="G12" s="689">
        <v>8</v>
      </c>
      <c r="H12" s="689" t="s">
        <v>14</v>
      </c>
      <c r="I12" s="690" t="s">
        <v>105</v>
      </c>
      <c r="J12" s="694">
        <v>50000</v>
      </c>
      <c r="K12" s="692">
        <f t="shared" si="0"/>
        <v>0</v>
      </c>
      <c r="N12" s="434">
        <v>50000</v>
      </c>
    </row>
    <row r="13" spans="1:14" s="693" customFormat="1" ht="13.5" x14ac:dyDescent="0.25">
      <c r="A13" s="689">
        <v>9</v>
      </c>
      <c r="B13" s="689" t="s">
        <v>594</v>
      </c>
      <c r="C13" s="690" t="s">
        <v>100</v>
      </c>
      <c r="D13" s="694">
        <f>[22]Sheet1!$F$15</f>
        <v>1450770</v>
      </c>
      <c r="E13" s="691"/>
      <c r="F13" s="434">
        <v>241500</v>
      </c>
      <c r="G13" s="689">
        <v>9</v>
      </c>
      <c r="H13" s="689" t="s">
        <v>15</v>
      </c>
      <c r="I13" s="690" t="s">
        <v>100</v>
      </c>
      <c r="J13" s="694">
        <v>241500</v>
      </c>
      <c r="K13" s="692">
        <f t="shared" si="0"/>
        <v>1209270</v>
      </c>
      <c r="N13" s="434">
        <v>241500</v>
      </c>
    </row>
    <row r="14" spans="1:14" s="693" customFormat="1" ht="13.5" x14ac:dyDescent="0.25">
      <c r="A14" s="689">
        <v>10</v>
      </c>
      <c r="B14" s="689" t="s">
        <v>152</v>
      </c>
      <c r="C14" s="690" t="s">
        <v>100</v>
      </c>
      <c r="D14" s="694">
        <v>30000</v>
      </c>
      <c r="E14" s="691"/>
      <c r="F14" s="434">
        <v>7500</v>
      </c>
      <c r="G14" s="689">
        <v>10</v>
      </c>
      <c r="H14" s="689" t="s">
        <v>152</v>
      </c>
      <c r="I14" s="690" t="s">
        <v>100</v>
      </c>
      <c r="J14" s="694">
        <v>7500</v>
      </c>
      <c r="K14" s="692">
        <f t="shared" si="0"/>
        <v>22500</v>
      </c>
      <c r="N14" s="434">
        <v>7500</v>
      </c>
    </row>
    <row r="15" spans="1:14" s="693" customFormat="1" ht="13.5" x14ac:dyDescent="0.25">
      <c r="A15" s="689">
        <v>11</v>
      </c>
      <c r="B15" s="689" t="s">
        <v>16</v>
      </c>
      <c r="C15" s="690" t="s">
        <v>132</v>
      </c>
      <c r="D15" s="694">
        <v>1500000</v>
      </c>
      <c r="E15" s="691"/>
      <c r="F15" s="434">
        <v>1500000</v>
      </c>
      <c r="G15" s="689">
        <v>11</v>
      </c>
      <c r="H15" s="689" t="s">
        <v>16</v>
      </c>
      <c r="I15" s="690" t="s">
        <v>132</v>
      </c>
      <c r="J15" s="694">
        <v>1500000</v>
      </c>
      <c r="K15" s="692">
        <f t="shared" si="0"/>
        <v>0</v>
      </c>
      <c r="N15" s="434">
        <v>1500000</v>
      </c>
    </row>
    <row r="16" spans="1:14" s="693" customFormat="1" ht="13.5" x14ac:dyDescent="0.25">
      <c r="A16" s="689">
        <v>12</v>
      </c>
      <c r="B16" s="689" t="s">
        <v>17</v>
      </c>
      <c r="C16" s="690" t="s">
        <v>100</v>
      </c>
      <c r="D16" s="694">
        <v>2112000</v>
      </c>
      <c r="E16" s="691"/>
      <c r="F16" s="434">
        <v>2112000</v>
      </c>
      <c r="G16" s="689">
        <v>12</v>
      </c>
      <c r="H16" s="689" t="s">
        <v>17</v>
      </c>
      <c r="I16" s="690" t="s">
        <v>100</v>
      </c>
      <c r="J16" s="694">
        <v>2112000</v>
      </c>
      <c r="K16" s="692">
        <f t="shared" si="0"/>
        <v>0</v>
      </c>
      <c r="N16" s="434">
        <v>2112000</v>
      </c>
    </row>
    <row r="17" spans="1:14" s="693" customFormat="1" ht="13.5" x14ac:dyDescent="0.25">
      <c r="A17" s="689">
        <v>13</v>
      </c>
      <c r="B17" s="689" t="s">
        <v>318</v>
      </c>
      <c r="C17" s="690" t="s">
        <v>100</v>
      </c>
      <c r="D17" s="694">
        <v>30000</v>
      </c>
      <c r="E17" s="691"/>
      <c r="F17" s="434">
        <v>30000</v>
      </c>
      <c r="G17" s="689">
        <v>13</v>
      </c>
      <c r="H17" s="689" t="s">
        <v>318</v>
      </c>
      <c r="I17" s="690" t="s">
        <v>100</v>
      </c>
      <c r="J17" s="694">
        <v>30000</v>
      </c>
      <c r="K17" s="692">
        <f t="shared" si="0"/>
        <v>0</v>
      </c>
      <c r="N17" s="434">
        <v>30000</v>
      </c>
    </row>
    <row r="18" spans="1:14" s="693" customFormat="1" ht="13.5" x14ac:dyDescent="0.25">
      <c r="A18" s="689">
        <v>14</v>
      </c>
      <c r="B18" s="689" t="s">
        <v>319</v>
      </c>
      <c r="C18" s="690" t="s">
        <v>317</v>
      </c>
      <c r="D18" s="694">
        <v>78843</v>
      </c>
      <c r="E18" s="691"/>
      <c r="F18" s="434">
        <v>50000</v>
      </c>
      <c r="G18" s="689">
        <v>14</v>
      </c>
      <c r="H18" s="689" t="s">
        <v>319</v>
      </c>
      <c r="I18" s="690" t="s">
        <v>317</v>
      </c>
      <c r="J18" s="694">
        <v>50000</v>
      </c>
      <c r="K18" s="692">
        <f t="shared" si="0"/>
        <v>28843</v>
      </c>
      <c r="N18" s="434">
        <v>50000</v>
      </c>
    </row>
    <row r="19" spans="1:14" s="693" customFormat="1" ht="13.5" x14ac:dyDescent="0.25">
      <c r="A19" s="689">
        <v>15</v>
      </c>
      <c r="B19" s="689" t="s">
        <v>320</v>
      </c>
      <c r="C19" s="690" t="s">
        <v>103</v>
      </c>
      <c r="D19" s="694">
        <v>18500</v>
      </c>
      <c r="E19" s="691"/>
      <c r="F19" s="434">
        <v>17735</v>
      </c>
      <c r="G19" s="689">
        <v>15</v>
      </c>
      <c r="H19" s="689" t="s">
        <v>320</v>
      </c>
      <c r="I19" s="690" t="s">
        <v>103</v>
      </c>
      <c r="J19" s="694">
        <v>17735</v>
      </c>
      <c r="K19" s="692">
        <f t="shared" si="0"/>
        <v>765</v>
      </c>
      <c r="N19" s="434">
        <v>17735</v>
      </c>
    </row>
    <row r="20" spans="1:14" s="693" customFormat="1" ht="13.5" x14ac:dyDescent="0.25">
      <c r="A20" s="689">
        <v>16</v>
      </c>
      <c r="B20" s="689" t="s">
        <v>321</v>
      </c>
      <c r="C20" s="690" t="s">
        <v>100</v>
      </c>
      <c r="D20" s="694">
        <v>5000000</v>
      </c>
      <c r="E20" s="691"/>
      <c r="F20" s="434">
        <v>5000000</v>
      </c>
      <c r="G20" s="689">
        <v>16</v>
      </c>
      <c r="H20" s="689" t="s">
        <v>321</v>
      </c>
      <c r="I20" s="690" t="s">
        <v>100</v>
      </c>
      <c r="J20" s="694">
        <v>5000000</v>
      </c>
      <c r="K20" s="692">
        <f t="shared" si="0"/>
        <v>0</v>
      </c>
      <c r="N20" s="434">
        <v>5000000</v>
      </c>
    </row>
    <row r="21" spans="1:14" s="693" customFormat="1" ht="13.5" x14ac:dyDescent="0.25">
      <c r="A21" s="691"/>
      <c r="B21" s="691"/>
      <c r="C21" s="695"/>
      <c r="D21" s="696"/>
      <c r="E21" s="691"/>
      <c r="F21" s="434"/>
      <c r="G21" s="691"/>
      <c r="H21" s="691"/>
      <c r="I21" s="695"/>
      <c r="J21" s="696"/>
      <c r="K21" s="692">
        <f t="shared" si="0"/>
        <v>0</v>
      </c>
      <c r="N21" s="434"/>
    </row>
    <row r="22" spans="1:14" s="693" customFormat="1" ht="15" x14ac:dyDescent="0.3">
      <c r="A22" s="697" t="s">
        <v>18</v>
      </c>
      <c r="B22" s="697" t="s">
        <v>19</v>
      </c>
      <c r="C22" s="698"/>
      <c r="D22" s="696"/>
      <c r="E22" s="691"/>
      <c r="F22" s="434"/>
      <c r="G22" s="697" t="s">
        <v>18</v>
      </c>
      <c r="H22" s="697" t="s">
        <v>19</v>
      </c>
      <c r="I22" s="698"/>
      <c r="J22" s="696"/>
      <c r="K22" s="692">
        <f t="shared" si="0"/>
        <v>0</v>
      </c>
      <c r="N22" s="434"/>
    </row>
    <row r="23" spans="1:14" s="693" customFormat="1" ht="13.5" x14ac:dyDescent="0.25">
      <c r="A23" s="689">
        <v>1</v>
      </c>
      <c r="B23" s="689" t="s">
        <v>322</v>
      </c>
      <c r="C23" s="690" t="s">
        <v>101</v>
      </c>
      <c r="D23" s="694">
        <v>10000</v>
      </c>
      <c r="E23" s="691"/>
      <c r="F23" s="434">
        <v>9500</v>
      </c>
      <c r="G23" s="691">
        <v>1</v>
      </c>
      <c r="H23" s="691" t="s">
        <v>322</v>
      </c>
      <c r="I23" s="695" t="s">
        <v>101</v>
      </c>
      <c r="J23" s="694">
        <v>9500</v>
      </c>
      <c r="K23" s="692">
        <f t="shared" si="0"/>
        <v>500</v>
      </c>
      <c r="N23" s="434">
        <v>9500</v>
      </c>
    </row>
    <row r="24" spans="1:14" s="693" customFormat="1" ht="13.5" x14ac:dyDescent="0.25">
      <c r="A24" s="689">
        <v>2</v>
      </c>
      <c r="B24" s="689" t="s">
        <v>22</v>
      </c>
      <c r="C24" s="690" t="s">
        <v>100</v>
      </c>
      <c r="D24" s="694">
        <v>461201</v>
      </c>
      <c r="E24" s="691"/>
      <c r="F24" s="434">
        <v>350000</v>
      </c>
      <c r="G24" s="691">
        <v>2</v>
      </c>
      <c r="H24" s="691" t="s">
        <v>22</v>
      </c>
      <c r="I24" s="695" t="s">
        <v>100</v>
      </c>
      <c r="J24" s="694">
        <v>350000</v>
      </c>
      <c r="K24" s="692">
        <f t="shared" si="0"/>
        <v>111201</v>
      </c>
      <c r="N24" s="434">
        <v>350000</v>
      </c>
    </row>
    <row r="25" spans="1:14" s="693" customFormat="1" ht="13.5" x14ac:dyDescent="0.25">
      <c r="A25" s="689">
        <v>3</v>
      </c>
      <c r="B25" s="689" t="s">
        <v>314</v>
      </c>
      <c r="C25" s="690" t="s">
        <v>103</v>
      </c>
      <c r="D25" s="694">
        <v>22500</v>
      </c>
      <c r="E25" s="691"/>
      <c r="F25" s="434">
        <v>139</v>
      </c>
      <c r="G25" s="691">
        <v>3</v>
      </c>
      <c r="H25" s="691" t="s">
        <v>314</v>
      </c>
      <c r="I25" s="695" t="s">
        <v>102</v>
      </c>
      <c r="J25" s="694">
        <v>139</v>
      </c>
      <c r="K25" s="692">
        <f t="shared" si="0"/>
        <v>22361</v>
      </c>
      <c r="N25" s="434">
        <v>139</v>
      </c>
    </row>
    <row r="26" spans="1:14" s="693" customFormat="1" ht="13.5" x14ac:dyDescent="0.25">
      <c r="A26" s="689">
        <v>4</v>
      </c>
      <c r="B26" s="689" t="s">
        <v>315</v>
      </c>
      <c r="C26" s="690" t="s">
        <v>103</v>
      </c>
      <c r="D26" s="569">
        <v>45000</v>
      </c>
      <c r="E26" s="691"/>
      <c r="F26" s="434">
        <v>1013</v>
      </c>
      <c r="G26" s="691">
        <v>4</v>
      </c>
      <c r="H26" s="691" t="s">
        <v>315</v>
      </c>
      <c r="I26" s="695" t="s">
        <v>102</v>
      </c>
      <c r="J26" s="569">
        <v>1013</v>
      </c>
      <c r="K26" s="692">
        <f t="shared" si="0"/>
        <v>43987</v>
      </c>
      <c r="N26" s="434">
        <v>1015</v>
      </c>
    </row>
    <row r="27" spans="1:14" s="693" customFormat="1" ht="13.5" x14ac:dyDescent="0.25">
      <c r="A27" s="689">
        <v>5</v>
      </c>
      <c r="B27" s="689" t="s">
        <v>54</v>
      </c>
      <c r="C27" s="690" t="s">
        <v>103</v>
      </c>
      <c r="D27" s="569">
        <v>98879</v>
      </c>
      <c r="E27" s="691"/>
      <c r="F27" s="434">
        <v>260000</v>
      </c>
      <c r="G27" s="691">
        <v>5</v>
      </c>
      <c r="H27" s="691" t="s">
        <v>54</v>
      </c>
      <c r="I27" s="695" t="s">
        <v>103</v>
      </c>
      <c r="J27" s="569">
        <v>60360</v>
      </c>
      <c r="K27" s="692">
        <f t="shared" si="0"/>
        <v>38519</v>
      </c>
      <c r="N27" s="434">
        <v>200000</v>
      </c>
    </row>
    <row r="28" spans="1:14" s="693" customFormat="1" ht="13.5" x14ac:dyDescent="0.25">
      <c r="A28" s="689">
        <v>6</v>
      </c>
      <c r="B28" s="689" t="s">
        <v>55</v>
      </c>
      <c r="C28" s="690" t="s">
        <v>103</v>
      </c>
      <c r="D28" s="569">
        <v>27497</v>
      </c>
      <c r="E28" s="691"/>
      <c r="F28" s="434">
        <v>21000</v>
      </c>
      <c r="G28" s="691">
        <v>6</v>
      </c>
      <c r="H28" s="691" t="s">
        <v>55</v>
      </c>
      <c r="I28" s="695" t="s">
        <v>103</v>
      </c>
      <c r="J28" s="569">
        <v>8385</v>
      </c>
      <c r="K28" s="692">
        <f t="shared" si="0"/>
        <v>19112</v>
      </c>
      <c r="N28" s="434">
        <v>21000</v>
      </c>
    </row>
    <row r="29" spans="1:14" s="693" customFormat="1" ht="13.5" x14ac:dyDescent="0.25">
      <c r="A29" s="689">
        <v>8</v>
      </c>
      <c r="B29" s="689" t="s">
        <v>56</v>
      </c>
      <c r="C29" s="690" t="s">
        <v>103</v>
      </c>
      <c r="D29" s="569">
        <v>71654</v>
      </c>
      <c r="E29" s="691"/>
      <c r="F29" s="434">
        <v>77135</v>
      </c>
      <c r="G29" s="691">
        <v>8</v>
      </c>
      <c r="H29" s="691" t="s">
        <v>56</v>
      </c>
      <c r="I29" s="695" t="s">
        <v>103</v>
      </c>
      <c r="J29" s="569">
        <v>77135</v>
      </c>
      <c r="K29" s="692">
        <f t="shared" si="0"/>
        <v>-5481</v>
      </c>
      <c r="N29" s="434">
        <v>77135</v>
      </c>
    </row>
    <row r="30" spans="1:14" s="693" customFormat="1" ht="13.5" x14ac:dyDescent="0.25">
      <c r="A30" s="689">
        <v>9</v>
      </c>
      <c r="B30" s="689" t="s">
        <v>492</v>
      </c>
      <c r="C30" s="690" t="s">
        <v>103</v>
      </c>
      <c r="D30" s="569">
        <f>[22]Sheet1!$F$32</f>
        <v>702065.43</v>
      </c>
      <c r="E30" s="691"/>
      <c r="F30" s="434"/>
      <c r="G30" s="691"/>
      <c r="H30" s="691"/>
      <c r="I30" s="695"/>
      <c r="J30" s="699"/>
      <c r="K30" s="692"/>
      <c r="N30" s="434"/>
    </row>
    <row r="31" spans="1:14" s="693" customFormat="1" ht="13.5" x14ac:dyDescent="0.25">
      <c r="A31" s="689">
        <v>10</v>
      </c>
      <c r="B31" s="689" t="s">
        <v>528</v>
      </c>
      <c r="C31" s="690" t="s">
        <v>103</v>
      </c>
      <c r="D31" s="569">
        <v>66759</v>
      </c>
      <c r="E31" s="691"/>
      <c r="F31" s="434"/>
      <c r="G31" s="691"/>
      <c r="H31" s="691"/>
      <c r="I31" s="695"/>
      <c r="J31" s="699"/>
      <c r="K31" s="692"/>
      <c r="N31" s="434"/>
    </row>
    <row r="32" spans="1:14" s="693" customFormat="1" ht="13.5" x14ac:dyDescent="0.25">
      <c r="A32" s="689">
        <v>11</v>
      </c>
      <c r="B32" s="689" t="s">
        <v>529</v>
      </c>
      <c r="C32" s="690" t="s">
        <v>530</v>
      </c>
      <c r="D32" s="569">
        <v>100</v>
      </c>
      <c r="E32" s="691"/>
      <c r="F32" s="434"/>
      <c r="G32" s="691"/>
      <c r="H32" s="691"/>
      <c r="I32" s="695"/>
      <c r="J32" s="699"/>
      <c r="K32" s="692"/>
      <c r="N32" s="434"/>
    </row>
    <row r="33" spans="1:14" s="693" customFormat="1" ht="13.5" x14ac:dyDescent="0.25">
      <c r="A33" s="691"/>
      <c r="B33" s="691"/>
      <c r="C33" s="695"/>
      <c r="D33" s="700"/>
      <c r="E33" s="691"/>
      <c r="F33" s="434"/>
      <c r="G33" s="691"/>
      <c r="H33" s="691"/>
      <c r="I33" s="695"/>
      <c r="J33" s="700"/>
      <c r="K33" s="692">
        <f t="shared" si="0"/>
        <v>0</v>
      </c>
      <c r="N33" s="434"/>
    </row>
    <row r="34" spans="1:14" s="693" customFormat="1" ht="15" x14ac:dyDescent="0.3">
      <c r="A34" s="697" t="s">
        <v>24</v>
      </c>
      <c r="B34" s="697" t="s">
        <v>25</v>
      </c>
      <c r="C34" s="698"/>
      <c r="D34" s="696"/>
      <c r="E34" s="691"/>
      <c r="F34" s="434"/>
      <c r="G34" s="697" t="s">
        <v>24</v>
      </c>
      <c r="H34" s="697" t="s">
        <v>25</v>
      </c>
      <c r="I34" s="698"/>
      <c r="J34" s="696"/>
      <c r="K34" s="692">
        <f t="shared" si="0"/>
        <v>0</v>
      </c>
      <c r="N34" s="434"/>
    </row>
    <row r="35" spans="1:14" s="693" customFormat="1" ht="13.5" x14ac:dyDescent="0.25">
      <c r="A35" s="689">
        <v>1</v>
      </c>
      <c r="B35" s="689" t="s">
        <v>88</v>
      </c>
      <c r="C35" s="690" t="s">
        <v>103</v>
      </c>
      <c r="D35" s="694">
        <f>[22]Sheet1!$F$37</f>
        <v>5561.1</v>
      </c>
      <c r="E35" s="691"/>
      <c r="F35" s="434">
        <v>4700</v>
      </c>
      <c r="G35" s="691">
        <v>1</v>
      </c>
      <c r="H35" s="691" t="s">
        <v>88</v>
      </c>
      <c r="I35" s="695" t="s">
        <v>103</v>
      </c>
      <c r="J35" s="694">
        <f>7100+(7100*10%)+(7100*5%)</f>
        <v>8165</v>
      </c>
      <c r="K35" s="692">
        <f t="shared" si="0"/>
        <v>-2603.8999999999996</v>
      </c>
      <c r="N35" s="434">
        <v>4700</v>
      </c>
    </row>
    <row r="36" spans="1:14" s="693" customFormat="1" ht="13.5" x14ac:dyDescent="0.25">
      <c r="A36" s="689">
        <v>2</v>
      </c>
      <c r="B36" s="689" t="s">
        <v>150</v>
      </c>
      <c r="C36" s="690" t="s">
        <v>103</v>
      </c>
      <c r="D36" s="694">
        <f>[22]Sheet1!$F$38</f>
        <v>6277.09</v>
      </c>
      <c r="E36" s="691"/>
      <c r="F36" s="434">
        <v>4950</v>
      </c>
      <c r="G36" s="691">
        <v>2</v>
      </c>
      <c r="H36" s="691" t="s">
        <v>150</v>
      </c>
      <c r="I36" s="695" t="s">
        <v>103</v>
      </c>
      <c r="J36" s="569">
        <v>8682.5</v>
      </c>
      <c r="K36" s="692">
        <f t="shared" si="0"/>
        <v>-2405.41</v>
      </c>
      <c r="N36" s="434">
        <v>4950</v>
      </c>
    </row>
    <row r="37" spans="1:14" s="693" customFormat="1" ht="13.5" x14ac:dyDescent="0.25">
      <c r="A37" s="689">
        <v>3</v>
      </c>
      <c r="B37" s="689" t="s">
        <v>91</v>
      </c>
      <c r="C37" s="690" t="s">
        <v>103</v>
      </c>
      <c r="D37" s="694">
        <v>7450</v>
      </c>
      <c r="E37" s="691"/>
      <c r="F37" s="434">
        <v>8521.5</v>
      </c>
      <c r="G37" s="691">
        <v>3</v>
      </c>
      <c r="H37" s="691" t="s">
        <v>91</v>
      </c>
      <c r="I37" s="695" t="s">
        <v>103</v>
      </c>
      <c r="J37" s="569">
        <v>8521.5</v>
      </c>
      <c r="K37" s="692">
        <f t="shared" si="0"/>
        <v>-1071.5</v>
      </c>
      <c r="N37" s="434">
        <v>8521.5</v>
      </c>
    </row>
    <row r="38" spans="1:14" s="693" customFormat="1" ht="13.5" x14ac:dyDescent="0.25">
      <c r="A38" s="689">
        <v>4</v>
      </c>
      <c r="B38" s="689" t="s">
        <v>27</v>
      </c>
      <c r="C38" s="690" t="s">
        <v>103</v>
      </c>
      <c r="D38" s="694">
        <v>1115</v>
      </c>
      <c r="E38" s="691"/>
      <c r="F38" s="434">
        <v>665</v>
      </c>
      <c r="G38" s="691">
        <v>4</v>
      </c>
      <c r="H38" s="691" t="s">
        <v>27</v>
      </c>
      <c r="I38" s="695" t="s">
        <v>103</v>
      </c>
      <c r="J38" s="569">
        <v>665</v>
      </c>
      <c r="K38" s="692">
        <f t="shared" si="0"/>
        <v>450</v>
      </c>
      <c r="N38" s="434">
        <v>665</v>
      </c>
    </row>
    <row r="39" spans="1:14" s="693" customFormat="1" ht="13.5" x14ac:dyDescent="0.25">
      <c r="A39" s="689">
        <v>5</v>
      </c>
      <c r="B39" s="689" t="s">
        <v>93</v>
      </c>
      <c r="C39" s="690" t="s">
        <v>103</v>
      </c>
      <c r="D39" s="694">
        <f>[22]Sheet1!$F$41</f>
        <v>61795.55</v>
      </c>
      <c r="E39" s="691"/>
      <c r="F39" s="434">
        <v>33925</v>
      </c>
      <c r="G39" s="691">
        <v>5</v>
      </c>
      <c r="H39" s="691" t="s">
        <v>93</v>
      </c>
      <c r="I39" s="695" t="s">
        <v>104</v>
      </c>
      <c r="J39" s="694">
        <f>29500+(29500*10%)+(29500*5%)</f>
        <v>33925</v>
      </c>
      <c r="K39" s="692">
        <f t="shared" si="0"/>
        <v>27870.550000000003</v>
      </c>
      <c r="N39" s="434">
        <v>33925</v>
      </c>
    </row>
    <row r="40" spans="1:14" s="693" customFormat="1" ht="13.5" x14ac:dyDescent="0.25">
      <c r="A40" s="689">
        <v>6</v>
      </c>
      <c r="B40" s="689" t="s">
        <v>20</v>
      </c>
      <c r="C40" s="690" t="s">
        <v>103</v>
      </c>
      <c r="D40" s="694">
        <f>[22]Sheet1!$F$42</f>
        <v>6444.51</v>
      </c>
      <c r="E40" s="691"/>
      <c r="F40" s="434">
        <v>5099.6000000000004</v>
      </c>
      <c r="G40" s="691">
        <v>6</v>
      </c>
      <c r="H40" s="691" t="s">
        <v>20</v>
      </c>
      <c r="I40" s="695" t="s">
        <v>103</v>
      </c>
      <c r="J40" s="694">
        <f>2900+(2900*10%)+(2900*5%)</f>
        <v>3335</v>
      </c>
      <c r="K40" s="692">
        <f t="shared" si="0"/>
        <v>3109.51</v>
      </c>
      <c r="N40" s="434">
        <v>5099.6000000000004</v>
      </c>
    </row>
    <row r="41" spans="1:14" s="693" customFormat="1" ht="13.5" x14ac:dyDescent="0.25">
      <c r="A41" s="689">
        <v>7</v>
      </c>
      <c r="B41" s="689" t="s">
        <v>52</v>
      </c>
      <c r="C41" s="690" t="s">
        <v>103</v>
      </c>
      <c r="D41" s="694">
        <f>[22]Sheet1!$F$43</f>
        <v>2008.63</v>
      </c>
      <c r="E41" s="691"/>
      <c r="F41" s="434">
        <v>2117.5</v>
      </c>
      <c r="G41" s="691">
        <v>7</v>
      </c>
      <c r="H41" s="691" t="s">
        <v>52</v>
      </c>
      <c r="I41" s="695" t="s">
        <v>103</v>
      </c>
      <c r="J41" s="694">
        <f>1750+(1750*10%)+(1750*5%)</f>
        <v>2012.5</v>
      </c>
      <c r="K41" s="692">
        <f t="shared" si="0"/>
        <v>-3.8699999999998909</v>
      </c>
      <c r="N41" s="434">
        <v>2117.5</v>
      </c>
    </row>
    <row r="42" spans="1:14" s="693" customFormat="1" ht="13.5" x14ac:dyDescent="0.25">
      <c r="A42" s="689">
        <v>8</v>
      </c>
      <c r="B42" s="689" t="s">
        <v>157</v>
      </c>
      <c r="C42" s="690" t="s">
        <v>103</v>
      </c>
      <c r="D42" s="694">
        <f>[22]Sheet1!$F$44</f>
        <v>5372.68</v>
      </c>
      <c r="E42" s="691"/>
      <c r="F42" s="434">
        <v>5849.8</v>
      </c>
      <c r="G42" s="691">
        <v>8</v>
      </c>
      <c r="H42" s="691" t="s">
        <v>157</v>
      </c>
      <c r="I42" s="695" t="s">
        <v>103</v>
      </c>
      <c r="J42" s="569">
        <f>5750+(5750*10%)+(5750*5%)</f>
        <v>6612.5</v>
      </c>
      <c r="K42" s="692">
        <f t="shared" si="0"/>
        <v>-1239.8199999999997</v>
      </c>
      <c r="N42" s="434">
        <v>5849.8</v>
      </c>
    </row>
    <row r="43" spans="1:14" s="693" customFormat="1" ht="13.5" x14ac:dyDescent="0.25">
      <c r="A43" s="689">
        <v>9</v>
      </c>
      <c r="B43" s="689" t="s">
        <v>92</v>
      </c>
      <c r="C43" s="690" t="s">
        <v>103</v>
      </c>
      <c r="D43" s="694">
        <f>[22]Sheet1!$F$45</f>
        <v>3522.13</v>
      </c>
      <c r="E43" s="691"/>
      <c r="F43" s="434">
        <v>1989.5</v>
      </c>
      <c r="G43" s="691">
        <v>9</v>
      </c>
      <c r="H43" s="691" t="s">
        <v>92</v>
      </c>
      <c r="I43" s="695" t="s">
        <v>103</v>
      </c>
      <c r="J43" s="569">
        <v>1989.5</v>
      </c>
      <c r="K43" s="692">
        <f t="shared" si="0"/>
        <v>1532.63</v>
      </c>
      <c r="N43" s="434">
        <v>1989.5</v>
      </c>
    </row>
    <row r="44" spans="1:14" s="693" customFormat="1" ht="13.5" x14ac:dyDescent="0.25">
      <c r="A44" s="689">
        <v>10</v>
      </c>
      <c r="B44" s="689" t="s">
        <v>158</v>
      </c>
      <c r="C44" s="690" t="s">
        <v>103</v>
      </c>
      <c r="D44" s="694">
        <f>[22]Sheet1!$F$46</f>
        <v>11419.34</v>
      </c>
      <c r="E44" s="691"/>
      <c r="F44" s="434">
        <v>8580</v>
      </c>
      <c r="G44" s="691">
        <v>10</v>
      </c>
      <c r="H44" s="691" t="s">
        <v>158</v>
      </c>
      <c r="I44" s="695" t="s">
        <v>103</v>
      </c>
      <c r="J44" s="569">
        <f>10000+(10000*10%)+(10000*5%)</f>
        <v>11500</v>
      </c>
      <c r="K44" s="692">
        <f t="shared" si="0"/>
        <v>-80.659999999999854</v>
      </c>
      <c r="N44" s="434">
        <v>8580</v>
      </c>
    </row>
    <row r="45" spans="1:14" s="693" customFormat="1" ht="13.5" x14ac:dyDescent="0.25">
      <c r="A45" s="689">
        <v>11</v>
      </c>
      <c r="B45" s="689" t="s">
        <v>311</v>
      </c>
      <c r="C45" s="690" t="s">
        <v>103</v>
      </c>
      <c r="D45" s="694">
        <v>926</v>
      </c>
      <c r="E45" s="691"/>
      <c r="F45" s="434">
        <v>539</v>
      </c>
      <c r="G45" s="691">
        <v>11</v>
      </c>
      <c r="H45" s="691" t="s">
        <v>311</v>
      </c>
      <c r="I45" s="695" t="s">
        <v>103</v>
      </c>
      <c r="J45" s="569">
        <v>1295</v>
      </c>
      <c r="K45" s="692">
        <f t="shared" si="0"/>
        <v>-369</v>
      </c>
      <c r="N45" s="434">
        <v>539</v>
      </c>
    </row>
    <row r="46" spans="1:14" s="693" customFormat="1" ht="13.5" x14ac:dyDescent="0.25">
      <c r="A46" s="689">
        <v>12</v>
      </c>
      <c r="B46" s="689" t="s">
        <v>89</v>
      </c>
      <c r="C46" s="690" t="s">
        <v>103</v>
      </c>
      <c r="D46" s="694">
        <v>2108</v>
      </c>
      <c r="E46" s="691"/>
      <c r="F46" s="434">
        <v>3136.3604999999998</v>
      </c>
      <c r="G46" s="691">
        <v>12</v>
      </c>
      <c r="H46" s="691" t="s">
        <v>89</v>
      </c>
      <c r="I46" s="695" t="s">
        <v>103</v>
      </c>
      <c r="J46" s="694">
        <f>2727.27+(2727.27*10%)+(2727.27*5%)</f>
        <v>3136.3604999999998</v>
      </c>
      <c r="K46" s="692">
        <f t="shared" si="0"/>
        <v>-1028.3604999999998</v>
      </c>
      <c r="N46" s="434">
        <v>3136.3604999999998</v>
      </c>
    </row>
    <row r="47" spans="1:14" s="693" customFormat="1" ht="13.5" x14ac:dyDescent="0.25">
      <c r="A47" s="689">
        <v>13</v>
      </c>
      <c r="B47" s="689" t="s">
        <v>490</v>
      </c>
      <c r="C47" s="690" t="s">
        <v>103</v>
      </c>
      <c r="D47" s="694">
        <v>35662.699999999997</v>
      </c>
      <c r="E47" s="691"/>
      <c r="F47" s="434"/>
      <c r="G47" s="691"/>
      <c r="H47" s="691"/>
      <c r="I47" s="695"/>
      <c r="J47" s="701"/>
      <c r="K47" s="692"/>
      <c r="N47" s="434"/>
    </row>
    <row r="48" spans="1:14" s="693" customFormat="1" ht="13.5" x14ac:dyDescent="0.25">
      <c r="A48" s="689">
        <v>14</v>
      </c>
      <c r="B48" s="689" t="s">
        <v>491</v>
      </c>
      <c r="C48" s="690" t="s">
        <v>103</v>
      </c>
      <c r="D48" s="694">
        <f>[22]Sheet1!$F$50</f>
        <v>27934</v>
      </c>
      <c r="E48" s="691"/>
      <c r="F48" s="434"/>
      <c r="G48" s="691"/>
      <c r="H48" s="691"/>
      <c r="I48" s="695"/>
      <c r="J48" s="701"/>
      <c r="K48" s="692"/>
      <c r="N48" s="434"/>
    </row>
    <row r="49" spans="1:14" s="693" customFormat="1" ht="13.5" x14ac:dyDescent="0.25">
      <c r="A49" s="689">
        <v>15</v>
      </c>
      <c r="B49" s="702" t="s">
        <v>502</v>
      </c>
      <c r="C49" s="690" t="s">
        <v>103</v>
      </c>
      <c r="D49" s="694">
        <v>28751.599999999999</v>
      </c>
      <c r="E49" s="691"/>
      <c r="F49" s="434"/>
      <c r="G49" s="691"/>
      <c r="H49" s="691"/>
      <c r="I49" s="695"/>
      <c r="J49" s="701"/>
      <c r="K49" s="692"/>
      <c r="N49" s="434"/>
    </row>
    <row r="50" spans="1:14" s="693" customFormat="1" ht="13.5" x14ac:dyDescent="0.25">
      <c r="A50" s="689">
        <v>16</v>
      </c>
      <c r="B50" s="691" t="s">
        <v>503</v>
      </c>
      <c r="C50" s="690" t="s">
        <v>103</v>
      </c>
      <c r="D50" s="694">
        <v>28102.7</v>
      </c>
      <c r="E50" s="691"/>
      <c r="F50" s="434"/>
      <c r="G50" s="691"/>
      <c r="H50" s="691"/>
      <c r="I50" s="695"/>
      <c r="J50" s="701"/>
      <c r="K50" s="692"/>
      <c r="N50" s="434"/>
    </row>
    <row r="51" spans="1:14" s="693" customFormat="1" ht="13.5" x14ac:dyDescent="0.25">
      <c r="A51" s="689"/>
      <c r="B51" s="689"/>
      <c r="C51" s="690"/>
      <c r="D51" s="694"/>
      <c r="E51" s="691"/>
      <c r="F51" s="434"/>
      <c r="G51" s="691"/>
      <c r="H51" s="691"/>
      <c r="I51" s="695"/>
      <c r="J51" s="701"/>
      <c r="K51" s="692"/>
      <c r="N51" s="434"/>
    </row>
    <row r="52" spans="1:14" s="693" customFormat="1" ht="13.5" x14ac:dyDescent="0.25">
      <c r="A52" s="691"/>
      <c r="B52" s="691"/>
      <c r="C52" s="695"/>
      <c r="D52" s="696"/>
      <c r="E52" s="691"/>
      <c r="F52" s="434"/>
      <c r="G52" s="691"/>
      <c r="H52" s="691"/>
      <c r="I52" s="695"/>
      <c r="J52" s="696"/>
      <c r="K52" s="692">
        <f t="shared" ref="K52:K64" si="1">D53-J52</f>
        <v>0</v>
      </c>
      <c r="N52" s="434"/>
    </row>
    <row r="53" spans="1:14" s="693" customFormat="1" ht="15" x14ac:dyDescent="0.3">
      <c r="A53" s="697" t="s">
        <v>28</v>
      </c>
      <c r="B53" s="697" t="s">
        <v>26</v>
      </c>
      <c r="C53" s="695"/>
      <c r="D53" s="696"/>
      <c r="E53" s="691"/>
      <c r="F53" s="434"/>
      <c r="G53" s="697" t="s">
        <v>28</v>
      </c>
      <c r="H53" s="697" t="s">
        <v>26</v>
      </c>
      <c r="I53" s="695"/>
      <c r="J53" s="696"/>
      <c r="K53" s="692">
        <f t="shared" si="1"/>
        <v>315000</v>
      </c>
      <c r="N53" s="434"/>
    </row>
    <row r="54" spans="1:14" s="693" customFormat="1" ht="13.5" x14ac:dyDescent="0.25">
      <c r="A54" s="689">
        <v>1</v>
      </c>
      <c r="B54" s="689" t="s">
        <v>95</v>
      </c>
      <c r="C54" s="690" t="s">
        <v>104</v>
      </c>
      <c r="D54" s="694">
        <v>315000</v>
      </c>
      <c r="E54" s="691"/>
      <c r="F54" s="434">
        <v>217935</v>
      </c>
      <c r="G54" s="691">
        <v>1</v>
      </c>
      <c r="H54" s="691" t="s">
        <v>95</v>
      </c>
      <c r="I54" s="695" t="s">
        <v>104</v>
      </c>
      <c r="J54" s="694">
        <v>217935</v>
      </c>
      <c r="K54" s="692">
        <f t="shared" si="1"/>
        <v>-60800</v>
      </c>
      <c r="N54" s="434">
        <v>217935</v>
      </c>
    </row>
    <row r="55" spans="1:14" s="693" customFormat="1" ht="13.5" x14ac:dyDescent="0.25">
      <c r="A55" s="689">
        <v>2</v>
      </c>
      <c r="B55" s="689" t="s">
        <v>96</v>
      </c>
      <c r="C55" s="690" t="s">
        <v>104</v>
      </c>
      <c r="D55" s="694">
        <v>157135</v>
      </c>
      <c r="E55" s="691"/>
      <c r="F55" s="434">
        <v>157135</v>
      </c>
      <c r="G55" s="691">
        <v>2</v>
      </c>
      <c r="H55" s="691" t="s">
        <v>96</v>
      </c>
      <c r="I55" s="695" t="s">
        <v>104</v>
      </c>
      <c r="J55" s="694">
        <v>157135</v>
      </c>
      <c r="K55" s="692">
        <f t="shared" si="1"/>
        <v>1940</v>
      </c>
      <c r="N55" s="434">
        <v>157135</v>
      </c>
    </row>
    <row r="56" spans="1:14" s="693" customFormat="1" ht="13.5" x14ac:dyDescent="0.25">
      <c r="A56" s="689">
        <v>3</v>
      </c>
      <c r="B56" s="689" t="s">
        <v>97</v>
      </c>
      <c r="C56" s="690" t="s">
        <v>104</v>
      </c>
      <c r="D56" s="694">
        <v>159075</v>
      </c>
      <c r="E56" s="691"/>
      <c r="F56" s="434">
        <v>181635</v>
      </c>
      <c r="G56" s="691">
        <v>3</v>
      </c>
      <c r="H56" s="691" t="s">
        <v>97</v>
      </c>
      <c r="I56" s="695" t="s">
        <v>104</v>
      </c>
      <c r="J56" s="694">
        <v>181635</v>
      </c>
      <c r="K56" s="692">
        <f t="shared" si="1"/>
        <v>-133692.94</v>
      </c>
      <c r="N56" s="434">
        <v>181635</v>
      </c>
    </row>
    <row r="57" spans="1:14" s="693" customFormat="1" ht="13.5" x14ac:dyDescent="0.25">
      <c r="A57" s="689">
        <v>4</v>
      </c>
      <c r="B57" s="689" t="s">
        <v>143</v>
      </c>
      <c r="C57" s="690" t="s">
        <v>104</v>
      </c>
      <c r="D57" s="569">
        <f>[22]Sheet1!$F$58</f>
        <v>47942.06</v>
      </c>
      <c r="E57" s="691"/>
      <c r="F57" s="434">
        <v>30000</v>
      </c>
      <c r="G57" s="691">
        <v>4</v>
      </c>
      <c r="H57" s="691" t="s">
        <v>143</v>
      </c>
      <c r="I57" s="695" t="s">
        <v>104</v>
      </c>
      <c r="J57" s="569">
        <v>45235</v>
      </c>
      <c r="K57" s="692">
        <f t="shared" si="1"/>
        <v>39765.050000000003</v>
      </c>
      <c r="N57" s="434">
        <v>30000</v>
      </c>
    </row>
    <row r="58" spans="1:14" s="693" customFormat="1" ht="13.5" x14ac:dyDescent="0.25">
      <c r="A58" s="689">
        <v>5</v>
      </c>
      <c r="B58" s="689" t="s">
        <v>144</v>
      </c>
      <c r="C58" s="690" t="s">
        <v>103</v>
      </c>
      <c r="D58" s="569">
        <f>[22]Sheet1!$F$59</f>
        <v>85000.05</v>
      </c>
      <c r="E58" s="691"/>
      <c r="F58" s="434">
        <v>200000</v>
      </c>
      <c r="G58" s="691">
        <v>5</v>
      </c>
      <c r="H58" s="691" t="s">
        <v>144</v>
      </c>
      <c r="I58" s="695" t="s">
        <v>103</v>
      </c>
      <c r="J58" s="569">
        <v>462135</v>
      </c>
      <c r="K58" s="692">
        <f t="shared" si="1"/>
        <v>-437679.66</v>
      </c>
      <c r="N58" s="434">
        <v>200000</v>
      </c>
    </row>
    <row r="59" spans="1:14" s="693" customFormat="1" ht="13.5" x14ac:dyDescent="0.25">
      <c r="A59" s="689">
        <v>6</v>
      </c>
      <c r="B59" s="689" t="s">
        <v>162</v>
      </c>
      <c r="C59" s="690" t="s">
        <v>104</v>
      </c>
      <c r="D59" s="569">
        <f>[22]Sheet1!$F$60</f>
        <v>24455.34</v>
      </c>
      <c r="E59" s="691"/>
      <c r="F59" s="434">
        <v>39460</v>
      </c>
      <c r="G59" s="691">
        <v>6</v>
      </c>
      <c r="H59" s="691" t="s">
        <v>162</v>
      </c>
      <c r="I59" s="695" t="s">
        <v>104</v>
      </c>
      <c r="J59" s="569">
        <v>39460</v>
      </c>
      <c r="K59" s="692">
        <f t="shared" si="1"/>
        <v>-8018.23</v>
      </c>
      <c r="N59" s="434">
        <v>39460</v>
      </c>
    </row>
    <row r="60" spans="1:14" s="693" customFormat="1" ht="13.5" x14ac:dyDescent="0.25">
      <c r="A60" s="689">
        <v>7</v>
      </c>
      <c r="B60" s="689" t="s">
        <v>161</v>
      </c>
      <c r="C60" s="690" t="s">
        <v>103</v>
      </c>
      <c r="D60" s="569">
        <f>[22]Sheet1!$F$61</f>
        <v>31441.77</v>
      </c>
      <c r="E60" s="691"/>
      <c r="F60" s="434">
        <v>24335</v>
      </c>
      <c r="G60" s="691">
        <v>7</v>
      </c>
      <c r="H60" s="691" t="s">
        <v>161</v>
      </c>
      <c r="I60" s="695" t="s">
        <v>103</v>
      </c>
      <c r="J60" s="569">
        <v>24335</v>
      </c>
      <c r="K60" s="692">
        <f t="shared" si="1"/>
        <v>-24335</v>
      </c>
      <c r="N60" s="434">
        <v>24335</v>
      </c>
    </row>
    <row r="61" spans="1:14" s="693" customFormat="1" ht="13.5" x14ac:dyDescent="0.25">
      <c r="A61" s="691"/>
      <c r="B61" s="691"/>
      <c r="C61" s="695"/>
      <c r="D61" s="696"/>
      <c r="E61" s="691"/>
      <c r="F61" s="434"/>
      <c r="G61" s="691"/>
      <c r="H61" s="691"/>
      <c r="I61" s="695"/>
      <c r="J61" s="696"/>
      <c r="K61" s="692">
        <f t="shared" si="1"/>
        <v>0</v>
      </c>
      <c r="N61" s="434"/>
    </row>
    <row r="62" spans="1:14" s="693" customFormat="1" ht="15" x14ac:dyDescent="0.3">
      <c r="A62" s="697" t="s">
        <v>38</v>
      </c>
      <c r="B62" s="697" t="s">
        <v>68</v>
      </c>
      <c r="C62" s="695"/>
      <c r="D62" s="696"/>
      <c r="E62" s="691"/>
      <c r="F62" s="434"/>
      <c r="G62" s="697" t="s">
        <v>38</v>
      </c>
      <c r="H62" s="697" t="s">
        <v>68</v>
      </c>
      <c r="I62" s="695"/>
      <c r="J62" s="696"/>
      <c r="K62" s="692">
        <f t="shared" si="1"/>
        <v>112</v>
      </c>
      <c r="N62" s="434"/>
    </row>
    <row r="63" spans="1:14" s="693" customFormat="1" ht="13.5" x14ac:dyDescent="0.25">
      <c r="A63" s="689">
        <v>1</v>
      </c>
      <c r="B63" s="689" t="s">
        <v>29</v>
      </c>
      <c r="C63" s="690" t="s">
        <v>103</v>
      </c>
      <c r="D63" s="694">
        <v>112</v>
      </c>
      <c r="E63" s="691"/>
      <c r="F63" s="434">
        <v>112</v>
      </c>
      <c r="G63" s="691">
        <v>1</v>
      </c>
      <c r="H63" s="691" t="s">
        <v>29</v>
      </c>
      <c r="I63" s="695" t="s">
        <v>103</v>
      </c>
      <c r="J63" s="694">
        <v>112</v>
      </c>
      <c r="K63" s="692">
        <f t="shared" si="1"/>
        <v>388</v>
      </c>
      <c r="N63" s="434">
        <v>112</v>
      </c>
    </row>
    <row r="64" spans="1:14" s="693" customFormat="1" ht="13.5" x14ac:dyDescent="0.25">
      <c r="A64" s="689">
        <v>2</v>
      </c>
      <c r="B64" s="689" t="s">
        <v>30</v>
      </c>
      <c r="C64" s="690" t="s">
        <v>134</v>
      </c>
      <c r="D64" s="694">
        <v>500</v>
      </c>
      <c r="E64" s="691"/>
      <c r="F64" s="434">
        <v>400</v>
      </c>
      <c r="G64" s="691">
        <v>2</v>
      </c>
      <c r="H64" s="691" t="s">
        <v>30</v>
      </c>
      <c r="I64" s="695" t="s">
        <v>134</v>
      </c>
      <c r="J64" s="694">
        <v>300</v>
      </c>
      <c r="K64" s="692">
        <f t="shared" si="1"/>
        <v>77462</v>
      </c>
      <c r="N64" s="434">
        <v>400</v>
      </c>
    </row>
    <row r="65" spans="1:14" s="693" customFormat="1" ht="13.5" x14ac:dyDescent="0.25">
      <c r="A65" s="689">
        <v>3</v>
      </c>
      <c r="B65" s="689" t="s">
        <v>527</v>
      </c>
      <c r="C65" s="690" t="s">
        <v>526</v>
      </c>
      <c r="D65" s="694">
        <v>77762</v>
      </c>
      <c r="E65" s="691"/>
      <c r="F65" s="434"/>
      <c r="G65" s="691"/>
      <c r="H65" s="691"/>
      <c r="I65" s="695"/>
      <c r="J65" s="701"/>
      <c r="N65" s="434"/>
    </row>
    <row r="66" spans="1:14" s="693" customFormat="1" ht="15" x14ac:dyDescent="0.3">
      <c r="A66" s="697" t="s">
        <v>107</v>
      </c>
      <c r="B66" s="697" t="s">
        <v>39</v>
      </c>
      <c r="C66" s="695"/>
      <c r="D66" s="703"/>
      <c r="E66" s="691"/>
      <c r="F66" s="434"/>
      <c r="G66" s="697" t="s">
        <v>107</v>
      </c>
      <c r="H66" s="697" t="s">
        <v>39</v>
      </c>
      <c r="I66" s="695"/>
      <c r="J66" s="703"/>
      <c r="N66" s="434"/>
    </row>
    <row r="67" spans="1:14" s="693" customFormat="1" ht="13.5" x14ac:dyDescent="0.25">
      <c r="A67" s="689">
        <v>1</v>
      </c>
      <c r="B67" s="689" t="s">
        <v>2</v>
      </c>
      <c r="C67" s="690" t="s">
        <v>135</v>
      </c>
      <c r="D67" s="694">
        <f>176134*105%</f>
        <v>184940.7</v>
      </c>
      <c r="E67" s="691"/>
      <c r="F67" s="434">
        <v>66550</v>
      </c>
      <c r="G67" s="691">
        <v>1</v>
      </c>
      <c r="H67" s="691" t="s">
        <v>2</v>
      </c>
      <c r="I67" s="695" t="s">
        <v>135</v>
      </c>
      <c r="J67" s="694">
        <v>50000</v>
      </c>
      <c r="K67" s="692">
        <f>D68-J67</f>
        <v>98028</v>
      </c>
      <c r="N67" s="434">
        <v>50000</v>
      </c>
    </row>
    <row r="68" spans="1:14" s="693" customFormat="1" ht="13.5" x14ac:dyDescent="0.25">
      <c r="A68" s="689">
        <v>2</v>
      </c>
      <c r="B68" s="689" t="s">
        <v>11</v>
      </c>
      <c r="C68" s="690" t="s">
        <v>135</v>
      </c>
      <c r="D68" s="694">
        <f>[22]Sheet1!$F$70</f>
        <v>148028</v>
      </c>
      <c r="E68" s="691"/>
      <c r="F68" s="434">
        <v>38720</v>
      </c>
      <c r="G68" s="691">
        <v>2</v>
      </c>
      <c r="H68" s="691" t="s">
        <v>11</v>
      </c>
      <c r="I68" s="695" t="s">
        <v>135</v>
      </c>
      <c r="J68" s="694">
        <v>32000</v>
      </c>
      <c r="K68" s="692">
        <f>D69-J68</f>
        <v>-32000</v>
      </c>
      <c r="N68" s="434">
        <v>32000</v>
      </c>
    </row>
    <row r="69" spans="1:14" ht="13.5" x14ac:dyDescent="0.25">
      <c r="A69" s="7"/>
      <c r="B69" s="7"/>
      <c r="C69" s="13"/>
      <c r="D69" s="408"/>
      <c r="E69" s="7"/>
      <c r="G69" s="7"/>
      <c r="H69" s="7"/>
      <c r="I69" s="13"/>
      <c r="J69" s="135"/>
    </row>
    <row r="70" spans="1:14" ht="13.5" x14ac:dyDescent="0.25">
      <c r="A70" s="7"/>
      <c r="B70" s="7"/>
      <c r="C70" s="7"/>
      <c r="D70" s="135"/>
      <c r="E70" s="7"/>
      <c r="G70" s="7"/>
      <c r="H70" s="7"/>
      <c r="I70" s="7"/>
      <c r="J70" s="135"/>
    </row>
    <row r="71" spans="1:14" ht="13.5" x14ac:dyDescent="0.25">
      <c r="A71" s="7"/>
      <c r="B71" s="7"/>
      <c r="C71" s="7"/>
      <c r="D71" s="135"/>
      <c r="E71" s="7"/>
      <c r="G71" s="7"/>
      <c r="H71" s="7"/>
      <c r="I71" s="7"/>
      <c r="J71" s="35"/>
    </row>
    <row r="72" spans="1:14" ht="13.5" x14ac:dyDescent="0.25">
      <c r="A72" s="7"/>
      <c r="B72" s="7"/>
      <c r="C72" s="7"/>
      <c r="D72" s="35"/>
      <c r="E72" s="7"/>
      <c r="G72" s="7"/>
      <c r="H72" s="7"/>
      <c r="I72" s="7"/>
      <c r="J72" s="35"/>
    </row>
    <row r="73" spans="1:14" ht="13.5" x14ac:dyDescent="0.25">
      <c r="A73" s="7"/>
      <c r="B73" s="7"/>
      <c r="C73" s="7"/>
      <c r="D73" s="35"/>
      <c r="E73" s="7"/>
      <c r="G73" s="7"/>
      <c r="H73" s="7"/>
      <c r="I73" s="7"/>
      <c r="J73" s="35"/>
    </row>
    <row r="74" spans="1:14" ht="13.5" x14ac:dyDescent="0.25">
      <c r="A74" s="7"/>
      <c r="B74" s="7"/>
      <c r="C74" s="7"/>
      <c r="D74" s="35"/>
      <c r="E74" s="7"/>
      <c r="G74" s="7"/>
      <c r="H74" s="7"/>
      <c r="I74" s="7"/>
      <c r="J74" s="35"/>
    </row>
    <row r="75" spans="1:14" ht="13.5" x14ac:dyDescent="0.25">
      <c r="A75" s="7"/>
      <c r="B75" s="7"/>
      <c r="C75" s="7"/>
      <c r="D75" s="35"/>
      <c r="E75" s="7"/>
      <c r="G75" s="7"/>
      <c r="H75" s="7"/>
      <c r="I75" s="7"/>
      <c r="J75" s="35"/>
    </row>
    <row r="76" spans="1:14" ht="13.5" x14ac:dyDescent="0.25">
      <c r="A76" s="7"/>
      <c r="B76" s="7"/>
      <c r="C76" s="7"/>
      <c r="D76" s="35"/>
      <c r="E76" s="7"/>
      <c r="G76" s="7"/>
      <c r="H76" s="7"/>
      <c r="I76" s="7"/>
      <c r="J76" s="35"/>
    </row>
    <row r="77" spans="1:14" ht="13.5" x14ac:dyDescent="0.25">
      <c r="A77" s="7"/>
      <c r="B77" s="7"/>
      <c r="C77" s="7"/>
      <c r="D77" s="35"/>
      <c r="E77" s="7"/>
      <c r="G77" s="7"/>
      <c r="H77" s="7"/>
      <c r="I77" s="7"/>
      <c r="J77" s="35"/>
    </row>
    <row r="78" spans="1:14" ht="13.5" x14ac:dyDescent="0.25">
      <c r="A78" s="7"/>
      <c r="B78" s="7"/>
      <c r="C78" s="7"/>
      <c r="D78" s="35"/>
      <c r="E78" s="7"/>
      <c r="G78" s="7"/>
      <c r="H78" s="7"/>
      <c r="I78" s="7"/>
      <c r="J78" s="35"/>
    </row>
    <row r="79" spans="1:14" ht="13.5" x14ac:dyDescent="0.25">
      <c r="A79" s="7"/>
      <c r="B79" s="7"/>
      <c r="C79" s="7"/>
      <c r="D79" s="35"/>
      <c r="E79" s="7"/>
      <c r="G79" s="7"/>
      <c r="H79" s="7"/>
      <c r="I79" s="7"/>
      <c r="J79" s="35"/>
    </row>
    <row r="80" spans="1:14" ht="13.5" x14ac:dyDescent="0.25">
      <c r="A80" s="7"/>
      <c r="B80" s="7"/>
      <c r="C80" s="7"/>
      <c r="D80" s="35"/>
      <c r="E80" s="7"/>
      <c r="G80" s="7"/>
      <c r="H80" s="7"/>
      <c r="I80" s="7"/>
      <c r="J80" s="7"/>
    </row>
    <row r="81" spans="1:10" ht="13.5" x14ac:dyDescent="0.25">
      <c r="A81" s="7"/>
      <c r="B81" s="7"/>
      <c r="C81" s="7"/>
      <c r="D81" s="7"/>
      <c r="E81" s="7"/>
      <c r="G81" s="7"/>
      <c r="H81" s="7"/>
      <c r="I81" s="7"/>
      <c r="J81" s="7"/>
    </row>
    <row r="82" spans="1:10" ht="13.5" x14ac:dyDescent="0.25">
      <c r="A82" s="7"/>
      <c r="B82" s="7"/>
      <c r="C82" s="7"/>
      <c r="D82" s="7"/>
      <c r="E82" s="7"/>
      <c r="G82" s="7"/>
      <c r="H82" s="7"/>
      <c r="I82" s="7"/>
      <c r="J82" s="7"/>
    </row>
    <row r="83" spans="1:10" ht="13.5" x14ac:dyDescent="0.25">
      <c r="A83" s="7"/>
      <c r="B83" s="7"/>
      <c r="C83" s="7"/>
      <c r="D83" s="7"/>
      <c r="E83" s="7"/>
      <c r="G83" s="7"/>
      <c r="H83" s="7"/>
      <c r="I83" s="7"/>
      <c r="J83" s="7"/>
    </row>
    <row r="84" spans="1:10" ht="13.5" x14ac:dyDescent="0.25">
      <c r="A84" s="7"/>
      <c r="B84" s="7"/>
      <c r="C84" s="7"/>
      <c r="D84" s="7"/>
      <c r="E84" s="7"/>
      <c r="G84" s="7"/>
      <c r="H84" s="7"/>
      <c r="I84" s="7"/>
      <c r="J84" s="7"/>
    </row>
    <row r="85" spans="1:10" ht="13.5" x14ac:dyDescent="0.25">
      <c r="A85" s="7"/>
      <c r="B85" s="7"/>
      <c r="C85" s="7"/>
      <c r="D85" s="7"/>
      <c r="E85" s="7"/>
      <c r="G85" s="7"/>
      <c r="H85" s="7"/>
      <c r="I85" s="7"/>
      <c r="J85" s="7"/>
    </row>
    <row r="86" spans="1:10" ht="13.5" x14ac:dyDescent="0.25">
      <c r="A86" s="7"/>
      <c r="B86" s="7"/>
      <c r="C86" s="7"/>
      <c r="D86" s="7"/>
      <c r="E86" s="7"/>
      <c r="G86" s="7"/>
      <c r="H86" s="7"/>
      <c r="I86" s="7"/>
      <c r="J86" s="7"/>
    </row>
    <row r="87" spans="1:10" ht="13.5" x14ac:dyDescent="0.25">
      <c r="A87" s="7"/>
      <c r="B87" s="7"/>
      <c r="C87" s="7"/>
      <c r="D87" s="7"/>
      <c r="E87" s="7"/>
      <c r="G87" s="7"/>
      <c r="H87" s="7"/>
      <c r="I87" s="7"/>
      <c r="J87" s="7"/>
    </row>
    <row r="88" spans="1:10" ht="13.5" x14ac:dyDescent="0.25">
      <c r="A88" s="7"/>
      <c r="B88" s="7"/>
      <c r="C88" s="7"/>
      <c r="D88" s="7"/>
      <c r="E88" s="7"/>
      <c r="G88" s="7"/>
      <c r="H88" s="7"/>
      <c r="I88" s="7"/>
      <c r="J88" s="7"/>
    </row>
    <row r="89" spans="1:10" ht="13.5" x14ac:dyDescent="0.25">
      <c r="A89" s="7"/>
      <c r="B89" s="7"/>
      <c r="C89" s="7"/>
      <c r="D89" s="7"/>
      <c r="E89" s="7"/>
      <c r="G89" s="7"/>
      <c r="H89" s="7"/>
      <c r="I89" s="7"/>
      <c r="J89" s="7"/>
    </row>
    <row r="90" spans="1:10" ht="13.5" x14ac:dyDescent="0.25">
      <c r="A90" s="7"/>
      <c r="B90" s="7"/>
      <c r="C90" s="7"/>
      <c r="D90" s="7"/>
      <c r="E90" s="7"/>
      <c r="G90" s="7"/>
      <c r="H90" s="7"/>
      <c r="I90" s="7"/>
      <c r="J90" s="7"/>
    </row>
    <row r="91" spans="1:10" ht="13.5" x14ac:dyDescent="0.25">
      <c r="A91" s="7"/>
      <c r="B91" s="7"/>
      <c r="C91" s="7"/>
      <c r="D91" s="7"/>
      <c r="E91" s="7"/>
      <c r="G91" s="7"/>
      <c r="H91" s="7"/>
      <c r="I91" s="7"/>
      <c r="J91" s="7"/>
    </row>
    <row r="92" spans="1:10" ht="13.5" x14ac:dyDescent="0.25">
      <c r="A92" s="7"/>
      <c r="B92" s="7"/>
      <c r="C92" s="7"/>
      <c r="D92" s="7"/>
      <c r="E92" s="7"/>
      <c r="G92" s="7"/>
      <c r="H92" s="7"/>
      <c r="I92" s="7"/>
      <c r="J92" s="7"/>
    </row>
    <row r="93" spans="1:10" ht="13.5" x14ac:dyDescent="0.25">
      <c r="A93" s="7"/>
      <c r="B93" s="7"/>
      <c r="C93" s="7"/>
      <c r="D93" s="7"/>
      <c r="E93" s="7"/>
      <c r="G93" s="7"/>
      <c r="H93" s="7"/>
      <c r="I93" s="7"/>
      <c r="J93" s="7"/>
    </row>
    <row r="94" spans="1:10" ht="13.5" x14ac:dyDescent="0.25">
      <c r="A94" s="7"/>
      <c r="B94" s="7"/>
      <c r="C94" s="7"/>
      <c r="D94" s="7"/>
      <c r="E94" s="7"/>
      <c r="G94" s="7"/>
      <c r="H94" s="7"/>
      <c r="I94" s="7"/>
      <c r="J94" s="7"/>
    </row>
    <row r="95" spans="1:10" ht="13.5" x14ac:dyDescent="0.25">
      <c r="A95" s="7"/>
      <c r="B95" s="7"/>
      <c r="C95" s="7"/>
      <c r="D95" s="7"/>
      <c r="E95" s="7"/>
      <c r="G95" s="7"/>
      <c r="H95" s="7"/>
      <c r="I95" s="7"/>
      <c r="J95" s="7"/>
    </row>
    <row r="96" spans="1:10" ht="13.5" x14ac:dyDescent="0.25">
      <c r="A96" s="7"/>
      <c r="B96" s="7"/>
      <c r="C96" s="7"/>
      <c r="D96" s="7"/>
      <c r="E96" s="7"/>
      <c r="G96" s="7"/>
      <c r="H96" s="7"/>
      <c r="I96" s="7"/>
      <c r="J96" s="7"/>
    </row>
    <row r="97" spans="1:10" ht="13.5" x14ac:dyDescent="0.25">
      <c r="A97" s="7"/>
      <c r="B97" s="7"/>
      <c r="C97" s="7"/>
      <c r="D97" s="7"/>
      <c r="E97" s="7"/>
      <c r="G97" s="7"/>
      <c r="H97" s="7"/>
      <c r="I97" s="7"/>
      <c r="J97" s="7"/>
    </row>
    <row r="98" spans="1:10" ht="13.5" x14ac:dyDescent="0.25">
      <c r="A98" s="7"/>
      <c r="B98" s="7"/>
      <c r="C98" s="7"/>
      <c r="D98" s="7"/>
      <c r="E98" s="7"/>
      <c r="G98" s="7"/>
      <c r="H98" s="7"/>
      <c r="I98" s="7"/>
      <c r="J98" s="7"/>
    </row>
    <row r="99" spans="1:10" ht="13.5" x14ac:dyDescent="0.25">
      <c r="A99" s="7"/>
      <c r="B99" s="7"/>
      <c r="C99" s="7"/>
      <c r="D99" s="7"/>
      <c r="E99" s="7"/>
      <c r="G99" s="7"/>
      <c r="H99" s="7"/>
      <c r="I99" s="7"/>
      <c r="J99" s="7"/>
    </row>
    <row r="100" spans="1:10" ht="13.5" x14ac:dyDescent="0.25">
      <c r="A100" s="7"/>
      <c r="B100" s="7"/>
      <c r="C100" s="7"/>
      <c r="D100" s="7"/>
      <c r="E100" s="7"/>
      <c r="G100" s="7"/>
      <c r="H100" s="7"/>
      <c r="I100" s="7"/>
      <c r="J100" s="7"/>
    </row>
    <row r="101" spans="1:10" ht="13.5" x14ac:dyDescent="0.25">
      <c r="A101" s="7"/>
      <c r="B101" s="7"/>
      <c r="C101" s="7"/>
      <c r="D101" s="7"/>
      <c r="E101" s="7"/>
      <c r="G101" s="7"/>
      <c r="H101" s="7"/>
      <c r="I101" s="7"/>
      <c r="J101" s="7"/>
    </row>
    <row r="102" spans="1:10" ht="13.5" x14ac:dyDescent="0.25">
      <c r="A102" s="7"/>
      <c r="B102" s="7"/>
      <c r="C102" s="7"/>
      <c r="D102" s="7"/>
      <c r="E102" s="7"/>
      <c r="G102" s="7"/>
      <c r="H102" s="7"/>
      <c r="I102" s="7"/>
      <c r="J102" s="7"/>
    </row>
    <row r="103" spans="1:10" ht="13.5" x14ac:dyDescent="0.25">
      <c r="A103" s="7"/>
      <c r="B103" s="7"/>
      <c r="C103" s="7"/>
      <c r="D103" s="7"/>
      <c r="E103" s="7"/>
      <c r="G103" s="7"/>
      <c r="H103" s="7"/>
      <c r="I103" s="7"/>
      <c r="J103" s="7"/>
    </row>
    <row r="104" spans="1:10" ht="13.5" x14ac:dyDescent="0.25">
      <c r="A104" s="7"/>
      <c r="B104" s="7"/>
      <c r="C104" s="7"/>
      <c r="D104" s="7"/>
      <c r="E104" s="7"/>
      <c r="G104" s="7"/>
      <c r="H104" s="7"/>
      <c r="I104" s="7"/>
      <c r="J104" s="7"/>
    </row>
    <row r="105" spans="1:10" ht="13.5" x14ac:dyDescent="0.25">
      <c r="A105" s="7"/>
      <c r="B105" s="7"/>
      <c r="C105" s="7"/>
      <c r="D105" s="7"/>
      <c r="E105" s="7"/>
      <c r="G105" s="7"/>
      <c r="H105" s="7"/>
      <c r="I105" s="7"/>
      <c r="J105" s="7"/>
    </row>
    <row r="106" spans="1:10" ht="13.5" x14ac:dyDescent="0.25">
      <c r="A106" s="7"/>
      <c r="B106" s="7"/>
      <c r="C106" s="7"/>
      <c r="D106" s="7"/>
      <c r="E106" s="7"/>
      <c r="G106" s="7"/>
      <c r="H106" s="7"/>
      <c r="I106" s="7"/>
      <c r="J106" s="7"/>
    </row>
    <row r="107" spans="1:10" ht="13.5" x14ac:dyDescent="0.25">
      <c r="A107" s="7"/>
      <c r="B107" s="7"/>
      <c r="C107" s="7"/>
      <c r="D107" s="7"/>
      <c r="E107" s="7"/>
      <c r="G107" s="7"/>
      <c r="H107" s="7"/>
      <c r="I107" s="7"/>
      <c r="J107" s="7"/>
    </row>
    <row r="108" spans="1:10" ht="13.5" x14ac:dyDescent="0.25">
      <c r="A108" s="7"/>
      <c r="B108" s="7"/>
      <c r="C108" s="7"/>
      <c r="D108" s="7"/>
      <c r="E108" s="7"/>
      <c r="G108" s="7"/>
      <c r="H108" s="7"/>
      <c r="I108" s="7"/>
      <c r="J108" s="7"/>
    </row>
    <row r="109" spans="1:10" ht="13.5" x14ac:dyDescent="0.25">
      <c r="A109" s="7"/>
      <c r="B109" s="7"/>
      <c r="C109" s="7"/>
      <c r="D109" s="7"/>
      <c r="E109" s="7"/>
      <c r="G109" s="7"/>
      <c r="H109" s="7"/>
      <c r="I109" s="7"/>
      <c r="J109" s="7"/>
    </row>
    <row r="110" spans="1:10" ht="13.5" x14ac:dyDescent="0.25">
      <c r="A110" s="7"/>
      <c r="B110" s="7"/>
      <c r="C110" s="7"/>
      <c r="D110" s="7"/>
      <c r="E110" s="7"/>
      <c r="G110" s="7"/>
      <c r="H110" s="7"/>
      <c r="I110" s="7"/>
      <c r="J110" s="7"/>
    </row>
    <row r="111" spans="1:10" ht="13.5" x14ac:dyDescent="0.25">
      <c r="A111" s="7"/>
      <c r="B111" s="7"/>
      <c r="C111" s="7"/>
      <c r="D111" s="7"/>
      <c r="E111" s="7"/>
      <c r="G111" s="7"/>
      <c r="H111" s="7"/>
      <c r="I111" s="7"/>
      <c r="J111" s="7"/>
    </row>
    <row r="112" spans="1:10" ht="13.5" x14ac:dyDescent="0.25">
      <c r="A112" s="7"/>
      <c r="B112" s="7"/>
      <c r="C112" s="7"/>
      <c r="D112" s="7"/>
      <c r="E112" s="7"/>
      <c r="G112" s="7"/>
      <c r="H112" s="7"/>
      <c r="I112" s="7"/>
      <c r="J112" s="7"/>
    </row>
    <row r="113" spans="1:10" ht="13.5" x14ac:dyDescent="0.25">
      <c r="A113" s="7"/>
      <c r="B113" s="7"/>
      <c r="C113" s="7"/>
      <c r="D113" s="7"/>
      <c r="E113" s="7"/>
      <c r="G113" s="7"/>
      <c r="H113" s="7"/>
      <c r="I113" s="7"/>
      <c r="J113" s="7"/>
    </row>
    <row r="114" spans="1:10" ht="13.5" x14ac:dyDescent="0.25">
      <c r="A114" s="7"/>
      <c r="B114" s="7"/>
      <c r="C114" s="7"/>
      <c r="D114" s="7"/>
      <c r="E114" s="7"/>
      <c r="G114" s="7"/>
      <c r="H114" s="7"/>
      <c r="I114" s="7"/>
      <c r="J114" s="7"/>
    </row>
    <row r="115" spans="1:10" ht="13.5" x14ac:dyDescent="0.25">
      <c r="A115" s="7"/>
      <c r="B115" s="7"/>
      <c r="C115" s="7"/>
      <c r="D115" s="7"/>
      <c r="E115" s="7"/>
      <c r="G115" s="7"/>
      <c r="H115" s="7"/>
      <c r="I115" s="7"/>
      <c r="J115" s="7"/>
    </row>
    <row r="116" spans="1:10" ht="13.5" x14ac:dyDescent="0.25">
      <c r="A116" s="7"/>
      <c r="B116" s="7"/>
      <c r="C116" s="7"/>
      <c r="D116" s="7"/>
      <c r="E116" s="7"/>
      <c r="G116" s="7"/>
      <c r="H116" s="7"/>
      <c r="I116" s="7"/>
      <c r="J116" s="7"/>
    </row>
    <row r="117" spans="1:10" ht="13.5" x14ac:dyDescent="0.25">
      <c r="A117" s="7"/>
      <c r="B117" s="7"/>
      <c r="C117" s="7"/>
      <c r="D117" s="7"/>
      <c r="E117" s="7"/>
      <c r="G117" s="7"/>
      <c r="H117" s="7"/>
      <c r="I117" s="7"/>
      <c r="J117" s="7"/>
    </row>
    <row r="118" spans="1:10" ht="13.5" x14ac:dyDescent="0.25">
      <c r="D118" s="7"/>
    </row>
  </sheetData>
  <mergeCells count="1">
    <mergeCell ref="A1:D1"/>
  </mergeCells>
  <phoneticPr fontId="0" type="noConversion"/>
  <pageMargins left="1.7322834645669292" right="0.98425196850393704" top="0.51181102362204722" bottom="0.51181102362204722" header="0.35433070866141736" footer="0.51181102362204722"/>
  <pageSetup paperSize="9" scale="9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</sheetPr>
  <dimension ref="B1:CK204"/>
  <sheetViews>
    <sheetView showGridLines="0" tabSelected="1" view="pageBreakPreview" zoomScale="85" zoomScaleNormal="100" zoomScaleSheetLayoutView="85" workbookViewId="0">
      <pane xSplit="7" ySplit="9" topLeftCell="AA10" activePane="bottomRight" state="frozen"/>
      <selection activeCell="C40" sqref="C40"/>
      <selection pane="topRight" activeCell="C40" sqref="C40"/>
      <selection pane="bottomLeft" activeCell="C40" sqref="C40"/>
      <selection pane="bottomRight" activeCell="B1" sqref="B1:AK1"/>
    </sheetView>
  </sheetViews>
  <sheetFormatPr defaultColWidth="9.1640625" defaultRowHeight="14.25" customHeight="1" outlineLevelCol="1" x14ac:dyDescent="0.2"/>
  <cols>
    <col min="1" max="1" width="3" style="278" customWidth="1"/>
    <col min="2" max="2" width="4" style="278" customWidth="1"/>
    <col min="3" max="3" width="8" style="278" customWidth="1"/>
    <col min="4" max="4" width="40.5" style="278" customWidth="1"/>
    <col min="5" max="5" width="15.5" style="278" customWidth="1"/>
    <col min="6" max="6" width="20.1640625" style="278" bestFit="1" customWidth="1"/>
    <col min="7" max="7" width="15" style="278" customWidth="1"/>
    <col min="8" max="8" width="9" style="278" customWidth="1"/>
    <col min="9" max="9" width="17.1640625" style="278" customWidth="1"/>
    <col min="10" max="10" width="9.5" style="278" hidden="1" customWidth="1" outlineLevel="1"/>
    <col min="11" max="11" width="21" style="278" hidden="1" customWidth="1" outlineLevel="1"/>
    <col min="12" max="12" width="9.5" style="278" hidden="1" customWidth="1" outlineLevel="1"/>
    <col min="13" max="13" width="18" style="278" hidden="1" customWidth="1" outlineLevel="1"/>
    <col min="14" max="14" width="9" style="278" hidden="1" customWidth="1" outlineLevel="1"/>
    <col min="15" max="15" width="18" style="278" hidden="1" customWidth="1" outlineLevel="1"/>
    <col min="16" max="16" width="10" style="278" bestFit="1" customWidth="1" collapsed="1"/>
    <col min="17" max="17" width="18.6640625" style="278" customWidth="1"/>
    <col min="18" max="18" width="8.6640625" style="279" hidden="1" customWidth="1" outlineLevel="1"/>
    <col min="19" max="19" width="17.1640625" style="278" hidden="1" customWidth="1" outlineLevel="1"/>
    <col min="20" max="20" width="9" style="278" hidden="1" customWidth="1" outlineLevel="1"/>
    <col min="21" max="21" width="17.5" style="278" hidden="1" customWidth="1" outlineLevel="1"/>
    <col min="22" max="22" width="9" style="278" hidden="1" customWidth="1" outlineLevel="1"/>
    <col min="23" max="23" width="17.1640625" style="278" hidden="1" customWidth="1" outlineLevel="1"/>
    <col min="24" max="24" width="10.5" style="278" bestFit="1" customWidth="1" collapsed="1"/>
    <col min="25" max="25" width="17.6640625" style="278" bestFit="1" customWidth="1"/>
    <col min="26" max="26" width="15" style="278" bestFit="1" customWidth="1"/>
    <col min="27" max="27" width="19.1640625" style="278" customWidth="1"/>
    <col min="28" max="28" width="8.6640625" style="279" hidden="1" customWidth="1" outlineLevel="1"/>
    <col min="29" max="29" width="18.6640625" style="278" hidden="1" customWidth="1" outlineLevel="1"/>
    <col min="30" max="30" width="9" style="278" hidden="1" customWidth="1" outlineLevel="1"/>
    <col min="31" max="31" width="17.5" style="278" hidden="1" customWidth="1" outlineLevel="1"/>
    <col min="32" max="32" width="9" style="278" hidden="1" customWidth="1" outlineLevel="1"/>
    <col min="33" max="33" width="16.1640625" style="278" hidden="1" customWidth="1" outlineLevel="1"/>
    <col min="34" max="34" width="10.5" style="278" bestFit="1" customWidth="1" collapsed="1"/>
    <col min="35" max="35" width="17.6640625" style="278" bestFit="1" customWidth="1"/>
    <col min="36" max="36" width="10.5" style="278" bestFit="1" customWidth="1"/>
    <col min="37" max="37" width="19" style="278" customWidth="1"/>
    <col min="38" max="38" width="9.6640625" style="278" hidden="1" customWidth="1" outlineLevel="1"/>
    <col min="39" max="39" width="14.6640625" style="278" hidden="1" customWidth="1" outlineLevel="1"/>
    <col min="40" max="40" width="8.5" style="278" hidden="1" customWidth="1" outlineLevel="1"/>
    <col min="41" max="41" width="14.6640625" style="278" hidden="1" customWidth="1" outlineLevel="1"/>
    <col min="42" max="42" width="9.5" style="278" hidden="1" customWidth="1" outlineLevel="1"/>
    <col min="43" max="43" width="14.6640625" style="278" hidden="1" customWidth="1" outlineLevel="1"/>
    <col min="44" max="44" width="11" style="278" customWidth="1" collapsed="1"/>
    <col min="45" max="45" width="16.1640625" style="278" bestFit="1" customWidth="1"/>
    <col min="46" max="46" width="10" style="278" customWidth="1"/>
    <col min="47" max="47" width="19" style="278" bestFit="1" customWidth="1"/>
    <col min="48" max="48" width="8.5" style="278" hidden="1" customWidth="1" outlineLevel="1"/>
    <col min="49" max="49" width="16" style="278" hidden="1" customWidth="1" outlineLevel="1"/>
    <col min="50" max="50" width="7.5" style="278" hidden="1" customWidth="1" outlineLevel="1"/>
    <col min="51" max="51" width="14.6640625" style="278" hidden="1" customWidth="1" outlineLevel="1"/>
    <col min="52" max="52" width="8" style="278" hidden="1" customWidth="1" outlineLevel="1"/>
    <col min="53" max="53" width="14.6640625" style="278" hidden="1" customWidth="1" outlineLevel="1"/>
    <col min="54" max="54" width="9" style="278" hidden="1" customWidth="1" collapsed="1"/>
    <col min="55" max="55" width="15.5" style="278" hidden="1" customWidth="1"/>
    <col min="56" max="56" width="10" style="278" hidden="1" customWidth="1"/>
    <col min="57" max="57" width="18.1640625" style="278" hidden="1" customWidth="1"/>
    <col min="58" max="58" width="9" style="278" hidden="1" customWidth="1" outlineLevel="1"/>
    <col min="59" max="59" width="16" style="278" hidden="1" customWidth="1" outlineLevel="1"/>
    <col min="60" max="60" width="8.6640625" style="278" hidden="1" customWidth="1" outlineLevel="1"/>
    <col min="61" max="61" width="14.6640625" style="278" hidden="1" customWidth="1" outlineLevel="1"/>
    <col min="62" max="62" width="8" style="278" hidden="1" customWidth="1" outlineLevel="1"/>
    <col min="63" max="63" width="14.6640625" style="278" hidden="1" customWidth="1" outlineLevel="1"/>
    <col min="64" max="64" width="8" style="278" hidden="1" customWidth="1" collapsed="1"/>
    <col min="65" max="65" width="19" style="278" hidden="1" customWidth="1"/>
    <col min="66" max="66" width="11" style="278" hidden="1" customWidth="1"/>
    <col min="67" max="67" width="20.1640625" style="278" hidden="1" customWidth="1"/>
    <col min="68" max="68" width="7" style="278" hidden="1" customWidth="1" outlineLevel="1"/>
    <col min="69" max="69" width="16" style="278" hidden="1" customWidth="1" outlineLevel="1"/>
    <col min="70" max="70" width="7" style="278" hidden="1" customWidth="1" outlineLevel="1"/>
    <col min="71" max="71" width="14.6640625" style="278" hidden="1" customWidth="1" outlineLevel="1"/>
    <col min="72" max="72" width="8" style="278" hidden="1" customWidth="1" outlineLevel="1"/>
    <col min="73" max="73" width="14.6640625" style="278" hidden="1" customWidth="1" outlineLevel="1"/>
    <col min="74" max="74" width="8" style="278" hidden="1" customWidth="1"/>
    <col min="75" max="75" width="14.6640625" style="278" hidden="1" customWidth="1"/>
    <col min="76" max="76" width="11" style="278" hidden="1" customWidth="1"/>
    <col min="77" max="77" width="20.1640625" style="278" hidden="1" customWidth="1"/>
    <col min="78" max="78" width="9.1640625" style="278" customWidth="1"/>
    <col min="79" max="79" width="14" style="278" customWidth="1"/>
    <col min="80" max="80" width="9.1640625" style="278" customWidth="1"/>
    <col min="81" max="81" width="12" style="278" bestFit="1" customWidth="1"/>
    <col min="82" max="82" width="17.5" style="278" bestFit="1" customWidth="1"/>
    <col min="83" max="83" width="22.1640625" style="278" hidden="1" customWidth="1"/>
    <col min="84" max="85" width="14" style="278" hidden="1" customWidth="1"/>
    <col min="86" max="86" width="9.1640625" style="278"/>
    <col min="87" max="88" width="13.5" style="278" bestFit="1" customWidth="1"/>
    <col min="89" max="89" width="12.5" style="278" bestFit="1" customWidth="1"/>
    <col min="90" max="16384" width="9.1640625" style="278"/>
  </cols>
  <sheetData>
    <row r="1" spans="2:89" ht="14.25" customHeight="1" x14ac:dyDescent="0.2">
      <c r="B1" s="598" t="s">
        <v>307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8"/>
      <c r="AI1" s="598"/>
      <c r="AJ1" s="598"/>
      <c r="AK1" s="598"/>
    </row>
    <row r="2" spans="2:89" ht="14.25" customHeight="1" x14ac:dyDescent="0.2">
      <c r="B2" s="154" t="s">
        <v>343</v>
      </c>
      <c r="C2" s="154"/>
      <c r="D2" s="154"/>
      <c r="E2" s="154"/>
      <c r="F2" s="546"/>
      <c r="G2" s="154"/>
      <c r="H2" s="154"/>
      <c r="I2" s="583">
        <f>G58*E58</f>
        <v>213868462.5</v>
      </c>
      <c r="J2" s="154"/>
      <c r="K2" s="154"/>
      <c r="L2" s="154"/>
      <c r="M2" s="154"/>
      <c r="N2" s="154"/>
      <c r="O2" s="345"/>
      <c r="P2" s="154"/>
      <c r="Q2" s="343"/>
      <c r="R2" s="154"/>
      <c r="S2" s="154"/>
      <c r="T2" s="154"/>
      <c r="U2" s="343"/>
      <c r="V2" s="154"/>
      <c r="W2" s="347"/>
      <c r="X2" s="154"/>
      <c r="Y2" s="154"/>
      <c r="Z2" s="154"/>
      <c r="AA2" s="154"/>
      <c r="AB2" s="154"/>
      <c r="AC2" s="410"/>
      <c r="AD2" s="154"/>
      <c r="AE2" s="410"/>
      <c r="AF2" s="154"/>
      <c r="AG2" s="410"/>
      <c r="AH2" s="410"/>
      <c r="AI2" s="410"/>
      <c r="AJ2" s="154"/>
      <c r="AK2" s="154"/>
      <c r="AQ2" s="280"/>
    </row>
    <row r="3" spans="2:89" ht="14.25" customHeight="1" x14ac:dyDescent="0.25">
      <c r="B3" s="155" t="s">
        <v>632</v>
      </c>
      <c r="C3" s="155"/>
      <c r="D3" s="155"/>
      <c r="E3" s="458"/>
      <c r="F3" s="458"/>
      <c r="G3" s="157"/>
      <c r="H3" s="157"/>
      <c r="I3" s="584">
        <f>F58/E58</f>
        <v>611052.75</v>
      </c>
      <c r="J3" s="157"/>
      <c r="K3" s="157"/>
      <c r="L3" s="280"/>
      <c r="O3" s="346"/>
      <c r="Q3" s="344"/>
      <c r="R3" s="409"/>
      <c r="U3" s="344"/>
      <c r="W3" s="348"/>
      <c r="X3" s="280"/>
      <c r="AB3" s="409"/>
      <c r="AC3" s="280"/>
      <c r="AG3" s="280"/>
      <c r="AH3" s="412"/>
      <c r="AI3" s="280"/>
      <c r="AJ3" s="280"/>
      <c r="AK3" s="412"/>
      <c r="AM3" s="280"/>
      <c r="AO3" s="280"/>
      <c r="AT3" s="280"/>
      <c r="AW3" s="280"/>
      <c r="BB3" s="280"/>
      <c r="BN3" s="280"/>
      <c r="BX3" s="280"/>
    </row>
    <row r="4" spans="2:89" ht="14.25" customHeight="1" x14ac:dyDescent="0.25">
      <c r="B4" s="155"/>
      <c r="C4" s="155"/>
      <c r="D4" s="155"/>
      <c r="E4" s="156"/>
      <c r="F4" s="547"/>
      <c r="G4" s="157"/>
      <c r="H4" s="157"/>
      <c r="I4" s="158"/>
      <c r="J4" s="157"/>
      <c r="K4" s="157"/>
      <c r="O4" s="346"/>
      <c r="Q4" s="344"/>
      <c r="R4" s="438"/>
      <c r="U4" s="344"/>
      <c r="W4" s="348"/>
      <c r="AB4" s="409"/>
      <c r="AC4" s="280"/>
      <c r="AF4" s="280"/>
      <c r="AI4" s="280"/>
      <c r="AK4" s="412"/>
      <c r="AM4" s="280"/>
      <c r="AN4" s="280"/>
      <c r="AW4" s="280"/>
    </row>
    <row r="5" spans="2:89" ht="14.25" customHeight="1" thickBot="1" x14ac:dyDescent="0.3">
      <c r="B5" s="155" t="s">
        <v>273</v>
      </c>
      <c r="C5" s="155"/>
      <c r="D5" s="442">
        <v>350</v>
      </c>
      <c r="E5" s="155" t="s">
        <v>631</v>
      </c>
      <c r="F5" s="156"/>
      <c r="G5" s="157"/>
      <c r="H5" s="157"/>
      <c r="I5" s="158"/>
      <c r="J5" s="157"/>
      <c r="K5" s="157"/>
    </row>
    <row r="6" spans="2:89" ht="14.25" customHeight="1" thickTop="1" x14ac:dyDescent="0.2">
      <c r="B6" s="599" t="s">
        <v>203</v>
      </c>
      <c r="C6" s="602" t="s">
        <v>204</v>
      </c>
      <c r="D6" s="602"/>
      <c r="E6" s="610" t="s">
        <v>205</v>
      </c>
      <c r="F6" s="602"/>
      <c r="G6" s="159"/>
      <c r="H6" s="160"/>
      <c r="I6" s="161"/>
      <c r="J6" s="594" t="s">
        <v>623</v>
      </c>
      <c r="K6" s="587"/>
      <c r="L6" s="587"/>
      <c r="M6" s="587"/>
      <c r="N6" s="587"/>
      <c r="O6" s="587"/>
      <c r="P6" s="595"/>
      <c r="Q6" s="596"/>
      <c r="R6" s="586" t="s">
        <v>624</v>
      </c>
      <c r="S6" s="587"/>
      <c r="T6" s="587"/>
      <c r="U6" s="587"/>
      <c r="V6" s="587"/>
      <c r="W6" s="587"/>
      <c r="X6" s="587"/>
      <c r="Y6" s="587"/>
      <c r="Z6" s="587"/>
      <c r="AA6" s="588"/>
      <c r="AB6" s="586" t="s">
        <v>629</v>
      </c>
      <c r="AC6" s="587"/>
      <c r="AD6" s="587"/>
      <c r="AE6" s="587"/>
      <c r="AF6" s="587"/>
      <c r="AG6" s="587"/>
      <c r="AH6" s="587"/>
      <c r="AI6" s="587"/>
      <c r="AJ6" s="587"/>
      <c r="AK6" s="588"/>
      <c r="AL6" s="586" t="s">
        <v>625</v>
      </c>
      <c r="AM6" s="587"/>
      <c r="AN6" s="587"/>
      <c r="AO6" s="587"/>
      <c r="AP6" s="587"/>
      <c r="AQ6" s="587"/>
      <c r="AR6" s="587"/>
      <c r="AS6" s="587"/>
      <c r="AT6" s="587"/>
      <c r="AU6" s="588"/>
      <c r="AV6" s="586" t="s">
        <v>626</v>
      </c>
      <c r="AW6" s="587"/>
      <c r="AX6" s="587"/>
      <c r="AY6" s="587"/>
      <c r="AZ6" s="587"/>
      <c r="BA6" s="587"/>
      <c r="BB6" s="587"/>
      <c r="BC6" s="587"/>
      <c r="BD6" s="587"/>
      <c r="BE6" s="588"/>
      <c r="BF6" s="586" t="s">
        <v>627</v>
      </c>
      <c r="BG6" s="587"/>
      <c r="BH6" s="587"/>
      <c r="BI6" s="587"/>
      <c r="BJ6" s="587"/>
      <c r="BK6" s="587"/>
      <c r="BL6" s="587"/>
      <c r="BM6" s="587"/>
      <c r="BN6" s="587"/>
      <c r="BO6" s="588"/>
      <c r="BP6" s="586" t="s">
        <v>628</v>
      </c>
      <c r="BQ6" s="587"/>
      <c r="BR6" s="587"/>
      <c r="BS6" s="587"/>
      <c r="BT6" s="587"/>
      <c r="BU6" s="587"/>
      <c r="BV6" s="587"/>
      <c r="BW6" s="587"/>
      <c r="BX6" s="587"/>
      <c r="BY6" s="588"/>
    </row>
    <row r="7" spans="2:89" s="157" customFormat="1" ht="14.25" customHeight="1" x14ac:dyDescent="0.2">
      <c r="B7" s="600"/>
      <c r="C7" s="603"/>
      <c r="D7" s="603"/>
      <c r="E7" s="608" t="s">
        <v>508</v>
      </c>
      <c r="F7" s="609"/>
      <c r="G7" s="162" t="s">
        <v>37</v>
      </c>
      <c r="H7" s="163" t="s">
        <v>206</v>
      </c>
      <c r="I7" s="164" t="s">
        <v>37</v>
      </c>
      <c r="J7" s="605" t="s">
        <v>513</v>
      </c>
      <c r="K7" s="591"/>
      <c r="L7" s="606" t="s">
        <v>514</v>
      </c>
      <c r="M7" s="607"/>
      <c r="N7" s="606" t="s">
        <v>515</v>
      </c>
      <c r="O7" s="607"/>
      <c r="P7" s="605" t="s">
        <v>207</v>
      </c>
      <c r="Q7" s="606"/>
      <c r="R7" s="593" t="s">
        <v>513</v>
      </c>
      <c r="S7" s="591"/>
      <c r="T7" s="591" t="s">
        <v>514</v>
      </c>
      <c r="U7" s="591"/>
      <c r="V7" s="591" t="s">
        <v>515</v>
      </c>
      <c r="W7" s="591"/>
      <c r="X7" s="589" t="s">
        <v>208</v>
      </c>
      <c r="Y7" s="590"/>
      <c r="Z7" s="589" t="s">
        <v>488</v>
      </c>
      <c r="AA7" s="592"/>
      <c r="AB7" s="593" t="s">
        <v>513</v>
      </c>
      <c r="AC7" s="591"/>
      <c r="AD7" s="591" t="s">
        <v>514</v>
      </c>
      <c r="AE7" s="591"/>
      <c r="AF7" s="591" t="s">
        <v>515</v>
      </c>
      <c r="AG7" s="591"/>
      <c r="AH7" s="589" t="s">
        <v>209</v>
      </c>
      <c r="AI7" s="590"/>
      <c r="AJ7" s="589" t="s">
        <v>210</v>
      </c>
      <c r="AK7" s="592"/>
      <c r="AL7" s="593" t="s">
        <v>513</v>
      </c>
      <c r="AM7" s="591"/>
      <c r="AN7" s="591" t="s">
        <v>514</v>
      </c>
      <c r="AO7" s="591"/>
      <c r="AP7" s="591" t="s">
        <v>515</v>
      </c>
      <c r="AQ7" s="591"/>
      <c r="AR7" s="589" t="s">
        <v>211</v>
      </c>
      <c r="AS7" s="590"/>
      <c r="AT7" s="589" t="s">
        <v>212</v>
      </c>
      <c r="AU7" s="592"/>
      <c r="AV7" s="593" t="s">
        <v>513</v>
      </c>
      <c r="AW7" s="591"/>
      <c r="AX7" s="591" t="s">
        <v>514</v>
      </c>
      <c r="AY7" s="591"/>
      <c r="AZ7" s="591" t="s">
        <v>515</v>
      </c>
      <c r="BA7" s="591"/>
      <c r="BB7" s="589" t="s">
        <v>213</v>
      </c>
      <c r="BC7" s="590"/>
      <c r="BD7" s="589" t="s">
        <v>214</v>
      </c>
      <c r="BE7" s="592"/>
      <c r="BF7" s="593" t="s">
        <v>513</v>
      </c>
      <c r="BG7" s="591"/>
      <c r="BH7" s="591" t="s">
        <v>514</v>
      </c>
      <c r="BI7" s="591"/>
      <c r="BJ7" s="591" t="s">
        <v>515</v>
      </c>
      <c r="BK7" s="591"/>
      <c r="BL7" s="589" t="s">
        <v>493</v>
      </c>
      <c r="BM7" s="590"/>
      <c r="BN7" s="589" t="s">
        <v>494</v>
      </c>
      <c r="BO7" s="592"/>
      <c r="BP7" s="593" t="s">
        <v>513</v>
      </c>
      <c r="BQ7" s="591"/>
      <c r="BR7" s="591" t="s">
        <v>514</v>
      </c>
      <c r="BS7" s="591"/>
      <c r="BT7" s="591" t="s">
        <v>515</v>
      </c>
      <c r="BU7" s="591"/>
      <c r="BV7" s="589" t="s">
        <v>500</v>
      </c>
      <c r="BW7" s="590"/>
      <c r="BX7" s="589" t="s">
        <v>501</v>
      </c>
      <c r="BY7" s="592"/>
    </row>
    <row r="8" spans="2:89" ht="12.75" customHeight="1" x14ac:dyDescent="0.2">
      <c r="B8" s="600"/>
      <c r="C8" s="603"/>
      <c r="D8" s="603"/>
      <c r="E8" s="165" t="s">
        <v>215</v>
      </c>
      <c r="F8" s="166" t="s">
        <v>216</v>
      </c>
      <c r="G8" s="162" t="s">
        <v>35</v>
      </c>
      <c r="H8" s="163" t="s">
        <v>217</v>
      </c>
      <c r="I8" s="164" t="s">
        <v>218</v>
      </c>
      <c r="J8" s="167" t="s">
        <v>219</v>
      </c>
      <c r="K8" s="169" t="s">
        <v>216</v>
      </c>
      <c r="L8" s="169" t="s">
        <v>219</v>
      </c>
      <c r="M8" s="169" t="s">
        <v>216</v>
      </c>
      <c r="N8" s="169" t="s">
        <v>219</v>
      </c>
      <c r="O8" s="169" t="s">
        <v>216</v>
      </c>
      <c r="P8" s="167" t="s">
        <v>219</v>
      </c>
      <c r="Q8" s="171" t="s">
        <v>216</v>
      </c>
      <c r="R8" s="172" t="s">
        <v>219</v>
      </c>
      <c r="S8" s="168" t="s">
        <v>216</v>
      </c>
      <c r="T8" s="169" t="s">
        <v>219</v>
      </c>
      <c r="U8" s="169" t="s">
        <v>216</v>
      </c>
      <c r="V8" s="170" t="s">
        <v>219</v>
      </c>
      <c r="W8" s="169" t="s">
        <v>216</v>
      </c>
      <c r="X8" s="167" t="s">
        <v>219</v>
      </c>
      <c r="Y8" s="171" t="s">
        <v>216</v>
      </c>
      <c r="Z8" s="167" t="s">
        <v>219</v>
      </c>
      <c r="AA8" s="171" t="s">
        <v>216</v>
      </c>
      <c r="AB8" s="172" t="s">
        <v>219</v>
      </c>
      <c r="AC8" s="168" t="s">
        <v>216</v>
      </c>
      <c r="AD8" s="169" t="s">
        <v>219</v>
      </c>
      <c r="AE8" s="169" t="s">
        <v>216</v>
      </c>
      <c r="AF8" s="170" t="s">
        <v>219</v>
      </c>
      <c r="AG8" s="169" t="s">
        <v>216</v>
      </c>
      <c r="AH8" s="167" t="s">
        <v>219</v>
      </c>
      <c r="AI8" s="171" t="s">
        <v>216</v>
      </c>
      <c r="AJ8" s="167" t="s">
        <v>219</v>
      </c>
      <c r="AK8" s="171" t="s">
        <v>216</v>
      </c>
      <c r="AL8" s="172" t="s">
        <v>219</v>
      </c>
      <c r="AM8" s="168" t="s">
        <v>216</v>
      </c>
      <c r="AN8" s="169" t="s">
        <v>219</v>
      </c>
      <c r="AO8" s="169" t="s">
        <v>216</v>
      </c>
      <c r="AP8" s="170" t="s">
        <v>219</v>
      </c>
      <c r="AQ8" s="169" t="s">
        <v>216</v>
      </c>
      <c r="AR8" s="167" t="s">
        <v>219</v>
      </c>
      <c r="AS8" s="171" t="s">
        <v>216</v>
      </c>
      <c r="AT8" s="167" t="s">
        <v>219</v>
      </c>
      <c r="AU8" s="171" t="s">
        <v>216</v>
      </c>
      <c r="AV8" s="172" t="s">
        <v>219</v>
      </c>
      <c r="AW8" s="168" t="s">
        <v>216</v>
      </c>
      <c r="AX8" s="169" t="s">
        <v>219</v>
      </c>
      <c r="AY8" s="169" t="s">
        <v>216</v>
      </c>
      <c r="AZ8" s="170" t="s">
        <v>219</v>
      </c>
      <c r="BA8" s="169" t="s">
        <v>216</v>
      </c>
      <c r="BB8" s="167" t="s">
        <v>219</v>
      </c>
      <c r="BC8" s="171" t="s">
        <v>216</v>
      </c>
      <c r="BD8" s="167" t="s">
        <v>219</v>
      </c>
      <c r="BE8" s="171" t="s">
        <v>216</v>
      </c>
      <c r="BF8" s="172" t="s">
        <v>219</v>
      </c>
      <c r="BG8" s="168" t="s">
        <v>216</v>
      </c>
      <c r="BH8" s="169" t="s">
        <v>219</v>
      </c>
      <c r="BI8" s="169" t="s">
        <v>216</v>
      </c>
      <c r="BJ8" s="170" t="s">
        <v>219</v>
      </c>
      <c r="BK8" s="169" t="s">
        <v>216</v>
      </c>
      <c r="BL8" s="167" t="s">
        <v>219</v>
      </c>
      <c r="BM8" s="171" t="s">
        <v>216</v>
      </c>
      <c r="BN8" s="167" t="s">
        <v>219</v>
      </c>
      <c r="BO8" s="171" t="s">
        <v>216</v>
      </c>
      <c r="BP8" s="172" t="s">
        <v>219</v>
      </c>
      <c r="BQ8" s="168" t="s">
        <v>216</v>
      </c>
      <c r="BR8" s="169" t="s">
        <v>219</v>
      </c>
      <c r="BS8" s="169" t="s">
        <v>216</v>
      </c>
      <c r="BT8" s="170" t="s">
        <v>219</v>
      </c>
      <c r="BU8" s="169" t="s">
        <v>216</v>
      </c>
      <c r="BV8" s="167" t="s">
        <v>219</v>
      </c>
      <c r="BW8" s="171" t="s">
        <v>216</v>
      </c>
      <c r="BX8" s="167" t="s">
        <v>219</v>
      </c>
      <c r="BY8" s="171" t="s">
        <v>216</v>
      </c>
      <c r="CI8" s="597" t="s">
        <v>516</v>
      </c>
      <c r="CJ8" s="597"/>
      <c r="CK8" s="597"/>
    </row>
    <row r="9" spans="2:89" ht="14.25" customHeight="1" thickBot="1" x14ac:dyDescent="0.25">
      <c r="B9" s="601"/>
      <c r="C9" s="604"/>
      <c r="D9" s="604"/>
      <c r="E9" s="173" t="s">
        <v>220</v>
      </c>
      <c r="F9" s="174" t="s">
        <v>221</v>
      </c>
      <c r="G9" s="175" t="s">
        <v>222</v>
      </c>
      <c r="H9" s="176"/>
      <c r="I9" s="177"/>
      <c r="J9" s="178" t="s">
        <v>220</v>
      </c>
      <c r="K9" s="179" t="s">
        <v>221</v>
      </c>
      <c r="L9" s="179" t="s">
        <v>220</v>
      </c>
      <c r="M9" s="179" t="s">
        <v>221</v>
      </c>
      <c r="N9" s="179" t="s">
        <v>220</v>
      </c>
      <c r="O9" s="179" t="s">
        <v>221</v>
      </c>
      <c r="P9" s="178" t="s">
        <v>220</v>
      </c>
      <c r="Q9" s="181" t="s">
        <v>221</v>
      </c>
      <c r="R9" s="175" t="s">
        <v>220</v>
      </c>
      <c r="S9" s="176" t="s">
        <v>221</v>
      </c>
      <c r="T9" s="179" t="s">
        <v>220</v>
      </c>
      <c r="U9" s="179" t="s">
        <v>221</v>
      </c>
      <c r="V9" s="180" t="s">
        <v>220</v>
      </c>
      <c r="W9" s="179" t="s">
        <v>221</v>
      </c>
      <c r="X9" s="178" t="s">
        <v>220</v>
      </c>
      <c r="Y9" s="181" t="s">
        <v>221</v>
      </c>
      <c r="Z9" s="178" t="s">
        <v>220</v>
      </c>
      <c r="AA9" s="181" t="s">
        <v>221</v>
      </c>
      <c r="AB9" s="175" t="s">
        <v>220</v>
      </c>
      <c r="AC9" s="176" t="s">
        <v>221</v>
      </c>
      <c r="AD9" s="179" t="s">
        <v>220</v>
      </c>
      <c r="AE9" s="179" t="s">
        <v>221</v>
      </c>
      <c r="AF9" s="180" t="s">
        <v>220</v>
      </c>
      <c r="AG9" s="179" t="s">
        <v>221</v>
      </c>
      <c r="AH9" s="178" t="s">
        <v>220</v>
      </c>
      <c r="AI9" s="181" t="s">
        <v>221</v>
      </c>
      <c r="AJ9" s="178" t="s">
        <v>220</v>
      </c>
      <c r="AK9" s="181" t="s">
        <v>221</v>
      </c>
      <c r="AL9" s="175" t="s">
        <v>220</v>
      </c>
      <c r="AM9" s="176" t="s">
        <v>221</v>
      </c>
      <c r="AN9" s="179" t="s">
        <v>220</v>
      </c>
      <c r="AO9" s="179" t="s">
        <v>221</v>
      </c>
      <c r="AP9" s="180" t="s">
        <v>220</v>
      </c>
      <c r="AQ9" s="179" t="s">
        <v>221</v>
      </c>
      <c r="AR9" s="178" t="s">
        <v>220</v>
      </c>
      <c r="AS9" s="181" t="s">
        <v>221</v>
      </c>
      <c r="AT9" s="178" t="s">
        <v>220</v>
      </c>
      <c r="AU9" s="181" t="s">
        <v>221</v>
      </c>
      <c r="AV9" s="175" t="s">
        <v>220</v>
      </c>
      <c r="AW9" s="176" t="s">
        <v>221</v>
      </c>
      <c r="AX9" s="179" t="s">
        <v>220</v>
      </c>
      <c r="AY9" s="179" t="s">
        <v>221</v>
      </c>
      <c r="AZ9" s="180" t="s">
        <v>220</v>
      </c>
      <c r="BA9" s="179" t="s">
        <v>221</v>
      </c>
      <c r="BB9" s="178" t="s">
        <v>220</v>
      </c>
      <c r="BC9" s="181" t="s">
        <v>221</v>
      </c>
      <c r="BD9" s="178" t="s">
        <v>220</v>
      </c>
      <c r="BE9" s="181" t="s">
        <v>221</v>
      </c>
      <c r="BF9" s="175" t="s">
        <v>220</v>
      </c>
      <c r="BG9" s="176" t="s">
        <v>221</v>
      </c>
      <c r="BH9" s="179" t="s">
        <v>220</v>
      </c>
      <c r="BI9" s="179" t="s">
        <v>221</v>
      </c>
      <c r="BJ9" s="180" t="s">
        <v>220</v>
      </c>
      <c r="BK9" s="179" t="s">
        <v>221</v>
      </c>
      <c r="BL9" s="178" t="s">
        <v>220</v>
      </c>
      <c r="BM9" s="181" t="s">
        <v>221</v>
      </c>
      <c r="BN9" s="178" t="s">
        <v>220</v>
      </c>
      <c r="BO9" s="181" t="s">
        <v>221</v>
      </c>
      <c r="BP9" s="175" t="s">
        <v>220</v>
      </c>
      <c r="BQ9" s="176" t="s">
        <v>221</v>
      </c>
      <c r="BR9" s="179" t="s">
        <v>220</v>
      </c>
      <c r="BS9" s="179" t="s">
        <v>221</v>
      </c>
      <c r="BT9" s="180" t="s">
        <v>220</v>
      </c>
      <c r="BU9" s="179" t="s">
        <v>221</v>
      </c>
      <c r="BV9" s="178" t="s">
        <v>220</v>
      </c>
      <c r="BW9" s="181" t="s">
        <v>221</v>
      </c>
      <c r="BX9" s="178" t="s">
        <v>220</v>
      </c>
      <c r="BY9" s="181" t="s">
        <v>221</v>
      </c>
      <c r="CI9" s="468" t="s">
        <v>517</v>
      </c>
      <c r="CJ9" s="468" t="s">
        <v>507</v>
      </c>
      <c r="CK9" s="468" t="s">
        <v>300</v>
      </c>
    </row>
    <row r="10" spans="2:89" ht="14.25" customHeight="1" thickTop="1" x14ac:dyDescent="0.2">
      <c r="B10" s="182" t="s">
        <v>223</v>
      </c>
      <c r="C10" s="183" t="s">
        <v>224</v>
      </c>
      <c r="D10" s="184"/>
      <c r="E10" s="354"/>
      <c r="F10" s="355"/>
      <c r="G10" s="191"/>
      <c r="H10" s="72"/>
      <c r="I10" s="189"/>
      <c r="J10" s="443"/>
      <c r="K10" s="72"/>
      <c r="L10" s="471"/>
      <c r="M10" s="72"/>
      <c r="N10" s="471"/>
      <c r="O10" s="72"/>
      <c r="P10" s="484"/>
      <c r="Q10" s="349"/>
      <c r="R10" s="474"/>
      <c r="S10" s="72"/>
      <c r="T10" s="471"/>
      <c r="U10" s="72"/>
      <c r="V10" s="471"/>
      <c r="W10" s="72"/>
      <c r="X10" s="443"/>
      <c r="Y10" s="189"/>
      <c r="Z10" s="443"/>
      <c r="AA10" s="190"/>
      <c r="AB10" s="474"/>
      <c r="AC10" s="72"/>
      <c r="AD10" s="471"/>
      <c r="AE10" s="72"/>
      <c r="AF10" s="471"/>
      <c r="AG10" s="72"/>
      <c r="AH10" s="443"/>
      <c r="AI10" s="189"/>
      <c r="AJ10" s="484"/>
      <c r="AK10" s="349"/>
      <c r="AL10" s="474"/>
      <c r="AM10" s="72"/>
      <c r="AN10" s="471"/>
      <c r="AO10" s="72"/>
      <c r="AP10" s="471"/>
      <c r="AQ10" s="72"/>
      <c r="AR10" s="443"/>
      <c r="AS10" s="189"/>
      <c r="AT10" s="443"/>
      <c r="AU10" s="190"/>
      <c r="AV10" s="474"/>
      <c r="AW10" s="72"/>
      <c r="AX10" s="471"/>
      <c r="AY10" s="72"/>
      <c r="AZ10" s="471"/>
      <c r="BA10" s="72"/>
      <c r="BB10" s="443"/>
      <c r="BC10" s="189"/>
      <c r="BD10" s="443"/>
      <c r="BE10" s="190"/>
      <c r="BF10" s="474"/>
      <c r="BG10" s="72"/>
      <c r="BH10" s="471"/>
      <c r="BI10" s="72"/>
      <c r="BJ10" s="471"/>
      <c r="BK10" s="72"/>
      <c r="BL10" s="443"/>
      <c r="BM10" s="189"/>
      <c r="BN10" s="443"/>
      <c r="BO10" s="190"/>
      <c r="BP10" s="191"/>
      <c r="BQ10" s="72"/>
      <c r="BR10" s="72"/>
      <c r="BS10" s="72"/>
      <c r="BT10" s="72"/>
      <c r="BU10" s="72"/>
      <c r="BV10" s="193"/>
      <c r="BW10" s="189"/>
      <c r="BX10" s="193"/>
      <c r="BY10" s="190"/>
      <c r="CI10" s="286"/>
      <c r="CJ10" s="286"/>
      <c r="CK10" s="286"/>
    </row>
    <row r="11" spans="2:89" ht="14.25" customHeight="1" x14ac:dyDescent="0.2">
      <c r="B11" s="185" t="s">
        <v>185</v>
      </c>
      <c r="C11" s="183" t="s">
        <v>225</v>
      </c>
      <c r="D11" s="184"/>
      <c r="E11" s="354"/>
      <c r="F11" s="355"/>
      <c r="G11" s="191"/>
      <c r="H11" s="72"/>
      <c r="I11" s="189"/>
      <c r="J11" s="443"/>
      <c r="K11" s="72"/>
      <c r="L11" s="471"/>
      <c r="M11" s="72"/>
      <c r="N11" s="471"/>
      <c r="O11" s="72"/>
      <c r="P11" s="443"/>
      <c r="Q11" s="190"/>
      <c r="R11" s="474"/>
      <c r="S11" s="72"/>
      <c r="T11" s="471"/>
      <c r="U11" s="72"/>
      <c r="V11" s="471"/>
      <c r="W11" s="72"/>
      <c r="X11" s="443"/>
      <c r="Y11" s="189"/>
      <c r="Z11" s="443"/>
      <c r="AA11" s="190"/>
      <c r="AB11" s="474"/>
      <c r="AC11" s="72"/>
      <c r="AD11" s="471"/>
      <c r="AE11" s="72"/>
      <c r="AF11" s="471"/>
      <c r="AG11" s="72"/>
      <c r="AH11" s="443"/>
      <c r="AI11" s="189"/>
      <c r="AJ11" s="443"/>
      <c r="AK11" s="190"/>
      <c r="AL11" s="474"/>
      <c r="AM11" s="72"/>
      <c r="AN11" s="471"/>
      <c r="AO11" s="72"/>
      <c r="AP11" s="471"/>
      <c r="AQ11" s="72"/>
      <c r="AR11" s="443"/>
      <c r="AS11" s="189"/>
      <c r="AT11" s="443"/>
      <c r="AU11" s="190"/>
      <c r="AV11" s="474"/>
      <c r="AW11" s="72"/>
      <c r="AX11" s="471"/>
      <c r="AY11" s="72"/>
      <c r="AZ11" s="471"/>
      <c r="BA11" s="72"/>
      <c r="BB11" s="443"/>
      <c r="BC11" s="189"/>
      <c r="BD11" s="443"/>
      <c r="BE11" s="190"/>
      <c r="BF11" s="474"/>
      <c r="BG11" s="72"/>
      <c r="BH11" s="471"/>
      <c r="BI11" s="72"/>
      <c r="BJ11" s="471"/>
      <c r="BK11" s="72"/>
      <c r="BL11" s="443"/>
      <c r="BM11" s="189"/>
      <c r="BN11" s="443"/>
      <c r="BO11" s="190"/>
      <c r="BP11" s="191"/>
      <c r="BQ11" s="72"/>
      <c r="BR11" s="72"/>
      <c r="BS11" s="72"/>
      <c r="BT11" s="72"/>
      <c r="BU11" s="72"/>
      <c r="BV11" s="193"/>
      <c r="BW11" s="189"/>
      <c r="BX11" s="193"/>
      <c r="BY11" s="190"/>
      <c r="CI11" s="286"/>
      <c r="CJ11" s="286"/>
      <c r="CK11" s="286"/>
    </row>
    <row r="12" spans="2:89" ht="14.25" customHeight="1" x14ac:dyDescent="0.2">
      <c r="B12" s="186">
        <v>1</v>
      </c>
      <c r="C12" s="187" t="s">
        <v>226</v>
      </c>
      <c r="D12" s="188"/>
      <c r="E12" s="219"/>
      <c r="F12" s="222"/>
      <c r="G12" s="191"/>
      <c r="H12" s="72"/>
      <c r="I12" s="189"/>
      <c r="J12" s="443"/>
      <c r="K12" s="72"/>
      <c r="L12" s="471"/>
      <c r="M12" s="72"/>
      <c r="N12" s="471"/>
      <c r="O12" s="72"/>
      <c r="P12" s="443"/>
      <c r="Q12" s="190"/>
      <c r="R12" s="474"/>
      <c r="S12" s="72"/>
      <c r="T12" s="471"/>
      <c r="U12" s="72"/>
      <c r="V12" s="471"/>
      <c r="W12" s="72"/>
      <c r="X12" s="443"/>
      <c r="Y12" s="189"/>
      <c r="Z12" s="443"/>
      <c r="AA12" s="190"/>
      <c r="AB12" s="474"/>
      <c r="AC12" s="72"/>
      <c r="AD12" s="471"/>
      <c r="AE12" s="72"/>
      <c r="AF12" s="471"/>
      <c r="AG12" s="72"/>
      <c r="AH12" s="443"/>
      <c r="AI12" s="189"/>
      <c r="AJ12" s="443"/>
      <c r="AK12" s="190"/>
      <c r="AL12" s="474"/>
      <c r="AM12" s="72"/>
      <c r="AN12" s="471"/>
      <c r="AO12" s="72"/>
      <c r="AP12" s="471"/>
      <c r="AQ12" s="72"/>
      <c r="AR12" s="443"/>
      <c r="AS12" s="189"/>
      <c r="AT12" s="443"/>
      <c r="AU12" s="190"/>
      <c r="AV12" s="474"/>
      <c r="AW12" s="72"/>
      <c r="AX12" s="471"/>
      <c r="AY12" s="72"/>
      <c r="AZ12" s="471"/>
      <c r="BA12" s="72"/>
      <c r="BB12" s="443"/>
      <c r="BC12" s="189"/>
      <c r="BD12" s="443"/>
      <c r="BE12" s="190"/>
      <c r="BF12" s="474"/>
      <c r="BG12" s="72"/>
      <c r="BH12" s="471"/>
      <c r="BI12" s="72"/>
      <c r="BJ12" s="471"/>
      <c r="BK12" s="72"/>
      <c r="BL12" s="443"/>
      <c r="BM12" s="189"/>
      <c r="BN12" s="443"/>
      <c r="BO12" s="190"/>
      <c r="BP12" s="191"/>
      <c r="BQ12" s="72"/>
      <c r="BR12" s="72"/>
      <c r="BS12" s="72"/>
      <c r="BT12" s="72"/>
      <c r="BU12" s="72"/>
      <c r="BV12" s="193"/>
      <c r="BW12" s="189"/>
      <c r="BX12" s="193"/>
      <c r="BY12" s="190"/>
      <c r="CI12" s="286"/>
      <c r="CJ12" s="286"/>
      <c r="CK12" s="286"/>
    </row>
    <row r="13" spans="2:89" ht="14.25" customHeight="1" x14ac:dyDescent="0.2">
      <c r="B13" s="186"/>
      <c r="C13" s="187" t="s">
        <v>350</v>
      </c>
      <c r="D13" s="188"/>
      <c r="E13" s="443">
        <f>$D$5</f>
        <v>350</v>
      </c>
      <c r="F13" s="192">
        <f>E13*G13</f>
        <v>3610705066.5</v>
      </c>
      <c r="G13" s="191">
        <f>'Rekapitulasi Biaya'!C18</f>
        <v>10316300.189999999</v>
      </c>
      <c r="H13" s="72">
        <v>1</v>
      </c>
      <c r="I13" s="189">
        <f>G13/H13</f>
        <v>10316300.189999999</v>
      </c>
      <c r="J13" s="443">
        <v>0</v>
      </c>
      <c r="K13" s="72">
        <f>J13*$G13</f>
        <v>0</v>
      </c>
      <c r="L13" s="471">
        <v>200</v>
      </c>
      <c r="M13" s="72">
        <f>L13*$G13</f>
        <v>2063260038</v>
      </c>
      <c r="N13" s="471">
        <v>150</v>
      </c>
      <c r="O13" s="72">
        <f>N13*$G13</f>
        <v>1547445028.5</v>
      </c>
      <c r="P13" s="443">
        <f>J13+L13+N13</f>
        <v>350</v>
      </c>
      <c r="Q13" s="190">
        <f>K13+M13+O13</f>
        <v>3610705066.5</v>
      </c>
      <c r="R13" s="474">
        <v>0</v>
      </c>
      <c r="S13" s="72">
        <f>R13*$G13</f>
        <v>0</v>
      </c>
      <c r="T13" s="471">
        <v>0</v>
      </c>
      <c r="U13" s="72">
        <f>T13*$G13</f>
        <v>0</v>
      </c>
      <c r="V13" s="471">
        <v>0</v>
      </c>
      <c r="W13" s="72">
        <f>V13*$G13</f>
        <v>0</v>
      </c>
      <c r="X13" s="443">
        <f>R13+T13+V13</f>
        <v>0</v>
      </c>
      <c r="Y13" s="190">
        <f>S13+U13+W13</f>
        <v>0</v>
      </c>
      <c r="Z13" s="443">
        <f>X13+P13</f>
        <v>350</v>
      </c>
      <c r="AA13" s="307">
        <f>Y13+Q13</f>
        <v>3610705066.5</v>
      </c>
      <c r="AB13" s="474"/>
      <c r="AC13" s="72">
        <f>AB13*$G13</f>
        <v>0</v>
      </c>
      <c r="AD13" s="471"/>
      <c r="AE13" s="72">
        <f>AD13*$G13</f>
        <v>0</v>
      </c>
      <c r="AF13" s="471"/>
      <c r="AG13" s="72">
        <f>AF13*$G13</f>
        <v>0</v>
      </c>
      <c r="AH13" s="443">
        <f>AB13+AD13+AF13</f>
        <v>0</v>
      </c>
      <c r="AI13" s="190">
        <f>AC13+AE13+AG13</f>
        <v>0</v>
      </c>
      <c r="AJ13" s="443">
        <f>AH13+Z13</f>
        <v>350</v>
      </c>
      <c r="AK13" s="190">
        <f>AI13+AA13</f>
        <v>3610705066.5</v>
      </c>
      <c r="AL13" s="474"/>
      <c r="AM13" s="72">
        <f>AL13*$G13</f>
        <v>0</v>
      </c>
      <c r="AN13" s="471"/>
      <c r="AO13" s="72">
        <f>AN13*$G13</f>
        <v>0</v>
      </c>
      <c r="AP13" s="471"/>
      <c r="AQ13" s="72">
        <f>AP13*$G13</f>
        <v>0</v>
      </c>
      <c r="AR13" s="443">
        <f>AL13+AN13+AP13</f>
        <v>0</v>
      </c>
      <c r="AS13" s="190">
        <f>AM13+AO13+AQ13</f>
        <v>0</v>
      </c>
      <c r="AT13" s="443">
        <f>AR13+AJ13</f>
        <v>350</v>
      </c>
      <c r="AU13" s="190">
        <f>AS13+AK13</f>
        <v>3610705066.5</v>
      </c>
      <c r="AV13" s="474"/>
      <c r="AW13" s="72">
        <f>AV13*$G13</f>
        <v>0</v>
      </c>
      <c r="AX13" s="471"/>
      <c r="AY13" s="72">
        <f>AX13*$G13</f>
        <v>0</v>
      </c>
      <c r="AZ13" s="471"/>
      <c r="BA13" s="72">
        <f>AZ13*$G13</f>
        <v>0</v>
      </c>
      <c r="BB13" s="443">
        <f>AV13+AX13+AZ13</f>
        <v>0</v>
      </c>
      <c r="BC13" s="190">
        <f>AW13+AY13+BA13</f>
        <v>0</v>
      </c>
      <c r="BD13" s="443">
        <f>BB13+AT13</f>
        <v>350</v>
      </c>
      <c r="BE13" s="190">
        <f>BC13+AU13</f>
        <v>3610705066.5</v>
      </c>
      <c r="BF13" s="474"/>
      <c r="BG13" s="72">
        <f>BF13*$G13</f>
        <v>0</v>
      </c>
      <c r="BH13" s="471"/>
      <c r="BI13" s="72">
        <f>BH13*$G13</f>
        <v>0</v>
      </c>
      <c r="BJ13" s="471"/>
      <c r="BK13" s="72">
        <f>BJ13*$G13</f>
        <v>0</v>
      </c>
      <c r="BL13" s="443">
        <f>BF13+BH13+BJ13</f>
        <v>0</v>
      </c>
      <c r="BM13" s="190">
        <f>BG13+BI13+BK13</f>
        <v>0</v>
      </c>
      <c r="BN13" s="443">
        <f>BL13+BD13</f>
        <v>350</v>
      </c>
      <c r="BO13" s="190">
        <f>BM13+BE13</f>
        <v>3610705066.5</v>
      </c>
      <c r="BP13" s="191"/>
      <c r="BQ13" s="72">
        <f>BP13*$G13</f>
        <v>0</v>
      </c>
      <c r="BR13" s="72"/>
      <c r="BS13" s="72">
        <f>BR13*$G13</f>
        <v>0</v>
      </c>
      <c r="BT13" s="72"/>
      <c r="BU13" s="72">
        <f>BT13*$G13</f>
        <v>0</v>
      </c>
      <c r="BV13" s="193">
        <f>BP13+BR13+BT13</f>
        <v>0</v>
      </c>
      <c r="BW13" s="190">
        <f>BQ13+BS13+BU13</f>
        <v>0</v>
      </c>
      <c r="BX13" s="443">
        <f>BV13+BN13</f>
        <v>350</v>
      </c>
      <c r="BY13" s="190">
        <f>BW13+BO13</f>
        <v>3610705066.5</v>
      </c>
      <c r="CA13" s="278">
        <f t="shared" ref="CA13:CA51" si="0">E13*H13</f>
        <v>350</v>
      </c>
      <c r="CB13" s="280">
        <f>CA13-BX13</f>
        <v>0</v>
      </c>
      <c r="CC13" s="440">
        <f t="shared" ref="CC13:CC48" si="1">E13-BX13</f>
        <v>0</v>
      </c>
      <c r="CD13" s="440">
        <f>F13-BY13</f>
        <v>0</v>
      </c>
      <c r="CE13" s="286">
        <v>8884769507.8199997</v>
      </c>
      <c r="CF13" s="280">
        <f t="shared" ref="CF13:CF44" si="2">CE13-BY13</f>
        <v>5274064441.3199997</v>
      </c>
      <c r="CG13" s="280">
        <f t="shared" ref="CG13:CG44" si="3">CF13-BZ13</f>
        <v>5274064441.3199997</v>
      </c>
      <c r="CI13" s="286">
        <v>7640840.6499999994</v>
      </c>
      <c r="CJ13" s="286">
        <v>7640840.6499999985</v>
      </c>
      <c r="CK13" s="286">
        <v>0</v>
      </c>
    </row>
    <row r="14" spans="2:89" ht="14.25" customHeight="1" x14ac:dyDescent="0.2">
      <c r="B14" s="186"/>
      <c r="C14" s="187"/>
      <c r="D14" s="188"/>
      <c r="E14" s="193"/>
      <c r="F14" s="192"/>
      <c r="G14" s="191"/>
      <c r="H14" s="72"/>
      <c r="I14" s="189"/>
      <c r="J14" s="443"/>
      <c r="K14" s="72"/>
      <c r="L14" s="471"/>
      <c r="M14" s="72"/>
      <c r="N14" s="471"/>
      <c r="O14" s="72"/>
      <c r="P14" s="443"/>
      <c r="Q14" s="194"/>
      <c r="R14" s="474"/>
      <c r="S14" s="72"/>
      <c r="T14" s="471"/>
      <c r="U14" s="72"/>
      <c r="V14" s="471"/>
      <c r="W14" s="72"/>
      <c r="X14" s="443"/>
      <c r="Y14" s="194"/>
      <c r="Z14" s="443"/>
      <c r="AA14" s="190"/>
      <c r="AB14" s="474"/>
      <c r="AC14" s="72"/>
      <c r="AD14" s="471"/>
      <c r="AE14" s="72"/>
      <c r="AF14" s="471"/>
      <c r="AG14" s="72"/>
      <c r="AH14" s="443"/>
      <c r="AI14" s="194"/>
      <c r="AJ14" s="443"/>
      <c r="AK14" s="190"/>
      <c r="AL14" s="474"/>
      <c r="AM14" s="72"/>
      <c r="AN14" s="471"/>
      <c r="AO14" s="72"/>
      <c r="AP14" s="471"/>
      <c r="AQ14" s="72"/>
      <c r="AR14" s="443"/>
      <c r="AS14" s="194"/>
      <c r="AT14" s="443"/>
      <c r="AU14" s="190"/>
      <c r="AV14" s="474"/>
      <c r="AW14" s="72"/>
      <c r="AX14" s="471"/>
      <c r="AY14" s="72"/>
      <c r="AZ14" s="471"/>
      <c r="BA14" s="72"/>
      <c r="BB14" s="443"/>
      <c r="BC14" s="194"/>
      <c r="BD14" s="443"/>
      <c r="BE14" s="190"/>
      <c r="BF14" s="474"/>
      <c r="BG14" s="72"/>
      <c r="BH14" s="471"/>
      <c r="BI14" s="72"/>
      <c r="BJ14" s="471"/>
      <c r="BK14" s="72"/>
      <c r="BL14" s="443"/>
      <c r="BM14" s="194"/>
      <c r="BN14" s="443"/>
      <c r="BO14" s="190"/>
      <c r="BP14" s="191"/>
      <c r="BQ14" s="72"/>
      <c r="BR14" s="72"/>
      <c r="BS14" s="72"/>
      <c r="BT14" s="72"/>
      <c r="BU14" s="72"/>
      <c r="BV14" s="193"/>
      <c r="BW14" s="194"/>
      <c r="BX14" s="193"/>
      <c r="BY14" s="190"/>
      <c r="CA14" s="278">
        <f t="shared" si="0"/>
        <v>0</v>
      </c>
      <c r="CB14" s="280">
        <f t="shared" ref="CB14:CB51" si="4">CA14-BX14</f>
        <v>0</v>
      </c>
      <c r="CC14" s="440">
        <f t="shared" si="1"/>
        <v>0</v>
      </c>
      <c r="CD14" s="440">
        <f t="shared" ref="CD14:CD48" si="5">F14-BY14</f>
        <v>0</v>
      </c>
      <c r="CE14" s="286"/>
      <c r="CF14" s="280">
        <f t="shared" si="2"/>
        <v>0</v>
      </c>
      <c r="CG14" s="280">
        <f t="shared" si="3"/>
        <v>0</v>
      </c>
      <c r="CI14" s="286">
        <v>0</v>
      </c>
      <c r="CJ14" s="286">
        <v>0</v>
      </c>
      <c r="CK14" s="286">
        <v>0</v>
      </c>
    </row>
    <row r="15" spans="2:89" s="281" customFormat="1" ht="14.25" customHeight="1" x14ac:dyDescent="0.2">
      <c r="B15" s="182"/>
      <c r="C15" s="195" t="s">
        <v>227</v>
      </c>
      <c r="D15" s="196"/>
      <c r="E15" s="356"/>
      <c r="F15" s="357">
        <f>SUM(F13:F14)</f>
        <v>3610705066.5</v>
      </c>
      <c r="G15" s="358">
        <f>SUM(G13:G14)</f>
        <v>10316300.189999999</v>
      </c>
      <c r="H15" s="114"/>
      <c r="I15" s="359">
        <f>SUM(I13:I14)</f>
        <v>10316300.189999999</v>
      </c>
      <c r="J15" s="477"/>
      <c r="K15" s="360">
        <f>SUM(K13:K14)</f>
        <v>0</v>
      </c>
      <c r="L15" s="480"/>
      <c r="M15" s="360">
        <f>SUM(M13:M14)</f>
        <v>2063260038</v>
      </c>
      <c r="N15" s="480"/>
      <c r="O15" s="360">
        <f>SUM(O13:O14)</f>
        <v>1547445028.5</v>
      </c>
      <c r="P15" s="477"/>
      <c r="Q15" s="361">
        <f>SUM(Q13:Q14)</f>
        <v>3610705066.5</v>
      </c>
      <c r="R15" s="485"/>
      <c r="S15" s="360">
        <f>SUM(S13:S14)</f>
        <v>0</v>
      </c>
      <c r="T15" s="480"/>
      <c r="U15" s="360">
        <f>SUM(U13:U14)</f>
        <v>0</v>
      </c>
      <c r="V15" s="480"/>
      <c r="W15" s="360">
        <f>SUM(W13:W14)</f>
        <v>0</v>
      </c>
      <c r="X15" s="477"/>
      <c r="Y15" s="361">
        <f>SUM(Y13:Y14)</f>
        <v>0</v>
      </c>
      <c r="Z15" s="477"/>
      <c r="AA15" s="361">
        <f>SUM(AA13:AA14)</f>
        <v>3610705066.5</v>
      </c>
      <c r="AB15" s="485"/>
      <c r="AC15" s="360">
        <f>SUM(AC13:AC14)</f>
        <v>0</v>
      </c>
      <c r="AD15" s="480"/>
      <c r="AE15" s="360">
        <f>SUM(AE13:AE14)</f>
        <v>0</v>
      </c>
      <c r="AF15" s="480"/>
      <c r="AG15" s="360">
        <f>SUM(AG13:AG14)</f>
        <v>0</v>
      </c>
      <c r="AH15" s="477"/>
      <c r="AI15" s="361">
        <f>SUM(AI13:AI14)</f>
        <v>0</v>
      </c>
      <c r="AJ15" s="477"/>
      <c r="AK15" s="361">
        <f>SUM(AK13:AK14)</f>
        <v>3610705066.5</v>
      </c>
      <c r="AL15" s="485"/>
      <c r="AM15" s="360">
        <f>SUM(AM13:AM14)</f>
        <v>0</v>
      </c>
      <c r="AN15" s="480"/>
      <c r="AO15" s="360">
        <f>SUM(AO13:AO14)</f>
        <v>0</v>
      </c>
      <c r="AP15" s="480"/>
      <c r="AQ15" s="360">
        <f>SUM(AQ13:AQ14)</f>
        <v>0</v>
      </c>
      <c r="AR15" s="477"/>
      <c r="AS15" s="361">
        <f>SUM(AS13:AS14)</f>
        <v>0</v>
      </c>
      <c r="AT15" s="477"/>
      <c r="AU15" s="361">
        <f>SUM(AU13:AU14)</f>
        <v>3610705066.5</v>
      </c>
      <c r="AV15" s="485"/>
      <c r="AW15" s="360">
        <f>SUM(AW13:AW14)</f>
        <v>0</v>
      </c>
      <c r="AX15" s="480"/>
      <c r="AY15" s="360">
        <f>SUM(AY13:AY14)</f>
        <v>0</v>
      </c>
      <c r="AZ15" s="480"/>
      <c r="BA15" s="360">
        <f>SUM(BA13:BA14)</f>
        <v>0</v>
      </c>
      <c r="BB15" s="477"/>
      <c r="BC15" s="361">
        <f>SUM(BC13:BC14)</f>
        <v>0</v>
      </c>
      <c r="BD15" s="477"/>
      <c r="BE15" s="361">
        <f>SUM(BE13:BE14)</f>
        <v>3610705066.5</v>
      </c>
      <c r="BF15" s="485"/>
      <c r="BG15" s="360">
        <f>SUM(BG13:BG14)</f>
        <v>0</v>
      </c>
      <c r="BH15" s="480"/>
      <c r="BI15" s="360">
        <f>SUM(BI13:BI14)</f>
        <v>0</v>
      </c>
      <c r="BJ15" s="480"/>
      <c r="BK15" s="360">
        <f>SUM(BK13:BK14)</f>
        <v>0</v>
      </c>
      <c r="BL15" s="477"/>
      <c r="BM15" s="361">
        <f>SUM(BM13:BM14)</f>
        <v>0</v>
      </c>
      <c r="BN15" s="477"/>
      <c r="BO15" s="361">
        <f>SUM(BO13:BO14)</f>
        <v>3610705066.5</v>
      </c>
      <c r="BP15" s="198"/>
      <c r="BQ15" s="360">
        <f>SUM(BQ13:BQ14)</f>
        <v>0</v>
      </c>
      <c r="BR15" s="114"/>
      <c r="BS15" s="360">
        <f>SUM(BS13:BS14)</f>
        <v>0</v>
      </c>
      <c r="BT15" s="114"/>
      <c r="BU15" s="360">
        <f>SUM(BU13:BU14)</f>
        <v>0</v>
      </c>
      <c r="BV15" s="197"/>
      <c r="BW15" s="361">
        <f>SUM(BW13:BW14)</f>
        <v>0</v>
      </c>
      <c r="BX15" s="197"/>
      <c r="BY15" s="361">
        <f>SUM(BY13:BY14)</f>
        <v>3610705066.5</v>
      </c>
      <c r="CA15" s="278">
        <f t="shared" si="0"/>
        <v>0</v>
      </c>
      <c r="CB15" s="280">
        <f t="shared" si="4"/>
        <v>0</v>
      </c>
      <c r="CC15" s="440">
        <f t="shared" si="1"/>
        <v>0</v>
      </c>
      <c r="CD15" s="440">
        <f t="shared" si="5"/>
        <v>0</v>
      </c>
      <c r="CE15" s="291">
        <v>8884769507.8199997</v>
      </c>
      <c r="CF15" s="280">
        <f t="shared" si="2"/>
        <v>5274064441.3199997</v>
      </c>
      <c r="CG15" s="280">
        <f t="shared" si="3"/>
        <v>5274064441.3199997</v>
      </c>
      <c r="CI15" s="291">
        <v>7640840.6499999994</v>
      </c>
      <c r="CJ15" s="291">
        <v>7640840.6499999985</v>
      </c>
      <c r="CK15" s="291">
        <v>0</v>
      </c>
    </row>
    <row r="16" spans="2:89" ht="14.25" hidden="1" customHeight="1" x14ac:dyDescent="0.2">
      <c r="B16" s="186"/>
      <c r="C16" s="563" t="s">
        <v>228</v>
      </c>
      <c r="D16" s="564"/>
      <c r="E16" s="362"/>
      <c r="F16" s="363"/>
      <c r="G16" s="350"/>
      <c r="H16" s="72"/>
      <c r="I16" s="189"/>
      <c r="J16" s="443"/>
      <c r="K16" s="72"/>
      <c r="L16" s="471"/>
      <c r="M16" s="72"/>
      <c r="N16" s="471"/>
      <c r="O16" s="72"/>
      <c r="P16" s="443"/>
      <c r="Q16" s="190"/>
      <c r="R16" s="474"/>
      <c r="S16" s="72"/>
      <c r="T16" s="471"/>
      <c r="U16" s="72"/>
      <c r="V16" s="471"/>
      <c r="W16" s="72"/>
      <c r="X16" s="443"/>
      <c r="Y16" s="190"/>
      <c r="Z16" s="443"/>
      <c r="AA16" s="190"/>
      <c r="AB16" s="474"/>
      <c r="AC16" s="72"/>
      <c r="AD16" s="471"/>
      <c r="AE16" s="72"/>
      <c r="AF16" s="471"/>
      <c r="AG16" s="72"/>
      <c r="AH16" s="443"/>
      <c r="AI16" s="190"/>
      <c r="AJ16" s="443"/>
      <c r="AK16" s="190"/>
      <c r="AL16" s="474"/>
      <c r="AM16" s="72"/>
      <c r="AN16" s="471"/>
      <c r="AO16" s="72"/>
      <c r="AP16" s="471"/>
      <c r="AQ16" s="72"/>
      <c r="AR16" s="443"/>
      <c r="AS16" s="190"/>
      <c r="AT16" s="443"/>
      <c r="AU16" s="190"/>
      <c r="AV16" s="474"/>
      <c r="AW16" s="72"/>
      <c r="AX16" s="471"/>
      <c r="AY16" s="72"/>
      <c r="AZ16" s="471"/>
      <c r="BA16" s="72"/>
      <c r="BB16" s="443"/>
      <c r="BC16" s="190"/>
      <c r="BD16" s="443"/>
      <c r="BE16" s="190"/>
      <c r="BF16" s="474"/>
      <c r="BG16" s="72"/>
      <c r="BH16" s="471"/>
      <c r="BI16" s="72"/>
      <c r="BJ16" s="471"/>
      <c r="BK16" s="72"/>
      <c r="BL16" s="443"/>
      <c r="BM16" s="190"/>
      <c r="BN16" s="443"/>
      <c r="BO16" s="190"/>
      <c r="BP16" s="191"/>
      <c r="BQ16" s="72"/>
      <c r="BR16" s="72"/>
      <c r="BS16" s="72"/>
      <c r="BT16" s="72"/>
      <c r="BU16" s="72"/>
      <c r="BV16" s="193"/>
      <c r="BW16" s="190"/>
      <c r="BX16" s="193"/>
      <c r="BY16" s="190"/>
      <c r="CA16" s="278">
        <f t="shared" si="0"/>
        <v>0</v>
      </c>
      <c r="CB16" s="280">
        <f t="shared" si="4"/>
        <v>0</v>
      </c>
      <c r="CC16" s="440">
        <f t="shared" si="1"/>
        <v>0</v>
      </c>
      <c r="CD16" s="440">
        <f t="shared" si="5"/>
        <v>0</v>
      </c>
      <c r="CE16" s="286"/>
      <c r="CF16" s="280">
        <f t="shared" si="2"/>
        <v>0</v>
      </c>
      <c r="CG16" s="280">
        <f t="shared" si="3"/>
        <v>0</v>
      </c>
      <c r="CI16" s="286">
        <v>0</v>
      </c>
      <c r="CJ16" s="286">
        <v>0</v>
      </c>
      <c r="CK16" s="286">
        <v>0</v>
      </c>
    </row>
    <row r="17" spans="2:89" ht="14.25" customHeight="1" x14ac:dyDescent="0.2">
      <c r="B17" s="186">
        <v>2</v>
      </c>
      <c r="C17" s="187" t="s">
        <v>182</v>
      </c>
      <c r="D17" s="188"/>
      <c r="E17" s="219"/>
      <c r="F17" s="222"/>
      <c r="G17" s="191"/>
      <c r="H17" s="72"/>
      <c r="I17" s="189"/>
      <c r="J17" s="443"/>
      <c r="K17" s="72"/>
      <c r="L17" s="471"/>
      <c r="M17" s="72"/>
      <c r="N17" s="471"/>
      <c r="O17" s="72"/>
      <c r="P17" s="443"/>
      <c r="Q17" s="190"/>
      <c r="R17" s="474"/>
      <c r="S17" s="72"/>
      <c r="T17" s="471"/>
      <c r="U17" s="72"/>
      <c r="V17" s="471"/>
      <c r="W17" s="72"/>
      <c r="X17" s="443"/>
      <c r="Y17" s="190"/>
      <c r="Z17" s="443"/>
      <c r="AA17" s="190"/>
      <c r="AB17" s="474"/>
      <c r="AC17" s="72"/>
      <c r="AD17" s="471"/>
      <c r="AE17" s="72"/>
      <c r="AF17" s="471"/>
      <c r="AG17" s="72"/>
      <c r="AH17" s="443"/>
      <c r="AI17" s="190"/>
      <c r="AJ17" s="443"/>
      <c r="AK17" s="190"/>
      <c r="AL17" s="474"/>
      <c r="AM17" s="72"/>
      <c r="AN17" s="471"/>
      <c r="AO17" s="72"/>
      <c r="AP17" s="471"/>
      <c r="AQ17" s="72"/>
      <c r="AR17" s="443"/>
      <c r="AS17" s="190"/>
      <c r="AT17" s="443"/>
      <c r="AU17" s="190"/>
      <c r="AV17" s="474"/>
      <c r="AW17" s="72"/>
      <c r="AX17" s="471"/>
      <c r="AY17" s="72"/>
      <c r="AZ17" s="471"/>
      <c r="BA17" s="72"/>
      <c r="BB17" s="443"/>
      <c r="BC17" s="190"/>
      <c r="BD17" s="443"/>
      <c r="BE17" s="190"/>
      <c r="BF17" s="474"/>
      <c r="BG17" s="72"/>
      <c r="BH17" s="471"/>
      <c r="BI17" s="72"/>
      <c r="BJ17" s="471"/>
      <c r="BK17" s="72"/>
      <c r="BL17" s="443"/>
      <c r="BM17" s="190"/>
      <c r="BN17" s="443"/>
      <c r="BO17" s="190"/>
      <c r="BP17" s="191"/>
      <c r="BQ17" s="72"/>
      <c r="BR17" s="72"/>
      <c r="BS17" s="72"/>
      <c r="BT17" s="72"/>
      <c r="BU17" s="72"/>
      <c r="BV17" s="193"/>
      <c r="BW17" s="190"/>
      <c r="BX17" s="193"/>
      <c r="BY17" s="190"/>
      <c r="CA17" s="280">
        <f t="shared" si="0"/>
        <v>0</v>
      </c>
      <c r="CB17" s="280">
        <f t="shared" si="4"/>
        <v>0</v>
      </c>
      <c r="CC17" s="440">
        <f t="shared" si="1"/>
        <v>0</v>
      </c>
      <c r="CD17" s="440">
        <f t="shared" si="5"/>
        <v>0</v>
      </c>
      <c r="CE17" s="286"/>
      <c r="CF17" s="280">
        <f t="shared" si="2"/>
        <v>0</v>
      </c>
      <c r="CG17" s="280">
        <f t="shared" si="3"/>
        <v>0</v>
      </c>
      <c r="CI17" s="286">
        <v>0</v>
      </c>
      <c r="CJ17" s="286">
        <v>0</v>
      </c>
      <c r="CK17" s="286">
        <v>0</v>
      </c>
    </row>
    <row r="18" spans="2:89" ht="14.25" customHeight="1" x14ac:dyDescent="0.2">
      <c r="B18" s="186"/>
      <c r="C18" s="187" t="s">
        <v>229</v>
      </c>
      <c r="D18" s="188"/>
      <c r="E18" s="219"/>
      <c r="F18" s="222"/>
      <c r="G18" s="191"/>
      <c r="H18" s="72"/>
      <c r="I18" s="189"/>
      <c r="J18" s="443"/>
      <c r="K18" s="72"/>
      <c r="L18" s="471"/>
      <c r="M18" s="72"/>
      <c r="N18" s="471"/>
      <c r="O18" s="72"/>
      <c r="P18" s="443"/>
      <c r="Q18" s="190"/>
      <c r="R18" s="474"/>
      <c r="S18" s="72"/>
      <c r="T18" s="471"/>
      <c r="U18" s="72"/>
      <c r="V18" s="471"/>
      <c r="W18" s="72"/>
      <c r="X18" s="443"/>
      <c r="Y18" s="190"/>
      <c r="Z18" s="443"/>
      <c r="AA18" s="190"/>
      <c r="AB18" s="474"/>
      <c r="AC18" s="72"/>
      <c r="AD18" s="471"/>
      <c r="AE18" s="72"/>
      <c r="AF18" s="471"/>
      <c r="AG18" s="72"/>
      <c r="AH18" s="443"/>
      <c r="AI18" s="190"/>
      <c r="AJ18" s="443"/>
      <c r="AK18" s="190"/>
      <c r="AL18" s="474"/>
      <c r="AM18" s="72"/>
      <c r="AN18" s="471"/>
      <c r="AO18" s="72"/>
      <c r="AP18" s="471"/>
      <c r="AQ18" s="72"/>
      <c r="AR18" s="443"/>
      <c r="AS18" s="190"/>
      <c r="AT18" s="443"/>
      <c r="AU18" s="190"/>
      <c r="AV18" s="474"/>
      <c r="AW18" s="72"/>
      <c r="AX18" s="471"/>
      <c r="AY18" s="72"/>
      <c r="AZ18" s="471"/>
      <c r="BA18" s="72"/>
      <c r="BB18" s="443"/>
      <c r="BC18" s="190"/>
      <c r="BD18" s="443"/>
      <c r="BE18" s="190"/>
      <c r="BF18" s="474"/>
      <c r="BG18" s="72"/>
      <c r="BH18" s="471"/>
      <c r="BI18" s="72"/>
      <c r="BJ18" s="471"/>
      <c r="BK18" s="72"/>
      <c r="BL18" s="443"/>
      <c r="BM18" s="190"/>
      <c r="BN18" s="443"/>
      <c r="BO18" s="190"/>
      <c r="BP18" s="191"/>
      <c r="BQ18" s="72"/>
      <c r="BR18" s="72"/>
      <c r="BS18" s="72"/>
      <c r="BT18" s="72"/>
      <c r="BU18" s="72"/>
      <c r="BV18" s="193"/>
      <c r="BW18" s="190"/>
      <c r="BX18" s="193"/>
      <c r="BY18" s="190"/>
      <c r="CA18" s="439">
        <f t="shared" si="0"/>
        <v>0</v>
      </c>
      <c r="CB18" s="280">
        <f t="shared" si="4"/>
        <v>0</v>
      </c>
      <c r="CC18" s="440">
        <f t="shared" si="1"/>
        <v>0</v>
      </c>
      <c r="CD18" s="440">
        <f t="shared" si="5"/>
        <v>0</v>
      </c>
      <c r="CE18" s="286"/>
      <c r="CF18" s="280">
        <f t="shared" si="2"/>
        <v>0</v>
      </c>
      <c r="CG18" s="280">
        <f t="shared" si="3"/>
        <v>0</v>
      </c>
      <c r="CI18" s="286">
        <v>0</v>
      </c>
      <c r="CJ18" s="286">
        <v>0</v>
      </c>
      <c r="CK18" s="286">
        <v>0</v>
      </c>
    </row>
    <row r="19" spans="2:89" ht="14.25" customHeight="1" x14ac:dyDescent="0.2">
      <c r="B19" s="186"/>
      <c r="C19" s="187" t="s">
        <v>230</v>
      </c>
      <c r="D19" s="188"/>
      <c r="E19" s="443">
        <f>$D$5</f>
        <v>350</v>
      </c>
      <c r="F19" s="192">
        <f>E19*G19</f>
        <v>734415233.75000012</v>
      </c>
      <c r="G19" s="191">
        <f>'Rekapitulasi Biaya'!C19</f>
        <v>2098329.2392857145</v>
      </c>
      <c r="H19" s="72">
        <v>1</v>
      </c>
      <c r="I19" s="189">
        <f>G19/H19</f>
        <v>2098329.2392857145</v>
      </c>
      <c r="J19" s="443">
        <v>0</v>
      </c>
      <c r="K19" s="72">
        <f>J19*$G19</f>
        <v>0</v>
      </c>
      <c r="L19" s="471">
        <v>200</v>
      </c>
      <c r="M19" s="72">
        <f>L19*$G19</f>
        <v>419665847.85714287</v>
      </c>
      <c r="N19" s="471">
        <v>150</v>
      </c>
      <c r="O19" s="72">
        <f>N19*$G19</f>
        <v>314749385.89285719</v>
      </c>
      <c r="P19" s="443">
        <f>J19+L19+N19</f>
        <v>350</v>
      </c>
      <c r="Q19" s="190">
        <f>K19+M19+O19</f>
        <v>734415233.75</v>
      </c>
      <c r="R19" s="474"/>
      <c r="S19" s="72">
        <f>R19*$G19</f>
        <v>0</v>
      </c>
      <c r="T19" s="471"/>
      <c r="U19" s="72">
        <f>T19*$G19</f>
        <v>0</v>
      </c>
      <c r="V19" s="471"/>
      <c r="W19" s="72">
        <f>V19*$G19</f>
        <v>0</v>
      </c>
      <c r="X19" s="443">
        <f>R19+T19+V19</f>
        <v>0</v>
      </c>
      <c r="Y19" s="190">
        <f>S19+U19+W19</f>
        <v>0</v>
      </c>
      <c r="Z19" s="443">
        <f>X19+P19</f>
        <v>350</v>
      </c>
      <c r="AA19" s="307">
        <f>Y19+Q19</f>
        <v>734415233.75</v>
      </c>
      <c r="AB19" s="474"/>
      <c r="AC19" s="72">
        <f>AB19*$G19</f>
        <v>0</v>
      </c>
      <c r="AD19" s="471"/>
      <c r="AE19" s="72">
        <f>AD19*$G19</f>
        <v>0</v>
      </c>
      <c r="AF19" s="471"/>
      <c r="AG19" s="72">
        <f>AF19*$G19</f>
        <v>0</v>
      </c>
      <c r="AH19" s="443">
        <f>AB19+AD19+AF19</f>
        <v>0</v>
      </c>
      <c r="AI19" s="190">
        <f>AC19+AE19+AG19</f>
        <v>0</v>
      </c>
      <c r="AJ19" s="443">
        <f>AH19+Z19</f>
        <v>350</v>
      </c>
      <c r="AK19" s="190">
        <f>AI19+AA19</f>
        <v>734415233.75</v>
      </c>
      <c r="AL19" s="474"/>
      <c r="AM19" s="72">
        <f>AL19*$G19</f>
        <v>0</v>
      </c>
      <c r="AN19" s="471"/>
      <c r="AO19" s="72">
        <f>AN19*$G19</f>
        <v>0</v>
      </c>
      <c r="AP19" s="471"/>
      <c r="AQ19" s="72">
        <f>AP19*$G19</f>
        <v>0</v>
      </c>
      <c r="AR19" s="443">
        <f>AL19+AN19+AP19</f>
        <v>0</v>
      </c>
      <c r="AS19" s="190">
        <f>AM19+AO19+AQ19</f>
        <v>0</v>
      </c>
      <c r="AT19" s="443">
        <f>AR19+AJ19</f>
        <v>350</v>
      </c>
      <c r="AU19" s="190">
        <f>AS19+AK19</f>
        <v>734415233.75</v>
      </c>
      <c r="AV19" s="474"/>
      <c r="AW19" s="72">
        <f>AV19*$G19</f>
        <v>0</v>
      </c>
      <c r="AX19" s="471"/>
      <c r="AY19" s="72">
        <f>AX19*$G19</f>
        <v>0</v>
      </c>
      <c r="AZ19" s="471"/>
      <c r="BA19" s="72">
        <f>AZ19*$G19</f>
        <v>0</v>
      </c>
      <c r="BB19" s="443">
        <f>AV19+AX19+AZ19</f>
        <v>0</v>
      </c>
      <c r="BC19" s="190">
        <f>AW19+AY19+BA19</f>
        <v>0</v>
      </c>
      <c r="BD19" s="443">
        <f>BB19+AT19</f>
        <v>350</v>
      </c>
      <c r="BE19" s="190">
        <f>BC19+AU19</f>
        <v>734415233.75</v>
      </c>
      <c r="BF19" s="474"/>
      <c r="BG19" s="72">
        <f>BF19*$G19</f>
        <v>0</v>
      </c>
      <c r="BH19" s="471"/>
      <c r="BI19" s="72">
        <f>BH19*$G19</f>
        <v>0</v>
      </c>
      <c r="BJ19" s="471"/>
      <c r="BK19" s="72">
        <f>BJ19*$G19</f>
        <v>0</v>
      </c>
      <c r="BL19" s="443">
        <f>BF19+BH19+BJ19</f>
        <v>0</v>
      </c>
      <c r="BM19" s="190">
        <f>BG19+BI19+BK19</f>
        <v>0</v>
      </c>
      <c r="BN19" s="443">
        <f>BL19+BD19</f>
        <v>350</v>
      </c>
      <c r="BO19" s="190">
        <f>BM19+BE19</f>
        <v>734415233.75</v>
      </c>
      <c r="BP19" s="191"/>
      <c r="BQ19" s="72">
        <f>BP19*$G19</f>
        <v>0</v>
      </c>
      <c r="BR19" s="72"/>
      <c r="BS19" s="72">
        <f>BR19*$G19</f>
        <v>0</v>
      </c>
      <c r="BT19" s="72"/>
      <c r="BU19" s="72">
        <f>BT19*$G19</f>
        <v>0</v>
      </c>
      <c r="BV19" s="193">
        <f>BP19+BR19+BT19</f>
        <v>0</v>
      </c>
      <c r="BW19" s="190">
        <f>BQ19+BS19+BU19</f>
        <v>0</v>
      </c>
      <c r="BX19" s="443">
        <f>BV19+BN19</f>
        <v>350</v>
      </c>
      <c r="BY19" s="190">
        <f>BW19+BO19</f>
        <v>734415233.75</v>
      </c>
      <c r="CA19" s="278">
        <f t="shared" si="0"/>
        <v>350</v>
      </c>
      <c r="CB19" s="280">
        <f>CA19-BX19</f>
        <v>0</v>
      </c>
      <c r="CC19" s="440">
        <f t="shared" si="1"/>
        <v>0</v>
      </c>
      <c r="CD19" s="440">
        <f t="shared" si="5"/>
        <v>0</v>
      </c>
      <c r="CE19" s="286">
        <v>2694133569.719224</v>
      </c>
      <c r="CF19" s="280">
        <f t="shared" si="2"/>
        <v>1959718335.969224</v>
      </c>
      <c r="CG19" s="280">
        <f t="shared" si="3"/>
        <v>1959718335.969224</v>
      </c>
      <c r="CI19" s="286">
        <v>2316936.3344678571</v>
      </c>
      <c r="CJ19" s="286">
        <v>2316936.3344678571</v>
      </c>
      <c r="CK19" s="286">
        <v>0</v>
      </c>
    </row>
    <row r="20" spans="2:89" ht="14.25" customHeight="1" x14ac:dyDescent="0.2">
      <c r="B20" s="186"/>
      <c r="C20" s="187" t="s">
        <v>231</v>
      </c>
      <c r="D20" s="188"/>
      <c r="E20" s="443">
        <f>$D$5</f>
        <v>350</v>
      </c>
      <c r="F20" s="192">
        <f>E20*G20</f>
        <v>2116285965.8762076</v>
      </c>
      <c r="G20" s="351">
        <f>'Rekapitulasi Biaya'!C20</f>
        <v>6046531.3310748786</v>
      </c>
      <c r="H20" s="72">
        <v>1</v>
      </c>
      <c r="I20" s="189">
        <f>G20/H20</f>
        <v>6046531.3310748786</v>
      </c>
      <c r="J20" s="443">
        <f>J19</f>
        <v>0</v>
      </c>
      <c r="K20" s="72">
        <f>J20*$G20</f>
        <v>0</v>
      </c>
      <c r="L20" s="471">
        <f>L19</f>
        <v>200</v>
      </c>
      <c r="M20" s="72">
        <f>L20*$G20</f>
        <v>1209306266.2149758</v>
      </c>
      <c r="N20" s="471">
        <v>150</v>
      </c>
      <c r="O20" s="72">
        <f>N20*$G20</f>
        <v>906979699.66123176</v>
      </c>
      <c r="P20" s="443">
        <f>J20+L20+N20</f>
        <v>350</v>
      </c>
      <c r="Q20" s="190">
        <f>K20+M20+O20</f>
        <v>2116285965.8762076</v>
      </c>
      <c r="R20" s="443"/>
      <c r="S20" s="72">
        <f>R20*$G20</f>
        <v>0</v>
      </c>
      <c r="T20" s="471"/>
      <c r="U20" s="72">
        <f>T20*$G20</f>
        <v>0</v>
      </c>
      <c r="V20" s="471"/>
      <c r="W20" s="72">
        <f>V20*$G20</f>
        <v>0</v>
      </c>
      <c r="X20" s="443">
        <f>R20+T20+V20</f>
        <v>0</v>
      </c>
      <c r="Y20" s="190">
        <f>S20+U20+W20</f>
        <v>0</v>
      </c>
      <c r="Z20" s="443">
        <f>X20+P20</f>
        <v>350</v>
      </c>
      <c r="AA20" s="307">
        <f>Y20+Q20</f>
        <v>2116285965.8762076</v>
      </c>
      <c r="AB20" s="474"/>
      <c r="AC20" s="72">
        <f>AB20*$G20</f>
        <v>0</v>
      </c>
      <c r="AD20" s="471"/>
      <c r="AE20" s="72">
        <f>AD20*$G20</f>
        <v>0</v>
      </c>
      <c r="AF20" s="471"/>
      <c r="AG20" s="72">
        <f>AF20*$G20</f>
        <v>0</v>
      </c>
      <c r="AH20" s="443">
        <f>AB20+AD20+AF20</f>
        <v>0</v>
      </c>
      <c r="AI20" s="190">
        <f>AC20+AE20+AG20</f>
        <v>0</v>
      </c>
      <c r="AJ20" s="443">
        <f>AH20+Z20</f>
        <v>350</v>
      </c>
      <c r="AK20" s="190">
        <f>AI20+AA20</f>
        <v>2116285965.8762076</v>
      </c>
      <c r="AL20" s="474"/>
      <c r="AM20" s="72">
        <f>AL20*$G20</f>
        <v>0</v>
      </c>
      <c r="AN20" s="471"/>
      <c r="AO20" s="72">
        <f>AN20*$G20</f>
        <v>0</v>
      </c>
      <c r="AP20" s="471"/>
      <c r="AQ20" s="72">
        <f>AP20*$G20</f>
        <v>0</v>
      </c>
      <c r="AR20" s="443">
        <f>AL20+AN20+AP20</f>
        <v>0</v>
      </c>
      <c r="AS20" s="190">
        <f>AM20+AO20+AQ20</f>
        <v>0</v>
      </c>
      <c r="AT20" s="443">
        <f>AR20+AJ20</f>
        <v>350</v>
      </c>
      <c r="AU20" s="190">
        <f>AS20+AK20</f>
        <v>2116285965.8762076</v>
      </c>
      <c r="AV20" s="474"/>
      <c r="AW20" s="72">
        <f>AV20*$G20</f>
        <v>0</v>
      </c>
      <c r="AX20" s="471"/>
      <c r="AY20" s="72">
        <f>AX20*$G20</f>
        <v>0</v>
      </c>
      <c r="AZ20" s="471"/>
      <c r="BA20" s="72">
        <f>AZ20*$G20</f>
        <v>0</v>
      </c>
      <c r="BB20" s="443">
        <f>AV20+AX20+AZ20</f>
        <v>0</v>
      </c>
      <c r="BC20" s="190">
        <f>AW20+AY20+BA20</f>
        <v>0</v>
      </c>
      <c r="BD20" s="443">
        <f>BB20+AT20</f>
        <v>350</v>
      </c>
      <c r="BE20" s="190">
        <f>BC20+AU20</f>
        <v>2116285965.8762076</v>
      </c>
      <c r="BF20" s="474"/>
      <c r="BG20" s="72">
        <f>BF20*$G20</f>
        <v>0</v>
      </c>
      <c r="BH20" s="471"/>
      <c r="BI20" s="72">
        <f>BH20*$G20</f>
        <v>0</v>
      </c>
      <c r="BJ20" s="471"/>
      <c r="BK20" s="72">
        <f>BJ20*$G20</f>
        <v>0</v>
      </c>
      <c r="BL20" s="443">
        <f>BF20+BH20+BJ20</f>
        <v>0</v>
      </c>
      <c r="BM20" s="190">
        <f>BG20+BI20+BK20</f>
        <v>0</v>
      </c>
      <c r="BN20" s="443">
        <f>BL20+BD20</f>
        <v>350</v>
      </c>
      <c r="BO20" s="190">
        <f>BM20+BE20</f>
        <v>2116285965.8762076</v>
      </c>
      <c r="BP20" s="191"/>
      <c r="BQ20" s="72">
        <f>BP20*$G20</f>
        <v>0</v>
      </c>
      <c r="BR20" s="72"/>
      <c r="BS20" s="72">
        <f>BR20*$G20</f>
        <v>0</v>
      </c>
      <c r="BT20" s="72"/>
      <c r="BU20" s="72">
        <f>BT20*$G20</f>
        <v>0</v>
      </c>
      <c r="BV20" s="193">
        <f>BP20+BR20+BT20</f>
        <v>0</v>
      </c>
      <c r="BW20" s="190">
        <f>BQ20+BS20+BU20</f>
        <v>0</v>
      </c>
      <c r="BX20" s="443">
        <f>BV20+BN20</f>
        <v>350</v>
      </c>
      <c r="BY20" s="190">
        <f>BW20+BO20</f>
        <v>2116285965.8762076</v>
      </c>
      <c r="CA20" s="278">
        <f t="shared" si="0"/>
        <v>350</v>
      </c>
      <c r="CB20" s="280">
        <f t="shared" si="4"/>
        <v>0</v>
      </c>
      <c r="CC20" s="440">
        <f t="shared" si="1"/>
        <v>0</v>
      </c>
      <c r="CD20" s="440">
        <f t="shared" si="5"/>
        <v>0</v>
      </c>
      <c r="CE20" s="286">
        <v>7837350503.8256998</v>
      </c>
      <c r="CF20" s="280">
        <f t="shared" si="2"/>
        <v>5721064537.9494925</v>
      </c>
      <c r="CG20" s="280">
        <f t="shared" si="3"/>
        <v>5721064537.9494925</v>
      </c>
      <c r="CI20" s="286">
        <v>6740067.5127499998</v>
      </c>
      <c r="CJ20" s="286">
        <v>6740067.5127500007</v>
      </c>
      <c r="CK20" s="286">
        <v>0</v>
      </c>
    </row>
    <row r="21" spans="2:89" ht="14.25" customHeight="1" x14ac:dyDescent="0.2">
      <c r="B21" s="186"/>
      <c r="C21" s="199" t="s">
        <v>232</v>
      </c>
      <c r="D21" s="200"/>
      <c r="E21" s="444"/>
      <c r="F21" s="365">
        <f>SUM(F19:F20)</f>
        <v>2850701199.6262078</v>
      </c>
      <c r="G21" s="366">
        <f>SUM(G19:G20)</f>
        <v>8144860.5703605935</v>
      </c>
      <c r="H21" s="367"/>
      <c r="I21" s="368">
        <f>SUM(I19:I20)</f>
        <v>8144860.5703605935</v>
      </c>
      <c r="J21" s="469"/>
      <c r="K21" s="367">
        <f>SUM(K19:K20)</f>
        <v>0</v>
      </c>
      <c r="L21" s="472"/>
      <c r="M21" s="367">
        <f>SUM(M19:M20)</f>
        <v>1628972114.0721188</v>
      </c>
      <c r="N21" s="472"/>
      <c r="O21" s="367">
        <f>SUM(O19:O20)</f>
        <v>1221729085.5540891</v>
      </c>
      <c r="P21" s="469"/>
      <c r="Q21" s="370">
        <f>SUM(Q19:Q20)</f>
        <v>2850701199.6262074</v>
      </c>
      <c r="R21" s="475"/>
      <c r="S21" s="367">
        <f>SUM(S19:S20)</f>
        <v>0</v>
      </c>
      <c r="T21" s="472"/>
      <c r="U21" s="367">
        <f>SUM(U19:U20)</f>
        <v>0</v>
      </c>
      <c r="V21" s="472"/>
      <c r="W21" s="367">
        <f>SUM(W19:W20)</f>
        <v>0</v>
      </c>
      <c r="X21" s="469"/>
      <c r="Y21" s="370">
        <f>SUM(Y19:Y20)</f>
        <v>0</v>
      </c>
      <c r="Z21" s="469"/>
      <c r="AA21" s="370">
        <f>SUM(AA19:AA20)</f>
        <v>2850701199.6262074</v>
      </c>
      <c r="AB21" s="475"/>
      <c r="AC21" s="367">
        <f>SUM(AC19:AC20)</f>
        <v>0</v>
      </c>
      <c r="AD21" s="472"/>
      <c r="AE21" s="367">
        <f>SUM(AE19:AE20)</f>
        <v>0</v>
      </c>
      <c r="AF21" s="472"/>
      <c r="AG21" s="367">
        <f>SUM(AG19:AG20)</f>
        <v>0</v>
      </c>
      <c r="AH21" s="469"/>
      <c r="AI21" s="370">
        <f>SUM(AI19:AI20)</f>
        <v>0</v>
      </c>
      <c r="AJ21" s="469"/>
      <c r="AK21" s="370">
        <f>SUM(AK19:AK20)</f>
        <v>2850701199.6262074</v>
      </c>
      <c r="AL21" s="475"/>
      <c r="AM21" s="367">
        <f>SUM(AM19:AM20)</f>
        <v>0</v>
      </c>
      <c r="AN21" s="472"/>
      <c r="AO21" s="367">
        <f>SUM(AO19:AO20)</f>
        <v>0</v>
      </c>
      <c r="AP21" s="472"/>
      <c r="AQ21" s="367">
        <f>SUM(AQ19:AQ20)</f>
        <v>0</v>
      </c>
      <c r="AR21" s="469"/>
      <c r="AS21" s="370">
        <f>SUM(AS19:AS20)</f>
        <v>0</v>
      </c>
      <c r="AT21" s="469"/>
      <c r="AU21" s="370">
        <f>SUM(AU19:AU20)</f>
        <v>2850701199.6262074</v>
      </c>
      <c r="AV21" s="475"/>
      <c r="AW21" s="367">
        <f>SUM(AW19:AW20)</f>
        <v>0</v>
      </c>
      <c r="AX21" s="472"/>
      <c r="AY21" s="367">
        <f>SUM(AY19:AY20)</f>
        <v>0</v>
      </c>
      <c r="AZ21" s="472"/>
      <c r="BA21" s="367">
        <f>SUM(BA19:BA20)</f>
        <v>0</v>
      </c>
      <c r="BB21" s="469"/>
      <c r="BC21" s="370">
        <f>SUM(BC19:BC20)</f>
        <v>0</v>
      </c>
      <c r="BD21" s="469"/>
      <c r="BE21" s="370">
        <f>SUM(BE19:BE20)</f>
        <v>2850701199.6262074</v>
      </c>
      <c r="BF21" s="475"/>
      <c r="BG21" s="367">
        <f>SUM(BG19:BG20)</f>
        <v>0</v>
      </c>
      <c r="BH21" s="472"/>
      <c r="BI21" s="367">
        <f>SUM(BI19:BI20)</f>
        <v>0</v>
      </c>
      <c r="BJ21" s="472"/>
      <c r="BK21" s="367">
        <f>SUM(BK19:BK20)</f>
        <v>0</v>
      </c>
      <c r="BL21" s="469"/>
      <c r="BM21" s="370">
        <f>SUM(BM19:BM20)</f>
        <v>0</v>
      </c>
      <c r="BN21" s="469"/>
      <c r="BO21" s="370">
        <f>SUM(BO19:BO20)</f>
        <v>2850701199.6262074</v>
      </c>
      <c r="BP21" s="366"/>
      <c r="BQ21" s="367">
        <f>SUM(BQ19:BQ20)</f>
        <v>0</v>
      </c>
      <c r="BR21" s="367"/>
      <c r="BS21" s="367">
        <f>SUM(BS19:BS20)</f>
        <v>0</v>
      </c>
      <c r="BT21" s="367"/>
      <c r="BU21" s="367">
        <f>SUM(BU19:BU20)</f>
        <v>0</v>
      </c>
      <c r="BV21" s="369"/>
      <c r="BW21" s="370">
        <f>SUM(BW19:BW20)</f>
        <v>0</v>
      </c>
      <c r="BX21" s="369"/>
      <c r="BY21" s="370">
        <f>SUM(BY19:BY20)</f>
        <v>2850701199.6262074</v>
      </c>
      <c r="CA21" s="278">
        <f t="shared" si="0"/>
        <v>0</v>
      </c>
      <c r="CB21" s="280">
        <f t="shared" si="4"/>
        <v>0</v>
      </c>
      <c r="CC21" s="440">
        <f t="shared" si="1"/>
        <v>0</v>
      </c>
      <c r="CD21" s="440">
        <f t="shared" si="5"/>
        <v>0</v>
      </c>
      <c r="CE21" s="286">
        <v>10531484073.544924</v>
      </c>
      <c r="CF21" s="280">
        <f t="shared" si="2"/>
        <v>7680782873.9187164</v>
      </c>
      <c r="CG21" s="280">
        <f t="shared" si="3"/>
        <v>7680782873.9187164</v>
      </c>
      <c r="CI21" s="286">
        <v>9057003.8472178578</v>
      </c>
      <c r="CJ21" s="286">
        <v>9057003.8472178578</v>
      </c>
      <c r="CK21" s="286">
        <v>0</v>
      </c>
    </row>
    <row r="22" spans="2:89" ht="14.25" customHeight="1" x14ac:dyDescent="0.2">
      <c r="B22" s="186"/>
      <c r="C22" s="187" t="s">
        <v>603</v>
      </c>
      <c r="D22" s="188"/>
      <c r="E22" s="443">
        <f>$D$5</f>
        <v>350</v>
      </c>
      <c r="F22" s="192">
        <f>E22*G22</f>
        <v>923743796.50000012</v>
      </c>
      <c r="G22" s="191">
        <f>'Rekapitulasi Biaya'!C22</f>
        <v>2639267.9900000002</v>
      </c>
      <c r="H22" s="72">
        <v>1</v>
      </c>
      <c r="I22" s="189">
        <f>G22/H22</f>
        <v>2639267.9900000002</v>
      </c>
      <c r="J22" s="443"/>
      <c r="K22" s="72">
        <f>J22*$G22</f>
        <v>0</v>
      </c>
      <c r="L22" s="471">
        <v>200</v>
      </c>
      <c r="M22" s="72">
        <f>L22*$G22</f>
        <v>527853598.00000006</v>
      </c>
      <c r="N22" s="471">
        <v>150</v>
      </c>
      <c r="O22" s="72">
        <f>N22*$G22</f>
        <v>395890198.50000006</v>
      </c>
      <c r="P22" s="443">
        <f>J22+L22+N22</f>
        <v>350</v>
      </c>
      <c r="Q22" s="190">
        <f>K22+M22+O22</f>
        <v>923743796.50000012</v>
      </c>
      <c r="R22" s="474">
        <v>0</v>
      </c>
      <c r="S22" s="72">
        <f>R22*$G22</f>
        <v>0</v>
      </c>
      <c r="T22" s="471">
        <v>0</v>
      </c>
      <c r="U22" s="72">
        <f>T22*$G22</f>
        <v>0</v>
      </c>
      <c r="V22" s="471">
        <v>0</v>
      </c>
      <c r="W22" s="72">
        <f>V22*$G22</f>
        <v>0</v>
      </c>
      <c r="X22" s="443">
        <v>0</v>
      </c>
      <c r="Y22" s="190">
        <f>S22+U22+W22</f>
        <v>0</v>
      </c>
      <c r="Z22" s="443">
        <f t="shared" ref="Z22:AA26" si="6">X22+P22</f>
        <v>350</v>
      </c>
      <c r="AA22" s="307">
        <f t="shared" si="6"/>
        <v>923743796.50000012</v>
      </c>
      <c r="AB22" s="474">
        <v>0</v>
      </c>
      <c r="AC22" s="72">
        <f>AB22*$G22</f>
        <v>0</v>
      </c>
      <c r="AD22" s="471">
        <v>0</v>
      </c>
      <c r="AE22" s="72">
        <f>AD22*$G22</f>
        <v>0</v>
      </c>
      <c r="AF22" s="471"/>
      <c r="AG22" s="72">
        <f>AF22*$G22</f>
        <v>0</v>
      </c>
      <c r="AH22" s="443">
        <v>0</v>
      </c>
      <c r="AI22" s="190">
        <f>AC22+AE22+AG22</f>
        <v>0</v>
      </c>
      <c r="AJ22" s="443">
        <f t="shared" ref="AJ22:AK26" si="7">AH22+Z22</f>
        <v>350</v>
      </c>
      <c r="AK22" s="190">
        <f t="shared" si="7"/>
        <v>923743796.50000012</v>
      </c>
      <c r="AL22" s="474"/>
      <c r="AM22" s="72">
        <f>AL22*$G22</f>
        <v>0</v>
      </c>
      <c r="AN22" s="471"/>
      <c r="AO22" s="72">
        <f>AN22*$G22</f>
        <v>0</v>
      </c>
      <c r="AP22" s="471"/>
      <c r="AQ22" s="72">
        <f>AP22*$G22</f>
        <v>0</v>
      </c>
      <c r="AR22" s="443">
        <f>AL22+AN22+AP22</f>
        <v>0</v>
      </c>
      <c r="AS22" s="190">
        <f>AM22+AO22+AQ22</f>
        <v>0</v>
      </c>
      <c r="AT22" s="443">
        <f t="shared" ref="AT22:AU26" si="8">AR22+AJ22</f>
        <v>350</v>
      </c>
      <c r="AU22" s="190">
        <f t="shared" si="8"/>
        <v>923743796.50000012</v>
      </c>
      <c r="AV22" s="474"/>
      <c r="AW22" s="72">
        <f>AV22*$G22</f>
        <v>0</v>
      </c>
      <c r="AX22" s="471"/>
      <c r="AY22" s="72">
        <f>AX22*$G22</f>
        <v>0</v>
      </c>
      <c r="AZ22" s="471"/>
      <c r="BA22" s="72">
        <f>AZ22*$G22</f>
        <v>0</v>
      </c>
      <c r="BB22" s="443">
        <f>AV22+AX22+AZ22</f>
        <v>0</v>
      </c>
      <c r="BC22" s="190">
        <f>AW22+AY22+BA22</f>
        <v>0</v>
      </c>
      <c r="BD22" s="443">
        <f t="shared" ref="BD22:BE26" si="9">BB22+AT22</f>
        <v>350</v>
      </c>
      <c r="BE22" s="190">
        <f t="shared" si="9"/>
        <v>923743796.50000012</v>
      </c>
      <c r="BF22" s="474"/>
      <c r="BG22" s="72">
        <f>BF22*$G22</f>
        <v>0</v>
      </c>
      <c r="BH22" s="471"/>
      <c r="BI22" s="72">
        <f>BH22*$G22</f>
        <v>0</v>
      </c>
      <c r="BJ22" s="471"/>
      <c r="BK22" s="72">
        <f>BJ22*$G22</f>
        <v>0</v>
      </c>
      <c r="BL22" s="443">
        <f>BF22+BH22+BJ22</f>
        <v>0</v>
      </c>
      <c r="BM22" s="190">
        <f>BG22+BI22+BK22</f>
        <v>0</v>
      </c>
      <c r="BN22" s="443">
        <f t="shared" ref="BN22:BO26" si="10">BL22+BD22</f>
        <v>350</v>
      </c>
      <c r="BO22" s="190">
        <f t="shared" si="10"/>
        <v>923743796.50000012</v>
      </c>
      <c r="BP22" s="191"/>
      <c r="BQ22" s="72">
        <f>BP22*$G22</f>
        <v>0</v>
      </c>
      <c r="BR22" s="72"/>
      <c r="BS22" s="72">
        <f>BR22*$G22</f>
        <v>0</v>
      </c>
      <c r="BT22" s="72"/>
      <c r="BU22" s="72">
        <f>BT22*$G22</f>
        <v>0</v>
      </c>
      <c r="BV22" s="193">
        <f>BP22+BR22+BT22</f>
        <v>0</v>
      </c>
      <c r="BW22" s="190">
        <f>BQ22+BS22+BU22</f>
        <v>0</v>
      </c>
      <c r="BX22" s="443">
        <f t="shared" ref="BX22:BY26" si="11">BV22+BN22</f>
        <v>350</v>
      </c>
      <c r="BY22" s="190">
        <f t="shared" si="11"/>
        <v>923743796.50000012</v>
      </c>
      <c r="CA22" s="278">
        <f t="shared" si="0"/>
        <v>350</v>
      </c>
      <c r="CB22" s="280">
        <f t="shared" si="4"/>
        <v>0</v>
      </c>
      <c r="CC22" s="440">
        <f t="shared" si="1"/>
        <v>0</v>
      </c>
      <c r="CD22" s="440">
        <f t="shared" si="5"/>
        <v>0</v>
      </c>
      <c r="CE22" s="286">
        <v>1780112062.41048</v>
      </c>
      <c r="CF22" s="280">
        <f t="shared" si="2"/>
        <v>856368265.9104799</v>
      </c>
      <c r="CG22" s="280">
        <f t="shared" si="3"/>
        <v>856368265.9104799</v>
      </c>
      <c r="CI22" s="286">
        <v>1530884.1266000001</v>
      </c>
      <c r="CJ22" s="286">
        <v>1530884.1265999998</v>
      </c>
      <c r="CK22" s="286">
        <v>0</v>
      </c>
    </row>
    <row r="23" spans="2:89" ht="14.25" hidden="1" customHeight="1" x14ac:dyDescent="0.2">
      <c r="B23" s="186"/>
      <c r="C23" s="187" t="s">
        <v>233</v>
      </c>
      <c r="D23" s="188"/>
      <c r="E23" s="443">
        <f>$D$5</f>
        <v>350</v>
      </c>
      <c r="F23" s="222"/>
      <c r="G23" s="191"/>
      <c r="H23" s="72"/>
      <c r="I23" s="189"/>
      <c r="J23" s="443"/>
      <c r="K23" s="72">
        <f>J23*$G23</f>
        <v>0</v>
      </c>
      <c r="L23" s="471"/>
      <c r="M23" s="72">
        <f>L23*$G23</f>
        <v>0</v>
      </c>
      <c r="N23" s="471"/>
      <c r="O23" s="72">
        <f>N23*$G23</f>
        <v>0</v>
      </c>
      <c r="P23" s="443">
        <f>J23+L23+N23</f>
        <v>0</v>
      </c>
      <c r="Q23" s="190">
        <f>K23+M23+O23</f>
        <v>0</v>
      </c>
      <c r="R23" s="474"/>
      <c r="S23" s="72">
        <f>R23*$G23</f>
        <v>0</v>
      </c>
      <c r="T23" s="471"/>
      <c r="U23" s="72">
        <f>T23*$G23</f>
        <v>0</v>
      </c>
      <c r="V23" s="471"/>
      <c r="W23" s="72">
        <f>V23*$G23</f>
        <v>0</v>
      </c>
      <c r="X23" s="443">
        <f>R23+T23+V23</f>
        <v>0</v>
      </c>
      <c r="Y23" s="190">
        <f>S23+U23+W23</f>
        <v>0</v>
      </c>
      <c r="Z23" s="443">
        <f t="shared" si="6"/>
        <v>0</v>
      </c>
      <c r="AA23" s="307">
        <f t="shared" si="6"/>
        <v>0</v>
      </c>
      <c r="AB23" s="474"/>
      <c r="AC23" s="72">
        <f>AB23*$G23</f>
        <v>0</v>
      </c>
      <c r="AD23" s="471"/>
      <c r="AE23" s="72">
        <f>AD23*$G23</f>
        <v>0</v>
      </c>
      <c r="AF23" s="471"/>
      <c r="AG23" s="72">
        <f>AF23*$G23</f>
        <v>0</v>
      </c>
      <c r="AH23" s="443">
        <f>AB23+AD23+AF23</f>
        <v>0</v>
      </c>
      <c r="AI23" s="190">
        <f>AC23+AE23+AG23</f>
        <v>0</v>
      </c>
      <c r="AJ23" s="443">
        <f t="shared" si="7"/>
        <v>0</v>
      </c>
      <c r="AK23" s="190">
        <f t="shared" si="7"/>
        <v>0</v>
      </c>
      <c r="AL23" s="474"/>
      <c r="AM23" s="72">
        <f>AL23*$G23</f>
        <v>0</v>
      </c>
      <c r="AN23" s="471"/>
      <c r="AO23" s="72">
        <f>AN23*$G23</f>
        <v>0</v>
      </c>
      <c r="AP23" s="471"/>
      <c r="AQ23" s="72">
        <f>AP23*$G23</f>
        <v>0</v>
      </c>
      <c r="AR23" s="443">
        <f>AL23+AN23+AP23</f>
        <v>0</v>
      </c>
      <c r="AS23" s="190">
        <f>AM23+AO23+AQ23</f>
        <v>0</v>
      </c>
      <c r="AT23" s="443">
        <f t="shared" si="8"/>
        <v>0</v>
      </c>
      <c r="AU23" s="190">
        <f t="shared" si="8"/>
        <v>0</v>
      </c>
      <c r="AV23" s="474"/>
      <c r="AW23" s="72">
        <f>AV23*$G23</f>
        <v>0</v>
      </c>
      <c r="AX23" s="471"/>
      <c r="AY23" s="72">
        <f>AX23*$G23</f>
        <v>0</v>
      </c>
      <c r="AZ23" s="471"/>
      <c r="BA23" s="72">
        <f>AZ23*$G23</f>
        <v>0</v>
      </c>
      <c r="BB23" s="443">
        <f>AV23+AX23+AZ23</f>
        <v>0</v>
      </c>
      <c r="BC23" s="190">
        <f>AW23+AY23+BA23</f>
        <v>0</v>
      </c>
      <c r="BD23" s="443">
        <f t="shared" si="9"/>
        <v>0</v>
      </c>
      <c r="BE23" s="190">
        <f t="shared" si="9"/>
        <v>0</v>
      </c>
      <c r="BF23" s="474"/>
      <c r="BG23" s="72">
        <f>BF23*$G23</f>
        <v>0</v>
      </c>
      <c r="BH23" s="471"/>
      <c r="BI23" s="72">
        <f>BH23*$G23</f>
        <v>0</v>
      </c>
      <c r="BJ23" s="471"/>
      <c r="BK23" s="72">
        <f>BJ23*$G23</f>
        <v>0</v>
      </c>
      <c r="BL23" s="443">
        <f>BF23+BH23+BJ23</f>
        <v>0</v>
      </c>
      <c r="BM23" s="190">
        <f>BG23+BI23+BK23</f>
        <v>0</v>
      </c>
      <c r="BN23" s="443">
        <f t="shared" si="10"/>
        <v>0</v>
      </c>
      <c r="BO23" s="190">
        <f t="shared" si="10"/>
        <v>0</v>
      </c>
      <c r="BP23" s="191"/>
      <c r="BQ23" s="72">
        <f>BP23*$G23</f>
        <v>0</v>
      </c>
      <c r="BR23" s="72"/>
      <c r="BS23" s="72">
        <f>BR23*$G23</f>
        <v>0</v>
      </c>
      <c r="BT23" s="72"/>
      <c r="BU23" s="72">
        <f>BT23*$G23</f>
        <v>0</v>
      </c>
      <c r="BV23" s="193">
        <f>BP23+BR23+BT23</f>
        <v>0</v>
      </c>
      <c r="BW23" s="190">
        <f>BQ23+BS23+BU23</f>
        <v>0</v>
      </c>
      <c r="BX23" s="443">
        <f t="shared" si="11"/>
        <v>0</v>
      </c>
      <c r="BY23" s="190">
        <f t="shared" si="11"/>
        <v>0</v>
      </c>
      <c r="CA23" s="278">
        <f t="shared" si="0"/>
        <v>0</v>
      </c>
      <c r="CB23" s="280">
        <f t="shared" si="4"/>
        <v>0</v>
      </c>
      <c r="CC23" s="440">
        <f t="shared" si="1"/>
        <v>350</v>
      </c>
      <c r="CD23" s="440">
        <f t="shared" si="5"/>
        <v>0</v>
      </c>
      <c r="CE23" s="286">
        <v>0</v>
      </c>
      <c r="CF23" s="280">
        <f t="shared" si="2"/>
        <v>0</v>
      </c>
      <c r="CG23" s="280">
        <f t="shared" si="3"/>
        <v>0</v>
      </c>
      <c r="CI23" s="286">
        <v>0</v>
      </c>
      <c r="CJ23" s="286">
        <v>0</v>
      </c>
      <c r="CK23" s="286">
        <v>0</v>
      </c>
    </row>
    <row r="24" spans="2:89" ht="14.25" hidden="1" customHeight="1" x14ac:dyDescent="0.2">
      <c r="B24" s="186"/>
      <c r="C24" s="187" t="s">
        <v>234</v>
      </c>
      <c r="D24" s="188"/>
      <c r="E24" s="443">
        <f>$D$5</f>
        <v>350</v>
      </c>
      <c r="F24" s="222"/>
      <c r="G24" s="191"/>
      <c r="H24" s="72"/>
      <c r="I24" s="189"/>
      <c r="J24" s="443"/>
      <c r="K24" s="72"/>
      <c r="L24" s="471"/>
      <c r="M24" s="72"/>
      <c r="N24" s="471"/>
      <c r="O24" s="72"/>
      <c r="P24" s="443">
        <f>J24+L24+N24</f>
        <v>0</v>
      </c>
      <c r="Q24" s="190"/>
      <c r="R24" s="474"/>
      <c r="S24" s="72"/>
      <c r="T24" s="471"/>
      <c r="U24" s="72"/>
      <c r="V24" s="471"/>
      <c r="W24" s="72"/>
      <c r="X24" s="443"/>
      <c r="Y24" s="190"/>
      <c r="Z24" s="443">
        <f t="shared" si="6"/>
        <v>0</v>
      </c>
      <c r="AA24" s="307">
        <f t="shared" si="6"/>
        <v>0</v>
      </c>
      <c r="AB24" s="474"/>
      <c r="AC24" s="72"/>
      <c r="AD24" s="471"/>
      <c r="AE24" s="72"/>
      <c r="AF24" s="471"/>
      <c r="AG24" s="72"/>
      <c r="AH24" s="443"/>
      <c r="AI24" s="190"/>
      <c r="AJ24" s="443">
        <f t="shared" si="7"/>
        <v>0</v>
      </c>
      <c r="AK24" s="190">
        <f t="shared" si="7"/>
        <v>0</v>
      </c>
      <c r="AL24" s="474"/>
      <c r="AM24" s="72"/>
      <c r="AN24" s="471"/>
      <c r="AO24" s="72"/>
      <c r="AP24" s="471"/>
      <c r="AQ24" s="72"/>
      <c r="AR24" s="443"/>
      <c r="AS24" s="190"/>
      <c r="AT24" s="443">
        <f t="shared" si="8"/>
        <v>0</v>
      </c>
      <c r="AU24" s="190">
        <f t="shared" si="8"/>
        <v>0</v>
      </c>
      <c r="AV24" s="474"/>
      <c r="AW24" s="72"/>
      <c r="AX24" s="471"/>
      <c r="AY24" s="72"/>
      <c r="AZ24" s="471"/>
      <c r="BA24" s="72"/>
      <c r="BB24" s="443"/>
      <c r="BC24" s="190"/>
      <c r="BD24" s="443">
        <f t="shared" si="9"/>
        <v>0</v>
      </c>
      <c r="BE24" s="190">
        <f t="shared" si="9"/>
        <v>0</v>
      </c>
      <c r="BF24" s="474"/>
      <c r="BG24" s="72"/>
      <c r="BH24" s="471"/>
      <c r="BI24" s="72"/>
      <c r="BJ24" s="471"/>
      <c r="BK24" s="72"/>
      <c r="BL24" s="443"/>
      <c r="BM24" s="190"/>
      <c r="BN24" s="443">
        <f t="shared" si="10"/>
        <v>0</v>
      </c>
      <c r="BO24" s="190">
        <f t="shared" si="10"/>
        <v>0</v>
      </c>
      <c r="BP24" s="191"/>
      <c r="BQ24" s="72"/>
      <c r="BR24" s="72"/>
      <c r="BS24" s="72"/>
      <c r="BT24" s="72"/>
      <c r="BU24" s="72"/>
      <c r="BV24" s="193"/>
      <c r="BW24" s="190"/>
      <c r="BX24" s="443">
        <f t="shared" si="11"/>
        <v>0</v>
      </c>
      <c r="BY24" s="190">
        <f t="shared" si="11"/>
        <v>0</v>
      </c>
      <c r="CA24" s="278">
        <f t="shared" si="0"/>
        <v>0</v>
      </c>
      <c r="CB24" s="280">
        <f t="shared" si="4"/>
        <v>0</v>
      </c>
      <c r="CC24" s="440">
        <f t="shared" si="1"/>
        <v>350</v>
      </c>
      <c r="CD24" s="440">
        <f t="shared" si="5"/>
        <v>0</v>
      </c>
      <c r="CE24" s="286">
        <v>0</v>
      </c>
      <c r="CF24" s="280">
        <f t="shared" si="2"/>
        <v>0</v>
      </c>
      <c r="CG24" s="280">
        <f t="shared" si="3"/>
        <v>0</v>
      </c>
      <c r="CI24" s="286">
        <v>0</v>
      </c>
      <c r="CJ24" s="286">
        <v>0</v>
      </c>
      <c r="CK24" s="286">
        <v>0</v>
      </c>
    </row>
    <row r="25" spans="2:89" ht="14.25" hidden="1" customHeight="1" x14ac:dyDescent="0.2">
      <c r="B25" s="186"/>
      <c r="C25" s="199" t="s">
        <v>235</v>
      </c>
      <c r="D25" s="200"/>
      <c r="E25" s="443">
        <f>$D$5</f>
        <v>350</v>
      </c>
      <c r="F25" s="371"/>
      <c r="G25" s="204"/>
      <c r="H25" s="74"/>
      <c r="I25" s="202">
        <f>SUM(I22:I24)</f>
        <v>2639267.9900000002</v>
      </c>
      <c r="J25" s="470"/>
      <c r="K25" s="74"/>
      <c r="L25" s="473"/>
      <c r="M25" s="74"/>
      <c r="N25" s="473"/>
      <c r="O25" s="74"/>
      <c r="P25" s="443">
        <f>J25+L25+N25</f>
        <v>0</v>
      </c>
      <c r="Q25" s="203"/>
      <c r="R25" s="476"/>
      <c r="S25" s="74"/>
      <c r="T25" s="473"/>
      <c r="U25" s="74"/>
      <c r="V25" s="473"/>
      <c r="W25" s="74"/>
      <c r="X25" s="470"/>
      <c r="Y25" s="203"/>
      <c r="Z25" s="443">
        <f t="shared" si="6"/>
        <v>0</v>
      </c>
      <c r="AA25" s="307">
        <f t="shared" si="6"/>
        <v>0</v>
      </c>
      <c r="AB25" s="476"/>
      <c r="AC25" s="74"/>
      <c r="AD25" s="473"/>
      <c r="AE25" s="74"/>
      <c r="AF25" s="473"/>
      <c r="AG25" s="74"/>
      <c r="AH25" s="470"/>
      <c r="AI25" s="203"/>
      <c r="AJ25" s="443">
        <f t="shared" si="7"/>
        <v>0</v>
      </c>
      <c r="AK25" s="190">
        <f t="shared" si="7"/>
        <v>0</v>
      </c>
      <c r="AL25" s="476"/>
      <c r="AM25" s="74"/>
      <c r="AN25" s="473"/>
      <c r="AO25" s="74"/>
      <c r="AP25" s="473"/>
      <c r="AQ25" s="74"/>
      <c r="AR25" s="470"/>
      <c r="AS25" s="203"/>
      <c r="AT25" s="443">
        <f t="shared" si="8"/>
        <v>0</v>
      </c>
      <c r="AU25" s="190">
        <f t="shared" si="8"/>
        <v>0</v>
      </c>
      <c r="AV25" s="476"/>
      <c r="AW25" s="74"/>
      <c r="AX25" s="473"/>
      <c r="AY25" s="74"/>
      <c r="AZ25" s="473"/>
      <c r="BA25" s="74"/>
      <c r="BB25" s="470"/>
      <c r="BC25" s="203"/>
      <c r="BD25" s="443">
        <f t="shared" si="9"/>
        <v>0</v>
      </c>
      <c r="BE25" s="190">
        <f t="shared" si="9"/>
        <v>0</v>
      </c>
      <c r="BF25" s="476"/>
      <c r="BG25" s="74"/>
      <c r="BH25" s="473"/>
      <c r="BI25" s="74"/>
      <c r="BJ25" s="473"/>
      <c r="BK25" s="74"/>
      <c r="BL25" s="470"/>
      <c r="BM25" s="203"/>
      <c r="BN25" s="443">
        <f t="shared" si="10"/>
        <v>0</v>
      </c>
      <c r="BO25" s="190">
        <f t="shared" si="10"/>
        <v>0</v>
      </c>
      <c r="BP25" s="204"/>
      <c r="BQ25" s="74"/>
      <c r="BR25" s="74"/>
      <c r="BS25" s="74"/>
      <c r="BT25" s="74"/>
      <c r="BU25" s="74"/>
      <c r="BV25" s="201"/>
      <c r="BW25" s="203"/>
      <c r="BX25" s="443">
        <f t="shared" si="11"/>
        <v>0</v>
      </c>
      <c r="BY25" s="190">
        <f t="shared" si="11"/>
        <v>0</v>
      </c>
      <c r="CA25" s="278">
        <f t="shared" si="0"/>
        <v>0</v>
      </c>
      <c r="CB25" s="280">
        <f t="shared" si="4"/>
        <v>0</v>
      </c>
      <c r="CC25" s="440">
        <f t="shared" si="1"/>
        <v>350</v>
      </c>
      <c r="CD25" s="440">
        <f t="shared" si="5"/>
        <v>0</v>
      </c>
      <c r="CE25" s="286">
        <v>0</v>
      </c>
      <c r="CF25" s="280">
        <f t="shared" si="2"/>
        <v>0</v>
      </c>
      <c r="CG25" s="280">
        <f t="shared" si="3"/>
        <v>0</v>
      </c>
      <c r="CI25" s="286">
        <v>0</v>
      </c>
      <c r="CJ25" s="286">
        <v>0</v>
      </c>
      <c r="CK25" s="286">
        <v>0</v>
      </c>
    </row>
    <row r="26" spans="2:89" ht="14.25" customHeight="1" x14ac:dyDescent="0.2">
      <c r="B26" s="186"/>
      <c r="C26" s="187" t="s">
        <v>236</v>
      </c>
      <c r="D26" s="188"/>
      <c r="E26" s="443">
        <f>$D$5</f>
        <v>350</v>
      </c>
      <c r="F26" s="192">
        <f>E26*G26</f>
        <v>1444166542</v>
      </c>
      <c r="G26" s="191">
        <f>'Rekapitulasi Biaya'!C23</f>
        <v>4126190.12</v>
      </c>
      <c r="H26" s="72">
        <v>1</v>
      </c>
      <c r="I26" s="189">
        <f>G26/H26</f>
        <v>4126190.12</v>
      </c>
      <c r="J26" s="443">
        <v>0</v>
      </c>
      <c r="K26" s="72">
        <f>J26*$G26</f>
        <v>0</v>
      </c>
      <c r="L26" s="471">
        <v>200</v>
      </c>
      <c r="M26" s="72">
        <f>L26*$G26</f>
        <v>825238024</v>
      </c>
      <c r="N26" s="471">
        <v>150</v>
      </c>
      <c r="O26" s="72">
        <f>N26*$G26</f>
        <v>618928518</v>
      </c>
      <c r="P26" s="443">
        <f>J26+L26+N26</f>
        <v>350</v>
      </c>
      <c r="Q26" s="190">
        <f>K26+M26+O26</f>
        <v>1444166542</v>
      </c>
      <c r="R26" s="474">
        <v>0</v>
      </c>
      <c r="S26" s="72">
        <f>R26*$I26</f>
        <v>0</v>
      </c>
      <c r="T26" s="471">
        <v>0</v>
      </c>
      <c r="U26" s="72">
        <f>T26*$I26</f>
        <v>0</v>
      </c>
      <c r="V26" s="471">
        <v>0</v>
      </c>
      <c r="W26" s="72">
        <f>V26*$I26</f>
        <v>0</v>
      </c>
      <c r="X26" s="443">
        <v>0</v>
      </c>
      <c r="Y26" s="190">
        <f>S26+U26+W26</f>
        <v>0</v>
      </c>
      <c r="Z26" s="443">
        <f t="shared" si="6"/>
        <v>350</v>
      </c>
      <c r="AA26" s="307">
        <f t="shared" si="6"/>
        <v>1444166542</v>
      </c>
      <c r="AB26" s="474">
        <v>0</v>
      </c>
      <c r="AC26" s="72">
        <f>AB26*$I26</f>
        <v>0</v>
      </c>
      <c r="AD26" s="471"/>
      <c r="AE26" s="72">
        <f>AD26*$I26</f>
        <v>0</v>
      </c>
      <c r="AF26" s="471"/>
      <c r="AG26" s="72">
        <f>AF26*$I26</f>
        <v>0</v>
      </c>
      <c r="AH26" s="443">
        <v>0</v>
      </c>
      <c r="AI26" s="190">
        <f>AC26+AE26+AG26</f>
        <v>0</v>
      </c>
      <c r="AJ26" s="443">
        <f t="shared" si="7"/>
        <v>350</v>
      </c>
      <c r="AK26" s="190">
        <f t="shared" si="7"/>
        <v>1444166542</v>
      </c>
      <c r="AL26" s="474"/>
      <c r="AM26" s="72">
        <f>AL26*$I26</f>
        <v>0</v>
      </c>
      <c r="AN26" s="471"/>
      <c r="AO26" s="72">
        <f>AN26*$I26</f>
        <v>0</v>
      </c>
      <c r="AP26" s="471"/>
      <c r="AQ26" s="72">
        <f>AP26*$I26</f>
        <v>0</v>
      </c>
      <c r="AR26" s="443">
        <f>AL26+AN26+AP26</f>
        <v>0</v>
      </c>
      <c r="AS26" s="190">
        <f>AM26+AO26+AQ26</f>
        <v>0</v>
      </c>
      <c r="AT26" s="443">
        <f t="shared" si="8"/>
        <v>350</v>
      </c>
      <c r="AU26" s="190">
        <f t="shared" si="8"/>
        <v>1444166542</v>
      </c>
      <c r="AV26" s="474"/>
      <c r="AW26" s="72">
        <f>AV26*$I26</f>
        <v>0</v>
      </c>
      <c r="AX26" s="471"/>
      <c r="AY26" s="72">
        <f>AX26*$I26</f>
        <v>0</v>
      </c>
      <c r="AZ26" s="471"/>
      <c r="BA26" s="72">
        <f>AZ26*$I26</f>
        <v>0</v>
      </c>
      <c r="BB26" s="443">
        <f>AV26+AX26+AZ26</f>
        <v>0</v>
      </c>
      <c r="BC26" s="190">
        <f>AW26+AY26+BA26</f>
        <v>0</v>
      </c>
      <c r="BD26" s="443">
        <f t="shared" si="9"/>
        <v>350</v>
      </c>
      <c r="BE26" s="190">
        <f t="shared" si="9"/>
        <v>1444166542</v>
      </c>
      <c r="BF26" s="474"/>
      <c r="BG26" s="72">
        <f>BF26*$I26</f>
        <v>0</v>
      </c>
      <c r="BH26" s="471"/>
      <c r="BI26" s="72">
        <f>BH26*$I26</f>
        <v>0</v>
      </c>
      <c r="BJ26" s="471"/>
      <c r="BK26" s="72">
        <f>BJ26*$I26</f>
        <v>0</v>
      </c>
      <c r="BL26" s="443">
        <f>BF26+BH26+BJ26</f>
        <v>0</v>
      </c>
      <c r="BM26" s="190">
        <f>BG26+BI26+BK26</f>
        <v>0</v>
      </c>
      <c r="BN26" s="443">
        <f t="shared" si="10"/>
        <v>350</v>
      </c>
      <c r="BO26" s="190">
        <f t="shared" si="10"/>
        <v>1444166542</v>
      </c>
      <c r="BP26" s="191"/>
      <c r="BQ26" s="72">
        <f>BP26*$I26</f>
        <v>0</v>
      </c>
      <c r="BR26" s="72"/>
      <c r="BS26" s="72">
        <f>BR26*$I26</f>
        <v>0</v>
      </c>
      <c r="BT26" s="72"/>
      <c r="BU26" s="72">
        <f>BT26*$I26</f>
        <v>0</v>
      </c>
      <c r="BV26" s="193">
        <f>BP26+BR26+BT26</f>
        <v>0</v>
      </c>
      <c r="BW26" s="190">
        <f>BQ26+BS26+BU26</f>
        <v>0</v>
      </c>
      <c r="BX26" s="443">
        <f t="shared" si="11"/>
        <v>350</v>
      </c>
      <c r="BY26" s="190">
        <f t="shared" si="11"/>
        <v>1444166542</v>
      </c>
      <c r="CA26" s="278">
        <f t="shared" si="0"/>
        <v>350</v>
      </c>
      <c r="CB26" s="280">
        <f t="shared" si="4"/>
        <v>0</v>
      </c>
      <c r="CC26" s="440">
        <f t="shared" si="1"/>
        <v>0</v>
      </c>
      <c r="CD26" s="440">
        <f t="shared" si="5"/>
        <v>0</v>
      </c>
      <c r="CE26" s="286">
        <v>5150682774.8999996</v>
      </c>
      <c r="CF26" s="280">
        <f t="shared" si="2"/>
        <v>3706516232.8999996</v>
      </c>
      <c r="CG26" s="280">
        <f t="shared" si="3"/>
        <v>3706516232.8999996</v>
      </c>
      <c r="CI26" s="286">
        <v>4429551.7499999981</v>
      </c>
      <c r="CJ26" s="286">
        <v>4429551.7500000009</v>
      </c>
      <c r="CK26" s="286">
        <v>0</v>
      </c>
    </row>
    <row r="27" spans="2:89" ht="14.25" hidden="1" customHeight="1" x14ac:dyDescent="0.2">
      <c r="B27" s="186"/>
      <c r="C27" s="187"/>
      <c r="D27" s="188"/>
      <c r="E27" s="445"/>
      <c r="F27" s="222"/>
      <c r="G27" s="191"/>
      <c r="H27" s="72"/>
      <c r="I27" s="189"/>
      <c r="J27" s="443"/>
      <c r="K27" s="72"/>
      <c r="L27" s="471"/>
      <c r="M27" s="72"/>
      <c r="N27" s="471"/>
      <c r="O27" s="72"/>
      <c r="P27" s="443">
        <f>J27+L27+N27</f>
        <v>0</v>
      </c>
      <c r="Q27" s="190">
        <f>K27+M27+O27</f>
        <v>0</v>
      </c>
      <c r="R27" s="474"/>
      <c r="S27" s="72"/>
      <c r="T27" s="471"/>
      <c r="U27" s="72"/>
      <c r="V27" s="471"/>
      <c r="W27" s="72"/>
      <c r="X27" s="443">
        <f>R27+T27+V27</f>
        <v>0</v>
      </c>
      <c r="Y27" s="190">
        <f>S27+U27+W27</f>
        <v>0</v>
      </c>
      <c r="Z27" s="443"/>
      <c r="AA27" s="190"/>
      <c r="AB27" s="474"/>
      <c r="AC27" s="72"/>
      <c r="AD27" s="471"/>
      <c r="AE27" s="72"/>
      <c r="AF27" s="471"/>
      <c r="AG27" s="72"/>
      <c r="AH27" s="443">
        <f>AB27+AD27+AF27</f>
        <v>0</v>
      </c>
      <c r="AI27" s="190">
        <f>AC27+AE27+AG27</f>
        <v>0</v>
      </c>
      <c r="AJ27" s="443"/>
      <c r="AK27" s="190"/>
      <c r="AL27" s="474"/>
      <c r="AM27" s="72"/>
      <c r="AN27" s="471"/>
      <c r="AO27" s="72"/>
      <c r="AP27" s="471"/>
      <c r="AQ27" s="72"/>
      <c r="AR27" s="443">
        <f>AL27+AN27+AP27</f>
        <v>0</v>
      </c>
      <c r="AS27" s="190">
        <f>AM27+AO27+AQ27</f>
        <v>0</v>
      </c>
      <c r="AT27" s="443"/>
      <c r="AU27" s="190"/>
      <c r="AV27" s="474"/>
      <c r="AW27" s="72"/>
      <c r="AX27" s="471"/>
      <c r="AY27" s="72"/>
      <c r="AZ27" s="471"/>
      <c r="BA27" s="72"/>
      <c r="BB27" s="443">
        <f>AV27+AX27+AZ27</f>
        <v>0</v>
      </c>
      <c r="BC27" s="190">
        <f>AW27+AY27+BA27</f>
        <v>0</v>
      </c>
      <c r="BD27" s="443"/>
      <c r="BE27" s="190"/>
      <c r="BF27" s="474"/>
      <c r="BG27" s="72"/>
      <c r="BH27" s="471"/>
      <c r="BI27" s="72"/>
      <c r="BJ27" s="471"/>
      <c r="BK27" s="72"/>
      <c r="BL27" s="443">
        <f>BF27+BH27+BJ27</f>
        <v>0</v>
      </c>
      <c r="BM27" s="190">
        <f>BG27+BI27+BK27</f>
        <v>0</v>
      </c>
      <c r="BN27" s="443"/>
      <c r="BO27" s="190"/>
      <c r="BP27" s="191"/>
      <c r="BQ27" s="72"/>
      <c r="BR27" s="72"/>
      <c r="BS27" s="72"/>
      <c r="BT27" s="72"/>
      <c r="BU27" s="72"/>
      <c r="BV27" s="193">
        <f>BP27+BR27+BT27</f>
        <v>0</v>
      </c>
      <c r="BW27" s="190">
        <f>BQ27+BS27+BU27</f>
        <v>0</v>
      </c>
      <c r="BX27" s="193"/>
      <c r="BY27" s="190"/>
      <c r="CA27" s="278">
        <f t="shared" si="0"/>
        <v>0</v>
      </c>
      <c r="CB27" s="280">
        <f t="shared" si="4"/>
        <v>0</v>
      </c>
      <c r="CC27" s="440">
        <f t="shared" si="1"/>
        <v>0</v>
      </c>
      <c r="CD27" s="440">
        <f t="shared" si="5"/>
        <v>0</v>
      </c>
      <c r="CE27" s="286"/>
      <c r="CF27" s="280">
        <f t="shared" si="2"/>
        <v>0</v>
      </c>
      <c r="CG27" s="280">
        <f t="shared" si="3"/>
        <v>0</v>
      </c>
      <c r="CI27" s="286">
        <v>0</v>
      </c>
      <c r="CJ27" s="286">
        <v>0</v>
      </c>
      <c r="CK27" s="286">
        <v>0</v>
      </c>
    </row>
    <row r="28" spans="2:89" ht="14.25" hidden="1" customHeight="1" x14ac:dyDescent="0.2">
      <c r="B28" s="186"/>
      <c r="C28" s="187"/>
      <c r="D28" s="188"/>
      <c r="E28" s="445"/>
      <c r="F28" s="222"/>
      <c r="G28" s="191"/>
      <c r="H28" s="72"/>
      <c r="I28" s="189"/>
      <c r="J28" s="443"/>
      <c r="K28" s="72"/>
      <c r="L28" s="471"/>
      <c r="M28" s="72"/>
      <c r="N28" s="471"/>
      <c r="O28" s="72"/>
      <c r="P28" s="443"/>
      <c r="Q28" s="190"/>
      <c r="R28" s="474"/>
      <c r="S28" s="72"/>
      <c r="T28" s="471"/>
      <c r="U28" s="72"/>
      <c r="V28" s="471"/>
      <c r="W28" s="72"/>
      <c r="X28" s="443"/>
      <c r="Y28" s="190"/>
      <c r="Z28" s="443"/>
      <c r="AA28" s="190"/>
      <c r="AB28" s="474"/>
      <c r="AC28" s="72"/>
      <c r="AD28" s="471"/>
      <c r="AE28" s="72"/>
      <c r="AF28" s="471"/>
      <c r="AG28" s="72"/>
      <c r="AH28" s="443"/>
      <c r="AI28" s="190"/>
      <c r="AJ28" s="443"/>
      <c r="AK28" s="190"/>
      <c r="AL28" s="474"/>
      <c r="AM28" s="72"/>
      <c r="AN28" s="471"/>
      <c r="AO28" s="72"/>
      <c r="AP28" s="471"/>
      <c r="AQ28" s="72"/>
      <c r="AR28" s="443"/>
      <c r="AS28" s="190"/>
      <c r="AT28" s="443"/>
      <c r="AU28" s="190"/>
      <c r="AV28" s="474"/>
      <c r="AW28" s="72"/>
      <c r="AX28" s="471"/>
      <c r="AY28" s="72"/>
      <c r="AZ28" s="471"/>
      <c r="BA28" s="72"/>
      <c r="BB28" s="443"/>
      <c r="BC28" s="190"/>
      <c r="BD28" s="443"/>
      <c r="BE28" s="190"/>
      <c r="BF28" s="474"/>
      <c r="BG28" s="72"/>
      <c r="BH28" s="471"/>
      <c r="BI28" s="72"/>
      <c r="BJ28" s="471"/>
      <c r="BK28" s="72"/>
      <c r="BL28" s="443"/>
      <c r="BM28" s="190"/>
      <c r="BN28" s="443"/>
      <c r="BO28" s="190"/>
      <c r="BP28" s="191"/>
      <c r="BQ28" s="72"/>
      <c r="BR28" s="72"/>
      <c r="BS28" s="72"/>
      <c r="BT28" s="72"/>
      <c r="BU28" s="72"/>
      <c r="BV28" s="193"/>
      <c r="BW28" s="190"/>
      <c r="BX28" s="193"/>
      <c r="BY28" s="190"/>
      <c r="CA28" s="278">
        <f t="shared" si="0"/>
        <v>0</v>
      </c>
      <c r="CB28" s="280">
        <f t="shared" si="4"/>
        <v>0</v>
      </c>
      <c r="CC28" s="440">
        <f t="shared" si="1"/>
        <v>0</v>
      </c>
      <c r="CD28" s="440">
        <f t="shared" si="5"/>
        <v>0</v>
      </c>
      <c r="CE28" s="286"/>
      <c r="CF28" s="280">
        <f t="shared" si="2"/>
        <v>0</v>
      </c>
      <c r="CG28" s="280">
        <f t="shared" si="3"/>
        <v>0</v>
      </c>
      <c r="CI28" s="286">
        <v>0</v>
      </c>
      <c r="CJ28" s="286">
        <v>0</v>
      </c>
      <c r="CK28" s="286">
        <v>0</v>
      </c>
    </row>
    <row r="29" spans="2:89" ht="14.25" hidden="1" customHeight="1" x14ac:dyDescent="0.2">
      <c r="B29" s="186"/>
      <c r="C29" s="187"/>
      <c r="D29" s="188"/>
      <c r="E29" s="445"/>
      <c r="F29" s="222"/>
      <c r="G29" s="191"/>
      <c r="H29" s="72"/>
      <c r="I29" s="189"/>
      <c r="J29" s="443"/>
      <c r="K29" s="72"/>
      <c r="L29" s="471"/>
      <c r="M29" s="72"/>
      <c r="N29" s="471"/>
      <c r="O29" s="72"/>
      <c r="P29" s="443"/>
      <c r="Q29" s="190"/>
      <c r="R29" s="474"/>
      <c r="S29" s="72"/>
      <c r="T29" s="471"/>
      <c r="U29" s="72"/>
      <c r="V29" s="471"/>
      <c r="W29" s="72"/>
      <c r="X29" s="443"/>
      <c r="Y29" s="190"/>
      <c r="Z29" s="443"/>
      <c r="AA29" s="190"/>
      <c r="AB29" s="474"/>
      <c r="AC29" s="72"/>
      <c r="AD29" s="471"/>
      <c r="AE29" s="72"/>
      <c r="AF29" s="471"/>
      <c r="AG29" s="72"/>
      <c r="AH29" s="443"/>
      <c r="AI29" s="190"/>
      <c r="AJ29" s="443"/>
      <c r="AK29" s="190"/>
      <c r="AL29" s="474"/>
      <c r="AM29" s="72"/>
      <c r="AN29" s="471"/>
      <c r="AO29" s="72"/>
      <c r="AP29" s="471"/>
      <c r="AQ29" s="72"/>
      <c r="AR29" s="443"/>
      <c r="AS29" s="190"/>
      <c r="AT29" s="443"/>
      <c r="AU29" s="190"/>
      <c r="AV29" s="474"/>
      <c r="AW29" s="72"/>
      <c r="AX29" s="471"/>
      <c r="AY29" s="72"/>
      <c r="AZ29" s="471"/>
      <c r="BA29" s="72"/>
      <c r="BB29" s="443"/>
      <c r="BC29" s="190"/>
      <c r="BD29" s="443"/>
      <c r="BE29" s="190"/>
      <c r="BF29" s="474"/>
      <c r="BG29" s="72"/>
      <c r="BH29" s="471"/>
      <c r="BI29" s="72"/>
      <c r="BJ29" s="471"/>
      <c r="BK29" s="72"/>
      <c r="BL29" s="443"/>
      <c r="BM29" s="190"/>
      <c r="BN29" s="443"/>
      <c r="BO29" s="190"/>
      <c r="BP29" s="191"/>
      <c r="BQ29" s="72"/>
      <c r="BR29" s="72"/>
      <c r="BS29" s="72"/>
      <c r="BT29" s="72"/>
      <c r="BU29" s="72"/>
      <c r="BV29" s="193"/>
      <c r="BW29" s="190"/>
      <c r="BX29" s="193"/>
      <c r="BY29" s="190"/>
      <c r="CA29" s="278">
        <f t="shared" si="0"/>
        <v>0</v>
      </c>
      <c r="CB29" s="280">
        <f t="shared" si="4"/>
        <v>0</v>
      </c>
      <c r="CC29" s="440">
        <f t="shared" si="1"/>
        <v>0</v>
      </c>
      <c r="CD29" s="440">
        <f t="shared" si="5"/>
        <v>0</v>
      </c>
      <c r="CE29" s="286"/>
      <c r="CF29" s="280">
        <f t="shared" si="2"/>
        <v>0</v>
      </c>
      <c r="CG29" s="280">
        <f t="shared" si="3"/>
        <v>0</v>
      </c>
      <c r="CI29" s="286">
        <v>0</v>
      </c>
      <c r="CJ29" s="286">
        <v>0</v>
      </c>
      <c r="CK29" s="286">
        <v>0</v>
      </c>
    </row>
    <row r="30" spans="2:89" ht="14.25" hidden="1" customHeight="1" x14ac:dyDescent="0.2">
      <c r="B30" s="186"/>
      <c r="C30" s="199"/>
      <c r="D30" s="200"/>
      <c r="E30" s="444"/>
      <c r="F30" s="371"/>
      <c r="G30" s="204"/>
      <c r="H30" s="74"/>
      <c r="I30" s="202"/>
      <c r="J30" s="470"/>
      <c r="K30" s="74"/>
      <c r="L30" s="473"/>
      <c r="M30" s="74"/>
      <c r="N30" s="473"/>
      <c r="O30" s="74"/>
      <c r="P30" s="470"/>
      <c r="Q30" s="203"/>
      <c r="R30" s="476"/>
      <c r="S30" s="74"/>
      <c r="T30" s="473"/>
      <c r="U30" s="74"/>
      <c r="V30" s="473"/>
      <c r="W30" s="74"/>
      <c r="X30" s="470"/>
      <c r="Y30" s="203"/>
      <c r="Z30" s="489"/>
      <c r="AA30" s="206"/>
      <c r="AB30" s="476"/>
      <c r="AC30" s="74"/>
      <c r="AD30" s="473"/>
      <c r="AE30" s="74"/>
      <c r="AF30" s="473"/>
      <c r="AG30" s="74"/>
      <c r="AH30" s="470"/>
      <c r="AI30" s="203"/>
      <c r="AJ30" s="489"/>
      <c r="AK30" s="206"/>
      <c r="AL30" s="476"/>
      <c r="AM30" s="74"/>
      <c r="AN30" s="473"/>
      <c r="AO30" s="74"/>
      <c r="AP30" s="473"/>
      <c r="AQ30" s="74"/>
      <c r="AR30" s="470"/>
      <c r="AS30" s="203"/>
      <c r="AT30" s="489"/>
      <c r="AU30" s="206"/>
      <c r="AV30" s="476"/>
      <c r="AW30" s="74"/>
      <c r="AX30" s="473"/>
      <c r="AY30" s="74"/>
      <c r="AZ30" s="473"/>
      <c r="BA30" s="74"/>
      <c r="BB30" s="470"/>
      <c r="BC30" s="203"/>
      <c r="BD30" s="489"/>
      <c r="BE30" s="206"/>
      <c r="BF30" s="476"/>
      <c r="BG30" s="74"/>
      <c r="BH30" s="473"/>
      <c r="BI30" s="74"/>
      <c r="BJ30" s="473"/>
      <c r="BK30" s="74"/>
      <c r="BL30" s="470"/>
      <c r="BM30" s="203"/>
      <c r="BN30" s="489"/>
      <c r="BO30" s="206"/>
      <c r="BP30" s="204"/>
      <c r="BQ30" s="74"/>
      <c r="BR30" s="74"/>
      <c r="BS30" s="74"/>
      <c r="BT30" s="74"/>
      <c r="BU30" s="74"/>
      <c r="BV30" s="201"/>
      <c r="BW30" s="203"/>
      <c r="BX30" s="205"/>
      <c r="BY30" s="206"/>
      <c r="CA30" s="278">
        <f t="shared" si="0"/>
        <v>0</v>
      </c>
      <c r="CB30" s="280">
        <f t="shared" si="4"/>
        <v>0</v>
      </c>
      <c r="CC30" s="440">
        <f t="shared" si="1"/>
        <v>0</v>
      </c>
      <c r="CD30" s="440">
        <f t="shared" si="5"/>
        <v>0</v>
      </c>
      <c r="CE30" s="286"/>
      <c r="CF30" s="280">
        <f t="shared" si="2"/>
        <v>0</v>
      </c>
      <c r="CG30" s="280">
        <f t="shared" si="3"/>
        <v>0</v>
      </c>
      <c r="CI30" s="286">
        <v>0</v>
      </c>
      <c r="CJ30" s="286">
        <v>0</v>
      </c>
      <c r="CK30" s="286">
        <v>0</v>
      </c>
    </row>
    <row r="31" spans="2:89" s="281" customFormat="1" ht="14.25" customHeight="1" x14ac:dyDescent="0.2">
      <c r="B31" s="182"/>
      <c r="C31" s="195" t="s">
        <v>237</v>
      </c>
      <c r="D31" s="196"/>
      <c r="E31" s="446"/>
      <c r="F31" s="357">
        <f>F21+F22+F26</f>
        <v>5218611538.1262074</v>
      </c>
      <c r="G31" s="358">
        <f>G21+G22+G26</f>
        <v>14910318.680360593</v>
      </c>
      <c r="H31" s="360"/>
      <c r="I31" s="359">
        <f>I21+I22+I26</f>
        <v>14910318.680360593</v>
      </c>
      <c r="J31" s="446"/>
      <c r="K31" s="360">
        <f>K21+K22+K26</f>
        <v>0</v>
      </c>
      <c r="L31" s="481"/>
      <c r="M31" s="360">
        <f>M21+M22+M26</f>
        <v>2982063736.0721188</v>
      </c>
      <c r="N31" s="481"/>
      <c r="O31" s="360">
        <f>O21+O22+O26</f>
        <v>2236547802.0540891</v>
      </c>
      <c r="P31" s="446"/>
      <c r="Q31" s="361">
        <f>Q21+Q22+Q26</f>
        <v>5218611538.1262074</v>
      </c>
      <c r="R31" s="486"/>
      <c r="S31" s="360">
        <f>S21+S22+S26</f>
        <v>0</v>
      </c>
      <c r="T31" s="481"/>
      <c r="U31" s="360">
        <f>U21+U22+U26</f>
        <v>0</v>
      </c>
      <c r="V31" s="481"/>
      <c r="W31" s="360">
        <f>W21+W22+W26</f>
        <v>0</v>
      </c>
      <c r="X31" s="446"/>
      <c r="Y31" s="361">
        <f>Y21+Y22+Y26</f>
        <v>0</v>
      </c>
      <c r="Z31" s="446"/>
      <c r="AA31" s="361">
        <f>AA21+AA22+AA26</f>
        <v>5218611538.1262074</v>
      </c>
      <c r="AB31" s="486"/>
      <c r="AC31" s="360">
        <f>AC21+AC22+AC26</f>
        <v>0</v>
      </c>
      <c r="AD31" s="481"/>
      <c r="AE31" s="360">
        <f>AE21+AE22+AE26</f>
        <v>0</v>
      </c>
      <c r="AF31" s="481"/>
      <c r="AG31" s="360">
        <f>AG21+AG22+AG26</f>
        <v>0</v>
      </c>
      <c r="AH31" s="446"/>
      <c r="AI31" s="361">
        <f>AI21+AI22+AI26</f>
        <v>0</v>
      </c>
      <c r="AJ31" s="446"/>
      <c r="AK31" s="361">
        <f>AK21+AK22+AK26</f>
        <v>5218611538.1262074</v>
      </c>
      <c r="AL31" s="486"/>
      <c r="AM31" s="360">
        <f>AM21+AM22+AM26</f>
        <v>0</v>
      </c>
      <c r="AN31" s="481"/>
      <c r="AO31" s="360">
        <f>AO21+AO22+AO26</f>
        <v>0</v>
      </c>
      <c r="AP31" s="481"/>
      <c r="AQ31" s="360">
        <f>AQ21+AQ22+AQ26</f>
        <v>0</v>
      </c>
      <c r="AR31" s="446"/>
      <c r="AS31" s="361">
        <f>AS21+AS22+AS26</f>
        <v>0</v>
      </c>
      <c r="AT31" s="446"/>
      <c r="AU31" s="361">
        <f>AU21+AU22+AU26</f>
        <v>5218611538.1262074</v>
      </c>
      <c r="AV31" s="486"/>
      <c r="AW31" s="360">
        <f>AW21+AW22+AW26</f>
        <v>0</v>
      </c>
      <c r="AX31" s="481"/>
      <c r="AY31" s="360">
        <f>AY21+AY22+AY26</f>
        <v>0</v>
      </c>
      <c r="AZ31" s="481"/>
      <c r="BA31" s="360">
        <f>BA21+BA22+BA26</f>
        <v>0</v>
      </c>
      <c r="BB31" s="446"/>
      <c r="BC31" s="361">
        <f>BC21+BC22+BC26</f>
        <v>0</v>
      </c>
      <c r="BD31" s="446"/>
      <c r="BE31" s="361">
        <f>BE21+BE22+BE26</f>
        <v>5218611538.1262074</v>
      </c>
      <c r="BF31" s="486"/>
      <c r="BG31" s="360">
        <f>BG21+BG22+BG26</f>
        <v>0</v>
      </c>
      <c r="BH31" s="481"/>
      <c r="BI31" s="360">
        <f>BI21+BI22+BI26</f>
        <v>0</v>
      </c>
      <c r="BJ31" s="481"/>
      <c r="BK31" s="360">
        <f>BK21+BK22+BK26</f>
        <v>0</v>
      </c>
      <c r="BL31" s="446"/>
      <c r="BM31" s="361">
        <f>BM21+BM22+BM26</f>
        <v>0</v>
      </c>
      <c r="BN31" s="446"/>
      <c r="BO31" s="361">
        <f>BO21+BO22+BO26</f>
        <v>5218611538.1262074</v>
      </c>
      <c r="BP31" s="358"/>
      <c r="BQ31" s="360">
        <f>BQ21+BQ22+BQ26</f>
        <v>0</v>
      </c>
      <c r="BR31" s="360"/>
      <c r="BS31" s="360">
        <f>BS21+BS22+BS26</f>
        <v>0</v>
      </c>
      <c r="BT31" s="360"/>
      <c r="BU31" s="360">
        <f>BU21+BU22+BU26</f>
        <v>0</v>
      </c>
      <c r="BV31" s="372"/>
      <c r="BW31" s="361">
        <f>BW21+BW22+BW26</f>
        <v>0</v>
      </c>
      <c r="BX31" s="372"/>
      <c r="BY31" s="361">
        <f>BY21+BY22+BY26</f>
        <v>5218611538.1262074</v>
      </c>
      <c r="CA31" s="278">
        <f t="shared" si="0"/>
        <v>0</v>
      </c>
      <c r="CB31" s="280">
        <f t="shared" si="4"/>
        <v>0</v>
      </c>
      <c r="CC31" s="440">
        <f t="shared" si="1"/>
        <v>0</v>
      </c>
      <c r="CD31" s="440">
        <f t="shared" si="5"/>
        <v>0</v>
      </c>
      <c r="CE31" s="291">
        <v>17462278910.855404</v>
      </c>
      <c r="CF31" s="280">
        <f t="shared" si="2"/>
        <v>12243667372.729197</v>
      </c>
      <c r="CG31" s="280">
        <f t="shared" si="3"/>
        <v>12243667372.729197</v>
      </c>
      <c r="CI31" s="291">
        <v>15017439.723817855</v>
      </c>
      <c r="CJ31" s="291">
        <v>15017439.723817859</v>
      </c>
      <c r="CK31" s="291">
        <v>0</v>
      </c>
    </row>
    <row r="32" spans="2:89" ht="9.75" customHeight="1" x14ac:dyDescent="0.2">
      <c r="B32" s="186"/>
      <c r="C32" s="187"/>
      <c r="D32" s="188"/>
      <c r="E32" s="445"/>
      <c r="F32" s="222"/>
      <c r="G32" s="191"/>
      <c r="H32" s="72"/>
      <c r="I32" s="189"/>
      <c r="J32" s="443"/>
      <c r="K32" s="72"/>
      <c r="L32" s="471"/>
      <c r="M32" s="72"/>
      <c r="N32" s="471"/>
      <c r="O32" s="72"/>
      <c r="P32" s="443"/>
      <c r="Q32" s="190"/>
      <c r="R32" s="474"/>
      <c r="S32" s="72"/>
      <c r="T32" s="471"/>
      <c r="U32" s="72"/>
      <c r="V32" s="471"/>
      <c r="W32" s="72"/>
      <c r="X32" s="443"/>
      <c r="Y32" s="190"/>
      <c r="Z32" s="443"/>
      <c r="AA32" s="190"/>
      <c r="AB32" s="474"/>
      <c r="AC32" s="72"/>
      <c r="AD32" s="471"/>
      <c r="AE32" s="72"/>
      <c r="AF32" s="471"/>
      <c r="AG32" s="72"/>
      <c r="AH32" s="443"/>
      <c r="AI32" s="190"/>
      <c r="AJ32" s="443"/>
      <c r="AK32" s="190"/>
      <c r="AL32" s="474"/>
      <c r="AM32" s="72"/>
      <c r="AN32" s="471"/>
      <c r="AO32" s="72"/>
      <c r="AP32" s="471"/>
      <c r="AQ32" s="72"/>
      <c r="AR32" s="443"/>
      <c r="AS32" s="190"/>
      <c r="AT32" s="443"/>
      <c r="AU32" s="190"/>
      <c r="AV32" s="474"/>
      <c r="AW32" s="72"/>
      <c r="AX32" s="471"/>
      <c r="AY32" s="72"/>
      <c r="AZ32" s="471"/>
      <c r="BA32" s="72"/>
      <c r="BB32" s="443"/>
      <c r="BC32" s="190"/>
      <c r="BD32" s="443"/>
      <c r="BE32" s="190"/>
      <c r="BF32" s="474"/>
      <c r="BG32" s="72"/>
      <c r="BH32" s="471"/>
      <c r="BI32" s="72"/>
      <c r="BJ32" s="471"/>
      <c r="BK32" s="72"/>
      <c r="BL32" s="443"/>
      <c r="BM32" s="190"/>
      <c r="BN32" s="443"/>
      <c r="BO32" s="190"/>
      <c r="BP32" s="191"/>
      <c r="BQ32" s="72"/>
      <c r="BR32" s="72"/>
      <c r="BS32" s="72"/>
      <c r="BT32" s="72"/>
      <c r="BU32" s="72"/>
      <c r="BV32" s="193"/>
      <c r="BW32" s="190"/>
      <c r="BX32" s="193"/>
      <c r="BY32" s="190"/>
      <c r="CA32" s="278">
        <f t="shared" si="0"/>
        <v>0</v>
      </c>
      <c r="CB32" s="280">
        <f t="shared" si="4"/>
        <v>0</v>
      </c>
      <c r="CC32" s="440">
        <f t="shared" si="1"/>
        <v>0</v>
      </c>
      <c r="CD32" s="440">
        <f t="shared" si="5"/>
        <v>0</v>
      </c>
      <c r="CE32" s="286"/>
      <c r="CF32" s="280">
        <f t="shared" si="2"/>
        <v>0</v>
      </c>
      <c r="CG32" s="280">
        <f t="shared" si="3"/>
        <v>0</v>
      </c>
      <c r="CI32" s="286">
        <v>0</v>
      </c>
      <c r="CJ32" s="286">
        <v>0</v>
      </c>
      <c r="CK32" s="286">
        <v>0</v>
      </c>
    </row>
    <row r="33" spans="2:89" ht="14.25" customHeight="1" x14ac:dyDescent="0.2">
      <c r="B33" s="186">
        <v>3</v>
      </c>
      <c r="C33" s="187" t="s">
        <v>238</v>
      </c>
      <c r="D33" s="188"/>
      <c r="E33" s="443">
        <f t="shared" ref="E33:E43" si="12">$D$5</f>
        <v>350</v>
      </c>
      <c r="F33" s="192">
        <f>E33*G33</f>
        <v>4915516008.8999996</v>
      </c>
      <c r="G33" s="191">
        <f>'Rekapitulasi Biaya'!C24</f>
        <v>14044331.454</v>
      </c>
      <c r="H33" s="72">
        <v>1</v>
      </c>
      <c r="I33" s="189">
        <f>G33/H33</f>
        <v>14044331.454</v>
      </c>
      <c r="J33" s="443"/>
      <c r="K33" s="72">
        <f>J33*$G33</f>
        <v>0</v>
      </c>
      <c r="L33" s="471"/>
      <c r="M33" s="72">
        <f>L33*$G33</f>
        <v>0</v>
      </c>
      <c r="N33" s="471"/>
      <c r="O33" s="72">
        <f>N33*$G33</f>
        <v>0</v>
      </c>
      <c r="P33" s="443">
        <f t="shared" ref="P33:P43" si="13">J33+L33+N33</f>
        <v>0</v>
      </c>
      <c r="Q33" s="190">
        <f t="shared" ref="Q33:Q43" si="14">K33+M33+O33</f>
        <v>0</v>
      </c>
      <c r="R33" s="474">
        <v>200</v>
      </c>
      <c r="S33" s="72">
        <f>R33*$G33</f>
        <v>2808866290.8000002</v>
      </c>
      <c r="T33" s="471">
        <v>150</v>
      </c>
      <c r="U33" s="72">
        <f>T33*$G33</f>
        <v>2106649718.0999999</v>
      </c>
      <c r="V33" s="471">
        <v>0</v>
      </c>
      <c r="W33" s="72">
        <f>V33*$G33</f>
        <v>0</v>
      </c>
      <c r="X33" s="443">
        <f>V33+T33+R33</f>
        <v>350</v>
      </c>
      <c r="Y33" s="190">
        <f t="shared" ref="Y33:Y43" si="15">S33+U33+W33</f>
        <v>4915516008.8999996</v>
      </c>
      <c r="Z33" s="443">
        <f t="shared" ref="Z33:Z43" si="16">X33+P33</f>
        <v>350</v>
      </c>
      <c r="AA33" s="307">
        <f t="shared" ref="AA33:AA43" si="17">Y33+Q33</f>
        <v>4915516008.8999996</v>
      </c>
      <c r="AB33" s="474">
        <v>0</v>
      </c>
      <c r="AC33" s="192">
        <f>AB33*$G33</f>
        <v>0</v>
      </c>
      <c r="AD33" s="471">
        <v>0</v>
      </c>
      <c r="AE33" s="72">
        <f>AD33*$G33</f>
        <v>0</v>
      </c>
      <c r="AF33" s="471">
        <v>0</v>
      </c>
      <c r="AG33" s="72">
        <f>AF33*$G33</f>
        <v>0</v>
      </c>
      <c r="AH33" s="443">
        <f t="shared" ref="AH33:AH37" si="18">AF33+AD33+AB33</f>
        <v>0</v>
      </c>
      <c r="AI33" s="190">
        <f t="shared" ref="AI33:AI43" si="19">AC33+AE33+AG33</f>
        <v>0</v>
      </c>
      <c r="AJ33" s="443">
        <f t="shared" ref="AJ33:AJ43" si="20">AH33+Z33</f>
        <v>350</v>
      </c>
      <c r="AK33" s="190">
        <f t="shared" ref="AK33:AK43" si="21">AI33+AA33</f>
        <v>4915516008.8999996</v>
      </c>
      <c r="AL33" s="474">
        <v>0</v>
      </c>
      <c r="AM33" s="72">
        <f>AL33*$G33</f>
        <v>0</v>
      </c>
      <c r="AN33" s="471">
        <f>AL33</f>
        <v>0</v>
      </c>
      <c r="AO33" s="72">
        <f>AN33*$G33</f>
        <v>0</v>
      </c>
      <c r="AP33" s="471">
        <f>AN33</f>
        <v>0</v>
      </c>
      <c r="AQ33" s="72">
        <f>AP33*$G33</f>
        <v>0</v>
      </c>
      <c r="AR33" s="443">
        <v>0</v>
      </c>
      <c r="AS33" s="190">
        <f t="shared" ref="AS33:AS43" si="22">AM33+AO33+AQ33</f>
        <v>0</v>
      </c>
      <c r="AT33" s="443">
        <f t="shared" ref="AT33:AT43" si="23">AR33+AJ33</f>
        <v>350</v>
      </c>
      <c r="AU33" s="190">
        <f t="shared" ref="AU33:AU43" si="24">AS33+AK33</f>
        <v>4915516008.8999996</v>
      </c>
      <c r="AV33" s="474"/>
      <c r="AW33" s="72">
        <f>AV33*$G33</f>
        <v>0</v>
      </c>
      <c r="AX33" s="471"/>
      <c r="AY33" s="72">
        <f>AX33*$G33</f>
        <v>0</v>
      </c>
      <c r="AZ33" s="471"/>
      <c r="BA33" s="72">
        <f>AZ33*$G33</f>
        <v>0</v>
      </c>
      <c r="BB33" s="443">
        <f>AV33+AX33+AZ33</f>
        <v>0</v>
      </c>
      <c r="BC33" s="190">
        <f t="shared" ref="BC33:BC43" si="25">AW33+AY33+BA33</f>
        <v>0</v>
      </c>
      <c r="BD33" s="443">
        <f t="shared" ref="BD33:BD42" si="26">BB33+AT33</f>
        <v>350</v>
      </c>
      <c r="BE33" s="190">
        <f t="shared" ref="BE33:BE43" si="27">BC33+AU33</f>
        <v>4915516008.8999996</v>
      </c>
      <c r="BF33" s="474"/>
      <c r="BG33" s="72">
        <f>BF33*$G33</f>
        <v>0</v>
      </c>
      <c r="BH33" s="471"/>
      <c r="BI33" s="72">
        <f>BH33*$G33</f>
        <v>0</v>
      </c>
      <c r="BJ33" s="471"/>
      <c r="BK33" s="72">
        <f>BJ33*$G33</f>
        <v>0</v>
      </c>
      <c r="BL33" s="443">
        <f t="shared" ref="BL33:BL42" si="28">BF33+BH33+BJ33</f>
        <v>0</v>
      </c>
      <c r="BM33" s="190">
        <f t="shared" ref="BM33:BM42" si="29">BG33+BI33+BK33</f>
        <v>0</v>
      </c>
      <c r="BN33" s="443">
        <f t="shared" ref="BN33:BN43" si="30">BL33+BD33</f>
        <v>350</v>
      </c>
      <c r="BO33" s="190">
        <f t="shared" ref="BO33:BO43" si="31">BM33+BE33</f>
        <v>4915516008.8999996</v>
      </c>
      <c r="BP33" s="191"/>
      <c r="BQ33" s="72">
        <f>BP33*$G33</f>
        <v>0</v>
      </c>
      <c r="BR33" s="72"/>
      <c r="BS33" s="72">
        <f>BR33*$G33</f>
        <v>0</v>
      </c>
      <c r="BT33" s="72"/>
      <c r="BU33" s="72">
        <f>BT33*$G33</f>
        <v>0</v>
      </c>
      <c r="BV33" s="193">
        <f t="shared" ref="BV33:BV43" si="32">BP33+BR33+BT33</f>
        <v>0</v>
      </c>
      <c r="BW33" s="190">
        <f t="shared" ref="BW33:BW43" si="33">BQ33+BS33+BU33</f>
        <v>0</v>
      </c>
      <c r="BX33" s="443">
        <f t="shared" ref="BX33:BX43" si="34">BV33+BN33</f>
        <v>350</v>
      </c>
      <c r="BY33" s="190">
        <f t="shared" ref="BY33:BY43" si="35">BW33+BO33</f>
        <v>4915516008.8999996</v>
      </c>
      <c r="CA33" s="278">
        <f t="shared" si="0"/>
        <v>350</v>
      </c>
      <c r="CB33" s="280">
        <f t="shared" si="4"/>
        <v>0</v>
      </c>
      <c r="CC33" s="440">
        <f t="shared" si="1"/>
        <v>0</v>
      </c>
      <c r="CD33" s="440">
        <f t="shared" si="5"/>
        <v>0</v>
      </c>
      <c r="CE33" s="286">
        <v>15604326800.185497</v>
      </c>
      <c r="CF33" s="280">
        <f t="shared" si="2"/>
        <v>10688810791.285498</v>
      </c>
      <c r="CG33" s="280">
        <f t="shared" si="3"/>
        <v>10688810791.285498</v>
      </c>
      <c r="CI33" s="286">
        <v>13419613.691249998</v>
      </c>
      <c r="CJ33" s="286">
        <v>13419613.69125</v>
      </c>
      <c r="CK33" s="286">
        <v>0</v>
      </c>
    </row>
    <row r="34" spans="2:89" ht="14.25" hidden="1" customHeight="1" x14ac:dyDescent="0.2">
      <c r="B34" s="186"/>
      <c r="C34" s="187" t="s">
        <v>239</v>
      </c>
      <c r="D34" s="188"/>
      <c r="E34" s="443">
        <f t="shared" si="12"/>
        <v>350</v>
      </c>
      <c r="F34" s="192"/>
      <c r="G34" s="191"/>
      <c r="H34" s="72"/>
      <c r="I34" s="189"/>
      <c r="J34" s="443"/>
      <c r="K34" s="72"/>
      <c r="L34" s="471"/>
      <c r="M34" s="72"/>
      <c r="N34" s="471"/>
      <c r="O34" s="72"/>
      <c r="P34" s="443">
        <f t="shared" si="13"/>
        <v>0</v>
      </c>
      <c r="Q34" s="190">
        <f t="shared" si="14"/>
        <v>0</v>
      </c>
      <c r="R34" s="474"/>
      <c r="S34" s="72"/>
      <c r="T34" s="471"/>
      <c r="U34" s="72"/>
      <c r="V34" s="471"/>
      <c r="W34" s="72"/>
      <c r="X34" s="443">
        <f t="shared" ref="X34:X43" si="36">R34+T34+V34</f>
        <v>0</v>
      </c>
      <c r="Y34" s="190">
        <f t="shared" si="15"/>
        <v>0</v>
      </c>
      <c r="Z34" s="443">
        <f t="shared" si="16"/>
        <v>0</v>
      </c>
      <c r="AA34" s="307">
        <f t="shared" si="17"/>
        <v>0</v>
      </c>
      <c r="AB34" s="474"/>
      <c r="AC34" s="72"/>
      <c r="AD34" s="471"/>
      <c r="AE34" s="72"/>
      <c r="AF34" s="471"/>
      <c r="AG34" s="72"/>
      <c r="AH34" s="443">
        <f t="shared" si="18"/>
        <v>0</v>
      </c>
      <c r="AI34" s="190">
        <f t="shared" si="19"/>
        <v>0</v>
      </c>
      <c r="AJ34" s="443">
        <f t="shared" si="20"/>
        <v>0</v>
      </c>
      <c r="AK34" s="190">
        <f t="shared" si="21"/>
        <v>0</v>
      </c>
      <c r="AL34" s="474"/>
      <c r="AM34" s="72"/>
      <c r="AN34" s="471"/>
      <c r="AO34" s="72"/>
      <c r="AP34" s="471"/>
      <c r="AQ34" s="72"/>
      <c r="AR34" s="443">
        <f t="shared" ref="AR34:AR42" si="37">AL34+AN34+AP34</f>
        <v>0</v>
      </c>
      <c r="AS34" s="190">
        <f t="shared" si="22"/>
        <v>0</v>
      </c>
      <c r="AT34" s="443">
        <f t="shared" si="23"/>
        <v>0</v>
      </c>
      <c r="AU34" s="190">
        <f t="shared" si="24"/>
        <v>0</v>
      </c>
      <c r="AV34" s="474"/>
      <c r="AW34" s="72"/>
      <c r="AX34" s="471"/>
      <c r="AY34" s="72"/>
      <c r="AZ34" s="471"/>
      <c r="BA34" s="72"/>
      <c r="BB34" s="443">
        <f t="shared" ref="BB34:BB42" si="38">AV34+AX34+AZ34</f>
        <v>0</v>
      </c>
      <c r="BC34" s="190">
        <f t="shared" si="25"/>
        <v>0</v>
      </c>
      <c r="BD34" s="443">
        <f t="shared" si="26"/>
        <v>0</v>
      </c>
      <c r="BE34" s="190">
        <f t="shared" si="27"/>
        <v>0</v>
      </c>
      <c r="BF34" s="474"/>
      <c r="BG34" s="72"/>
      <c r="BH34" s="471"/>
      <c r="BI34" s="72"/>
      <c r="BJ34" s="471"/>
      <c r="BK34" s="72"/>
      <c r="BL34" s="443">
        <f t="shared" si="28"/>
        <v>0</v>
      </c>
      <c r="BM34" s="190">
        <f t="shared" si="29"/>
        <v>0</v>
      </c>
      <c r="BN34" s="443">
        <f t="shared" si="30"/>
        <v>0</v>
      </c>
      <c r="BO34" s="190">
        <f t="shared" si="31"/>
        <v>0</v>
      </c>
      <c r="BP34" s="191"/>
      <c r="BQ34" s="72"/>
      <c r="BR34" s="72"/>
      <c r="BS34" s="72"/>
      <c r="BT34" s="72"/>
      <c r="BU34" s="72"/>
      <c r="BV34" s="193">
        <f t="shared" si="32"/>
        <v>0</v>
      </c>
      <c r="BW34" s="190">
        <f t="shared" si="33"/>
        <v>0</v>
      </c>
      <c r="BX34" s="193">
        <f t="shared" si="34"/>
        <v>0</v>
      </c>
      <c r="BY34" s="190">
        <f t="shared" si="35"/>
        <v>0</v>
      </c>
      <c r="CA34" s="278">
        <f t="shared" si="0"/>
        <v>0</v>
      </c>
      <c r="CB34" s="280">
        <f t="shared" si="4"/>
        <v>0</v>
      </c>
      <c r="CC34" s="440">
        <f t="shared" si="1"/>
        <v>350</v>
      </c>
      <c r="CD34" s="440">
        <f t="shared" si="5"/>
        <v>0</v>
      </c>
      <c r="CE34" s="286">
        <v>0</v>
      </c>
      <c r="CF34" s="280">
        <f t="shared" si="2"/>
        <v>0</v>
      </c>
      <c r="CG34" s="280">
        <f t="shared" si="3"/>
        <v>0</v>
      </c>
      <c r="CI34" s="286">
        <v>0</v>
      </c>
      <c r="CJ34" s="286">
        <v>0</v>
      </c>
      <c r="CK34" s="286">
        <v>0</v>
      </c>
    </row>
    <row r="35" spans="2:89" ht="14.25" hidden="1" customHeight="1" x14ac:dyDescent="0.2">
      <c r="B35" s="186"/>
      <c r="C35" s="187">
        <f>'Tingkat Jalan Mineral'!G20</f>
        <v>998942.8</v>
      </c>
      <c r="D35" s="188"/>
      <c r="E35" s="443">
        <f t="shared" si="12"/>
        <v>350</v>
      </c>
      <c r="F35" s="192"/>
      <c r="G35" s="191"/>
      <c r="H35" s="72"/>
      <c r="I35" s="189"/>
      <c r="J35" s="443"/>
      <c r="K35" s="72"/>
      <c r="L35" s="471"/>
      <c r="M35" s="72"/>
      <c r="N35" s="471"/>
      <c r="O35" s="72"/>
      <c r="P35" s="443">
        <f t="shared" si="13"/>
        <v>0</v>
      </c>
      <c r="Q35" s="190">
        <f t="shared" si="14"/>
        <v>0</v>
      </c>
      <c r="R35" s="474"/>
      <c r="S35" s="72"/>
      <c r="T35" s="471"/>
      <c r="U35" s="72"/>
      <c r="V35" s="471"/>
      <c r="W35" s="72"/>
      <c r="X35" s="443">
        <f t="shared" si="36"/>
        <v>0</v>
      </c>
      <c r="Y35" s="190">
        <f t="shared" si="15"/>
        <v>0</v>
      </c>
      <c r="Z35" s="443">
        <f t="shared" si="16"/>
        <v>0</v>
      </c>
      <c r="AA35" s="307">
        <f t="shared" si="17"/>
        <v>0</v>
      </c>
      <c r="AB35" s="474"/>
      <c r="AC35" s="72"/>
      <c r="AD35" s="471"/>
      <c r="AE35" s="72"/>
      <c r="AF35" s="471"/>
      <c r="AG35" s="72"/>
      <c r="AH35" s="443">
        <f t="shared" si="18"/>
        <v>0</v>
      </c>
      <c r="AI35" s="190">
        <f t="shared" si="19"/>
        <v>0</v>
      </c>
      <c r="AJ35" s="443">
        <f t="shared" si="20"/>
        <v>0</v>
      </c>
      <c r="AK35" s="190">
        <f t="shared" si="21"/>
        <v>0</v>
      </c>
      <c r="AL35" s="474"/>
      <c r="AM35" s="72"/>
      <c r="AN35" s="471"/>
      <c r="AO35" s="72"/>
      <c r="AP35" s="471"/>
      <c r="AQ35" s="72"/>
      <c r="AR35" s="443">
        <f t="shared" si="37"/>
        <v>0</v>
      </c>
      <c r="AS35" s="190">
        <f t="shared" si="22"/>
        <v>0</v>
      </c>
      <c r="AT35" s="443">
        <f t="shared" si="23"/>
        <v>0</v>
      </c>
      <c r="AU35" s="190">
        <f t="shared" si="24"/>
        <v>0</v>
      </c>
      <c r="AV35" s="474"/>
      <c r="AW35" s="72"/>
      <c r="AX35" s="471"/>
      <c r="AY35" s="72"/>
      <c r="AZ35" s="471"/>
      <c r="BA35" s="72"/>
      <c r="BB35" s="443">
        <f t="shared" si="38"/>
        <v>0</v>
      </c>
      <c r="BC35" s="190">
        <f t="shared" si="25"/>
        <v>0</v>
      </c>
      <c r="BD35" s="443">
        <f t="shared" si="26"/>
        <v>0</v>
      </c>
      <c r="BE35" s="190">
        <f t="shared" si="27"/>
        <v>0</v>
      </c>
      <c r="BF35" s="474"/>
      <c r="BG35" s="72"/>
      <c r="BH35" s="471"/>
      <c r="BI35" s="72"/>
      <c r="BJ35" s="471"/>
      <c r="BK35" s="72"/>
      <c r="BL35" s="443">
        <f t="shared" si="28"/>
        <v>0</v>
      </c>
      <c r="BM35" s="190">
        <f t="shared" si="29"/>
        <v>0</v>
      </c>
      <c r="BN35" s="443">
        <f t="shared" si="30"/>
        <v>0</v>
      </c>
      <c r="BO35" s="190">
        <f t="shared" si="31"/>
        <v>0</v>
      </c>
      <c r="BP35" s="191"/>
      <c r="BQ35" s="72"/>
      <c r="BR35" s="72"/>
      <c r="BS35" s="72"/>
      <c r="BT35" s="72"/>
      <c r="BU35" s="72"/>
      <c r="BV35" s="193">
        <f t="shared" si="32"/>
        <v>0</v>
      </c>
      <c r="BW35" s="190">
        <f t="shared" si="33"/>
        <v>0</v>
      </c>
      <c r="BX35" s="193">
        <f t="shared" si="34"/>
        <v>0</v>
      </c>
      <c r="BY35" s="190">
        <f t="shared" si="35"/>
        <v>0</v>
      </c>
      <c r="CA35" s="278">
        <f t="shared" si="0"/>
        <v>0</v>
      </c>
      <c r="CB35" s="280">
        <f t="shared" si="4"/>
        <v>0</v>
      </c>
      <c r="CC35" s="440">
        <f t="shared" si="1"/>
        <v>350</v>
      </c>
      <c r="CD35" s="440">
        <f t="shared" si="5"/>
        <v>0</v>
      </c>
      <c r="CE35" s="286">
        <v>0</v>
      </c>
      <c r="CF35" s="280">
        <f t="shared" si="2"/>
        <v>0</v>
      </c>
      <c r="CG35" s="280">
        <f t="shared" si="3"/>
        <v>0</v>
      </c>
      <c r="CI35" s="286">
        <v>0</v>
      </c>
      <c r="CJ35" s="286">
        <v>0</v>
      </c>
      <c r="CK35" s="286">
        <v>0</v>
      </c>
    </row>
    <row r="36" spans="2:89" ht="14.25" hidden="1" customHeight="1" x14ac:dyDescent="0.2">
      <c r="B36" s="186"/>
      <c r="C36" s="187">
        <f>'Tingkat Jalan Mineral'!Q20</f>
        <v>1522646.8</v>
      </c>
      <c r="D36" s="188"/>
      <c r="E36" s="443">
        <f t="shared" si="12"/>
        <v>350</v>
      </c>
      <c r="F36" s="192"/>
      <c r="G36" s="191"/>
      <c r="H36" s="72"/>
      <c r="I36" s="189"/>
      <c r="J36" s="443"/>
      <c r="K36" s="72"/>
      <c r="L36" s="471"/>
      <c r="M36" s="72"/>
      <c r="N36" s="471"/>
      <c r="O36" s="72"/>
      <c r="P36" s="443">
        <f t="shared" si="13"/>
        <v>0</v>
      </c>
      <c r="Q36" s="190">
        <f t="shared" si="14"/>
        <v>0</v>
      </c>
      <c r="R36" s="474"/>
      <c r="S36" s="72"/>
      <c r="T36" s="471"/>
      <c r="U36" s="72"/>
      <c r="V36" s="471"/>
      <c r="W36" s="72"/>
      <c r="X36" s="443">
        <f t="shared" si="36"/>
        <v>0</v>
      </c>
      <c r="Y36" s="190">
        <f t="shared" si="15"/>
        <v>0</v>
      </c>
      <c r="Z36" s="443">
        <f t="shared" si="16"/>
        <v>0</v>
      </c>
      <c r="AA36" s="307">
        <f t="shared" si="17"/>
        <v>0</v>
      </c>
      <c r="AB36" s="474"/>
      <c r="AC36" s="72"/>
      <c r="AD36" s="471"/>
      <c r="AE36" s="72"/>
      <c r="AF36" s="471"/>
      <c r="AG36" s="72"/>
      <c r="AH36" s="443">
        <f t="shared" si="18"/>
        <v>0</v>
      </c>
      <c r="AI36" s="190">
        <f t="shared" si="19"/>
        <v>0</v>
      </c>
      <c r="AJ36" s="443">
        <f t="shared" si="20"/>
        <v>0</v>
      </c>
      <c r="AK36" s="190">
        <f t="shared" si="21"/>
        <v>0</v>
      </c>
      <c r="AL36" s="474"/>
      <c r="AM36" s="72"/>
      <c r="AN36" s="471"/>
      <c r="AO36" s="72"/>
      <c r="AP36" s="471"/>
      <c r="AQ36" s="72"/>
      <c r="AR36" s="443">
        <f t="shared" si="37"/>
        <v>0</v>
      </c>
      <c r="AS36" s="190">
        <f t="shared" si="22"/>
        <v>0</v>
      </c>
      <c r="AT36" s="443">
        <f t="shared" si="23"/>
        <v>0</v>
      </c>
      <c r="AU36" s="190">
        <f t="shared" si="24"/>
        <v>0</v>
      </c>
      <c r="AV36" s="474"/>
      <c r="AW36" s="72"/>
      <c r="AX36" s="471"/>
      <c r="AY36" s="72"/>
      <c r="AZ36" s="471"/>
      <c r="BA36" s="72"/>
      <c r="BB36" s="443">
        <f t="shared" si="38"/>
        <v>0</v>
      </c>
      <c r="BC36" s="190">
        <f t="shared" si="25"/>
        <v>0</v>
      </c>
      <c r="BD36" s="443">
        <f t="shared" si="26"/>
        <v>0</v>
      </c>
      <c r="BE36" s="190">
        <f t="shared" si="27"/>
        <v>0</v>
      </c>
      <c r="BF36" s="474"/>
      <c r="BG36" s="72"/>
      <c r="BH36" s="471"/>
      <c r="BI36" s="72"/>
      <c r="BJ36" s="471"/>
      <c r="BK36" s="72"/>
      <c r="BL36" s="443">
        <f t="shared" si="28"/>
        <v>0</v>
      </c>
      <c r="BM36" s="190">
        <f t="shared" si="29"/>
        <v>0</v>
      </c>
      <c r="BN36" s="443">
        <f t="shared" si="30"/>
        <v>0</v>
      </c>
      <c r="BO36" s="190">
        <f t="shared" si="31"/>
        <v>0</v>
      </c>
      <c r="BP36" s="191"/>
      <c r="BQ36" s="72"/>
      <c r="BR36" s="72"/>
      <c r="BS36" s="72"/>
      <c r="BT36" s="72"/>
      <c r="BU36" s="72"/>
      <c r="BV36" s="193">
        <f t="shared" si="32"/>
        <v>0</v>
      </c>
      <c r="BW36" s="190">
        <f t="shared" si="33"/>
        <v>0</v>
      </c>
      <c r="BX36" s="193">
        <f t="shared" si="34"/>
        <v>0</v>
      </c>
      <c r="BY36" s="190">
        <f t="shared" si="35"/>
        <v>0</v>
      </c>
      <c r="CA36" s="278">
        <f t="shared" si="0"/>
        <v>0</v>
      </c>
      <c r="CB36" s="280">
        <f t="shared" si="4"/>
        <v>0</v>
      </c>
      <c r="CC36" s="440">
        <f t="shared" si="1"/>
        <v>350</v>
      </c>
      <c r="CD36" s="440">
        <f t="shared" si="5"/>
        <v>0</v>
      </c>
      <c r="CE36" s="286">
        <v>0</v>
      </c>
      <c r="CF36" s="280">
        <f t="shared" si="2"/>
        <v>0</v>
      </c>
      <c r="CG36" s="280">
        <f t="shared" si="3"/>
        <v>0</v>
      </c>
      <c r="CI36" s="286">
        <v>0</v>
      </c>
      <c r="CJ36" s="286">
        <v>0</v>
      </c>
      <c r="CK36" s="286">
        <v>0</v>
      </c>
    </row>
    <row r="37" spans="2:89" ht="14.25" hidden="1" customHeight="1" x14ac:dyDescent="0.2">
      <c r="B37" s="186"/>
      <c r="C37" s="282">
        <f>'Drainase Tnh Mineral '!Q21</f>
        <v>581740</v>
      </c>
      <c r="D37" s="283"/>
      <c r="E37" s="443">
        <f t="shared" si="12"/>
        <v>350</v>
      </c>
      <c r="F37" s="373"/>
      <c r="G37" s="210"/>
      <c r="H37" s="73"/>
      <c r="I37" s="208"/>
      <c r="J37" s="478"/>
      <c r="K37" s="73"/>
      <c r="L37" s="482"/>
      <c r="M37" s="73"/>
      <c r="N37" s="482"/>
      <c r="O37" s="73"/>
      <c r="P37" s="443">
        <f t="shared" si="13"/>
        <v>0</v>
      </c>
      <c r="Q37" s="190">
        <f t="shared" si="14"/>
        <v>0</v>
      </c>
      <c r="R37" s="487"/>
      <c r="S37" s="73"/>
      <c r="T37" s="482"/>
      <c r="U37" s="73"/>
      <c r="V37" s="482"/>
      <c r="W37" s="73"/>
      <c r="X37" s="443">
        <f t="shared" si="36"/>
        <v>0</v>
      </c>
      <c r="Y37" s="190">
        <f t="shared" si="15"/>
        <v>0</v>
      </c>
      <c r="Z37" s="443">
        <f t="shared" si="16"/>
        <v>0</v>
      </c>
      <c r="AA37" s="307">
        <f t="shared" si="17"/>
        <v>0</v>
      </c>
      <c r="AB37" s="487"/>
      <c r="AC37" s="73"/>
      <c r="AD37" s="482"/>
      <c r="AE37" s="73"/>
      <c r="AF37" s="482"/>
      <c r="AG37" s="73"/>
      <c r="AH37" s="443">
        <f t="shared" si="18"/>
        <v>0</v>
      </c>
      <c r="AI37" s="190">
        <f t="shared" si="19"/>
        <v>0</v>
      </c>
      <c r="AJ37" s="443">
        <f t="shared" si="20"/>
        <v>0</v>
      </c>
      <c r="AK37" s="190">
        <f t="shared" si="21"/>
        <v>0</v>
      </c>
      <c r="AL37" s="487"/>
      <c r="AM37" s="73"/>
      <c r="AN37" s="482"/>
      <c r="AO37" s="73"/>
      <c r="AP37" s="482"/>
      <c r="AQ37" s="73"/>
      <c r="AR37" s="443">
        <f t="shared" si="37"/>
        <v>0</v>
      </c>
      <c r="AS37" s="190">
        <f t="shared" si="22"/>
        <v>0</v>
      </c>
      <c r="AT37" s="443">
        <f t="shared" si="23"/>
        <v>0</v>
      </c>
      <c r="AU37" s="190">
        <f t="shared" si="24"/>
        <v>0</v>
      </c>
      <c r="AV37" s="487"/>
      <c r="AW37" s="73"/>
      <c r="AX37" s="482"/>
      <c r="AY37" s="73"/>
      <c r="AZ37" s="482"/>
      <c r="BA37" s="73"/>
      <c r="BB37" s="443">
        <f t="shared" si="38"/>
        <v>0</v>
      </c>
      <c r="BC37" s="190">
        <f t="shared" si="25"/>
        <v>0</v>
      </c>
      <c r="BD37" s="443">
        <f t="shared" si="26"/>
        <v>0</v>
      </c>
      <c r="BE37" s="190">
        <f t="shared" si="27"/>
        <v>0</v>
      </c>
      <c r="BF37" s="487"/>
      <c r="BG37" s="73"/>
      <c r="BH37" s="482"/>
      <c r="BI37" s="73"/>
      <c r="BJ37" s="482"/>
      <c r="BK37" s="73"/>
      <c r="BL37" s="443">
        <f t="shared" si="28"/>
        <v>0</v>
      </c>
      <c r="BM37" s="190">
        <f t="shared" si="29"/>
        <v>0</v>
      </c>
      <c r="BN37" s="443">
        <f t="shared" si="30"/>
        <v>0</v>
      </c>
      <c r="BO37" s="190">
        <f t="shared" si="31"/>
        <v>0</v>
      </c>
      <c r="BP37" s="210"/>
      <c r="BQ37" s="73"/>
      <c r="BR37" s="73"/>
      <c r="BS37" s="73"/>
      <c r="BT37" s="73"/>
      <c r="BU37" s="73"/>
      <c r="BV37" s="193">
        <f t="shared" si="32"/>
        <v>0</v>
      </c>
      <c r="BW37" s="190">
        <f t="shared" si="33"/>
        <v>0</v>
      </c>
      <c r="BX37" s="193">
        <f t="shared" si="34"/>
        <v>0</v>
      </c>
      <c r="BY37" s="190">
        <f t="shared" si="35"/>
        <v>0</v>
      </c>
      <c r="CA37" s="278">
        <f t="shared" si="0"/>
        <v>0</v>
      </c>
      <c r="CB37" s="280">
        <f t="shared" si="4"/>
        <v>0</v>
      </c>
      <c r="CC37" s="440">
        <f t="shared" si="1"/>
        <v>350</v>
      </c>
      <c r="CD37" s="440">
        <f t="shared" si="5"/>
        <v>0</v>
      </c>
      <c r="CE37" s="286">
        <v>0</v>
      </c>
      <c r="CF37" s="280">
        <f t="shared" si="2"/>
        <v>0</v>
      </c>
      <c r="CG37" s="280">
        <f t="shared" si="3"/>
        <v>0</v>
      </c>
      <c r="CI37" s="286">
        <v>0</v>
      </c>
      <c r="CJ37" s="286">
        <v>0</v>
      </c>
      <c r="CK37" s="286">
        <v>0</v>
      </c>
    </row>
    <row r="38" spans="2:89" ht="14.25" customHeight="1" x14ac:dyDescent="0.2">
      <c r="B38" s="186">
        <v>4</v>
      </c>
      <c r="C38" s="187" t="s">
        <v>242</v>
      </c>
      <c r="D38" s="188"/>
      <c r="E38" s="443">
        <f t="shared" si="12"/>
        <v>350</v>
      </c>
      <c r="F38" s="192">
        <f>E38*G38</f>
        <v>6525431937.8274231</v>
      </c>
      <c r="G38" s="191">
        <f>'Rekapitulasi Biaya'!C25</f>
        <v>18644091.250935495</v>
      </c>
      <c r="H38" s="72">
        <v>1</v>
      </c>
      <c r="I38" s="189">
        <f>G38/H38</f>
        <v>18644091.250935495</v>
      </c>
      <c r="J38" s="443"/>
      <c r="K38" s="72">
        <f t="shared" ref="K38:M43" si="39">J38*$G38</f>
        <v>0</v>
      </c>
      <c r="L38" s="471"/>
      <c r="M38" s="72">
        <f t="shared" si="39"/>
        <v>0</v>
      </c>
      <c r="N38" s="471"/>
      <c r="O38" s="72">
        <f t="shared" ref="O38:O43" si="40">N38*$G38</f>
        <v>0</v>
      </c>
      <c r="P38" s="443">
        <f t="shared" si="13"/>
        <v>0</v>
      </c>
      <c r="Q38" s="190">
        <f t="shared" si="14"/>
        <v>0</v>
      </c>
      <c r="R38" s="474"/>
      <c r="S38" s="72">
        <f t="shared" ref="S38:S43" si="41">R38*$G38</f>
        <v>0</v>
      </c>
      <c r="T38" s="471"/>
      <c r="U38" s="72">
        <f t="shared" ref="U38:U43" si="42">T38*$G38</f>
        <v>0</v>
      </c>
      <c r="V38" s="471"/>
      <c r="W38" s="72">
        <f t="shared" ref="W38:W43" si="43">V38*$G38</f>
        <v>0</v>
      </c>
      <c r="X38" s="443">
        <f t="shared" si="36"/>
        <v>0</v>
      </c>
      <c r="Y38" s="190">
        <f t="shared" si="15"/>
        <v>0</v>
      </c>
      <c r="Z38" s="443">
        <f t="shared" si="16"/>
        <v>0</v>
      </c>
      <c r="AA38" s="307">
        <f t="shared" si="17"/>
        <v>0</v>
      </c>
      <c r="AB38" s="474">
        <v>200</v>
      </c>
      <c r="AC38" s="72">
        <f t="shared" ref="AC38:AC43" si="44">AB38*$G38</f>
        <v>3728818250.187099</v>
      </c>
      <c r="AD38" s="471">
        <v>150</v>
      </c>
      <c r="AE38" s="72">
        <f t="shared" ref="AE38:AE43" si="45">AD38*$G38</f>
        <v>2796613687.6403241</v>
      </c>
      <c r="AF38" s="471">
        <v>0</v>
      </c>
      <c r="AG38" s="72">
        <f t="shared" ref="AG38:AG43" si="46">AF38*$G38</f>
        <v>0</v>
      </c>
      <c r="AH38" s="443">
        <f>+AD38+AB38</f>
        <v>350</v>
      </c>
      <c r="AI38" s="190">
        <f t="shared" si="19"/>
        <v>6525431937.8274231</v>
      </c>
      <c r="AJ38" s="443">
        <f t="shared" si="20"/>
        <v>350</v>
      </c>
      <c r="AK38" s="190">
        <f t="shared" si="21"/>
        <v>6525431937.8274231</v>
      </c>
      <c r="AL38" s="474">
        <v>0</v>
      </c>
      <c r="AM38" s="72">
        <f>AL38*$G38</f>
        <v>0</v>
      </c>
      <c r="AN38" s="471">
        <v>0</v>
      </c>
      <c r="AO38" s="72">
        <f>AN38*$G38</f>
        <v>0</v>
      </c>
      <c r="AP38" s="471">
        <v>0</v>
      </c>
      <c r="AQ38" s="72">
        <f>AP38*$G38</f>
        <v>0</v>
      </c>
      <c r="AR38" s="443">
        <f>AL38+AN38+AP38</f>
        <v>0</v>
      </c>
      <c r="AS38" s="190">
        <f t="shared" si="22"/>
        <v>0</v>
      </c>
      <c r="AT38" s="443">
        <f t="shared" si="23"/>
        <v>350</v>
      </c>
      <c r="AU38" s="190">
        <f t="shared" si="24"/>
        <v>6525431937.8274231</v>
      </c>
      <c r="AV38" s="474">
        <v>0</v>
      </c>
      <c r="AW38" s="72">
        <f>AV38*$G38</f>
        <v>0</v>
      </c>
      <c r="AX38" s="471">
        <f>AV38</f>
        <v>0</v>
      </c>
      <c r="AY38" s="72">
        <f>AX38*$G38</f>
        <v>0</v>
      </c>
      <c r="AZ38" s="471">
        <f>AX38</f>
        <v>0</v>
      </c>
      <c r="BA38" s="72">
        <f>AZ38*$G38</f>
        <v>0</v>
      </c>
      <c r="BB38" s="443">
        <v>0</v>
      </c>
      <c r="BC38" s="190">
        <f t="shared" si="25"/>
        <v>0</v>
      </c>
      <c r="BD38" s="443">
        <f t="shared" si="26"/>
        <v>350</v>
      </c>
      <c r="BE38" s="190">
        <f t="shared" si="27"/>
        <v>6525431937.8274231</v>
      </c>
      <c r="BF38" s="474"/>
      <c r="BG38" s="72">
        <f>BF38*$G38</f>
        <v>0</v>
      </c>
      <c r="BH38" s="471"/>
      <c r="BI38" s="72">
        <f>BH38*$G38</f>
        <v>0</v>
      </c>
      <c r="BJ38" s="471"/>
      <c r="BK38" s="72">
        <f>BJ38*$G38</f>
        <v>0</v>
      </c>
      <c r="BL38" s="443">
        <f t="shared" si="28"/>
        <v>0</v>
      </c>
      <c r="BM38" s="190">
        <f t="shared" si="29"/>
        <v>0</v>
      </c>
      <c r="BN38" s="443">
        <f t="shared" si="30"/>
        <v>350</v>
      </c>
      <c r="BO38" s="190">
        <f t="shared" si="31"/>
        <v>6525431937.8274231</v>
      </c>
      <c r="BP38" s="191"/>
      <c r="BQ38" s="72">
        <f>BP38*$G38</f>
        <v>0</v>
      </c>
      <c r="BR38" s="72"/>
      <c r="BS38" s="72">
        <f>BR38*$G38</f>
        <v>0</v>
      </c>
      <c r="BT38" s="72"/>
      <c r="BU38" s="72">
        <f>BT38*$G38</f>
        <v>0</v>
      </c>
      <c r="BV38" s="193">
        <f t="shared" si="32"/>
        <v>0</v>
      </c>
      <c r="BW38" s="190">
        <f t="shared" si="33"/>
        <v>0</v>
      </c>
      <c r="BX38" s="443">
        <f t="shared" si="34"/>
        <v>350</v>
      </c>
      <c r="BY38" s="190">
        <f t="shared" si="35"/>
        <v>6525431937.8274231</v>
      </c>
      <c r="CA38" s="278">
        <f t="shared" si="0"/>
        <v>350</v>
      </c>
      <c r="CB38" s="280">
        <f>CA38-BX38</f>
        <v>0</v>
      </c>
      <c r="CC38" s="440">
        <f t="shared" si="1"/>
        <v>0</v>
      </c>
      <c r="CD38" s="440">
        <f t="shared" si="5"/>
        <v>0</v>
      </c>
      <c r="CE38" s="286">
        <v>15932355088.756124</v>
      </c>
      <c r="CF38" s="280">
        <f t="shared" si="2"/>
        <v>9406923150.9287014</v>
      </c>
      <c r="CG38" s="280">
        <f t="shared" si="3"/>
        <v>9406923150.9287014</v>
      </c>
      <c r="CI38" s="286">
        <v>13701715.762604164</v>
      </c>
      <c r="CJ38" s="286">
        <v>13701715.762604168</v>
      </c>
      <c r="CK38" s="286">
        <v>0</v>
      </c>
    </row>
    <row r="39" spans="2:89" ht="14.25" hidden="1" customHeight="1" x14ac:dyDescent="0.2">
      <c r="B39" s="186"/>
      <c r="C39" s="187" t="e">
        <f>C33+C38</f>
        <v>#VALUE!</v>
      </c>
      <c r="D39" s="188"/>
      <c r="E39" s="443">
        <f t="shared" si="12"/>
        <v>350</v>
      </c>
      <c r="F39" s="192"/>
      <c r="G39" s="191"/>
      <c r="H39" s="72"/>
      <c r="I39" s="189"/>
      <c r="J39" s="443"/>
      <c r="K39" s="72">
        <f t="shared" si="39"/>
        <v>0</v>
      </c>
      <c r="L39" s="471"/>
      <c r="M39" s="72">
        <f t="shared" si="39"/>
        <v>0</v>
      </c>
      <c r="N39" s="471"/>
      <c r="O39" s="72">
        <f t="shared" si="40"/>
        <v>0</v>
      </c>
      <c r="P39" s="443">
        <f t="shared" si="13"/>
        <v>0</v>
      </c>
      <c r="Q39" s="190">
        <f t="shared" si="14"/>
        <v>0</v>
      </c>
      <c r="R39" s="474"/>
      <c r="S39" s="72">
        <f t="shared" si="41"/>
        <v>0</v>
      </c>
      <c r="T39" s="471"/>
      <c r="U39" s="72">
        <f t="shared" si="42"/>
        <v>0</v>
      </c>
      <c r="V39" s="471"/>
      <c r="W39" s="72">
        <f t="shared" si="43"/>
        <v>0</v>
      </c>
      <c r="X39" s="443">
        <f t="shared" si="36"/>
        <v>0</v>
      </c>
      <c r="Y39" s="190">
        <f t="shared" si="15"/>
        <v>0</v>
      </c>
      <c r="Z39" s="443">
        <f t="shared" si="16"/>
        <v>0</v>
      </c>
      <c r="AA39" s="307">
        <f t="shared" si="17"/>
        <v>0</v>
      </c>
      <c r="AB39" s="474"/>
      <c r="AC39" s="72">
        <f t="shared" si="44"/>
        <v>0</v>
      </c>
      <c r="AD39" s="471"/>
      <c r="AE39" s="72">
        <f t="shared" si="45"/>
        <v>0</v>
      </c>
      <c r="AF39" s="471"/>
      <c r="AG39" s="72">
        <f t="shared" si="46"/>
        <v>0</v>
      </c>
      <c r="AH39" s="443">
        <f>AB39+AD39+AF39</f>
        <v>0</v>
      </c>
      <c r="AI39" s="190">
        <f t="shared" si="19"/>
        <v>0</v>
      </c>
      <c r="AJ39" s="443">
        <f t="shared" si="20"/>
        <v>0</v>
      </c>
      <c r="AK39" s="190">
        <f t="shared" si="21"/>
        <v>0</v>
      </c>
      <c r="AL39" s="474"/>
      <c r="AM39" s="72"/>
      <c r="AN39" s="471"/>
      <c r="AO39" s="72"/>
      <c r="AP39" s="471"/>
      <c r="AQ39" s="72"/>
      <c r="AR39" s="443">
        <f t="shared" si="37"/>
        <v>0</v>
      </c>
      <c r="AS39" s="190">
        <f t="shared" si="22"/>
        <v>0</v>
      </c>
      <c r="AT39" s="443">
        <f t="shared" si="23"/>
        <v>0</v>
      </c>
      <c r="AU39" s="190">
        <f t="shared" si="24"/>
        <v>0</v>
      </c>
      <c r="AV39" s="474"/>
      <c r="AW39" s="72"/>
      <c r="AX39" s="471"/>
      <c r="AY39" s="72"/>
      <c r="AZ39" s="471"/>
      <c r="BA39" s="72"/>
      <c r="BB39" s="443">
        <f t="shared" si="38"/>
        <v>0</v>
      </c>
      <c r="BC39" s="190">
        <f t="shared" si="25"/>
        <v>0</v>
      </c>
      <c r="BD39" s="443">
        <f t="shared" si="26"/>
        <v>0</v>
      </c>
      <c r="BE39" s="190">
        <f t="shared" si="27"/>
        <v>0</v>
      </c>
      <c r="BF39" s="474"/>
      <c r="BG39" s="72"/>
      <c r="BH39" s="471"/>
      <c r="BI39" s="72"/>
      <c r="BJ39" s="471"/>
      <c r="BK39" s="72"/>
      <c r="BL39" s="443">
        <f t="shared" si="28"/>
        <v>0</v>
      </c>
      <c r="BM39" s="190">
        <f t="shared" si="29"/>
        <v>0</v>
      </c>
      <c r="BN39" s="443">
        <f t="shared" si="30"/>
        <v>0</v>
      </c>
      <c r="BO39" s="190">
        <f t="shared" si="31"/>
        <v>0</v>
      </c>
      <c r="BP39" s="191"/>
      <c r="BQ39" s="72"/>
      <c r="BR39" s="72"/>
      <c r="BS39" s="72"/>
      <c r="BT39" s="72"/>
      <c r="BU39" s="72"/>
      <c r="BV39" s="193">
        <f t="shared" si="32"/>
        <v>0</v>
      </c>
      <c r="BW39" s="190">
        <f t="shared" si="33"/>
        <v>0</v>
      </c>
      <c r="BX39" s="193">
        <f t="shared" si="34"/>
        <v>0</v>
      </c>
      <c r="BY39" s="190">
        <f t="shared" si="35"/>
        <v>0</v>
      </c>
      <c r="CA39" s="278">
        <f t="shared" si="0"/>
        <v>0</v>
      </c>
      <c r="CB39" s="280">
        <f t="shared" si="4"/>
        <v>0</v>
      </c>
      <c r="CC39" s="440">
        <f t="shared" si="1"/>
        <v>350</v>
      </c>
      <c r="CD39" s="440">
        <f t="shared" si="5"/>
        <v>0</v>
      </c>
      <c r="CE39" s="286">
        <v>0</v>
      </c>
      <c r="CF39" s="280">
        <f t="shared" si="2"/>
        <v>0</v>
      </c>
      <c r="CG39" s="280">
        <f t="shared" si="3"/>
        <v>0</v>
      </c>
      <c r="CI39" s="286">
        <v>0</v>
      </c>
      <c r="CJ39" s="286">
        <v>0</v>
      </c>
      <c r="CK39" s="286">
        <v>0</v>
      </c>
    </row>
    <row r="40" spans="2:89" ht="14.25" hidden="1" customHeight="1" x14ac:dyDescent="0.2">
      <c r="B40" s="186"/>
      <c r="C40" s="187" t="s">
        <v>240</v>
      </c>
      <c r="D40" s="188"/>
      <c r="E40" s="443">
        <f t="shared" si="12"/>
        <v>350</v>
      </c>
      <c r="F40" s="192"/>
      <c r="G40" s="191"/>
      <c r="H40" s="72"/>
      <c r="I40" s="189"/>
      <c r="J40" s="443"/>
      <c r="K40" s="72">
        <f t="shared" si="39"/>
        <v>0</v>
      </c>
      <c r="L40" s="471"/>
      <c r="M40" s="72">
        <f t="shared" si="39"/>
        <v>0</v>
      </c>
      <c r="N40" s="471"/>
      <c r="O40" s="72">
        <f t="shared" si="40"/>
        <v>0</v>
      </c>
      <c r="P40" s="443">
        <f t="shared" si="13"/>
        <v>0</v>
      </c>
      <c r="Q40" s="190">
        <f t="shared" si="14"/>
        <v>0</v>
      </c>
      <c r="R40" s="474"/>
      <c r="S40" s="72">
        <f t="shared" si="41"/>
        <v>0</v>
      </c>
      <c r="T40" s="471"/>
      <c r="U40" s="72">
        <f t="shared" si="42"/>
        <v>0</v>
      </c>
      <c r="V40" s="471"/>
      <c r="W40" s="72">
        <f t="shared" si="43"/>
        <v>0</v>
      </c>
      <c r="X40" s="443">
        <f t="shared" si="36"/>
        <v>0</v>
      </c>
      <c r="Y40" s="190">
        <f t="shared" si="15"/>
        <v>0</v>
      </c>
      <c r="Z40" s="443">
        <f t="shared" si="16"/>
        <v>0</v>
      </c>
      <c r="AA40" s="307">
        <f t="shared" si="17"/>
        <v>0</v>
      </c>
      <c r="AB40" s="474"/>
      <c r="AC40" s="72">
        <f t="shared" si="44"/>
        <v>0</v>
      </c>
      <c r="AD40" s="471"/>
      <c r="AE40" s="72">
        <f t="shared" si="45"/>
        <v>0</v>
      </c>
      <c r="AF40" s="471"/>
      <c r="AG40" s="72">
        <f t="shared" si="46"/>
        <v>0</v>
      </c>
      <c r="AH40" s="443">
        <f>AB40+AD40+AF40</f>
        <v>0</v>
      </c>
      <c r="AI40" s="190">
        <f t="shared" si="19"/>
        <v>0</v>
      </c>
      <c r="AJ40" s="443">
        <f t="shared" si="20"/>
        <v>0</v>
      </c>
      <c r="AK40" s="190">
        <f t="shared" si="21"/>
        <v>0</v>
      </c>
      <c r="AL40" s="474"/>
      <c r="AM40" s="72"/>
      <c r="AN40" s="471"/>
      <c r="AO40" s="72"/>
      <c r="AP40" s="471"/>
      <c r="AQ40" s="72"/>
      <c r="AR40" s="443">
        <f t="shared" si="37"/>
        <v>0</v>
      </c>
      <c r="AS40" s="190">
        <f t="shared" si="22"/>
        <v>0</v>
      </c>
      <c r="AT40" s="443">
        <f t="shared" si="23"/>
        <v>0</v>
      </c>
      <c r="AU40" s="190">
        <f t="shared" si="24"/>
        <v>0</v>
      </c>
      <c r="AV40" s="474"/>
      <c r="AW40" s="72"/>
      <c r="AX40" s="471"/>
      <c r="AY40" s="72"/>
      <c r="AZ40" s="471"/>
      <c r="BA40" s="72"/>
      <c r="BB40" s="443">
        <f t="shared" si="38"/>
        <v>0</v>
      </c>
      <c r="BC40" s="190">
        <f t="shared" si="25"/>
        <v>0</v>
      </c>
      <c r="BD40" s="443">
        <f t="shared" si="26"/>
        <v>0</v>
      </c>
      <c r="BE40" s="190">
        <f t="shared" si="27"/>
        <v>0</v>
      </c>
      <c r="BF40" s="474"/>
      <c r="BG40" s="72"/>
      <c r="BH40" s="471"/>
      <c r="BI40" s="72"/>
      <c r="BJ40" s="471"/>
      <c r="BK40" s="72"/>
      <c r="BL40" s="443">
        <f t="shared" si="28"/>
        <v>0</v>
      </c>
      <c r="BM40" s="190">
        <f t="shared" si="29"/>
        <v>0</v>
      </c>
      <c r="BN40" s="443">
        <f t="shared" si="30"/>
        <v>0</v>
      </c>
      <c r="BO40" s="190">
        <f t="shared" si="31"/>
        <v>0</v>
      </c>
      <c r="BP40" s="191"/>
      <c r="BQ40" s="72"/>
      <c r="BR40" s="72"/>
      <c r="BS40" s="72"/>
      <c r="BT40" s="72"/>
      <c r="BU40" s="72"/>
      <c r="BV40" s="193">
        <f t="shared" si="32"/>
        <v>0</v>
      </c>
      <c r="BW40" s="190">
        <f t="shared" si="33"/>
        <v>0</v>
      </c>
      <c r="BX40" s="193">
        <f t="shared" si="34"/>
        <v>0</v>
      </c>
      <c r="BY40" s="190">
        <f t="shared" si="35"/>
        <v>0</v>
      </c>
      <c r="CA40" s="278">
        <f t="shared" si="0"/>
        <v>0</v>
      </c>
      <c r="CB40" s="280">
        <f t="shared" si="4"/>
        <v>0</v>
      </c>
      <c r="CC40" s="440">
        <f t="shared" si="1"/>
        <v>350</v>
      </c>
      <c r="CD40" s="440">
        <f t="shared" si="5"/>
        <v>0</v>
      </c>
      <c r="CE40" s="286">
        <v>0</v>
      </c>
      <c r="CF40" s="280">
        <f t="shared" si="2"/>
        <v>0</v>
      </c>
      <c r="CG40" s="280">
        <f t="shared" si="3"/>
        <v>0</v>
      </c>
      <c r="CI40" s="286">
        <v>0</v>
      </c>
      <c r="CJ40" s="286">
        <v>0</v>
      </c>
      <c r="CK40" s="286">
        <v>0</v>
      </c>
    </row>
    <row r="41" spans="2:89" ht="14.25" hidden="1" customHeight="1" x14ac:dyDescent="0.2">
      <c r="B41" s="186"/>
      <c r="C41" s="187" t="s">
        <v>241</v>
      </c>
      <c r="D41" s="188"/>
      <c r="E41" s="443">
        <f t="shared" si="12"/>
        <v>350</v>
      </c>
      <c r="F41" s="192"/>
      <c r="G41" s="191"/>
      <c r="H41" s="72"/>
      <c r="I41" s="189"/>
      <c r="J41" s="443"/>
      <c r="K41" s="72">
        <f t="shared" si="39"/>
        <v>0</v>
      </c>
      <c r="L41" s="471"/>
      <c r="M41" s="72">
        <f t="shared" si="39"/>
        <v>0</v>
      </c>
      <c r="N41" s="471"/>
      <c r="O41" s="72">
        <f t="shared" si="40"/>
        <v>0</v>
      </c>
      <c r="P41" s="443">
        <f t="shared" si="13"/>
        <v>0</v>
      </c>
      <c r="Q41" s="190">
        <f t="shared" si="14"/>
        <v>0</v>
      </c>
      <c r="R41" s="474"/>
      <c r="S41" s="72">
        <f t="shared" si="41"/>
        <v>0</v>
      </c>
      <c r="T41" s="471"/>
      <c r="U41" s="72">
        <f t="shared" si="42"/>
        <v>0</v>
      </c>
      <c r="V41" s="471"/>
      <c r="W41" s="72">
        <f t="shared" si="43"/>
        <v>0</v>
      </c>
      <c r="X41" s="443">
        <f t="shared" si="36"/>
        <v>0</v>
      </c>
      <c r="Y41" s="190">
        <f t="shared" si="15"/>
        <v>0</v>
      </c>
      <c r="Z41" s="443">
        <f t="shared" si="16"/>
        <v>0</v>
      </c>
      <c r="AA41" s="307">
        <f t="shared" si="17"/>
        <v>0</v>
      </c>
      <c r="AB41" s="474"/>
      <c r="AC41" s="72">
        <f t="shared" si="44"/>
        <v>0</v>
      </c>
      <c r="AD41" s="471"/>
      <c r="AE41" s="72">
        <f t="shared" si="45"/>
        <v>0</v>
      </c>
      <c r="AF41" s="471"/>
      <c r="AG41" s="72">
        <f t="shared" si="46"/>
        <v>0</v>
      </c>
      <c r="AH41" s="443">
        <f>AB41+AD41+AF41</f>
        <v>0</v>
      </c>
      <c r="AI41" s="190">
        <f t="shared" si="19"/>
        <v>0</v>
      </c>
      <c r="AJ41" s="443">
        <f t="shared" si="20"/>
        <v>0</v>
      </c>
      <c r="AK41" s="190">
        <f t="shared" si="21"/>
        <v>0</v>
      </c>
      <c r="AL41" s="474"/>
      <c r="AM41" s="72"/>
      <c r="AN41" s="471"/>
      <c r="AO41" s="72"/>
      <c r="AP41" s="471"/>
      <c r="AQ41" s="72"/>
      <c r="AR41" s="443">
        <f t="shared" si="37"/>
        <v>0</v>
      </c>
      <c r="AS41" s="190">
        <f t="shared" si="22"/>
        <v>0</v>
      </c>
      <c r="AT41" s="443">
        <f t="shared" si="23"/>
        <v>0</v>
      </c>
      <c r="AU41" s="190">
        <f t="shared" si="24"/>
        <v>0</v>
      </c>
      <c r="AV41" s="474"/>
      <c r="AW41" s="72"/>
      <c r="AX41" s="471"/>
      <c r="AY41" s="72"/>
      <c r="AZ41" s="471"/>
      <c r="BA41" s="72"/>
      <c r="BB41" s="443">
        <f t="shared" si="38"/>
        <v>0</v>
      </c>
      <c r="BC41" s="190">
        <f t="shared" si="25"/>
        <v>0</v>
      </c>
      <c r="BD41" s="443">
        <f t="shared" si="26"/>
        <v>0</v>
      </c>
      <c r="BE41" s="190">
        <f t="shared" si="27"/>
        <v>0</v>
      </c>
      <c r="BF41" s="474"/>
      <c r="BG41" s="72"/>
      <c r="BH41" s="471"/>
      <c r="BI41" s="72"/>
      <c r="BJ41" s="471"/>
      <c r="BK41" s="72"/>
      <c r="BL41" s="443">
        <f t="shared" si="28"/>
        <v>0</v>
      </c>
      <c r="BM41" s="190">
        <f t="shared" si="29"/>
        <v>0</v>
      </c>
      <c r="BN41" s="443">
        <f t="shared" si="30"/>
        <v>0</v>
      </c>
      <c r="BO41" s="190">
        <f t="shared" si="31"/>
        <v>0</v>
      </c>
      <c r="BP41" s="191"/>
      <c r="BQ41" s="72"/>
      <c r="BR41" s="72"/>
      <c r="BS41" s="72"/>
      <c r="BT41" s="72"/>
      <c r="BU41" s="72"/>
      <c r="BV41" s="193">
        <f t="shared" si="32"/>
        <v>0</v>
      </c>
      <c r="BW41" s="190">
        <f t="shared" si="33"/>
        <v>0</v>
      </c>
      <c r="BX41" s="193">
        <f t="shared" si="34"/>
        <v>0</v>
      </c>
      <c r="BY41" s="190">
        <f t="shared" si="35"/>
        <v>0</v>
      </c>
      <c r="CA41" s="278">
        <f t="shared" si="0"/>
        <v>0</v>
      </c>
      <c r="CB41" s="280">
        <f t="shared" si="4"/>
        <v>0</v>
      </c>
      <c r="CC41" s="440">
        <f t="shared" si="1"/>
        <v>350</v>
      </c>
      <c r="CD41" s="440">
        <f t="shared" si="5"/>
        <v>0</v>
      </c>
      <c r="CE41" s="286">
        <v>0</v>
      </c>
      <c r="CF41" s="280">
        <f t="shared" si="2"/>
        <v>0</v>
      </c>
      <c r="CG41" s="280">
        <f t="shared" si="3"/>
        <v>0</v>
      </c>
      <c r="CI41" s="286">
        <v>0</v>
      </c>
      <c r="CJ41" s="286">
        <v>0</v>
      </c>
      <c r="CK41" s="286">
        <v>0</v>
      </c>
    </row>
    <row r="42" spans="2:89" ht="14.25" hidden="1" customHeight="1" x14ac:dyDescent="0.2">
      <c r="B42" s="186"/>
      <c r="C42" s="282" t="s">
        <v>243</v>
      </c>
      <c r="D42" s="283"/>
      <c r="E42" s="443">
        <f t="shared" si="12"/>
        <v>350</v>
      </c>
      <c r="F42" s="373"/>
      <c r="G42" s="210"/>
      <c r="H42" s="73"/>
      <c r="I42" s="208"/>
      <c r="J42" s="478"/>
      <c r="K42" s="72">
        <f t="shared" si="39"/>
        <v>0</v>
      </c>
      <c r="L42" s="482"/>
      <c r="M42" s="72">
        <f t="shared" si="39"/>
        <v>0</v>
      </c>
      <c r="N42" s="482"/>
      <c r="O42" s="72">
        <f t="shared" si="40"/>
        <v>0</v>
      </c>
      <c r="P42" s="443">
        <f t="shared" si="13"/>
        <v>0</v>
      </c>
      <c r="Q42" s="190">
        <f t="shared" si="14"/>
        <v>0</v>
      </c>
      <c r="R42" s="487"/>
      <c r="S42" s="72">
        <f t="shared" si="41"/>
        <v>0</v>
      </c>
      <c r="T42" s="482"/>
      <c r="U42" s="72">
        <f t="shared" si="42"/>
        <v>0</v>
      </c>
      <c r="V42" s="482"/>
      <c r="W42" s="72">
        <f t="shared" si="43"/>
        <v>0</v>
      </c>
      <c r="X42" s="443">
        <f t="shared" si="36"/>
        <v>0</v>
      </c>
      <c r="Y42" s="190">
        <f t="shared" si="15"/>
        <v>0</v>
      </c>
      <c r="Z42" s="443">
        <f t="shared" si="16"/>
        <v>0</v>
      </c>
      <c r="AA42" s="307">
        <f t="shared" si="17"/>
        <v>0</v>
      </c>
      <c r="AB42" s="487"/>
      <c r="AC42" s="72">
        <f t="shared" si="44"/>
        <v>0</v>
      </c>
      <c r="AD42" s="482"/>
      <c r="AE42" s="72">
        <f t="shared" si="45"/>
        <v>0</v>
      </c>
      <c r="AF42" s="482"/>
      <c r="AG42" s="72">
        <f t="shared" si="46"/>
        <v>0</v>
      </c>
      <c r="AH42" s="443">
        <f>AB42+AD42+AF42</f>
        <v>0</v>
      </c>
      <c r="AI42" s="190">
        <f t="shared" si="19"/>
        <v>0</v>
      </c>
      <c r="AJ42" s="443">
        <f t="shared" si="20"/>
        <v>0</v>
      </c>
      <c r="AK42" s="190">
        <f t="shared" si="21"/>
        <v>0</v>
      </c>
      <c r="AL42" s="487"/>
      <c r="AM42" s="73"/>
      <c r="AN42" s="482"/>
      <c r="AO42" s="73"/>
      <c r="AP42" s="482"/>
      <c r="AQ42" s="73"/>
      <c r="AR42" s="443">
        <f t="shared" si="37"/>
        <v>0</v>
      </c>
      <c r="AS42" s="190">
        <f t="shared" si="22"/>
        <v>0</v>
      </c>
      <c r="AT42" s="443">
        <f t="shared" si="23"/>
        <v>0</v>
      </c>
      <c r="AU42" s="190">
        <f t="shared" si="24"/>
        <v>0</v>
      </c>
      <c r="AV42" s="487"/>
      <c r="AW42" s="73"/>
      <c r="AX42" s="482"/>
      <c r="AY42" s="73"/>
      <c r="AZ42" s="482"/>
      <c r="BA42" s="73"/>
      <c r="BB42" s="443">
        <f t="shared" si="38"/>
        <v>0</v>
      </c>
      <c r="BC42" s="190">
        <f t="shared" si="25"/>
        <v>0</v>
      </c>
      <c r="BD42" s="443">
        <f t="shared" si="26"/>
        <v>0</v>
      </c>
      <c r="BE42" s="190">
        <f t="shared" si="27"/>
        <v>0</v>
      </c>
      <c r="BF42" s="487"/>
      <c r="BG42" s="73"/>
      <c r="BH42" s="482"/>
      <c r="BI42" s="73"/>
      <c r="BJ42" s="482"/>
      <c r="BK42" s="73"/>
      <c r="BL42" s="443">
        <f t="shared" si="28"/>
        <v>0</v>
      </c>
      <c r="BM42" s="190">
        <f t="shared" si="29"/>
        <v>0</v>
      </c>
      <c r="BN42" s="443">
        <f t="shared" si="30"/>
        <v>0</v>
      </c>
      <c r="BO42" s="190">
        <f t="shared" si="31"/>
        <v>0</v>
      </c>
      <c r="BP42" s="210"/>
      <c r="BQ42" s="73"/>
      <c r="BR42" s="73"/>
      <c r="BS42" s="73"/>
      <c r="BT42" s="73"/>
      <c r="BU42" s="73"/>
      <c r="BV42" s="193">
        <f t="shared" si="32"/>
        <v>0</v>
      </c>
      <c r="BW42" s="190">
        <f t="shared" si="33"/>
        <v>0</v>
      </c>
      <c r="BX42" s="193">
        <f t="shared" si="34"/>
        <v>0</v>
      </c>
      <c r="BY42" s="190">
        <f t="shared" si="35"/>
        <v>0</v>
      </c>
      <c r="CA42" s="278">
        <f t="shared" si="0"/>
        <v>0</v>
      </c>
      <c r="CB42" s="280">
        <f t="shared" si="4"/>
        <v>0</v>
      </c>
      <c r="CC42" s="440">
        <f t="shared" si="1"/>
        <v>350</v>
      </c>
      <c r="CD42" s="440">
        <f t="shared" si="5"/>
        <v>0</v>
      </c>
      <c r="CE42" s="286">
        <v>0</v>
      </c>
      <c r="CF42" s="280">
        <f t="shared" si="2"/>
        <v>0</v>
      </c>
      <c r="CG42" s="280">
        <f t="shared" si="3"/>
        <v>0</v>
      </c>
      <c r="CI42" s="286">
        <v>0</v>
      </c>
      <c r="CJ42" s="286">
        <v>0</v>
      </c>
      <c r="CK42" s="286">
        <v>0</v>
      </c>
    </row>
    <row r="43" spans="2:89" ht="14.25" customHeight="1" x14ac:dyDescent="0.2">
      <c r="B43" s="186">
        <v>5</v>
      </c>
      <c r="C43" s="187" t="s">
        <v>244</v>
      </c>
      <c r="D43" s="188"/>
      <c r="E43" s="443">
        <f t="shared" si="12"/>
        <v>350</v>
      </c>
      <c r="F43" s="192">
        <f>E43*G43</f>
        <v>7442735106.105237</v>
      </c>
      <c r="G43" s="191">
        <f>'Rekapitulasi Biaya'!C26</f>
        <v>21264957.446014963</v>
      </c>
      <c r="H43" s="72">
        <v>1</v>
      </c>
      <c r="I43" s="189">
        <f>G43/H43</f>
        <v>21264957.446014963</v>
      </c>
      <c r="J43" s="443"/>
      <c r="K43" s="72">
        <f t="shared" si="39"/>
        <v>0</v>
      </c>
      <c r="L43" s="471"/>
      <c r="M43" s="72">
        <f t="shared" si="39"/>
        <v>0</v>
      </c>
      <c r="N43" s="471"/>
      <c r="O43" s="72">
        <f t="shared" si="40"/>
        <v>0</v>
      </c>
      <c r="P43" s="443">
        <f t="shared" si="13"/>
        <v>0</v>
      </c>
      <c r="Q43" s="190">
        <f t="shared" si="14"/>
        <v>0</v>
      </c>
      <c r="R43" s="474"/>
      <c r="S43" s="72">
        <f t="shared" si="41"/>
        <v>0</v>
      </c>
      <c r="T43" s="471"/>
      <c r="U43" s="72">
        <f t="shared" si="42"/>
        <v>0</v>
      </c>
      <c r="V43" s="471"/>
      <c r="W43" s="72">
        <f t="shared" si="43"/>
        <v>0</v>
      </c>
      <c r="X43" s="443">
        <f t="shared" si="36"/>
        <v>0</v>
      </c>
      <c r="Y43" s="190">
        <f t="shared" si="15"/>
        <v>0</v>
      </c>
      <c r="Z43" s="443">
        <f t="shared" si="16"/>
        <v>0</v>
      </c>
      <c r="AA43" s="307">
        <f t="shared" si="17"/>
        <v>0</v>
      </c>
      <c r="AB43" s="474"/>
      <c r="AC43" s="72">
        <f t="shared" si="44"/>
        <v>0</v>
      </c>
      <c r="AD43" s="471"/>
      <c r="AE43" s="72">
        <f t="shared" si="45"/>
        <v>0</v>
      </c>
      <c r="AF43" s="471"/>
      <c r="AG43" s="72">
        <f t="shared" si="46"/>
        <v>0</v>
      </c>
      <c r="AH43" s="443">
        <f>AB43+AD43+AF43</f>
        <v>0</v>
      </c>
      <c r="AI43" s="190">
        <f t="shared" si="19"/>
        <v>0</v>
      </c>
      <c r="AJ43" s="443">
        <f t="shared" si="20"/>
        <v>0</v>
      </c>
      <c r="AK43" s="190">
        <f t="shared" si="21"/>
        <v>0</v>
      </c>
      <c r="AL43" s="474">
        <v>200</v>
      </c>
      <c r="AM43" s="72">
        <f>AL43*$G43</f>
        <v>4252991489.2029924</v>
      </c>
      <c r="AN43" s="471">
        <v>150</v>
      </c>
      <c r="AO43" s="72">
        <f>AN43*$G43</f>
        <v>3189743616.9022446</v>
      </c>
      <c r="AP43" s="471">
        <v>0</v>
      </c>
      <c r="AQ43" s="72">
        <f>AP43*$G43</f>
        <v>0</v>
      </c>
      <c r="AR43" s="443">
        <f>AL43+AN43+AP43</f>
        <v>350</v>
      </c>
      <c r="AS43" s="190">
        <f t="shared" si="22"/>
        <v>7442735106.105237</v>
      </c>
      <c r="AT43" s="443">
        <f t="shared" si="23"/>
        <v>350</v>
      </c>
      <c r="AU43" s="190">
        <f t="shared" si="24"/>
        <v>7442735106.105237</v>
      </c>
      <c r="AV43" s="474">
        <v>0</v>
      </c>
      <c r="AW43" s="72">
        <f>AV43*$G43</f>
        <v>0</v>
      </c>
      <c r="AX43" s="471">
        <f>AV43</f>
        <v>0</v>
      </c>
      <c r="AY43" s="72">
        <f>AX43*$G43</f>
        <v>0</v>
      </c>
      <c r="AZ43" s="471">
        <v>0</v>
      </c>
      <c r="BA43" s="72">
        <f>AZ43*$G43</f>
        <v>0</v>
      </c>
      <c r="BB43" s="443">
        <v>0</v>
      </c>
      <c r="BC43" s="190">
        <f t="shared" si="25"/>
        <v>0</v>
      </c>
      <c r="BD43" s="443">
        <f>+AT43+BB43</f>
        <v>350</v>
      </c>
      <c r="BE43" s="190">
        <f t="shared" si="27"/>
        <v>7442735106.105237</v>
      </c>
      <c r="BF43" s="474">
        <v>0</v>
      </c>
      <c r="BG43" s="72">
        <f>BF43*$G43</f>
        <v>0</v>
      </c>
      <c r="BH43" s="471">
        <f>BF43</f>
        <v>0</v>
      </c>
      <c r="BI43" s="72">
        <f>BH43*$G43</f>
        <v>0</v>
      </c>
      <c r="BJ43" s="471">
        <f>BH43</f>
        <v>0</v>
      </c>
      <c r="BK43" s="72">
        <f>BJ43*$G43</f>
        <v>0</v>
      </c>
      <c r="BL43" s="443">
        <v>0</v>
      </c>
      <c r="BM43" s="190">
        <f>BG43+BI43+BK43</f>
        <v>0</v>
      </c>
      <c r="BN43" s="443">
        <f t="shared" si="30"/>
        <v>350</v>
      </c>
      <c r="BO43" s="190">
        <f t="shared" si="31"/>
        <v>7442735106.105237</v>
      </c>
      <c r="BP43" s="191"/>
      <c r="BQ43" s="72">
        <f>BP43*$G43</f>
        <v>0</v>
      </c>
      <c r="BR43" s="72"/>
      <c r="BS43" s="72">
        <f>BR43*$G43</f>
        <v>0</v>
      </c>
      <c r="BT43" s="72"/>
      <c r="BU43" s="72">
        <f>BT43*$G43</f>
        <v>0</v>
      </c>
      <c r="BV43" s="193">
        <f t="shared" si="32"/>
        <v>0</v>
      </c>
      <c r="BW43" s="190">
        <f t="shared" si="33"/>
        <v>0</v>
      </c>
      <c r="BX43" s="443">
        <f t="shared" si="34"/>
        <v>350</v>
      </c>
      <c r="BY43" s="190">
        <f t="shared" si="35"/>
        <v>7442735106.105237</v>
      </c>
      <c r="CA43" s="278">
        <f t="shared" si="0"/>
        <v>350</v>
      </c>
      <c r="CB43" s="280">
        <f t="shared" si="4"/>
        <v>0</v>
      </c>
      <c r="CC43" s="440">
        <f t="shared" si="1"/>
        <v>0</v>
      </c>
      <c r="CD43" s="440">
        <f t="shared" si="5"/>
        <v>0</v>
      </c>
      <c r="CE43" s="286">
        <v>13120422879.899803</v>
      </c>
      <c r="CF43" s="280">
        <f t="shared" si="2"/>
        <v>5677687773.7945662</v>
      </c>
      <c r="CG43" s="280">
        <f t="shared" si="3"/>
        <v>5677687773.7945662</v>
      </c>
      <c r="CI43" s="286">
        <v>11283473.40892656</v>
      </c>
      <c r="CJ43" s="286">
        <v>11283473.408926561</v>
      </c>
      <c r="CK43" s="286">
        <v>0</v>
      </c>
    </row>
    <row r="44" spans="2:89" ht="14.25" hidden="1" customHeight="1" x14ac:dyDescent="0.2">
      <c r="B44" s="186"/>
      <c r="C44" s="187" t="s">
        <v>239</v>
      </c>
      <c r="D44" s="188"/>
      <c r="E44" s="353"/>
      <c r="F44" s="222"/>
      <c r="G44" s="191"/>
      <c r="H44" s="72"/>
      <c r="I44" s="189"/>
      <c r="J44" s="443"/>
      <c r="K44" s="72"/>
      <c r="L44" s="471"/>
      <c r="M44" s="72"/>
      <c r="N44" s="471"/>
      <c r="O44" s="72"/>
      <c r="P44" s="443"/>
      <c r="Q44" s="190"/>
      <c r="R44" s="474"/>
      <c r="S44" s="72"/>
      <c r="T44" s="471"/>
      <c r="U44" s="72"/>
      <c r="V44" s="471"/>
      <c r="W44" s="72"/>
      <c r="X44" s="443"/>
      <c r="Y44" s="190"/>
      <c r="Z44" s="443"/>
      <c r="AA44" s="190"/>
      <c r="AB44" s="474"/>
      <c r="AC44" s="72"/>
      <c r="AD44" s="471"/>
      <c r="AE44" s="72"/>
      <c r="AF44" s="471"/>
      <c r="AG44" s="72"/>
      <c r="AH44" s="443"/>
      <c r="AI44" s="190"/>
      <c r="AJ44" s="443"/>
      <c r="AK44" s="190"/>
      <c r="AL44" s="474"/>
      <c r="AM44" s="72"/>
      <c r="AN44" s="471"/>
      <c r="AO44" s="72"/>
      <c r="AP44" s="471"/>
      <c r="AQ44" s="72"/>
      <c r="AR44" s="443"/>
      <c r="AS44" s="190"/>
      <c r="AT44" s="443"/>
      <c r="AU44" s="190"/>
      <c r="AV44" s="474"/>
      <c r="AW44" s="72"/>
      <c r="AX44" s="471"/>
      <c r="AY44" s="72"/>
      <c r="AZ44" s="471"/>
      <c r="BA44" s="72"/>
      <c r="BB44" s="443"/>
      <c r="BC44" s="190"/>
      <c r="BD44" s="443"/>
      <c r="BE44" s="190"/>
      <c r="BF44" s="474"/>
      <c r="BG44" s="72"/>
      <c r="BH44" s="471"/>
      <c r="BI44" s="72"/>
      <c r="BJ44" s="471"/>
      <c r="BK44" s="72"/>
      <c r="BL44" s="443"/>
      <c r="BM44" s="190"/>
      <c r="BN44" s="443"/>
      <c r="BO44" s="190"/>
      <c r="BP44" s="191"/>
      <c r="BQ44" s="72"/>
      <c r="BR44" s="72"/>
      <c r="BS44" s="72"/>
      <c r="BT44" s="72"/>
      <c r="BU44" s="72"/>
      <c r="BV44" s="193"/>
      <c r="BW44" s="190"/>
      <c r="BX44" s="193"/>
      <c r="BY44" s="190"/>
      <c r="CA44" s="278">
        <f t="shared" si="0"/>
        <v>0</v>
      </c>
      <c r="CB44" s="280">
        <f t="shared" si="4"/>
        <v>0</v>
      </c>
      <c r="CC44" s="440">
        <f t="shared" si="1"/>
        <v>0</v>
      </c>
      <c r="CD44" s="440">
        <f t="shared" si="5"/>
        <v>0</v>
      </c>
      <c r="CE44" s="286"/>
      <c r="CF44" s="280">
        <f t="shared" si="2"/>
        <v>0</v>
      </c>
      <c r="CG44" s="280">
        <f t="shared" si="3"/>
        <v>0</v>
      </c>
      <c r="CI44" s="286">
        <v>0</v>
      </c>
      <c r="CJ44" s="286">
        <v>0</v>
      </c>
      <c r="CK44" s="286">
        <v>0</v>
      </c>
    </row>
    <row r="45" spans="2:89" ht="14.25" hidden="1" customHeight="1" x14ac:dyDescent="0.2">
      <c r="B45" s="186"/>
      <c r="C45" s="187" t="s">
        <v>240</v>
      </c>
      <c r="D45" s="188"/>
      <c r="E45" s="353"/>
      <c r="F45" s="222"/>
      <c r="G45" s="191"/>
      <c r="H45" s="72"/>
      <c r="I45" s="189"/>
      <c r="J45" s="443"/>
      <c r="K45" s="72"/>
      <c r="L45" s="471"/>
      <c r="M45" s="72"/>
      <c r="N45" s="471"/>
      <c r="O45" s="72"/>
      <c r="P45" s="443"/>
      <c r="Q45" s="190"/>
      <c r="R45" s="474"/>
      <c r="S45" s="72"/>
      <c r="T45" s="471"/>
      <c r="U45" s="72"/>
      <c r="V45" s="471"/>
      <c r="W45" s="72"/>
      <c r="X45" s="443"/>
      <c r="Y45" s="190"/>
      <c r="Z45" s="443"/>
      <c r="AA45" s="190"/>
      <c r="AB45" s="474"/>
      <c r="AC45" s="72"/>
      <c r="AD45" s="471"/>
      <c r="AE45" s="72"/>
      <c r="AF45" s="471"/>
      <c r="AG45" s="72"/>
      <c r="AH45" s="443"/>
      <c r="AI45" s="190"/>
      <c r="AJ45" s="443"/>
      <c r="AK45" s="190"/>
      <c r="AL45" s="474"/>
      <c r="AM45" s="72"/>
      <c r="AN45" s="471"/>
      <c r="AO45" s="72"/>
      <c r="AP45" s="471"/>
      <c r="AQ45" s="72"/>
      <c r="AR45" s="443"/>
      <c r="AS45" s="190"/>
      <c r="AT45" s="443"/>
      <c r="AU45" s="190"/>
      <c r="AV45" s="474"/>
      <c r="AW45" s="72"/>
      <c r="AX45" s="471"/>
      <c r="AY45" s="72"/>
      <c r="AZ45" s="471"/>
      <c r="BA45" s="72"/>
      <c r="BB45" s="443"/>
      <c r="BC45" s="190"/>
      <c r="BD45" s="443"/>
      <c r="BE45" s="190"/>
      <c r="BF45" s="474"/>
      <c r="BG45" s="72"/>
      <c r="BH45" s="471"/>
      <c r="BI45" s="72"/>
      <c r="BJ45" s="471"/>
      <c r="BK45" s="72"/>
      <c r="BL45" s="443"/>
      <c r="BM45" s="190"/>
      <c r="BN45" s="443"/>
      <c r="BO45" s="190"/>
      <c r="BP45" s="191"/>
      <c r="BQ45" s="72"/>
      <c r="BR45" s="72"/>
      <c r="BS45" s="72"/>
      <c r="BT45" s="72"/>
      <c r="BU45" s="72"/>
      <c r="BV45" s="193"/>
      <c r="BW45" s="190"/>
      <c r="BX45" s="193"/>
      <c r="BY45" s="190"/>
      <c r="CA45" s="278">
        <f t="shared" si="0"/>
        <v>0</v>
      </c>
      <c r="CB45" s="280">
        <f t="shared" si="4"/>
        <v>0</v>
      </c>
      <c r="CC45" s="440">
        <f t="shared" si="1"/>
        <v>0</v>
      </c>
      <c r="CD45" s="440">
        <f t="shared" si="5"/>
        <v>0</v>
      </c>
      <c r="CE45" s="286"/>
      <c r="CF45" s="280">
        <f t="shared" ref="CF45:CF76" si="47">CE45-BY45</f>
        <v>0</v>
      </c>
      <c r="CG45" s="280">
        <f t="shared" ref="CG45:CG76" si="48">CF45-BZ45</f>
        <v>0</v>
      </c>
      <c r="CI45" s="286">
        <v>0</v>
      </c>
      <c r="CJ45" s="286">
        <v>0</v>
      </c>
      <c r="CK45" s="286">
        <v>0</v>
      </c>
    </row>
    <row r="46" spans="2:89" ht="14.25" hidden="1" customHeight="1" x14ac:dyDescent="0.2">
      <c r="B46" s="186"/>
      <c r="C46" s="187" t="s">
        <v>241</v>
      </c>
      <c r="D46" s="188"/>
      <c r="E46" s="353"/>
      <c r="F46" s="222"/>
      <c r="G46" s="191"/>
      <c r="H46" s="72"/>
      <c r="I46" s="189"/>
      <c r="J46" s="443"/>
      <c r="K46" s="72"/>
      <c r="L46" s="471"/>
      <c r="M46" s="72"/>
      <c r="N46" s="471"/>
      <c r="O46" s="72"/>
      <c r="P46" s="443"/>
      <c r="Q46" s="190"/>
      <c r="R46" s="474"/>
      <c r="S46" s="72"/>
      <c r="T46" s="471"/>
      <c r="U46" s="72"/>
      <c r="V46" s="471"/>
      <c r="W46" s="72"/>
      <c r="X46" s="443"/>
      <c r="Y46" s="190"/>
      <c r="Z46" s="443"/>
      <c r="AA46" s="190"/>
      <c r="AB46" s="474"/>
      <c r="AC46" s="72"/>
      <c r="AD46" s="471"/>
      <c r="AE46" s="72"/>
      <c r="AF46" s="471"/>
      <c r="AG46" s="72"/>
      <c r="AH46" s="443"/>
      <c r="AI46" s="190"/>
      <c r="AJ46" s="443"/>
      <c r="AK46" s="190"/>
      <c r="AL46" s="474"/>
      <c r="AM46" s="72"/>
      <c r="AN46" s="471"/>
      <c r="AO46" s="72"/>
      <c r="AP46" s="471"/>
      <c r="AQ46" s="72"/>
      <c r="AR46" s="443"/>
      <c r="AS46" s="190"/>
      <c r="AT46" s="443"/>
      <c r="AU46" s="190"/>
      <c r="AV46" s="474"/>
      <c r="AW46" s="72"/>
      <c r="AX46" s="471"/>
      <c r="AY46" s="72"/>
      <c r="AZ46" s="471"/>
      <c r="BA46" s="72"/>
      <c r="BB46" s="443"/>
      <c r="BC46" s="190"/>
      <c r="BD46" s="443"/>
      <c r="BE46" s="190"/>
      <c r="BF46" s="474"/>
      <c r="BG46" s="72"/>
      <c r="BH46" s="471"/>
      <c r="BI46" s="72"/>
      <c r="BJ46" s="471"/>
      <c r="BK46" s="72"/>
      <c r="BL46" s="443"/>
      <c r="BM46" s="190"/>
      <c r="BN46" s="443"/>
      <c r="BO46" s="190"/>
      <c r="BP46" s="191"/>
      <c r="BQ46" s="72"/>
      <c r="BR46" s="72"/>
      <c r="BS46" s="72"/>
      <c r="BT46" s="72"/>
      <c r="BU46" s="72"/>
      <c r="BV46" s="193"/>
      <c r="BW46" s="190"/>
      <c r="BX46" s="193"/>
      <c r="BY46" s="190"/>
      <c r="CA46" s="278">
        <f t="shared" si="0"/>
        <v>0</v>
      </c>
      <c r="CB46" s="280">
        <f t="shared" si="4"/>
        <v>0</v>
      </c>
      <c r="CC46" s="440">
        <f t="shared" si="1"/>
        <v>0</v>
      </c>
      <c r="CD46" s="440">
        <f t="shared" si="5"/>
        <v>0</v>
      </c>
      <c r="CE46" s="286"/>
      <c r="CF46" s="280">
        <f t="shared" si="47"/>
        <v>0</v>
      </c>
      <c r="CG46" s="280">
        <f t="shared" si="48"/>
        <v>0</v>
      </c>
      <c r="CI46" s="286">
        <v>0</v>
      </c>
      <c r="CJ46" s="286">
        <v>0</v>
      </c>
      <c r="CK46" s="286">
        <v>0</v>
      </c>
    </row>
    <row r="47" spans="2:89" ht="14.25" hidden="1" customHeight="1" x14ac:dyDescent="0.2">
      <c r="B47" s="186"/>
      <c r="C47" s="282" t="s">
        <v>245</v>
      </c>
      <c r="D47" s="283"/>
      <c r="E47" s="374"/>
      <c r="F47" s="375"/>
      <c r="G47" s="210"/>
      <c r="H47" s="73"/>
      <c r="I47" s="208"/>
      <c r="J47" s="478"/>
      <c r="K47" s="73"/>
      <c r="L47" s="482"/>
      <c r="M47" s="73"/>
      <c r="N47" s="482"/>
      <c r="O47" s="73"/>
      <c r="P47" s="478"/>
      <c r="Q47" s="209"/>
      <c r="R47" s="487"/>
      <c r="S47" s="73"/>
      <c r="T47" s="482"/>
      <c r="U47" s="73"/>
      <c r="V47" s="482"/>
      <c r="W47" s="73"/>
      <c r="X47" s="478"/>
      <c r="Y47" s="209"/>
      <c r="Z47" s="478"/>
      <c r="AA47" s="209"/>
      <c r="AB47" s="487"/>
      <c r="AC47" s="73"/>
      <c r="AD47" s="482"/>
      <c r="AE47" s="73"/>
      <c r="AF47" s="482"/>
      <c r="AG47" s="73"/>
      <c r="AH47" s="478"/>
      <c r="AI47" s="209"/>
      <c r="AJ47" s="478"/>
      <c r="AK47" s="209"/>
      <c r="AL47" s="487"/>
      <c r="AM47" s="73"/>
      <c r="AN47" s="482"/>
      <c r="AO47" s="73"/>
      <c r="AP47" s="482"/>
      <c r="AQ47" s="73"/>
      <c r="AR47" s="478"/>
      <c r="AS47" s="209"/>
      <c r="AT47" s="478"/>
      <c r="AU47" s="209"/>
      <c r="AV47" s="487"/>
      <c r="AW47" s="73"/>
      <c r="AX47" s="482"/>
      <c r="AY47" s="73"/>
      <c r="AZ47" s="482"/>
      <c r="BA47" s="73"/>
      <c r="BB47" s="478"/>
      <c r="BC47" s="209"/>
      <c r="BD47" s="478"/>
      <c r="BE47" s="209"/>
      <c r="BF47" s="487"/>
      <c r="BG47" s="73"/>
      <c r="BH47" s="482"/>
      <c r="BI47" s="73"/>
      <c r="BJ47" s="482"/>
      <c r="BK47" s="73"/>
      <c r="BL47" s="478"/>
      <c r="BM47" s="209"/>
      <c r="BN47" s="478"/>
      <c r="BO47" s="209"/>
      <c r="BP47" s="210"/>
      <c r="BQ47" s="73"/>
      <c r="BR47" s="73"/>
      <c r="BS47" s="73"/>
      <c r="BT47" s="73"/>
      <c r="BU47" s="73"/>
      <c r="BV47" s="207"/>
      <c r="BW47" s="209"/>
      <c r="BX47" s="207"/>
      <c r="BY47" s="209"/>
      <c r="CA47" s="278">
        <f t="shared" si="0"/>
        <v>0</v>
      </c>
      <c r="CB47" s="280">
        <f t="shared" si="4"/>
        <v>0</v>
      </c>
      <c r="CC47" s="440">
        <f t="shared" si="1"/>
        <v>0</v>
      </c>
      <c r="CD47" s="440">
        <f t="shared" si="5"/>
        <v>0</v>
      </c>
      <c r="CE47" s="286"/>
      <c r="CF47" s="280">
        <f t="shared" si="47"/>
        <v>0</v>
      </c>
      <c r="CG47" s="280">
        <f t="shared" si="48"/>
        <v>0</v>
      </c>
      <c r="CI47" s="286">
        <v>0</v>
      </c>
      <c r="CJ47" s="286">
        <v>0</v>
      </c>
      <c r="CK47" s="286">
        <v>0</v>
      </c>
    </row>
    <row r="48" spans="2:89" s="281" customFormat="1" ht="14.25" customHeight="1" x14ac:dyDescent="0.2">
      <c r="B48" s="211"/>
      <c r="C48" s="195" t="s">
        <v>246</v>
      </c>
      <c r="D48" s="212"/>
      <c r="E48" s="376"/>
      <c r="F48" s="377">
        <f>F15+F31+F33+F38+F43</f>
        <v>27712999657.458866</v>
      </c>
      <c r="G48" s="378">
        <f>G15+G31+G33+G38+G43</f>
        <v>79179999.021311045</v>
      </c>
      <c r="H48" s="379"/>
      <c r="I48" s="380">
        <f>I15+I31+I33+I38+I43</f>
        <v>79179999.021311045</v>
      </c>
      <c r="J48" s="479"/>
      <c r="K48" s="379">
        <f>K15+K31+K33+K38+K43</f>
        <v>0</v>
      </c>
      <c r="L48" s="483"/>
      <c r="M48" s="379">
        <f>M15+M31+M33+M38+M43</f>
        <v>5045323774.0721188</v>
      </c>
      <c r="N48" s="483"/>
      <c r="O48" s="379">
        <f>O15+O31+O33+O38+O43</f>
        <v>3783992830.5540891</v>
      </c>
      <c r="P48" s="479"/>
      <c r="Q48" s="382">
        <f>Q15+Q31+Q33+Q38+Q43</f>
        <v>8829316604.6262074</v>
      </c>
      <c r="R48" s="488"/>
      <c r="S48" s="379">
        <f>S15+S31+S33+S38+S43</f>
        <v>2808866290.8000002</v>
      </c>
      <c r="T48" s="483"/>
      <c r="U48" s="379">
        <f>U15+U31+U33+U38+U43</f>
        <v>2106649718.0999999</v>
      </c>
      <c r="V48" s="483"/>
      <c r="W48" s="379">
        <f>W15+W31+W33+W38+W43</f>
        <v>0</v>
      </c>
      <c r="X48" s="479"/>
      <c r="Y48" s="382">
        <f>Y15+Y31+Y33+Y38+Y43</f>
        <v>4915516008.8999996</v>
      </c>
      <c r="Z48" s="479"/>
      <c r="AA48" s="382">
        <f>AA15+AA31+AA33+AA38+AA43</f>
        <v>13744832613.526207</v>
      </c>
      <c r="AB48" s="488"/>
      <c r="AC48" s="379">
        <f>AC15+AC31+AC33+AC38+AC43</f>
        <v>3728818250.187099</v>
      </c>
      <c r="AD48" s="483"/>
      <c r="AE48" s="379">
        <f>AE15+AE31+AE33+AE38+AE43</f>
        <v>2796613687.6403241</v>
      </c>
      <c r="AF48" s="483"/>
      <c r="AG48" s="379">
        <f>AG15+AG31+AG33+AG38+AG43</f>
        <v>0</v>
      </c>
      <c r="AH48" s="479"/>
      <c r="AI48" s="382">
        <f>AI15+AI31+AI33+AI38+AI43</f>
        <v>6525431937.8274231</v>
      </c>
      <c r="AJ48" s="479"/>
      <c r="AK48" s="382">
        <f>AK15+AK31+AK33+AK38+AK43</f>
        <v>20270264551.35363</v>
      </c>
      <c r="AL48" s="488"/>
      <c r="AM48" s="379">
        <f>AM15+AM31+AM33+AM38+AM43</f>
        <v>4252991489.2029924</v>
      </c>
      <c r="AN48" s="483"/>
      <c r="AO48" s="379">
        <f>AO15+AO31+AO33+AO38+AO43</f>
        <v>3189743616.9022446</v>
      </c>
      <c r="AP48" s="483"/>
      <c r="AQ48" s="379">
        <f>AQ15+AQ31+AQ33+AQ38+AQ43</f>
        <v>0</v>
      </c>
      <c r="AR48" s="479"/>
      <c r="AS48" s="382">
        <f>AS15+AS31+AS33+AS38+AS43</f>
        <v>7442735106.105237</v>
      </c>
      <c r="AT48" s="479"/>
      <c r="AU48" s="382">
        <f>AU15+AU31+AU33+AU38+AU43</f>
        <v>27712999657.458866</v>
      </c>
      <c r="AV48" s="488"/>
      <c r="AW48" s="379">
        <f>AW15+AW31+AW33+AW38+AW43</f>
        <v>0</v>
      </c>
      <c r="AX48" s="483"/>
      <c r="AY48" s="379">
        <f>AY15+AY31+AY33+AY38+AY43</f>
        <v>0</v>
      </c>
      <c r="AZ48" s="483"/>
      <c r="BA48" s="379">
        <f>BA15+BA31+BA33+BA38+BA43</f>
        <v>0</v>
      </c>
      <c r="BB48" s="479"/>
      <c r="BC48" s="382">
        <f>BC15+BC31+BC33+BC38+BC43</f>
        <v>0</v>
      </c>
      <c r="BD48" s="479"/>
      <c r="BE48" s="382">
        <f>BE15+BE31+BE33+BE38+BE43</f>
        <v>27712999657.458866</v>
      </c>
      <c r="BF48" s="488"/>
      <c r="BG48" s="379">
        <f>BG15+BG31+BG33+BG38+BG43</f>
        <v>0</v>
      </c>
      <c r="BH48" s="483"/>
      <c r="BI48" s="379">
        <f>BI15+BI31+BI33+BI38+BI43</f>
        <v>0</v>
      </c>
      <c r="BJ48" s="483"/>
      <c r="BK48" s="379">
        <f>BK15+BK31+BK33+BK38+BK43</f>
        <v>0</v>
      </c>
      <c r="BL48" s="479"/>
      <c r="BM48" s="382">
        <f>BM15+BM31+BM33+BM38+BM43</f>
        <v>0</v>
      </c>
      <c r="BN48" s="479"/>
      <c r="BO48" s="382">
        <f>BO15+BO31+BO33+BO38+BO43</f>
        <v>27712999657.458866</v>
      </c>
      <c r="BP48" s="378"/>
      <c r="BQ48" s="379">
        <f>BQ15+BQ31+BQ33+BQ38+BQ43</f>
        <v>0</v>
      </c>
      <c r="BR48" s="379"/>
      <c r="BS48" s="379">
        <f>BS15+BS31+BS33+BS38+BS43</f>
        <v>0</v>
      </c>
      <c r="BT48" s="379"/>
      <c r="BU48" s="379">
        <f>BU15+BU31+BU33+BU38+BU43</f>
        <v>0</v>
      </c>
      <c r="BV48" s="381"/>
      <c r="BW48" s="382">
        <f>BW15+BW31+BW33+BW38+BW43</f>
        <v>0</v>
      </c>
      <c r="BX48" s="381"/>
      <c r="BY48" s="382">
        <f>BY15+BY31+BY33+BY38+BY43</f>
        <v>27712999657.458866</v>
      </c>
      <c r="CA48" s="278">
        <f t="shared" si="0"/>
        <v>0</v>
      </c>
      <c r="CB48" s="280">
        <f t="shared" si="4"/>
        <v>0</v>
      </c>
      <c r="CC48" s="440">
        <f t="shared" si="1"/>
        <v>0</v>
      </c>
      <c r="CD48" s="440">
        <f t="shared" si="5"/>
        <v>0</v>
      </c>
      <c r="CE48" s="291">
        <v>71004153187.51683</v>
      </c>
      <c r="CF48" s="280">
        <f t="shared" si="47"/>
        <v>43291153530.057968</v>
      </c>
      <c r="CG48" s="280">
        <f t="shared" si="48"/>
        <v>43291153530.057968</v>
      </c>
      <c r="CI48" s="291">
        <v>61063083.236598574</v>
      </c>
      <c r="CJ48" s="291">
        <v>61063083.236598589</v>
      </c>
      <c r="CK48" s="291">
        <v>0</v>
      </c>
    </row>
    <row r="49" spans="2:89" ht="14.25" customHeight="1" x14ac:dyDescent="0.2">
      <c r="B49" s="185" t="s">
        <v>187</v>
      </c>
      <c r="C49" s="183" t="s">
        <v>247</v>
      </c>
      <c r="D49" s="184"/>
      <c r="E49" s="383"/>
      <c r="F49" s="355"/>
      <c r="G49" s="191"/>
      <c r="H49" s="72"/>
      <c r="I49" s="189"/>
      <c r="J49" s="193"/>
      <c r="K49" s="72"/>
      <c r="L49" s="72"/>
      <c r="M49" s="72"/>
      <c r="N49" s="72"/>
      <c r="O49" s="72"/>
      <c r="P49" s="193"/>
      <c r="Q49" s="190"/>
      <c r="R49" s="191"/>
      <c r="S49" s="72"/>
      <c r="T49" s="72"/>
      <c r="U49" s="72"/>
      <c r="V49" s="72"/>
      <c r="W49" s="72"/>
      <c r="X49" s="193"/>
      <c r="Y49" s="190"/>
      <c r="Z49" s="193"/>
      <c r="AA49" s="190"/>
      <c r="AB49" s="191"/>
      <c r="AC49" s="72"/>
      <c r="AD49" s="72"/>
      <c r="AE49" s="72"/>
      <c r="AF49" s="72"/>
      <c r="AG49" s="72"/>
      <c r="AH49" s="193"/>
      <c r="AI49" s="190"/>
      <c r="AJ49" s="193"/>
      <c r="AK49" s="190"/>
      <c r="AL49" s="191"/>
      <c r="AM49" s="72"/>
      <c r="AN49" s="72"/>
      <c r="AO49" s="72"/>
      <c r="AP49" s="72"/>
      <c r="AQ49" s="72"/>
      <c r="AR49" s="193"/>
      <c r="AS49" s="190"/>
      <c r="AT49" s="193"/>
      <c r="AU49" s="190"/>
      <c r="AV49" s="191"/>
      <c r="AW49" s="72"/>
      <c r="AX49" s="72"/>
      <c r="AY49" s="72"/>
      <c r="AZ49" s="72"/>
      <c r="BA49" s="72"/>
      <c r="BB49" s="193"/>
      <c r="BC49" s="190"/>
      <c r="BD49" s="193"/>
      <c r="BE49" s="190"/>
      <c r="BF49" s="191"/>
      <c r="BG49" s="72"/>
      <c r="BH49" s="72"/>
      <c r="BI49" s="72"/>
      <c r="BJ49" s="72"/>
      <c r="BK49" s="72"/>
      <c r="BL49" s="193"/>
      <c r="BM49" s="190"/>
      <c r="BN49" s="193"/>
      <c r="BO49" s="190"/>
      <c r="BP49" s="191"/>
      <c r="BQ49" s="72"/>
      <c r="BR49" s="72"/>
      <c r="BS49" s="72"/>
      <c r="BT49" s="72"/>
      <c r="BU49" s="72"/>
      <c r="BV49" s="193"/>
      <c r="BW49" s="190"/>
      <c r="BX49" s="193"/>
      <c r="BY49" s="190"/>
      <c r="CA49" s="278">
        <f t="shared" si="0"/>
        <v>0</v>
      </c>
      <c r="CB49" s="280">
        <f t="shared" si="4"/>
        <v>0</v>
      </c>
      <c r="CC49" s="440"/>
      <c r="CD49" s="440">
        <f t="shared" ref="CD49:CD80" si="49">F49-BY49</f>
        <v>0</v>
      </c>
      <c r="CE49" s="286"/>
      <c r="CF49" s="280">
        <f t="shared" si="47"/>
        <v>0</v>
      </c>
      <c r="CG49" s="280">
        <f t="shared" si="48"/>
        <v>0</v>
      </c>
      <c r="CI49" s="286">
        <v>0</v>
      </c>
      <c r="CJ49" s="286">
        <v>0</v>
      </c>
      <c r="CK49" s="286">
        <v>0</v>
      </c>
    </row>
    <row r="50" spans="2:89" ht="14.25" customHeight="1" x14ac:dyDescent="0.2">
      <c r="B50" s="186">
        <v>1</v>
      </c>
      <c r="C50" s="187" t="s">
        <v>248</v>
      </c>
      <c r="D50" s="188"/>
      <c r="E50" s="353"/>
      <c r="F50" s="222"/>
      <c r="G50" s="191"/>
      <c r="H50" s="72"/>
      <c r="I50" s="189"/>
      <c r="J50" s="193"/>
      <c r="K50" s="72"/>
      <c r="L50" s="72"/>
      <c r="M50" s="72"/>
      <c r="N50" s="72"/>
      <c r="O50" s="72"/>
      <c r="P50" s="193"/>
      <c r="Q50" s="190"/>
      <c r="R50" s="191"/>
      <c r="S50" s="72"/>
      <c r="T50" s="72"/>
      <c r="U50" s="72"/>
      <c r="V50" s="72"/>
      <c r="W50" s="72"/>
      <c r="X50" s="193"/>
      <c r="Y50" s="190"/>
      <c r="Z50" s="193"/>
      <c r="AA50" s="190"/>
      <c r="AB50" s="191"/>
      <c r="AC50" s="72"/>
      <c r="AD50" s="72"/>
      <c r="AE50" s="72"/>
      <c r="AF50" s="72"/>
      <c r="AG50" s="72"/>
      <c r="AH50" s="193"/>
      <c r="AI50" s="190"/>
      <c r="AJ50" s="193"/>
      <c r="AK50" s="190"/>
      <c r="AL50" s="191"/>
      <c r="AM50" s="72"/>
      <c r="AN50" s="72"/>
      <c r="AO50" s="72"/>
      <c r="AP50" s="72"/>
      <c r="AQ50" s="72"/>
      <c r="AR50" s="193"/>
      <c r="AS50" s="190"/>
      <c r="AT50" s="193"/>
      <c r="AU50" s="190"/>
      <c r="AV50" s="191"/>
      <c r="AW50" s="72"/>
      <c r="AX50" s="72"/>
      <c r="AY50" s="72"/>
      <c r="AZ50" s="72"/>
      <c r="BA50" s="72"/>
      <c r="BB50" s="193"/>
      <c r="BC50" s="190"/>
      <c r="BD50" s="193"/>
      <c r="BE50" s="190"/>
      <c r="BF50" s="191"/>
      <c r="BG50" s="72"/>
      <c r="BH50" s="72"/>
      <c r="BI50" s="72"/>
      <c r="BJ50" s="72"/>
      <c r="BK50" s="72"/>
      <c r="BL50" s="193"/>
      <c r="BM50" s="190"/>
      <c r="BN50" s="193"/>
      <c r="BO50" s="190"/>
      <c r="BP50" s="191"/>
      <c r="BQ50" s="72"/>
      <c r="BR50" s="72"/>
      <c r="BS50" s="72"/>
      <c r="BT50" s="72"/>
      <c r="BU50" s="72"/>
      <c r="BV50" s="193"/>
      <c r="BW50" s="190"/>
      <c r="BX50" s="193"/>
      <c r="BY50" s="190"/>
      <c r="CA50" s="278">
        <f t="shared" si="0"/>
        <v>0</v>
      </c>
      <c r="CB50" s="280">
        <f t="shared" si="4"/>
        <v>0</v>
      </c>
      <c r="CC50" s="440">
        <f t="shared" ref="CC50:CC81" si="50">E50-BX50</f>
        <v>0</v>
      </c>
      <c r="CD50" s="440">
        <f t="shared" si="49"/>
        <v>0</v>
      </c>
      <c r="CE50" s="286"/>
      <c r="CF50" s="280">
        <f t="shared" si="47"/>
        <v>0</v>
      </c>
      <c r="CG50" s="280">
        <f t="shared" si="48"/>
        <v>0</v>
      </c>
      <c r="CI50" s="286">
        <v>0</v>
      </c>
      <c r="CJ50" s="286">
        <v>0</v>
      </c>
      <c r="CK50" s="286">
        <v>0</v>
      </c>
    </row>
    <row r="51" spans="2:89" ht="14.25" customHeight="1" x14ac:dyDescent="0.2">
      <c r="B51" s="186"/>
      <c r="C51" s="187" t="s">
        <v>249</v>
      </c>
      <c r="D51" s="188"/>
      <c r="E51" s="193"/>
      <c r="F51" s="192">
        <f>E51*G51</f>
        <v>0</v>
      </c>
      <c r="G51" s="191"/>
      <c r="H51" s="72">
        <v>1</v>
      </c>
      <c r="I51" s="189">
        <f>G51/H51</f>
        <v>0</v>
      </c>
      <c r="J51" s="193"/>
      <c r="K51" s="72">
        <f>J51*$G51</f>
        <v>0</v>
      </c>
      <c r="L51" s="72"/>
      <c r="M51" s="72">
        <f>L51*$G51</f>
        <v>0</v>
      </c>
      <c r="N51" s="72"/>
      <c r="O51" s="72">
        <f t="shared" ref="O51:O61" si="51">N51*$G51</f>
        <v>0</v>
      </c>
      <c r="P51" s="193">
        <f t="shared" ref="P51:P61" si="52">J51+L51+N51</f>
        <v>0</v>
      </c>
      <c r="Q51" s="190">
        <f t="shared" ref="Q51:Q61" si="53">K51+M51+O51</f>
        <v>0</v>
      </c>
      <c r="R51" s="191"/>
      <c r="S51" s="72">
        <f t="shared" ref="S51:S61" si="54">R51*$G51</f>
        <v>0</v>
      </c>
      <c r="T51" s="72"/>
      <c r="U51" s="72">
        <f t="shared" ref="U51:U61" si="55">T51*$G51</f>
        <v>0</v>
      </c>
      <c r="V51" s="72"/>
      <c r="W51" s="72">
        <f t="shared" ref="W51:W61" si="56">V51*$G51</f>
        <v>0</v>
      </c>
      <c r="X51" s="193">
        <f t="shared" ref="X51:X61" si="57">R51+T51+V51</f>
        <v>0</v>
      </c>
      <c r="Y51" s="190">
        <f t="shared" ref="Y51:Y61" si="58">S51+U51+W51</f>
        <v>0</v>
      </c>
      <c r="Z51" s="193">
        <f t="shared" ref="Z51:Z61" si="59">X51+P51</f>
        <v>0</v>
      </c>
      <c r="AA51" s="307">
        <f t="shared" ref="AA51:AA61" si="60">Y51+Q51</f>
        <v>0</v>
      </c>
      <c r="AB51" s="191"/>
      <c r="AC51" s="72">
        <f t="shared" ref="AC51:AC61" si="61">AB51*$G51</f>
        <v>0</v>
      </c>
      <c r="AD51" s="72"/>
      <c r="AE51" s="72">
        <f t="shared" ref="AE51:AE61" si="62">AD51*$G51</f>
        <v>0</v>
      </c>
      <c r="AF51" s="72"/>
      <c r="AG51" s="72">
        <f t="shared" ref="AG51:AG61" si="63">AF51*$G51</f>
        <v>0</v>
      </c>
      <c r="AH51" s="193">
        <f t="shared" ref="AH51:AH61" si="64">AB51+AD51+AF51</f>
        <v>0</v>
      </c>
      <c r="AI51" s="190">
        <f t="shared" ref="AI51:AI61" si="65">AC51+AE51+AG51</f>
        <v>0</v>
      </c>
      <c r="AJ51" s="193">
        <f t="shared" ref="AJ51:AJ61" si="66">AH51+Z51</f>
        <v>0</v>
      </c>
      <c r="AK51" s="190">
        <f t="shared" ref="AK51:AK61" si="67">AI51+AA51</f>
        <v>0</v>
      </c>
      <c r="AL51" s="191"/>
      <c r="AM51" s="72">
        <f>AL51*$G51</f>
        <v>0</v>
      </c>
      <c r="AN51" s="72"/>
      <c r="AO51" s="72">
        <f>AN51*$G51</f>
        <v>0</v>
      </c>
      <c r="AP51" s="72"/>
      <c r="AQ51" s="72">
        <f>AP51*$G51</f>
        <v>0</v>
      </c>
      <c r="AR51" s="193">
        <f t="shared" ref="AR51:AR61" si="68">AL51+AN51+AP51</f>
        <v>0</v>
      </c>
      <c r="AS51" s="190">
        <f t="shared" ref="AS51:AS61" si="69">AM51+AO51+AQ51</f>
        <v>0</v>
      </c>
      <c r="AT51" s="193">
        <f t="shared" ref="AT51:AT61" si="70">AR51+AJ51</f>
        <v>0</v>
      </c>
      <c r="AU51" s="190">
        <f t="shared" ref="AU51:AU61" si="71">AS51+AK51</f>
        <v>0</v>
      </c>
      <c r="AV51" s="191"/>
      <c r="AW51" s="72">
        <f>AV51*$G51</f>
        <v>0</v>
      </c>
      <c r="AX51" s="72"/>
      <c r="AY51" s="72">
        <f>AX51*$G51</f>
        <v>0</v>
      </c>
      <c r="AZ51" s="72"/>
      <c r="BA51" s="72">
        <f>AZ51*$G51</f>
        <v>0</v>
      </c>
      <c r="BB51" s="193">
        <f t="shared" ref="BB51:BB61" si="72">AV51+AX51+AZ51</f>
        <v>0</v>
      </c>
      <c r="BC51" s="190">
        <f t="shared" ref="BC51:BC61" si="73">AW51+AY51+BA51</f>
        <v>0</v>
      </c>
      <c r="BD51" s="193">
        <f t="shared" ref="BD51:BD61" si="74">BB51+AT51</f>
        <v>0</v>
      </c>
      <c r="BE51" s="190">
        <f t="shared" ref="BE51:BE61" si="75">BC51+AU51</f>
        <v>0</v>
      </c>
      <c r="BF51" s="191"/>
      <c r="BG51" s="72">
        <f>BF51*$G51</f>
        <v>0</v>
      </c>
      <c r="BH51" s="72"/>
      <c r="BI51" s="72">
        <f>BH51*$G51</f>
        <v>0</v>
      </c>
      <c r="BJ51" s="72"/>
      <c r="BK51" s="72">
        <f>BJ51*$G51</f>
        <v>0</v>
      </c>
      <c r="BL51" s="193">
        <f t="shared" ref="BL51:BL60" si="76">BF51+BH51+BJ51</f>
        <v>0</v>
      </c>
      <c r="BM51" s="190">
        <f t="shared" ref="BM51:BM61" si="77">BG51+BI51+BK51</f>
        <v>0</v>
      </c>
      <c r="BN51" s="193">
        <f t="shared" ref="BN51:BN61" si="78">BL51+BD51</f>
        <v>0</v>
      </c>
      <c r="BO51" s="190">
        <f t="shared" ref="BO51:BO61" si="79">BM51+BE51</f>
        <v>0</v>
      </c>
      <c r="BP51" s="191"/>
      <c r="BQ51" s="72">
        <f>BP51*$G51</f>
        <v>0</v>
      </c>
      <c r="BR51" s="72"/>
      <c r="BS51" s="72">
        <f>BR51*$G51</f>
        <v>0</v>
      </c>
      <c r="BT51" s="72"/>
      <c r="BU51" s="72">
        <f>BT51*$G51</f>
        <v>0</v>
      </c>
      <c r="BV51" s="193">
        <f t="shared" ref="BV51:BV61" si="80">BP51+BR51+BT51</f>
        <v>0</v>
      </c>
      <c r="BW51" s="190">
        <f t="shared" ref="BW51:BW61" si="81">BQ51+BS51+BU51</f>
        <v>0</v>
      </c>
      <c r="BX51" s="193">
        <f t="shared" ref="BX51:BX61" si="82">BV51+BN51</f>
        <v>0</v>
      </c>
      <c r="BY51" s="190">
        <f t="shared" ref="BY51:BY61" si="83">BW51+BO51</f>
        <v>0</v>
      </c>
      <c r="CA51" s="278">
        <f t="shared" si="0"/>
        <v>0</v>
      </c>
      <c r="CB51" s="280">
        <f t="shared" si="4"/>
        <v>0</v>
      </c>
      <c r="CC51" s="440">
        <f t="shared" si="50"/>
        <v>0</v>
      </c>
      <c r="CD51" s="440">
        <f t="shared" si="49"/>
        <v>0</v>
      </c>
      <c r="CE51" s="286">
        <v>0</v>
      </c>
      <c r="CF51" s="280">
        <f t="shared" si="47"/>
        <v>0</v>
      </c>
      <c r="CG51" s="280">
        <f t="shared" si="48"/>
        <v>0</v>
      </c>
      <c r="CI51" s="286">
        <v>0</v>
      </c>
      <c r="CJ51" s="286">
        <v>0</v>
      </c>
      <c r="CK51" s="286">
        <v>0</v>
      </c>
    </row>
    <row r="52" spans="2:89" ht="14.25" customHeight="1" x14ac:dyDescent="0.2">
      <c r="B52" s="186"/>
      <c r="C52" s="187"/>
      <c r="D52" s="562" t="s">
        <v>351</v>
      </c>
      <c r="E52" s="443">
        <f t="shared" ref="E52" si="84">$D$5</f>
        <v>350</v>
      </c>
      <c r="F52" s="192">
        <f>G52*E52</f>
        <v>192574200</v>
      </c>
      <c r="G52" s="191">
        <f>('RKT 18_19 Infra'!E19/'RKP 08'!$D$5)*'RKT 18_19 Infra'!D19</f>
        <v>550212</v>
      </c>
      <c r="H52" s="72">
        <v>1</v>
      </c>
      <c r="I52" s="189">
        <f>G52/H52</f>
        <v>550212</v>
      </c>
      <c r="J52" s="193">
        <v>0</v>
      </c>
      <c r="K52" s="72">
        <f>J52*$G52</f>
        <v>0</v>
      </c>
      <c r="L52" s="72">
        <v>200</v>
      </c>
      <c r="M52" s="72">
        <f>L52*$G52</f>
        <v>110042400</v>
      </c>
      <c r="N52" s="72">
        <v>150</v>
      </c>
      <c r="O52" s="72">
        <f t="shared" si="51"/>
        <v>82531800</v>
      </c>
      <c r="P52" s="193">
        <f t="shared" si="52"/>
        <v>350</v>
      </c>
      <c r="Q52" s="190">
        <f t="shared" si="53"/>
        <v>192574200</v>
      </c>
      <c r="R52" s="191">
        <f>'RKT 18_19 Infra'!GT19</f>
        <v>0</v>
      </c>
      <c r="S52" s="72">
        <f t="shared" si="54"/>
        <v>0</v>
      </c>
      <c r="T52" s="72">
        <f>'RKT 18_19 Infra'!GV19</f>
        <v>0</v>
      </c>
      <c r="U52" s="72">
        <f t="shared" si="55"/>
        <v>0</v>
      </c>
      <c r="V52" s="72">
        <f>'RKT 18_19 Infra'!GX19</f>
        <v>0</v>
      </c>
      <c r="W52" s="72">
        <f t="shared" si="56"/>
        <v>0</v>
      </c>
      <c r="X52" s="193">
        <f t="shared" si="57"/>
        <v>0</v>
      </c>
      <c r="Y52" s="190">
        <f t="shared" si="58"/>
        <v>0</v>
      </c>
      <c r="Z52" s="193">
        <f t="shared" si="59"/>
        <v>350</v>
      </c>
      <c r="AA52" s="307">
        <f t="shared" si="60"/>
        <v>192574200</v>
      </c>
      <c r="AB52" s="191">
        <f>'RKT 18_19 Infra'!HB19</f>
        <v>0</v>
      </c>
      <c r="AC52" s="72">
        <f t="shared" si="61"/>
        <v>0</v>
      </c>
      <c r="AD52" s="72">
        <f>'RKT 18_19 Infra'!HD19</f>
        <v>0</v>
      </c>
      <c r="AE52" s="72">
        <f t="shared" si="62"/>
        <v>0</v>
      </c>
      <c r="AF52" s="72">
        <f>'RKT 18_19 Infra'!HF19</f>
        <v>0</v>
      </c>
      <c r="AG52" s="72">
        <f t="shared" si="63"/>
        <v>0</v>
      </c>
      <c r="AH52" s="193">
        <f t="shared" si="64"/>
        <v>0</v>
      </c>
      <c r="AI52" s="190">
        <f t="shared" si="65"/>
        <v>0</v>
      </c>
      <c r="AJ52" s="193">
        <f t="shared" si="66"/>
        <v>350</v>
      </c>
      <c r="AK52" s="190">
        <f t="shared" si="67"/>
        <v>192574200</v>
      </c>
      <c r="AL52" s="191">
        <f>'RKT 18_19 Infra'!HJ19</f>
        <v>0</v>
      </c>
      <c r="AM52" s="72">
        <f>AL52*$G52</f>
        <v>0</v>
      </c>
      <c r="AN52" s="72">
        <f>'RKT 18_19 Infra'!HL19</f>
        <v>0</v>
      </c>
      <c r="AO52" s="72">
        <f>AN52*$G52</f>
        <v>0</v>
      </c>
      <c r="AP52" s="72">
        <f>'RKT 18_19 Infra'!HN19</f>
        <v>0</v>
      </c>
      <c r="AQ52" s="72">
        <f>AP52*$G52</f>
        <v>0</v>
      </c>
      <c r="AR52" s="193">
        <f t="shared" si="68"/>
        <v>0</v>
      </c>
      <c r="AS52" s="190">
        <f t="shared" si="69"/>
        <v>0</v>
      </c>
      <c r="AT52" s="193">
        <f t="shared" si="70"/>
        <v>350</v>
      </c>
      <c r="AU52" s="190">
        <f t="shared" si="71"/>
        <v>192574200</v>
      </c>
      <c r="AV52" s="191"/>
      <c r="AW52" s="72"/>
      <c r="AX52" s="72"/>
      <c r="AY52" s="72"/>
      <c r="AZ52" s="72"/>
      <c r="BA52" s="72"/>
      <c r="BB52" s="193">
        <f t="shared" si="72"/>
        <v>0</v>
      </c>
      <c r="BC52" s="190">
        <f t="shared" si="73"/>
        <v>0</v>
      </c>
      <c r="BD52" s="193">
        <f t="shared" si="74"/>
        <v>350</v>
      </c>
      <c r="BE52" s="190">
        <f t="shared" si="75"/>
        <v>192574200</v>
      </c>
      <c r="BF52" s="191"/>
      <c r="BG52" s="72"/>
      <c r="BH52" s="72"/>
      <c r="BI52" s="72"/>
      <c r="BJ52" s="72"/>
      <c r="BK52" s="72"/>
      <c r="BL52" s="193">
        <f t="shared" si="76"/>
        <v>0</v>
      </c>
      <c r="BM52" s="190">
        <f t="shared" si="77"/>
        <v>0</v>
      </c>
      <c r="BN52" s="193">
        <f t="shared" si="78"/>
        <v>350</v>
      </c>
      <c r="BO52" s="190">
        <f t="shared" si="79"/>
        <v>192574200</v>
      </c>
      <c r="BP52" s="191"/>
      <c r="BQ52" s="72"/>
      <c r="BR52" s="72"/>
      <c r="BS52" s="72"/>
      <c r="BT52" s="72"/>
      <c r="BU52" s="72"/>
      <c r="BV52" s="193">
        <f t="shared" si="80"/>
        <v>0</v>
      </c>
      <c r="BW52" s="190">
        <f t="shared" si="81"/>
        <v>0</v>
      </c>
      <c r="BX52" s="193">
        <f t="shared" si="82"/>
        <v>350</v>
      </c>
      <c r="BY52" s="190">
        <f t="shared" si="83"/>
        <v>192574200</v>
      </c>
      <c r="CB52" s="280"/>
      <c r="CC52" s="440">
        <f t="shared" si="50"/>
        <v>0</v>
      </c>
      <c r="CD52" s="440">
        <f t="shared" si="49"/>
        <v>0</v>
      </c>
      <c r="CE52" s="286">
        <v>0</v>
      </c>
      <c r="CF52" s="280">
        <f t="shared" si="47"/>
        <v>-192574200</v>
      </c>
      <c r="CG52" s="280">
        <f t="shared" si="48"/>
        <v>-192574200</v>
      </c>
      <c r="CI52" s="286">
        <v>0</v>
      </c>
      <c r="CJ52" s="286">
        <v>0</v>
      </c>
      <c r="CK52" s="286">
        <v>0</v>
      </c>
    </row>
    <row r="53" spans="2:89" ht="14.25" hidden="1" customHeight="1" x14ac:dyDescent="0.2">
      <c r="B53" s="186"/>
      <c r="C53" s="187"/>
      <c r="D53" s="411" t="s">
        <v>510</v>
      </c>
      <c r="E53" s="193">
        <v>0</v>
      </c>
      <c r="F53" s="192">
        <f t="shared" ref="F53:F61" si="85">G53*E53</f>
        <v>0</v>
      </c>
      <c r="G53" s="191">
        <v>0</v>
      </c>
      <c r="H53" s="72">
        <v>1</v>
      </c>
      <c r="I53" s="189">
        <f>G53/H53</f>
        <v>0</v>
      </c>
      <c r="J53" s="193">
        <f>'RKT 18_19 Infra'!GL20</f>
        <v>0</v>
      </c>
      <c r="K53" s="72">
        <f>J53*$G53</f>
        <v>0</v>
      </c>
      <c r="L53" s="72">
        <v>0</v>
      </c>
      <c r="M53" s="72">
        <f>L53*$G53</f>
        <v>0</v>
      </c>
      <c r="N53" s="72">
        <f>'RKT 18_19 Infra'!GP20</f>
        <v>0</v>
      </c>
      <c r="O53" s="72">
        <f t="shared" si="51"/>
        <v>0</v>
      </c>
      <c r="P53" s="193">
        <f t="shared" si="52"/>
        <v>0</v>
      </c>
      <c r="Q53" s="190">
        <f t="shared" si="53"/>
        <v>0</v>
      </c>
      <c r="R53" s="191">
        <f>'RKT 18_19 Infra'!GT20</f>
        <v>0</v>
      </c>
      <c r="S53" s="72">
        <f t="shared" si="54"/>
        <v>0</v>
      </c>
      <c r="T53" s="72">
        <f>'RKT 18_19 Infra'!GV20</f>
        <v>0</v>
      </c>
      <c r="U53" s="72">
        <f t="shared" si="55"/>
        <v>0</v>
      </c>
      <c r="V53" s="72">
        <f>'RKT 18_19 Infra'!GX20</f>
        <v>0</v>
      </c>
      <c r="W53" s="72">
        <f t="shared" si="56"/>
        <v>0</v>
      </c>
      <c r="X53" s="193">
        <f t="shared" si="57"/>
        <v>0</v>
      </c>
      <c r="Y53" s="190">
        <f t="shared" si="58"/>
        <v>0</v>
      </c>
      <c r="Z53" s="193">
        <f t="shared" si="59"/>
        <v>0</v>
      </c>
      <c r="AA53" s="307">
        <f t="shared" si="60"/>
        <v>0</v>
      </c>
      <c r="AB53" s="191">
        <f>'RKT 18_19 Infra'!HB20</f>
        <v>0</v>
      </c>
      <c r="AC53" s="72">
        <f t="shared" si="61"/>
        <v>0</v>
      </c>
      <c r="AD53" s="72">
        <f>'RKT 18_19 Infra'!HD20</f>
        <v>0</v>
      </c>
      <c r="AE53" s="72">
        <f t="shared" si="62"/>
        <v>0</v>
      </c>
      <c r="AF53" s="72">
        <f>'RKT 18_19 Infra'!HF20</f>
        <v>0</v>
      </c>
      <c r="AG53" s="72">
        <f t="shared" si="63"/>
        <v>0</v>
      </c>
      <c r="AH53" s="193">
        <f t="shared" si="64"/>
        <v>0</v>
      </c>
      <c r="AI53" s="190">
        <f t="shared" si="65"/>
        <v>0</v>
      </c>
      <c r="AJ53" s="193">
        <f t="shared" si="66"/>
        <v>0</v>
      </c>
      <c r="AK53" s="190">
        <f t="shared" si="67"/>
        <v>0</v>
      </c>
      <c r="AL53" s="191">
        <f>'RKT 18_19 Infra'!HJ20</f>
        <v>0</v>
      </c>
      <c r="AM53" s="72">
        <f>AL53*$G53</f>
        <v>0</v>
      </c>
      <c r="AN53" s="72">
        <f>'RKT 18_19 Infra'!HL20</f>
        <v>0</v>
      </c>
      <c r="AO53" s="72">
        <f>AN53*$G53</f>
        <v>0</v>
      </c>
      <c r="AP53" s="72">
        <f>'RKT 18_19 Infra'!HN20</f>
        <v>0</v>
      </c>
      <c r="AQ53" s="72">
        <f>AP53*$G53</f>
        <v>0</v>
      </c>
      <c r="AR53" s="193">
        <f t="shared" si="68"/>
        <v>0</v>
      </c>
      <c r="AS53" s="190">
        <f t="shared" si="69"/>
        <v>0</v>
      </c>
      <c r="AT53" s="193">
        <f t="shared" si="70"/>
        <v>0</v>
      </c>
      <c r="AU53" s="190">
        <f t="shared" si="71"/>
        <v>0</v>
      </c>
      <c r="AV53" s="191"/>
      <c r="AW53" s="72"/>
      <c r="AX53" s="72"/>
      <c r="AY53" s="72"/>
      <c r="AZ53" s="72"/>
      <c r="BA53" s="72"/>
      <c r="BB53" s="193">
        <f t="shared" si="72"/>
        <v>0</v>
      </c>
      <c r="BC53" s="190">
        <f t="shared" si="73"/>
        <v>0</v>
      </c>
      <c r="BD53" s="193">
        <f t="shared" si="74"/>
        <v>0</v>
      </c>
      <c r="BE53" s="190">
        <f t="shared" si="75"/>
        <v>0</v>
      </c>
      <c r="BF53" s="191"/>
      <c r="BG53" s="72"/>
      <c r="BH53" s="72"/>
      <c r="BI53" s="72"/>
      <c r="BJ53" s="72"/>
      <c r="BK53" s="72"/>
      <c r="BL53" s="193">
        <f t="shared" si="76"/>
        <v>0</v>
      </c>
      <c r="BM53" s="190">
        <f t="shared" si="77"/>
        <v>0</v>
      </c>
      <c r="BN53" s="193">
        <f t="shared" si="78"/>
        <v>0</v>
      </c>
      <c r="BO53" s="190">
        <f t="shared" si="79"/>
        <v>0</v>
      </c>
      <c r="BP53" s="191"/>
      <c r="BQ53" s="72"/>
      <c r="BR53" s="72"/>
      <c r="BS53" s="72"/>
      <c r="BT53" s="72"/>
      <c r="BU53" s="72"/>
      <c r="BV53" s="193">
        <f t="shared" si="80"/>
        <v>0</v>
      </c>
      <c r="BW53" s="190">
        <f t="shared" si="81"/>
        <v>0</v>
      </c>
      <c r="BX53" s="193">
        <f t="shared" si="82"/>
        <v>0</v>
      </c>
      <c r="BY53" s="190">
        <f t="shared" si="83"/>
        <v>0</v>
      </c>
      <c r="CB53" s="280"/>
      <c r="CC53" s="440">
        <f t="shared" si="50"/>
        <v>0</v>
      </c>
      <c r="CD53" s="440">
        <f t="shared" si="49"/>
        <v>0</v>
      </c>
      <c r="CE53" s="286">
        <v>1441749750</v>
      </c>
      <c r="CF53" s="280">
        <f t="shared" si="47"/>
        <v>1441749750</v>
      </c>
      <c r="CG53" s="280">
        <f t="shared" si="48"/>
        <v>1441749750</v>
      </c>
      <c r="CI53" s="286">
        <v>0</v>
      </c>
      <c r="CJ53" s="286">
        <v>0</v>
      </c>
      <c r="CK53" s="286">
        <v>0</v>
      </c>
    </row>
    <row r="54" spans="2:89" ht="14.25" hidden="1" customHeight="1" x14ac:dyDescent="0.2">
      <c r="B54" s="186"/>
      <c r="C54" s="187"/>
      <c r="D54" s="411" t="s">
        <v>579</v>
      </c>
      <c r="E54" s="443">
        <v>0</v>
      </c>
      <c r="F54" s="192">
        <f t="shared" si="85"/>
        <v>0</v>
      </c>
      <c r="G54" s="191">
        <f>('RKT 18_19 Infra'!E20/'RKP 08'!$D$5)*'RKT 18_19 Infra'!D20</f>
        <v>0</v>
      </c>
      <c r="H54" s="72">
        <v>1</v>
      </c>
      <c r="I54" s="189">
        <f t="shared" ref="I54:I59" si="86">G54/H54</f>
        <v>0</v>
      </c>
      <c r="J54" s="193">
        <v>0</v>
      </c>
      <c r="K54" s="72">
        <f t="shared" ref="K54:K59" si="87">J54*$G54</f>
        <v>0</v>
      </c>
      <c r="L54" s="72">
        <f>'RKT 18_19 Infra'!GN21</f>
        <v>0</v>
      </c>
      <c r="M54" s="72">
        <f t="shared" ref="M54:M59" si="88">L54*$G54</f>
        <v>0</v>
      </c>
      <c r="N54" s="72">
        <f>'RKT 18_19 Infra'!GP21</f>
        <v>0</v>
      </c>
      <c r="O54" s="72">
        <f t="shared" ref="O54:O59" si="89">N54*$G54</f>
        <v>0</v>
      </c>
      <c r="P54" s="193">
        <f t="shared" si="52"/>
        <v>0</v>
      </c>
      <c r="Q54" s="190">
        <f t="shared" si="53"/>
        <v>0</v>
      </c>
      <c r="R54" s="191">
        <f>'RKT 18_19 Infra'!GT21</f>
        <v>0</v>
      </c>
      <c r="S54" s="72">
        <f t="shared" ref="S54:S59" si="90">R54*$G54</f>
        <v>0</v>
      </c>
      <c r="T54" s="72">
        <f>'RKT 18_19 Infra'!GV21</f>
        <v>0</v>
      </c>
      <c r="U54" s="72">
        <f t="shared" ref="U54:U59" si="91">T54*$G54</f>
        <v>0</v>
      </c>
      <c r="V54" s="72">
        <f>'RKT 18_19 Infra'!GX21</f>
        <v>0</v>
      </c>
      <c r="W54" s="72">
        <f t="shared" ref="W54:W59" si="92">V54*$G54</f>
        <v>0</v>
      </c>
      <c r="X54" s="193">
        <f t="shared" si="57"/>
        <v>0</v>
      </c>
      <c r="Y54" s="190">
        <f t="shared" si="58"/>
        <v>0</v>
      </c>
      <c r="Z54" s="193">
        <f t="shared" si="59"/>
        <v>0</v>
      </c>
      <c r="AA54" s="307">
        <f t="shared" si="60"/>
        <v>0</v>
      </c>
      <c r="AB54" s="191">
        <f>'RKT 18_19 Infra'!HB21</f>
        <v>0</v>
      </c>
      <c r="AC54" s="72">
        <f t="shared" ref="AC54:AC59" si="93">AB54*$G54</f>
        <v>0</v>
      </c>
      <c r="AD54" s="72">
        <f>'RKT 18_19 Infra'!HD21</f>
        <v>0</v>
      </c>
      <c r="AE54" s="72">
        <f t="shared" ref="AE54:AE59" si="94">AD54*$G54</f>
        <v>0</v>
      </c>
      <c r="AF54" s="72">
        <f>'RKT 18_19 Infra'!HF21</f>
        <v>0</v>
      </c>
      <c r="AG54" s="72">
        <f t="shared" ref="AG54:AG59" si="95">AF54*$G54</f>
        <v>0</v>
      </c>
      <c r="AH54" s="193">
        <f t="shared" si="64"/>
        <v>0</v>
      </c>
      <c r="AI54" s="190">
        <f t="shared" si="65"/>
        <v>0</v>
      </c>
      <c r="AJ54" s="193">
        <f t="shared" si="66"/>
        <v>0</v>
      </c>
      <c r="AK54" s="190">
        <f t="shared" si="67"/>
        <v>0</v>
      </c>
      <c r="AL54" s="191">
        <f>'RKT 18_19 Infra'!HJ21</f>
        <v>0</v>
      </c>
      <c r="AM54" s="72">
        <f t="shared" ref="AM54:AM59" si="96">AL54*$G54</f>
        <v>0</v>
      </c>
      <c r="AN54" s="72">
        <f>'RKT 18_19 Infra'!HL21</f>
        <v>0</v>
      </c>
      <c r="AO54" s="72">
        <f t="shared" ref="AO54:AO61" si="97">AN54*$G54</f>
        <v>0</v>
      </c>
      <c r="AP54" s="72">
        <f>'RKT 18_19 Infra'!HN21</f>
        <v>0</v>
      </c>
      <c r="AQ54" s="72">
        <f t="shared" ref="AQ54:AQ61" si="98">AP54*$G54</f>
        <v>0</v>
      </c>
      <c r="AR54" s="193">
        <f t="shared" si="68"/>
        <v>0</v>
      </c>
      <c r="AS54" s="190">
        <f t="shared" si="69"/>
        <v>0</v>
      </c>
      <c r="AT54" s="193">
        <f t="shared" si="70"/>
        <v>0</v>
      </c>
      <c r="AU54" s="190">
        <f t="shared" si="71"/>
        <v>0</v>
      </c>
      <c r="AV54" s="191"/>
      <c r="AW54" s="72"/>
      <c r="AX54" s="72"/>
      <c r="AY54" s="72"/>
      <c r="AZ54" s="72"/>
      <c r="BA54" s="72"/>
      <c r="BB54" s="193">
        <f t="shared" si="72"/>
        <v>0</v>
      </c>
      <c r="BC54" s="190">
        <f t="shared" si="73"/>
        <v>0</v>
      </c>
      <c r="BD54" s="193">
        <f t="shared" si="74"/>
        <v>0</v>
      </c>
      <c r="BE54" s="190">
        <f t="shared" si="75"/>
        <v>0</v>
      </c>
      <c r="BF54" s="191"/>
      <c r="BG54" s="72"/>
      <c r="BH54" s="72"/>
      <c r="BI54" s="72"/>
      <c r="BJ54" s="72"/>
      <c r="BK54" s="72"/>
      <c r="BL54" s="193">
        <f t="shared" si="76"/>
        <v>0</v>
      </c>
      <c r="BM54" s="190">
        <f t="shared" si="77"/>
        <v>0</v>
      </c>
      <c r="BN54" s="193">
        <f t="shared" si="78"/>
        <v>0</v>
      </c>
      <c r="BO54" s="190">
        <f t="shared" si="79"/>
        <v>0</v>
      </c>
      <c r="BP54" s="191"/>
      <c r="BQ54" s="72"/>
      <c r="BR54" s="72"/>
      <c r="BS54" s="72"/>
      <c r="BT54" s="72"/>
      <c r="BU54" s="72"/>
      <c r="BV54" s="193">
        <f t="shared" si="80"/>
        <v>0</v>
      </c>
      <c r="BW54" s="190">
        <f t="shared" si="81"/>
        <v>0</v>
      </c>
      <c r="BX54" s="193">
        <f t="shared" si="82"/>
        <v>0</v>
      </c>
      <c r="BY54" s="190">
        <f t="shared" si="83"/>
        <v>0</v>
      </c>
      <c r="CB54" s="280"/>
      <c r="CC54" s="440">
        <f t="shared" si="50"/>
        <v>0</v>
      </c>
      <c r="CD54" s="440">
        <f t="shared" si="49"/>
        <v>0</v>
      </c>
      <c r="CE54" s="286">
        <v>0</v>
      </c>
      <c r="CF54" s="280">
        <f t="shared" si="47"/>
        <v>0</v>
      </c>
      <c r="CG54" s="280">
        <f t="shared" si="48"/>
        <v>0</v>
      </c>
      <c r="CI54" s="286">
        <v>0</v>
      </c>
      <c r="CJ54" s="286">
        <v>0</v>
      </c>
      <c r="CK54" s="286">
        <v>0</v>
      </c>
    </row>
    <row r="55" spans="2:89" ht="14.25" customHeight="1" x14ac:dyDescent="0.2">
      <c r="B55" s="186"/>
      <c r="C55" s="187"/>
      <c r="D55" s="411" t="s">
        <v>580</v>
      </c>
      <c r="E55" s="443">
        <f t="shared" ref="E55:E61" si="99">$D$5</f>
        <v>350</v>
      </c>
      <c r="F55" s="192">
        <f>G55*E55</f>
        <v>211224270.59999999</v>
      </c>
      <c r="G55" s="191">
        <f>('RKT 18_19 Infra'!E21/'RKP 08'!$D$5)*'RKT 18_19 Infra'!D21</f>
        <v>603497.91599999997</v>
      </c>
      <c r="H55" s="72">
        <v>1</v>
      </c>
      <c r="I55" s="189">
        <f t="shared" si="86"/>
        <v>603497.91599999997</v>
      </c>
      <c r="J55" s="193">
        <v>0</v>
      </c>
      <c r="K55" s="72">
        <f t="shared" si="87"/>
        <v>0</v>
      </c>
      <c r="L55" s="72">
        <v>200</v>
      </c>
      <c r="M55" s="72">
        <f t="shared" si="88"/>
        <v>120699583.19999999</v>
      </c>
      <c r="N55" s="72">
        <v>150</v>
      </c>
      <c r="O55" s="72">
        <f t="shared" si="89"/>
        <v>90524687.399999991</v>
      </c>
      <c r="P55" s="193">
        <f t="shared" si="52"/>
        <v>350</v>
      </c>
      <c r="Q55" s="190">
        <f t="shared" si="53"/>
        <v>211224270.59999996</v>
      </c>
      <c r="R55" s="191">
        <f>'RKT 18_19 Infra'!GT22</f>
        <v>0</v>
      </c>
      <c r="S55" s="72">
        <f t="shared" si="90"/>
        <v>0</v>
      </c>
      <c r="T55" s="72">
        <f>'RKT 18_19 Infra'!GV22</f>
        <v>0</v>
      </c>
      <c r="U55" s="72">
        <f t="shared" si="91"/>
        <v>0</v>
      </c>
      <c r="V55" s="72">
        <f>'RKT 18_19 Infra'!GX22</f>
        <v>0</v>
      </c>
      <c r="W55" s="72">
        <f t="shared" si="92"/>
        <v>0</v>
      </c>
      <c r="X55" s="193">
        <f t="shared" si="57"/>
        <v>0</v>
      </c>
      <c r="Y55" s="190">
        <f t="shared" si="58"/>
        <v>0</v>
      </c>
      <c r="Z55" s="193">
        <f t="shared" si="59"/>
        <v>350</v>
      </c>
      <c r="AA55" s="307">
        <f t="shared" si="60"/>
        <v>211224270.59999996</v>
      </c>
      <c r="AB55" s="191">
        <f>'RKT 18_19 Infra'!HB22</f>
        <v>0</v>
      </c>
      <c r="AC55" s="72">
        <f t="shared" si="93"/>
        <v>0</v>
      </c>
      <c r="AD55" s="72">
        <f>'RKT 18_19 Infra'!HD22</f>
        <v>0</v>
      </c>
      <c r="AE55" s="72">
        <f t="shared" si="94"/>
        <v>0</v>
      </c>
      <c r="AF55" s="72">
        <f>'RKT 18_19 Infra'!HF22</f>
        <v>0</v>
      </c>
      <c r="AG55" s="72">
        <f t="shared" si="95"/>
        <v>0</v>
      </c>
      <c r="AH55" s="193">
        <f t="shared" si="64"/>
        <v>0</v>
      </c>
      <c r="AI55" s="190">
        <f t="shared" si="65"/>
        <v>0</v>
      </c>
      <c r="AJ55" s="193">
        <f t="shared" si="66"/>
        <v>350</v>
      </c>
      <c r="AK55" s="190">
        <f t="shared" si="67"/>
        <v>211224270.59999996</v>
      </c>
      <c r="AL55" s="191">
        <f>'RKT 18_19 Infra'!HJ22</f>
        <v>0</v>
      </c>
      <c r="AM55" s="72">
        <f t="shared" si="96"/>
        <v>0</v>
      </c>
      <c r="AN55" s="72">
        <f>'RKT 18_19 Infra'!HL22</f>
        <v>0</v>
      </c>
      <c r="AO55" s="72">
        <f t="shared" si="97"/>
        <v>0</v>
      </c>
      <c r="AP55" s="72">
        <f>'RKT 18_19 Infra'!HN22</f>
        <v>0</v>
      </c>
      <c r="AQ55" s="72">
        <f t="shared" si="98"/>
        <v>0</v>
      </c>
      <c r="AR55" s="193">
        <f t="shared" si="68"/>
        <v>0</v>
      </c>
      <c r="AS55" s="190">
        <f t="shared" si="69"/>
        <v>0</v>
      </c>
      <c r="AT55" s="193">
        <f t="shared" si="70"/>
        <v>350</v>
      </c>
      <c r="AU55" s="190">
        <f t="shared" si="71"/>
        <v>211224270.59999996</v>
      </c>
      <c r="AV55" s="191"/>
      <c r="AW55" s="72"/>
      <c r="AX55" s="72"/>
      <c r="AY55" s="72"/>
      <c r="AZ55" s="72"/>
      <c r="BA55" s="72"/>
      <c r="BB55" s="193">
        <f t="shared" si="72"/>
        <v>0</v>
      </c>
      <c r="BC55" s="190">
        <f t="shared" si="73"/>
        <v>0</v>
      </c>
      <c r="BD55" s="193">
        <f t="shared" si="74"/>
        <v>350</v>
      </c>
      <c r="BE55" s="190">
        <f t="shared" si="75"/>
        <v>211224270.59999996</v>
      </c>
      <c r="BF55" s="191"/>
      <c r="BG55" s="72"/>
      <c r="BH55" s="72"/>
      <c r="BI55" s="72"/>
      <c r="BJ55" s="72"/>
      <c r="BK55" s="72"/>
      <c r="BL55" s="193">
        <f t="shared" si="76"/>
        <v>0</v>
      </c>
      <c r="BM55" s="190">
        <f t="shared" si="77"/>
        <v>0</v>
      </c>
      <c r="BN55" s="193">
        <f t="shared" si="78"/>
        <v>350</v>
      </c>
      <c r="BO55" s="190">
        <f t="shared" si="79"/>
        <v>211224270.59999996</v>
      </c>
      <c r="BP55" s="191"/>
      <c r="BQ55" s="72"/>
      <c r="BR55" s="72"/>
      <c r="BS55" s="72"/>
      <c r="BT55" s="72"/>
      <c r="BU55" s="72"/>
      <c r="BV55" s="193">
        <f t="shared" si="80"/>
        <v>0</v>
      </c>
      <c r="BW55" s="190">
        <f t="shared" si="81"/>
        <v>0</v>
      </c>
      <c r="BX55" s="193">
        <f t="shared" si="82"/>
        <v>350</v>
      </c>
      <c r="BY55" s="190">
        <f t="shared" si="83"/>
        <v>211224270.59999996</v>
      </c>
      <c r="CB55" s="280"/>
      <c r="CC55" s="440">
        <f t="shared" si="50"/>
        <v>0</v>
      </c>
      <c r="CD55" s="440">
        <f t="shared" si="49"/>
        <v>0</v>
      </c>
      <c r="CE55" s="286">
        <v>2844836800</v>
      </c>
      <c r="CF55" s="280">
        <f t="shared" si="47"/>
        <v>2633612529.4000001</v>
      </c>
      <c r="CG55" s="280">
        <f t="shared" si="48"/>
        <v>2633612529.4000001</v>
      </c>
      <c r="CI55" s="286">
        <v>3216589.538346984</v>
      </c>
      <c r="CJ55" s="286">
        <v>2579843.4903576188</v>
      </c>
      <c r="CK55" s="286">
        <v>636746.04798936518</v>
      </c>
    </row>
    <row r="56" spans="2:89" ht="14.25" customHeight="1" x14ac:dyDescent="0.2">
      <c r="B56" s="186"/>
      <c r="C56" s="187"/>
      <c r="D56" s="411" t="s">
        <v>581</v>
      </c>
      <c r="E56" s="443">
        <f t="shared" si="99"/>
        <v>350</v>
      </c>
      <c r="F56" s="192">
        <f t="shared" si="85"/>
        <v>1131588219.3000002</v>
      </c>
      <c r="G56" s="191">
        <f>('RKT 18_19 Infra'!E22/'RKP 08'!$D$5)*'RKT 18_19 Infra'!D22</f>
        <v>3233109.1980000003</v>
      </c>
      <c r="H56" s="72">
        <v>1</v>
      </c>
      <c r="I56" s="189">
        <f t="shared" si="86"/>
        <v>3233109.1980000003</v>
      </c>
      <c r="J56" s="193">
        <v>0</v>
      </c>
      <c r="K56" s="72">
        <f t="shared" si="87"/>
        <v>0</v>
      </c>
      <c r="L56" s="72">
        <v>200</v>
      </c>
      <c r="M56" s="72">
        <f t="shared" si="88"/>
        <v>646621839.60000002</v>
      </c>
      <c r="N56" s="72">
        <v>150</v>
      </c>
      <c r="O56" s="72">
        <f t="shared" si="89"/>
        <v>484966379.70000005</v>
      </c>
      <c r="P56" s="193">
        <f t="shared" si="52"/>
        <v>350</v>
      </c>
      <c r="Q56" s="190">
        <f t="shared" si="53"/>
        <v>1131588219.3000002</v>
      </c>
      <c r="R56" s="191">
        <f>'RKT 18_19 Infra'!GT23</f>
        <v>0</v>
      </c>
      <c r="S56" s="72">
        <f t="shared" si="90"/>
        <v>0</v>
      </c>
      <c r="T56" s="72">
        <f>'RKT 18_19 Infra'!GV23</f>
        <v>0</v>
      </c>
      <c r="U56" s="72">
        <f t="shared" si="91"/>
        <v>0</v>
      </c>
      <c r="V56" s="72">
        <f>'RKT 18_19 Infra'!GX23</f>
        <v>0</v>
      </c>
      <c r="W56" s="72">
        <f t="shared" si="92"/>
        <v>0</v>
      </c>
      <c r="X56" s="193">
        <f t="shared" si="57"/>
        <v>0</v>
      </c>
      <c r="Y56" s="190">
        <f t="shared" si="58"/>
        <v>0</v>
      </c>
      <c r="Z56" s="193">
        <f t="shared" si="59"/>
        <v>350</v>
      </c>
      <c r="AA56" s="307">
        <f t="shared" si="60"/>
        <v>1131588219.3000002</v>
      </c>
      <c r="AB56" s="191">
        <f>'RKT 18_19 Infra'!HB23</f>
        <v>0</v>
      </c>
      <c r="AC56" s="72">
        <f t="shared" si="93"/>
        <v>0</v>
      </c>
      <c r="AD56" s="72">
        <f>'RKT 18_19 Infra'!HD23</f>
        <v>0</v>
      </c>
      <c r="AE56" s="72">
        <f t="shared" si="94"/>
        <v>0</v>
      </c>
      <c r="AF56" s="72">
        <f>'RKT 18_19 Infra'!HF23</f>
        <v>0</v>
      </c>
      <c r="AG56" s="72">
        <f t="shared" si="95"/>
        <v>0</v>
      </c>
      <c r="AH56" s="193">
        <f t="shared" si="64"/>
        <v>0</v>
      </c>
      <c r="AI56" s="190">
        <f t="shared" si="65"/>
        <v>0</v>
      </c>
      <c r="AJ56" s="193">
        <f t="shared" si="66"/>
        <v>350</v>
      </c>
      <c r="AK56" s="190">
        <f t="shared" si="67"/>
        <v>1131588219.3000002</v>
      </c>
      <c r="AL56" s="191">
        <f>'RKT 18_19 Infra'!HJ23</f>
        <v>0</v>
      </c>
      <c r="AM56" s="72">
        <f t="shared" si="96"/>
        <v>0</v>
      </c>
      <c r="AN56" s="72">
        <f>'RKT 18_19 Infra'!HL23</f>
        <v>0</v>
      </c>
      <c r="AO56" s="72">
        <f t="shared" si="97"/>
        <v>0</v>
      </c>
      <c r="AP56" s="72">
        <f>'RKT 18_19 Infra'!HN23</f>
        <v>0</v>
      </c>
      <c r="AQ56" s="72">
        <f t="shared" si="98"/>
        <v>0</v>
      </c>
      <c r="AR56" s="193">
        <f t="shared" si="68"/>
        <v>0</v>
      </c>
      <c r="AS56" s="190">
        <f t="shared" si="69"/>
        <v>0</v>
      </c>
      <c r="AT56" s="193">
        <f t="shared" si="70"/>
        <v>350</v>
      </c>
      <c r="AU56" s="190">
        <f t="shared" si="71"/>
        <v>1131588219.3000002</v>
      </c>
      <c r="AV56" s="191"/>
      <c r="AW56" s="72"/>
      <c r="AX56" s="72"/>
      <c r="AY56" s="72"/>
      <c r="AZ56" s="72"/>
      <c r="BA56" s="72"/>
      <c r="BB56" s="193">
        <f t="shared" si="72"/>
        <v>0</v>
      </c>
      <c r="BC56" s="190">
        <f t="shared" si="73"/>
        <v>0</v>
      </c>
      <c r="BD56" s="193">
        <f t="shared" si="74"/>
        <v>350</v>
      </c>
      <c r="BE56" s="190">
        <f t="shared" si="75"/>
        <v>1131588219.3000002</v>
      </c>
      <c r="BF56" s="191"/>
      <c r="BG56" s="72"/>
      <c r="BH56" s="72"/>
      <c r="BI56" s="72"/>
      <c r="BJ56" s="72"/>
      <c r="BK56" s="72"/>
      <c r="BL56" s="193">
        <f t="shared" si="76"/>
        <v>0</v>
      </c>
      <c r="BM56" s="190">
        <f t="shared" si="77"/>
        <v>0</v>
      </c>
      <c r="BN56" s="193">
        <f t="shared" si="78"/>
        <v>350</v>
      </c>
      <c r="BO56" s="190">
        <f t="shared" si="79"/>
        <v>1131588219.3000002</v>
      </c>
      <c r="BP56" s="191"/>
      <c r="BQ56" s="72"/>
      <c r="BR56" s="72"/>
      <c r="BS56" s="72"/>
      <c r="BT56" s="72"/>
      <c r="BU56" s="72"/>
      <c r="BV56" s="193">
        <f t="shared" si="80"/>
        <v>0</v>
      </c>
      <c r="BW56" s="190">
        <f t="shared" si="81"/>
        <v>0</v>
      </c>
      <c r="BX56" s="193">
        <f t="shared" si="82"/>
        <v>350</v>
      </c>
      <c r="BY56" s="190">
        <f t="shared" si="83"/>
        <v>1131588219.3000002</v>
      </c>
      <c r="CB56" s="280"/>
      <c r="CC56" s="440">
        <f t="shared" si="50"/>
        <v>0</v>
      </c>
      <c r="CD56" s="440">
        <f t="shared" si="49"/>
        <v>0</v>
      </c>
      <c r="CE56" s="286">
        <v>0</v>
      </c>
      <c r="CF56" s="280">
        <f t="shared" si="47"/>
        <v>-1131588219.3000002</v>
      </c>
      <c r="CG56" s="280">
        <f t="shared" si="48"/>
        <v>-1131588219.3000002</v>
      </c>
      <c r="CI56" s="286">
        <v>0</v>
      </c>
      <c r="CJ56" s="286">
        <v>0</v>
      </c>
      <c r="CK56" s="286">
        <v>0</v>
      </c>
    </row>
    <row r="57" spans="2:89" ht="14.25" hidden="1" customHeight="1" x14ac:dyDescent="0.2">
      <c r="B57" s="186"/>
      <c r="C57" s="187"/>
      <c r="D57" s="411" t="s">
        <v>511</v>
      </c>
      <c r="E57" s="443"/>
      <c r="F57" s="192">
        <f t="shared" si="85"/>
        <v>0</v>
      </c>
      <c r="G57" s="191">
        <v>0</v>
      </c>
      <c r="H57" s="72">
        <v>1</v>
      </c>
      <c r="I57" s="189">
        <f t="shared" si="86"/>
        <v>0</v>
      </c>
      <c r="J57" s="193">
        <v>0</v>
      </c>
      <c r="K57" s="72">
        <f t="shared" si="87"/>
        <v>0</v>
      </c>
      <c r="L57" s="72">
        <f>'RKT 18_19 Infra'!GN22</f>
        <v>0</v>
      </c>
      <c r="M57" s="72">
        <f t="shared" si="88"/>
        <v>0</v>
      </c>
      <c r="N57" s="72">
        <f>'RKT 18_19 Infra'!GP22</f>
        <v>0</v>
      </c>
      <c r="O57" s="72">
        <f t="shared" si="89"/>
        <v>0</v>
      </c>
      <c r="P57" s="193">
        <f t="shared" si="52"/>
        <v>0</v>
      </c>
      <c r="Q57" s="190">
        <f t="shared" si="53"/>
        <v>0</v>
      </c>
      <c r="R57" s="191">
        <f>'RKT 18_19 Infra'!GT24</f>
        <v>0</v>
      </c>
      <c r="S57" s="72">
        <f t="shared" si="90"/>
        <v>0</v>
      </c>
      <c r="T57" s="72">
        <f>'RKT 18_19 Infra'!GV24</f>
        <v>0</v>
      </c>
      <c r="U57" s="72">
        <f t="shared" si="91"/>
        <v>0</v>
      </c>
      <c r="V57" s="72">
        <f>'RKT 18_19 Infra'!GX24</f>
        <v>0</v>
      </c>
      <c r="W57" s="72">
        <f t="shared" si="92"/>
        <v>0</v>
      </c>
      <c r="X57" s="193">
        <f t="shared" si="57"/>
        <v>0</v>
      </c>
      <c r="Y57" s="190">
        <f t="shared" si="58"/>
        <v>0</v>
      </c>
      <c r="Z57" s="193">
        <f t="shared" si="59"/>
        <v>0</v>
      </c>
      <c r="AA57" s="307">
        <f t="shared" si="60"/>
        <v>0</v>
      </c>
      <c r="AB57" s="191">
        <f>'RKT 18_19 Infra'!HB24</f>
        <v>0</v>
      </c>
      <c r="AC57" s="72">
        <f t="shared" si="93"/>
        <v>0</v>
      </c>
      <c r="AD57" s="72">
        <f>'RKT 18_19 Infra'!HD24</f>
        <v>0</v>
      </c>
      <c r="AE57" s="72">
        <f t="shared" si="94"/>
        <v>0</v>
      </c>
      <c r="AF57" s="72">
        <f>'RKT 18_19 Infra'!HF24</f>
        <v>0</v>
      </c>
      <c r="AG57" s="72">
        <f t="shared" si="95"/>
        <v>0</v>
      </c>
      <c r="AH57" s="193">
        <f t="shared" si="64"/>
        <v>0</v>
      </c>
      <c r="AI57" s="190">
        <f t="shared" si="65"/>
        <v>0</v>
      </c>
      <c r="AJ57" s="193">
        <f t="shared" si="66"/>
        <v>0</v>
      </c>
      <c r="AK57" s="190">
        <f t="shared" si="67"/>
        <v>0</v>
      </c>
      <c r="AL57" s="191">
        <f>'RKT 18_19 Infra'!HJ24</f>
        <v>0</v>
      </c>
      <c r="AM57" s="72">
        <f t="shared" si="96"/>
        <v>0</v>
      </c>
      <c r="AN57" s="72">
        <f>'RKT 18_19 Infra'!HL24</f>
        <v>0</v>
      </c>
      <c r="AO57" s="72">
        <f t="shared" si="97"/>
        <v>0</v>
      </c>
      <c r="AP57" s="72">
        <f>'RKT 18_19 Infra'!HN24</f>
        <v>0</v>
      </c>
      <c r="AQ57" s="72">
        <f t="shared" si="98"/>
        <v>0</v>
      </c>
      <c r="AR57" s="193">
        <f t="shared" si="68"/>
        <v>0</v>
      </c>
      <c r="AS57" s="190">
        <f t="shared" si="69"/>
        <v>0</v>
      </c>
      <c r="AT57" s="193">
        <f t="shared" si="70"/>
        <v>0</v>
      </c>
      <c r="AU57" s="190">
        <f t="shared" si="71"/>
        <v>0</v>
      </c>
      <c r="AV57" s="191"/>
      <c r="AW57" s="72"/>
      <c r="AX57" s="72"/>
      <c r="AY57" s="72"/>
      <c r="AZ57" s="72"/>
      <c r="BA57" s="72"/>
      <c r="BB57" s="193">
        <f t="shared" si="72"/>
        <v>0</v>
      </c>
      <c r="BC57" s="190">
        <f t="shared" si="73"/>
        <v>0</v>
      </c>
      <c r="BD57" s="193">
        <f t="shared" si="74"/>
        <v>0</v>
      </c>
      <c r="BE57" s="190">
        <f t="shared" si="75"/>
        <v>0</v>
      </c>
      <c r="BF57" s="191"/>
      <c r="BG57" s="72"/>
      <c r="BH57" s="72"/>
      <c r="BI57" s="72"/>
      <c r="BJ57" s="72"/>
      <c r="BK57" s="72"/>
      <c r="BL57" s="193">
        <f t="shared" si="76"/>
        <v>0</v>
      </c>
      <c r="BM57" s="190">
        <f t="shared" si="77"/>
        <v>0</v>
      </c>
      <c r="BN57" s="193">
        <f t="shared" si="78"/>
        <v>0</v>
      </c>
      <c r="BO57" s="190">
        <f t="shared" si="79"/>
        <v>0</v>
      </c>
      <c r="BP57" s="191"/>
      <c r="BQ57" s="72"/>
      <c r="BR57" s="72"/>
      <c r="BS57" s="72"/>
      <c r="BT57" s="72"/>
      <c r="BU57" s="72"/>
      <c r="BV57" s="193">
        <f t="shared" si="80"/>
        <v>0</v>
      </c>
      <c r="BW57" s="190">
        <f t="shared" si="81"/>
        <v>0</v>
      </c>
      <c r="BX57" s="193">
        <f t="shared" si="82"/>
        <v>0</v>
      </c>
      <c r="BY57" s="190">
        <f t="shared" si="83"/>
        <v>0</v>
      </c>
      <c r="CB57" s="280"/>
      <c r="CC57" s="440">
        <f t="shared" si="50"/>
        <v>0</v>
      </c>
      <c r="CD57" s="440">
        <f t="shared" si="49"/>
        <v>0</v>
      </c>
      <c r="CE57" s="286">
        <v>0</v>
      </c>
      <c r="CF57" s="280">
        <f t="shared" si="47"/>
        <v>0</v>
      </c>
      <c r="CG57" s="280">
        <f t="shared" si="48"/>
        <v>0</v>
      </c>
      <c r="CI57" s="286">
        <v>0</v>
      </c>
      <c r="CJ57" s="286">
        <v>0</v>
      </c>
      <c r="CK57" s="286">
        <v>0</v>
      </c>
    </row>
    <row r="58" spans="2:89" ht="14.25" customHeight="1" x14ac:dyDescent="0.2">
      <c r="B58" s="186"/>
      <c r="C58" s="187"/>
      <c r="D58" s="411" t="s">
        <v>582</v>
      </c>
      <c r="E58" s="443">
        <f t="shared" si="99"/>
        <v>350</v>
      </c>
      <c r="F58" s="192">
        <f t="shared" si="85"/>
        <v>213868462.5</v>
      </c>
      <c r="G58" s="191">
        <f>('RKT 18_19 Infra'!E23/'RKP 08'!$D$5)*'RKT 18_19 Infra'!D23</f>
        <v>611052.75</v>
      </c>
      <c r="H58" s="72">
        <v>1</v>
      </c>
      <c r="I58" s="189">
        <f t="shared" si="86"/>
        <v>611052.75</v>
      </c>
      <c r="J58" s="193">
        <v>0</v>
      </c>
      <c r="K58" s="72">
        <f>J58*$G58</f>
        <v>0</v>
      </c>
      <c r="L58" s="72">
        <v>200</v>
      </c>
      <c r="M58" s="72">
        <f t="shared" si="88"/>
        <v>122210550</v>
      </c>
      <c r="N58" s="72">
        <v>150</v>
      </c>
      <c r="O58" s="72">
        <f t="shared" si="89"/>
        <v>91657912.5</v>
      </c>
      <c r="P58" s="193">
        <f t="shared" si="52"/>
        <v>350</v>
      </c>
      <c r="Q58" s="190">
        <f t="shared" si="53"/>
        <v>213868462.5</v>
      </c>
      <c r="R58" s="191">
        <f>'RKT 18_19 Infra'!GT23</f>
        <v>0</v>
      </c>
      <c r="S58" s="72">
        <f t="shared" si="90"/>
        <v>0</v>
      </c>
      <c r="T58" s="72">
        <f>'RKT 18_19 Infra'!GV23</f>
        <v>0</v>
      </c>
      <c r="U58" s="72">
        <f t="shared" si="91"/>
        <v>0</v>
      </c>
      <c r="V58" s="72">
        <f>'RKT 18_19 Infra'!GX23</f>
        <v>0</v>
      </c>
      <c r="W58" s="72">
        <f t="shared" si="92"/>
        <v>0</v>
      </c>
      <c r="X58" s="193">
        <f t="shared" si="57"/>
        <v>0</v>
      </c>
      <c r="Y58" s="190">
        <f t="shared" si="58"/>
        <v>0</v>
      </c>
      <c r="Z58" s="193">
        <f t="shared" si="59"/>
        <v>350</v>
      </c>
      <c r="AA58" s="307">
        <f t="shared" si="60"/>
        <v>213868462.5</v>
      </c>
      <c r="AB58" s="191">
        <f>'RKT 18_19 Infra'!HB23</f>
        <v>0</v>
      </c>
      <c r="AC58" s="72">
        <f t="shared" si="93"/>
        <v>0</v>
      </c>
      <c r="AD58" s="72">
        <f>'RKT 18_19 Infra'!HD23</f>
        <v>0</v>
      </c>
      <c r="AE58" s="72">
        <f t="shared" si="94"/>
        <v>0</v>
      </c>
      <c r="AF58" s="72">
        <f>'RKT 18_19 Infra'!HF23</f>
        <v>0</v>
      </c>
      <c r="AG58" s="72">
        <f t="shared" si="95"/>
        <v>0</v>
      </c>
      <c r="AH58" s="193">
        <f t="shared" si="64"/>
        <v>0</v>
      </c>
      <c r="AI58" s="190">
        <f t="shared" si="65"/>
        <v>0</v>
      </c>
      <c r="AJ58" s="193">
        <f t="shared" si="66"/>
        <v>350</v>
      </c>
      <c r="AK58" s="190">
        <f t="shared" si="67"/>
        <v>213868462.5</v>
      </c>
      <c r="AL58" s="191">
        <f>'RKT 18_19 Infra'!HJ23</f>
        <v>0</v>
      </c>
      <c r="AM58" s="72">
        <f t="shared" si="96"/>
        <v>0</v>
      </c>
      <c r="AN58" s="72">
        <f>'RKT 18_19 Infra'!HL23</f>
        <v>0</v>
      </c>
      <c r="AO58" s="72">
        <f t="shared" si="97"/>
        <v>0</v>
      </c>
      <c r="AP58" s="72">
        <f>'RKT 18_19 Infra'!HN23</f>
        <v>0</v>
      </c>
      <c r="AQ58" s="72">
        <f t="shared" si="98"/>
        <v>0</v>
      </c>
      <c r="AR58" s="193">
        <f t="shared" si="68"/>
        <v>0</v>
      </c>
      <c r="AS58" s="190">
        <f t="shared" si="69"/>
        <v>0</v>
      </c>
      <c r="AT58" s="193">
        <f t="shared" si="70"/>
        <v>350</v>
      </c>
      <c r="AU58" s="190">
        <f t="shared" si="71"/>
        <v>213868462.5</v>
      </c>
      <c r="AV58" s="191"/>
      <c r="AW58" s="72"/>
      <c r="AX58" s="72"/>
      <c r="AY58" s="72"/>
      <c r="AZ58" s="72"/>
      <c r="BA58" s="72"/>
      <c r="BB58" s="193">
        <f t="shared" si="72"/>
        <v>0</v>
      </c>
      <c r="BC58" s="190">
        <f t="shared" si="73"/>
        <v>0</v>
      </c>
      <c r="BD58" s="193">
        <f t="shared" si="74"/>
        <v>350</v>
      </c>
      <c r="BE58" s="190">
        <f t="shared" si="75"/>
        <v>213868462.5</v>
      </c>
      <c r="BF58" s="191"/>
      <c r="BG58" s="72"/>
      <c r="BH58" s="72"/>
      <c r="BI58" s="72"/>
      <c r="BJ58" s="72"/>
      <c r="BK58" s="72"/>
      <c r="BL58" s="193">
        <f t="shared" si="76"/>
        <v>0</v>
      </c>
      <c r="BM58" s="190">
        <f t="shared" si="77"/>
        <v>0</v>
      </c>
      <c r="BN58" s="193">
        <f t="shared" si="78"/>
        <v>350</v>
      </c>
      <c r="BO58" s="190">
        <f t="shared" si="79"/>
        <v>213868462.5</v>
      </c>
      <c r="BP58" s="191"/>
      <c r="BQ58" s="72"/>
      <c r="BR58" s="72"/>
      <c r="BS58" s="72"/>
      <c r="BT58" s="72"/>
      <c r="BU58" s="72"/>
      <c r="BV58" s="193">
        <f t="shared" si="80"/>
        <v>0</v>
      </c>
      <c r="BW58" s="190">
        <f t="shared" si="81"/>
        <v>0</v>
      </c>
      <c r="BX58" s="193">
        <f t="shared" si="82"/>
        <v>350</v>
      </c>
      <c r="BY58" s="190">
        <f t="shared" si="83"/>
        <v>213868462.5</v>
      </c>
      <c r="CB58" s="280"/>
      <c r="CC58" s="440">
        <f t="shared" si="50"/>
        <v>0</v>
      </c>
      <c r="CD58" s="440">
        <f t="shared" si="49"/>
        <v>0</v>
      </c>
      <c r="CE58" s="286">
        <v>0</v>
      </c>
      <c r="CF58" s="280">
        <f t="shared" si="47"/>
        <v>-213868462.5</v>
      </c>
      <c r="CG58" s="280">
        <f t="shared" si="48"/>
        <v>-213868462.5</v>
      </c>
      <c r="CI58" s="286">
        <v>0</v>
      </c>
      <c r="CJ58" s="286">
        <v>0</v>
      </c>
      <c r="CK58" s="286">
        <v>0</v>
      </c>
    </row>
    <row r="59" spans="2:89" ht="14.25" customHeight="1" x14ac:dyDescent="0.2">
      <c r="B59" s="186"/>
      <c r="C59" s="187"/>
      <c r="D59" s="411" t="s">
        <v>512</v>
      </c>
      <c r="E59" s="443">
        <f t="shared" si="99"/>
        <v>350</v>
      </c>
      <c r="F59" s="192">
        <f t="shared" si="85"/>
        <v>933244200.00000012</v>
      </c>
      <c r="G59" s="191">
        <f>('RKT 18_19 Infra'!E24/'RKP 08'!$D$5)*'RKT 18_19 Infra'!D24</f>
        <v>2666412.0000000005</v>
      </c>
      <c r="H59" s="72">
        <v>1</v>
      </c>
      <c r="I59" s="189">
        <f t="shared" si="86"/>
        <v>2666412.0000000005</v>
      </c>
      <c r="J59" s="193">
        <v>0</v>
      </c>
      <c r="K59" s="72">
        <f t="shared" si="87"/>
        <v>0</v>
      </c>
      <c r="L59" s="72">
        <v>200</v>
      </c>
      <c r="M59" s="72">
        <f t="shared" si="88"/>
        <v>533282400.00000012</v>
      </c>
      <c r="N59" s="72">
        <v>150</v>
      </c>
      <c r="O59" s="72">
        <f t="shared" si="89"/>
        <v>399961800.00000006</v>
      </c>
      <c r="P59" s="193">
        <f t="shared" si="52"/>
        <v>350</v>
      </c>
      <c r="Q59" s="190">
        <f t="shared" si="53"/>
        <v>933244200.00000024</v>
      </c>
      <c r="R59" s="191">
        <v>0</v>
      </c>
      <c r="S59" s="72">
        <f t="shared" si="90"/>
        <v>0</v>
      </c>
      <c r="T59" s="72">
        <v>0</v>
      </c>
      <c r="U59" s="72">
        <f t="shared" si="91"/>
        <v>0</v>
      </c>
      <c r="V59" s="72">
        <f>'RKT 18_19 Infra'!GX24</f>
        <v>0</v>
      </c>
      <c r="W59" s="72">
        <f t="shared" si="92"/>
        <v>0</v>
      </c>
      <c r="X59" s="193">
        <f t="shared" si="57"/>
        <v>0</v>
      </c>
      <c r="Y59" s="190">
        <f t="shared" si="58"/>
        <v>0</v>
      </c>
      <c r="Z59" s="193">
        <f t="shared" si="59"/>
        <v>350</v>
      </c>
      <c r="AA59" s="307">
        <f t="shared" si="60"/>
        <v>933244200.00000024</v>
      </c>
      <c r="AB59" s="191">
        <f>'RKT 18_19 Infra'!HB24</f>
        <v>0</v>
      </c>
      <c r="AC59" s="72">
        <f t="shared" si="93"/>
        <v>0</v>
      </c>
      <c r="AD59" s="72">
        <f>'RKT 18_19 Infra'!HD24</f>
        <v>0</v>
      </c>
      <c r="AE59" s="72">
        <f t="shared" si="94"/>
        <v>0</v>
      </c>
      <c r="AF59" s="72">
        <f>'RKT 18_19 Infra'!HF24</f>
        <v>0</v>
      </c>
      <c r="AG59" s="72">
        <f t="shared" si="95"/>
        <v>0</v>
      </c>
      <c r="AH59" s="193">
        <f t="shared" si="64"/>
        <v>0</v>
      </c>
      <c r="AI59" s="190">
        <f t="shared" si="65"/>
        <v>0</v>
      </c>
      <c r="AJ59" s="193">
        <f t="shared" si="66"/>
        <v>350</v>
      </c>
      <c r="AK59" s="190">
        <f t="shared" si="67"/>
        <v>933244200.00000024</v>
      </c>
      <c r="AL59" s="191">
        <f>'RKT 18_19 Infra'!HJ24</f>
        <v>0</v>
      </c>
      <c r="AM59" s="72">
        <f t="shared" si="96"/>
        <v>0</v>
      </c>
      <c r="AN59" s="72">
        <f>'RKT 18_19 Infra'!HL24</f>
        <v>0</v>
      </c>
      <c r="AO59" s="72">
        <f t="shared" si="97"/>
        <v>0</v>
      </c>
      <c r="AP59" s="72">
        <f>'RKT 18_19 Infra'!HN24</f>
        <v>0</v>
      </c>
      <c r="AQ59" s="72">
        <f t="shared" si="98"/>
        <v>0</v>
      </c>
      <c r="AR59" s="193">
        <f t="shared" si="68"/>
        <v>0</v>
      </c>
      <c r="AS59" s="190">
        <f t="shared" si="69"/>
        <v>0</v>
      </c>
      <c r="AT59" s="193">
        <f t="shared" si="70"/>
        <v>350</v>
      </c>
      <c r="AU59" s="190">
        <f t="shared" si="71"/>
        <v>933244200.00000024</v>
      </c>
      <c r="AV59" s="191"/>
      <c r="AW59" s="72"/>
      <c r="AX59" s="72"/>
      <c r="AY59" s="72"/>
      <c r="AZ59" s="72"/>
      <c r="BA59" s="72"/>
      <c r="BB59" s="193">
        <f t="shared" si="72"/>
        <v>0</v>
      </c>
      <c r="BC59" s="190">
        <f t="shared" si="73"/>
        <v>0</v>
      </c>
      <c r="BD59" s="193">
        <f t="shared" si="74"/>
        <v>350</v>
      </c>
      <c r="BE59" s="190">
        <f t="shared" si="75"/>
        <v>933244200.00000024</v>
      </c>
      <c r="BF59" s="191"/>
      <c r="BG59" s="72"/>
      <c r="BH59" s="72"/>
      <c r="BI59" s="72"/>
      <c r="BJ59" s="72"/>
      <c r="BK59" s="72"/>
      <c r="BL59" s="193">
        <f t="shared" si="76"/>
        <v>0</v>
      </c>
      <c r="BM59" s="190">
        <f t="shared" si="77"/>
        <v>0</v>
      </c>
      <c r="BN59" s="193">
        <f t="shared" si="78"/>
        <v>350</v>
      </c>
      <c r="BO59" s="190">
        <f t="shared" si="79"/>
        <v>933244200.00000024</v>
      </c>
      <c r="BP59" s="191"/>
      <c r="BQ59" s="72"/>
      <c r="BR59" s="72"/>
      <c r="BS59" s="72"/>
      <c r="BT59" s="72"/>
      <c r="BU59" s="72"/>
      <c r="BV59" s="193">
        <f t="shared" si="80"/>
        <v>0</v>
      </c>
      <c r="BW59" s="190">
        <f t="shared" si="81"/>
        <v>0</v>
      </c>
      <c r="BX59" s="193">
        <f t="shared" si="82"/>
        <v>350</v>
      </c>
      <c r="BY59" s="190">
        <f t="shared" si="83"/>
        <v>933244200.00000024</v>
      </c>
      <c r="CB59" s="280"/>
      <c r="CC59" s="440">
        <f t="shared" si="50"/>
        <v>0</v>
      </c>
      <c r="CD59" s="440">
        <f t="shared" si="49"/>
        <v>0</v>
      </c>
      <c r="CE59" s="286">
        <v>780267870</v>
      </c>
      <c r="CF59" s="280">
        <f t="shared" si="47"/>
        <v>-152976330.00000024</v>
      </c>
      <c r="CG59" s="280">
        <f t="shared" si="48"/>
        <v>-152976330.00000024</v>
      </c>
      <c r="CI59" s="286">
        <v>2259884.2905435585</v>
      </c>
      <c r="CJ59" s="286">
        <v>2684100</v>
      </c>
      <c r="CK59" s="286">
        <v>-424215.70945644146</v>
      </c>
    </row>
    <row r="60" spans="2:89" ht="14.25" customHeight="1" x14ac:dyDescent="0.2">
      <c r="B60" s="186"/>
      <c r="C60" s="187"/>
      <c r="D60" s="411" t="s">
        <v>518</v>
      </c>
      <c r="E60" s="443">
        <f t="shared" si="99"/>
        <v>350</v>
      </c>
      <c r="F60" s="192">
        <f>G60*E60</f>
        <v>55451413.143524997</v>
      </c>
      <c r="G60" s="191">
        <f>('RKT 18_19 Infra'!E25/'RKP 08'!$D$5)*'RKT 18_19 Infra'!D25</f>
        <v>158432.6089815</v>
      </c>
      <c r="H60" s="72">
        <v>1</v>
      </c>
      <c r="I60" s="189">
        <f>G60/H60</f>
        <v>158432.6089815</v>
      </c>
      <c r="J60" s="193">
        <v>0</v>
      </c>
      <c r="K60" s="72">
        <f>J60*$G60</f>
        <v>0</v>
      </c>
      <c r="L60" s="72">
        <v>200</v>
      </c>
      <c r="M60" s="72">
        <f>L60*$G60</f>
        <v>31686521.796300001</v>
      </c>
      <c r="N60" s="72">
        <v>150</v>
      </c>
      <c r="O60" s="72">
        <f t="shared" si="51"/>
        <v>23764891.347224999</v>
      </c>
      <c r="P60" s="193">
        <f t="shared" si="52"/>
        <v>350</v>
      </c>
      <c r="Q60" s="190">
        <f t="shared" si="53"/>
        <v>55451413.143525004</v>
      </c>
      <c r="R60" s="191">
        <v>0</v>
      </c>
      <c r="S60" s="72">
        <f t="shared" si="54"/>
        <v>0</v>
      </c>
      <c r="T60" s="72">
        <v>0</v>
      </c>
      <c r="U60" s="72">
        <f t="shared" si="55"/>
        <v>0</v>
      </c>
      <c r="V60" s="72">
        <f>'RKT 18_19 Infra'!GX25</f>
        <v>0</v>
      </c>
      <c r="W60" s="72">
        <f t="shared" si="56"/>
        <v>0</v>
      </c>
      <c r="X60" s="193">
        <f t="shared" si="57"/>
        <v>0</v>
      </c>
      <c r="Y60" s="190">
        <f t="shared" si="58"/>
        <v>0</v>
      </c>
      <c r="Z60" s="193">
        <f t="shared" si="59"/>
        <v>350</v>
      </c>
      <c r="AA60" s="307">
        <f t="shared" si="60"/>
        <v>55451413.143525004</v>
      </c>
      <c r="AB60" s="191">
        <f>'RKT 18_19 Infra'!HB25</f>
        <v>0</v>
      </c>
      <c r="AC60" s="72">
        <f t="shared" si="61"/>
        <v>0</v>
      </c>
      <c r="AD60" s="72">
        <f>'RKT 18_19 Infra'!HD25</f>
        <v>0</v>
      </c>
      <c r="AE60" s="72">
        <f t="shared" si="62"/>
        <v>0</v>
      </c>
      <c r="AF60" s="72">
        <f>'RKT 18_19 Infra'!HF25</f>
        <v>0</v>
      </c>
      <c r="AG60" s="72">
        <f t="shared" si="63"/>
        <v>0</v>
      </c>
      <c r="AH60" s="193">
        <f t="shared" si="64"/>
        <v>0</v>
      </c>
      <c r="AI60" s="190">
        <f t="shared" si="65"/>
        <v>0</v>
      </c>
      <c r="AJ60" s="193">
        <f t="shared" si="66"/>
        <v>350</v>
      </c>
      <c r="AK60" s="190">
        <f t="shared" si="67"/>
        <v>55451413.143525004</v>
      </c>
      <c r="AL60" s="191">
        <f>'RKT 18_19 Infra'!HJ25</f>
        <v>0</v>
      </c>
      <c r="AM60" s="72">
        <f>AL60*$G60</f>
        <v>0</v>
      </c>
      <c r="AN60" s="72">
        <f>'RKT 18_19 Infra'!HL25</f>
        <v>0</v>
      </c>
      <c r="AO60" s="72">
        <f t="shared" si="97"/>
        <v>0</v>
      </c>
      <c r="AP60" s="72">
        <f>'RKT 18_19 Infra'!HN25</f>
        <v>0</v>
      </c>
      <c r="AQ60" s="72">
        <f t="shared" si="98"/>
        <v>0</v>
      </c>
      <c r="AR60" s="193">
        <f t="shared" si="68"/>
        <v>0</v>
      </c>
      <c r="AS60" s="190">
        <f t="shared" si="69"/>
        <v>0</v>
      </c>
      <c r="AT60" s="193">
        <f t="shared" si="70"/>
        <v>350</v>
      </c>
      <c r="AU60" s="190">
        <f t="shared" si="71"/>
        <v>55451413.143525004</v>
      </c>
      <c r="AV60" s="191"/>
      <c r="AW60" s="72"/>
      <c r="AX60" s="72"/>
      <c r="AY60" s="72"/>
      <c r="AZ60" s="72"/>
      <c r="BA60" s="72"/>
      <c r="BB60" s="193">
        <f t="shared" si="72"/>
        <v>0</v>
      </c>
      <c r="BC60" s="190">
        <f t="shared" si="73"/>
        <v>0</v>
      </c>
      <c r="BD60" s="193">
        <f t="shared" si="74"/>
        <v>350</v>
      </c>
      <c r="BE60" s="190">
        <f t="shared" si="75"/>
        <v>55451413.143525004</v>
      </c>
      <c r="BF60" s="191"/>
      <c r="BG60" s="72"/>
      <c r="BH60" s="72"/>
      <c r="BI60" s="72"/>
      <c r="BJ60" s="72"/>
      <c r="BK60" s="72"/>
      <c r="BL60" s="193">
        <f t="shared" si="76"/>
        <v>0</v>
      </c>
      <c r="BM60" s="190">
        <f t="shared" si="77"/>
        <v>0</v>
      </c>
      <c r="BN60" s="193">
        <f t="shared" si="78"/>
        <v>350</v>
      </c>
      <c r="BO60" s="190">
        <f t="shared" si="79"/>
        <v>55451413.143525004</v>
      </c>
      <c r="BP60" s="191"/>
      <c r="BQ60" s="72"/>
      <c r="BR60" s="72"/>
      <c r="BS60" s="72"/>
      <c r="BT60" s="72"/>
      <c r="BU60" s="72"/>
      <c r="BV60" s="193">
        <f t="shared" si="80"/>
        <v>0</v>
      </c>
      <c r="BW60" s="190">
        <f t="shared" si="81"/>
        <v>0</v>
      </c>
      <c r="BX60" s="193">
        <f t="shared" si="82"/>
        <v>350</v>
      </c>
      <c r="BY60" s="190">
        <f t="shared" si="83"/>
        <v>55451413.143525004</v>
      </c>
      <c r="CB60" s="280"/>
      <c r="CC60" s="440">
        <f t="shared" si="50"/>
        <v>0</v>
      </c>
      <c r="CD60" s="440">
        <f t="shared" si="49"/>
        <v>0</v>
      </c>
      <c r="CE60" s="286">
        <v>425181774.85714293</v>
      </c>
      <c r="CF60" s="280">
        <f t="shared" si="47"/>
        <v>369730361.71361792</v>
      </c>
      <c r="CG60" s="280">
        <f t="shared" si="48"/>
        <v>369730361.71361792</v>
      </c>
      <c r="CI60" s="286">
        <v>2374432.8454419742</v>
      </c>
      <c r="CJ60" s="286">
        <v>375161.49299598788</v>
      </c>
      <c r="CK60" s="286">
        <v>1999271.3524459864</v>
      </c>
    </row>
    <row r="61" spans="2:89" ht="14.25" customHeight="1" x14ac:dyDescent="0.2">
      <c r="B61" s="186"/>
      <c r="C61" s="187"/>
      <c r="D61" s="188" t="s">
        <v>353</v>
      </c>
      <c r="E61" s="443">
        <f t="shared" si="99"/>
        <v>350</v>
      </c>
      <c r="F61" s="192">
        <f t="shared" si="85"/>
        <v>1289206590</v>
      </c>
      <c r="G61" s="191">
        <f>('RKT 18_19 Infra'!E26/'RKP 08'!$D$5)*'RKT 18_19 Infra'!D26</f>
        <v>3683447.4</v>
      </c>
      <c r="H61" s="72">
        <v>1</v>
      </c>
      <c r="I61" s="189">
        <f>G61/H61</f>
        <v>3683447.4</v>
      </c>
      <c r="J61" s="193">
        <v>0</v>
      </c>
      <c r="K61" s="72">
        <f>J61*$G61</f>
        <v>0</v>
      </c>
      <c r="L61" s="72">
        <v>0</v>
      </c>
      <c r="M61" s="72">
        <f>L61*$G61</f>
        <v>0</v>
      </c>
      <c r="N61" s="72">
        <v>0</v>
      </c>
      <c r="O61" s="72">
        <f t="shared" si="51"/>
        <v>0</v>
      </c>
      <c r="P61" s="193">
        <f t="shared" si="52"/>
        <v>0</v>
      </c>
      <c r="Q61" s="190">
        <f t="shared" si="53"/>
        <v>0</v>
      </c>
      <c r="R61" s="191">
        <f>'RKT 18_19 Infra'!GT26</f>
        <v>0</v>
      </c>
      <c r="S61" s="72">
        <f t="shared" si="54"/>
        <v>0</v>
      </c>
      <c r="T61" s="72">
        <f>'RKT 18_19 Infra'!GV26</f>
        <v>0</v>
      </c>
      <c r="U61" s="72">
        <f t="shared" si="55"/>
        <v>0</v>
      </c>
      <c r="V61" s="72">
        <f>'RKT 18_19 Infra'!GX26</f>
        <v>0</v>
      </c>
      <c r="W61" s="72">
        <f t="shared" si="56"/>
        <v>0</v>
      </c>
      <c r="X61" s="193">
        <f t="shared" si="57"/>
        <v>0</v>
      </c>
      <c r="Y61" s="190">
        <f t="shared" si="58"/>
        <v>0</v>
      </c>
      <c r="Z61" s="193">
        <f t="shared" si="59"/>
        <v>0</v>
      </c>
      <c r="AA61" s="307">
        <f t="shared" si="60"/>
        <v>0</v>
      </c>
      <c r="AB61" s="191">
        <v>200</v>
      </c>
      <c r="AC61" s="72">
        <f t="shared" si="61"/>
        <v>736689480</v>
      </c>
      <c r="AD61" s="72">
        <v>150</v>
      </c>
      <c r="AE61" s="72">
        <f t="shared" si="62"/>
        <v>552517110</v>
      </c>
      <c r="AF61" s="72">
        <f>'RKT 18_19 Infra'!HF26</f>
        <v>0</v>
      </c>
      <c r="AG61" s="72">
        <f t="shared" si="63"/>
        <v>0</v>
      </c>
      <c r="AH61" s="193">
        <f t="shared" si="64"/>
        <v>350</v>
      </c>
      <c r="AI61" s="190">
        <f t="shared" si="65"/>
        <v>1289206590</v>
      </c>
      <c r="AJ61" s="193">
        <f t="shared" si="66"/>
        <v>350</v>
      </c>
      <c r="AK61" s="190">
        <f t="shared" si="67"/>
        <v>1289206590</v>
      </c>
      <c r="AL61" s="191">
        <f>'RKT 18_19 Infra'!HJ26</f>
        <v>0</v>
      </c>
      <c r="AM61" s="72">
        <f>AL61*$G61</f>
        <v>0</v>
      </c>
      <c r="AN61" s="72">
        <f>'RKT 18_19 Infra'!HL26</f>
        <v>0</v>
      </c>
      <c r="AO61" s="72">
        <f t="shared" si="97"/>
        <v>0</v>
      </c>
      <c r="AP61" s="72">
        <f>'RKT 18_19 Infra'!HN26</f>
        <v>0</v>
      </c>
      <c r="AQ61" s="72">
        <f t="shared" si="98"/>
        <v>0</v>
      </c>
      <c r="AR61" s="193">
        <f t="shared" si="68"/>
        <v>0</v>
      </c>
      <c r="AS61" s="190">
        <f t="shared" si="69"/>
        <v>0</v>
      </c>
      <c r="AT61" s="193">
        <f t="shared" si="70"/>
        <v>350</v>
      </c>
      <c r="AU61" s="190">
        <f t="shared" si="71"/>
        <v>1289206590</v>
      </c>
      <c r="AV61" s="191">
        <f>'RKT 18_19 Infra'!HR26</f>
        <v>0</v>
      </c>
      <c r="AW61" s="72">
        <f>'RKT 18_19 Infra'!HS26</f>
        <v>0</v>
      </c>
      <c r="AX61" s="72">
        <f>'RKT 18_19 Infra'!HT26</f>
        <v>0</v>
      </c>
      <c r="AY61" s="72">
        <f>'RKT 18_19 Infra'!HU26</f>
        <v>0</v>
      </c>
      <c r="AZ61" s="72">
        <f>'RKT 18_19 Infra'!HV26</f>
        <v>0</v>
      </c>
      <c r="BA61" s="189">
        <f>'RKT 18_19 Infra'!HW26</f>
        <v>0</v>
      </c>
      <c r="BB61" s="307">
        <f t="shared" si="72"/>
        <v>0</v>
      </c>
      <c r="BC61" s="190">
        <f t="shared" si="73"/>
        <v>0</v>
      </c>
      <c r="BD61" s="193">
        <f t="shared" si="74"/>
        <v>350</v>
      </c>
      <c r="BE61" s="190">
        <f t="shared" si="75"/>
        <v>1289206590</v>
      </c>
      <c r="BF61" s="191">
        <f>'RKT 18_19 Infra'!HZ26</f>
        <v>0</v>
      </c>
      <c r="BG61" s="72">
        <f>'RKT 18_19 Infra'!IA26</f>
        <v>0</v>
      </c>
      <c r="BH61" s="72">
        <f>'RKT 18_19 Infra'!IB26</f>
        <v>0</v>
      </c>
      <c r="BI61" s="72">
        <f>'RKT 18_19 Infra'!IC26</f>
        <v>0</v>
      </c>
      <c r="BJ61" s="72">
        <f>'RKT 18_19 Infra'!ID26</f>
        <v>0</v>
      </c>
      <c r="BK61" s="189">
        <f>'RKT 18_19 Infra'!IE26</f>
        <v>0</v>
      </c>
      <c r="BL61" s="193">
        <v>0</v>
      </c>
      <c r="BM61" s="190">
        <f t="shared" si="77"/>
        <v>0</v>
      </c>
      <c r="BN61" s="193">
        <f t="shared" si="78"/>
        <v>350</v>
      </c>
      <c r="BO61" s="190">
        <f t="shared" si="79"/>
        <v>1289206590</v>
      </c>
      <c r="BP61" s="191"/>
      <c r="BQ61" s="72"/>
      <c r="BR61" s="72"/>
      <c r="BS61" s="72"/>
      <c r="BT61" s="72"/>
      <c r="BU61" s="72"/>
      <c r="BV61" s="193">
        <f t="shared" si="80"/>
        <v>0</v>
      </c>
      <c r="BW61" s="190">
        <f t="shared" si="81"/>
        <v>0</v>
      </c>
      <c r="BX61" s="193">
        <f t="shared" si="82"/>
        <v>350</v>
      </c>
      <c r="BY61" s="190">
        <f t="shared" si="83"/>
        <v>1289206590</v>
      </c>
      <c r="CB61" s="280"/>
      <c r="CC61" s="440">
        <f t="shared" si="50"/>
        <v>0</v>
      </c>
      <c r="CD61" s="440">
        <f t="shared" si="49"/>
        <v>0</v>
      </c>
      <c r="CE61" s="286">
        <v>0</v>
      </c>
      <c r="CF61" s="280">
        <f t="shared" si="47"/>
        <v>-1289206590</v>
      </c>
      <c r="CG61" s="280">
        <f t="shared" si="48"/>
        <v>-1289206590</v>
      </c>
      <c r="CI61" s="286">
        <v>0</v>
      </c>
      <c r="CJ61" s="286">
        <v>0</v>
      </c>
      <c r="CK61" s="286">
        <v>0</v>
      </c>
    </row>
    <row r="62" spans="2:89" ht="14.25" customHeight="1" x14ac:dyDescent="0.2">
      <c r="B62" s="186"/>
      <c r="C62" s="187" t="s">
        <v>250</v>
      </c>
      <c r="D62" s="188"/>
      <c r="E62" s="193"/>
      <c r="F62" s="192"/>
      <c r="G62" s="191"/>
      <c r="H62" s="72"/>
      <c r="I62" s="189"/>
      <c r="J62" s="193"/>
      <c r="K62" s="72"/>
      <c r="L62" s="72"/>
      <c r="M62" s="72"/>
      <c r="N62" s="72"/>
      <c r="O62" s="72"/>
      <c r="P62" s="193"/>
      <c r="Q62" s="190"/>
      <c r="R62" s="191"/>
      <c r="S62" s="72"/>
      <c r="T62" s="72"/>
      <c r="U62" s="72"/>
      <c r="V62" s="72"/>
      <c r="W62" s="72"/>
      <c r="X62" s="193"/>
      <c r="Y62" s="190"/>
      <c r="Z62" s="193"/>
      <c r="AA62" s="190"/>
      <c r="AB62" s="191"/>
      <c r="AC62" s="72"/>
      <c r="AD62" s="72"/>
      <c r="AE62" s="72"/>
      <c r="AF62" s="72"/>
      <c r="AG62" s="72"/>
      <c r="AH62" s="193"/>
      <c r="AI62" s="190"/>
      <c r="AJ62" s="193"/>
      <c r="AK62" s="190"/>
      <c r="AL62" s="191"/>
      <c r="AM62" s="72">
        <f>AL62*$G62</f>
        <v>0</v>
      </c>
      <c r="AN62" s="72"/>
      <c r="AO62" s="72"/>
      <c r="AP62" s="72"/>
      <c r="AQ62" s="72"/>
      <c r="AR62" s="193"/>
      <c r="AS62" s="190"/>
      <c r="AT62" s="193"/>
      <c r="AU62" s="190"/>
      <c r="AV62" s="191"/>
      <c r="AW62" s="72"/>
      <c r="AX62" s="72"/>
      <c r="AY62" s="72"/>
      <c r="AZ62" s="72"/>
      <c r="BA62" s="72"/>
      <c r="BB62" s="193"/>
      <c r="BC62" s="190"/>
      <c r="BD62" s="193"/>
      <c r="BE62" s="190"/>
      <c r="BF62" s="191"/>
      <c r="BG62" s="72"/>
      <c r="BH62" s="72"/>
      <c r="BI62" s="72"/>
      <c r="BJ62" s="72"/>
      <c r="BK62" s="72"/>
      <c r="BL62" s="193"/>
      <c r="BM62" s="190"/>
      <c r="BN62" s="193"/>
      <c r="BO62" s="190"/>
      <c r="BP62" s="191"/>
      <c r="BQ62" s="72"/>
      <c r="BR62" s="72"/>
      <c r="BS62" s="72"/>
      <c r="BT62" s="72"/>
      <c r="BU62" s="72"/>
      <c r="BV62" s="193"/>
      <c r="BW62" s="190"/>
      <c r="BX62" s="193"/>
      <c r="BY62" s="190"/>
      <c r="CA62" s="278">
        <f t="shared" ref="CA62:CA81" si="100">E62*H62</f>
        <v>0</v>
      </c>
      <c r="CB62" s="280">
        <f t="shared" ref="CB62:CB81" si="101">CA62-BD62</f>
        <v>0</v>
      </c>
      <c r="CC62" s="440">
        <f t="shared" si="50"/>
        <v>0</v>
      </c>
      <c r="CD62" s="440">
        <f t="shared" si="49"/>
        <v>0</v>
      </c>
      <c r="CE62" s="286"/>
      <c r="CF62" s="280">
        <f t="shared" si="47"/>
        <v>0</v>
      </c>
      <c r="CG62" s="280">
        <f t="shared" si="48"/>
        <v>0</v>
      </c>
      <c r="CI62" s="286">
        <v>0</v>
      </c>
      <c r="CJ62" s="286">
        <v>0</v>
      </c>
      <c r="CK62" s="286">
        <v>0</v>
      </c>
    </row>
    <row r="63" spans="2:89" s="281" customFormat="1" ht="14.25" customHeight="1" x14ac:dyDescent="0.2">
      <c r="B63" s="182"/>
      <c r="C63" s="195" t="s">
        <v>251</v>
      </c>
      <c r="D63" s="196"/>
      <c r="E63" s="356"/>
      <c r="F63" s="357">
        <f>SUM(F51:F62)</f>
        <v>4027157355.5435252</v>
      </c>
      <c r="G63" s="358">
        <f>SUM(G51:G62)</f>
        <v>11506163.8729815</v>
      </c>
      <c r="H63" s="360"/>
      <c r="I63" s="359">
        <f>SUM(I51:I62)</f>
        <v>11506163.8729815</v>
      </c>
      <c r="J63" s="372"/>
      <c r="K63" s="360">
        <f>SUM(K51:K62)</f>
        <v>0</v>
      </c>
      <c r="L63" s="360"/>
      <c r="M63" s="360">
        <f>SUM(M51:M62)</f>
        <v>1564543294.5963001</v>
      </c>
      <c r="N63" s="360"/>
      <c r="O63" s="360">
        <f>SUM(O51:O62)</f>
        <v>1173407470.9472251</v>
      </c>
      <c r="P63" s="372"/>
      <c r="Q63" s="361">
        <f>SUM(Q51:Q62)</f>
        <v>2737950765.5435257</v>
      </c>
      <c r="R63" s="358"/>
      <c r="S63" s="360">
        <f>SUM(S51:S62)</f>
        <v>0</v>
      </c>
      <c r="T63" s="360"/>
      <c r="U63" s="360">
        <f>SUM(U51:U62)</f>
        <v>0</v>
      </c>
      <c r="V63" s="360"/>
      <c r="W63" s="360">
        <f>SUM(W51:W62)</f>
        <v>0</v>
      </c>
      <c r="X63" s="372"/>
      <c r="Y63" s="361">
        <f>SUM(Y51:Y62)</f>
        <v>0</v>
      </c>
      <c r="Z63" s="372"/>
      <c r="AA63" s="361">
        <f>SUM(AA51:AA62)</f>
        <v>2737950765.5435257</v>
      </c>
      <c r="AB63" s="358"/>
      <c r="AC63" s="360">
        <f>SUM(AC51:AC62)</f>
        <v>736689480</v>
      </c>
      <c r="AD63" s="360"/>
      <c r="AE63" s="360">
        <f>SUM(AE51:AE62)</f>
        <v>552517110</v>
      </c>
      <c r="AF63" s="360"/>
      <c r="AG63" s="360">
        <f>SUM(AG51:AG62)</f>
        <v>0</v>
      </c>
      <c r="AH63" s="372"/>
      <c r="AI63" s="361">
        <f>SUM(AI51:AI62)</f>
        <v>1289206590</v>
      </c>
      <c r="AJ63" s="372"/>
      <c r="AK63" s="361">
        <f>SUM(AK51:AK62)</f>
        <v>4027157355.5435257</v>
      </c>
      <c r="AL63" s="358"/>
      <c r="AM63" s="360">
        <f>SUM(AM51:AM62)</f>
        <v>0</v>
      </c>
      <c r="AN63" s="360"/>
      <c r="AO63" s="360">
        <f>SUM(AO51:AO62)</f>
        <v>0</v>
      </c>
      <c r="AP63" s="360"/>
      <c r="AQ63" s="360">
        <f>SUM(AQ51:AQ62)</f>
        <v>0</v>
      </c>
      <c r="AR63" s="372"/>
      <c r="AS63" s="361">
        <f>SUM(AS51:AS62)</f>
        <v>0</v>
      </c>
      <c r="AT63" s="372"/>
      <c r="AU63" s="361">
        <f>SUM(AU51:AU62)</f>
        <v>4027157355.5435257</v>
      </c>
      <c r="AV63" s="358"/>
      <c r="AW63" s="360">
        <f>SUM(AW51:AW62)</f>
        <v>0</v>
      </c>
      <c r="AX63" s="360"/>
      <c r="AY63" s="360">
        <f>SUM(AY51:AY62)</f>
        <v>0</v>
      </c>
      <c r="AZ63" s="360"/>
      <c r="BA63" s="360">
        <f>SUM(BA51:BA62)</f>
        <v>0</v>
      </c>
      <c r="BB63" s="372"/>
      <c r="BC63" s="361">
        <f>SUM(BC51:BC62)</f>
        <v>0</v>
      </c>
      <c r="BD63" s="372"/>
      <c r="BE63" s="361">
        <f>SUM(BE51:BE62)</f>
        <v>4027157355.5435257</v>
      </c>
      <c r="BF63" s="358"/>
      <c r="BG63" s="360">
        <f>SUM(BG51:BG62)</f>
        <v>0</v>
      </c>
      <c r="BH63" s="360"/>
      <c r="BI63" s="360">
        <f>SUM(BI51:BI62)</f>
        <v>0</v>
      </c>
      <c r="BJ63" s="360"/>
      <c r="BK63" s="360">
        <f>SUM(BK51:BK62)</f>
        <v>0</v>
      </c>
      <c r="BL63" s="372"/>
      <c r="BM63" s="361">
        <f>SUM(BM51:BM62)</f>
        <v>0</v>
      </c>
      <c r="BN63" s="372"/>
      <c r="BO63" s="361">
        <f>SUM(BO51:BO62)</f>
        <v>4027157355.5435257</v>
      </c>
      <c r="BP63" s="358"/>
      <c r="BQ63" s="360">
        <f>SUM(BQ51:BQ62)</f>
        <v>0</v>
      </c>
      <c r="BR63" s="360"/>
      <c r="BS63" s="360">
        <f>SUM(BS51:BS62)</f>
        <v>0</v>
      </c>
      <c r="BT63" s="360"/>
      <c r="BU63" s="360">
        <f>SUM(BU51:BU62)</f>
        <v>0</v>
      </c>
      <c r="BV63" s="372"/>
      <c r="BW63" s="361">
        <f>SUM(BW51:BW62)</f>
        <v>0</v>
      </c>
      <c r="BX63" s="372"/>
      <c r="BY63" s="361">
        <f>SUM(BY51:BY62)</f>
        <v>4027157355.5435257</v>
      </c>
      <c r="CA63" s="278">
        <f t="shared" si="100"/>
        <v>0</v>
      </c>
      <c r="CB63" s="280">
        <f t="shared" si="101"/>
        <v>0</v>
      </c>
      <c r="CC63" s="440">
        <f t="shared" si="50"/>
        <v>0</v>
      </c>
      <c r="CD63" s="440">
        <f t="shared" si="49"/>
        <v>0</v>
      </c>
      <c r="CE63" s="291">
        <v>5492036194.8571434</v>
      </c>
      <c r="CF63" s="280">
        <f t="shared" si="47"/>
        <v>1464878839.3136177</v>
      </c>
      <c r="CG63" s="280">
        <f t="shared" si="48"/>
        <v>1464878839.3136177</v>
      </c>
      <c r="CI63" s="291">
        <v>7850906.6743325181</v>
      </c>
      <c r="CJ63" s="291">
        <v>5639104.9833536074</v>
      </c>
      <c r="CK63" s="291">
        <v>2211801.6909789108</v>
      </c>
    </row>
    <row r="64" spans="2:89" ht="14.25" customHeight="1" x14ac:dyDescent="0.2">
      <c r="B64" s="186">
        <v>2</v>
      </c>
      <c r="C64" s="187" t="s">
        <v>252</v>
      </c>
      <c r="D64" s="188"/>
      <c r="E64" s="219"/>
      <c r="F64" s="222"/>
      <c r="G64" s="191"/>
      <c r="H64" s="72"/>
      <c r="I64" s="189"/>
      <c r="J64" s="193"/>
      <c r="K64" s="72"/>
      <c r="L64" s="72"/>
      <c r="M64" s="72"/>
      <c r="N64" s="72"/>
      <c r="O64" s="72"/>
      <c r="P64" s="193"/>
      <c r="Q64" s="190"/>
      <c r="R64" s="191"/>
      <c r="S64" s="72"/>
      <c r="T64" s="72"/>
      <c r="U64" s="72"/>
      <c r="V64" s="72"/>
      <c r="W64" s="72"/>
      <c r="X64" s="193"/>
      <c r="Y64" s="190"/>
      <c r="Z64" s="193"/>
      <c r="AA64" s="190"/>
      <c r="AB64" s="191"/>
      <c r="AC64" s="72"/>
      <c r="AD64" s="72"/>
      <c r="AE64" s="72"/>
      <c r="AF64" s="72"/>
      <c r="AG64" s="72"/>
      <c r="AH64" s="193"/>
      <c r="AI64" s="190"/>
      <c r="AJ64" s="193"/>
      <c r="AK64" s="190"/>
      <c r="AL64" s="191"/>
      <c r="AM64" s="72"/>
      <c r="AN64" s="72"/>
      <c r="AO64" s="72"/>
      <c r="AP64" s="72"/>
      <c r="AQ64" s="72"/>
      <c r="AR64" s="193"/>
      <c r="AS64" s="190"/>
      <c r="AT64" s="193"/>
      <c r="AU64" s="190"/>
      <c r="AV64" s="191"/>
      <c r="AW64" s="72"/>
      <c r="AX64" s="72"/>
      <c r="AY64" s="72"/>
      <c r="AZ64" s="72"/>
      <c r="BA64" s="72"/>
      <c r="BB64" s="193"/>
      <c r="BC64" s="190"/>
      <c r="BD64" s="193"/>
      <c r="BE64" s="190"/>
      <c r="BF64" s="191"/>
      <c r="BG64" s="72"/>
      <c r="BH64" s="72"/>
      <c r="BI64" s="72"/>
      <c r="BJ64" s="72"/>
      <c r="BK64" s="72"/>
      <c r="BL64" s="193"/>
      <c r="BM64" s="190"/>
      <c r="BN64" s="193"/>
      <c r="BO64" s="190"/>
      <c r="BP64" s="191"/>
      <c r="BQ64" s="72"/>
      <c r="BR64" s="72"/>
      <c r="BS64" s="72"/>
      <c r="BT64" s="72"/>
      <c r="BU64" s="72"/>
      <c r="BV64" s="193"/>
      <c r="BW64" s="190"/>
      <c r="BX64" s="193"/>
      <c r="BY64" s="190"/>
      <c r="CA64" s="278">
        <f t="shared" si="100"/>
        <v>0</v>
      </c>
      <c r="CB64" s="280">
        <f t="shared" si="101"/>
        <v>0</v>
      </c>
      <c r="CC64" s="440">
        <f t="shared" si="50"/>
        <v>0</v>
      </c>
      <c r="CD64" s="440">
        <f t="shared" si="49"/>
        <v>0</v>
      </c>
      <c r="CE64" s="286"/>
      <c r="CF64" s="280">
        <f t="shared" si="47"/>
        <v>0</v>
      </c>
      <c r="CG64" s="280">
        <f t="shared" si="48"/>
        <v>0</v>
      </c>
      <c r="CI64" s="286">
        <v>0</v>
      </c>
      <c r="CJ64" s="286">
        <v>0</v>
      </c>
      <c r="CK64" s="286">
        <v>0</v>
      </c>
    </row>
    <row r="65" spans="2:89" ht="14.25" customHeight="1" x14ac:dyDescent="0.2">
      <c r="B65" s="186"/>
      <c r="C65" s="187" t="s">
        <v>271</v>
      </c>
      <c r="D65" s="188"/>
      <c r="E65" s="219"/>
      <c r="F65" s="222"/>
      <c r="G65" s="191"/>
      <c r="H65" s="72"/>
      <c r="I65" s="189"/>
      <c r="J65" s="193"/>
      <c r="K65" s="72"/>
      <c r="L65" s="72"/>
      <c r="M65" s="72"/>
      <c r="N65" s="72"/>
      <c r="O65" s="72"/>
      <c r="P65" s="193"/>
      <c r="Q65" s="190"/>
      <c r="R65" s="191"/>
      <c r="S65" s="72"/>
      <c r="T65" s="72"/>
      <c r="U65" s="72"/>
      <c r="V65" s="72"/>
      <c r="W65" s="72"/>
      <c r="X65" s="193"/>
      <c r="Y65" s="190"/>
      <c r="Z65" s="193"/>
      <c r="AA65" s="190"/>
      <c r="AB65" s="191"/>
      <c r="AC65" s="72"/>
      <c r="AD65" s="72"/>
      <c r="AE65" s="72"/>
      <c r="AF65" s="72"/>
      <c r="AG65" s="72"/>
      <c r="AH65" s="193"/>
      <c r="AI65" s="190"/>
      <c r="AJ65" s="193"/>
      <c r="AK65" s="190"/>
      <c r="AL65" s="191"/>
      <c r="AM65" s="72"/>
      <c r="AN65" s="72"/>
      <c r="AO65" s="72"/>
      <c r="AP65" s="72"/>
      <c r="AQ65" s="72"/>
      <c r="AR65" s="193"/>
      <c r="AS65" s="190"/>
      <c r="AT65" s="193"/>
      <c r="AU65" s="190"/>
      <c r="AV65" s="191"/>
      <c r="AW65" s="72"/>
      <c r="AX65" s="72"/>
      <c r="AY65" s="72"/>
      <c r="AZ65" s="72"/>
      <c r="BA65" s="72"/>
      <c r="BB65" s="193"/>
      <c r="BC65" s="190"/>
      <c r="BD65" s="193"/>
      <c r="BE65" s="190"/>
      <c r="BF65" s="191"/>
      <c r="BG65" s="72"/>
      <c r="BH65" s="72"/>
      <c r="BI65" s="72"/>
      <c r="BJ65" s="72"/>
      <c r="BK65" s="72"/>
      <c r="BL65" s="193"/>
      <c r="BM65" s="190"/>
      <c r="BN65" s="193"/>
      <c r="BO65" s="190"/>
      <c r="BP65" s="191"/>
      <c r="BQ65" s="72"/>
      <c r="BR65" s="72"/>
      <c r="BS65" s="72"/>
      <c r="BT65" s="72"/>
      <c r="BU65" s="72"/>
      <c r="BV65" s="193"/>
      <c r="BW65" s="190"/>
      <c r="BX65" s="193"/>
      <c r="BY65" s="190"/>
      <c r="CA65" s="278">
        <f t="shared" si="100"/>
        <v>0</v>
      </c>
      <c r="CB65" s="280">
        <f t="shared" si="101"/>
        <v>0</v>
      </c>
      <c r="CC65" s="440">
        <f t="shared" si="50"/>
        <v>0</v>
      </c>
      <c r="CD65" s="440">
        <f t="shared" si="49"/>
        <v>0</v>
      </c>
      <c r="CE65" s="286"/>
      <c r="CF65" s="280">
        <f t="shared" si="47"/>
        <v>0</v>
      </c>
      <c r="CG65" s="280">
        <f t="shared" si="48"/>
        <v>0</v>
      </c>
      <c r="CI65" s="286">
        <v>0</v>
      </c>
      <c r="CJ65" s="286">
        <v>0</v>
      </c>
      <c r="CK65" s="286">
        <v>0</v>
      </c>
    </row>
    <row r="66" spans="2:89" ht="14.25" customHeight="1" x14ac:dyDescent="0.2">
      <c r="B66" s="186"/>
      <c r="C66" s="187" t="s">
        <v>253</v>
      </c>
      <c r="D66" s="188"/>
      <c r="E66" s="443">
        <f>$D$5</f>
        <v>350</v>
      </c>
      <c r="F66" s="192">
        <f>G66*E66</f>
        <v>91432008.150000006</v>
      </c>
      <c r="G66" s="191">
        <f>('RKT 18_19 Infra'!E17/'RKP 08'!$D$5)*'RKT 18_19 Infra'!D17</f>
        <v>261234.30900000001</v>
      </c>
      <c r="H66" s="72">
        <v>1</v>
      </c>
      <c r="I66" s="189">
        <f>G66/H66</f>
        <v>261234.30900000001</v>
      </c>
      <c r="J66" s="193">
        <f>'RKT 18_19 Infra'!GL17</f>
        <v>350</v>
      </c>
      <c r="K66" s="72">
        <f>J66*$G66</f>
        <v>91432008.150000006</v>
      </c>
      <c r="L66" s="72">
        <f>'RKT 18_19 Infra'!GN17</f>
        <v>0</v>
      </c>
      <c r="M66" s="72">
        <f>L66*$G66</f>
        <v>0</v>
      </c>
      <c r="N66" s="72">
        <f>'RKT 18_19 Infra'!GP17</f>
        <v>0</v>
      </c>
      <c r="O66" s="72">
        <f>N66*$G66</f>
        <v>0</v>
      </c>
      <c r="P66" s="193">
        <f>J66+L66+N66</f>
        <v>350</v>
      </c>
      <c r="Q66" s="190">
        <f>K66+M66+O66</f>
        <v>91432008.150000006</v>
      </c>
      <c r="R66" s="191">
        <f>'RKT 18_19 Infra'!GT17</f>
        <v>0</v>
      </c>
      <c r="S66" s="72">
        <f>R66*$G66</f>
        <v>0</v>
      </c>
      <c r="T66" s="72">
        <f>'RKT 18_19 Infra'!GV17</f>
        <v>0</v>
      </c>
      <c r="U66" s="72">
        <f>T66*$G66</f>
        <v>0</v>
      </c>
      <c r="V66" s="72">
        <f>'RKT 18_19 Infra'!GX17</f>
        <v>0</v>
      </c>
      <c r="W66" s="72">
        <f>V66*$G66</f>
        <v>0</v>
      </c>
      <c r="X66" s="193">
        <f>R66+T66+V66</f>
        <v>0</v>
      </c>
      <c r="Y66" s="190">
        <f>S66+U66+W66</f>
        <v>0</v>
      </c>
      <c r="Z66" s="193">
        <f>X66+P66</f>
        <v>350</v>
      </c>
      <c r="AA66" s="307">
        <f>Y66+Q66</f>
        <v>91432008.150000006</v>
      </c>
      <c r="AB66" s="191">
        <f>'RKT 18_19 Infra'!HB17</f>
        <v>0</v>
      </c>
      <c r="AC66" s="72">
        <f>AB66*$G66</f>
        <v>0</v>
      </c>
      <c r="AD66" s="72">
        <f>'RKT 18_19 Infra'!HD17</f>
        <v>0</v>
      </c>
      <c r="AE66" s="72">
        <f>AD66*$G66</f>
        <v>0</v>
      </c>
      <c r="AF66" s="72">
        <f>'RKT 18_19 Infra'!HF17</f>
        <v>0</v>
      </c>
      <c r="AG66" s="72">
        <f>AF66*$G66</f>
        <v>0</v>
      </c>
      <c r="AH66" s="193">
        <f>AB66+AD66+AF66</f>
        <v>0</v>
      </c>
      <c r="AI66" s="190">
        <f>AC66+AE66+AG66</f>
        <v>0</v>
      </c>
      <c r="AJ66" s="193">
        <f>AH66+Z66</f>
        <v>350</v>
      </c>
      <c r="AK66" s="190">
        <f>AI66+AA66</f>
        <v>91432008.150000006</v>
      </c>
      <c r="AL66" s="191"/>
      <c r="AM66" s="72">
        <f t="shared" ref="AM66:AO67" si="102">AL66*$G66</f>
        <v>0</v>
      </c>
      <c r="AN66" s="72"/>
      <c r="AO66" s="72">
        <f t="shared" si="102"/>
        <v>0</v>
      </c>
      <c r="AP66" s="72"/>
      <c r="AQ66" s="72">
        <f>AP66*$G66</f>
        <v>0</v>
      </c>
      <c r="AR66" s="193">
        <f>AL66+AN66+AP66</f>
        <v>0</v>
      </c>
      <c r="AS66" s="190">
        <f>AM66+AO66+AQ66</f>
        <v>0</v>
      </c>
      <c r="AT66" s="193">
        <f>AR66+AJ66</f>
        <v>350</v>
      </c>
      <c r="AU66" s="190">
        <f>AS66+AK66</f>
        <v>91432008.150000006</v>
      </c>
      <c r="AV66" s="191"/>
      <c r="AW66" s="72">
        <f>AV66*$G66</f>
        <v>0</v>
      </c>
      <c r="AX66" s="72"/>
      <c r="AY66" s="72">
        <f>AX66*$G66</f>
        <v>0</v>
      </c>
      <c r="AZ66" s="72"/>
      <c r="BA66" s="72">
        <f>AZ66*$G66</f>
        <v>0</v>
      </c>
      <c r="BB66" s="193">
        <f>AV66+AX66+AZ66</f>
        <v>0</v>
      </c>
      <c r="BC66" s="190">
        <f>AW66+AY66+BA66</f>
        <v>0</v>
      </c>
      <c r="BD66" s="193">
        <f>BB66+AT66</f>
        <v>350</v>
      </c>
      <c r="BE66" s="190">
        <f>BC66+AU66</f>
        <v>91432008.150000006</v>
      </c>
      <c r="BF66" s="191"/>
      <c r="BG66" s="72">
        <f>BF66*$G66</f>
        <v>0</v>
      </c>
      <c r="BH66" s="72"/>
      <c r="BI66" s="72">
        <f>BH66*$G66</f>
        <v>0</v>
      </c>
      <c r="BJ66" s="72"/>
      <c r="BK66" s="72">
        <f>BJ66*$G66</f>
        <v>0</v>
      </c>
      <c r="BL66" s="193">
        <f>BF66+BH66+BJ66</f>
        <v>0</v>
      </c>
      <c r="BM66" s="190">
        <f>BG66+BI66+BK66</f>
        <v>0</v>
      </c>
      <c r="BN66" s="193">
        <f>BL66+BD66</f>
        <v>350</v>
      </c>
      <c r="BO66" s="190">
        <f>BM66+BE66</f>
        <v>91432008.150000006</v>
      </c>
      <c r="BP66" s="191"/>
      <c r="BQ66" s="72">
        <f>BP66*$G66</f>
        <v>0</v>
      </c>
      <c r="BR66" s="72"/>
      <c r="BS66" s="72">
        <f>BR66*$G66</f>
        <v>0</v>
      </c>
      <c r="BT66" s="72"/>
      <c r="BU66" s="72">
        <f>BT66*$G66</f>
        <v>0</v>
      </c>
      <c r="BV66" s="193">
        <f>BP66+BR66+BT66</f>
        <v>0</v>
      </c>
      <c r="BW66" s="190">
        <f>BQ66+BS66+BU66</f>
        <v>0</v>
      </c>
      <c r="BX66" s="193">
        <f>BV66+BN66</f>
        <v>350</v>
      </c>
      <c r="BY66" s="190">
        <f>BW66+BO66</f>
        <v>91432008.150000006</v>
      </c>
      <c r="CA66" s="278">
        <f t="shared" si="100"/>
        <v>350</v>
      </c>
      <c r="CB66" s="280">
        <f t="shared" si="101"/>
        <v>0</v>
      </c>
      <c r="CC66" s="440">
        <f t="shared" si="50"/>
        <v>0</v>
      </c>
      <c r="CD66" s="440">
        <f t="shared" si="49"/>
        <v>0</v>
      </c>
      <c r="CE66" s="286">
        <v>0</v>
      </c>
      <c r="CF66" s="280">
        <f t="shared" si="47"/>
        <v>-91432008.150000006</v>
      </c>
      <c r="CG66" s="280">
        <f t="shared" si="48"/>
        <v>-91432008.150000006</v>
      </c>
      <c r="CI66" s="286">
        <v>0</v>
      </c>
      <c r="CJ66" s="286">
        <v>0</v>
      </c>
      <c r="CK66" s="286">
        <v>0</v>
      </c>
    </row>
    <row r="67" spans="2:89" ht="14.25" customHeight="1" x14ac:dyDescent="0.2">
      <c r="B67" s="186"/>
      <c r="C67" s="187" t="s">
        <v>254</v>
      </c>
      <c r="D67" s="188"/>
      <c r="E67" s="443">
        <f>$D$5</f>
        <v>350</v>
      </c>
      <c r="F67" s="192">
        <f t="shared" ref="F67" si="103">G67*E67</f>
        <v>270961775.00000006</v>
      </c>
      <c r="G67" s="191">
        <f>('RKT 18_19 Infra'!E18/'RKP 08'!$D$5)*'RKT 18_19 Infra'!D18</f>
        <v>774176.50000000012</v>
      </c>
      <c r="H67" s="72">
        <v>1</v>
      </c>
      <c r="I67" s="189">
        <f>G67/H67</f>
        <v>774176.50000000012</v>
      </c>
      <c r="J67" s="193">
        <f>'RKT 18_19 Infra'!GL18</f>
        <v>350</v>
      </c>
      <c r="K67" s="72">
        <f>J67*$G67</f>
        <v>270961775.00000006</v>
      </c>
      <c r="L67" s="72">
        <f>'RKT 18_19 Infra'!GN18</f>
        <v>0</v>
      </c>
      <c r="M67" s="72">
        <f>L67*$G67</f>
        <v>0</v>
      </c>
      <c r="N67" s="72">
        <f>'RKT 18_19 Infra'!GP18</f>
        <v>0</v>
      </c>
      <c r="O67" s="72">
        <f>N67*$G67</f>
        <v>0</v>
      </c>
      <c r="P67" s="193">
        <f>J67+L67+N67</f>
        <v>350</v>
      </c>
      <c r="Q67" s="190">
        <f>K67+M67+O67</f>
        <v>270961775.00000006</v>
      </c>
      <c r="R67" s="191">
        <f>'RKT 18_19 Infra'!GT18</f>
        <v>0</v>
      </c>
      <c r="S67" s="72">
        <f>R67*$G67</f>
        <v>0</v>
      </c>
      <c r="T67" s="72">
        <f>'RKT 18_19 Infra'!GV18</f>
        <v>0</v>
      </c>
      <c r="U67" s="72">
        <f>T67*$G67</f>
        <v>0</v>
      </c>
      <c r="V67" s="72">
        <f>'RKT 18_19 Infra'!GX18</f>
        <v>0</v>
      </c>
      <c r="W67" s="72">
        <f>V67*$G67</f>
        <v>0</v>
      </c>
      <c r="X67" s="193">
        <f>R67+T67+V67</f>
        <v>0</v>
      </c>
      <c r="Y67" s="190">
        <f>S67+U67+W67</f>
        <v>0</v>
      </c>
      <c r="Z67" s="193">
        <f>X67+P67</f>
        <v>350</v>
      </c>
      <c r="AA67" s="307">
        <f>Y67+Q67</f>
        <v>270961775.00000006</v>
      </c>
      <c r="AB67" s="191">
        <f>'RKT 18_19 Infra'!HB18</f>
        <v>0</v>
      </c>
      <c r="AC67" s="72">
        <f>AB67*$G67</f>
        <v>0</v>
      </c>
      <c r="AD67" s="72">
        <f>'RKT 18_19 Infra'!HD18</f>
        <v>0</v>
      </c>
      <c r="AE67" s="72">
        <f>AD67*$G67</f>
        <v>0</v>
      </c>
      <c r="AF67" s="72">
        <f>'RKT 18_19 Infra'!HF18</f>
        <v>0</v>
      </c>
      <c r="AG67" s="72">
        <f>AF67*$G67</f>
        <v>0</v>
      </c>
      <c r="AH67" s="193">
        <f>AB67+AD67+AF67</f>
        <v>0</v>
      </c>
      <c r="AI67" s="190">
        <f>AC67+AE67+AG67</f>
        <v>0</v>
      </c>
      <c r="AJ67" s="193">
        <f>AH67+Z67</f>
        <v>350</v>
      </c>
      <c r="AK67" s="190">
        <f>AI67+AA67</f>
        <v>270961775.00000006</v>
      </c>
      <c r="AL67" s="191"/>
      <c r="AM67" s="72">
        <f t="shared" si="102"/>
        <v>0</v>
      </c>
      <c r="AN67" s="72"/>
      <c r="AO67" s="72">
        <f t="shared" si="102"/>
        <v>0</v>
      </c>
      <c r="AP67" s="72"/>
      <c r="AQ67" s="72">
        <f>AP67*$G67</f>
        <v>0</v>
      </c>
      <c r="AR67" s="193">
        <f>AL67+AN67+AP67</f>
        <v>0</v>
      </c>
      <c r="AS67" s="190">
        <f>AM67+AO67+AQ67</f>
        <v>0</v>
      </c>
      <c r="AT67" s="193">
        <f>AR67+AJ67</f>
        <v>350</v>
      </c>
      <c r="AU67" s="190">
        <f>AS67+AK67</f>
        <v>270961775.00000006</v>
      </c>
      <c r="AV67" s="191"/>
      <c r="AW67" s="72">
        <f>AV67*$G67</f>
        <v>0</v>
      </c>
      <c r="AX67" s="72"/>
      <c r="AY67" s="72">
        <f>AX67*$G67</f>
        <v>0</v>
      </c>
      <c r="AZ67" s="72"/>
      <c r="BA67" s="72">
        <f>AZ67*$G67</f>
        <v>0</v>
      </c>
      <c r="BB67" s="193">
        <f>AV67+AX67+AZ67</f>
        <v>0</v>
      </c>
      <c r="BC67" s="190">
        <f>AW67+AY67+BA67</f>
        <v>0</v>
      </c>
      <c r="BD67" s="193">
        <f>BB67+AT67</f>
        <v>350</v>
      </c>
      <c r="BE67" s="190">
        <f>BC67+AU67</f>
        <v>270961775.00000006</v>
      </c>
      <c r="BF67" s="191"/>
      <c r="BG67" s="72">
        <f>BF67*$G67</f>
        <v>0</v>
      </c>
      <c r="BH67" s="72"/>
      <c r="BI67" s="72">
        <f>BH67*$G67</f>
        <v>0</v>
      </c>
      <c r="BJ67" s="72"/>
      <c r="BK67" s="72">
        <f>BJ67*$G67</f>
        <v>0</v>
      </c>
      <c r="BL67" s="193">
        <f>BF67+BH67+BJ67</f>
        <v>0</v>
      </c>
      <c r="BM67" s="190">
        <f>BG67+BI67+BK67</f>
        <v>0</v>
      </c>
      <c r="BN67" s="193">
        <f>BL67+BD67</f>
        <v>350</v>
      </c>
      <c r="BO67" s="190">
        <f>BM67+BE67</f>
        <v>270961775.00000006</v>
      </c>
      <c r="BP67" s="191"/>
      <c r="BQ67" s="72">
        <f>BP67*$G67</f>
        <v>0</v>
      </c>
      <c r="BR67" s="72"/>
      <c r="BS67" s="72">
        <f>BR67*$G67</f>
        <v>0</v>
      </c>
      <c r="BT67" s="72"/>
      <c r="BU67" s="72">
        <f>BT67*$G67</f>
        <v>0</v>
      </c>
      <c r="BV67" s="193">
        <f>BP67+BR67+BT67</f>
        <v>0</v>
      </c>
      <c r="BW67" s="190">
        <f>BQ67+BS67+BU67</f>
        <v>0</v>
      </c>
      <c r="BX67" s="193">
        <f>BV67+BN67</f>
        <v>350</v>
      </c>
      <c r="BY67" s="190">
        <f>BW67+BO67</f>
        <v>270961775.00000006</v>
      </c>
      <c r="CA67" s="278">
        <f t="shared" si="100"/>
        <v>350</v>
      </c>
      <c r="CB67" s="280">
        <f t="shared" si="101"/>
        <v>0</v>
      </c>
      <c r="CC67" s="440">
        <f t="shared" si="50"/>
        <v>0</v>
      </c>
      <c r="CD67" s="440">
        <f t="shared" si="49"/>
        <v>0</v>
      </c>
      <c r="CE67" s="286">
        <v>831005050</v>
      </c>
      <c r="CF67" s="280">
        <f t="shared" si="47"/>
        <v>560043275</v>
      </c>
      <c r="CG67" s="280">
        <f t="shared" si="48"/>
        <v>560043275</v>
      </c>
      <c r="CI67" s="286">
        <v>0</v>
      </c>
      <c r="CJ67" s="286">
        <v>0</v>
      </c>
      <c r="CK67" s="286">
        <v>0</v>
      </c>
    </row>
    <row r="68" spans="2:89" ht="14.25" customHeight="1" x14ac:dyDescent="0.2">
      <c r="B68" s="186"/>
      <c r="C68" s="199" t="s">
        <v>255</v>
      </c>
      <c r="D68" s="200"/>
      <c r="E68" s="364"/>
      <c r="F68" s="371">
        <f>SUM(F66:F67)</f>
        <v>362393783.1500001</v>
      </c>
      <c r="G68" s="384">
        <f>SUM(G66:G67)</f>
        <v>1035410.8090000001</v>
      </c>
      <c r="H68" s="385"/>
      <c r="I68" s="386">
        <f>SUM(I66:I67)</f>
        <v>1035410.8090000001</v>
      </c>
      <c r="J68" s="387"/>
      <c r="K68" s="385">
        <f>SUM(K66:K67)</f>
        <v>362393783.1500001</v>
      </c>
      <c r="L68" s="385"/>
      <c r="M68" s="385">
        <f>SUM(M66:M67)</f>
        <v>0</v>
      </c>
      <c r="N68" s="385"/>
      <c r="O68" s="385">
        <f>SUM(O66:O67)</f>
        <v>0</v>
      </c>
      <c r="P68" s="387"/>
      <c r="Q68" s="388">
        <f>SUM(Q66:Q67)</f>
        <v>362393783.1500001</v>
      </c>
      <c r="R68" s="384"/>
      <c r="S68" s="385">
        <f>SUM(S66:S67)</f>
        <v>0</v>
      </c>
      <c r="T68" s="385"/>
      <c r="U68" s="385">
        <f>SUM(U66:U67)</f>
        <v>0</v>
      </c>
      <c r="V68" s="385"/>
      <c r="W68" s="385">
        <f>SUM(W66:W67)</f>
        <v>0</v>
      </c>
      <c r="X68" s="387"/>
      <c r="Y68" s="388">
        <f>SUM(Y66:Y67)</f>
        <v>0</v>
      </c>
      <c r="Z68" s="387"/>
      <c r="AA68" s="388">
        <f>SUM(AA66:AA67)</f>
        <v>362393783.1500001</v>
      </c>
      <c r="AB68" s="384"/>
      <c r="AC68" s="385">
        <f>SUM(AC66:AC67)</f>
        <v>0</v>
      </c>
      <c r="AD68" s="385"/>
      <c r="AE68" s="385">
        <f>SUM(AE66:AE67)</f>
        <v>0</v>
      </c>
      <c r="AF68" s="385"/>
      <c r="AG68" s="385">
        <f>SUM(AG66:AG67)</f>
        <v>0</v>
      </c>
      <c r="AH68" s="387"/>
      <c r="AI68" s="388">
        <f>SUM(AI66:AI67)</f>
        <v>0</v>
      </c>
      <c r="AJ68" s="387"/>
      <c r="AK68" s="388">
        <f>SUM(AK66:AK67)</f>
        <v>362393783.1500001</v>
      </c>
      <c r="AL68" s="384"/>
      <c r="AM68" s="385">
        <f>SUM(AM66:AM67)</f>
        <v>0</v>
      </c>
      <c r="AN68" s="385"/>
      <c r="AO68" s="385">
        <f>SUM(AO66:AO67)</f>
        <v>0</v>
      </c>
      <c r="AP68" s="385"/>
      <c r="AQ68" s="385">
        <f>SUM(AQ66:AQ67)</f>
        <v>0</v>
      </c>
      <c r="AR68" s="387"/>
      <c r="AS68" s="388">
        <f>SUM(AS66:AS67)</f>
        <v>0</v>
      </c>
      <c r="AT68" s="387"/>
      <c r="AU68" s="388">
        <f>SUM(AU66:AU67)</f>
        <v>362393783.1500001</v>
      </c>
      <c r="AV68" s="384"/>
      <c r="AW68" s="385">
        <f>SUM(AW66:AW67)</f>
        <v>0</v>
      </c>
      <c r="AX68" s="385"/>
      <c r="AY68" s="385">
        <f>SUM(AY66:AY67)</f>
        <v>0</v>
      </c>
      <c r="AZ68" s="385"/>
      <c r="BA68" s="385">
        <f>SUM(BA66:BA67)</f>
        <v>0</v>
      </c>
      <c r="BB68" s="387"/>
      <c r="BC68" s="388">
        <f>SUM(BC66:BC67)</f>
        <v>0</v>
      </c>
      <c r="BD68" s="387"/>
      <c r="BE68" s="388">
        <f>SUM(BE66:BE67)</f>
        <v>362393783.1500001</v>
      </c>
      <c r="BF68" s="384"/>
      <c r="BG68" s="385">
        <f>SUM(BG66:BG67)</f>
        <v>0</v>
      </c>
      <c r="BH68" s="385"/>
      <c r="BI68" s="385">
        <f>SUM(BI66:BI67)</f>
        <v>0</v>
      </c>
      <c r="BJ68" s="385"/>
      <c r="BK68" s="385">
        <f>SUM(BK66:BK67)</f>
        <v>0</v>
      </c>
      <c r="BL68" s="387"/>
      <c r="BM68" s="388">
        <f>SUM(BM66:BM67)</f>
        <v>0</v>
      </c>
      <c r="BN68" s="387"/>
      <c r="BO68" s="388">
        <f>SUM(BO66:BO67)</f>
        <v>362393783.1500001</v>
      </c>
      <c r="BP68" s="384"/>
      <c r="BQ68" s="385">
        <f>SUM(BQ66:BQ67)</f>
        <v>0</v>
      </c>
      <c r="BR68" s="385"/>
      <c r="BS68" s="385">
        <f>SUM(BS66:BS67)</f>
        <v>0</v>
      </c>
      <c r="BT68" s="385"/>
      <c r="BU68" s="385">
        <f>SUM(BU66:BU67)</f>
        <v>0</v>
      </c>
      <c r="BV68" s="387"/>
      <c r="BW68" s="388">
        <f>SUM(BW66:BW67)</f>
        <v>0</v>
      </c>
      <c r="BX68" s="387"/>
      <c r="BY68" s="388">
        <f>SUM(BY66:BY67)</f>
        <v>362393783.1500001</v>
      </c>
      <c r="CA68" s="278">
        <f t="shared" si="100"/>
        <v>0</v>
      </c>
      <c r="CB68" s="280">
        <f t="shared" si="101"/>
        <v>0</v>
      </c>
      <c r="CC68" s="440">
        <f t="shared" si="50"/>
        <v>0</v>
      </c>
      <c r="CD68" s="440">
        <f t="shared" si="49"/>
        <v>0</v>
      </c>
      <c r="CE68" s="286">
        <v>831005050</v>
      </c>
      <c r="CF68" s="280">
        <f t="shared" si="47"/>
        <v>468611266.8499999</v>
      </c>
      <c r="CG68" s="280">
        <f t="shared" si="48"/>
        <v>468611266.8499999</v>
      </c>
      <c r="CI68" s="286">
        <v>0</v>
      </c>
      <c r="CJ68" s="286">
        <v>0</v>
      </c>
      <c r="CK68" s="286">
        <v>0</v>
      </c>
    </row>
    <row r="69" spans="2:89" ht="14.25" customHeight="1" x14ac:dyDescent="0.2">
      <c r="B69" s="186"/>
      <c r="C69" s="187" t="s">
        <v>270</v>
      </c>
      <c r="D69" s="188"/>
      <c r="E69" s="219"/>
      <c r="F69" s="222"/>
      <c r="G69" s="191"/>
      <c r="H69" s="72"/>
      <c r="I69" s="189"/>
      <c r="J69" s="193"/>
      <c r="K69" s="72"/>
      <c r="L69" s="72"/>
      <c r="M69" s="72"/>
      <c r="N69" s="72"/>
      <c r="O69" s="72"/>
      <c r="P69" s="193"/>
      <c r="Q69" s="190"/>
      <c r="R69" s="191"/>
      <c r="S69" s="72"/>
      <c r="T69" s="72"/>
      <c r="U69" s="72"/>
      <c r="V69" s="72"/>
      <c r="W69" s="72"/>
      <c r="X69" s="193"/>
      <c r="Y69" s="190"/>
      <c r="Z69" s="193"/>
      <c r="AA69" s="190"/>
      <c r="AB69" s="191"/>
      <c r="AC69" s="72"/>
      <c r="AD69" s="72"/>
      <c r="AE69" s="72"/>
      <c r="AF69" s="72"/>
      <c r="AG69" s="72"/>
      <c r="AH69" s="193"/>
      <c r="AI69" s="190"/>
      <c r="AJ69" s="193"/>
      <c r="AK69" s="190"/>
      <c r="AL69" s="191"/>
      <c r="AM69" s="72"/>
      <c r="AN69" s="72"/>
      <c r="AO69" s="72"/>
      <c r="AP69" s="72"/>
      <c r="AQ69" s="72"/>
      <c r="AR69" s="193"/>
      <c r="AS69" s="190"/>
      <c r="AT69" s="193"/>
      <c r="AU69" s="190"/>
      <c r="AV69" s="191"/>
      <c r="AW69" s="72"/>
      <c r="AX69" s="72"/>
      <c r="AY69" s="72"/>
      <c r="AZ69" s="72"/>
      <c r="BA69" s="72"/>
      <c r="BB69" s="193"/>
      <c r="BC69" s="190"/>
      <c r="BD69" s="193"/>
      <c r="BE69" s="190"/>
      <c r="BF69" s="191"/>
      <c r="BG69" s="72"/>
      <c r="BH69" s="72"/>
      <c r="BI69" s="72"/>
      <c r="BJ69" s="72"/>
      <c r="BK69" s="72"/>
      <c r="BL69" s="193"/>
      <c r="BM69" s="190"/>
      <c r="BN69" s="193"/>
      <c r="BO69" s="190"/>
      <c r="BP69" s="191"/>
      <c r="BQ69" s="72"/>
      <c r="BR69" s="72"/>
      <c r="BS69" s="72"/>
      <c r="BT69" s="72"/>
      <c r="BU69" s="72"/>
      <c r="BV69" s="193"/>
      <c r="BW69" s="190"/>
      <c r="BX69" s="193"/>
      <c r="BY69" s="190"/>
      <c r="CA69" s="278">
        <f t="shared" si="100"/>
        <v>0</v>
      </c>
      <c r="CB69" s="280">
        <f t="shared" si="101"/>
        <v>0</v>
      </c>
      <c r="CC69" s="440">
        <f t="shared" si="50"/>
        <v>0</v>
      </c>
      <c r="CD69" s="440">
        <f t="shared" si="49"/>
        <v>0</v>
      </c>
      <c r="CE69" s="286"/>
      <c r="CF69" s="280">
        <f t="shared" si="47"/>
        <v>0</v>
      </c>
      <c r="CG69" s="280">
        <f t="shared" si="48"/>
        <v>0</v>
      </c>
      <c r="CI69" s="286">
        <v>0</v>
      </c>
      <c r="CJ69" s="286">
        <v>0</v>
      </c>
      <c r="CK69" s="286">
        <v>0</v>
      </c>
    </row>
    <row r="70" spans="2:89" ht="14.25" customHeight="1" x14ac:dyDescent="0.2">
      <c r="B70" s="186"/>
      <c r="C70" s="187" t="s">
        <v>253</v>
      </c>
      <c r="D70" s="188"/>
      <c r="E70" s="443">
        <f t="shared" ref="E70" si="104">$D$5</f>
        <v>350</v>
      </c>
      <c r="F70" s="192">
        <f>'RKT 18_19 Infra'!II27</f>
        <v>1599498594.54</v>
      </c>
      <c r="G70" s="191">
        <f>F70/E70</f>
        <v>4569995.9843999995</v>
      </c>
      <c r="H70" s="72">
        <v>1</v>
      </c>
      <c r="I70" s="189">
        <f>G70/H70</f>
        <v>4569995.9843999995</v>
      </c>
      <c r="J70" s="193"/>
      <c r="K70" s="72">
        <f>J70*$G70</f>
        <v>0</v>
      </c>
      <c r="L70" s="72"/>
      <c r="M70" s="72">
        <f>L70*$G70</f>
        <v>0</v>
      </c>
      <c r="N70" s="72"/>
      <c r="O70" s="72">
        <f>N70*$G70</f>
        <v>0</v>
      </c>
      <c r="P70" s="193">
        <f>J70+L70+N70</f>
        <v>0</v>
      </c>
      <c r="Q70" s="190">
        <f>K70+M70+O70</f>
        <v>0</v>
      </c>
      <c r="R70" s="191"/>
      <c r="S70" s="72">
        <f>R70*$G70</f>
        <v>0</v>
      </c>
      <c r="T70" s="72"/>
      <c r="U70" s="72">
        <f>T70*$G70</f>
        <v>0</v>
      </c>
      <c r="V70" s="72"/>
      <c r="W70" s="72">
        <f>V70*$G70</f>
        <v>0</v>
      </c>
      <c r="X70" s="193">
        <f>R70+T70+V70</f>
        <v>0</v>
      </c>
      <c r="Y70" s="190">
        <f>S70+U70+W70</f>
        <v>0</v>
      </c>
      <c r="Z70" s="193">
        <f>X70+P70</f>
        <v>0</v>
      </c>
      <c r="AA70" s="307">
        <f>Y70+Q70</f>
        <v>0</v>
      </c>
      <c r="AB70" s="191">
        <v>350</v>
      </c>
      <c r="AC70" s="72">
        <f>AB70*$G70</f>
        <v>1599498594.5399997</v>
      </c>
      <c r="AD70" s="72"/>
      <c r="AE70" s="72">
        <f>AD70*$G70</f>
        <v>0</v>
      </c>
      <c r="AF70" s="72"/>
      <c r="AG70" s="72">
        <f>AF70*$G70</f>
        <v>0</v>
      </c>
      <c r="AH70" s="193">
        <f>AB70+AD70+AF70</f>
        <v>350</v>
      </c>
      <c r="AI70" s="190">
        <f>AC70+AE70+AG70</f>
        <v>1599498594.5399997</v>
      </c>
      <c r="AJ70" s="193">
        <f>AH70+Z70</f>
        <v>350</v>
      </c>
      <c r="AK70" s="190">
        <f>AI70+AA70</f>
        <v>1599498594.5399997</v>
      </c>
      <c r="AL70" s="191">
        <v>0</v>
      </c>
      <c r="AM70" s="72">
        <f>AL70*$G70</f>
        <v>0</v>
      </c>
      <c r="AN70" s="72"/>
      <c r="AO70" s="72">
        <f>AN70*$G70</f>
        <v>0</v>
      </c>
      <c r="AP70" s="72"/>
      <c r="AQ70" s="72">
        <f>AP70*$G70</f>
        <v>0</v>
      </c>
      <c r="AR70" s="193">
        <f>AL70+AN70+AP70</f>
        <v>0</v>
      </c>
      <c r="AS70" s="190">
        <f>AM70+AO70+AQ70</f>
        <v>0</v>
      </c>
      <c r="AT70" s="193">
        <f>AR70+AJ70</f>
        <v>350</v>
      </c>
      <c r="AU70" s="190">
        <f>AS70+AK70</f>
        <v>1599498594.5399997</v>
      </c>
      <c r="AV70" s="191"/>
      <c r="AW70" s="72">
        <f>AV70*$G70</f>
        <v>0</v>
      </c>
      <c r="AX70" s="72"/>
      <c r="AY70" s="72">
        <f>AX70*$G70</f>
        <v>0</v>
      </c>
      <c r="AZ70" s="72"/>
      <c r="BA70" s="72">
        <f>AZ70*$G70</f>
        <v>0</v>
      </c>
      <c r="BB70" s="193">
        <f>AV70+AX70+AZ70</f>
        <v>0</v>
      </c>
      <c r="BC70" s="190">
        <f>AW70+AY70+BA70</f>
        <v>0</v>
      </c>
      <c r="BD70" s="193">
        <f>BB70+AT70</f>
        <v>350</v>
      </c>
      <c r="BE70" s="190">
        <f>BC70+AU70</f>
        <v>1599498594.5399997</v>
      </c>
      <c r="BF70" s="191"/>
      <c r="BG70" s="72">
        <f>BF70*$G70</f>
        <v>0</v>
      </c>
      <c r="BH70" s="72"/>
      <c r="BI70" s="72">
        <f>BH70*$G70</f>
        <v>0</v>
      </c>
      <c r="BJ70" s="72"/>
      <c r="BK70" s="72">
        <f>BJ70*$G70</f>
        <v>0</v>
      </c>
      <c r="BL70" s="193">
        <f>BF70+BH70+BJ70</f>
        <v>0</v>
      </c>
      <c r="BM70" s="190">
        <f>BG70+BI70+BK70</f>
        <v>0</v>
      </c>
      <c r="BN70" s="193">
        <f>BL70+BD70</f>
        <v>350</v>
      </c>
      <c r="BO70" s="190">
        <f>BM70+BE70</f>
        <v>1599498594.5399997</v>
      </c>
      <c r="BP70" s="191"/>
      <c r="BQ70" s="72">
        <f>BP70*$G70</f>
        <v>0</v>
      </c>
      <c r="BR70" s="72"/>
      <c r="BS70" s="72">
        <f>BR70*$G70</f>
        <v>0</v>
      </c>
      <c r="BT70" s="72"/>
      <c r="BU70" s="72">
        <f>BT70*$G70</f>
        <v>0</v>
      </c>
      <c r="BV70" s="193">
        <f>BP70+BR70+BT70</f>
        <v>0</v>
      </c>
      <c r="BW70" s="190">
        <f>BQ70+BS70+BU70</f>
        <v>0</v>
      </c>
      <c r="BX70" s="193">
        <f>BV70+BN70</f>
        <v>350</v>
      </c>
      <c r="BY70" s="190">
        <f>BW70+BO70</f>
        <v>1599498594.5399997</v>
      </c>
      <c r="CA70" s="278">
        <f t="shared" si="100"/>
        <v>350</v>
      </c>
      <c r="CB70" s="280">
        <f t="shared" si="101"/>
        <v>0</v>
      </c>
      <c r="CC70" s="440">
        <f t="shared" si="50"/>
        <v>0</v>
      </c>
      <c r="CD70" s="440">
        <f>F70-BY70</f>
        <v>0</v>
      </c>
      <c r="CE70" s="286">
        <v>0</v>
      </c>
      <c r="CF70" s="280">
        <f t="shared" si="47"/>
        <v>-1599498594.5399997</v>
      </c>
      <c r="CG70" s="280">
        <f t="shared" si="48"/>
        <v>-1599498594.5399997</v>
      </c>
      <c r="CI70" s="286">
        <v>0</v>
      </c>
      <c r="CJ70" s="286">
        <v>0</v>
      </c>
      <c r="CK70" s="286">
        <v>0</v>
      </c>
    </row>
    <row r="71" spans="2:89" ht="14.25" customHeight="1" x14ac:dyDescent="0.2">
      <c r="B71" s="186"/>
      <c r="C71" s="187" t="s">
        <v>254</v>
      </c>
      <c r="D71" s="188"/>
      <c r="E71" s="443">
        <f>$D$5</f>
        <v>350</v>
      </c>
      <c r="F71" s="192">
        <f>'RKT 18_19 Infra'!II28</f>
        <v>1599498594.54</v>
      </c>
      <c r="G71" s="191">
        <f>F71/E71</f>
        <v>4569995.9843999995</v>
      </c>
      <c r="H71" s="72">
        <v>1</v>
      </c>
      <c r="I71" s="189">
        <f>G71/H71</f>
        <v>4569995.9843999995</v>
      </c>
      <c r="J71" s="193"/>
      <c r="K71" s="72">
        <f>J71*$G71</f>
        <v>0</v>
      </c>
      <c r="L71" s="72"/>
      <c r="M71" s="72">
        <f>L71*$G71</f>
        <v>0</v>
      </c>
      <c r="N71" s="72"/>
      <c r="O71" s="72">
        <f>N71*$G71</f>
        <v>0</v>
      </c>
      <c r="P71" s="193">
        <f>J71+L71+N71</f>
        <v>0</v>
      </c>
      <c r="Q71" s="190">
        <f>K71+M71+O71</f>
        <v>0</v>
      </c>
      <c r="R71" s="191"/>
      <c r="S71" s="72">
        <f>R71*$G71</f>
        <v>0</v>
      </c>
      <c r="T71" s="72"/>
      <c r="U71" s="72">
        <f>T71*$G71</f>
        <v>0</v>
      </c>
      <c r="V71" s="72"/>
      <c r="W71" s="72">
        <f>V71*$G71</f>
        <v>0</v>
      </c>
      <c r="X71" s="193">
        <f>R71+T71+V71</f>
        <v>0</v>
      </c>
      <c r="Y71" s="190">
        <f>S71+U71+W71</f>
        <v>0</v>
      </c>
      <c r="Z71" s="193">
        <f>X71+P71</f>
        <v>0</v>
      </c>
      <c r="AA71" s="307">
        <f>Y71+Q71</f>
        <v>0</v>
      </c>
      <c r="AB71" s="191">
        <v>350</v>
      </c>
      <c r="AC71" s="72">
        <f>AB71*$G71</f>
        <v>1599498594.5399997</v>
      </c>
      <c r="AD71" s="72"/>
      <c r="AE71" s="72">
        <f>AD71*$G71</f>
        <v>0</v>
      </c>
      <c r="AF71" s="72"/>
      <c r="AG71" s="72">
        <f>AF71*$G71</f>
        <v>0</v>
      </c>
      <c r="AH71" s="193">
        <f>AB71+AD71+AF71</f>
        <v>350</v>
      </c>
      <c r="AI71" s="190">
        <f>AC71+AE71+AG71</f>
        <v>1599498594.5399997</v>
      </c>
      <c r="AJ71" s="193">
        <f>AH71+Z71</f>
        <v>350</v>
      </c>
      <c r="AK71" s="190">
        <f>AI71+AA71</f>
        <v>1599498594.5399997</v>
      </c>
      <c r="AL71" s="191"/>
      <c r="AM71" s="72">
        <f>AL71*$G71</f>
        <v>0</v>
      </c>
      <c r="AN71" s="72">
        <v>0</v>
      </c>
      <c r="AO71" s="72">
        <f>AN71*$G71</f>
        <v>0</v>
      </c>
      <c r="AP71" s="72"/>
      <c r="AQ71" s="72">
        <f>AP71*$G71</f>
        <v>0</v>
      </c>
      <c r="AR71" s="193">
        <f>AL71+AN71+AP71</f>
        <v>0</v>
      </c>
      <c r="AS71" s="190">
        <f>AM71+AO71+AQ71</f>
        <v>0</v>
      </c>
      <c r="AT71" s="193">
        <f>AR71+AJ71</f>
        <v>350</v>
      </c>
      <c r="AU71" s="190">
        <f>AS71+AK71</f>
        <v>1599498594.5399997</v>
      </c>
      <c r="AV71" s="191"/>
      <c r="AW71" s="72">
        <f>AV71*$G71</f>
        <v>0</v>
      </c>
      <c r="AX71" s="72"/>
      <c r="AY71" s="72">
        <f>AX71*$G71</f>
        <v>0</v>
      </c>
      <c r="AZ71" s="72"/>
      <c r="BA71" s="72">
        <f>AZ71*$G71</f>
        <v>0</v>
      </c>
      <c r="BB71" s="193">
        <f>AV71+AX71+AZ71</f>
        <v>0</v>
      </c>
      <c r="BC71" s="190">
        <f>AW71+AY71+BA71</f>
        <v>0</v>
      </c>
      <c r="BD71" s="193">
        <f>BB71+AT71</f>
        <v>350</v>
      </c>
      <c r="BE71" s="190">
        <f>BC71+AU71</f>
        <v>1599498594.5399997</v>
      </c>
      <c r="BF71" s="191"/>
      <c r="BG71" s="72">
        <f>BF71*$G71</f>
        <v>0</v>
      </c>
      <c r="BH71" s="72"/>
      <c r="BI71" s="72">
        <f>BH71*$G71</f>
        <v>0</v>
      </c>
      <c r="BJ71" s="72"/>
      <c r="BK71" s="72">
        <f>BJ71*$G71</f>
        <v>0</v>
      </c>
      <c r="BL71" s="193">
        <f>BF71+BH71+BJ71</f>
        <v>0</v>
      </c>
      <c r="BM71" s="190">
        <f>BG71+BI71+BK71</f>
        <v>0</v>
      </c>
      <c r="BN71" s="193">
        <f>BL71+BD71</f>
        <v>350</v>
      </c>
      <c r="BO71" s="190">
        <f>BM71+BE71</f>
        <v>1599498594.5399997</v>
      </c>
      <c r="BP71" s="191"/>
      <c r="BQ71" s="72">
        <f>BP71*$G71</f>
        <v>0</v>
      </c>
      <c r="BR71" s="72"/>
      <c r="BS71" s="72">
        <f>BR71*$G71</f>
        <v>0</v>
      </c>
      <c r="BT71" s="72"/>
      <c r="BU71" s="72">
        <f>BT71*$G71</f>
        <v>0</v>
      </c>
      <c r="BV71" s="193">
        <f>BP71+BR71+BT71</f>
        <v>0</v>
      </c>
      <c r="BW71" s="190">
        <f>BQ71+BS71+BU71</f>
        <v>0</v>
      </c>
      <c r="BX71" s="193">
        <f>BV71+BN71</f>
        <v>350</v>
      </c>
      <c r="BY71" s="190">
        <f>BW71+BO71</f>
        <v>1599498594.5399997</v>
      </c>
      <c r="CA71" s="278">
        <f t="shared" si="100"/>
        <v>350</v>
      </c>
      <c r="CB71" s="280">
        <f t="shared" si="101"/>
        <v>0</v>
      </c>
      <c r="CC71" s="440">
        <f t="shared" si="50"/>
        <v>0</v>
      </c>
      <c r="CD71" s="440">
        <f t="shared" si="49"/>
        <v>0</v>
      </c>
      <c r="CE71" s="286">
        <v>0</v>
      </c>
      <c r="CF71" s="280">
        <f t="shared" si="47"/>
        <v>-1599498594.5399997</v>
      </c>
      <c r="CG71" s="280">
        <f t="shared" si="48"/>
        <v>-1599498594.5399997</v>
      </c>
      <c r="CI71" s="286">
        <v>0</v>
      </c>
      <c r="CJ71" s="286">
        <v>0</v>
      </c>
      <c r="CK71" s="286">
        <v>0</v>
      </c>
    </row>
    <row r="72" spans="2:89" ht="14.25" customHeight="1" x14ac:dyDescent="0.2">
      <c r="B72" s="186"/>
      <c r="C72" s="199" t="s">
        <v>256</v>
      </c>
      <c r="D72" s="200"/>
      <c r="E72" s="364"/>
      <c r="F72" s="371">
        <f>SUM(F70:F71)</f>
        <v>3198997189.0799999</v>
      </c>
      <c r="G72" s="384">
        <f>SUM(G70:G71)</f>
        <v>9139991.968799999</v>
      </c>
      <c r="H72" s="385"/>
      <c r="I72" s="386">
        <f>SUM(I70:I71)</f>
        <v>9139991.968799999</v>
      </c>
      <c r="J72" s="387"/>
      <c r="K72" s="385">
        <f>SUM(K70:K71)</f>
        <v>0</v>
      </c>
      <c r="L72" s="385"/>
      <c r="M72" s="385">
        <f>SUM(M70:M71)</f>
        <v>0</v>
      </c>
      <c r="N72" s="385"/>
      <c r="O72" s="385">
        <f>SUM(O70:O71)</f>
        <v>0</v>
      </c>
      <c r="P72" s="387"/>
      <c r="Q72" s="388">
        <f>SUM(Q70:Q71)</f>
        <v>0</v>
      </c>
      <c r="R72" s="384"/>
      <c r="S72" s="385">
        <f>SUM(S70:S71)</f>
        <v>0</v>
      </c>
      <c r="T72" s="385"/>
      <c r="U72" s="385">
        <f>SUM(U70:U71)</f>
        <v>0</v>
      </c>
      <c r="V72" s="385"/>
      <c r="W72" s="385">
        <f>SUM(W70:W71)</f>
        <v>0</v>
      </c>
      <c r="X72" s="387"/>
      <c r="Y72" s="388">
        <f>SUM(Y70:Y71)</f>
        <v>0</v>
      </c>
      <c r="Z72" s="387"/>
      <c r="AA72" s="388">
        <f>SUM(AA70:AA71)</f>
        <v>0</v>
      </c>
      <c r="AB72" s="384"/>
      <c r="AC72" s="385">
        <f>SUM(AC70:AC71)</f>
        <v>3198997189.0799994</v>
      </c>
      <c r="AD72" s="385"/>
      <c r="AE72" s="385">
        <f>SUM(AE70:AE71)</f>
        <v>0</v>
      </c>
      <c r="AF72" s="385"/>
      <c r="AG72" s="385">
        <f>SUM(AG70:AG71)</f>
        <v>0</v>
      </c>
      <c r="AH72" s="387"/>
      <c r="AI72" s="388">
        <f>SUM(AI70:AI71)</f>
        <v>3198997189.0799994</v>
      </c>
      <c r="AJ72" s="387"/>
      <c r="AK72" s="388">
        <f>SUM(AK70:AK71)</f>
        <v>3198997189.0799994</v>
      </c>
      <c r="AL72" s="384"/>
      <c r="AM72" s="385">
        <f>SUM(AM70:AM71)</f>
        <v>0</v>
      </c>
      <c r="AN72" s="385"/>
      <c r="AO72" s="385">
        <f>SUM(AO70:AO71)</f>
        <v>0</v>
      </c>
      <c r="AP72" s="385"/>
      <c r="AQ72" s="385">
        <f>SUM(AQ70:AQ71)</f>
        <v>0</v>
      </c>
      <c r="AR72" s="387"/>
      <c r="AS72" s="388">
        <f>SUM(AS70:AS71)</f>
        <v>0</v>
      </c>
      <c r="AT72" s="387"/>
      <c r="AU72" s="388">
        <f>SUM(AU70:AU71)</f>
        <v>3198997189.0799994</v>
      </c>
      <c r="AV72" s="384"/>
      <c r="AW72" s="385">
        <f>SUM(AW70:AW71)</f>
        <v>0</v>
      </c>
      <c r="AX72" s="385"/>
      <c r="AY72" s="385">
        <f>SUM(AY70:AY71)</f>
        <v>0</v>
      </c>
      <c r="AZ72" s="385"/>
      <c r="BA72" s="385">
        <f>SUM(BA70:BA71)</f>
        <v>0</v>
      </c>
      <c r="BB72" s="387"/>
      <c r="BC72" s="388">
        <f>SUM(BC70:BC71)</f>
        <v>0</v>
      </c>
      <c r="BD72" s="387"/>
      <c r="BE72" s="388">
        <f>SUM(BE70:BE71)</f>
        <v>3198997189.0799994</v>
      </c>
      <c r="BF72" s="384"/>
      <c r="BG72" s="385">
        <f>SUM(BG70:BG71)</f>
        <v>0</v>
      </c>
      <c r="BH72" s="385"/>
      <c r="BI72" s="385">
        <f>SUM(BI70:BI71)</f>
        <v>0</v>
      </c>
      <c r="BJ72" s="385"/>
      <c r="BK72" s="385">
        <f>SUM(BK70:BK71)</f>
        <v>0</v>
      </c>
      <c r="BL72" s="387"/>
      <c r="BM72" s="388">
        <f>SUM(BM70:BM71)</f>
        <v>0</v>
      </c>
      <c r="BN72" s="387"/>
      <c r="BO72" s="388">
        <f>SUM(BO70:BO71)</f>
        <v>3198997189.0799994</v>
      </c>
      <c r="BP72" s="384"/>
      <c r="BQ72" s="385">
        <f>SUM(BQ70:BQ71)</f>
        <v>0</v>
      </c>
      <c r="BR72" s="385"/>
      <c r="BS72" s="385">
        <f>SUM(BS70:BS71)</f>
        <v>0</v>
      </c>
      <c r="BT72" s="385"/>
      <c r="BU72" s="385">
        <f>SUM(BU70:BU71)</f>
        <v>0</v>
      </c>
      <c r="BV72" s="387"/>
      <c r="BW72" s="388">
        <f>SUM(BW70:BW71)</f>
        <v>0</v>
      </c>
      <c r="BX72" s="387"/>
      <c r="BY72" s="388">
        <f>SUM(BY70:BY71)</f>
        <v>3198997189.0799994</v>
      </c>
      <c r="CA72" s="278">
        <f t="shared" si="100"/>
        <v>0</v>
      </c>
      <c r="CB72" s="280">
        <f t="shared" si="101"/>
        <v>0</v>
      </c>
      <c r="CC72" s="440">
        <f t="shared" si="50"/>
        <v>0</v>
      </c>
      <c r="CD72" s="440">
        <f t="shared" si="49"/>
        <v>0</v>
      </c>
      <c r="CE72" s="286">
        <v>0</v>
      </c>
      <c r="CF72" s="280">
        <f t="shared" si="47"/>
        <v>-3198997189.0799994</v>
      </c>
      <c r="CG72" s="280">
        <f t="shared" si="48"/>
        <v>-3198997189.0799994</v>
      </c>
      <c r="CI72" s="286">
        <v>0</v>
      </c>
      <c r="CJ72" s="286">
        <v>0</v>
      </c>
      <c r="CK72" s="286">
        <v>0</v>
      </c>
    </row>
    <row r="73" spans="2:89" s="281" customFormat="1" ht="14.25" customHeight="1" x14ac:dyDescent="0.2">
      <c r="B73" s="182"/>
      <c r="C73" s="195" t="s">
        <v>257</v>
      </c>
      <c r="D73" s="196"/>
      <c r="E73" s="356"/>
      <c r="F73" s="357">
        <f>F68+F72</f>
        <v>3561390972.23</v>
      </c>
      <c r="G73" s="358">
        <f>G68+G72</f>
        <v>10175402.777799999</v>
      </c>
      <c r="H73" s="360"/>
      <c r="I73" s="359">
        <f>I68+I72</f>
        <v>10175402.777799999</v>
      </c>
      <c r="J73" s="372"/>
      <c r="K73" s="360">
        <f>K68+K72</f>
        <v>362393783.1500001</v>
      </c>
      <c r="L73" s="360"/>
      <c r="M73" s="360">
        <f>M68+M72</f>
        <v>0</v>
      </c>
      <c r="N73" s="360"/>
      <c r="O73" s="360">
        <f>O68+O72</f>
        <v>0</v>
      </c>
      <c r="P73" s="372"/>
      <c r="Q73" s="361">
        <f>Q68+Q72</f>
        <v>362393783.1500001</v>
      </c>
      <c r="R73" s="358"/>
      <c r="S73" s="360">
        <f>S68+S72</f>
        <v>0</v>
      </c>
      <c r="T73" s="360"/>
      <c r="U73" s="360">
        <f>U68+U72</f>
        <v>0</v>
      </c>
      <c r="V73" s="360"/>
      <c r="W73" s="360">
        <f>W68+W72</f>
        <v>0</v>
      </c>
      <c r="X73" s="372"/>
      <c r="Y73" s="361">
        <f>Y68+Y72</f>
        <v>0</v>
      </c>
      <c r="Z73" s="372"/>
      <c r="AA73" s="361">
        <f>AA68+AA72</f>
        <v>362393783.1500001</v>
      </c>
      <c r="AB73" s="358"/>
      <c r="AC73" s="360">
        <f>AC68+AC72</f>
        <v>3198997189.0799994</v>
      </c>
      <c r="AD73" s="360"/>
      <c r="AE73" s="360">
        <f>AE68+AE72</f>
        <v>0</v>
      </c>
      <c r="AF73" s="360"/>
      <c r="AG73" s="360">
        <f>AG68+AG72</f>
        <v>0</v>
      </c>
      <c r="AH73" s="372"/>
      <c r="AI73" s="361">
        <f>AI68+AI72</f>
        <v>3198997189.0799994</v>
      </c>
      <c r="AJ73" s="372"/>
      <c r="AK73" s="361">
        <f>AK68+AK72</f>
        <v>3561390972.2299995</v>
      </c>
      <c r="AL73" s="358"/>
      <c r="AM73" s="360">
        <f>AM68+AM72</f>
        <v>0</v>
      </c>
      <c r="AN73" s="360"/>
      <c r="AO73" s="360">
        <f>AO68+AO72</f>
        <v>0</v>
      </c>
      <c r="AP73" s="360"/>
      <c r="AQ73" s="360">
        <f>AQ68+AQ72</f>
        <v>0</v>
      </c>
      <c r="AR73" s="372"/>
      <c r="AS73" s="361">
        <f>AS68+AS72</f>
        <v>0</v>
      </c>
      <c r="AT73" s="372"/>
      <c r="AU73" s="361">
        <f>AU68+AU72</f>
        <v>3561390972.2299995</v>
      </c>
      <c r="AV73" s="358"/>
      <c r="AW73" s="360">
        <f>AW68+AW72</f>
        <v>0</v>
      </c>
      <c r="AX73" s="360"/>
      <c r="AY73" s="360">
        <f>AY68+AY72</f>
        <v>0</v>
      </c>
      <c r="AZ73" s="360"/>
      <c r="BA73" s="360">
        <f>BA68+BA72</f>
        <v>0</v>
      </c>
      <c r="BB73" s="372"/>
      <c r="BC73" s="361">
        <f>BC68+BC72</f>
        <v>0</v>
      </c>
      <c r="BD73" s="372"/>
      <c r="BE73" s="361">
        <f>BE68+BE72</f>
        <v>3561390972.2299995</v>
      </c>
      <c r="BF73" s="358"/>
      <c r="BG73" s="360">
        <f>BG68+BG72</f>
        <v>0</v>
      </c>
      <c r="BH73" s="360"/>
      <c r="BI73" s="360">
        <f>BI68+BI72</f>
        <v>0</v>
      </c>
      <c r="BJ73" s="360"/>
      <c r="BK73" s="360">
        <f>BK68+BK72</f>
        <v>0</v>
      </c>
      <c r="BL73" s="372"/>
      <c r="BM73" s="361">
        <f>BM68+BM72</f>
        <v>0</v>
      </c>
      <c r="BN73" s="372"/>
      <c r="BO73" s="361">
        <f>BO68+BO72</f>
        <v>3561390972.2299995</v>
      </c>
      <c r="BP73" s="358"/>
      <c r="BQ73" s="360">
        <f>BQ68+BQ72</f>
        <v>0</v>
      </c>
      <c r="BR73" s="360"/>
      <c r="BS73" s="360">
        <f>BS68+BS72</f>
        <v>0</v>
      </c>
      <c r="BT73" s="360"/>
      <c r="BU73" s="360">
        <f>BU68+BU72</f>
        <v>0</v>
      </c>
      <c r="BV73" s="372"/>
      <c r="BW73" s="361">
        <f>BW68+BW72</f>
        <v>0</v>
      </c>
      <c r="BX73" s="372"/>
      <c r="BY73" s="361">
        <f>BY68+BY72</f>
        <v>3561390972.2299995</v>
      </c>
      <c r="CA73" s="278">
        <f t="shared" si="100"/>
        <v>0</v>
      </c>
      <c r="CB73" s="280">
        <f t="shared" si="101"/>
        <v>0</v>
      </c>
      <c r="CC73" s="440">
        <f t="shared" si="50"/>
        <v>0</v>
      </c>
      <c r="CD73" s="440">
        <f t="shared" si="49"/>
        <v>0</v>
      </c>
      <c r="CE73" s="291">
        <v>831005050</v>
      </c>
      <c r="CF73" s="280">
        <f t="shared" si="47"/>
        <v>-2730385922.2299995</v>
      </c>
      <c r="CG73" s="280">
        <f t="shared" si="48"/>
        <v>-2730385922.2299995</v>
      </c>
      <c r="CI73" s="291">
        <v>0</v>
      </c>
      <c r="CJ73" s="291">
        <v>0</v>
      </c>
      <c r="CK73" s="291">
        <v>0</v>
      </c>
    </row>
    <row r="74" spans="2:89" ht="9" customHeight="1" x14ac:dyDescent="0.2">
      <c r="B74" s="186"/>
      <c r="C74" s="187"/>
      <c r="D74" s="188"/>
      <c r="E74" s="219"/>
      <c r="F74" s="222"/>
      <c r="G74" s="191"/>
      <c r="H74" s="72"/>
      <c r="I74" s="189"/>
      <c r="J74" s="193"/>
      <c r="K74" s="72"/>
      <c r="L74" s="72"/>
      <c r="M74" s="72"/>
      <c r="N74" s="72"/>
      <c r="O74" s="72"/>
      <c r="P74" s="193"/>
      <c r="Q74" s="194"/>
      <c r="R74" s="191"/>
      <c r="S74" s="72"/>
      <c r="T74" s="72"/>
      <c r="U74" s="72"/>
      <c r="V74" s="72"/>
      <c r="W74" s="72"/>
      <c r="X74" s="193"/>
      <c r="Y74" s="194"/>
      <c r="Z74" s="193"/>
      <c r="AA74" s="194"/>
      <c r="AB74" s="191"/>
      <c r="AC74" s="72"/>
      <c r="AD74" s="72"/>
      <c r="AE74" s="72"/>
      <c r="AF74" s="72"/>
      <c r="AG74" s="72"/>
      <c r="AH74" s="193"/>
      <c r="AI74" s="194"/>
      <c r="AJ74" s="193"/>
      <c r="AK74" s="194"/>
      <c r="AL74" s="191"/>
      <c r="AM74" s="72"/>
      <c r="AN74" s="72"/>
      <c r="AO74" s="72"/>
      <c r="AP74" s="72"/>
      <c r="AQ74" s="72"/>
      <c r="AR74" s="193"/>
      <c r="AS74" s="194"/>
      <c r="AT74" s="193"/>
      <c r="AU74" s="194"/>
      <c r="AV74" s="191"/>
      <c r="AW74" s="72"/>
      <c r="AX74" s="72"/>
      <c r="AY74" s="72"/>
      <c r="AZ74" s="72"/>
      <c r="BA74" s="72"/>
      <c r="BB74" s="193"/>
      <c r="BC74" s="194"/>
      <c r="BD74" s="193"/>
      <c r="BE74" s="194"/>
      <c r="BF74" s="191"/>
      <c r="BG74" s="72"/>
      <c r="BH74" s="72"/>
      <c r="BI74" s="72"/>
      <c r="BJ74" s="72"/>
      <c r="BK74" s="72"/>
      <c r="BL74" s="193"/>
      <c r="BM74" s="194"/>
      <c r="BN74" s="193"/>
      <c r="BO74" s="194"/>
      <c r="BP74" s="191"/>
      <c r="BQ74" s="72"/>
      <c r="BR74" s="72"/>
      <c r="BS74" s="72"/>
      <c r="BT74" s="72"/>
      <c r="BU74" s="72"/>
      <c r="BV74" s="193"/>
      <c r="BW74" s="194"/>
      <c r="BX74" s="193"/>
      <c r="BY74" s="194"/>
      <c r="CA74" s="278">
        <f t="shared" si="100"/>
        <v>0</v>
      </c>
      <c r="CB74" s="280">
        <f t="shared" si="101"/>
        <v>0</v>
      </c>
      <c r="CC74" s="440">
        <f t="shared" si="50"/>
        <v>0</v>
      </c>
      <c r="CD74" s="440">
        <f t="shared" si="49"/>
        <v>0</v>
      </c>
      <c r="CE74" s="286"/>
      <c r="CF74" s="280">
        <f t="shared" si="47"/>
        <v>0</v>
      </c>
      <c r="CG74" s="280">
        <f t="shared" si="48"/>
        <v>0</v>
      </c>
      <c r="CI74" s="286">
        <v>0</v>
      </c>
      <c r="CJ74" s="286">
        <v>0</v>
      </c>
      <c r="CK74" s="286">
        <v>0</v>
      </c>
    </row>
    <row r="75" spans="2:89" s="281" customFormat="1" ht="14.25" customHeight="1" x14ac:dyDescent="0.2">
      <c r="B75" s="213"/>
      <c r="C75" s="214" t="s">
        <v>258</v>
      </c>
      <c r="D75" s="215"/>
      <c r="E75" s="389"/>
      <c r="F75" s="390">
        <f>F63+F73</f>
        <v>7588548327.7735252</v>
      </c>
      <c r="G75" s="391">
        <f>G63+G73</f>
        <v>21681566.650781497</v>
      </c>
      <c r="H75" s="392"/>
      <c r="I75" s="393">
        <f>I63+I73</f>
        <v>21681566.650781497</v>
      </c>
      <c r="J75" s="394"/>
      <c r="K75" s="392">
        <f>K63+K73</f>
        <v>362393783.1500001</v>
      </c>
      <c r="L75" s="392"/>
      <c r="M75" s="392">
        <f>M63+M73</f>
        <v>1564543294.5963001</v>
      </c>
      <c r="N75" s="392"/>
      <c r="O75" s="392">
        <f>O63+O73</f>
        <v>1173407470.9472251</v>
      </c>
      <c r="P75" s="394"/>
      <c r="Q75" s="395">
        <f>Q63+Q73</f>
        <v>3100344548.6935258</v>
      </c>
      <c r="R75" s="391"/>
      <c r="S75" s="392">
        <f>S63+S73</f>
        <v>0</v>
      </c>
      <c r="T75" s="392"/>
      <c r="U75" s="392">
        <f>U63+U73</f>
        <v>0</v>
      </c>
      <c r="V75" s="392"/>
      <c r="W75" s="392">
        <f>W63+W73</f>
        <v>0</v>
      </c>
      <c r="X75" s="394"/>
      <c r="Y75" s="395">
        <f>Y63+Y73</f>
        <v>0</v>
      </c>
      <c r="Z75" s="394"/>
      <c r="AA75" s="395">
        <f>AA63+AA73</f>
        <v>3100344548.6935258</v>
      </c>
      <c r="AB75" s="391"/>
      <c r="AC75" s="392">
        <f>AC63+AC73</f>
        <v>3935686669.0799994</v>
      </c>
      <c r="AD75" s="392"/>
      <c r="AE75" s="392">
        <f>AE63+AE73</f>
        <v>552517110</v>
      </c>
      <c r="AF75" s="392"/>
      <c r="AG75" s="392">
        <f>AG63+AG73</f>
        <v>0</v>
      </c>
      <c r="AH75" s="394"/>
      <c r="AI75" s="395">
        <f>AI63+AI73</f>
        <v>4488203779.0799999</v>
      </c>
      <c r="AJ75" s="394"/>
      <c r="AK75" s="395">
        <f>AK63+AK73</f>
        <v>7588548327.7735252</v>
      </c>
      <c r="AL75" s="391"/>
      <c r="AM75" s="392">
        <f>AM63+AM73</f>
        <v>0</v>
      </c>
      <c r="AN75" s="392"/>
      <c r="AO75" s="392">
        <f>AO63+AO73</f>
        <v>0</v>
      </c>
      <c r="AP75" s="392"/>
      <c r="AQ75" s="392">
        <f>AQ63+AQ73</f>
        <v>0</v>
      </c>
      <c r="AR75" s="394"/>
      <c r="AS75" s="395">
        <f>AS63+AS73</f>
        <v>0</v>
      </c>
      <c r="AT75" s="394"/>
      <c r="AU75" s="395">
        <f>AU63+AU73</f>
        <v>7588548327.7735252</v>
      </c>
      <c r="AV75" s="391"/>
      <c r="AW75" s="392">
        <f>AW63+AW73</f>
        <v>0</v>
      </c>
      <c r="AX75" s="392"/>
      <c r="AY75" s="392">
        <f>AY63+AY73</f>
        <v>0</v>
      </c>
      <c r="AZ75" s="392"/>
      <c r="BA75" s="392">
        <f>BA63+BA73</f>
        <v>0</v>
      </c>
      <c r="BB75" s="394"/>
      <c r="BC75" s="395">
        <f>BC63+BC73</f>
        <v>0</v>
      </c>
      <c r="BD75" s="394"/>
      <c r="BE75" s="395">
        <f>BE63+BE73</f>
        <v>7588548327.7735252</v>
      </c>
      <c r="BF75" s="391"/>
      <c r="BG75" s="392">
        <f>BG63+BG73</f>
        <v>0</v>
      </c>
      <c r="BH75" s="392"/>
      <c r="BI75" s="392">
        <f>BI63+BI73</f>
        <v>0</v>
      </c>
      <c r="BJ75" s="392"/>
      <c r="BK75" s="392">
        <f>BK63+BK73</f>
        <v>0</v>
      </c>
      <c r="BL75" s="394"/>
      <c r="BM75" s="395">
        <f>BM63+BM73</f>
        <v>0</v>
      </c>
      <c r="BN75" s="394"/>
      <c r="BO75" s="395">
        <f>BO63+BO73</f>
        <v>7588548327.7735252</v>
      </c>
      <c r="BP75" s="391"/>
      <c r="BQ75" s="392">
        <f>BQ63+BQ73</f>
        <v>0</v>
      </c>
      <c r="BR75" s="392"/>
      <c r="BS75" s="392">
        <f>BS63+BS73</f>
        <v>0</v>
      </c>
      <c r="BT75" s="392"/>
      <c r="BU75" s="392">
        <f>BU63+BU73</f>
        <v>0</v>
      </c>
      <c r="BV75" s="394"/>
      <c r="BW75" s="395">
        <f>BW63+BW73</f>
        <v>0</v>
      </c>
      <c r="BX75" s="394"/>
      <c r="BY75" s="395">
        <f>BY63+BY73</f>
        <v>7588548327.7735252</v>
      </c>
      <c r="CA75" s="278">
        <f t="shared" si="100"/>
        <v>0</v>
      </c>
      <c r="CB75" s="280">
        <f t="shared" si="101"/>
        <v>0</v>
      </c>
      <c r="CC75" s="440">
        <f t="shared" si="50"/>
        <v>0</v>
      </c>
      <c r="CD75" s="440">
        <f t="shared" si="49"/>
        <v>0</v>
      </c>
      <c r="CE75" s="291">
        <v>6323041244.8571434</v>
      </c>
      <c r="CF75" s="280">
        <f t="shared" si="47"/>
        <v>-1265507082.9163818</v>
      </c>
      <c r="CG75" s="280">
        <f t="shared" si="48"/>
        <v>-1265507082.9163818</v>
      </c>
      <c r="CI75" s="291">
        <v>7850906.6743325181</v>
      </c>
      <c r="CJ75" s="291">
        <v>5639104.9833536074</v>
      </c>
      <c r="CK75" s="291">
        <v>2211801.6909789108</v>
      </c>
    </row>
    <row r="76" spans="2:89" ht="14.25" customHeight="1" x14ac:dyDescent="0.2">
      <c r="B76" s="216" t="s">
        <v>259</v>
      </c>
      <c r="C76" s="215"/>
      <c r="D76" s="215"/>
      <c r="E76" s="389"/>
      <c r="F76" s="390">
        <f>F48+F75</f>
        <v>35301547985.232391</v>
      </c>
      <c r="G76" s="391">
        <f>G48+G75</f>
        <v>100861565.67209254</v>
      </c>
      <c r="H76" s="392"/>
      <c r="I76" s="393">
        <f>I48+I75</f>
        <v>100861565.67209254</v>
      </c>
      <c r="J76" s="394"/>
      <c r="K76" s="392">
        <f>K48+K75</f>
        <v>362393783.1500001</v>
      </c>
      <c r="L76" s="392"/>
      <c r="M76" s="392">
        <f>M48+M75</f>
        <v>6609867068.6684189</v>
      </c>
      <c r="N76" s="392"/>
      <c r="O76" s="392">
        <f>O48+O75</f>
        <v>4957400301.5013142</v>
      </c>
      <c r="P76" s="394"/>
      <c r="Q76" s="395">
        <f>Q48+Q75</f>
        <v>11929661153.319733</v>
      </c>
      <c r="R76" s="391"/>
      <c r="S76" s="392">
        <f>S48+S75</f>
        <v>2808866290.8000002</v>
      </c>
      <c r="T76" s="392"/>
      <c r="U76" s="392">
        <f>U48+U75</f>
        <v>2106649718.0999999</v>
      </c>
      <c r="V76" s="392"/>
      <c r="W76" s="392">
        <f>W48+W75</f>
        <v>0</v>
      </c>
      <c r="X76" s="394"/>
      <c r="Y76" s="395">
        <f>Y48+Y75</f>
        <v>4915516008.8999996</v>
      </c>
      <c r="Z76" s="394"/>
      <c r="AA76" s="395">
        <f>AA48+AA75</f>
        <v>16845177162.219732</v>
      </c>
      <c r="AB76" s="391"/>
      <c r="AC76" s="392">
        <f>AC48+AC75</f>
        <v>7664504919.2670984</v>
      </c>
      <c r="AD76" s="392"/>
      <c r="AE76" s="392">
        <f>AE48+AE75</f>
        <v>3349130797.6403241</v>
      </c>
      <c r="AF76" s="392"/>
      <c r="AG76" s="392">
        <f>AG48+AG75</f>
        <v>0</v>
      </c>
      <c r="AH76" s="394"/>
      <c r="AI76" s="395">
        <f>AI48+AI75</f>
        <v>11013635716.907423</v>
      </c>
      <c r="AJ76" s="394"/>
      <c r="AK76" s="395">
        <f>AK48+AK75</f>
        <v>27858812879.127155</v>
      </c>
      <c r="AL76" s="391"/>
      <c r="AM76" s="392">
        <f>AM48+AM75</f>
        <v>4252991489.2029924</v>
      </c>
      <c r="AN76" s="392"/>
      <c r="AO76" s="392">
        <f>AO48+AO75</f>
        <v>3189743616.9022446</v>
      </c>
      <c r="AP76" s="392"/>
      <c r="AQ76" s="392">
        <f>AQ48+AQ75</f>
        <v>0</v>
      </c>
      <c r="AR76" s="394"/>
      <c r="AS76" s="395">
        <f>AS48+AS75</f>
        <v>7442735106.105237</v>
      </c>
      <c r="AT76" s="394"/>
      <c r="AU76" s="395">
        <f>AU48+AU75</f>
        <v>35301547985.232391</v>
      </c>
      <c r="AV76" s="391"/>
      <c r="AW76" s="392">
        <f>AW48+AW75</f>
        <v>0</v>
      </c>
      <c r="AX76" s="392"/>
      <c r="AY76" s="392">
        <f>AY48+AY75</f>
        <v>0</v>
      </c>
      <c r="AZ76" s="392"/>
      <c r="BA76" s="392">
        <f>BA48+BA75</f>
        <v>0</v>
      </c>
      <c r="BB76" s="394"/>
      <c r="BC76" s="395">
        <f>BC48+BC75</f>
        <v>0</v>
      </c>
      <c r="BD76" s="394"/>
      <c r="BE76" s="395">
        <f>BE48+BE75</f>
        <v>35301547985.232391</v>
      </c>
      <c r="BF76" s="391"/>
      <c r="BG76" s="392">
        <f>BG48+BG75</f>
        <v>0</v>
      </c>
      <c r="BH76" s="392"/>
      <c r="BI76" s="392">
        <f>BI48+BI75</f>
        <v>0</v>
      </c>
      <c r="BJ76" s="392"/>
      <c r="BK76" s="392">
        <f>BK48+BK75</f>
        <v>0</v>
      </c>
      <c r="BL76" s="394"/>
      <c r="BM76" s="395">
        <f>BM48+BM75</f>
        <v>0</v>
      </c>
      <c r="BN76" s="394"/>
      <c r="BO76" s="395">
        <f>BO48+BO75</f>
        <v>35301547985.232391</v>
      </c>
      <c r="BP76" s="391"/>
      <c r="BQ76" s="392">
        <f>BQ48+BQ75</f>
        <v>0</v>
      </c>
      <c r="BR76" s="392"/>
      <c r="BS76" s="392">
        <f>BS48+BS75</f>
        <v>0</v>
      </c>
      <c r="BT76" s="392"/>
      <c r="BU76" s="392">
        <f>BU48+BU75</f>
        <v>0</v>
      </c>
      <c r="BV76" s="394"/>
      <c r="BW76" s="395">
        <f>BW48+BW75</f>
        <v>0</v>
      </c>
      <c r="BX76" s="394"/>
      <c r="BY76" s="395">
        <f>BY48+BY75</f>
        <v>35301547985.232391</v>
      </c>
      <c r="CA76" s="278">
        <f t="shared" si="100"/>
        <v>0</v>
      </c>
      <c r="CB76" s="280">
        <f t="shared" si="101"/>
        <v>0</v>
      </c>
      <c r="CC76" s="440">
        <f t="shared" si="50"/>
        <v>0</v>
      </c>
      <c r="CD76" s="440">
        <f t="shared" si="49"/>
        <v>0</v>
      </c>
      <c r="CE76" s="286">
        <v>77327194432.373978</v>
      </c>
      <c r="CF76" s="280">
        <f t="shared" si="47"/>
        <v>42025646447.141586</v>
      </c>
      <c r="CG76" s="280">
        <f t="shared" si="48"/>
        <v>42025646447.141586</v>
      </c>
      <c r="CI76" s="286">
        <v>68913989.910931081</v>
      </c>
      <c r="CJ76" s="286">
        <v>66702188.219952196</v>
      </c>
      <c r="CK76" s="286">
        <v>2211801.6909788847</v>
      </c>
    </row>
    <row r="77" spans="2:89" ht="14.25" customHeight="1" x14ac:dyDescent="0.2">
      <c r="B77" s="217" t="s">
        <v>260</v>
      </c>
      <c r="C77" s="183" t="s">
        <v>479</v>
      </c>
      <c r="D77" s="184"/>
      <c r="E77" s="354"/>
      <c r="F77" s="355"/>
      <c r="G77" s="221"/>
      <c r="H77" s="75"/>
      <c r="I77" s="218"/>
      <c r="J77" s="219"/>
      <c r="K77" s="75"/>
      <c r="L77" s="75"/>
      <c r="M77" s="75"/>
      <c r="N77" s="75"/>
      <c r="O77" s="75"/>
      <c r="P77" s="219"/>
      <c r="Q77" s="220"/>
      <c r="R77" s="221"/>
      <c r="S77" s="75"/>
      <c r="T77" s="75"/>
      <c r="U77" s="75"/>
      <c r="V77" s="75"/>
      <c r="W77" s="75"/>
      <c r="X77" s="219"/>
      <c r="Y77" s="220"/>
      <c r="Z77" s="219"/>
      <c r="AA77" s="220"/>
      <c r="AB77" s="221"/>
      <c r="AC77" s="75"/>
      <c r="AD77" s="75"/>
      <c r="AE77" s="75"/>
      <c r="AF77" s="75"/>
      <c r="AG77" s="75"/>
      <c r="AH77" s="219"/>
      <c r="AI77" s="220"/>
      <c r="AJ77" s="219"/>
      <c r="AK77" s="220"/>
      <c r="AL77" s="221"/>
      <c r="AM77" s="75"/>
      <c r="AN77" s="75"/>
      <c r="AO77" s="75"/>
      <c r="AP77" s="75"/>
      <c r="AQ77" s="75"/>
      <c r="AR77" s="219"/>
      <c r="AS77" s="220"/>
      <c r="AT77" s="219"/>
      <c r="AU77" s="220"/>
      <c r="AV77" s="221"/>
      <c r="AW77" s="75"/>
      <c r="AX77" s="75"/>
      <c r="AY77" s="75"/>
      <c r="AZ77" s="75"/>
      <c r="BA77" s="75"/>
      <c r="BB77" s="219"/>
      <c r="BC77" s="220"/>
      <c r="BD77" s="219"/>
      <c r="BE77" s="220"/>
      <c r="BF77" s="221"/>
      <c r="BG77" s="75"/>
      <c r="BH77" s="75"/>
      <c r="BI77" s="75"/>
      <c r="BJ77" s="75"/>
      <c r="BK77" s="75"/>
      <c r="BL77" s="219"/>
      <c r="BM77" s="220"/>
      <c r="BN77" s="219"/>
      <c r="BO77" s="220"/>
      <c r="BP77" s="221"/>
      <c r="BQ77" s="75"/>
      <c r="BR77" s="75"/>
      <c r="BS77" s="75"/>
      <c r="BT77" s="75"/>
      <c r="BU77" s="75"/>
      <c r="BV77" s="219"/>
      <c r="BW77" s="220"/>
      <c r="BX77" s="219"/>
      <c r="BY77" s="220"/>
      <c r="CA77" s="278">
        <f t="shared" si="100"/>
        <v>0</v>
      </c>
      <c r="CB77" s="280">
        <f t="shared" si="101"/>
        <v>0</v>
      </c>
      <c r="CC77" s="440">
        <f t="shared" si="50"/>
        <v>0</v>
      </c>
      <c r="CD77" s="440">
        <f t="shared" si="49"/>
        <v>0</v>
      </c>
      <c r="CE77" s="286"/>
      <c r="CF77" s="280">
        <f t="shared" ref="CF77:CF99" si="105">CE77-BY77</f>
        <v>0</v>
      </c>
      <c r="CG77" s="280">
        <f t="shared" ref="CG77:CG99" si="106">CF77-BZ77</f>
        <v>0</v>
      </c>
      <c r="CI77" s="286">
        <v>0</v>
      </c>
      <c r="CJ77" s="286">
        <v>0</v>
      </c>
      <c r="CK77" s="286">
        <v>0</v>
      </c>
    </row>
    <row r="78" spans="2:89" ht="14.25" customHeight="1" x14ac:dyDescent="0.2">
      <c r="B78" s="223">
        <v>1</v>
      </c>
      <c r="C78" s="187" t="s">
        <v>472</v>
      </c>
      <c r="D78" s="188"/>
      <c r="E78" s="193">
        <v>4</v>
      </c>
      <c r="F78" s="192">
        <f t="shared" ref="F78:F84" si="107">Q78+Y78+AI78+AS78+BC78+BM78</f>
        <v>3200000000</v>
      </c>
      <c r="G78" s="191">
        <f>F78/350</f>
        <v>9142857.1428571437</v>
      </c>
      <c r="H78" s="72">
        <v>1</v>
      </c>
      <c r="I78" s="352">
        <f>G78*H78</f>
        <v>9142857.1428571437</v>
      </c>
      <c r="J78" s="353"/>
      <c r="K78" s="72">
        <f>'Rekap Non Tanaman'!C7</f>
        <v>0</v>
      </c>
      <c r="L78" s="72"/>
      <c r="M78" s="72">
        <f>'Rekap Non Tanaman'!E7</f>
        <v>0</v>
      </c>
      <c r="N78" s="72">
        <v>4</v>
      </c>
      <c r="O78" s="72">
        <f>'Rekap Non Tanaman'!G7</f>
        <v>3200000000</v>
      </c>
      <c r="P78" s="193">
        <f t="shared" ref="P78:Q85" si="108">J78+L78+N78</f>
        <v>4</v>
      </c>
      <c r="Q78" s="190">
        <f t="shared" si="108"/>
        <v>3200000000</v>
      </c>
      <c r="R78" s="191"/>
      <c r="S78" s="72">
        <f>'Rekap Non Tanaman'!M7</f>
        <v>0</v>
      </c>
      <c r="T78" s="72"/>
      <c r="U78" s="72">
        <f>'Rekap Non Tanaman'!O7</f>
        <v>0</v>
      </c>
      <c r="V78" s="72"/>
      <c r="W78" s="72">
        <f>'Rekap Non Tanaman'!Q7</f>
        <v>0</v>
      </c>
      <c r="X78" s="193">
        <f t="shared" ref="X78:Y85" si="109">R78+T78+V78</f>
        <v>0</v>
      </c>
      <c r="Y78" s="190">
        <f t="shared" si="109"/>
        <v>0</v>
      </c>
      <c r="Z78" s="193">
        <f t="shared" ref="Z78:AA85" si="110">X78+P78</f>
        <v>4</v>
      </c>
      <c r="AA78" s="190">
        <f t="shared" si="110"/>
        <v>3200000000</v>
      </c>
      <c r="AB78" s="191"/>
      <c r="AC78" s="72">
        <f>'Rekap Non Tanaman'!W7</f>
        <v>0</v>
      </c>
      <c r="AD78" s="72"/>
      <c r="AE78" s="72">
        <f>'Rekap Non Tanaman'!Y7</f>
        <v>0</v>
      </c>
      <c r="AF78" s="72"/>
      <c r="AG78" s="72">
        <f>'Rekap Non Tanaman'!AA7</f>
        <v>0</v>
      </c>
      <c r="AH78" s="193">
        <f t="shared" ref="AH78:AI85" si="111">AB78+AD78+AF78</f>
        <v>0</v>
      </c>
      <c r="AI78" s="190">
        <f t="shared" si="111"/>
        <v>0</v>
      </c>
      <c r="AJ78" s="193">
        <f t="shared" ref="AJ78:AK85" si="112">AH78+Z78</f>
        <v>4</v>
      </c>
      <c r="AK78" s="190">
        <f t="shared" si="112"/>
        <v>3200000000</v>
      </c>
      <c r="AL78" s="191"/>
      <c r="AM78" s="72">
        <f>'Rekap Non Tanaman'!AG7</f>
        <v>0</v>
      </c>
      <c r="AN78" s="72"/>
      <c r="AO78" s="72">
        <f>'Rekap Non Tanaman'!AI7</f>
        <v>0</v>
      </c>
      <c r="AP78" s="72"/>
      <c r="AQ78" s="72">
        <f>'Rekap Non Tanaman'!AK7</f>
        <v>0</v>
      </c>
      <c r="AR78" s="193">
        <f t="shared" ref="AR78:AS85" si="113">AL78+AN78+AP78</f>
        <v>0</v>
      </c>
      <c r="AS78" s="190">
        <f t="shared" si="113"/>
        <v>0</v>
      </c>
      <c r="AT78" s="193">
        <f t="shared" ref="AT78:AU85" si="114">AR78+AJ78</f>
        <v>4</v>
      </c>
      <c r="AU78" s="190">
        <f t="shared" si="114"/>
        <v>3200000000</v>
      </c>
      <c r="AV78" s="191"/>
      <c r="AW78" s="72">
        <f>'Rekap Non Tanaman'!AQ7</f>
        <v>0</v>
      </c>
      <c r="AX78" s="72"/>
      <c r="AY78" s="72">
        <f>'Rekap Non Tanaman'!AS7</f>
        <v>0</v>
      </c>
      <c r="AZ78" s="72"/>
      <c r="BA78" s="72">
        <f>'Rekap Non Tanaman'!AU7</f>
        <v>0</v>
      </c>
      <c r="BB78" s="193">
        <f t="shared" ref="BB78:BC85" si="115">AV78+AX78+AZ78</f>
        <v>0</v>
      </c>
      <c r="BC78" s="190">
        <f t="shared" si="115"/>
        <v>0</v>
      </c>
      <c r="BD78" s="193">
        <f t="shared" ref="BD78:BE85" si="116">BB78+AT78</f>
        <v>4</v>
      </c>
      <c r="BE78" s="190">
        <f t="shared" si="116"/>
        <v>3200000000</v>
      </c>
      <c r="BF78" s="191"/>
      <c r="BG78" s="72">
        <f>'Rekap Non Tanaman'!BA7</f>
        <v>0</v>
      </c>
      <c r="BH78" s="72"/>
      <c r="BI78" s="72">
        <f>'Rekap Non Tanaman'!BC7</f>
        <v>0</v>
      </c>
      <c r="BJ78" s="72"/>
      <c r="BK78" s="72">
        <f>'Rekap Non Tanaman'!BE7</f>
        <v>0</v>
      </c>
      <c r="BL78" s="193">
        <f t="shared" ref="BL78:BM85" si="117">BF78+BH78+BJ78</f>
        <v>0</v>
      </c>
      <c r="BM78" s="190">
        <f t="shared" si="117"/>
        <v>0</v>
      </c>
      <c r="BN78" s="193">
        <f t="shared" ref="BN78:BO85" si="118">BL78+BD78</f>
        <v>4</v>
      </c>
      <c r="BO78" s="190">
        <f t="shared" si="118"/>
        <v>3200000000</v>
      </c>
      <c r="BP78" s="191"/>
      <c r="BQ78" s="72">
        <f>'Rekap Non Tanaman'!BK7</f>
        <v>0</v>
      </c>
      <c r="BR78" s="72"/>
      <c r="BS78" s="72">
        <f>'Rekap Non Tanaman'!BM7</f>
        <v>0</v>
      </c>
      <c r="BT78" s="72"/>
      <c r="BU78" s="72">
        <f>'Rekap Non Tanaman'!BO7</f>
        <v>0</v>
      </c>
      <c r="BV78" s="193">
        <f t="shared" ref="BV78:BW85" si="119">BP78+BR78+BT78</f>
        <v>0</v>
      </c>
      <c r="BW78" s="190">
        <f t="shared" si="119"/>
        <v>0</v>
      </c>
      <c r="BX78" s="193">
        <f t="shared" ref="BX78:BY85" si="120">BV78+BN78</f>
        <v>4</v>
      </c>
      <c r="BY78" s="190">
        <f t="shared" si="120"/>
        <v>3200000000</v>
      </c>
      <c r="CA78" s="278">
        <f t="shared" si="100"/>
        <v>4</v>
      </c>
      <c r="CB78" s="280">
        <f t="shared" si="101"/>
        <v>0</v>
      </c>
      <c r="CC78" s="440">
        <f t="shared" si="50"/>
        <v>0</v>
      </c>
      <c r="CD78" s="440">
        <f t="shared" si="49"/>
        <v>0</v>
      </c>
      <c r="CE78" s="286">
        <v>15912000000</v>
      </c>
      <c r="CF78" s="280">
        <f t="shared" si="105"/>
        <v>12712000000</v>
      </c>
      <c r="CG78" s="280">
        <f t="shared" si="106"/>
        <v>12712000000</v>
      </c>
      <c r="CI78" s="286">
        <v>0</v>
      </c>
      <c r="CJ78" s="286">
        <v>0</v>
      </c>
      <c r="CK78" s="286">
        <v>0</v>
      </c>
    </row>
    <row r="79" spans="2:89" ht="14.25" customHeight="1" x14ac:dyDescent="0.2">
      <c r="B79" s="223">
        <v>2</v>
      </c>
      <c r="C79" s="187" t="s">
        <v>473</v>
      </c>
      <c r="D79" s="188"/>
      <c r="E79" s="193">
        <v>1</v>
      </c>
      <c r="F79" s="192">
        <f t="shared" si="107"/>
        <v>472000000</v>
      </c>
      <c r="G79" s="191">
        <f t="shared" ref="G79:G80" si="121">F79/350</f>
        <v>1348571.4285714286</v>
      </c>
      <c r="H79" s="72">
        <v>1</v>
      </c>
      <c r="I79" s="352">
        <f>G79*H79</f>
        <v>1348571.4285714286</v>
      </c>
      <c r="J79" s="219"/>
      <c r="K79" s="72">
        <f>'Rekap Non Tanaman'!C11</f>
        <v>0</v>
      </c>
      <c r="L79" s="72"/>
      <c r="M79" s="72">
        <f>'Rekap Non Tanaman'!E11</f>
        <v>0</v>
      </c>
      <c r="N79" s="72">
        <v>1</v>
      </c>
      <c r="O79" s="72">
        <f>'Rekap Non Tanaman'!G11</f>
        <v>472000000</v>
      </c>
      <c r="P79" s="193">
        <f t="shared" si="108"/>
        <v>1</v>
      </c>
      <c r="Q79" s="190">
        <f t="shared" si="108"/>
        <v>472000000</v>
      </c>
      <c r="R79" s="191"/>
      <c r="S79" s="72">
        <f>'Rekap Non Tanaman'!M11</f>
        <v>0</v>
      </c>
      <c r="T79" s="72"/>
      <c r="U79" s="72">
        <f>'Rekap Non Tanaman'!O11</f>
        <v>0</v>
      </c>
      <c r="V79" s="72"/>
      <c r="W79" s="72">
        <f>'Rekap Non Tanaman'!Q11</f>
        <v>0</v>
      </c>
      <c r="X79" s="193">
        <f t="shared" si="109"/>
        <v>0</v>
      </c>
      <c r="Y79" s="190">
        <f t="shared" si="109"/>
        <v>0</v>
      </c>
      <c r="Z79" s="193">
        <f t="shared" si="110"/>
        <v>1</v>
      </c>
      <c r="AA79" s="190">
        <f t="shared" si="110"/>
        <v>472000000</v>
      </c>
      <c r="AB79" s="191"/>
      <c r="AC79" s="72">
        <f>'Rekap Non Tanaman'!W11</f>
        <v>0</v>
      </c>
      <c r="AD79" s="72"/>
      <c r="AE79" s="72">
        <f>'Rekap Non Tanaman'!Y11</f>
        <v>0</v>
      </c>
      <c r="AF79" s="72"/>
      <c r="AG79" s="72">
        <f>'Rekap Non Tanaman'!AA11</f>
        <v>0</v>
      </c>
      <c r="AH79" s="193">
        <f t="shared" si="111"/>
        <v>0</v>
      </c>
      <c r="AI79" s="190">
        <f t="shared" si="111"/>
        <v>0</v>
      </c>
      <c r="AJ79" s="193">
        <f t="shared" si="112"/>
        <v>1</v>
      </c>
      <c r="AK79" s="190">
        <f t="shared" si="112"/>
        <v>472000000</v>
      </c>
      <c r="AL79" s="191"/>
      <c r="AM79" s="72">
        <f>'Rekap Non Tanaman'!AG11</f>
        <v>0</v>
      </c>
      <c r="AN79" s="72"/>
      <c r="AO79" s="72">
        <f>'Rekap Non Tanaman'!AI11</f>
        <v>0</v>
      </c>
      <c r="AP79" s="72"/>
      <c r="AQ79" s="72">
        <f>'Rekap Non Tanaman'!AK11</f>
        <v>0</v>
      </c>
      <c r="AR79" s="193">
        <f t="shared" si="113"/>
        <v>0</v>
      </c>
      <c r="AS79" s="190">
        <f t="shared" si="113"/>
        <v>0</v>
      </c>
      <c r="AT79" s="193">
        <f t="shared" si="114"/>
        <v>1</v>
      </c>
      <c r="AU79" s="190">
        <f t="shared" si="114"/>
        <v>472000000</v>
      </c>
      <c r="AV79" s="191"/>
      <c r="AW79" s="72">
        <f>'Rekap Non Tanaman'!AQ11</f>
        <v>0</v>
      </c>
      <c r="AX79" s="72"/>
      <c r="AY79" s="72">
        <f>'Rekap Non Tanaman'!AS11</f>
        <v>0</v>
      </c>
      <c r="AZ79" s="72"/>
      <c r="BA79" s="72">
        <f>'Rekap Non Tanaman'!AU11</f>
        <v>0</v>
      </c>
      <c r="BB79" s="193">
        <f t="shared" si="115"/>
        <v>0</v>
      </c>
      <c r="BC79" s="190">
        <f t="shared" si="115"/>
        <v>0</v>
      </c>
      <c r="BD79" s="193">
        <f t="shared" si="116"/>
        <v>1</v>
      </c>
      <c r="BE79" s="190">
        <f t="shared" si="116"/>
        <v>472000000</v>
      </c>
      <c r="BF79" s="191"/>
      <c r="BG79" s="72">
        <f>'Rekap Non Tanaman'!BA11</f>
        <v>0</v>
      </c>
      <c r="BH79" s="72"/>
      <c r="BI79" s="72">
        <f>'Rekap Non Tanaman'!BC11</f>
        <v>0</v>
      </c>
      <c r="BJ79" s="72"/>
      <c r="BK79" s="72">
        <f>'Rekap Non Tanaman'!BE11</f>
        <v>0</v>
      </c>
      <c r="BL79" s="193">
        <f t="shared" si="117"/>
        <v>0</v>
      </c>
      <c r="BM79" s="190">
        <f t="shared" si="117"/>
        <v>0</v>
      </c>
      <c r="BN79" s="193">
        <f t="shared" si="118"/>
        <v>1</v>
      </c>
      <c r="BO79" s="190">
        <f t="shared" si="118"/>
        <v>472000000</v>
      </c>
      <c r="BP79" s="191"/>
      <c r="BQ79" s="72">
        <f>'Rekap Non Tanaman'!BK11</f>
        <v>0</v>
      </c>
      <c r="BR79" s="72"/>
      <c r="BS79" s="72">
        <f>'Rekap Non Tanaman'!BM11</f>
        <v>0</v>
      </c>
      <c r="BT79" s="72"/>
      <c r="BU79" s="72">
        <f>'Rekap Non Tanaman'!BO11</f>
        <v>0</v>
      </c>
      <c r="BV79" s="193">
        <f t="shared" si="119"/>
        <v>0</v>
      </c>
      <c r="BW79" s="190">
        <f t="shared" si="119"/>
        <v>0</v>
      </c>
      <c r="BX79" s="193">
        <f t="shared" si="120"/>
        <v>1</v>
      </c>
      <c r="BY79" s="190">
        <f t="shared" si="120"/>
        <v>472000000</v>
      </c>
      <c r="CA79" s="278">
        <f t="shared" si="100"/>
        <v>1</v>
      </c>
      <c r="CB79" s="280">
        <f t="shared" si="101"/>
        <v>0</v>
      </c>
      <c r="CC79" s="440">
        <f t="shared" si="50"/>
        <v>0</v>
      </c>
      <c r="CD79" s="440">
        <f t="shared" si="49"/>
        <v>0</v>
      </c>
      <c r="CE79" s="286">
        <v>2633000000</v>
      </c>
      <c r="CF79" s="280">
        <f t="shared" si="105"/>
        <v>2161000000</v>
      </c>
      <c r="CG79" s="280">
        <f t="shared" si="106"/>
        <v>2161000000</v>
      </c>
      <c r="CI79" s="286">
        <v>0</v>
      </c>
      <c r="CJ79" s="286">
        <v>0</v>
      </c>
      <c r="CK79" s="286">
        <v>0</v>
      </c>
    </row>
    <row r="80" spans="2:89" ht="14.25" customHeight="1" x14ac:dyDescent="0.2">
      <c r="B80" s="223">
        <v>3</v>
      </c>
      <c r="C80" s="187" t="s">
        <v>474</v>
      </c>
      <c r="D80" s="188"/>
      <c r="E80" s="193">
        <v>1</v>
      </c>
      <c r="F80" s="192">
        <f t="shared" si="107"/>
        <v>120000000</v>
      </c>
      <c r="G80" s="191">
        <f t="shared" si="121"/>
        <v>342857.14285714284</v>
      </c>
      <c r="H80" s="192">
        <v>1</v>
      </c>
      <c r="I80" s="352">
        <f>G80*H80</f>
        <v>342857.14285714284</v>
      </c>
      <c r="J80" s="219"/>
      <c r="K80" s="72">
        <f>'Rekap Non Tanaman'!C15</f>
        <v>0</v>
      </c>
      <c r="L80" s="72"/>
      <c r="M80" s="72">
        <f>'Rekap Non Tanaman'!E15</f>
        <v>0</v>
      </c>
      <c r="N80" s="72">
        <v>1</v>
      </c>
      <c r="O80" s="72">
        <f>'Rekap Non Tanaman'!G15</f>
        <v>120000000</v>
      </c>
      <c r="P80" s="193">
        <f t="shared" si="108"/>
        <v>1</v>
      </c>
      <c r="Q80" s="190">
        <f t="shared" si="108"/>
        <v>120000000</v>
      </c>
      <c r="R80" s="191"/>
      <c r="S80" s="72">
        <f>'Rekap Non Tanaman'!M15</f>
        <v>0</v>
      </c>
      <c r="T80" s="72"/>
      <c r="U80" s="72">
        <f>'Rekap Non Tanaman'!O15</f>
        <v>0</v>
      </c>
      <c r="V80" s="72"/>
      <c r="W80" s="72">
        <f>'Rekap Non Tanaman'!Q15</f>
        <v>0</v>
      </c>
      <c r="X80" s="193">
        <f t="shared" si="109"/>
        <v>0</v>
      </c>
      <c r="Y80" s="190">
        <f t="shared" si="109"/>
        <v>0</v>
      </c>
      <c r="Z80" s="193">
        <f t="shared" si="110"/>
        <v>1</v>
      </c>
      <c r="AA80" s="190">
        <f t="shared" si="110"/>
        <v>120000000</v>
      </c>
      <c r="AB80" s="191"/>
      <c r="AC80" s="72">
        <f>'Rekap Non Tanaman'!W15</f>
        <v>0</v>
      </c>
      <c r="AD80" s="72"/>
      <c r="AE80" s="72">
        <f>'Rekap Non Tanaman'!Y15</f>
        <v>0</v>
      </c>
      <c r="AF80" s="72"/>
      <c r="AG80" s="72">
        <f>'Rekap Non Tanaman'!AA15</f>
        <v>0</v>
      </c>
      <c r="AH80" s="193">
        <f t="shared" si="111"/>
        <v>0</v>
      </c>
      <c r="AI80" s="190">
        <f t="shared" si="111"/>
        <v>0</v>
      </c>
      <c r="AJ80" s="193">
        <f t="shared" si="112"/>
        <v>1</v>
      </c>
      <c r="AK80" s="190">
        <f t="shared" si="112"/>
        <v>120000000</v>
      </c>
      <c r="AL80" s="191"/>
      <c r="AM80" s="72">
        <f>'Rekap Non Tanaman'!AG15</f>
        <v>0</v>
      </c>
      <c r="AN80" s="72"/>
      <c r="AO80" s="72">
        <f>'Rekap Non Tanaman'!AI15</f>
        <v>0</v>
      </c>
      <c r="AP80" s="72"/>
      <c r="AQ80" s="72">
        <f>'Rekap Non Tanaman'!AK15</f>
        <v>0</v>
      </c>
      <c r="AR80" s="193">
        <f t="shared" si="113"/>
        <v>0</v>
      </c>
      <c r="AS80" s="190">
        <f t="shared" si="113"/>
        <v>0</v>
      </c>
      <c r="AT80" s="193">
        <f t="shared" si="114"/>
        <v>1</v>
      </c>
      <c r="AU80" s="190">
        <f t="shared" si="114"/>
        <v>120000000</v>
      </c>
      <c r="AV80" s="191"/>
      <c r="AW80" s="72">
        <f>'Rekap Non Tanaman'!AP15</f>
        <v>0</v>
      </c>
      <c r="AX80" s="72"/>
      <c r="AY80" s="72">
        <f>'Rekap Non Tanaman'!AS15</f>
        <v>0</v>
      </c>
      <c r="AZ80" s="72"/>
      <c r="BA80" s="72">
        <f>'Rekap Non Tanaman'!AU15</f>
        <v>0</v>
      </c>
      <c r="BB80" s="193">
        <f t="shared" si="115"/>
        <v>0</v>
      </c>
      <c r="BC80" s="190">
        <f t="shared" si="115"/>
        <v>0</v>
      </c>
      <c r="BD80" s="193">
        <f t="shared" si="116"/>
        <v>1</v>
      </c>
      <c r="BE80" s="190">
        <f t="shared" si="116"/>
        <v>120000000</v>
      </c>
      <c r="BF80" s="191"/>
      <c r="BG80" s="72">
        <f>'Rekap Non Tanaman'!BA15</f>
        <v>0</v>
      </c>
      <c r="BH80" s="72"/>
      <c r="BI80" s="72">
        <f>'Rekap Non Tanaman'!BC15</f>
        <v>0</v>
      </c>
      <c r="BJ80" s="72"/>
      <c r="BK80" s="72">
        <f>'Rekap Non Tanaman'!BE15</f>
        <v>0</v>
      </c>
      <c r="BL80" s="193">
        <f t="shared" si="117"/>
        <v>0</v>
      </c>
      <c r="BM80" s="190">
        <f t="shared" si="117"/>
        <v>0</v>
      </c>
      <c r="BN80" s="193">
        <f t="shared" si="118"/>
        <v>1</v>
      </c>
      <c r="BO80" s="190">
        <f t="shared" si="118"/>
        <v>120000000</v>
      </c>
      <c r="BP80" s="191"/>
      <c r="BQ80" s="72">
        <f>'Rekap Non Tanaman'!BK15</f>
        <v>0</v>
      </c>
      <c r="BR80" s="72"/>
      <c r="BS80" s="72">
        <f>'Rekap Non Tanaman'!BM15</f>
        <v>0</v>
      </c>
      <c r="BT80" s="72"/>
      <c r="BU80" s="72">
        <f>'Rekap Non Tanaman'!BO15</f>
        <v>0</v>
      </c>
      <c r="BV80" s="193">
        <f t="shared" si="119"/>
        <v>0</v>
      </c>
      <c r="BW80" s="190">
        <f t="shared" si="119"/>
        <v>0</v>
      </c>
      <c r="BX80" s="193">
        <f t="shared" si="120"/>
        <v>1</v>
      </c>
      <c r="BY80" s="190">
        <f t="shared" si="120"/>
        <v>120000000</v>
      </c>
      <c r="CA80" s="278">
        <f t="shared" si="100"/>
        <v>1</v>
      </c>
      <c r="CB80" s="280">
        <f t="shared" si="101"/>
        <v>0</v>
      </c>
      <c r="CC80" s="440">
        <f t="shared" si="50"/>
        <v>0</v>
      </c>
      <c r="CD80" s="440">
        <f t="shared" si="49"/>
        <v>0</v>
      </c>
      <c r="CE80" s="286">
        <v>1056000000</v>
      </c>
      <c r="CF80" s="280">
        <f t="shared" si="105"/>
        <v>936000000</v>
      </c>
      <c r="CG80" s="280">
        <f t="shared" si="106"/>
        <v>936000000</v>
      </c>
      <c r="CI80" s="286">
        <v>0</v>
      </c>
      <c r="CJ80" s="286">
        <v>0</v>
      </c>
      <c r="CK80" s="286">
        <v>0</v>
      </c>
    </row>
    <row r="81" spans="2:89" ht="14.25" hidden="1" customHeight="1" x14ac:dyDescent="0.2">
      <c r="B81" s="223">
        <v>4</v>
      </c>
      <c r="C81" s="187" t="s">
        <v>475</v>
      </c>
      <c r="D81" s="188"/>
      <c r="E81" s="193"/>
      <c r="F81" s="192">
        <f t="shared" si="107"/>
        <v>0</v>
      </c>
      <c r="G81" s="191"/>
      <c r="H81" s="72">
        <v>1</v>
      </c>
      <c r="I81" s="352">
        <f t="shared" ref="I81:I85" si="122">G81*H81</f>
        <v>0</v>
      </c>
      <c r="J81" s="219"/>
      <c r="K81" s="72">
        <f>'Rekap Non Tanaman'!C19</f>
        <v>0</v>
      </c>
      <c r="L81" s="72"/>
      <c r="M81" s="72">
        <f>'Rekap Non Tanaman'!E19</f>
        <v>0</v>
      </c>
      <c r="N81" s="72"/>
      <c r="O81" s="72">
        <f>'Rekap Non Tanaman'!G19</f>
        <v>0</v>
      </c>
      <c r="P81" s="193">
        <f t="shared" si="108"/>
        <v>0</v>
      </c>
      <c r="Q81" s="190">
        <f t="shared" si="108"/>
        <v>0</v>
      </c>
      <c r="R81" s="191"/>
      <c r="S81" s="72">
        <f>'Rekap Non Tanaman'!M19</f>
        <v>0</v>
      </c>
      <c r="T81" s="72"/>
      <c r="U81" s="72">
        <f>'Rekap Non Tanaman'!O19</f>
        <v>0</v>
      </c>
      <c r="V81" s="72"/>
      <c r="W81" s="72">
        <f>'Rekap Non Tanaman'!Q19</f>
        <v>0</v>
      </c>
      <c r="X81" s="193">
        <f t="shared" si="109"/>
        <v>0</v>
      </c>
      <c r="Y81" s="190">
        <f t="shared" si="109"/>
        <v>0</v>
      </c>
      <c r="Z81" s="193">
        <f t="shared" si="110"/>
        <v>0</v>
      </c>
      <c r="AA81" s="190">
        <f t="shared" si="110"/>
        <v>0</v>
      </c>
      <c r="AB81" s="191"/>
      <c r="AC81" s="72">
        <f>'Rekap Non Tanaman'!W19</f>
        <v>0</v>
      </c>
      <c r="AD81" s="72"/>
      <c r="AE81" s="72">
        <f>'Rekap Non Tanaman'!Y19</f>
        <v>0</v>
      </c>
      <c r="AF81" s="72"/>
      <c r="AG81" s="72">
        <f>'Rekap Non Tanaman'!AA19</f>
        <v>0</v>
      </c>
      <c r="AH81" s="193">
        <f t="shared" si="111"/>
        <v>0</v>
      </c>
      <c r="AI81" s="190">
        <f t="shared" si="111"/>
        <v>0</v>
      </c>
      <c r="AJ81" s="193">
        <f t="shared" si="112"/>
        <v>0</v>
      </c>
      <c r="AK81" s="190">
        <f t="shared" si="112"/>
        <v>0</v>
      </c>
      <c r="AL81" s="191"/>
      <c r="AM81" s="72">
        <f>'Rekap Non Tanaman'!AG19</f>
        <v>0</v>
      </c>
      <c r="AN81" s="72"/>
      <c r="AO81" s="72">
        <f>'Rekap Non Tanaman'!AI19</f>
        <v>0</v>
      </c>
      <c r="AP81" s="72"/>
      <c r="AQ81" s="72">
        <f>'Rekap Non Tanaman'!AK19</f>
        <v>0</v>
      </c>
      <c r="AR81" s="193">
        <f t="shared" si="113"/>
        <v>0</v>
      </c>
      <c r="AS81" s="190">
        <f t="shared" si="113"/>
        <v>0</v>
      </c>
      <c r="AT81" s="193">
        <f t="shared" si="114"/>
        <v>0</v>
      </c>
      <c r="AU81" s="190">
        <f t="shared" si="114"/>
        <v>0</v>
      </c>
      <c r="AV81" s="191"/>
      <c r="AW81" s="72">
        <f>'Rekap Non Tanaman'!AQ19</f>
        <v>0</v>
      </c>
      <c r="AX81" s="72"/>
      <c r="AY81" s="72">
        <f>'Rekap Non Tanaman'!AS19</f>
        <v>0</v>
      </c>
      <c r="AZ81" s="72"/>
      <c r="BA81" s="72">
        <f>'Rekap Non Tanaman'!AU19</f>
        <v>0</v>
      </c>
      <c r="BB81" s="193">
        <f t="shared" si="115"/>
        <v>0</v>
      </c>
      <c r="BC81" s="190">
        <f t="shared" si="115"/>
        <v>0</v>
      </c>
      <c r="BD81" s="193">
        <f t="shared" si="116"/>
        <v>0</v>
      </c>
      <c r="BE81" s="190">
        <f t="shared" si="116"/>
        <v>0</v>
      </c>
      <c r="BF81" s="191"/>
      <c r="BG81" s="72">
        <f>'Rekap Non Tanaman'!BA19</f>
        <v>0</v>
      </c>
      <c r="BH81" s="72"/>
      <c r="BI81" s="72">
        <f>'Rekap Non Tanaman'!BC19</f>
        <v>0</v>
      </c>
      <c r="BJ81" s="72"/>
      <c r="BK81" s="72">
        <f>'Rekap Non Tanaman'!BE19</f>
        <v>0</v>
      </c>
      <c r="BL81" s="193">
        <f t="shared" si="117"/>
        <v>0</v>
      </c>
      <c r="BM81" s="190">
        <f t="shared" si="117"/>
        <v>0</v>
      </c>
      <c r="BN81" s="193">
        <f t="shared" si="118"/>
        <v>0</v>
      </c>
      <c r="BO81" s="190">
        <f t="shared" si="118"/>
        <v>0</v>
      </c>
      <c r="BP81" s="191"/>
      <c r="BQ81" s="72">
        <f>'Rekap Non Tanaman'!BK19</f>
        <v>0</v>
      </c>
      <c r="BR81" s="72"/>
      <c r="BS81" s="72">
        <f>'Rekap Non Tanaman'!BM19</f>
        <v>0</v>
      </c>
      <c r="BT81" s="72"/>
      <c r="BU81" s="72">
        <f>'Rekap Non Tanaman'!BO19</f>
        <v>0</v>
      </c>
      <c r="BV81" s="193">
        <f t="shared" si="119"/>
        <v>0</v>
      </c>
      <c r="BW81" s="190">
        <f t="shared" si="119"/>
        <v>0</v>
      </c>
      <c r="BX81" s="193">
        <f t="shared" si="120"/>
        <v>0</v>
      </c>
      <c r="BY81" s="190">
        <f t="shared" si="120"/>
        <v>0</v>
      </c>
      <c r="CA81" s="278">
        <f t="shared" si="100"/>
        <v>0</v>
      </c>
      <c r="CB81" s="280">
        <f t="shared" si="101"/>
        <v>0</v>
      </c>
      <c r="CC81" s="440">
        <f t="shared" si="50"/>
        <v>0</v>
      </c>
      <c r="CD81" s="440">
        <f t="shared" ref="CD81:CD98" si="123">F81-BY81</f>
        <v>0</v>
      </c>
      <c r="CE81" s="286">
        <v>1080000000</v>
      </c>
      <c r="CF81" s="280">
        <f t="shared" si="105"/>
        <v>1080000000</v>
      </c>
      <c r="CG81" s="280">
        <f t="shared" si="106"/>
        <v>1080000000</v>
      </c>
      <c r="CI81" s="286">
        <v>0</v>
      </c>
      <c r="CJ81" s="286">
        <v>0</v>
      </c>
      <c r="CK81" s="286">
        <v>0</v>
      </c>
    </row>
    <row r="82" spans="2:89" ht="14.25" hidden="1" customHeight="1" x14ac:dyDescent="0.2">
      <c r="B82" s="223"/>
      <c r="C82" s="187" t="s">
        <v>476</v>
      </c>
      <c r="D82" s="188"/>
      <c r="E82" s="193"/>
      <c r="F82" s="192">
        <f t="shared" si="107"/>
        <v>0</v>
      </c>
      <c r="G82" s="191"/>
      <c r="H82" s="72"/>
      <c r="I82" s="352"/>
      <c r="J82" s="219"/>
      <c r="K82" s="72">
        <f>'Rekap Non Tanaman'!C23</f>
        <v>0</v>
      </c>
      <c r="L82" s="72"/>
      <c r="M82" s="72">
        <f>'Rekap Non Tanaman'!E23</f>
        <v>0</v>
      </c>
      <c r="N82" s="72"/>
      <c r="O82" s="72">
        <f>'Rekap Non Tanaman'!G23</f>
        <v>0</v>
      </c>
      <c r="P82" s="193">
        <f t="shared" si="108"/>
        <v>0</v>
      </c>
      <c r="Q82" s="190">
        <f t="shared" si="108"/>
        <v>0</v>
      </c>
      <c r="R82" s="191"/>
      <c r="S82" s="72">
        <f>'Rekap Non Tanaman'!M23</f>
        <v>0</v>
      </c>
      <c r="T82" s="72"/>
      <c r="U82" s="72">
        <f>'Rekap Non Tanaman'!O23</f>
        <v>0</v>
      </c>
      <c r="V82" s="72"/>
      <c r="W82" s="72">
        <f>'Rekap Non Tanaman'!Q23</f>
        <v>0</v>
      </c>
      <c r="X82" s="193">
        <f t="shared" si="109"/>
        <v>0</v>
      </c>
      <c r="Y82" s="190">
        <f t="shared" si="109"/>
        <v>0</v>
      </c>
      <c r="Z82" s="193">
        <f t="shared" si="110"/>
        <v>0</v>
      </c>
      <c r="AA82" s="190">
        <f t="shared" si="110"/>
        <v>0</v>
      </c>
      <c r="AB82" s="191"/>
      <c r="AC82" s="72">
        <f>'Rekap Non Tanaman'!W23</f>
        <v>0</v>
      </c>
      <c r="AD82" s="72"/>
      <c r="AE82" s="72">
        <f>'Rekap Non Tanaman'!Y23</f>
        <v>0</v>
      </c>
      <c r="AF82" s="72"/>
      <c r="AG82" s="72">
        <f>'Rekap Non Tanaman'!AA23</f>
        <v>0</v>
      </c>
      <c r="AH82" s="193">
        <f t="shared" si="111"/>
        <v>0</v>
      </c>
      <c r="AI82" s="190">
        <f t="shared" si="111"/>
        <v>0</v>
      </c>
      <c r="AJ82" s="193">
        <f t="shared" si="112"/>
        <v>0</v>
      </c>
      <c r="AK82" s="190">
        <f t="shared" si="112"/>
        <v>0</v>
      </c>
      <c r="AL82" s="191"/>
      <c r="AM82" s="72">
        <f>'Rekap Non Tanaman'!AG23</f>
        <v>0</v>
      </c>
      <c r="AN82" s="72"/>
      <c r="AO82" s="72">
        <f>'Rekap Non Tanaman'!AI23</f>
        <v>0</v>
      </c>
      <c r="AP82" s="72"/>
      <c r="AQ82" s="72">
        <f>'Rekap Non Tanaman'!AK23</f>
        <v>0</v>
      </c>
      <c r="AR82" s="193">
        <f t="shared" si="113"/>
        <v>0</v>
      </c>
      <c r="AS82" s="190">
        <f t="shared" si="113"/>
        <v>0</v>
      </c>
      <c r="AT82" s="193">
        <f t="shared" si="114"/>
        <v>0</v>
      </c>
      <c r="AU82" s="190">
        <f t="shared" si="114"/>
        <v>0</v>
      </c>
      <c r="AV82" s="191"/>
      <c r="AW82" s="72">
        <f>'Rekap Non Tanaman'!AQ23</f>
        <v>0</v>
      </c>
      <c r="AX82" s="72"/>
      <c r="AY82" s="72">
        <f>'Rekap Non Tanaman'!AS23</f>
        <v>0</v>
      </c>
      <c r="AZ82" s="72"/>
      <c r="BA82" s="72">
        <f>'Rekap Non Tanaman'!AU23</f>
        <v>0</v>
      </c>
      <c r="BB82" s="193">
        <f t="shared" si="115"/>
        <v>0</v>
      </c>
      <c r="BC82" s="190">
        <f t="shared" si="115"/>
        <v>0</v>
      </c>
      <c r="BD82" s="193">
        <f t="shared" si="116"/>
        <v>0</v>
      </c>
      <c r="BE82" s="190">
        <f t="shared" si="116"/>
        <v>0</v>
      </c>
      <c r="BF82" s="191"/>
      <c r="BG82" s="72">
        <f>'Rekap Non Tanaman'!BA23</f>
        <v>0</v>
      </c>
      <c r="BH82" s="72"/>
      <c r="BI82" s="72">
        <f>'Rekap Non Tanaman'!BC23</f>
        <v>0</v>
      </c>
      <c r="BJ82" s="72"/>
      <c r="BK82" s="72">
        <f>'Rekap Non Tanaman'!BE23</f>
        <v>0</v>
      </c>
      <c r="BL82" s="193">
        <f t="shared" si="117"/>
        <v>0</v>
      </c>
      <c r="BM82" s="190">
        <f t="shared" si="117"/>
        <v>0</v>
      </c>
      <c r="BN82" s="193">
        <f t="shared" si="118"/>
        <v>0</v>
      </c>
      <c r="BO82" s="190">
        <f t="shared" si="118"/>
        <v>0</v>
      </c>
      <c r="BP82" s="191"/>
      <c r="BQ82" s="72">
        <f>'Rekap Non Tanaman'!BK23</f>
        <v>0</v>
      </c>
      <c r="BR82" s="72"/>
      <c r="BS82" s="72">
        <f>'Rekap Non Tanaman'!BM23</f>
        <v>0</v>
      </c>
      <c r="BT82" s="72"/>
      <c r="BU82" s="72">
        <f>'Rekap Non Tanaman'!BO23</f>
        <v>0</v>
      </c>
      <c r="BV82" s="193">
        <f t="shared" si="119"/>
        <v>0</v>
      </c>
      <c r="BW82" s="190">
        <f t="shared" si="119"/>
        <v>0</v>
      </c>
      <c r="BX82" s="193">
        <f t="shared" si="120"/>
        <v>0</v>
      </c>
      <c r="BY82" s="190">
        <f t="shared" si="120"/>
        <v>0</v>
      </c>
      <c r="CB82" s="280"/>
      <c r="CC82" s="440">
        <f t="shared" ref="CC82:CC99" si="124">E82-BX82</f>
        <v>0</v>
      </c>
      <c r="CD82" s="440">
        <f t="shared" si="123"/>
        <v>0</v>
      </c>
      <c r="CE82" s="286">
        <v>1410000000</v>
      </c>
      <c r="CF82" s="280">
        <f t="shared" si="105"/>
        <v>1410000000</v>
      </c>
      <c r="CG82" s="280">
        <f t="shared" si="106"/>
        <v>1410000000</v>
      </c>
      <c r="CI82" s="286">
        <v>0</v>
      </c>
      <c r="CJ82" s="286">
        <v>0</v>
      </c>
      <c r="CK82" s="286">
        <v>0</v>
      </c>
    </row>
    <row r="83" spans="2:89" ht="14.25" hidden="1" customHeight="1" x14ac:dyDescent="0.2">
      <c r="B83" s="223">
        <v>5</v>
      </c>
      <c r="C83" s="187" t="s">
        <v>477</v>
      </c>
      <c r="D83" s="188"/>
      <c r="E83" s="193"/>
      <c r="F83" s="192">
        <f t="shared" si="107"/>
        <v>0</v>
      </c>
      <c r="G83" s="191"/>
      <c r="H83" s="72">
        <v>1</v>
      </c>
      <c r="I83" s="352">
        <f t="shared" si="122"/>
        <v>0</v>
      </c>
      <c r="J83" s="219"/>
      <c r="K83" s="72">
        <f>'Rekap Non Tanaman'!C27</f>
        <v>0</v>
      </c>
      <c r="L83" s="72"/>
      <c r="M83" s="72">
        <f>'Rekap Non Tanaman'!E27</f>
        <v>0</v>
      </c>
      <c r="N83" s="72"/>
      <c r="O83" s="72">
        <f>'Rekap Non Tanaman'!G27</f>
        <v>0</v>
      </c>
      <c r="P83" s="193">
        <f t="shared" si="108"/>
        <v>0</v>
      </c>
      <c r="Q83" s="190">
        <f t="shared" si="108"/>
        <v>0</v>
      </c>
      <c r="R83" s="191"/>
      <c r="S83" s="72">
        <f>'Rekap Non Tanaman'!M27</f>
        <v>0</v>
      </c>
      <c r="T83" s="72"/>
      <c r="U83" s="72">
        <f>'Rekap Non Tanaman'!O27</f>
        <v>0</v>
      </c>
      <c r="V83" s="72"/>
      <c r="W83" s="72">
        <f>'Rekap Non Tanaman'!Q27</f>
        <v>0</v>
      </c>
      <c r="X83" s="193">
        <f t="shared" si="109"/>
        <v>0</v>
      </c>
      <c r="Y83" s="190">
        <f t="shared" si="109"/>
        <v>0</v>
      </c>
      <c r="Z83" s="193">
        <f t="shared" si="110"/>
        <v>0</v>
      </c>
      <c r="AA83" s="190">
        <f t="shared" si="110"/>
        <v>0</v>
      </c>
      <c r="AB83" s="191"/>
      <c r="AC83" s="72">
        <f>'Rekap Non Tanaman'!W27</f>
        <v>0</v>
      </c>
      <c r="AD83" s="72"/>
      <c r="AE83" s="72">
        <f>'Rekap Non Tanaman'!Y27</f>
        <v>0</v>
      </c>
      <c r="AF83" s="72"/>
      <c r="AG83" s="72">
        <f>'Rekap Non Tanaman'!AA27</f>
        <v>0</v>
      </c>
      <c r="AH83" s="193">
        <f t="shared" si="111"/>
        <v>0</v>
      </c>
      <c r="AI83" s="190">
        <f t="shared" si="111"/>
        <v>0</v>
      </c>
      <c r="AJ83" s="193">
        <f t="shared" si="112"/>
        <v>0</v>
      </c>
      <c r="AK83" s="190">
        <f t="shared" si="112"/>
        <v>0</v>
      </c>
      <c r="AL83" s="191"/>
      <c r="AM83" s="72">
        <f>'Rekap Non Tanaman'!AG27</f>
        <v>0</v>
      </c>
      <c r="AN83" s="72"/>
      <c r="AO83" s="72">
        <f>'Rekap Non Tanaman'!AI27</f>
        <v>0</v>
      </c>
      <c r="AP83" s="72"/>
      <c r="AQ83" s="72">
        <f>'Rekap Non Tanaman'!AK27</f>
        <v>0</v>
      </c>
      <c r="AR83" s="193">
        <f t="shared" si="113"/>
        <v>0</v>
      </c>
      <c r="AS83" s="190">
        <f t="shared" si="113"/>
        <v>0</v>
      </c>
      <c r="AT83" s="193">
        <f t="shared" si="114"/>
        <v>0</v>
      </c>
      <c r="AU83" s="190">
        <f t="shared" si="114"/>
        <v>0</v>
      </c>
      <c r="AV83" s="191"/>
      <c r="AW83" s="72">
        <f>'Rekap Non Tanaman'!AQ27</f>
        <v>0</v>
      </c>
      <c r="AX83" s="72"/>
      <c r="AY83" s="72">
        <f>'Rekap Non Tanaman'!AS27</f>
        <v>0</v>
      </c>
      <c r="AZ83" s="72"/>
      <c r="BA83" s="72">
        <f>'Rekap Non Tanaman'!AU27</f>
        <v>0</v>
      </c>
      <c r="BB83" s="193">
        <f t="shared" si="115"/>
        <v>0</v>
      </c>
      <c r="BC83" s="190">
        <f t="shared" si="115"/>
        <v>0</v>
      </c>
      <c r="BD83" s="193">
        <f t="shared" si="116"/>
        <v>0</v>
      </c>
      <c r="BE83" s="190">
        <f t="shared" si="116"/>
        <v>0</v>
      </c>
      <c r="BF83" s="191"/>
      <c r="BG83" s="72">
        <f>'Rekap Non Tanaman'!BA27</f>
        <v>0</v>
      </c>
      <c r="BH83" s="72"/>
      <c r="BI83" s="72">
        <f>'Rekap Non Tanaman'!BC27</f>
        <v>0</v>
      </c>
      <c r="BJ83" s="72"/>
      <c r="BK83" s="72">
        <f>'Rekap Non Tanaman'!BE27</f>
        <v>0</v>
      </c>
      <c r="BL83" s="193">
        <f t="shared" si="117"/>
        <v>0</v>
      </c>
      <c r="BM83" s="190">
        <f t="shared" si="117"/>
        <v>0</v>
      </c>
      <c r="BN83" s="193">
        <f t="shared" si="118"/>
        <v>0</v>
      </c>
      <c r="BO83" s="190">
        <f t="shared" si="118"/>
        <v>0</v>
      </c>
      <c r="BP83" s="191"/>
      <c r="BQ83" s="72">
        <f>'Rekap Non Tanaman'!BK27</f>
        <v>0</v>
      </c>
      <c r="BR83" s="72"/>
      <c r="BS83" s="72">
        <f>'Rekap Non Tanaman'!BM27</f>
        <v>0</v>
      </c>
      <c r="BT83" s="72"/>
      <c r="BU83" s="72">
        <f>'Rekap Non Tanaman'!BO27</f>
        <v>0</v>
      </c>
      <c r="BV83" s="193">
        <f t="shared" si="119"/>
        <v>0</v>
      </c>
      <c r="BW83" s="190">
        <f t="shared" si="119"/>
        <v>0</v>
      </c>
      <c r="BX83" s="193">
        <f t="shared" si="120"/>
        <v>0</v>
      </c>
      <c r="BY83" s="190">
        <f t="shared" si="120"/>
        <v>0</v>
      </c>
      <c r="CA83" s="278">
        <f t="shared" ref="CA83:CA99" si="125">E83*H83</f>
        <v>0</v>
      </c>
      <c r="CB83" s="280">
        <f t="shared" ref="CB83:CB99" si="126">CA83-BD83</f>
        <v>0</v>
      </c>
      <c r="CC83" s="440">
        <f t="shared" si="124"/>
        <v>0</v>
      </c>
      <c r="CD83" s="440">
        <f t="shared" si="123"/>
        <v>0</v>
      </c>
      <c r="CE83" s="286">
        <v>122880000</v>
      </c>
      <c r="CF83" s="280">
        <f t="shared" si="105"/>
        <v>122880000</v>
      </c>
      <c r="CG83" s="280">
        <f t="shared" si="106"/>
        <v>122880000</v>
      </c>
      <c r="CI83" s="286">
        <v>0</v>
      </c>
      <c r="CJ83" s="286">
        <v>0</v>
      </c>
      <c r="CK83" s="286">
        <v>0</v>
      </c>
    </row>
    <row r="84" spans="2:89" ht="14.25" hidden="1" customHeight="1" x14ac:dyDescent="0.2">
      <c r="B84" s="223">
        <v>6</v>
      </c>
      <c r="C84" s="187" t="s">
        <v>478</v>
      </c>
      <c r="D84" s="188"/>
      <c r="E84" s="193"/>
      <c r="F84" s="192">
        <f t="shared" si="107"/>
        <v>0</v>
      </c>
      <c r="G84" s="191"/>
      <c r="H84" s="72">
        <v>1</v>
      </c>
      <c r="I84" s="352">
        <f>G84*H84</f>
        <v>0</v>
      </c>
      <c r="J84" s="219"/>
      <c r="K84" s="72">
        <f>'Rekap Non Tanaman'!C31</f>
        <v>0</v>
      </c>
      <c r="L84" s="72"/>
      <c r="M84" s="72">
        <f>'Rekap Non Tanaman'!E31</f>
        <v>0</v>
      </c>
      <c r="N84" s="72"/>
      <c r="O84" s="72">
        <f>'Rekap Non Tanaman'!G31</f>
        <v>0</v>
      </c>
      <c r="P84" s="193">
        <f t="shared" si="108"/>
        <v>0</v>
      </c>
      <c r="Q84" s="190">
        <f t="shared" si="108"/>
        <v>0</v>
      </c>
      <c r="R84" s="191"/>
      <c r="S84" s="72">
        <f>'Rekap Non Tanaman'!M31</f>
        <v>0</v>
      </c>
      <c r="T84" s="72"/>
      <c r="U84" s="72">
        <f>'Rekap Non Tanaman'!O31</f>
        <v>0</v>
      </c>
      <c r="V84" s="72"/>
      <c r="W84" s="72">
        <f>'Rekap Non Tanaman'!Q31</f>
        <v>0</v>
      </c>
      <c r="X84" s="193">
        <f t="shared" si="109"/>
        <v>0</v>
      </c>
      <c r="Y84" s="190">
        <f t="shared" si="109"/>
        <v>0</v>
      </c>
      <c r="Z84" s="193">
        <f t="shared" si="110"/>
        <v>0</v>
      </c>
      <c r="AA84" s="190">
        <f t="shared" si="110"/>
        <v>0</v>
      </c>
      <c r="AB84" s="191"/>
      <c r="AC84" s="72">
        <f>'Rekap Non Tanaman'!W31</f>
        <v>0</v>
      </c>
      <c r="AD84" s="72"/>
      <c r="AE84" s="72">
        <f>'Rekap Non Tanaman'!Y31</f>
        <v>0</v>
      </c>
      <c r="AF84" s="72"/>
      <c r="AG84" s="72">
        <f>'Rekap Non Tanaman'!AA31</f>
        <v>0</v>
      </c>
      <c r="AH84" s="193">
        <f t="shared" si="111"/>
        <v>0</v>
      </c>
      <c r="AI84" s="190">
        <f t="shared" si="111"/>
        <v>0</v>
      </c>
      <c r="AJ84" s="193">
        <f t="shared" si="112"/>
        <v>0</v>
      </c>
      <c r="AK84" s="190">
        <f t="shared" si="112"/>
        <v>0</v>
      </c>
      <c r="AL84" s="191"/>
      <c r="AM84" s="72">
        <f>'Rekap Non Tanaman'!AG35</f>
        <v>0</v>
      </c>
      <c r="AN84" s="72"/>
      <c r="AO84" s="72">
        <f>'Rekap Non Tanaman'!AI31</f>
        <v>0</v>
      </c>
      <c r="AP84" s="72"/>
      <c r="AQ84" s="72">
        <f>'Rekap Non Tanaman'!AK31</f>
        <v>0</v>
      </c>
      <c r="AR84" s="193">
        <f t="shared" si="113"/>
        <v>0</v>
      </c>
      <c r="AS84" s="190">
        <f t="shared" si="113"/>
        <v>0</v>
      </c>
      <c r="AT84" s="193">
        <f t="shared" si="114"/>
        <v>0</v>
      </c>
      <c r="AU84" s="190">
        <f t="shared" si="114"/>
        <v>0</v>
      </c>
      <c r="AV84" s="191"/>
      <c r="AW84" s="72">
        <f>'Rekap Non Tanaman'!AQ31</f>
        <v>0</v>
      </c>
      <c r="AX84" s="72"/>
      <c r="AY84" s="72">
        <f>'Rekap Non Tanaman'!AS31</f>
        <v>0</v>
      </c>
      <c r="AZ84" s="72"/>
      <c r="BA84" s="72">
        <f>'Rekap Non Tanaman'!AU31</f>
        <v>0</v>
      </c>
      <c r="BB84" s="193">
        <f t="shared" si="115"/>
        <v>0</v>
      </c>
      <c r="BC84" s="190">
        <f t="shared" si="115"/>
        <v>0</v>
      </c>
      <c r="BD84" s="193">
        <f t="shared" si="116"/>
        <v>0</v>
      </c>
      <c r="BE84" s="190">
        <f t="shared" si="116"/>
        <v>0</v>
      </c>
      <c r="BF84" s="191"/>
      <c r="BG84" s="72">
        <f>'Rekap Non Tanaman'!BA31</f>
        <v>0</v>
      </c>
      <c r="BH84" s="72"/>
      <c r="BI84" s="72">
        <f>'Rekap Non Tanaman'!BC31</f>
        <v>0</v>
      </c>
      <c r="BJ84" s="72"/>
      <c r="BK84" s="72">
        <f>'Rekap Non Tanaman'!BE31</f>
        <v>0</v>
      </c>
      <c r="BL84" s="193">
        <f t="shared" si="117"/>
        <v>0</v>
      </c>
      <c r="BM84" s="190">
        <f t="shared" si="117"/>
        <v>0</v>
      </c>
      <c r="BN84" s="193">
        <f t="shared" si="118"/>
        <v>0</v>
      </c>
      <c r="BO84" s="190">
        <f t="shared" si="118"/>
        <v>0</v>
      </c>
      <c r="BP84" s="191"/>
      <c r="BQ84" s="72">
        <f>'Rekap Non Tanaman'!BK31</f>
        <v>0</v>
      </c>
      <c r="BR84" s="72"/>
      <c r="BS84" s="72">
        <f>'Rekap Non Tanaman'!BM31</f>
        <v>0</v>
      </c>
      <c r="BT84" s="72"/>
      <c r="BU84" s="72">
        <f>'Rekap Non Tanaman'!BO31</f>
        <v>0</v>
      </c>
      <c r="BV84" s="193">
        <f t="shared" si="119"/>
        <v>0</v>
      </c>
      <c r="BW84" s="190">
        <f t="shared" si="119"/>
        <v>0</v>
      </c>
      <c r="BX84" s="193">
        <f t="shared" si="120"/>
        <v>0</v>
      </c>
      <c r="BY84" s="190">
        <f t="shared" si="120"/>
        <v>0</v>
      </c>
      <c r="CA84" s="278">
        <f t="shared" si="125"/>
        <v>0</v>
      </c>
      <c r="CB84" s="280">
        <f t="shared" si="126"/>
        <v>0</v>
      </c>
      <c r="CC84" s="440">
        <f t="shared" si="124"/>
        <v>0</v>
      </c>
      <c r="CD84" s="440">
        <f t="shared" si="123"/>
        <v>0</v>
      </c>
      <c r="CE84" s="286">
        <v>123300000</v>
      </c>
      <c r="CF84" s="280">
        <f t="shared" si="105"/>
        <v>123300000</v>
      </c>
      <c r="CG84" s="280">
        <f t="shared" si="106"/>
        <v>123300000</v>
      </c>
      <c r="CI84" s="286">
        <v>0</v>
      </c>
      <c r="CJ84" s="286">
        <v>0</v>
      </c>
      <c r="CK84" s="286">
        <v>0</v>
      </c>
    </row>
    <row r="85" spans="2:89" ht="14.25" hidden="1" customHeight="1" x14ac:dyDescent="0.2">
      <c r="B85" s="223">
        <v>7</v>
      </c>
      <c r="C85" s="187" t="s">
        <v>480</v>
      </c>
      <c r="D85" s="188"/>
      <c r="E85" s="193"/>
      <c r="F85" s="192">
        <f>Q85+Y85+AI85+AS85+BC85+BM85</f>
        <v>0</v>
      </c>
      <c r="G85" s="191"/>
      <c r="H85" s="72">
        <v>1</v>
      </c>
      <c r="I85" s="352">
        <f t="shared" si="122"/>
        <v>0</v>
      </c>
      <c r="J85" s="219"/>
      <c r="K85" s="72">
        <f>'Rekap Non Tanaman'!C35</f>
        <v>0</v>
      </c>
      <c r="L85" s="72"/>
      <c r="M85" s="72">
        <f>'Rekap Non Tanaman'!E35</f>
        <v>0</v>
      </c>
      <c r="N85" s="72"/>
      <c r="O85" s="72">
        <f>'Rekap Non Tanaman'!G35</f>
        <v>0</v>
      </c>
      <c r="P85" s="193">
        <f t="shared" si="108"/>
        <v>0</v>
      </c>
      <c r="Q85" s="190">
        <f>K85+M85+O85</f>
        <v>0</v>
      </c>
      <c r="R85" s="191"/>
      <c r="S85" s="72">
        <f>'Rekap Non Tanaman'!M35</f>
        <v>0</v>
      </c>
      <c r="T85" s="72"/>
      <c r="U85" s="72">
        <f>'Rekap Non Tanaman'!O35</f>
        <v>0</v>
      </c>
      <c r="V85" s="72"/>
      <c r="W85" s="72">
        <f>'Rekap Non Tanaman'!Q35</f>
        <v>0</v>
      </c>
      <c r="X85" s="193">
        <f t="shared" si="109"/>
        <v>0</v>
      </c>
      <c r="Y85" s="190">
        <f t="shared" si="109"/>
        <v>0</v>
      </c>
      <c r="Z85" s="193">
        <f t="shared" si="110"/>
        <v>0</v>
      </c>
      <c r="AA85" s="190">
        <f t="shared" si="110"/>
        <v>0</v>
      </c>
      <c r="AB85" s="191"/>
      <c r="AC85" s="72">
        <f>'Rekap Non Tanaman'!W35</f>
        <v>0</v>
      </c>
      <c r="AD85" s="72"/>
      <c r="AE85" s="72">
        <f>'Rekap Non Tanaman'!Y35</f>
        <v>0</v>
      </c>
      <c r="AF85" s="72"/>
      <c r="AG85" s="72">
        <f>'Rekap Non Tanaman'!AA35</f>
        <v>0</v>
      </c>
      <c r="AH85" s="193">
        <f t="shared" si="111"/>
        <v>0</v>
      </c>
      <c r="AI85" s="190">
        <f t="shared" si="111"/>
        <v>0</v>
      </c>
      <c r="AJ85" s="193">
        <f t="shared" si="112"/>
        <v>0</v>
      </c>
      <c r="AK85" s="190">
        <f t="shared" si="112"/>
        <v>0</v>
      </c>
      <c r="AL85" s="191"/>
      <c r="AM85" s="72">
        <f>AL85*$I85</f>
        <v>0</v>
      </c>
      <c r="AN85" s="72"/>
      <c r="AO85" s="72">
        <f>AN85*$I85</f>
        <v>0</v>
      </c>
      <c r="AP85" s="72"/>
      <c r="AQ85" s="72">
        <f>AP85*$I85</f>
        <v>0</v>
      </c>
      <c r="AR85" s="193">
        <f t="shared" si="113"/>
        <v>0</v>
      </c>
      <c r="AS85" s="190">
        <f t="shared" si="113"/>
        <v>0</v>
      </c>
      <c r="AT85" s="193">
        <f t="shared" si="114"/>
        <v>0</v>
      </c>
      <c r="AU85" s="190">
        <f t="shared" si="114"/>
        <v>0</v>
      </c>
      <c r="AV85" s="191"/>
      <c r="AW85" s="72">
        <f>AV85*$I85</f>
        <v>0</v>
      </c>
      <c r="AX85" s="72"/>
      <c r="AY85" s="72">
        <f>AX85*$I85</f>
        <v>0</v>
      </c>
      <c r="AZ85" s="72"/>
      <c r="BA85" s="72">
        <f>AZ85*$I85</f>
        <v>0</v>
      </c>
      <c r="BB85" s="193">
        <f t="shared" si="115"/>
        <v>0</v>
      </c>
      <c r="BC85" s="190">
        <f t="shared" si="115"/>
        <v>0</v>
      </c>
      <c r="BD85" s="193">
        <f t="shared" si="116"/>
        <v>0</v>
      </c>
      <c r="BE85" s="190">
        <f t="shared" si="116"/>
        <v>0</v>
      </c>
      <c r="BF85" s="191"/>
      <c r="BG85" s="72">
        <f>BF85*$I85</f>
        <v>0</v>
      </c>
      <c r="BH85" s="72"/>
      <c r="BI85" s="72">
        <f>BH85*$I85</f>
        <v>0</v>
      </c>
      <c r="BJ85" s="72"/>
      <c r="BK85" s="72">
        <f>BJ85*$I85</f>
        <v>0</v>
      </c>
      <c r="BL85" s="193">
        <f t="shared" si="117"/>
        <v>0</v>
      </c>
      <c r="BM85" s="190">
        <f t="shared" si="117"/>
        <v>0</v>
      </c>
      <c r="BN85" s="193">
        <f t="shared" si="118"/>
        <v>0</v>
      </c>
      <c r="BO85" s="190">
        <f t="shared" si="118"/>
        <v>0</v>
      </c>
      <c r="BP85" s="191"/>
      <c r="BQ85" s="72">
        <f>BP85*$I85</f>
        <v>0</v>
      </c>
      <c r="BR85" s="72"/>
      <c r="BS85" s="72">
        <f>BR85*$I85</f>
        <v>0</v>
      </c>
      <c r="BT85" s="72"/>
      <c r="BU85" s="72">
        <f>BT85*$I85</f>
        <v>0</v>
      </c>
      <c r="BV85" s="193">
        <f t="shared" si="119"/>
        <v>0</v>
      </c>
      <c r="BW85" s="190">
        <f t="shared" si="119"/>
        <v>0</v>
      </c>
      <c r="BX85" s="193">
        <f t="shared" si="120"/>
        <v>0</v>
      </c>
      <c r="BY85" s="190">
        <f t="shared" si="120"/>
        <v>0</v>
      </c>
      <c r="CA85" s="278">
        <f t="shared" si="125"/>
        <v>0</v>
      </c>
      <c r="CB85" s="280">
        <f t="shared" si="126"/>
        <v>0</v>
      </c>
      <c r="CC85" s="440">
        <f t="shared" si="124"/>
        <v>0</v>
      </c>
      <c r="CD85" s="440">
        <f t="shared" si="123"/>
        <v>0</v>
      </c>
      <c r="CE85" s="286">
        <v>10000000000</v>
      </c>
      <c r="CF85" s="280">
        <f t="shared" si="105"/>
        <v>10000000000</v>
      </c>
      <c r="CG85" s="280">
        <f t="shared" si="106"/>
        <v>10000000000</v>
      </c>
      <c r="CI85" s="286">
        <v>0</v>
      </c>
      <c r="CJ85" s="286">
        <v>0</v>
      </c>
      <c r="CK85" s="286">
        <v>0</v>
      </c>
    </row>
    <row r="86" spans="2:89" s="281" customFormat="1" ht="14.25" customHeight="1" x14ac:dyDescent="0.2">
      <c r="B86" s="213" t="s">
        <v>482</v>
      </c>
      <c r="C86" s="214"/>
      <c r="D86" s="215"/>
      <c r="E86" s="389"/>
      <c r="F86" s="395">
        <f>SUM(F78:F85)</f>
        <v>3792000000</v>
      </c>
      <c r="G86" s="391">
        <f>G78+G79+G80+G85</f>
        <v>10834285.714285716</v>
      </c>
      <c r="H86" s="392"/>
      <c r="I86" s="396">
        <f>I78+I79+I80+I85</f>
        <v>10834285.714285716</v>
      </c>
      <c r="J86" s="394"/>
      <c r="K86" s="392">
        <f>SUM(K78:K85)</f>
        <v>0</v>
      </c>
      <c r="L86" s="392"/>
      <c r="M86" s="392">
        <f>SUM(M78:M85)</f>
        <v>0</v>
      </c>
      <c r="N86" s="392"/>
      <c r="O86" s="392">
        <f>SUM(O78:O85)</f>
        <v>3792000000</v>
      </c>
      <c r="P86" s="394"/>
      <c r="Q86" s="395">
        <f>SUM(Q78:Q85)</f>
        <v>3792000000</v>
      </c>
      <c r="R86" s="391"/>
      <c r="S86" s="393">
        <f>SUM(S78:S85)</f>
        <v>0</v>
      </c>
      <c r="T86" s="392"/>
      <c r="U86" s="393">
        <f>SUM(U78:U85)</f>
        <v>0</v>
      </c>
      <c r="V86" s="392"/>
      <c r="W86" s="393">
        <f>SUM(W78:W85)</f>
        <v>0</v>
      </c>
      <c r="X86" s="394"/>
      <c r="Y86" s="395">
        <f>SUM(Y78:Y85)</f>
        <v>0</v>
      </c>
      <c r="Z86" s="394"/>
      <c r="AA86" s="395">
        <f>SUM(AA78:AA85)</f>
        <v>3792000000</v>
      </c>
      <c r="AB86" s="391"/>
      <c r="AC86" s="393">
        <f>SUM(AC78:AC85)</f>
        <v>0</v>
      </c>
      <c r="AD86" s="392"/>
      <c r="AE86" s="393">
        <f>SUM(AE78:AE85)</f>
        <v>0</v>
      </c>
      <c r="AF86" s="392"/>
      <c r="AG86" s="393">
        <f>SUM(AG78:AG85)</f>
        <v>0</v>
      </c>
      <c r="AH86" s="394"/>
      <c r="AI86" s="395">
        <f>SUM(AI78:AI85)</f>
        <v>0</v>
      </c>
      <c r="AJ86" s="394"/>
      <c r="AK86" s="395">
        <f>SUM(AK78:AK85)</f>
        <v>3792000000</v>
      </c>
      <c r="AL86" s="391"/>
      <c r="AM86" s="392">
        <f>SUM(AM78:AM85)</f>
        <v>0</v>
      </c>
      <c r="AN86" s="392"/>
      <c r="AO86" s="392">
        <f>SUM(AO78:AO85)</f>
        <v>0</v>
      </c>
      <c r="AP86" s="392"/>
      <c r="AQ86" s="392">
        <f>SUM(AQ78:AQ85)</f>
        <v>0</v>
      </c>
      <c r="AR86" s="394"/>
      <c r="AS86" s="395">
        <f>SUM(AS78:AS85)</f>
        <v>0</v>
      </c>
      <c r="AT86" s="394"/>
      <c r="AU86" s="395">
        <f>SUM(AU78:AU85)</f>
        <v>3792000000</v>
      </c>
      <c r="AV86" s="391"/>
      <c r="AW86" s="392">
        <f>SUM(AW78:AW85)</f>
        <v>0</v>
      </c>
      <c r="AX86" s="392"/>
      <c r="AY86" s="392">
        <f>SUM(AY78:AY85)</f>
        <v>0</v>
      </c>
      <c r="AZ86" s="392"/>
      <c r="BA86" s="392">
        <f>SUM(BA78:BA85)</f>
        <v>0</v>
      </c>
      <c r="BB86" s="394"/>
      <c r="BC86" s="395">
        <f>SUM(BC78:BC85)</f>
        <v>0</v>
      </c>
      <c r="BD86" s="394"/>
      <c r="BE86" s="395">
        <f>SUM(BE78:BE85)</f>
        <v>3792000000</v>
      </c>
      <c r="BF86" s="391"/>
      <c r="BG86" s="392">
        <f>SUM(BG78:BG85)</f>
        <v>0</v>
      </c>
      <c r="BH86" s="392"/>
      <c r="BI86" s="392">
        <f>SUM(BI78:BI85)</f>
        <v>0</v>
      </c>
      <c r="BJ86" s="392"/>
      <c r="BK86" s="392">
        <f>SUM(BK78:BK85)</f>
        <v>0</v>
      </c>
      <c r="BL86" s="394"/>
      <c r="BM86" s="395">
        <f>SUM(BM78:BM85)</f>
        <v>0</v>
      </c>
      <c r="BN86" s="394"/>
      <c r="BO86" s="395">
        <f>SUM(BO78:BO85)</f>
        <v>3792000000</v>
      </c>
      <c r="BP86" s="391"/>
      <c r="BQ86" s="392">
        <f>SUM(BQ78:BQ85)</f>
        <v>0</v>
      </c>
      <c r="BR86" s="392"/>
      <c r="BS86" s="392">
        <f>SUM(BS78:BS85)</f>
        <v>0</v>
      </c>
      <c r="BT86" s="392"/>
      <c r="BU86" s="392">
        <f>SUM(BU78:BU85)</f>
        <v>0</v>
      </c>
      <c r="BV86" s="394"/>
      <c r="BW86" s="395">
        <f>SUM(BW78:BW85)</f>
        <v>0</v>
      </c>
      <c r="BX86" s="394"/>
      <c r="BY86" s="395">
        <f>SUM(BY78:BY85)</f>
        <v>3792000000</v>
      </c>
      <c r="CA86" s="278">
        <f t="shared" si="125"/>
        <v>0</v>
      </c>
      <c r="CB86" s="280">
        <f t="shared" si="126"/>
        <v>0</v>
      </c>
      <c r="CC86" s="440">
        <f t="shared" si="124"/>
        <v>0</v>
      </c>
      <c r="CD86" s="440">
        <f t="shared" si="123"/>
        <v>0</v>
      </c>
      <c r="CE86" s="291">
        <v>32337180000</v>
      </c>
      <c r="CF86" s="280">
        <f t="shared" si="105"/>
        <v>28545180000</v>
      </c>
      <c r="CG86" s="280">
        <f t="shared" si="106"/>
        <v>28545180000</v>
      </c>
      <c r="CI86" s="291">
        <v>0</v>
      </c>
      <c r="CJ86" s="291">
        <v>0</v>
      </c>
      <c r="CK86" s="291">
        <v>0</v>
      </c>
    </row>
    <row r="87" spans="2:89" ht="14.25" customHeight="1" x14ac:dyDescent="0.2">
      <c r="B87" s="217" t="s">
        <v>261</v>
      </c>
      <c r="C87" s="183" t="s">
        <v>268</v>
      </c>
      <c r="D87" s="184"/>
      <c r="E87" s="354"/>
      <c r="F87" s="355"/>
      <c r="G87" s="221"/>
      <c r="H87" s="75"/>
      <c r="I87" s="218"/>
      <c r="J87" s="219"/>
      <c r="K87" s="75"/>
      <c r="L87" s="75"/>
      <c r="M87" s="75"/>
      <c r="N87" s="75"/>
      <c r="O87" s="75"/>
      <c r="P87" s="219"/>
      <c r="Q87" s="220"/>
      <c r="R87" s="221"/>
      <c r="S87" s="75"/>
      <c r="T87" s="75"/>
      <c r="U87" s="75"/>
      <c r="V87" s="75"/>
      <c r="W87" s="75"/>
      <c r="X87" s="219"/>
      <c r="Y87" s="220"/>
      <c r="Z87" s="219"/>
      <c r="AA87" s="220"/>
      <c r="AB87" s="221"/>
      <c r="AC87" s="75"/>
      <c r="AD87" s="75"/>
      <c r="AE87" s="75"/>
      <c r="AF87" s="75"/>
      <c r="AG87" s="75"/>
      <c r="AH87" s="219"/>
      <c r="AI87" s="220"/>
      <c r="AJ87" s="219"/>
      <c r="AK87" s="220"/>
      <c r="AL87" s="221"/>
      <c r="AM87" s="75"/>
      <c r="AN87" s="75"/>
      <c r="AO87" s="75"/>
      <c r="AP87" s="75"/>
      <c r="AQ87" s="75"/>
      <c r="AR87" s="219"/>
      <c r="AS87" s="220"/>
      <c r="AT87" s="219"/>
      <c r="AU87" s="220"/>
      <c r="AV87" s="221"/>
      <c r="AW87" s="75"/>
      <c r="AX87" s="75"/>
      <c r="AY87" s="75"/>
      <c r="AZ87" s="75"/>
      <c r="BA87" s="75"/>
      <c r="BB87" s="219"/>
      <c r="BC87" s="220"/>
      <c r="BD87" s="219"/>
      <c r="BE87" s="220"/>
      <c r="BF87" s="221"/>
      <c r="BG87" s="75"/>
      <c r="BH87" s="75"/>
      <c r="BI87" s="75"/>
      <c r="BJ87" s="75"/>
      <c r="BK87" s="75"/>
      <c r="BL87" s="219"/>
      <c r="BM87" s="220"/>
      <c r="BN87" s="219"/>
      <c r="BO87" s="220"/>
      <c r="BP87" s="221"/>
      <c r="BQ87" s="75"/>
      <c r="BR87" s="75"/>
      <c r="BS87" s="75"/>
      <c r="BT87" s="75"/>
      <c r="BU87" s="75"/>
      <c r="BV87" s="219"/>
      <c r="BW87" s="220"/>
      <c r="BX87" s="219"/>
      <c r="BY87" s="220"/>
      <c r="CA87" s="278">
        <f t="shared" si="125"/>
        <v>0</v>
      </c>
      <c r="CB87" s="280">
        <f t="shared" si="126"/>
        <v>0</v>
      </c>
      <c r="CC87" s="440">
        <f t="shared" si="124"/>
        <v>0</v>
      </c>
      <c r="CD87" s="440">
        <f t="shared" si="123"/>
        <v>0</v>
      </c>
      <c r="CE87" s="286"/>
      <c r="CF87" s="280">
        <f t="shared" si="105"/>
        <v>0</v>
      </c>
      <c r="CG87" s="280">
        <f t="shared" si="106"/>
        <v>0</v>
      </c>
      <c r="CI87" s="286">
        <v>0</v>
      </c>
      <c r="CJ87" s="286">
        <v>0</v>
      </c>
      <c r="CK87" s="286">
        <v>0</v>
      </c>
    </row>
    <row r="88" spans="2:89" ht="14.25" customHeight="1" x14ac:dyDescent="0.2">
      <c r="B88" s="223">
        <v>1</v>
      </c>
      <c r="C88" s="187" t="s">
        <v>327</v>
      </c>
      <c r="D88" s="188"/>
      <c r="E88" s="443">
        <f t="shared" ref="E88:E93" si="127">$D$5</f>
        <v>350</v>
      </c>
      <c r="F88" s="192">
        <f t="shared" ref="F88:F93" si="128">E88*G88</f>
        <v>17500000</v>
      </c>
      <c r="G88" s="466">
        <v>50000</v>
      </c>
      <c r="H88" s="72">
        <v>1</v>
      </c>
      <c r="I88" s="352">
        <f t="shared" ref="I88:I93" si="129">G88*H88</f>
        <v>50000</v>
      </c>
      <c r="J88" s="443">
        <f>E88</f>
        <v>350</v>
      </c>
      <c r="K88" s="72">
        <f>J88*$G88</f>
        <v>17500000</v>
      </c>
      <c r="L88" s="72"/>
      <c r="M88" s="72">
        <f>L88*$G88</f>
        <v>0</v>
      </c>
      <c r="N88" s="72"/>
      <c r="O88" s="72">
        <f t="shared" ref="O88:O93" si="130">N88*$G88</f>
        <v>0</v>
      </c>
      <c r="P88" s="443">
        <f t="shared" ref="P88:Q93" si="131">J88+L88+N88</f>
        <v>350</v>
      </c>
      <c r="Q88" s="190">
        <f t="shared" si="131"/>
        <v>17500000</v>
      </c>
      <c r="R88" s="191"/>
      <c r="S88" s="72">
        <f t="shared" ref="S88:S93" si="132">R88*$G88</f>
        <v>0</v>
      </c>
      <c r="T88" s="72"/>
      <c r="U88" s="72">
        <f t="shared" ref="U88:U93" si="133">T88*$G88</f>
        <v>0</v>
      </c>
      <c r="V88" s="72"/>
      <c r="W88" s="72">
        <f t="shared" ref="W88:W93" si="134">V88*$G88</f>
        <v>0</v>
      </c>
      <c r="X88" s="193">
        <f t="shared" ref="X88:Y93" si="135">R88+T88+V88</f>
        <v>0</v>
      </c>
      <c r="Y88" s="190">
        <f t="shared" si="135"/>
        <v>0</v>
      </c>
      <c r="Z88" s="443">
        <f t="shared" ref="Z88:AA93" si="136">X88+P88</f>
        <v>350</v>
      </c>
      <c r="AA88" s="190">
        <f t="shared" si="136"/>
        <v>17500000</v>
      </c>
      <c r="AB88" s="191"/>
      <c r="AC88" s="72">
        <f t="shared" ref="AC88:AC93" si="137">AB88*$G88</f>
        <v>0</v>
      </c>
      <c r="AD88" s="72"/>
      <c r="AE88" s="72">
        <f t="shared" ref="AE88:AE93" si="138">AD88*$G88</f>
        <v>0</v>
      </c>
      <c r="AF88" s="72"/>
      <c r="AG88" s="72">
        <f t="shared" ref="AG88:AG93" si="139">AF88*$G88</f>
        <v>0</v>
      </c>
      <c r="AH88" s="193">
        <f t="shared" ref="AH88:AI93" si="140">AB88+AD88+AF88</f>
        <v>0</v>
      </c>
      <c r="AI88" s="190">
        <f t="shared" si="140"/>
        <v>0</v>
      </c>
      <c r="AJ88" s="443">
        <f t="shared" ref="AJ88:AK93" si="141">AH88+Z88</f>
        <v>350</v>
      </c>
      <c r="AK88" s="190">
        <f t="shared" si="141"/>
        <v>17500000</v>
      </c>
      <c r="AL88" s="191"/>
      <c r="AM88" s="72">
        <f t="shared" ref="AM88:AM93" si="142">AL88*$G88</f>
        <v>0</v>
      </c>
      <c r="AN88" s="72"/>
      <c r="AO88" s="72">
        <f t="shared" ref="AO88:AO93" si="143">AN88*$G88</f>
        <v>0</v>
      </c>
      <c r="AP88" s="72"/>
      <c r="AQ88" s="72">
        <f t="shared" ref="AQ88:AQ93" si="144">AP88*$G88</f>
        <v>0</v>
      </c>
      <c r="AR88" s="193">
        <f t="shared" ref="AR88:AS93" si="145">AL88+AN88+AP88</f>
        <v>0</v>
      </c>
      <c r="AS88" s="190">
        <f t="shared" si="145"/>
        <v>0</v>
      </c>
      <c r="AT88" s="443">
        <f t="shared" ref="AT88:AU93" si="146">AR88+AJ88</f>
        <v>350</v>
      </c>
      <c r="AU88" s="190">
        <f t="shared" si="146"/>
        <v>17500000</v>
      </c>
      <c r="AV88" s="191"/>
      <c r="AW88" s="72">
        <f t="shared" ref="AW88:AW93" si="147">AV88*$G88</f>
        <v>0</v>
      </c>
      <c r="AX88" s="72"/>
      <c r="AY88" s="72">
        <f t="shared" ref="AY88:AY93" si="148">AX88*$G88</f>
        <v>0</v>
      </c>
      <c r="AZ88" s="72"/>
      <c r="BA88" s="72">
        <f t="shared" ref="BA88:BA93" si="149">AZ88*$G88</f>
        <v>0</v>
      </c>
      <c r="BB88" s="193">
        <f t="shared" ref="BB88:BC93" si="150">AV88+AX88+AZ88</f>
        <v>0</v>
      </c>
      <c r="BC88" s="190">
        <f t="shared" si="150"/>
        <v>0</v>
      </c>
      <c r="BD88" s="443">
        <f t="shared" ref="BD88:BE93" si="151">BB88+AT88</f>
        <v>350</v>
      </c>
      <c r="BE88" s="190">
        <f t="shared" si="151"/>
        <v>17500000</v>
      </c>
      <c r="BF88" s="191"/>
      <c r="BG88" s="72">
        <f t="shared" ref="BG88:BG93" si="152">BF88*$G88</f>
        <v>0</v>
      </c>
      <c r="BH88" s="72"/>
      <c r="BI88" s="72">
        <f t="shared" ref="BI88:BI93" si="153">BH88*$G88</f>
        <v>0</v>
      </c>
      <c r="BJ88" s="72"/>
      <c r="BK88" s="72">
        <f t="shared" ref="BK88:BK93" si="154">BJ88*$G88</f>
        <v>0</v>
      </c>
      <c r="BL88" s="193">
        <f t="shared" ref="BL88:BM93" si="155">BF88+BH88+BJ88</f>
        <v>0</v>
      </c>
      <c r="BM88" s="190">
        <f t="shared" si="155"/>
        <v>0</v>
      </c>
      <c r="BN88" s="443">
        <f t="shared" ref="BN88:BO93" si="156">BL88+BD88</f>
        <v>350</v>
      </c>
      <c r="BO88" s="190">
        <f t="shared" si="156"/>
        <v>17500000</v>
      </c>
      <c r="BP88" s="191"/>
      <c r="BQ88" s="72">
        <f t="shared" ref="BQ88:BQ93" si="157">BP88*$G88</f>
        <v>0</v>
      </c>
      <c r="BR88" s="72"/>
      <c r="BS88" s="72">
        <f t="shared" ref="BS88:BS93" si="158">BR88*$G88</f>
        <v>0</v>
      </c>
      <c r="BT88" s="72"/>
      <c r="BU88" s="72">
        <f t="shared" ref="BU88:BU93" si="159">BT88*$G88</f>
        <v>0</v>
      </c>
      <c r="BV88" s="193">
        <f t="shared" ref="BV88:BW93" si="160">BP88+BR88+BT88</f>
        <v>0</v>
      </c>
      <c r="BW88" s="190">
        <f t="shared" si="160"/>
        <v>0</v>
      </c>
      <c r="BX88" s="443">
        <f t="shared" ref="BX88:BY93" si="161">BV88+BN88</f>
        <v>350</v>
      </c>
      <c r="BY88" s="190">
        <f t="shared" si="161"/>
        <v>17500000</v>
      </c>
      <c r="CA88" s="278">
        <f t="shared" si="125"/>
        <v>350</v>
      </c>
      <c r="CB88" s="280">
        <f t="shared" si="126"/>
        <v>0</v>
      </c>
      <c r="CC88" s="440">
        <f t="shared" si="124"/>
        <v>0</v>
      </c>
      <c r="CD88" s="440">
        <f t="shared" si="123"/>
        <v>0</v>
      </c>
      <c r="CE88" s="286">
        <v>0</v>
      </c>
      <c r="CF88" s="280">
        <f t="shared" si="105"/>
        <v>-17500000</v>
      </c>
      <c r="CG88" s="280">
        <f t="shared" si="106"/>
        <v>-17500000</v>
      </c>
      <c r="CI88" s="286">
        <v>25000</v>
      </c>
      <c r="CJ88" s="286">
        <v>25000</v>
      </c>
      <c r="CK88" s="286">
        <v>0</v>
      </c>
    </row>
    <row r="89" spans="2:89" ht="14.25" customHeight="1" x14ac:dyDescent="0.2">
      <c r="B89" s="223">
        <v>2</v>
      </c>
      <c r="C89" s="187" t="s">
        <v>306</v>
      </c>
      <c r="D89" s="188"/>
      <c r="E89" s="443">
        <f t="shared" si="127"/>
        <v>350</v>
      </c>
      <c r="F89" s="192">
        <f t="shared" si="128"/>
        <v>35000000</v>
      </c>
      <c r="G89" s="466">
        <v>100000</v>
      </c>
      <c r="H89" s="72">
        <v>1</v>
      </c>
      <c r="I89" s="352">
        <f t="shared" si="129"/>
        <v>100000</v>
      </c>
      <c r="J89" s="443">
        <f>J88</f>
        <v>350</v>
      </c>
      <c r="K89" s="72">
        <f>J89*$G89</f>
        <v>35000000</v>
      </c>
      <c r="L89" s="72"/>
      <c r="M89" s="72">
        <f t="shared" ref="K89:M93" si="162">L89*$G89</f>
        <v>0</v>
      </c>
      <c r="N89" s="72"/>
      <c r="O89" s="72">
        <f t="shared" si="130"/>
        <v>0</v>
      </c>
      <c r="P89" s="443">
        <f t="shared" si="131"/>
        <v>350</v>
      </c>
      <c r="Q89" s="190">
        <f t="shared" si="131"/>
        <v>35000000</v>
      </c>
      <c r="R89" s="191"/>
      <c r="S89" s="72">
        <f t="shared" si="132"/>
        <v>0</v>
      </c>
      <c r="T89" s="72"/>
      <c r="U89" s="72">
        <f t="shared" si="133"/>
        <v>0</v>
      </c>
      <c r="V89" s="72"/>
      <c r="W89" s="72">
        <f t="shared" si="134"/>
        <v>0</v>
      </c>
      <c r="X89" s="193">
        <f t="shared" si="135"/>
        <v>0</v>
      </c>
      <c r="Y89" s="190">
        <f t="shared" si="135"/>
        <v>0</v>
      </c>
      <c r="Z89" s="443">
        <f t="shared" si="136"/>
        <v>350</v>
      </c>
      <c r="AA89" s="190">
        <f t="shared" si="136"/>
        <v>35000000</v>
      </c>
      <c r="AB89" s="191"/>
      <c r="AC89" s="72">
        <f t="shared" si="137"/>
        <v>0</v>
      </c>
      <c r="AD89" s="72"/>
      <c r="AE89" s="72">
        <f t="shared" si="138"/>
        <v>0</v>
      </c>
      <c r="AF89" s="72"/>
      <c r="AG89" s="72">
        <f t="shared" si="139"/>
        <v>0</v>
      </c>
      <c r="AH89" s="193">
        <f t="shared" si="140"/>
        <v>0</v>
      </c>
      <c r="AI89" s="190">
        <f t="shared" si="140"/>
        <v>0</v>
      </c>
      <c r="AJ89" s="443">
        <f t="shared" si="141"/>
        <v>350</v>
      </c>
      <c r="AK89" s="190">
        <f t="shared" si="141"/>
        <v>35000000</v>
      </c>
      <c r="AL89" s="191"/>
      <c r="AM89" s="72">
        <f t="shared" si="142"/>
        <v>0</v>
      </c>
      <c r="AN89" s="72"/>
      <c r="AO89" s="72">
        <f t="shared" si="143"/>
        <v>0</v>
      </c>
      <c r="AP89" s="72"/>
      <c r="AQ89" s="72">
        <f t="shared" si="144"/>
        <v>0</v>
      </c>
      <c r="AR89" s="193">
        <f t="shared" si="145"/>
        <v>0</v>
      </c>
      <c r="AS89" s="190">
        <f t="shared" si="145"/>
        <v>0</v>
      </c>
      <c r="AT89" s="443">
        <f t="shared" si="146"/>
        <v>350</v>
      </c>
      <c r="AU89" s="190">
        <f t="shared" si="146"/>
        <v>35000000</v>
      </c>
      <c r="AV89" s="191"/>
      <c r="AW89" s="72">
        <f t="shared" si="147"/>
        <v>0</v>
      </c>
      <c r="AX89" s="72"/>
      <c r="AY89" s="72">
        <f t="shared" si="148"/>
        <v>0</v>
      </c>
      <c r="AZ89" s="72"/>
      <c r="BA89" s="72">
        <f t="shared" si="149"/>
        <v>0</v>
      </c>
      <c r="BB89" s="193">
        <f t="shared" si="150"/>
        <v>0</v>
      </c>
      <c r="BC89" s="190">
        <f t="shared" si="150"/>
        <v>0</v>
      </c>
      <c r="BD89" s="443">
        <f t="shared" si="151"/>
        <v>350</v>
      </c>
      <c r="BE89" s="190">
        <f t="shared" si="151"/>
        <v>35000000</v>
      </c>
      <c r="BF89" s="191"/>
      <c r="BG89" s="72">
        <f t="shared" si="152"/>
        <v>0</v>
      </c>
      <c r="BH89" s="72"/>
      <c r="BI89" s="72">
        <f t="shared" si="153"/>
        <v>0</v>
      </c>
      <c r="BJ89" s="72"/>
      <c r="BK89" s="72">
        <f t="shared" si="154"/>
        <v>0</v>
      </c>
      <c r="BL89" s="193">
        <f t="shared" si="155"/>
        <v>0</v>
      </c>
      <c r="BM89" s="190">
        <f t="shared" si="155"/>
        <v>0</v>
      </c>
      <c r="BN89" s="443">
        <f t="shared" si="156"/>
        <v>350</v>
      </c>
      <c r="BO89" s="190">
        <f t="shared" si="156"/>
        <v>35000000</v>
      </c>
      <c r="BP89" s="191"/>
      <c r="BQ89" s="72">
        <f t="shared" si="157"/>
        <v>0</v>
      </c>
      <c r="BR89" s="72"/>
      <c r="BS89" s="72">
        <f t="shared" si="158"/>
        <v>0</v>
      </c>
      <c r="BT89" s="72"/>
      <c r="BU89" s="72">
        <f t="shared" si="159"/>
        <v>0</v>
      </c>
      <c r="BV89" s="193">
        <f t="shared" si="160"/>
        <v>0</v>
      </c>
      <c r="BW89" s="190">
        <f t="shared" si="160"/>
        <v>0</v>
      </c>
      <c r="BX89" s="443">
        <f t="shared" si="161"/>
        <v>350</v>
      </c>
      <c r="BY89" s="190">
        <f t="shared" si="161"/>
        <v>35000000</v>
      </c>
      <c r="CA89" s="278">
        <f t="shared" si="125"/>
        <v>350</v>
      </c>
      <c r="CB89" s="280">
        <f t="shared" si="126"/>
        <v>0</v>
      </c>
      <c r="CC89" s="440">
        <f t="shared" si="124"/>
        <v>0</v>
      </c>
      <c r="CD89" s="440">
        <f t="shared" si="123"/>
        <v>0</v>
      </c>
      <c r="CE89" s="286">
        <v>0</v>
      </c>
      <c r="CF89" s="280">
        <f t="shared" si="105"/>
        <v>-35000000</v>
      </c>
      <c r="CG89" s="280">
        <f t="shared" si="106"/>
        <v>-35000000</v>
      </c>
      <c r="CI89" s="286">
        <v>50000</v>
      </c>
      <c r="CJ89" s="286">
        <v>50000</v>
      </c>
      <c r="CK89" s="286">
        <v>0</v>
      </c>
    </row>
    <row r="90" spans="2:89" ht="14.25" customHeight="1" x14ac:dyDescent="0.2">
      <c r="B90" s="223">
        <v>3</v>
      </c>
      <c r="C90" s="187" t="s">
        <v>325</v>
      </c>
      <c r="D90" s="188"/>
      <c r="E90" s="443">
        <f t="shared" si="127"/>
        <v>350</v>
      </c>
      <c r="F90" s="192">
        <f t="shared" si="128"/>
        <v>262500000</v>
      </c>
      <c r="G90" s="466">
        <v>750000</v>
      </c>
      <c r="H90" s="192">
        <v>1</v>
      </c>
      <c r="I90" s="352">
        <f t="shared" si="129"/>
        <v>750000</v>
      </c>
      <c r="J90" s="443">
        <f>J89</f>
        <v>350</v>
      </c>
      <c r="K90" s="72">
        <f>J90*$G90</f>
        <v>262500000</v>
      </c>
      <c r="L90" s="72"/>
      <c r="M90" s="72">
        <f t="shared" si="162"/>
        <v>0</v>
      </c>
      <c r="N90" s="72"/>
      <c r="O90" s="72">
        <f t="shared" si="130"/>
        <v>0</v>
      </c>
      <c r="P90" s="443">
        <f t="shared" si="131"/>
        <v>350</v>
      </c>
      <c r="Q90" s="190">
        <f t="shared" si="131"/>
        <v>262500000</v>
      </c>
      <c r="R90" s="191"/>
      <c r="S90" s="72">
        <f t="shared" si="132"/>
        <v>0</v>
      </c>
      <c r="T90" s="72"/>
      <c r="U90" s="72">
        <f t="shared" si="133"/>
        <v>0</v>
      </c>
      <c r="V90" s="72"/>
      <c r="W90" s="72">
        <f t="shared" si="134"/>
        <v>0</v>
      </c>
      <c r="X90" s="193">
        <f t="shared" si="135"/>
        <v>0</v>
      </c>
      <c r="Y90" s="190">
        <f t="shared" si="135"/>
        <v>0</v>
      </c>
      <c r="Z90" s="443">
        <f t="shared" si="136"/>
        <v>350</v>
      </c>
      <c r="AA90" s="190">
        <f t="shared" si="136"/>
        <v>262500000</v>
      </c>
      <c r="AB90" s="191"/>
      <c r="AC90" s="72">
        <f t="shared" si="137"/>
        <v>0</v>
      </c>
      <c r="AD90" s="72"/>
      <c r="AE90" s="72">
        <f t="shared" si="138"/>
        <v>0</v>
      </c>
      <c r="AF90" s="72"/>
      <c r="AG90" s="72">
        <f t="shared" si="139"/>
        <v>0</v>
      </c>
      <c r="AH90" s="193">
        <f t="shared" si="140"/>
        <v>0</v>
      </c>
      <c r="AI90" s="190">
        <f t="shared" si="140"/>
        <v>0</v>
      </c>
      <c r="AJ90" s="443">
        <f t="shared" si="141"/>
        <v>350</v>
      </c>
      <c r="AK90" s="190">
        <f t="shared" si="141"/>
        <v>262500000</v>
      </c>
      <c r="AL90" s="191"/>
      <c r="AM90" s="72">
        <f t="shared" si="142"/>
        <v>0</v>
      </c>
      <c r="AN90" s="72"/>
      <c r="AO90" s="72">
        <f t="shared" si="143"/>
        <v>0</v>
      </c>
      <c r="AP90" s="72"/>
      <c r="AQ90" s="72">
        <f t="shared" si="144"/>
        <v>0</v>
      </c>
      <c r="AR90" s="193">
        <f t="shared" si="145"/>
        <v>0</v>
      </c>
      <c r="AS90" s="190">
        <f t="shared" si="145"/>
        <v>0</v>
      </c>
      <c r="AT90" s="443">
        <f t="shared" si="146"/>
        <v>350</v>
      </c>
      <c r="AU90" s="190">
        <f t="shared" si="146"/>
        <v>262500000</v>
      </c>
      <c r="AV90" s="191"/>
      <c r="AW90" s="72">
        <f t="shared" si="147"/>
        <v>0</v>
      </c>
      <c r="AX90" s="72"/>
      <c r="AY90" s="72">
        <f t="shared" si="148"/>
        <v>0</v>
      </c>
      <c r="AZ90" s="72"/>
      <c r="BA90" s="72">
        <f t="shared" si="149"/>
        <v>0</v>
      </c>
      <c r="BB90" s="193">
        <f t="shared" si="150"/>
        <v>0</v>
      </c>
      <c r="BC90" s="190">
        <f t="shared" si="150"/>
        <v>0</v>
      </c>
      <c r="BD90" s="443">
        <f t="shared" si="151"/>
        <v>350</v>
      </c>
      <c r="BE90" s="190">
        <f t="shared" si="151"/>
        <v>262500000</v>
      </c>
      <c r="BF90" s="191"/>
      <c r="BG90" s="72">
        <f t="shared" si="152"/>
        <v>0</v>
      </c>
      <c r="BH90" s="72"/>
      <c r="BI90" s="72">
        <f t="shared" si="153"/>
        <v>0</v>
      </c>
      <c r="BJ90" s="72"/>
      <c r="BK90" s="72">
        <f t="shared" si="154"/>
        <v>0</v>
      </c>
      <c r="BL90" s="193">
        <f t="shared" si="155"/>
        <v>0</v>
      </c>
      <c r="BM90" s="190">
        <f t="shared" si="155"/>
        <v>0</v>
      </c>
      <c r="BN90" s="443">
        <f t="shared" si="156"/>
        <v>350</v>
      </c>
      <c r="BO90" s="190">
        <f t="shared" si="156"/>
        <v>262500000</v>
      </c>
      <c r="BP90" s="191"/>
      <c r="BQ90" s="72">
        <f t="shared" si="157"/>
        <v>0</v>
      </c>
      <c r="BR90" s="72"/>
      <c r="BS90" s="72">
        <f t="shared" si="158"/>
        <v>0</v>
      </c>
      <c r="BT90" s="72"/>
      <c r="BU90" s="72">
        <f t="shared" si="159"/>
        <v>0</v>
      </c>
      <c r="BV90" s="193">
        <f t="shared" si="160"/>
        <v>0</v>
      </c>
      <c r="BW90" s="190">
        <f t="shared" si="160"/>
        <v>0</v>
      </c>
      <c r="BX90" s="443">
        <f t="shared" si="161"/>
        <v>350</v>
      </c>
      <c r="BY90" s="190">
        <f t="shared" si="161"/>
        <v>262500000</v>
      </c>
      <c r="CA90" s="278">
        <f t="shared" si="125"/>
        <v>350</v>
      </c>
      <c r="CB90" s="280">
        <f t="shared" si="126"/>
        <v>0</v>
      </c>
      <c r="CC90" s="440">
        <f t="shared" si="124"/>
        <v>0</v>
      </c>
      <c r="CD90" s="440">
        <f t="shared" si="123"/>
        <v>0</v>
      </c>
      <c r="CE90" s="286">
        <v>0</v>
      </c>
      <c r="CF90" s="280">
        <f t="shared" si="105"/>
        <v>-262500000</v>
      </c>
      <c r="CG90" s="280">
        <f t="shared" si="106"/>
        <v>-262500000</v>
      </c>
      <c r="CI90" s="286">
        <v>150000</v>
      </c>
      <c r="CJ90" s="286">
        <v>150000</v>
      </c>
      <c r="CK90" s="286">
        <v>0</v>
      </c>
    </row>
    <row r="91" spans="2:89" ht="14.25" hidden="1" customHeight="1" x14ac:dyDescent="0.2">
      <c r="B91" s="223"/>
      <c r="C91" s="187" t="s">
        <v>326</v>
      </c>
      <c r="D91" s="188"/>
      <c r="E91" s="443">
        <f t="shared" si="127"/>
        <v>350</v>
      </c>
      <c r="F91" s="192">
        <f t="shared" si="128"/>
        <v>0</v>
      </c>
      <c r="G91" s="466"/>
      <c r="H91" s="72">
        <v>1</v>
      </c>
      <c r="I91" s="352">
        <f t="shared" si="129"/>
        <v>0</v>
      </c>
      <c r="J91" s="443"/>
      <c r="K91" s="72">
        <f t="shared" si="162"/>
        <v>0</v>
      </c>
      <c r="L91" s="72"/>
      <c r="M91" s="72">
        <f t="shared" si="162"/>
        <v>0</v>
      </c>
      <c r="N91" s="72"/>
      <c r="O91" s="72">
        <f t="shared" si="130"/>
        <v>0</v>
      </c>
      <c r="P91" s="443">
        <f t="shared" si="131"/>
        <v>0</v>
      </c>
      <c r="Q91" s="190">
        <f t="shared" si="131"/>
        <v>0</v>
      </c>
      <c r="R91" s="191"/>
      <c r="S91" s="72">
        <f t="shared" si="132"/>
        <v>0</v>
      </c>
      <c r="T91" s="72"/>
      <c r="U91" s="72">
        <f t="shared" si="133"/>
        <v>0</v>
      </c>
      <c r="V91" s="72"/>
      <c r="W91" s="72">
        <f t="shared" si="134"/>
        <v>0</v>
      </c>
      <c r="X91" s="193">
        <f t="shared" si="135"/>
        <v>0</v>
      </c>
      <c r="Y91" s="190">
        <f t="shared" si="135"/>
        <v>0</v>
      </c>
      <c r="Z91" s="443">
        <f t="shared" si="136"/>
        <v>0</v>
      </c>
      <c r="AA91" s="190">
        <f t="shared" si="136"/>
        <v>0</v>
      </c>
      <c r="AB91" s="191"/>
      <c r="AC91" s="72">
        <f t="shared" si="137"/>
        <v>0</v>
      </c>
      <c r="AD91" s="72"/>
      <c r="AE91" s="72">
        <f t="shared" si="138"/>
        <v>0</v>
      </c>
      <c r="AF91" s="72"/>
      <c r="AG91" s="72">
        <f t="shared" si="139"/>
        <v>0</v>
      </c>
      <c r="AH91" s="193">
        <f t="shared" si="140"/>
        <v>0</v>
      </c>
      <c r="AI91" s="190">
        <f t="shared" si="140"/>
        <v>0</v>
      </c>
      <c r="AJ91" s="443">
        <f t="shared" si="141"/>
        <v>0</v>
      </c>
      <c r="AK91" s="190">
        <f t="shared" si="141"/>
        <v>0</v>
      </c>
      <c r="AL91" s="191"/>
      <c r="AM91" s="72">
        <f t="shared" si="142"/>
        <v>0</v>
      </c>
      <c r="AN91" s="72"/>
      <c r="AO91" s="72">
        <f t="shared" si="143"/>
        <v>0</v>
      </c>
      <c r="AP91" s="72"/>
      <c r="AQ91" s="72">
        <f t="shared" si="144"/>
        <v>0</v>
      </c>
      <c r="AR91" s="193">
        <f t="shared" si="145"/>
        <v>0</v>
      </c>
      <c r="AS91" s="190">
        <f t="shared" si="145"/>
        <v>0</v>
      </c>
      <c r="AT91" s="443">
        <f t="shared" si="146"/>
        <v>0</v>
      </c>
      <c r="AU91" s="190">
        <f t="shared" si="146"/>
        <v>0</v>
      </c>
      <c r="AV91" s="191"/>
      <c r="AW91" s="72">
        <f t="shared" si="147"/>
        <v>0</v>
      </c>
      <c r="AX91" s="72"/>
      <c r="AY91" s="72">
        <f t="shared" si="148"/>
        <v>0</v>
      </c>
      <c r="AZ91" s="72"/>
      <c r="BA91" s="72">
        <f t="shared" si="149"/>
        <v>0</v>
      </c>
      <c r="BB91" s="193">
        <f t="shared" si="150"/>
        <v>0</v>
      </c>
      <c r="BC91" s="190">
        <f t="shared" si="150"/>
        <v>0</v>
      </c>
      <c r="BD91" s="443">
        <f t="shared" si="151"/>
        <v>0</v>
      </c>
      <c r="BE91" s="190">
        <f t="shared" si="151"/>
        <v>0</v>
      </c>
      <c r="BF91" s="191"/>
      <c r="BG91" s="72">
        <f t="shared" si="152"/>
        <v>0</v>
      </c>
      <c r="BH91" s="72"/>
      <c r="BI91" s="72">
        <f t="shared" si="153"/>
        <v>0</v>
      </c>
      <c r="BJ91" s="72"/>
      <c r="BK91" s="72">
        <f t="shared" si="154"/>
        <v>0</v>
      </c>
      <c r="BL91" s="193">
        <f t="shared" si="155"/>
        <v>0</v>
      </c>
      <c r="BM91" s="190">
        <f t="shared" si="155"/>
        <v>0</v>
      </c>
      <c r="BN91" s="443">
        <f t="shared" si="156"/>
        <v>0</v>
      </c>
      <c r="BO91" s="190">
        <f t="shared" si="156"/>
        <v>0</v>
      </c>
      <c r="BP91" s="191"/>
      <c r="BQ91" s="72">
        <f t="shared" si="157"/>
        <v>0</v>
      </c>
      <c r="BR91" s="72"/>
      <c r="BS91" s="72">
        <f t="shared" si="158"/>
        <v>0</v>
      </c>
      <c r="BT91" s="72"/>
      <c r="BU91" s="72">
        <f t="shared" si="159"/>
        <v>0</v>
      </c>
      <c r="BV91" s="193">
        <f t="shared" si="160"/>
        <v>0</v>
      </c>
      <c r="BW91" s="190">
        <f t="shared" si="160"/>
        <v>0</v>
      </c>
      <c r="BX91" s="443">
        <f t="shared" si="161"/>
        <v>0</v>
      </c>
      <c r="BY91" s="190">
        <f t="shared" si="161"/>
        <v>0</v>
      </c>
      <c r="CA91" s="278">
        <f t="shared" si="125"/>
        <v>350</v>
      </c>
      <c r="CB91" s="280">
        <f t="shared" si="126"/>
        <v>350</v>
      </c>
      <c r="CC91" s="440">
        <f t="shared" si="124"/>
        <v>350</v>
      </c>
      <c r="CD91" s="440">
        <f t="shared" si="123"/>
        <v>0</v>
      </c>
      <c r="CE91" s="286">
        <v>0</v>
      </c>
      <c r="CF91" s="280">
        <f t="shared" si="105"/>
        <v>0</v>
      </c>
      <c r="CG91" s="280">
        <f t="shared" si="106"/>
        <v>0</v>
      </c>
      <c r="CI91" s="286">
        <v>0</v>
      </c>
      <c r="CJ91" s="286">
        <v>0</v>
      </c>
      <c r="CK91" s="286">
        <v>0</v>
      </c>
    </row>
    <row r="92" spans="2:89" ht="14.25" hidden="1" customHeight="1" x14ac:dyDescent="0.2">
      <c r="B92" s="223"/>
      <c r="C92" s="187" t="s">
        <v>324</v>
      </c>
      <c r="D92" s="188"/>
      <c r="E92" s="443">
        <f t="shared" si="127"/>
        <v>350</v>
      </c>
      <c r="F92" s="192">
        <f t="shared" si="128"/>
        <v>0</v>
      </c>
      <c r="G92" s="466"/>
      <c r="H92" s="72">
        <v>1</v>
      </c>
      <c r="I92" s="352">
        <f t="shared" si="129"/>
        <v>0</v>
      </c>
      <c r="J92" s="443"/>
      <c r="K92" s="72">
        <f t="shared" si="162"/>
        <v>0</v>
      </c>
      <c r="L92" s="72"/>
      <c r="M92" s="72">
        <f t="shared" si="162"/>
        <v>0</v>
      </c>
      <c r="N92" s="72"/>
      <c r="O92" s="72">
        <f t="shared" si="130"/>
        <v>0</v>
      </c>
      <c r="P92" s="443">
        <f t="shared" si="131"/>
        <v>0</v>
      </c>
      <c r="Q92" s="190">
        <f t="shared" si="131"/>
        <v>0</v>
      </c>
      <c r="R92" s="191"/>
      <c r="S92" s="72">
        <f t="shared" si="132"/>
        <v>0</v>
      </c>
      <c r="T92" s="72"/>
      <c r="U92" s="72">
        <f t="shared" si="133"/>
        <v>0</v>
      </c>
      <c r="V92" s="72"/>
      <c r="W92" s="72">
        <f t="shared" si="134"/>
        <v>0</v>
      </c>
      <c r="X92" s="193">
        <f t="shared" si="135"/>
        <v>0</v>
      </c>
      <c r="Y92" s="190">
        <f t="shared" si="135"/>
        <v>0</v>
      </c>
      <c r="Z92" s="443">
        <f t="shared" si="136"/>
        <v>0</v>
      </c>
      <c r="AA92" s="190">
        <f t="shared" si="136"/>
        <v>0</v>
      </c>
      <c r="AB92" s="191"/>
      <c r="AC92" s="72">
        <f t="shared" si="137"/>
        <v>0</v>
      </c>
      <c r="AD92" s="72"/>
      <c r="AE92" s="72">
        <f t="shared" si="138"/>
        <v>0</v>
      </c>
      <c r="AF92" s="72"/>
      <c r="AG92" s="72">
        <f t="shared" si="139"/>
        <v>0</v>
      </c>
      <c r="AH92" s="193">
        <f t="shared" si="140"/>
        <v>0</v>
      </c>
      <c r="AI92" s="190">
        <f t="shared" si="140"/>
        <v>0</v>
      </c>
      <c r="AJ92" s="443">
        <f t="shared" si="141"/>
        <v>0</v>
      </c>
      <c r="AK92" s="190">
        <f t="shared" si="141"/>
        <v>0</v>
      </c>
      <c r="AL92" s="191"/>
      <c r="AM92" s="72">
        <f t="shared" si="142"/>
        <v>0</v>
      </c>
      <c r="AN92" s="72"/>
      <c r="AO92" s="72">
        <f t="shared" si="143"/>
        <v>0</v>
      </c>
      <c r="AP92" s="72"/>
      <c r="AQ92" s="72">
        <f t="shared" si="144"/>
        <v>0</v>
      </c>
      <c r="AR92" s="193">
        <f t="shared" si="145"/>
        <v>0</v>
      </c>
      <c r="AS92" s="190">
        <f t="shared" si="145"/>
        <v>0</v>
      </c>
      <c r="AT92" s="443">
        <f t="shared" si="146"/>
        <v>0</v>
      </c>
      <c r="AU92" s="190">
        <f t="shared" si="146"/>
        <v>0</v>
      </c>
      <c r="AV92" s="191"/>
      <c r="AW92" s="72">
        <f t="shared" si="147"/>
        <v>0</v>
      </c>
      <c r="AX92" s="72"/>
      <c r="AY92" s="72">
        <f t="shared" si="148"/>
        <v>0</v>
      </c>
      <c r="AZ92" s="72"/>
      <c r="BA92" s="72">
        <f t="shared" si="149"/>
        <v>0</v>
      </c>
      <c r="BB92" s="193">
        <f t="shared" si="150"/>
        <v>0</v>
      </c>
      <c r="BC92" s="190">
        <f t="shared" si="150"/>
        <v>0</v>
      </c>
      <c r="BD92" s="443">
        <f t="shared" si="151"/>
        <v>0</v>
      </c>
      <c r="BE92" s="190">
        <f t="shared" si="151"/>
        <v>0</v>
      </c>
      <c r="BF92" s="191"/>
      <c r="BG92" s="72">
        <f t="shared" si="152"/>
        <v>0</v>
      </c>
      <c r="BH92" s="72"/>
      <c r="BI92" s="72">
        <f t="shared" si="153"/>
        <v>0</v>
      </c>
      <c r="BJ92" s="72"/>
      <c r="BK92" s="72">
        <f t="shared" si="154"/>
        <v>0</v>
      </c>
      <c r="BL92" s="193">
        <f t="shared" si="155"/>
        <v>0</v>
      </c>
      <c r="BM92" s="190">
        <f t="shared" si="155"/>
        <v>0</v>
      </c>
      <c r="BN92" s="443">
        <f t="shared" si="156"/>
        <v>0</v>
      </c>
      <c r="BO92" s="190">
        <f t="shared" si="156"/>
        <v>0</v>
      </c>
      <c r="BP92" s="191"/>
      <c r="BQ92" s="72">
        <f t="shared" si="157"/>
        <v>0</v>
      </c>
      <c r="BR92" s="72"/>
      <c r="BS92" s="72">
        <f t="shared" si="158"/>
        <v>0</v>
      </c>
      <c r="BT92" s="72"/>
      <c r="BU92" s="72">
        <f t="shared" si="159"/>
        <v>0</v>
      </c>
      <c r="BV92" s="193">
        <f t="shared" si="160"/>
        <v>0</v>
      </c>
      <c r="BW92" s="190">
        <f t="shared" si="160"/>
        <v>0</v>
      </c>
      <c r="BX92" s="443">
        <f t="shared" si="161"/>
        <v>0</v>
      </c>
      <c r="BY92" s="190">
        <f t="shared" si="161"/>
        <v>0</v>
      </c>
      <c r="CA92" s="278">
        <f t="shared" si="125"/>
        <v>350</v>
      </c>
      <c r="CB92" s="280">
        <f t="shared" si="126"/>
        <v>350</v>
      </c>
      <c r="CC92" s="440">
        <f t="shared" si="124"/>
        <v>350</v>
      </c>
      <c r="CD92" s="440">
        <f t="shared" si="123"/>
        <v>0</v>
      </c>
      <c r="CE92" s="286">
        <v>0</v>
      </c>
      <c r="CF92" s="280">
        <f t="shared" si="105"/>
        <v>0</v>
      </c>
      <c r="CG92" s="280">
        <f t="shared" si="106"/>
        <v>0</v>
      </c>
      <c r="CI92" s="286">
        <v>0</v>
      </c>
      <c r="CJ92" s="286">
        <v>0</v>
      </c>
      <c r="CK92" s="286">
        <v>0</v>
      </c>
    </row>
    <row r="93" spans="2:89" ht="14.25" customHeight="1" x14ac:dyDescent="0.2">
      <c r="B93" s="223">
        <v>4</v>
      </c>
      <c r="C93" s="187" t="s">
        <v>308</v>
      </c>
      <c r="D93" s="188"/>
      <c r="E93" s="443">
        <f t="shared" si="127"/>
        <v>350</v>
      </c>
      <c r="F93" s="192">
        <f t="shared" si="128"/>
        <v>350000000</v>
      </c>
      <c r="G93" s="466">
        <v>1000000</v>
      </c>
      <c r="H93" s="72">
        <v>1</v>
      </c>
      <c r="I93" s="352">
        <f t="shared" si="129"/>
        <v>1000000</v>
      </c>
      <c r="J93" s="443">
        <f>J90</f>
        <v>350</v>
      </c>
      <c r="K93" s="72">
        <f t="shared" si="162"/>
        <v>350000000</v>
      </c>
      <c r="L93" s="72"/>
      <c r="M93" s="72">
        <f t="shared" si="162"/>
        <v>0</v>
      </c>
      <c r="N93" s="72"/>
      <c r="O93" s="72">
        <f t="shared" si="130"/>
        <v>0</v>
      </c>
      <c r="P93" s="443">
        <f t="shared" si="131"/>
        <v>350</v>
      </c>
      <c r="Q93" s="190">
        <f t="shared" si="131"/>
        <v>350000000</v>
      </c>
      <c r="R93" s="191"/>
      <c r="S93" s="72">
        <f t="shared" si="132"/>
        <v>0</v>
      </c>
      <c r="T93" s="72"/>
      <c r="U93" s="72">
        <f t="shared" si="133"/>
        <v>0</v>
      </c>
      <c r="V93" s="72"/>
      <c r="W93" s="72">
        <f t="shared" si="134"/>
        <v>0</v>
      </c>
      <c r="X93" s="193">
        <f t="shared" si="135"/>
        <v>0</v>
      </c>
      <c r="Y93" s="190">
        <f t="shared" si="135"/>
        <v>0</v>
      </c>
      <c r="Z93" s="443">
        <f t="shared" si="136"/>
        <v>350</v>
      </c>
      <c r="AA93" s="190">
        <f t="shared" si="136"/>
        <v>350000000</v>
      </c>
      <c r="AB93" s="191"/>
      <c r="AC93" s="72">
        <f t="shared" si="137"/>
        <v>0</v>
      </c>
      <c r="AD93" s="72"/>
      <c r="AE93" s="72">
        <f t="shared" si="138"/>
        <v>0</v>
      </c>
      <c r="AF93" s="72"/>
      <c r="AG93" s="72">
        <f t="shared" si="139"/>
        <v>0</v>
      </c>
      <c r="AH93" s="193">
        <f t="shared" si="140"/>
        <v>0</v>
      </c>
      <c r="AI93" s="190">
        <f t="shared" si="140"/>
        <v>0</v>
      </c>
      <c r="AJ93" s="443">
        <f t="shared" si="141"/>
        <v>350</v>
      </c>
      <c r="AK93" s="190">
        <f t="shared" si="141"/>
        <v>350000000</v>
      </c>
      <c r="AL93" s="191"/>
      <c r="AM93" s="72">
        <f t="shared" si="142"/>
        <v>0</v>
      </c>
      <c r="AN93" s="72"/>
      <c r="AO93" s="72">
        <f t="shared" si="143"/>
        <v>0</v>
      </c>
      <c r="AP93" s="72"/>
      <c r="AQ93" s="72">
        <f t="shared" si="144"/>
        <v>0</v>
      </c>
      <c r="AR93" s="193">
        <f t="shared" si="145"/>
        <v>0</v>
      </c>
      <c r="AS93" s="190">
        <f t="shared" si="145"/>
        <v>0</v>
      </c>
      <c r="AT93" s="443">
        <f t="shared" si="146"/>
        <v>350</v>
      </c>
      <c r="AU93" s="190">
        <f t="shared" si="146"/>
        <v>350000000</v>
      </c>
      <c r="AV93" s="191"/>
      <c r="AW93" s="72">
        <f t="shared" si="147"/>
        <v>0</v>
      </c>
      <c r="AX93" s="72"/>
      <c r="AY93" s="72">
        <f t="shared" si="148"/>
        <v>0</v>
      </c>
      <c r="AZ93" s="72"/>
      <c r="BA93" s="72">
        <f t="shared" si="149"/>
        <v>0</v>
      </c>
      <c r="BB93" s="193">
        <f t="shared" si="150"/>
        <v>0</v>
      </c>
      <c r="BC93" s="190">
        <f t="shared" si="150"/>
        <v>0</v>
      </c>
      <c r="BD93" s="443">
        <f t="shared" si="151"/>
        <v>350</v>
      </c>
      <c r="BE93" s="190">
        <f t="shared" si="151"/>
        <v>350000000</v>
      </c>
      <c r="BF93" s="191"/>
      <c r="BG93" s="72">
        <f t="shared" si="152"/>
        <v>0</v>
      </c>
      <c r="BH93" s="72"/>
      <c r="BI93" s="72">
        <f t="shared" si="153"/>
        <v>0</v>
      </c>
      <c r="BJ93" s="72"/>
      <c r="BK93" s="72">
        <f t="shared" si="154"/>
        <v>0</v>
      </c>
      <c r="BL93" s="193">
        <f t="shared" si="155"/>
        <v>0</v>
      </c>
      <c r="BM93" s="190">
        <f t="shared" si="155"/>
        <v>0</v>
      </c>
      <c r="BN93" s="443">
        <f t="shared" si="156"/>
        <v>350</v>
      </c>
      <c r="BO93" s="190">
        <f t="shared" si="156"/>
        <v>350000000</v>
      </c>
      <c r="BP93" s="191"/>
      <c r="BQ93" s="72">
        <f t="shared" si="157"/>
        <v>0</v>
      </c>
      <c r="BR93" s="72"/>
      <c r="BS93" s="72">
        <f t="shared" si="158"/>
        <v>0</v>
      </c>
      <c r="BT93" s="72"/>
      <c r="BU93" s="72">
        <f t="shared" si="159"/>
        <v>0</v>
      </c>
      <c r="BV93" s="193">
        <f t="shared" si="160"/>
        <v>0</v>
      </c>
      <c r="BW93" s="190">
        <f t="shared" si="160"/>
        <v>0</v>
      </c>
      <c r="BX93" s="443">
        <f t="shared" si="161"/>
        <v>350</v>
      </c>
      <c r="BY93" s="190">
        <f t="shared" si="161"/>
        <v>350000000</v>
      </c>
      <c r="CA93" s="278">
        <f t="shared" si="125"/>
        <v>350</v>
      </c>
      <c r="CB93" s="280">
        <f t="shared" si="126"/>
        <v>0</v>
      </c>
      <c r="CC93" s="440">
        <f t="shared" si="124"/>
        <v>0</v>
      </c>
      <c r="CD93" s="440">
        <f t="shared" si="123"/>
        <v>0</v>
      </c>
      <c r="CE93" s="286">
        <v>0</v>
      </c>
      <c r="CF93" s="280">
        <f t="shared" si="105"/>
        <v>-350000000</v>
      </c>
      <c r="CG93" s="280">
        <f t="shared" si="106"/>
        <v>-350000000</v>
      </c>
      <c r="CI93" s="286">
        <v>999999.99999999988</v>
      </c>
      <c r="CJ93" s="286">
        <v>1000000.0000000001</v>
      </c>
      <c r="CK93" s="286">
        <v>0</v>
      </c>
    </row>
    <row r="94" spans="2:89" s="281" customFormat="1" ht="14.25" customHeight="1" x14ac:dyDescent="0.2">
      <c r="B94" s="213" t="s">
        <v>272</v>
      </c>
      <c r="C94" s="214"/>
      <c r="D94" s="215"/>
      <c r="E94" s="389"/>
      <c r="F94" s="397">
        <f>F88+F89+F90+F93</f>
        <v>665000000</v>
      </c>
      <c r="G94" s="391">
        <f>G88+G89+G90+G93</f>
        <v>1900000</v>
      </c>
      <c r="H94" s="392"/>
      <c r="I94" s="396">
        <f>I88+I89+I90+I93</f>
        <v>1900000</v>
      </c>
      <c r="J94" s="394"/>
      <c r="K94" s="392">
        <f>SUM(K88:K93)</f>
        <v>665000000</v>
      </c>
      <c r="L94" s="392"/>
      <c r="M94" s="392">
        <f>SUM(M88:M93)</f>
        <v>0</v>
      </c>
      <c r="N94" s="392"/>
      <c r="O94" s="392">
        <f>SUM(O88:O93)</f>
        <v>0</v>
      </c>
      <c r="P94" s="394"/>
      <c r="Q94" s="395">
        <f>SUM(Q88:Q93)</f>
        <v>665000000</v>
      </c>
      <c r="R94" s="391"/>
      <c r="S94" s="392">
        <f>SUM(S88:S93)</f>
        <v>0</v>
      </c>
      <c r="T94" s="392"/>
      <c r="U94" s="392">
        <f>SUM(U88:U93)</f>
        <v>0</v>
      </c>
      <c r="V94" s="392"/>
      <c r="W94" s="392">
        <f>SUM(W88:W93)</f>
        <v>0</v>
      </c>
      <c r="X94" s="394"/>
      <c r="Y94" s="395">
        <f>SUM(Y88:Y93)</f>
        <v>0</v>
      </c>
      <c r="Z94" s="394"/>
      <c r="AA94" s="395">
        <f>SUM(AA88:AA93)</f>
        <v>665000000</v>
      </c>
      <c r="AB94" s="391"/>
      <c r="AC94" s="392">
        <f>SUM(AC88:AC93)</f>
        <v>0</v>
      </c>
      <c r="AD94" s="392"/>
      <c r="AE94" s="392">
        <f>SUM(AE88:AE93)</f>
        <v>0</v>
      </c>
      <c r="AF94" s="392"/>
      <c r="AG94" s="392">
        <f>SUM(AG88:AG93)</f>
        <v>0</v>
      </c>
      <c r="AH94" s="394"/>
      <c r="AI94" s="395">
        <f>SUM(AI88:AI93)</f>
        <v>0</v>
      </c>
      <c r="AJ94" s="394"/>
      <c r="AK94" s="395">
        <f>SUM(AK88:AK93)</f>
        <v>665000000</v>
      </c>
      <c r="AL94" s="391"/>
      <c r="AM94" s="392">
        <f>SUM(AM89:AM93)</f>
        <v>0</v>
      </c>
      <c r="AN94" s="392"/>
      <c r="AO94" s="392">
        <f>SUM(AO89:AO93)</f>
        <v>0</v>
      </c>
      <c r="AP94" s="392"/>
      <c r="AQ94" s="392">
        <f>SUM(AQ89:AQ93)</f>
        <v>0</v>
      </c>
      <c r="AR94" s="394"/>
      <c r="AS94" s="395">
        <f>SUM(AS88:AS93)</f>
        <v>0</v>
      </c>
      <c r="AT94" s="394"/>
      <c r="AU94" s="395">
        <f>SUM(AU88:AU93)</f>
        <v>665000000</v>
      </c>
      <c r="AV94" s="391"/>
      <c r="AW94" s="392">
        <f>SUM(AW89:AW93)</f>
        <v>0</v>
      </c>
      <c r="AX94" s="392"/>
      <c r="AY94" s="392">
        <f>SUM(AY89:AY93)</f>
        <v>0</v>
      </c>
      <c r="AZ94" s="392"/>
      <c r="BA94" s="392">
        <f>SUM(BA89:BA93)</f>
        <v>0</v>
      </c>
      <c r="BB94" s="394"/>
      <c r="BC94" s="395">
        <f>SUM(BC88:BC93)</f>
        <v>0</v>
      </c>
      <c r="BD94" s="394"/>
      <c r="BE94" s="395">
        <f>SUM(BE88:BE93)</f>
        <v>665000000</v>
      </c>
      <c r="BF94" s="391"/>
      <c r="BG94" s="392">
        <f>SUM(BG89:BG93)</f>
        <v>0</v>
      </c>
      <c r="BH94" s="392"/>
      <c r="BI94" s="392">
        <f>SUM(BI89:BI93)</f>
        <v>0</v>
      </c>
      <c r="BJ94" s="392"/>
      <c r="BK94" s="392">
        <f>SUM(BK89:BK93)</f>
        <v>0</v>
      </c>
      <c r="BL94" s="394"/>
      <c r="BM94" s="395">
        <f>SUM(BM88:BM93)</f>
        <v>0</v>
      </c>
      <c r="BN94" s="394"/>
      <c r="BO94" s="395">
        <f>SUM(BO88:BO93)</f>
        <v>665000000</v>
      </c>
      <c r="BP94" s="391"/>
      <c r="BQ94" s="392">
        <f>SUM(BQ89:BQ93)</f>
        <v>0</v>
      </c>
      <c r="BR94" s="392"/>
      <c r="BS94" s="392">
        <f>SUM(BS89:BS93)</f>
        <v>0</v>
      </c>
      <c r="BT94" s="392"/>
      <c r="BU94" s="392">
        <f>SUM(BU89:BU93)</f>
        <v>0</v>
      </c>
      <c r="BV94" s="394"/>
      <c r="BW94" s="395">
        <f>SUM(BW88:BW93)</f>
        <v>0</v>
      </c>
      <c r="BX94" s="394"/>
      <c r="BY94" s="395">
        <f>SUM(BY88:BY93)</f>
        <v>665000000</v>
      </c>
      <c r="CA94" s="278">
        <f t="shared" si="125"/>
        <v>0</v>
      </c>
      <c r="CB94" s="280">
        <f t="shared" si="126"/>
        <v>0</v>
      </c>
      <c r="CC94" s="440">
        <f t="shared" si="124"/>
        <v>0</v>
      </c>
      <c r="CD94" s="440">
        <f t="shared" si="123"/>
        <v>0</v>
      </c>
      <c r="CE94" s="291">
        <v>0</v>
      </c>
      <c r="CF94" s="280">
        <f t="shared" si="105"/>
        <v>-665000000</v>
      </c>
      <c r="CG94" s="280">
        <f t="shared" si="106"/>
        <v>-665000000</v>
      </c>
      <c r="CI94" s="291">
        <v>1225000</v>
      </c>
      <c r="CJ94" s="291">
        <v>1225000</v>
      </c>
      <c r="CK94" s="291">
        <v>0</v>
      </c>
    </row>
    <row r="95" spans="2:89" s="281" customFormat="1" ht="14.25" customHeight="1" x14ac:dyDescent="0.2">
      <c r="B95" s="224" t="s">
        <v>483</v>
      </c>
      <c r="C95" s="214"/>
      <c r="D95" s="215"/>
      <c r="E95" s="389"/>
      <c r="F95" s="395">
        <f>F76+F94+F86</f>
        <v>39758547985.232391</v>
      </c>
      <c r="G95" s="397">
        <f>G76+G94+G86</f>
        <v>113595851.38637826</v>
      </c>
      <c r="H95" s="392"/>
      <c r="I95" s="390">
        <f>I76+I94+I86</f>
        <v>113595851.38637826</v>
      </c>
      <c r="J95" s="394"/>
      <c r="K95" s="392">
        <f>K76+K94+K86</f>
        <v>1027393783.1500001</v>
      </c>
      <c r="L95" s="392"/>
      <c r="M95" s="392">
        <f>M76+M94+M86</f>
        <v>6609867068.6684189</v>
      </c>
      <c r="N95" s="392"/>
      <c r="O95" s="392">
        <f>O76+O94+O86</f>
        <v>8749400301.5013142</v>
      </c>
      <c r="P95" s="394"/>
      <c r="Q95" s="395">
        <f>Q76+Q94+Q86</f>
        <v>16386661153.319733</v>
      </c>
      <c r="R95" s="391"/>
      <c r="S95" s="390">
        <f>S76+S94+S86</f>
        <v>2808866290.8000002</v>
      </c>
      <c r="T95" s="392"/>
      <c r="U95" s="390">
        <f>U76+U94+U86</f>
        <v>2106649718.0999999</v>
      </c>
      <c r="V95" s="392"/>
      <c r="W95" s="390">
        <f>W76+W94+W86</f>
        <v>0</v>
      </c>
      <c r="X95" s="394"/>
      <c r="Y95" s="395">
        <f>Y76+Y94+Y86</f>
        <v>4915516008.8999996</v>
      </c>
      <c r="Z95" s="394"/>
      <c r="AA95" s="395">
        <f>AA76+AA94+AA86</f>
        <v>21302177162.219734</v>
      </c>
      <c r="AB95" s="391"/>
      <c r="AC95" s="390">
        <f>AC76+AC94+AC86</f>
        <v>7664504919.2670984</v>
      </c>
      <c r="AD95" s="392"/>
      <c r="AE95" s="390">
        <f>AE76+AE94+AE86</f>
        <v>3349130797.6403241</v>
      </c>
      <c r="AF95" s="392"/>
      <c r="AG95" s="390">
        <f>AG76+AG94+AG86</f>
        <v>0</v>
      </c>
      <c r="AH95" s="394"/>
      <c r="AI95" s="395">
        <f>AI76+AI94+AI86</f>
        <v>11013635716.907423</v>
      </c>
      <c r="AJ95" s="394"/>
      <c r="AK95" s="395">
        <f>AK76+AK94+AK86</f>
        <v>32315812879.127155</v>
      </c>
      <c r="AL95" s="391"/>
      <c r="AM95" s="392">
        <f>AM76+AM94+AM86</f>
        <v>4252991489.2029924</v>
      </c>
      <c r="AN95" s="392"/>
      <c r="AO95" s="392">
        <f>AO76+AO94+AO86</f>
        <v>3189743616.9022446</v>
      </c>
      <c r="AP95" s="392"/>
      <c r="AQ95" s="392">
        <f>AQ76+AQ94+AQ86</f>
        <v>0</v>
      </c>
      <c r="AR95" s="394"/>
      <c r="AS95" s="395">
        <f>AS76+AS94+AS86</f>
        <v>7442735106.105237</v>
      </c>
      <c r="AT95" s="394"/>
      <c r="AU95" s="395">
        <f>AU76+AU94+AU86</f>
        <v>39758547985.232391</v>
      </c>
      <c r="AV95" s="391"/>
      <c r="AW95" s="392">
        <f>AW76+AW94+AW86</f>
        <v>0</v>
      </c>
      <c r="AX95" s="392"/>
      <c r="AY95" s="392">
        <f>AY76+AY94+AY86</f>
        <v>0</v>
      </c>
      <c r="AZ95" s="392"/>
      <c r="BA95" s="392">
        <f>BA76+BA94+BA86</f>
        <v>0</v>
      </c>
      <c r="BB95" s="394"/>
      <c r="BC95" s="395">
        <f>BC76+BC94+BC86</f>
        <v>0</v>
      </c>
      <c r="BD95" s="394"/>
      <c r="BE95" s="395">
        <f>BE76+BE94+BE86</f>
        <v>39758547985.232391</v>
      </c>
      <c r="BF95" s="391"/>
      <c r="BG95" s="392">
        <f>BG76+BG94+BG86</f>
        <v>0</v>
      </c>
      <c r="BH95" s="392"/>
      <c r="BI95" s="392">
        <f>BI76+BI94+BI86</f>
        <v>0</v>
      </c>
      <c r="BJ95" s="392"/>
      <c r="BK95" s="392">
        <f>BK76+BK94+BK86</f>
        <v>0</v>
      </c>
      <c r="BL95" s="394"/>
      <c r="BM95" s="395">
        <f>BM76+BM94+BM86</f>
        <v>0</v>
      </c>
      <c r="BN95" s="394"/>
      <c r="BO95" s="395">
        <f>BO76+BO94+BO86</f>
        <v>39758547985.232391</v>
      </c>
      <c r="BP95" s="391"/>
      <c r="BQ95" s="392">
        <f>BQ76+BQ94+BQ86</f>
        <v>0</v>
      </c>
      <c r="BR95" s="392"/>
      <c r="BS95" s="392">
        <f>BS76+BS94+BS86</f>
        <v>0</v>
      </c>
      <c r="BT95" s="392"/>
      <c r="BU95" s="392">
        <f>BU76+BU94+BU86</f>
        <v>0</v>
      </c>
      <c r="BV95" s="394"/>
      <c r="BW95" s="395">
        <f>BW76+BW94+BW86</f>
        <v>0</v>
      </c>
      <c r="BX95" s="394"/>
      <c r="BY95" s="395">
        <f>BY76+BY94+BY86</f>
        <v>39758547985.232391</v>
      </c>
      <c r="CA95" s="278">
        <f t="shared" si="125"/>
        <v>0</v>
      </c>
      <c r="CB95" s="280">
        <f t="shared" si="126"/>
        <v>0</v>
      </c>
      <c r="CC95" s="440">
        <f t="shared" si="124"/>
        <v>0</v>
      </c>
      <c r="CD95" s="440">
        <f t="shared" si="123"/>
        <v>0</v>
      </c>
      <c r="CE95" s="291">
        <v>109664374432.37398</v>
      </c>
      <c r="CF95" s="280">
        <f t="shared" si="105"/>
        <v>69905826447.141586</v>
      </c>
      <c r="CG95" s="280">
        <f t="shared" si="106"/>
        <v>69905826447.141586</v>
      </c>
      <c r="CI95" s="291">
        <v>70138989.910931081</v>
      </c>
      <c r="CJ95" s="291">
        <v>67927188.219952196</v>
      </c>
      <c r="CK95" s="291">
        <v>2211801.6909788847</v>
      </c>
    </row>
    <row r="96" spans="2:89" ht="9" customHeight="1" x14ac:dyDescent="0.2">
      <c r="B96" s="223"/>
      <c r="C96" s="187"/>
      <c r="D96" s="188"/>
      <c r="E96" s="219"/>
      <c r="F96" s="222"/>
      <c r="G96" s="221"/>
      <c r="H96" s="75"/>
      <c r="I96" s="218"/>
      <c r="J96" s="219"/>
      <c r="K96" s="75"/>
      <c r="L96" s="75"/>
      <c r="M96" s="75"/>
      <c r="N96" s="75"/>
      <c r="O96" s="75"/>
      <c r="P96" s="219"/>
      <c r="Q96" s="220"/>
      <c r="R96" s="221"/>
      <c r="S96" s="75"/>
      <c r="T96" s="75"/>
      <c r="U96" s="75"/>
      <c r="V96" s="75"/>
      <c r="W96" s="75"/>
      <c r="X96" s="219"/>
      <c r="Y96" s="220"/>
      <c r="Z96" s="219"/>
      <c r="AA96" s="220"/>
      <c r="AB96" s="221"/>
      <c r="AC96" s="75"/>
      <c r="AD96" s="75"/>
      <c r="AE96" s="75"/>
      <c r="AF96" s="75"/>
      <c r="AG96" s="75"/>
      <c r="AH96" s="219"/>
      <c r="AI96" s="220"/>
      <c r="AJ96" s="219"/>
      <c r="AK96" s="220"/>
      <c r="AL96" s="221"/>
      <c r="AM96" s="75"/>
      <c r="AN96" s="75"/>
      <c r="AO96" s="75"/>
      <c r="AP96" s="75"/>
      <c r="AQ96" s="75"/>
      <c r="AR96" s="219"/>
      <c r="AS96" s="220"/>
      <c r="AT96" s="219"/>
      <c r="AU96" s="220"/>
      <c r="AV96" s="221"/>
      <c r="AW96" s="75"/>
      <c r="AX96" s="75"/>
      <c r="AY96" s="75"/>
      <c r="AZ96" s="75"/>
      <c r="BA96" s="75"/>
      <c r="BB96" s="219"/>
      <c r="BC96" s="220"/>
      <c r="BD96" s="219"/>
      <c r="BE96" s="220"/>
      <c r="BF96" s="221"/>
      <c r="BG96" s="75"/>
      <c r="BH96" s="75"/>
      <c r="BI96" s="75"/>
      <c r="BJ96" s="75"/>
      <c r="BK96" s="75"/>
      <c r="BL96" s="219"/>
      <c r="BM96" s="220"/>
      <c r="BN96" s="219"/>
      <c r="BO96" s="220"/>
      <c r="BP96" s="221"/>
      <c r="BQ96" s="75"/>
      <c r="BR96" s="75"/>
      <c r="BS96" s="75"/>
      <c r="BT96" s="75"/>
      <c r="BU96" s="75"/>
      <c r="BV96" s="219"/>
      <c r="BW96" s="220"/>
      <c r="BX96" s="219"/>
      <c r="BY96" s="220"/>
      <c r="CA96" s="278">
        <f t="shared" si="125"/>
        <v>0</v>
      </c>
      <c r="CB96" s="280">
        <f t="shared" si="126"/>
        <v>0</v>
      </c>
      <c r="CC96" s="440">
        <f t="shared" si="124"/>
        <v>0</v>
      </c>
      <c r="CD96" s="440">
        <f t="shared" si="123"/>
        <v>0</v>
      </c>
      <c r="CE96" s="286"/>
      <c r="CF96" s="280">
        <f t="shared" si="105"/>
        <v>0</v>
      </c>
      <c r="CG96" s="280">
        <f t="shared" si="106"/>
        <v>0</v>
      </c>
      <c r="CI96" s="286">
        <v>0</v>
      </c>
      <c r="CJ96" s="286">
        <v>0</v>
      </c>
      <c r="CK96" s="286">
        <v>0</v>
      </c>
    </row>
    <row r="97" spans="2:89" ht="14.25" customHeight="1" x14ac:dyDescent="0.2">
      <c r="B97" s="217" t="s">
        <v>481</v>
      </c>
      <c r="C97" s="183" t="s">
        <v>599</v>
      </c>
      <c r="D97" s="184"/>
      <c r="E97" s="443">
        <v>350</v>
      </c>
      <c r="F97" s="192">
        <f>+F95*0.05</f>
        <v>1987927399.2616196</v>
      </c>
      <c r="G97" s="191">
        <f>+F97/D5</f>
        <v>5679792.5693189129</v>
      </c>
      <c r="H97" s="72">
        <v>1</v>
      </c>
      <c r="I97" s="192">
        <f>G97</f>
        <v>5679792.5693189129</v>
      </c>
      <c r="J97" s="193"/>
      <c r="K97" s="192">
        <f>+K95*0.05</f>
        <v>51369689.157500006</v>
      </c>
      <c r="L97" s="72"/>
      <c r="M97" s="192">
        <f>+M95*0.05</f>
        <v>330493353.43342096</v>
      </c>
      <c r="N97" s="72"/>
      <c r="O97" s="192">
        <f>+O95*0.05</f>
        <v>437470015.07506573</v>
      </c>
      <c r="P97" s="193">
        <f>J97+L97+N97</f>
        <v>0</v>
      </c>
      <c r="Q97" s="190">
        <f t="shared" ref="Q97" si="163">K97+M97+O97</f>
        <v>819333057.66598678</v>
      </c>
      <c r="R97" s="191">
        <v>0</v>
      </c>
      <c r="S97" s="192">
        <f>+S95*0.05</f>
        <v>140443314.54000002</v>
      </c>
      <c r="T97" s="72">
        <v>0</v>
      </c>
      <c r="U97" s="192">
        <f>+U95*0.05</f>
        <v>105332485.905</v>
      </c>
      <c r="V97" s="72"/>
      <c r="W97" s="192">
        <f>+W95*0.05</f>
        <v>0</v>
      </c>
      <c r="X97" s="467">
        <f>R97+T97+V97</f>
        <v>0</v>
      </c>
      <c r="Y97" s="190">
        <f t="shared" ref="Y97" si="164">S97+U97+W97</f>
        <v>245775800.44500002</v>
      </c>
      <c r="Z97" s="193"/>
      <c r="AA97" s="190">
        <f t="shared" ref="AA97" si="165">Y97+Q97</f>
        <v>1065108858.1109868</v>
      </c>
      <c r="AB97" s="191">
        <v>0</v>
      </c>
      <c r="AC97" s="192">
        <f>+AC95*0.05</f>
        <v>383225245.96335495</v>
      </c>
      <c r="AD97" s="72">
        <v>0</v>
      </c>
      <c r="AE97" s="192">
        <f>+AE95*0.05</f>
        <v>167456539.88201621</v>
      </c>
      <c r="AF97" s="72"/>
      <c r="AG97" s="192">
        <f>+AG95*0.05</f>
        <v>0</v>
      </c>
      <c r="AH97" s="193">
        <f>AB97+AD97+AF97</f>
        <v>0</v>
      </c>
      <c r="AI97" s="190">
        <f t="shared" ref="AI97" si="166">AC97+AE97+AG97</f>
        <v>550681785.84537113</v>
      </c>
      <c r="AJ97" s="193"/>
      <c r="AK97" s="190">
        <f t="shared" ref="AK97" si="167">AI97+AA97</f>
        <v>1615790643.956358</v>
      </c>
      <c r="AL97" s="191">
        <v>0</v>
      </c>
      <c r="AM97" s="192">
        <f>+AM95*0.05</f>
        <v>212649574.46014965</v>
      </c>
      <c r="AN97" s="72">
        <v>0</v>
      </c>
      <c r="AO97" s="192">
        <f>+AO95*0.05</f>
        <v>159487180.84511223</v>
      </c>
      <c r="AP97" s="72"/>
      <c r="AQ97" s="192">
        <f>+AQ95*0.05</f>
        <v>0</v>
      </c>
      <c r="AR97" s="193">
        <f>AL97+AN97+AP97</f>
        <v>0</v>
      </c>
      <c r="AS97" s="190">
        <f t="shared" ref="AS97" si="168">AM97+AO97+AQ97</f>
        <v>372136755.30526185</v>
      </c>
      <c r="AT97" s="193"/>
      <c r="AU97" s="190">
        <f t="shared" ref="AU97" si="169">AS97+AK97</f>
        <v>1987927399.2616198</v>
      </c>
      <c r="AV97" s="191"/>
      <c r="AW97" s="72">
        <f>AW95*5%</f>
        <v>0</v>
      </c>
      <c r="AX97" s="72"/>
      <c r="AY97" s="72">
        <f>AY95*5%</f>
        <v>0</v>
      </c>
      <c r="AZ97" s="72"/>
      <c r="BA97" s="72">
        <f>BA95*5%</f>
        <v>0</v>
      </c>
      <c r="BB97" s="467">
        <f>AV97+AX97+AZ97</f>
        <v>0</v>
      </c>
      <c r="BC97" s="192">
        <f>+BC95*0.05</f>
        <v>0</v>
      </c>
      <c r="BD97" s="193">
        <f>BB97+AT97</f>
        <v>0</v>
      </c>
      <c r="BE97" s="192"/>
      <c r="BF97" s="191"/>
      <c r="BG97" s="72">
        <f>BG95*5%</f>
        <v>0</v>
      </c>
      <c r="BH97" s="72"/>
      <c r="BI97" s="72">
        <f>BI95*5%</f>
        <v>0</v>
      </c>
      <c r="BJ97" s="72"/>
      <c r="BK97" s="72">
        <f>BK95*5%</f>
        <v>0</v>
      </c>
      <c r="BL97" s="467">
        <f>BF97+BH97+BJ97</f>
        <v>0</v>
      </c>
      <c r="BM97" s="192">
        <f>+BM95*0.05</f>
        <v>0</v>
      </c>
      <c r="BN97" s="193">
        <f>BL97+BD97</f>
        <v>0</v>
      </c>
      <c r="BO97" s="192"/>
      <c r="BP97" s="191"/>
      <c r="BQ97" s="192">
        <f>+BQ95*0.05</f>
        <v>0</v>
      </c>
      <c r="BR97" s="72"/>
      <c r="BS97" s="192">
        <f>+BS95*0.05</f>
        <v>0</v>
      </c>
      <c r="BT97" s="72"/>
      <c r="BU97" s="192">
        <f>+BU95*0.05</f>
        <v>0</v>
      </c>
      <c r="BV97" s="467">
        <f>BP97+BR97+BT97</f>
        <v>0</v>
      </c>
      <c r="BW97" s="192">
        <f>+BW95*0.05</f>
        <v>0</v>
      </c>
      <c r="BX97" s="193">
        <f>BV97+BN97</f>
        <v>0</v>
      </c>
      <c r="BY97" s="190"/>
      <c r="CA97" s="278">
        <f t="shared" si="125"/>
        <v>350</v>
      </c>
      <c r="CB97" s="280">
        <f t="shared" si="126"/>
        <v>350</v>
      </c>
      <c r="CC97" s="440">
        <f t="shared" si="124"/>
        <v>350</v>
      </c>
      <c r="CD97" s="440">
        <f t="shared" si="123"/>
        <v>1987927399.2616196</v>
      </c>
      <c r="CE97" s="286">
        <v>0</v>
      </c>
      <c r="CF97" s="280">
        <f t="shared" si="105"/>
        <v>0</v>
      </c>
      <c r="CG97" s="280">
        <f t="shared" si="106"/>
        <v>0</v>
      </c>
      <c r="CI97" s="286">
        <v>3506949.4955465547</v>
      </c>
      <c r="CJ97" s="286">
        <v>3396359.4109976096</v>
      </c>
      <c r="CK97" s="286">
        <v>110590.08454894507</v>
      </c>
    </row>
    <row r="98" spans="2:89" ht="11.25" customHeight="1" thickBot="1" x14ac:dyDescent="0.25">
      <c r="B98" s="223"/>
      <c r="C98" s="187"/>
      <c r="D98" s="188"/>
      <c r="E98" s="219"/>
      <c r="F98" s="222"/>
      <c r="G98" s="221"/>
      <c r="H98" s="75"/>
      <c r="I98" s="218"/>
      <c r="J98" s="338"/>
      <c r="K98" s="336"/>
      <c r="L98" s="336"/>
      <c r="M98" s="336"/>
      <c r="N98" s="336"/>
      <c r="O98" s="336"/>
      <c r="P98" s="338"/>
      <c r="Q98" s="337"/>
      <c r="R98" s="221"/>
      <c r="S98" s="75"/>
      <c r="T98" s="75"/>
      <c r="U98" s="75"/>
      <c r="V98" s="75"/>
      <c r="W98" s="75"/>
      <c r="X98" s="338"/>
      <c r="Y98" s="337"/>
      <c r="Z98" s="219"/>
      <c r="AA98" s="220"/>
      <c r="AB98" s="221"/>
      <c r="AC98" s="75"/>
      <c r="AD98" s="75"/>
      <c r="AE98" s="75"/>
      <c r="AF98" s="75"/>
      <c r="AG98" s="75"/>
      <c r="AH98" s="338"/>
      <c r="AI98" s="337"/>
      <c r="AJ98" s="219"/>
      <c r="AK98" s="220"/>
      <c r="AL98" s="221"/>
      <c r="AM98" s="75"/>
      <c r="AN98" s="75"/>
      <c r="AO98" s="75"/>
      <c r="AP98" s="75"/>
      <c r="AQ98" s="75"/>
      <c r="AR98" s="338"/>
      <c r="AS98" s="337"/>
      <c r="AT98" s="219"/>
      <c r="AU98" s="220"/>
      <c r="AV98" s="221"/>
      <c r="AW98" s="75"/>
      <c r="AX98" s="75"/>
      <c r="AY98" s="75"/>
      <c r="AZ98" s="75"/>
      <c r="BA98" s="75"/>
      <c r="BB98" s="338"/>
      <c r="BC98" s="337"/>
      <c r="BD98" s="219"/>
      <c r="BE98" s="220"/>
      <c r="BF98" s="221"/>
      <c r="BG98" s="75"/>
      <c r="BH98" s="75"/>
      <c r="BI98" s="75"/>
      <c r="BJ98" s="75"/>
      <c r="BK98" s="75"/>
      <c r="BL98" s="338"/>
      <c r="BM98" s="337"/>
      <c r="BN98" s="219"/>
      <c r="BO98" s="220"/>
      <c r="BP98" s="221"/>
      <c r="BQ98" s="75"/>
      <c r="BR98" s="75"/>
      <c r="BS98" s="75"/>
      <c r="BT98" s="75"/>
      <c r="BU98" s="75"/>
      <c r="BV98" s="338"/>
      <c r="BW98" s="337"/>
      <c r="BX98" s="219"/>
      <c r="BY98" s="220"/>
      <c r="CA98" s="278">
        <f t="shared" si="125"/>
        <v>0</v>
      </c>
      <c r="CB98" s="280">
        <f t="shared" si="126"/>
        <v>0</v>
      </c>
      <c r="CC98" s="440">
        <f t="shared" si="124"/>
        <v>0</v>
      </c>
      <c r="CD98" s="440">
        <f t="shared" si="123"/>
        <v>0</v>
      </c>
      <c r="CE98" s="286"/>
      <c r="CF98" s="280">
        <f t="shared" si="105"/>
        <v>0</v>
      </c>
      <c r="CG98" s="280">
        <f t="shared" si="106"/>
        <v>0</v>
      </c>
      <c r="CI98" s="286">
        <v>0</v>
      </c>
      <c r="CJ98" s="286">
        <v>0</v>
      </c>
      <c r="CK98" s="286">
        <v>0</v>
      </c>
    </row>
    <row r="99" spans="2:89" ht="14.25" customHeight="1" thickTop="1" thickBot="1" x14ac:dyDescent="0.25">
      <c r="B99" s="225" t="s">
        <v>269</v>
      </c>
      <c r="C99" s="284"/>
      <c r="D99" s="285"/>
      <c r="E99" s="398"/>
      <c r="F99" s="399">
        <f>F95+F97</f>
        <v>41746475384.494011</v>
      </c>
      <c r="G99" s="400">
        <f>G95+G97</f>
        <v>119275643.95569718</v>
      </c>
      <c r="H99" s="401"/>
      <c r="I99" s="402">
        <f>I95+I97</f>
        <v>119275643.95569718</v>
      </c>
      <c r="J99" s="403"/>
      <c r="K99" s="401">
        <f>K95+K97</f>
        <v>1078763472.3075001</v>
      </c>
      <c r="L99" s="401"/>
      <c r="M99" s="401">
        <f>M95+M97</f>
        <v>6940360422.10184</v>
      </c>
      <c r="N99" s="401"/>
      <c r="O99" s="401">
        <f>O95+O97</f>
        <v>9186870316.5763798</v>
      </c>
      <c r="P99" s="403"/>
      <c r="Q99" s="404">
        <f>Q95+Q97</f>
        <v>17205994210.985718</v>
      </c>
      <c r="R99" s="400"/>
      <c r="S99" s="401">
        <f>S95+S97</f>
        <v>2949309605.3400002</v>
      </c>
      <c r="T99" s="401"/>
      <c r="U99" s="401">
        <f>U95+U97</f>
        <v>2211982204.0050001</v>
      </c>
      <c r="V99" s="401"/>
      <c r="W99" s="401">
        <f>W95+W97</f>
        <v>0</v>
      </c>
      <c r="X99" s="403"/>
      <c r="Y99" s="404">
        <f>Y95+Y97</f>
        <v>5161291809.3449993</v>
      </c>
      <c r="Z99" s="403"/>
      <c r="AA99" s="404">
        <f>AA95+AA97</f>
        <v>22367286020.330723</v>
      </c>
      <c r="AB99" s="400"/>
      <c r="AC99" s="401">
        <f>AC95+AC97</f>
        <v>8047730165.2304535</v>
      </c>
      <c r="AD99" s="401"/>
      <c r="AE99" s="401">
        <f>AE95+AE97</f>
        <v>3516587337.5223403</v>
      </c>
      <c r="AF99" s="401"/>
      <c r="AG99" s="401">
        <f>AG95+AG97</f>
        <v>0</v>
      </c>
      <c r="AH99" s="403"/>
      <c r="AI99" s="404">
        <f>AI95+AI97</f>
        <v>11564317502.752794</v>
      </c>
      <c r="AJ99" s="403"/>
      <c r="AK99" s="404">
        <f>AK95+AK97</f>
        <v>33931603523.083511</v>
      </c>
      <c r="AL99" s="400"/>
      <c r="AM99" s="401">
        <f>AM95+AM97</f>
        <v>4465641063.6631422</v>
      </c>
      <c r="AN99" s="401"/>
      <c r="AO99" s="401">
        <f>AO95+AO97</f>
        <v>3349230797.7473569</v>
      </c>
      <c r="AP99" s="401"/>
      <c r="AQ99" s="401">
        <f>AQ95+AQ97</f>
        <v>0</v>
      </c>
      <c r="AR99" s="403"/>
      <c r="AS99" s="404">
        <f>AS95+AS97</f>
        <v>7814871861.4104986</v>
      </c>
      <c r="AT99" s="403"/>
      <c r="AU99" s="402">
        <f>AU95+AU97</f>
        <v>41746475384.494011</v>
      </c>
      <c r="AV99" s="400"/>
      <c r="AW99" s="401">
        <f>AW95+AW97</f>
        <v>0</v>
      </c>
      <c r="AX99" s="401"/>
      <c r="AY99" s="401">
        <f>AY95+AY97</f>
        <v>0</v>
      </c>
      <c r="AZ99" s="401"/>
      <c r="BA99" s="401">
        <f>BA95+BA97</f>
        <v>0</v>
      </c>
      <c r="BB99" s="403"/>
      <c r="BC99" s="404">
        <f>BC95+BC97</f>
        <v>0</v>
      </c>
      <c r="BD99" s="403"/>
      <c r="BE99" s="404">
        <f>BE95+BE97</f>
        <v>39758547985.232391</v>
      </c>
      <c r="BF99" s="400"/>
      <c r="BG99" s="401">
        <f>BG95+BG97</f>
        <v>0</v>
      </c>
      <c r="BH99" s="401"/>
      <c r="BI99" s="401">
        <f>BI95+BI97</f>
        <v>0</v>
      </c>
      <c r="BJ99" s="401"/>
      <c r="BK99" s="401">
        <f>BK95+BK97</f>
        <v>0</v>
      </c>
      <c r="BL99" s="403"/>
      <c r="BM99" s="404">
        <f>BM95+BM97</f>
        <v>0</v>
      </c>
      <c r="BN99" s="403"/>
      <c r="BO99" s="404">
        <f>BO95+BO97</f>
        <v>39758547985.232391</v>
      </c>
      <c r="BP99" s="400"/>
      <c r="BQ99" s="401">
        <f>BQ95+BQ97</f>
        <v>0</v>
      </c>
      <c r="BR99" s="401"/>
      <c r="BS99" s="401">
        <f>BS95+BS97</f>
        <v>0</v>
      </c>
      <c r="BT99" s="401"/>
      <c r="BU99" s="401">
        <f>BU95+BU97</f>
        <v>0</v>
      </c>
      <c r="BV99" s="403"/>
      <c r="BW99" s="404">
        <f>BW95+BW97</f>
        <v>0</v>
      </c>
      <c r="BX99" s="403"/>
      <c r="BY99" s="404">
        <f>BY95+BY97</f>
        <v>39758547985.232391</v>
      </c>
      <c r="CA99" s="278">
        <f t="shared" si="125"/>
        <v>0</v>
      </c>
      <c r="CB99" s="280">
        <f t="shared" si="126"/>
        <v>0</v>
      </c>
      <c r="CC99" s="440">
        <f t="shared" si="124"/>
        <v>0</v>
      </c>
      <c r="CD99" s="440">
        <f>F99-BY99</f>
        <v>1987927399.2616196</v>
      </c>
      <c r="CE99" s="286">
        <v>109664374432.37398</v>
      </c>
      <c r="CF99" s="280">
        <f t="shared" si="105"/>
        <v>69905826447.141586</v>
      </c>
      <c r="CG99" s="280">
        <f t="shared" si="106"/>
        <v>69905826447.141586</v>
      </c>
      <c r="CI99" s="286">
        <v>73645939.40647763</v>
      </c>
      <c r="CJ99" s="286">
        <v>71323547.63094981</v>
      </c>
      <c r="CK99" s="286">
        <v>2322391.77552782</v>
      </c>
    </row>
    <row r="100" spans="2:89" ht="14.25" customHeight="1" thickTop="1" x14ac:dyDescent="0.2">
      <c r="B100" s="157"/>
      <c r="C100" s="157"/>
      <c r="D100" s="157"/>
      <c r="E100" s="157"/>
      <c r="F100" s="157"/>
      <c r="G100" s="226"/>
      <c r="H100" s="226"/>
      <c r="I100" s="226"/>
      <c r="J100" s="226"/>
      <c r="K100" s="226"/>
      <c r="L100" s="286"/>
      <c r="M100" s="286"/>
      <c r="N100" s="286"/>
      <c r="O100" s="286"/>
      <c r="P100" s="286"/>
      <c r="Q100" s="286"/>
      <c r="R100" s="287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7"/>
      <c r="AC100" s="286"/>
      <c r="AD100" s="286"/>
      <c r="AE100" s="286"/>
      <c r="AF100" s="286"/>
      <c r="AG100" s="286"/>
      <c r="AH100" s="286"/>
      <c r="AI100" s="286"/>
      <c r="AJ100" s="286"/>
      <c r="AK100" s="286"/>
      <c r="AL100" s="286"/>
      <c r="AM100" s="286"/>
      <c r="AN100" s="286"/>
      <c r="AO100" s="286"/>
      <c r="AP100" s="286"/>
      <c r="AQ100" s="286"/>
      <c r="AR100" s="286"/>
      <c r="AS100" s="286"/>
      <c r="AT100" s="286"/>
      <c r="AU100" s="286"/>
      <c r="AV100" s="286"/>
      <c r="AW100" s="286"/>
      <c r="AX100" s="286"/>
      <c r="AY100" s="286"/>
      <c r="AZ100" s="286"/>
      <c r="BA100" s="286"/>
      <c r="BB100" s="286"/>
      <c r="BC100" s="286"/>
      <c r="BD100" s="286"/>
      <c r="BE100" s="286"/>
      <c r="BF100" s="286"/>
      <c r="BG100" s="286"/>
      <c r="BH100" s="286"/>
      <c r="BI100" s="286"/>
      <c r="BJ100" s="286"/>
      <c r="BK100" s="286"/>
      <c r="BL100" s="286"/>
      <c r="BM100" s="286"/>
      <c r="BN100" s="286"/>
      <c r="BO100" s="286"/>
      <c r="BP100" s="286"/>
      <c r="BQ100" s="286"/>
      <c r="BR100" s="286"/>
      <c r="BS100" s="286"/>
      <c r="BT100" s="286"/>
      <c r="BU100" s="286"/>
      <c r="BV100" s="286"/>
      <c r="BW100" s="286"/>
      <c r="BX100" s="286"/>
      <c r="BY100" s="286"/>
    </row>
    <row r="101" spans="2:89" s="668" customFormat="1" ht="18.75" customHeight="1" x14ac:dyDescent="0.25">
      <c r="B101" s="664"/>
      <c r="C101" s="664"/>
      <c r="D101" s="664"/>
      <c r="E101" s="664"/>
      <c r="F101" s="664"/>
      <c r="G101" s="665"/>
      <c r="H101" s="665"/>
      <c r="I101" s="665"/>
      <c r="J101" s="665"/>
      <c r="K101" s="665"/>
      <c r="L101" s="666"/>
      <c r="M101" s="666"/>
      <c r="N101" s="666"/>
      <c r="O101" s="666"/>
      <c r="P101" s="666"/>
      <c r="Q101" s="666"/>
      <c r="R101" s="667"/>
      <c r="S101" s="666"/>
      <c r="T101" s="666"/>
      <c r="U101" s="666"/>
      <c r="V101" s="666"/>
      <c r="W101" s="666"/>
      <c r="X101" s="666"/>
      <c r="Y101" s="666"/>
      <c r="Z101" s="666"/>
      <c r="AA101" s="666"/>
      <c r="AB101" s="667"/>
      <c r="AC101" s="666"/>
      <c r="AD101" s="666"/>
      <c r="AE101" s="666"/>
      <c r="AF101" s="666"/>
      <c r="AG101" s="666"/>
      <c r="AH101" s="666"/>
      <c r="AI101" s="666"/>
      <c r="AJ101" s="666"/>
      <c r="AK101" s="666"/>
      <c r="AL101" s="666"/>
      <c r="AM101" s="666"/>
      <c r="AN101" s="666"/>
      <c r="AO101" s="666"/>
      <c r="AP101" s="666"/>
      <c r="AQ101" s="666"/>
      <c r="AR101" s="666"/>
      <c r="AS101" s="679" t="s">
        <v>642</v>
      </c>
      <c r="AT101" s="679"/>
      <c r="AU101" s="679"/>
      <c r="AV101" s="666"/>
      <c r="AW101" s="666"/>
      <c r="AX101" s="666"/>
      <c r="AY101" s="666"/>
      <c r="AZ101" s="666"/>
      <c r="BA101" s="666"/>
      <c r="BB101" s="666"/>
      <c r="BC101" s="666"/>
      <c r="BD101" s="666"/>
      <c r="BE101" s="666"/>
      <c r="BF101" s="666"/>
      <c r="BG101" s="666"/>
      <c r="BH101" s="666"/>
      <c r="BI101" s="666"/>
      <c r="BJ101" s="666"/>
      <c r="BK101" s="666"/>
      <c r="BL101" s="666"/>
      <c r="BM101" s="666"/>
      <c r="BN101" s="666"/>
      <c r="BO101" s="666"/>
      <c r="BP101" s="666"/>
      <c r="BQ101" s="666"/>
      <c r="BR101" s="666"/>
      <c r="BS101" s="666"/>
      <c r="BT101" s="666"/>
      <c r="BU101" s="666"/>
      <c r="BV101" s="666"/>
      <c r="BW101" s="666"/>
      <c r="BX101" s="666"/>
      <c r="BY101" s="666"/>
    </row>
    <row r="102" spans="2:89" s="674" customFormat="1" ht="24" customHeight="1" x14ac:dyDescent="0.2">
      <c r="B102" s="669"/>
      <c r="C102" s="669"/>
      <c r="D102" s="669"/>
      <c r="E102" s="669"/>
      <c r="F102" s="669"/>
      <c r="G102" s="670"/>
      <c r="H102" s="670"/>
      <c r="I102" s="670"/>
      <c r="J102" s="670"/>
      <c r="K102" s="670"/>
      <c r="L102" s="671"/>
      <c r="M102" s="671"/>
      <c r="N102" s="671"/>
      <c r="O102" s="671"/>
      <c r="P102" s="671"/>
      <c r="Q102" s="671"/>
      <c r="R102" s="672"/>
      <c r="S102" s="671"/>
      <c r="T102" s="671"/>
      <c r="U102" s="671"/>
      <c r="V102" s="671"/>
      <c r="W102" s="671"/>
      <c r="X102" s="671"/>
      <c r="Y102" s="673" t="s">
        <v>635</v>
      </c>
      <c r="Z102" s="673"/>
      <c r="AA102" s="673"/>
      <c r="AB102" s="672"/>
      <c r="AC102" s="671"/>
      <c r="AD102" s="671"/>
      <c r="AE102" s="671"/>
      <c r="AF102" s="671"/>
      <c r="AG102" s="671"/>
      <c r="AH102" s="673" t="s">
        <v>636</v>
      </c>
      <c r="AI102" s="673"/>
      <c r="AJ102" s="673"/>
      <c r="AK102" s="673" t="s">
        <v>637</v>
      </c>
      <c r="AL102" s="673"/>
      <c r="AM102" s="673"/>
      <c r="AN102" s="673"/>
      <c r="AO102" s="673"/>
      <c r="AP102" s="673"/>
      <c r="AQ102" s="673"/>
      <c r="AR102" s="673"/>
      <c r="AS102" s="673"/>
      <c r="AT102" s="673" t="s">
        <v>638</v>
      </c>
      <c r="AU102" s="673"/>
      <c r="AV102" s="671"/>
      <c r="AW102" s="671"/>
      <c r="AX102" s="671"/>
      <c r="AY102" s="671"/>
      <c r="AZ102" s="671"/>
      <c r="BA102" s="671"/>
      <c r="BB102" s="671"/>
      <c r="BC102" s="671"/>
      <c r="BD102" s="671"/>
      <c r="BE102" s="671"/>
      <c r="BF102" s="671"/>
      <c r="BG102" s="671"/>
      <c r="BH102" s="671"/>
      <c r="BI102" s="671"/>
      <c r="BJ102" s="671"/>
      <c r="BK102" s="671"/>
      <c r="BL102" s="671"/>
      <c r="BM102" s="671"/>
      <c r="BN102" s="671"/>
      <c r="BO102" s="671"/>
      <c r="BP102" s="671"/>
      <c r="BQ102" s="671"/>
      <c r="BR102" s="671"/>
      <c r="BS102" s="671"/>
      <c r="BT102" s="671"/>
      <c r="BU102" s="671"/>
      <c r="BV102" s="671"/>
      <c r="BW102" s="671"/>
      <c r="BX102" s="671"/>
      <c r="BY102" s="671"/>
    </row>
    <row r="103" spans="2:89" s="674" customFormat="1" ht="24" customHeight="1" x14ac:dyDescent="0.2">
      <c r="B103" s="669"/>
      <c r="C103" s="669"/>
      <c r="D103" s="669"/>
      <c r="E103" s="669"/>
      <c r="F103" s="669"/>
      <c r="G103" s="670"/>
      <c r="H103" s="670"/>
      <c r="I103" s="670"/>
      <c r="J103" s="670"/>
      <c r="K103" s="670"/>
      <c r="L103" s="671"/>
      <c r="M103" s="671"/>
      <c r="N103" s="671"/>
      <c r="O103" s="671"/>
      <c r="P103" s="671"/>
      <c r="Q103" s="671"/>
      <c r="R103" s="672"/>
      <c r="S103" s="671"/>
      <c r="T103" s="671"/>
      <c r="U103" s="671"/>
      <c r="V103" s="671"/>
      <c r="W103" s="671"/>
      <c r="X103" s="671"/>
      <c r="Y103" s="673"/>
      <c r="Z103" s="673"/>
      <c r="AA103" s="673"/>
      <c r="AB103" s="672"/>
      <c r="AC103" s="671"/>
      <c r="AD103" s="671"/>
      <c r="AE103" s="671"/>
      <c r="AF103" s="671"/>
      <c r="AG103" s="671"/>
      <c r="AH103" s="673"/>
      <c r="AI103" s="673"/>
      <c r="AJ103" s="673"/>
      <c r="AK103" s="673"/>
      <c r="AL103" s="673"/>
      <c r="AM103" s="673"/>
      <c r="AN103" s="673"/>
      <c r="AO103" s="673"/>
      <c r="AP103" s="673"/>
      <c r="AQ103" s="673"/>
      <c r="AR103" s="673"/>
      <c r="AS103" s="673"/>
      <c r="AT103" s="673"/>
      <c r="AU103" s="673"/>
      <c r="AV103" s="671"/>
      <c r="AW103" s="671"/>
      <c r="AX103" s="671"/>
      <c r="AY103" s="671"/>
      <c r="AZ103" s="671"/>
      <c r="BA103" s="671"/>
      <c r="BB103" s="671"/>
      <c r="BC103" s="671"/>
      <c r="BD103" s="671"/>
      <c r="BE103" s="671"/>
      <c r="BF103" s="671"/>
      <c r="BG103" s="671"/>
      <c r="BH103" s="671"/>
      <c r="BI103" s="671"/>
      <c r="BJ103" s="671"/>
      <c r="BK103" s="671"/>
      <c r="BL103" s="671"/>
      <c r="BM103" s="671"/>
      <c r="BN103" s="671"/>
      <c r="BO103" s="671"/>
      <c r="BP103" s="671"/>
      <c r="BQ103" s="671"/>
      <c r="BR103" s="671"/>
      <c r="BS103" s="671"/>
      <c r="BT103" s="671"/>
      <c r="BU103" s="671"/>
      <c r="BV103" s="671"/>
      <c r="BW103" s="671"/>
      <c r="BX103" s="671"/>
      <c r="BY103" s="671"/>
    </row>
    <row r="104" spans="2:89" s="674" customFormat="1" ht="24" customHeight="1" x14ac:dyDescent="0.2">
      <c r="B104" s="669"/>
      <c r="C104" s="669"/>
      <c r="D104" s="669"/>
      <c r="E104" s="669"/>
      <c r="F104" s="669"/>
      <c r="G104" s="670"/>
      <c r="H104" s="670"/>
      <c r="I104" s="670"/>
      <c r="J104" s="670"/>
      <c r="K104" s="670"/>
      <c r="L104" s="671"/>
      <c r="M104" s="671"/>
      <c r="N104" s="671"/>
      <c r="O104" s="671"/>
      <c r="P104" s="671"/>
      <c r="Q104" s="671"/>
      <c r="R104" s="672"/>
      <c r="S104" s="671"/>
      <c r="T104" s="671"/>
      <c r="U104" s="671"/>
      <c r="V104" s="671"/>
      <c r="W104" s="671"/>
      <c r="X104" s="671"/>
      <c r="Y104" s="673"/>
      <c r="Z104" s="673"/>
      <c r="AA104" s="673"/>
      <c r="AB104" s="672"/>
      <c r="AC104" s="671"/>
      <c r="AD104" s="671"/>
      <c r="AE104" s="671"/>
      <c r="AF104" s="671"/>
      <c r="AG104" s="671"/>
      <c r="AH104" s="673"/>
      <c r="AI104" s="673"/>
      <c r="AJ104" s="673"/>
      <c r="AK104" s="673"/>
      <c r="AL104" s="673"/>
      <c r="AM104" s="673"/>
      <c r="AN104" s="673"/>
      <c r="AO104" s="673"/>
      <c r="AP104" s="673"/>
      <c r="AQ104" s="673"/>
      <c r="AR104" s="673"/>
      <c r="AS104" s="673"/>
      <c r="AT104" s="673"/>
      <c r="AU104" s="673"/>
      <c r="AV104" s="671"/>
      <c r="AW104" s="671"/>
      <c r="AX104" s="671"/>
      <c r="AY104" s="671"/>
      <c r="AZ104" s="671"/>
      <c r="BA104" s="671"/>
      <c r="BB104" s="671"/>
      <c r="BC104" s="671"/>
      <c r="BD104" s="671"/>
      <c r="BE104" s="671"/>
      <c r="BF104" s="671"/>
      <c r="BG104" s="671"/>
      <c r="BH104" s="671"/>
      <c r="BI104" s="671"/>
      <c r="BJ104" s="671"/>
      <c r="BK104" s="671"/>
      <c r="BL104" s="671"/>
      <c r="BM104" s="671"/>
      <c r="BN104" s="671"/>
      <c r="BO104" s="671"/>
      <c r="BP104" s="671"/>
      <c r="BQ104" s="671"/>
      <c r="BR104" s="671"/>
      <c r="BS104" s="671"/>
      <c r="BT104" s="671"/>
      <c r="BU104" s="671"/>
      <c r="BV104" s="671"/>
      <c r="BW104" s="671"/>
      <c r="BX104" s="671"/>
      <c r="BY104" s="671"/>
    </row>
    <row r="105" spans="2:89" s="674" customFormat="1" ht="24" customHeight="1" x14ac:dyDescent="0.2">
      <c r="B105" s="669"/>
      <c r="C105" s="669"/>
      <c r="D105" s="669"/>
      <c r="E105" s="669"/>
      <c r="F105" s="669"/>
      <c r="G105" s="670"/>
      <c r="H105" s="670"/>
      <c r="I105" s="670"/>
      <c r="J105" s="670"/>
      <c r="K105" s="670"/>
      <c r="L105" s="671"/>
      <c r="M105" s="671"/>
      <c r="N105" s="671"/>
      <c r="O105" s="671"/>
      <c r="P105" s="671"/>
      <c r="Q105" s="671"/>
      <c r="R105" s="672"/>
      <c r="S105" s="671"/>
      <c r="T105" s="671"/>
      <c r="U105" s="671"/>
      <c r="V105" s="671"/>
      <c r="W105" s="671"/>
      <c r="X105" s="671"/>
      <c r="Y105" s="673"/>
      <c r="Z105" s="673"/>
      <c r="AA105" s="673"/>
      <c r="AB105" s="672"/>
      <c r="AC105" s="671"/>
      <c r="AD105" s="671"/>
      <c r="AE105" s="671"/>
      <c r="AF105" s="671"/>
      <c r="AG105" s="671"/>
      <c r="AH105" s="673"/>
      <c r="AI105" s="673"/>
      <c r="AJ105" s="673"/>
      <c r="AK105" s="673"/>
      <c r="AL105" s="673"/>
      <c r="AM105" s="673"/>
      <c r="AN105" s="673"/>
      <c r="AO105" s="673"/>
      <c r="AP105" s="673"/>
      <c r="AQ105" s="673"/>
      <c r="AR105" s="673"/>
      <c r="AS105" s="673"/>
      <c r="AT105" s="673"/>
      <c r="AU105" s="673"/>
      <c r="AV105" s="671"/>
      <c r="AW105" s="671"/>
      <c r="AX105" s="671"/>
      <c r="AY105" s="671"/>
      <c r="AZ105" s="671"/>
      <c r="BA105" s="671"/>
      <c r="BB105" s="671"/>
      <c r="BC105" s="671"/>
      <c r="BD105" s="671"/>
      <c r="BE105" s="671"/>
      <c r="BF105" s="671"/>
      <c r="BG105" s="671"/>
      <c r="BH105" s="671"/>
      <c r="BI105" s="671"/>
      <c r="BJ105" s="671"/>
      <c r="BK105" s="671"/>
      <c r="BL105" s="671"/>
      <c r="BM105" s="671"/>
      <c r="BN105" s="671"/>
      <c r="BO105" s="671"/>
      <c r="BP105" s="671"/>
      <c r="BQ105" s="671"/>
      <c r="BR105" s="671"/>
      <c r="BS105" s="671"/>
      <c r="BT105" s="671"/>
      <c r="BU105" s="671"/>
      <c r="BV105" s="671"/>
      <c r="BW105" s="671"/>
      <c r="BX105" s="671"/>
      <c r="BY105" s="671"/>
    </row>
    <row r="106" spans="2:89" s="674" customFormat="1" ht="24" customHeight="1" x14ac:dyDescent="0.2">
      <c r="B106" s="669"/>
      <c r="C106" s="669"/>
      <c r="D106" s="669"/>
      <c r="E106" s="669"/>
      <c r="F106" s="669"/>
      <c r="G106" s="670"/>
      <c r="H106" s="670"/>
      <c r="I106" s="670"/>
      <c r="J106" s="670"/>
      <c r="K106" s="670"/>
      <c r="L106" s="671"/>
      <c r="M106" s="671"/>
      <c r="N106" s="671"/>
      <c r="O106" s="671"/>
      <c r="P106" s="671"/>
      <c r="Q106" s="671"/>
      <c r="R106" s="672"/>
      <c r="S106" s="671"/>
      <c r="T106" s="671"/>
      <c r="U106" s="671"/>
      <c r="V106" s="671"/>
      <c r="W106" s="671"/>
      <c r="X106" s="671"/>
      <c r="Y106" s="673"/>
      <c r="Z106" s="673"/>
      <c r="AA106" s="673"/>
      <c r="AB106" s="672"/>
      <c r="AC106" s="671"/>
      <c r="AD106" s="671"/>
      <c r="AE106" s="671"/>
      <c r="AF106" s="671"/>
      <c r="AG106" s="671"/>
      <c r="AH106" s="673"/>
      <c r="AI106" s="673"/>
      <c r="AJ106" s="673"/>
      <c r="AK106" s="673"/>
      <c r="AL106" s="673"/>
      <c r="AM106" s="673"/>
      <c r="AN106" s="673"/>
      <c r="AO106" s="673"/>
      <c r="AP106" s="673"/>
      <c r="AQ106" s="673"/>
      <c r="AR106" s="673"/>
      <c r="AS106" s="673"/>
      <c r="AT106" s="673"/>
      <c r="AU106" s="673"/>
      <c r="AV106" s="671"/>
      <c r="AW106" s="671"/>
      <c r="AX106" s="671"/>
      <c r="AY106" s="671"/>
      <c r="AZ106" s="671"/>
      <c r="BA106" s="671"/>
      <c r="BB106" s="671"/>
      <c r="BC106" s="671"/>
      <c r="BD106" s="671"/>
      <c r="BE106" s="671"/>
      <c r="BF106" s="671"/>
      <c r="BG106" s="671"/>
      <c r="BH106" s="671"/>
      <c r="BI106" s="671"/>
      <c r="BJ106" s="671"/>
      <c r="BK106" s="671"/>
      <c r="BL106" s="671"/>
      <c r="BM106" s="671"/>
      <c r="BN106" s="671"/>
      <c r="BO106" s="671"/>
      <c r="BP106" s="671"/>
      <c r="BQ106" s="671"/>
      <c r="BR106" s="671"/>
      <c r="BS106" s="671"/>
      <c r="BT106" s="671"/>
      <c r="BU106" s="671"/>
      <c r="BV106" s="671"/>
      <c r="BW106" s="671"/>
      <c r="BX106" s="671"/>
      <c r="BY106" s="671"/>
    </row>
    <row r="107" spans="2:89" s="685" customFormat="1" ht="24" customHeight="1" x14ac:dyDescent="0.2">
      <c r="B107" s="680"/>
      <c r="C107" s="680"/>
      <c r="D107" s="680"/>
      <c r="E107" s="680"/>
      <c r="F107" s="680"/>
      <c r="G107" s="681"/>
      <c r="H107" s="681"/>
      <c r="I107" s="681"/>
      <c r="J107" s="681"/>
      <c r="K107" s="681"/>
      <c r="L107" s="682"/>
      <c r="M107" s="682"/>
      <c r="N107" s="682"/>
      <c r="O107" s="682"/>
      <c r="P107" s="682"/>
      <c r="Q107" s="682"/>
      <c r="R107" s="683"/>
      <c r="S107" s="682"/>
      <c r="T107" s="682"/>
      <c r="U107" s="682"/>
      <c r="V107" s="682"/>
      <c r="W107" s="682"/>
      <c r="X107" s="682"/>
      <c r="Y107" s="684" t="s">
        <v>639</v>
      </c>
      <c r="Z107" s="684"/>
      <c r="AA107" s="684"/>
      <c r="AB107" s="683"/>
      <c r="AC107" s="682"/>
      <c r="AD107" s="682"/>
      <c r="AE107" s="682"/>
      <c r="AF107" s="682"/>
      <c r="AG107" s="682"/>
      <c r="AH107" s="684" t="s">
        <v>634</v>
      </c>
      <c r="AI107" s="684"/>
      <c r="AJ107" s="684"/>
      <c r="AK107" s="684" t="s">
        <v>633</v>
      </c>
      <c r="AL107" s="684"/>
      <c r="AM107" s="684"/>
      <c r="AN107" s="684"/>
      <c r="AO107" s="684"/>
      <c r="AP107" s="684"/>
      <c r="AQ107" s="684"/>
      <c r="AR107" s="684"/>
      <c r="AS107" s="684"/>
      <c r="AT107" s="684" t="s">
        <v>633</v>
      </c>
      <c r="AU107" s="684"/>
      <c r="AV107" s="682"/>
      <c r="AW107" s="682"/>
      <c r="AX107" s="682"/>
      <c r="AY107" s="682"/>
      <c r="AZ107" s="682"/>
      <c r="BA107" s="682"/>
      <c r="BB107" s="682"/>
      <c r="BC107" s="682"/>
      <c r="BD107" s="682"/>
      <c r="BE107" s="682"/>
      <c r="BF107" s="682"/>
      <c r="BG107" s="682"/>
      <c r="BH107" s="682"/>
      <c r="BI107" s="682"/>
      <c r="BJ107" s="682"/>
      <c r="BK107" s="682"/>
      <c r="BL107" s="682"/>
      <c r="BM107" s="682"/>
      <c r="BN107" s="682"/>
      <c r="BO107" s="682"/>
      <c r="BP107" s="682"/>
      <c r="BQ107" s="682"/>
      <c r="BR107" s="682"/>
      <c r="BS107" s="682"/>
      <c r="BT107" s="682"/>
      <c r="BU107" s="682"/>
      <c r="BV107" s="682"/>
      <c r="BW107" s="682"/>
      <c r="BX107" s="682"/>
      <c r="BY107" s="682"/>
    </row>
    <row r="108" spans="2:89" s="678" customFormat="1" ht="24" customHeight="1" x14ac:dyDescent="0.2">
      <c r="B108" s="675"/>
      <c r="C108" s="675"/>
      <c r="D108" s="675"/>
      <c r="E108" s="675"/>
      <c r="F108" s="675"/>
      <c r="G108" s="676"/>
      <c r="H108" s="676"/>
      <c r="I108" s="676"/>
      <c r="J108" s="676"/>
      <c r="K108" s="676"/>
      <c r="L108" s="673"/>
      <c r="M108" s="673"/>
      <c r="N108" s="673"/>
      <c r="O108" s="673"/>
      <c r="P108" s="673"/>
      <c r="Q108" s="673"/>
      <c r="R108" s="677"/>
      <c r="S108" s="673"/>
      <c r="T108" s="673"/>
      <c r="U108" s="673"/>
      <c r="V108" s="673"/>
      <c r="W108" s="673"/>
      <c r="X108" s="673"/>
      <c r="Y108" s="673" t="s">
        <v>640</v>
      </c>
      <c r="Z108" s="673"/>
      <c r="AA108" s="673"/>
      <c r="AB108" s="677"/>
      <c r="AC108" s="673"/>
      <c r="AD108" s="673"/>
      <c r="AE108" s="673"/>
      <c r="AF108" s="673"/>
      <c r="AG108" s="673"/>
      <c r="AH108" s="673" t="s">
        <v>641</v>
      </c>
      <c r="AI108" s="673"/>
      <c r="AJ108" s="673"/>
      <c r="AK108" s="673" t="s">
        <v>643</v>
      </c>
      <c r="AL108" s="673"/>
      <c r="AM108" s="673"/>
      <c r="AN108" s="673"/>
      <c r="AO108" s="673"/>
      <c r="AP108" s="673"/>
      <c r="AQ108" s="673"/>
      <c r="AR108" s="673"/>
      <c r="AS108" s="673"/>
      <c r="AT108" s="673" t="s">
        <v>643</v>
      </c>
      <c r="AU108" s="673"/>
      <c r="AV108" s="673"/>
      <c r="AW108" s="673"/>
      <c r="AX108" s="673"/>
      <c r="AY108" s="673"/>
      <c r="AZ108" s="673"/>
      <c r="BA108" s="673"/>
      <c r="BB108" s="673"/>
      <c r="BC108" s="673"/>
      <c r="BD108" s="673"/>
      <c r="BE108" s="673"/>
      <c r="BF108" s="673"/>
      <c r="BG108" s="673"/>
      <c r="BH108" s="673"/>
      <c r="BI108" s="673"/>
      <c r="BJ108" s="673"/>
      <c r="BK108" s="673"/>
      <c r="BL108" s="673"/>
      <c r="BM108" s="673"/>
      <c r="BN108" s="673"/>
      <c r="BO108" s="673"/>
      <c r="BP108" s="673"/>
      <c r="BQ108" s="673"/>
      <c r="BR108" s="673"/>
      <c r="BS108" s="673"/>
      <c r="BT108" s="673"/>
      <c r="BU108" s="673"/>
      <c r="BV108" s="673"/>
      <c r="BW108" s="673"/>
      <c r="BX108" s="673"/>
      <c r="BY108" s="673"/>
    </row>
    <row r="109" spans="2:89" ht="14.25" customHeight="1" x14ac:dyDescent="0.2">
      <c r="B109" s="157"/>
      <c r="C109" s="157"/>
      <c r="D109" s="157"/>
      <c r="E109" s="157"/>
      <c r="F109" s="551"/>
      <c r="G109" s="226"/>
      <c r="H109" s="226"/>
      <c r="I109" s="226"/>
      <c r="J109" s="226"/>
      <c r="K109" s="226"/>
      <c r="L109" s="286"/>
      <c r="M109" s="286"/>
      <c r="N109" s="286"/>
      <c r="O109" s="286"/>
      <c r="P109" s="286"/>
      <c r="Q109" s="286"/>
      <c r="R109" s="287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7"/>
      <c r="AC109" s="286"/>
      <c r="AD109" s="286"/>
      <c r="AE109" s="286"/>
      <c r="AF109" s="286"/>
      <c r="AG109" s="286"/>
      <c r="AH109" s="286"/>
      <c r="AI109" s="286"/>
      <c r="AJ109" s="286"/>
      <c r="AK109" s="286"/>
      <c r="AL109" s="286"/>
      <c r="AM109" s="286"/>
      <c r="AN109" s="286"/>
      <c r="AO109" s="286"/>
      <c r="AP109" s="286"/>
      <c r="AQ109" s="286"/>
      <c r="AR109" s="286"/>
      <c r="AS109" s="286"/>
      <c r="AT109" s="286"/>
      <c r="AU109" s="286"/>
      <c r="AV109" s="286"/>
      <c r="AW109" s="286"/>
      <c r="AX109" s="286"/>
      <c r="AY109" s="286"/>
      <c r="AZ109" s="286"/>
      <c r="BA109" s="286"/>
      <c r="BB109" s="286"/>
      <c r="BC109" s="286"/>
      <c r="BD109" s="286"/>
      <c r="BE109" s="286"/>
      <c r="BF109" s="286"/>
      <c r="BG109" s="286"/>
      <c r="BH109" s="286"/>
      <c r="BI109" s="286"/>
      <c r="BJ109" s="286"/>
      <c r="BK109" s="286"/>
      <c r="BL109" s="286"/>
      <c r="BM109" s="286"/>
      <c r="BN109" s="286"/>
      <c r="BO109" s="286"/>
      <c r="BP109" s="286"/>
      <c r="BQ109" s="286"/>
      <c r="BR109" s="286"/>
      <c r="BS109" s="286"/>
      <c r="BT109" s="286"/>
      <c r="BU109" s="286"/>
      <c r="BV109" s="286"/>
      <c r="BW109" s="286"/>
      <c r="BX109" s="286"/>
      <c r="BY109" s="286"/>
    </row>
    <row r="110" spans="2:89" s="281" customFormat="1" ht="14.25" customHeight="1" x14ac:dyDescent="0.2">
      <c r="B110" s="288"/>
      <c r="C110" s="288"/>
      <c r="D110" s="288" t="s">
        <v>485</v>
      </c>
      <c r="E110" s="441">
        <f>E22</f>
        <v>350</v>
      </c>
      <c r="F110" s="289">
        <f>F99/E110</f>
        <v>119275643.95569718</v>
      </c>
      <c r="G110" s="290"/>
      <c r="H110" s="290"/>
      <c r="I110" s="290"/>
      <c r="J110" s="290"/>
      <c r="K110" s="290"/>
      <c r="L110" s="291"/>
      <c r="M110" s="291"/>
      <c r="N110" s="291"/>
      <c r="O110" s="291"/>
      <c r="P110" s="291"/>
      <c r="Q110" s="297">
        <f>Q99/E110</f>
        <v>49159983.459959194</v>
      </c>
      <c r="R110" s="292"/>
      <c r="S110" s="291"/>
      <c r="T110" s="291"/>
      <c r="U110" s="291"/>
      <c r="V110" s="291"/>
      <c r="W110" s="291"/>
      <c r="X110" s="291"/>
      <c r="Y110" s="297">
        <f>Y99/E110</f>
        <v>14746548.026699997</v>
      </c>
      <c r="Z110" s="291"/>
      <c r="AA110" s="297">
        <f>AA99/E110</f>
        <v>63906531.486659206</v>
      </c>
      <c r="AB110" s="292"/>
      <c r="AC110" s="291"/>
      <c r="AD110" s="291"/>
      <c r="AE110" s="291"/>
      <c r="AF110" s="291"/>
      <c r="AG110" s="291"/>
      <c r="AH110" s="291"/>
      <c r="AI110" s="297">
        <f>AI99/E110</f>
        <v>33040907.150722269</v>
      </c>
      <c r="AJ110" s="291"/>
      <c r="AK110" s="297">
        <f>AK99/E110</f>
        <v>96947438.637381464</v>
      </c>
      <c r="AL110" s="291"/>
      <c r="AM110" s="291"/>
      <c r="AN110" s="291"/>
      <c r="AO110" s="291"/>
      <c r="AP110" s="291"/>
      <c r="AQ110" s="291"/>
      <c r="AR110" s="291"/>
      <c r="AS110" s="297">
        <f>AS99/E110</f>
        <v>22328205.318315711</v>
      </c>
      <c r="AT110" s="291"/>
      <c r="AU110" s="297">
        <f>AU99/E110</f>
        <v>119275643.95569718</v>
      </c>
      <c r="AV110" s="291"/>
      <c r="AW110" s="291"/>
      <c r="AX110" s="291"/>
      <c r="AY110" s="291"/>
      <c r="AZ110" s="291"/>
      <c r="BA110" s="291"/>
      <c r="BB110" s="291"/>
      <c r="BC110" s="297">
        <f>BC99/E110</f>
        <v>0</v>
      </c>
      <c r="BD110" s="291"/>
      <c r="BE110" s="297">
        <f>BE99/E110</f>
        <v>113595851.38637826</v>
      </c>
      <c r="BF110" s="291"/>
      <c r="BG110" s="291"/>
      <c r="BH110" s="291"/>
      <c r="BI110" s="291"/>
      <c r="BJ110" s="291"/>
      <c r="BK110" s="291"/>
      <c r="BL110" s="291"/>
      <c r="BM110" s="297">
        <f>BM99/E110</f>
        <v>0</v>
      </c>
      <c r="BN110" s="291"/>
      <c r="BO110" s="297">
        <f>BO99/E110</f>
        <v>113595851.38637826</v>
      </c>
      <c r="BP110" s="291"/>
      <c r="BQ110" s="291"/>
      <c r="BR110" s="291"/>
      <c r="BS110" s="291"/>
      <c r="BT110" s="291"/>
      <c r="BU110" s="291"/>
      <c r="BV110" s="291"/>
      <c r="BW110" s="297">
        <f>BW99/E110</f>
        <v>0</v>
      </c>
      <c r="BX110" s="291"/>
      <c r="BY110" s="297">
        <f>BY99/E110</f>
        <v>113595851.38637826</v>
      </c>
    </row>
    <row r="111" spans="2:89" ht="14.25" customHeight="1" x14ac:dyDescent="0.2">
      <c r="B111" s="157"/>
      <c r="C111" s="157"/>
      <c r="D111" s="157"/>
      <c r="E111" s="157">
        <v>2025</v>
      </c>
      <c r="F111" s="227"/>
      <c r="G111" s="227">
        <f>G110*E110</f>
        <v>0</v>
      </c>
      <c r="H111" s="226"/>
      <c r="I111" s="226"/>
      <c r="J111" s="226"/>
      <c r="K111" s="226"/>
      <c r="L111" s="286"/>
      <c r="M111" s="286"/>
      <c r="N111" s="286"/>
      <c r="O111" s="286"/>
      <c r="P111" s="286"/>
      <c r="Q111" s="286"/>
      <c r="R111" s="287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7"/>
      <c r="AC111" s="286"/>
      <c r="AD111" s="286"/>
      <c r="AE111" s="286"/>
      <c r="AF111" s="286"/>
      <c r="AG111" s="286"/>
      <c r="AH111" s="286"/>
      <c r="AI111" s="286"/>
      <c r="AJ111" s="286"/>
      <c r="AK111" s="286"/>
      <c r="AL111" s="286"/>
      <c r="AM111" s="286"/>
      <c r="AN111" s="286"/>
      <c r="AO111" s="286"/>
      <c r="AP111" s="286"/>
      <c r="AQ111" s="286"/>
      <c r="AR111" s="286"/>
      <c r="AS111" s="286"/>
      <c r="AT111" s="286"/>
      <c r="AU111" s="286"/>
      <c r="AV111" s="286"/>
      <c r="AW111" s="286"/>
      <c r="AX111" s="286"/>
      <c r="AY111" s="286"/>
      <c r="AZ111" s="286"/>
      <c r="BA111" s="286"/>
      <c r="BB111" s="286"/>
      <c r="BC111" s="286"/>
      <c r="BD111" s="286"/>
      <c r="BE111" s="286"/>
      <c r="BF111" s="286"/>
      <c r="BG111" s="286"/>
      <c r="BH111" s="286"/>
      <c r="BI111" s="286"/>
      <c r="BJ111" s="286"/>
      <c r="BK111" s="286"/>
      <c r="BL111" s="286"/>
      <c r="BM111" s="286"/>
      <c r="BN111" s="286"/>
      <c r="BO111" s="286"/>
      <c r="BP111" s="286"/>
      <c r="BQ111" s="286"/>
      <c r="BR111" s="286"/>
      <c r="BS111" s="286"/>
      <c r="BT111" s="286"/>
      <c r="BU111" s="286"/>
      <c r="BV111" s="286"/>
      <c r="BW111" s="286"/>
      <c r="BX111" s="286"/>
      <c r="BY111" s="286"/>
    </row>
    <row r="112" spans="2:89" ht="14.25" customHeight="1" x14ac:dyDescent="0.2">
      <c r="B112" s="157"/>
      <c r="C112" s="157"/>
      <c r="D112" s="228"/>
      <c r="E112" s="157"/>
      <c r="F112" s="227">
        <f>+F111*E110</f>
        <v>0</v>
      </c>
      <c r="G112" s="226"/>
      <c r="H112" s="226"/>
      <c r="I112" s="226"/>
      <c r="J112" s="226"/>
      <c r="K112" s="226"/>
      <c r="L112" s="286"/>
      <c r="M112" s="286"/>
      <c r="N112" s="286"/>
      <c r="O112" s="286"/>
      <c r="P112" s="286"/>
      <c r="Q112" s="286"/>
      <c r="R112" s="287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7"/>
      <c r="AC112" s="286"/>
      <c r="AD112" s="286"/>
      <c r="AE112" s="286"/>
      <c r="AF112" s="286"/>
      <c r="AG112" s="286"/>
      <c r="AH112" s="286"/>
      <c r="AI112" s="286"/>
      <c r="AJ112" s="286"/>
      <c r="AK112" s="286"/>
      <c r="AL112" s="286"/>
      <c r="AM112" s="286"/>
      <c r="AN112" s="286"/>
      <c r="AO112" s="286"/>
      <c r="AP112" s="286"/>
      <c r="AQ112" s="286"/>
      <c r="AR112" s="286"/>
      <c r="AS112" s="286"/>
      <c r="AT112" s="286"/>
      <c r="AU112" s="286"/>
      <c r="AV112" s="286"/>
      <c r="AW112" s="286"/>
      <c r="AX112" s="286"/>
      <c r="AY112" s="286"/>
      <c r="AZ112" s="286"/>
      <c r="BA112" s="286"/>
      <c r="BB112" s="286"/>
      <c r="BC112" s="286"/>
      <c r="BD112" s="286"/>
      <c r="BE112" s="286"/>
      <c r="BF112" s="286"/>
      <c r="BG112" s="286"/>
      <c r="BH112" s="286"/>
      <c r="BI112" s="286"/>
      <c r="BJ112" s="286"/>
      <c r="BK112" s="286"/>
      <c r="BL112" s="286"/>
      <c r="BM112" s="286"/>
      <c r="BN112" s="286"/>
      <c r="BO112" s="286"/>
      <c r="BP112" s="286"/>
      <c r="BQ112" s="286"/>
      <c r="BR112" s="286"/>
      <c r="BS112" s="286"/>
      <c r="BT112" s="286"/>
      <c r="BU112" s="286"/>
      <c r="BV112" s="286"/>
      <c r="BW112" s="286"/>
      <c r="BX112" s="286"/>
      <c r="BY112" s="286"/>
    </row>
    <row r="113" spans="2:77" ht="14.25" customHeight="1" x14ac:dyDescent="0.2">
      <c r="B113" s="157"/>
      <c r="C113" s="157"/>
      <c r="D113" s="228"/>
      <c r="E113" s="157"/>
      <c r="F113" s="227"/>
      <c r="G113" s="226">
        <f>+F113*1.2</f>
        <v>0</v>
      </c>
      <c r="H113" s="226"/>
      <c r="I113" s="226"/>
      <c r="J113" s="226"/>
      <c r="K113" s="226"/>
      <c r="L113" s="286"/>
      <c r="M113" s="286"/>
      <c r="N113" s="286"/>
      <c r="O113" s="286"/>
      <c r="P113" s="286"/>
      <c r="Q113" s="286"/>
      <c r="R113" s="287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7"/>
      <c r="AC113" s="286"/>
      <c r="AD113" s="286"/>
      <c r="AE113" s="286"/>
      <c r="AF113" s="286"/>
      <c r="AG113" s="286"/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6"/>
      <c r="AR113" s="286"/>
      <c r="AS113" s="286"/>
      <c r="AT113" s="286"/>
      <c r="AU113" s="286"/>
      <c r="AV113" s="286"/>
      <c r="AW113" s="286"/>
      <c r="AX113" s="286"/>
      <c r="AY113" s="286"/>
      <c r="AZ113" s="286"/>
      <c r="BA113" s="286"/>
      <c r="BB113" s="286"/>
      <c r="BC113" s="286"/>
      <c r="BD113" s="286"/>
      <c r="BE113" s="286"/>
      <c r="BF113" s="286"/>
      <c r="BG113" s="286"/>
      <c r="BH113" s="286"/>
      <c r="BI113" s="286"/>
      <c r="BJ113" s="286"/>
      <c r="BK113" s="286"/>
      <c r="BL113" s="286"/>
      <c r="BM113" s="286"/>
      <c r="BN113" s="286"/>
      <c r="BO113" s="286"/>
      <c r="BP113" s="286"/>
      <c r="BQ113" s="286"/>
      <c r="BR113" s="286"/>
      <c r="BS113" s="286"/>
      <c r="BT113" s="286"/>
      <c r="BU113" s="286"/>
      <c r="BV113" s="286"/>
      <c r="BW113" s="286"/>
      <c r="BX113" s="286"/>
      <c r="BY113" s="286"/>
    </row>
    <row r="114" spans="2:77" ht="14.25" customHeight="1" x14ac:dyDescent="0.2">
      <c r="B114" s="157"/>
      <c r="C114" s="157"/>
      <c r="D114" s="157"/>
      <c r="E114" s="157"/>
      <c r="F114" s="227"/>
      <c r="G114" s="157" t="s">
        <v>598</v>
      </c>
      <c r="H114" s="157"/>
      <c r="I114" s="157"/>
      <c r="J114" s="157"/>
      <c r="K114" s="157"/>
    </row>
    <row r="115" spans="2:77" ht="14.25" customHeight="1" x14ac:dyDescent="0.2">
      <c r="B115" s="157"/>
      <c r="C115" s="157"/>
      <c r="D115" s="157"/>
      <c r="E115" s="157"/>
      <c r="F115" s="227"/>
      <c r="G115" s="157"/>
      <c r="H115" s="157"/>
      <c r="I115" s="157"/>
      <c r="J115" s="157"/>
      <c r="K115" s="157"/>
    </row>
    <row r="116" spans="2:77" ht="14.25" customHeight="1" x14ac:dyDescent="0.2">
      <c r="B116" s="157"/>
      <c r="C116" s="157"/>
      <c r="D116" s="157"/>
      <c r="E116" s="157"/>
      <c r="F116" s="227"/>
      <c r="G116" s="157"/>
      <c r="H116" s="157"/>
      <c r="I116" s="157"/>
      <c r="J116" s="157"/>
      <c r="K116" s="157"/>
    </row>
    <row r="117" spans="2:77" ht="14.25" customHeight="1" x14ac:dyDescent="0.2"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</row>
    <row r="118" spans="2:77" ht="14.25" customHeight="1" x14ac:dyDescent="0.2"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</row>
    <row r="119" spans="2:77" ht="14.25" customHeight="1" x14ac:dyDescent="0.2"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</row>
    <row r="120" spans="2:77" ht="14.25" customHeight="1" x14ac:dyDescent="0.2"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</row>
    <row r="121" spans="2:77" ht="14.25" customHeight="1" x14ac:dyDescent="0.2"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</row>
    <row r="122" spans="2:77" ht="14.25" customHeight="1" x14ac:dyDescent="0.2"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</row>
    <row r="123" spans="2:77" ht="14.25" customHeight="1" x14ac:dyDescent="0.2"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</row>
    <row r="124" spans="2:77" ht="14.25" customHeight="1" x14ac:dyDescent="0.2"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</row>
    <row r="125" spans="2:77" ht="14.25" customHeight="1" x14ac:dyDescent="0.2"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</row>
    <row r="126" spans="2:77" ht="14.25" customHeight="1" x14ac:dyDescent="0.2"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</row>
    <row r="127" spans="2:77" ht="14.25" customHeight="1" x14ac:dyDescent="0.2"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</row>
    <row r="128" spans="2:77" ht="14.25" customHeight="1" x14ac:dyDescent="0.2"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</row>
    <row r="129" spans="2:11" ht="14.25" customHeight="1" x14ac:dyDescent="0.2"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</row>
    <row r="130" spans="2:11" ht="14.25" customHeight="1" x14ac:dyDescent="0.2"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</row>
    <row r="131" spans="2:11" ht="14.25" customHeight="1" x14ac:dyDescent="0.2"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</row>
    <row r="132" spans="2:11" ht="14.25" customHeight="1" x14ac:dyDescent="0.2"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</row>
    <row r="133" spans="2:11" ht="14.25" customHeight="1" x14ac:dyDescent="0.2"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</row>
    <row r="134" spans="2:11" ht="14.25" customHeight="1" x14ac:dyDescent="0.2"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</row>
    <row r="135" spans="2:11" ht="14.25" customHeight="1" x14ac:dyDescent="0.2"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</row>
    <row r="136" spans="2:11" ht="14.25" customHeight="1" x14ac:dyDescent="0.2"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</row>
    <row r="137" spans="2:11" ht="14.25" customHeight="1" x14ac:dyDescent="0.2"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</row>
    <row r="138" spans="2:11" ht="14.25" customHeight="1" x14ac:dyDescent="0.2"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</row>
    <row r="139" spans="2:11" ht="14.25" customHeight="1" x14ac:dyDescent="0.2"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</row>
    <row r="140" spans="2:11" ht="14.25" customHeight="1" x14ac:dyDescent="0.2"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</row>
    <row r="141" spans="2:11" ht="14.25" customHeight="1" x14ac:dyDescent="0.2"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</row>
    <row r="142" spans="2:11" ht="14.25" customHeight="1" x14ac:dyDescent="0.2"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</row>
    <row r="143" spans="2:11" ht="14.25" customHeight="1" x14ac:dyDescent="0.2"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</row>
    <row r="144" spans="2:11" ht="14.25" customHeight="1" x14ac:dyDescent="0.2"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</row>
    <row r="145" spans="2:11" ht="14.25" customHeight="1" x14ac:dyDescent="0.2"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</row>
    <row r="146" spans="2:11" ht="14.25" customHeight="1" x14ac:dyDescent="0.2"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</row>
    <row r="147" spans="2:11" ht="14.25" customHeight="1" x14ac:dyDescent="0.2"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</row>
    <row r="148" spans="2:11" ht="14.25" customHeight="1" x14ac:dyDescent="0.2"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</row>
    <row r="149" spans="2:11" ht="14.25" customHeight="1" x14ac:dyDescent="0.2"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</row>
    <row r="150" spans="2:11" ht="14.25" customHeight="1" x14ac:dyDescent="0.2"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</row>
    <row r="151" spans="2:11" ht="14.25" customHeight="1" x14ac:dyDescent="0.2"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</row>
    <row r="152" spans="2:11" ht="14.25" customHeight="1" x14ac:dyDescent="0.2"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</row>
    <row r="153" spans="2:11" ht="14.25" customHeight="1" x14ac:dyDescent="0.2"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</row>
    <row r="154" spans="2:11" ht="14.25" customHeight="1" x14ac:dyDescent="0.2"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</row>
    <row r="155" spans="2:11" ht="14.25" customHeight="1" x14ac:dyDescent="0.2"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</row>
    <row r="156" spans="2:11" ht="14.25" customHeight="1" x14ac:dyDescent="0.2"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</row>
    <row r="157" spans="2:11" ht="14.25" customHeight="1" x14ac:dyDescent="0.2"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</row>
    <row r="158" spans="2:11" ht="14.25" customHeight="1" x14ac:dyDescent="0.2"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</row>
    <row r="159" spans="2:11" ht="14.25" customHeight="1" x14ac:dyDescent="0.2"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</row>
    <row r="160" spans="2:11" ht="14.25" customHeight="1" x14ac:dyDescent="0.2"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</row>
    <row r="161" spans="2:11" ht="14.25" customHeight="1" x14ac:dyDescent="0.2"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</row>
    <row r="162" spans="2:11" ht="14.25" customHeight="1" x14ac:dyDescent="0.2"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</row>
    <row r="163" spans="2:11" ht="14.25" customHeight="1" x14ac:dyDescent="0.2"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</row>
    <row r="164" spans="2:11" ht="14.25" customHeight="1" x14ac:dyDescent="0.2"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</row>
    <row r="165" spans="2:11" ht="14.25" customHeight="1" x14ac:dyDescent="0.2"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</row>
    <row r="166" spans="2:11" ht="14.25" customHeight="1" x14ac:dyDescent="0.2"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</row>
    <row r="167" spans="2:11" ht="14.25" customHeight="1" x14ac:dyDescent="0.2"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</row>
    <row r="168" spans="2:11" ht="14.25" customHeight="1" x14ac:dyDescent="0.2"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</row>
    <row r="169" spans="2:11" ht="14.25" customHeight="1" x14ac:dyDescent="0.2"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</row>
    <row r="170" spans="2:11" ht="14.25" customHeight="1" x14ac:dyDescent="0.2"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</row>
    <row r="171" spans="2:11" ht="14.25" customHeight="1" x14ac:dyDescent="0.2"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</row>
    <row r="172" spans="2:11" ht="14.25" customHeight="1" x14ac:dyDescent="0.2"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</row>
    <row r="173" spans="2:11" ht="14.25" customHeight="1" x14ac:dyDescent="0.2"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</row>
    <row r="174" spans="2:11" ht="14.25" customHeight="1" x14ac:dyDescent="0.2"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</row>
    <row r="175" spans="2:11" ht="14.25" customHeight="1" x14ac:dyDescent="0.2"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</row>
    <row r="176" spans="2:11" ht="14.25" customHeight="1" x14ac:dyDescent="0.2"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</row>
    <row r="177" spans="2:11" ht="14.25" customHeight="1" x14ac:dyDescent="0.2"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</row>
    <row r="178" spans="2:11" ht="14.25" customHeight="1" x14ac:dyDescent="0.2"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</row>
    <row r="179" spans="2:11" ht="14.25" customHeight="1" x14ac:dyDescent="0.2"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</row>
    <row r="180" spans="2:11" ht="14.25" customHeight="1" x14ac:dyDescent="0.2"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</row>
    <row r="181" spans="2:11" ht="14.25" customHeight="1" x14ac:dyDescent="0.2"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</row>
    <row r="182" spans="2:11" ht="14.25" customHeight="1" x14ac:dyDescent="0.2"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</row>
    <row r="183" spans="2:11" ht="14.25" customHeight="1" x14ac:dyDescent="0.2"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</row>
    <row r="184" spans="2:11" ht="14.25" customHeight="1" x14ac:dyDescent="0.2"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</row>
    <row r="185" spans="2:11" ht="14.25" customHeight="1" x14ac:dyDescent="0.2"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</row>
    <row r="186" spans="2:11" ht="14.25" customHeight="1" x14ac:dyDescent="0.2"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</row>
    <row r="187" spans="2:11" ht="14.25" customHeight="1" x14ac:dyDescent="0.2"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</row>
    <row r="188" spans="2:11" ht="14.25" customHeight="1" x14ac:dyDescent="0.2"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</row>
    <row r="189" spans="2:11" ht="14.25" customHeight="1" x14ac:dyDescent="0.2"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</row>
    <row r="190" spans="2:11" ht="14.25" customHeight="1" x14ac:dyDescent="0.2"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</row>
    <row r="191" spans="2:11" ht="14.25" customHeight="1" x14ac:dyDescent="0.2"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</row>
    <row r="192" spans="2:11" ht="14.25" customHeight="1" x14ac:dyDescent="0.2"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</row>
    <row r="193" spans="2:11" ht="14.25" customHeight="1" x14ac:dyDescent="0.2"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</row>
    <row r="194" spans="2:11" ht="14.25" customHeight="1" x14ac:dyDescent="0.2"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</row>
    <row r="195" spans="2:11" ht="14.25" customHeight="1" x14ac:dyDescent="0.2"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</row>
    <row r="196" spans="2:11" ht="14.25" customHeight="1" x14ac:dyDescent="0.2"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</row>
    <row r="197" spans="2:11" ht="14.25" customHeight="1" x14ac:dyDescent="0.2"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</row>
    <row r="198" spans="2:11" ht="14.25" customHeight="1" x14ac:dyDescent="0.2"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</row>
    <row r="199" spans="2:11" ht="14.25" customHeight="1" x14ac:dyDescent="0.2"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</row>
    <row r="200" spans="2:11" ht="14.25" customHeight="1" x14ac:dyDescent="0.2"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</row>
    <row r="201" spans="2:11" ht="14.25" customHeight="1" x14ac:dyDescent="0.2"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</row>
    <row r="202" spans="2:11" ht="14.25" customHeight="1" x14ac:dyDescent="0.2"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</row>
    <row r="203" spans="2:11" ht="14.25" customHeight="1" x14ac:dyDescent="0.2"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</row>
    <row r="204" spans="2:11" ht="14.25" customHeight="1" x14ac:dyDescent="0.2"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</row>
  </sheetData>
  <mergeCells count="48">
    <mergeCell ref="AS101:AU101"/>
    <mergeCell ref="AV6:BE6"/>
    <mergeCell ref="BF6:BO6"/>
    <mergeCell ref="BT7:BU7"/>
    <mergeCell ref="BP6:BY6"/>
    <mergeCell ref="BP7:BQ7"/>
    <mergeCell ref="BR7:BS7"/>
    <mergeCell ref="BV7:BW7"/>
    <mergeCell ref="BL7:BM7"/>
    <mergeCell ref="BX7:BY7"/>
    <mergeCell ref="BJ7:BK7"/>
    <mergeCell ref="BF7:BG7"/>
    <mergeCell ref="BH7:BI7"/>
    <mergeCell ref="BB7:BC7"/>
    <mergeCell ref="AX7:AY7"/>
    <mergeCell ref="AV7:AW7"/>
    <mergeCell ref="CI8:CK8"/>
    <mergeCell ref="BN7:BO7"/>
    <mergeCell ref="AZ7:BA7"/>
    <mergeCell ref="BD7:BE7"/>
    <mergeCell ref="B1:AK1"/>
    <mergeCell ref="B6:B9"/>
    <mergeCell ref="C6:D9"/>
    <mergeCell ref="P7:Q7"/>
    <mergeCell ref="L7:M7"/>
    <mergeCell ref="N7:O7"/>
    <mergeCell ref="V7:W7"/>
    <mergeCell ref="AB7:AC7"/>
    <mergeCell ref="E7:F7"/>
    <mergeCell ref="J7:K7"/>
    <mergeCell ref="R7:S7"/>
    <mergeCell ref="E6:F6"/>
    <mergeCell ref="X7:Y7"/>
    <mergeCell ref="R6:AA6"/>
    <mergeCell ref="Z7:AA7"/>
    <mergeCell ref="J6:Q6"/>
    <mergeCell ref="T7:U7"/>
    <mergeCell ref="AL6:AU6"/>
    <mergeCell ref="AR7:AS7"/>
    <mergeCell ref="AH7:AI7"/>
    <mergeCell ref="AD7:AE7"/>
    <mergeCell ref="AF7:AG7"/>
    <mergeCell ref="AJ7:AK7"/>
    <mergeCell ref="AB6:AK6"/>
    <mergeCell ref="AL7:AM7"/>
    <mergeCell ref="AT7:AU7"/>
    <mergeCell ref="AP7:AQ7"/>
    <mergeCell ref="AN7:AO7"/>
  </mergeCells>
  <phoneticPr fontId="3" type="noConversion"/>
  <pageMargins left="0.51" right="0.25" top="0.25" bottom="0.25" header="0.5" footer="0.5"/>
  <pageSetup paperSize="9" scale="52" orientation="landscape" horizontalDpi="4294967293" r:id="rId1"/>
  <headerFooter alignWithMargins="0"/>
  <colBreaks count="1" manualBreakCount="1">
    <brk id="47" max="78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IP50"/>
  <sheetViews>
    <sheetView view="pageBreakPreview" topLeftCell="C4" zoomScale="70" zoomScaleNormal="76" zoomScaleSheetLayoutView="70" workbookViewId="0">
      <selection activeCell="CG28" sqref="CG28"/>
    </sheetView>
  </sheetViews>
  <sheetFormatPr defaultColWidth="9.1640625" defaultRowHeight="15" outlineLevelCol="1" x14ac:dyDescent="0.2"/>
  <cols>
    <col min="1" max="1" width="2.1640625" style="492" customWidth="1"/>
    <col min="2" max="2" width="58.5" style="492" customWidth="1"/>
    <col min="3" max="3" width="8.6640625" style="494" bestFit="1" customWidth="1"/>
    <col min="4" max="4" width="17.6640625" style="495" bestFit="1" customWidth="1"/>
    <col min="5" max="5" width="18.5" style="495" bestFit="1" customWidth="1"/>
    <col min="6" max="6" width="13.6640625" style="495" hidden="1" customWidth="1" outlineLevel="1"/>
    <col min="7" max="7" width="24" style="495" hidden="1" customWidth="1" outlineLevel="1"/>
    <col min="8" max="8" width="9.5" style="495" hidden="1" customWidth="1" outlineLevel="1"/>
    <col min="9" max="9" width="18" style="495" hidden="1" customWidth="1" outlineLevel="1"/>
    <col min="10" max="10" width="9.5" style="495" hidden="1" customWidth="1" outlineLevel="1"/>
    <col min="11" max="11" width="18" style="495" hidden="1" customWidth="1" outlineLevel="1"/>
    <col min="12" max="12" width="9.5" style="495" hidden="1" customWidth="1" outlineLevel="1"/>
    <col min="13" max="13" width="18" style="495" hidden="1" customWidth="1" outlineLevel="1"/>
    <col min="14" max="14" width="9.5" style="495" hidden="1" customWidth="1" outlineLevel="1"/>
    <col min="15" max="15" width="18.5" style="495" hidden="1" customWidth="1" outlineLevel="1"/>
    <col min="16" max="16" width="9.5" style="495" hidden="1" customWidth="1" outlineLevel="1"/>
    <col min="17" max="17" width="16.6640625" style="495" hidden="1" customWidth="1" outlineLevel="1"/>
    <col min="18" max="18" width="9.5" style="495" hidden="1" customWidth="1" outlineLevel="1"/>
    <col min="19" max="19" width="16.6640625" style="495" hidden="1" customWidth="1" outlineLevel="1"/>
    <col min="20" max="20" width="9.5" style="495" hidden="1" customWidth="1" outlineLevel="1"/>
    <col min="21" max="21" width="16.6640625" style="495" hidden="1" customWidth="1" outlineLevel="1"/>
    <col min="22" max="22" width="10.6640625" style="495" hidden="1" customWidth="1" outlineLevel="1"/>
    <col min="23" max="23" width="16.6640625" style="495" hidden="1" customWidth="1" outlineLevel="1"/>
    <col min="24" max="24" width="10.6640625" style="495" hidden="1" customWidth="1" outlineLevel="1"/>
    <col min="25" max="25" width="18.5" style="495" hidden="1" customWidth="1" outlineLevel="1"/>
    <col min="26" max="26" width="10.6640625" style="495" hidden="1" customWidth="1" outlineLevel="1"/>
    <col min="27" max="27" width="16.6640625" style="495" hidden="1" customWidth="1" outlineLevel="1"/>
    <col min="28" max="28" width="10.6640625" style="495" hidden="1" customWidth="1" outlineLevel="1"/>
    <col min="29" max="29" width="18" style="495" hidden="1" customWidth="1" outlineLevel="1"/>
    <col min="30" max="30" width="14.6640625" style="495" bestFit="1" customWidth="1" collapsed="1"/>
    <col min="31" max="31" width="25" style="495" customWidth="1"/>
    <col min="32" max="32" width="2.6640625" style="492" customWidth="1"/>
    <col min="33" max="33" width="10.6640625" style="495" hidden="1" customWidth="1" outlineLevel="1"/>
    <col min="34" max="34" width="16.6640625" style="495" hidden="1" customWidth="1" outlineLevel="1"/>
    <col min="35" max="35" width="10.6640625" style="495" hidden="1" customWidth="1" outlineLevel="1"/>
    <col min="36" max="36" width="16.6640625" style="495" hidden="1" customWidth="1" outlineLevel="1"/>
    <col min="37" max="37" width="10.6640625" style="495" hidden="1" customWidth="1" outlineLevel="1"/>
    <col min="38" max="38" width="17" style="495" hidden="1" customWidth="1" outlineLevel="1"/>
    <col min="39" max="39" width="10.6640625" style="495" hidden="1" customWidth="1" outlineLevel="1"/>
    <col min="40" max="40" width="16.6640625" style="495" hidden="1" customWidth="1" outlineLevel="1"/>
    <col min="41" max="41" width="9.5" style="495" hidden="1" customWidth="1" outlineLevel="1"/>
    <col min="42" max="42" width="16.6640625" style="495" hidden="1" customWidth="1" outlineLevel="1"/>
    <col min="43" max="43" width="9.5" style="495" hidden="1" customWidth="1" outlineLevel="1"/>
    <col min="44" max="44" width="16.6640625" style="495" hidden="1" customWidth="1" outlineLevel="1"/>
    <col min="45" max="45" width="10.6640625" style="495" hidden="1" customWidth="1" outlineLevel="1"/>
    <col min="46" max="46" width="16.6640625" style="495" hidden="1" customWidth="1" outlineLevel="1"/>
    <col min="47" max="47" width="10.6640625" style="495" hidden="1" customWidth="1" outlineLevel="1"/>
    <col min="48" max="48" width="16.6640625" style="495" hidden="1" customWidth="1" outlineLevel="1"/>
    <col min="49" max="49" width="10.6640625" style="495" hidden="1" customWidth="1" outlineLevel="1"/>
    <col min="50" max="50" width="16.6640625" style="495" hidden="1" customWidth="1" outlineLevel="1"/>
    <col min="51" max="51" width="10.6640625" style="495" hidden="1" customWidth="1" outlineLevel="1"/>
    <col min="52" max="52" width="16.6640625" style="495" hidden="1" customWidth="1" outlineLevel="1"/>
    <col min="53" max="53" width="10.6640625" style="495" hidden="1" customWidth="1" outlineLevel="1"/>
    <col min="54" max="54" width="16.6640625" style="495" hidden="1" customWidth="1" outlineLevel="1"/>
    <col min="55" max="55" width="10.6640625" style="495" hidden="1" customWidth="1" outlineLevel="1"/>
    <col min="56" max="56" width="18" style="495" hidden="1" customWidth="1" outlineLevel="1"/>
    <col min="57" max="57" width="12.5" style="495" customWidth="1" collapsed="1"/>
    <col min="58" max="58" width="19.6640625" style="495" customWidth="1"/>
    <col min="59" max="59" width="2.6640625" style="492" customWidth="1"/>
    <col min="60" max="60" width="10.6640625" style="495" hidden="1" customWidth="1" outlineLevel="1"/>
    <col min="61" max="61" width="18.33203125" style="495" hidden="1" customWidth="1" outlineLevel="1"/>
    <col min="62" max="62" width="10.6640625" style="495" hidden="1" customWidth="1" outlineLevel="1"/>
    <col min="63" max="63" width="16.6640625" style="495" hidden="1" customWidth="1" outlineLevel="1"/>
    <col min="64" max="64" width="10.6640625" style="495" hidden="1" customWidth="1" outlineLevel="1"/>
    <col min="65" max="65" width="17" style="495" hidden="1" customWidth="1" outlineLevel="1"/>
    <col min="66" max="66" width="10.6640625" style="495" hidden="1" customWidth="1" outlineLevel="1"/>
    <col min="67" max="67" width="16.6640625" style="495" hidden="1" customWidth="1" outlineLevel="1"/>
    <col min="68" max="68" width="10.6640625" style="495" hidden="1" customWidth="1" outlineLevel="1"/>
    <col min="69" max="69" width="16.6640625" style="495" hidden="1" customWidth="1" outlineLevel="1"/>
    <col min="70" max="70" width="10.6640625" style="495" hidden="1" customWidth="1" outlineLevel="1"/>
    <col min="71" max="71" width="16.6640625" style="495" hidden="1" customWidth="1" outlineLevel="1"/>
    <col min="72" max="72" width="10.6640625" style="495" hidden="1" customWidth="1" outlineLevel="1"/>
    <col min="73" max="73" width="16.6640625" style="495" hidden="1" customWidth="1" outlineLevel="1"/>
    <col min="74" max="74" width="9.5" style="495" hidden="1" customWidth="1" outlineLevel="1"/>
    <col min="75" max="75" width="16.6640625" style="495" hidden="1" customWidth="1" outlineLevel="1"/>
    <col min="76" max="76" width="10.6640625" style="495" hidden="1" customWidth="1" outlineLevel="1"/>
    <col min="77" max="77" width="16.6640625" style="495" hidden="1" customWidth="1" outlineLevel="1"/>
    <col min="78" max="78" width="10.6640625" style="495" hidden="1" customWidth="1" outlineLevel="1"/>
    <col min="79" max="79" width="16.6640625" style="495" hidden="1" customWidth="1" outlineLevel="1"/>
    <col min="80" max="80" width="10.6640625" style="495" hidden="1" customWidth="1" outlineLevel="1"/>
    <col min="81" max="81" width="16.6640625" style="495" hidden="1" customWidth="1" outlineLevel="1"/>
    <col min="82" max="82" width="10.6640625" style="495" hidden="1" customWidth="1" outlineLevel="1"/>
    <col min="83" max="83" width="18" style="495" hidden="1" customWidth="1" outlineLevel="1"/>
    <col min="84" max="84" width="12.5" style="495" customWidth="1" collapsed="1"/>
    <col min="85" max="85" width="19.6640625" style="495" customWidth="1"/>
    <col min="86" max="86" width="2.6640625" style="492" customWidth="1"/>
    <col min="87" max="87" width="10.6640625" style="495" hidden="1" customWidth="1" outlineLevel="1"/>
    <col min="88" max="88" width="16.6640625" style="495" hidden="1" customWidth="1" outlineLevel="1"/>
    <col min="89" max="89" width="10.6640625" style="495" hidden="1" customWidth="1" outlineLevel="1"/>
    <col min="90" max="90" width="16.6640625" style="495" hidden="1" customWidth="1" outlineLevel="1"/>
    <col min="91" max="91" width="10.6640625" style="495" hidden="1" customWidth="1" outlineLevel="1"/>
    <col min="92" max="92" width="17" style="495" hidden="1" customWidth="1" outlineLevel="1"/>
    <col min="93" max="93" width="10.6640625" style="495" hidden="1" customWidth="1" outlineLevel="1"/>
    <col min="94" max="94" width="16.6640625" style="495" hidden="1" customWidth="1" outlineLevel="1"/>
    <col min="95" max="95" width="10.6640625" style="495" hidden="1" customWidth="1" outlineLevel="1"/>
    <col min="96" max="96" width="16.6640625" style="495" hidden="1" customWidth="1" outlineLevel="1"/>
    <col min="97" max="97" width="10.6640625" style="495" hidden="1" customWidth="1" outlineLevel="1"/>
    <col min="98" max="98" width="17.5" style="495" hidden="1" customWidth="1" outlineLevel="1"/>
    <col min="99" max="99" width="10.6640625" style="495" hidden="1" customWidth="1" outlineLevel="1"/>
    <col min="100" max="100" width="18" style="495" hidden="1" customWidth="1" outlineLevel="1"/>
    <col min="101" max="101" width="9.5" style="495" hidden="1" customWidth="1" outlineLevel="1"/>
    <col min="102" max="102" width="16.6640625" style="495" hidden="1" customWidth="1" outlineLevel="1"/>
    <col min="103" max="103" width="10.6640625" style="495" hidden="1" customWidth="1" outlineLevel="1"/>
    <col min="104" max="104" width="16.6640625" style="495" hidden="1" customWidth="1" outlineLevel="1"/>
    <col min="105" max="105" width="10.6640625" style="495" hidden="1" customWidth="1" outlineLevel="1"/>
    <col min="106" max="106" width="16.6640625" style="495" hidden="1" customWidth="1" outlineLevel="1"/>
    <col min="107" max="107" width="10.6640625" style="495" hidden="1" customWidth="1" outlineLevel="1"/>
    <col min="108" max="108" width="16.6640625" style="495" hidden="1" customWidth="1" outlineLevel="1"/>
    <col min="109" max="109" width="10.6640625" style="495" hidden="1" customWidth="1" outlineLevel="1"/>
    <col min="110" max="110" width="18" style="495" hidden="1" customWidth="1" outlineLevel="1"/>
    <col min="111" max="111" width="12.5" style="495" customWidth="1" collapsed="1"/>
    <col min="112" max="112" width="19.6640625" style="495" customWidth="1"/>
    <col min="113" max="113" width="3" style="497" customWidth="1"/>
    <col min="114" max="114" width="10.6640625" style="495" hidden="1" customWidth="1" outlineLevel="1"/>
    <col min="115" max="115" width="16.6640625" style="495" hidden="1" customWidth="1" outlineLevel="1"/>
    <col min="116" max="116" width="10.6640625" style="495" hidden="1" customWidth="1" outlineLevel="1"/>
    <col min="117" max="117" width="16.6640625" style="495" hidden="1" customWidth="1" outlineLevel="1"/>
    <col min="118" max="118" width="10.6640625" style="495" hidden="1" customWidth="1" outlineLevel="1"/>
    <col min="119" max="119" width="17" style="495" hidden="1" customWidth="1" outlineLevel="1"/>
    <col min="120" max="120" width="10.6640625" style="495" hidden="1" customWidth="1" outlineLevel="1"/>
    <col min="121" max="121" width="16.6640625" style="495" hidden="1" customWidth="1" outlineLevel="1"/>
    <col min="122" max="122" width="10.6640625" style="495" hidden="1" customWidth="1" outlineLevel="1"/>
    <col min="123" max="123" width="16.6640625" style="495" hidden="1" customWidth="1" outlineLevel="1"/>
    <col min="124" max="124" width="10.6640625" style="495" hidden="1" customWidth="1" outlineLevel="1"/>
    <col min="125" max="125" width="16.6640625" style="495" hidden="1" customWidth="1" outlineLevel="1"/>
    <col min="126" max="126" width="10.6640625" style="495" hidden="1" customWidth="1" outlineLevel="1"/>
    <col min="127" max="127" width="16.6640625" style="495" hidden="1" customWidth="1" outlineLevel="1"/>
    <col min="128" max="128" width="9.5" style="495" hidden="1" customWidth="1" outlineLevel="1"/>
    <col min="129" max="129" width="16.6640625" style="495" hidden="1" customWidth="1" outlineLevel="1"/>
    <col min="130" max="130" width="10.6640625" style="495" hidden="1" customWidth="1" outlineLevel="1"/>
    <col min="131" max="131" width="16.6640625" style="495" hidden="1" customWidth="1" outlineLevel="1"/>
    <col min="132" max="132" width="10.6640625" style="495" hidden="1" customWidth="1" outlineLevel="1"/>
    <col min="133" max="133" width="16.6640625" style="495" hidden="1" customWidth="1" outlineLevel="1"/>
    <col min="134" max="134" width="10.6640625" style="495" hidden="1" customWidth="1" outlineLevel="1"/>
    <col min="135" max="135" width="16.6640625" style="495" hidden="1" customWidth="1" outlineLevel="1"/>
    <col min="136" max="136" width="10.6640625" style="495" hidden="1" customWidth="1" outlineLevel="1"/>
    <col min="137" max="137" width="18" style="495" hidden="1" customWidth="1" outlineLevel="1"/>
    <col min="138" max="138" width="12.5" style="495" hidden="1" customWidth="1" collapsed="1"/>
    <col min="139" max="139" width="19.6640625" style="495" hidden="1" customWidth="1"/>
    <col min="140" max="140" width="2.6640625" style="497" hidden="1" customWidth="1"/>
    <col min="141" max="141" width="10.6640625" style="495" hidden="1" customWidth="1" outlineLevel="1"/>
    <col min="142" max="142" width="16.6640625" style="495" hidden="1" customWidth="1" outlineLevel="1"/>
    <col min="143" max="143" width="10.6640625" style="495" hidden="1" customWidth="1" outlineLevel="1"/>
    <col min="144" max="144" width="16.6640625" style="495" hidden="1" customWidth="1" outlineLevel="1"/>
    <col min="145" max="145" width="10.6640625" style="495" hidden="1" customWidth="1" outlineLevel="1"/>
    <col min="146" max="146" width="17" style="495" hidden="1" customWidth="1" outlineLevel="1"/>
    <col min="147" max="147" width="10.6640625" style="495" hidden="1" customWidth="1" outlineLevel="1"/>
    <col min="148" max="148" width="16.6640625" style="495" hidden="1" customWidth="1" outlineLevel="1"/>
    <col min="149" max="149" width="10.6640625" style="495" hidden="1" customWidth="1" outlineLevel="1"/>
    <col min="150" max="150" width="16.6640625" style="495" hidden="1" customWidth="1" outlineLevel="1"/>
    <col min="151" max="151" width="10.6640625" style="495" hidden="1" customWidth="1" outlineLevel="1"/>
    <col min="152" max="152" width="16.6640625" style="495" hidden="1" customWidth="1" outlineLevel="1"/>
    <col min="153" max="153" width="10.6640625" style="495" hidden="1" customWidth="1" outlineLevel="1"/>
    <col min="154" max="154" width="16.6640625" style="495" hidden="1" customWidth="1" outlineLevel="1"/>
    <col min="155" max="155" width="9.5" style="495" hidden="1" customWidth="1" outlineLevel="1"/>
    <col min="156" max="156" width="16.6640625" style="495" hidden="1" customWidth="1" outlineLevel="1"/>
    <col min="157" max="157" width="10.6640625" style="495" hidden="1" customWidth="1" outlineLevel="1"/>
    <col min="158" max="158" width="16.6640625" style="495" hidden="1" customWidth="1" outlineLevel="1"/>
    <col min="159" max="159" width="10.6640625" style="495" hidden="1" customWidth="1" outlineLevel="1"/>
    <col min="160" max="160" width="16.6640625" style="495" hidden="1" customWidth="1" outlineLevel="1"/>
    <col min="161" max="161" width="10.6640625" style="495" hidden="1" customWidth="1" outlineLevel="1"/>
    <col min="162" max="162" width="16.6640625" style="495" hidden="1" customWidth="1" outlineLevel="1"/>
    <col min="163" max="163" width="10.6640625" style="495" hidden="1" customWidth="1" outlineLevel="1"/>
    <col min="164" max="164" width="18" style="495" hidden="1" customWidth="1" outlineLevel="1"/>
    <col min="165" max="165" width="12.5" style="495" hidden="1" customWidth="1" collapsed="1"/>
    <col min="166" max="166" width="19.6640625" style="495" hidden="1" customWidth="1"/>
    <col min="167" max="167" width="2.6640625" style="497" hidden="1" customWidth="1"/>
    <col min="168" max="168" width="10.6640625" style="495" hidden="1" customWidth="1" outlineLevel="1"/>
    <col min="169" max="169" width="16.6640625" style="495" hidden="1" customWidth="1" outlineLevel="1"/>
    <col min="170" max="170" width="10.6640625" style="495" hidden="1" customWidth="1" outlineLevel="1"/>
    <col min="171" max="171" width="16.6640625" style="495" hidden="1" customWidth="1" outlineLevel="1"/>
    <col min="172" max="172" width="10.6640625" style="495" hidden="1" customWidth="1" outlineLevel="1"/>
    <col min="173" max="173" width="17" style="495" hidden="1" customWidth="1" outlineLevel="1"/>
    <col min="174" max="174" width="10.6640625" style="495" hidden="1" customWidth="1" outlineLevel="1"/>
    <col min="175" max="175" width="16.6640625" style="495" hidden="1" customWidth="1" outlineLevel="1"/>
    <col min="176" max="176" width="10.6640625" style="495" hidden="1" customWidth="1" outlineLevel="1"/>
    <col min="177" max="177" width="16.6640625" style="495" hidden="1" customWidth="1" outlineLevel="1"/>
    <col min="178" max="178" width="10.6640625" style="495" hidden="1" customWidth="1" outlineLevel="1"/>
    <col min="179" max="179" width="16.6640625" style="495" hidden="1" customWidth="1" outlineLevel="1"/>
    <col min="180" max="180" width="10.6640625" style="495" hidden="1" customWidth="1" outlineLevel="1"/>
    <col min="181" max="181" width="16.6640625" style="495" hidden="1" customWidth="1" outlineLevel="1"/>
    <col min="182" max="182" width="9.5" style="495" hidden="1" customWidth="1" outlineLevel="1"/>
    <col min="183" max="183" width="16.6640625" style="495" hidden="1" customWidth="1" outlineLevel="1"/>
    <col min="184" max="184" width="10.6640625" style="495" hidden="1" customWidth="1" outlineLevel="1"/>
    <col min="185" max="185" width="16.6640625" style="495" hidden="1" customWidth="1" outlineLevel="1"/>
    <col min="186" max="186" width="10.6640625" style="495" hidden="1" customWidth="1" outlineLevel="1"/>
    <col min="187" max="187" width="16.6640625" style="495" hidden="1" customWidth="1" outlineLevel="1"/>
    <col min="188" max="188" width="10.6640625" style="495" hidden="1" customWidth="1" outlineLevel="1"/>
    <col min="189" max="189" width="16.6640625" style="495" hidden="1" customWidth="1" outlineLevel="1"/>
    <col min="190" max="190" width="10.6640625" style="495" hidden="1" customWidth="1" outlineLevel="1"/>
    <col min="191" max="191" width="18" style="495" hidden="1" customWidth="1" outlineLevel="1"/>
    <col min="192" max="192" width="12.5" style="495" hidden="1" customWidth="1" collapsed="1"/>
    <col min="193" max="193" width="19.6640625" style="495" hidden="1" customWidth="1"/>
    <col min="194" max="194" width="14.5" style="492" hidden="1" customWidth="1" outlineLevel="1"/>
    <col min="195" max="195" width="20" style="492" hidden="1" customWidth="1" outlineLevel="1"/>
    <col min="196" max="196" width="14.5" style="492" hidden="1" customWidth="1" outlineLevel="1"/>
    <col min="197" max="197" width="16.6640625" style="492" hidden="1" customWidth="1" outlineLevel="1"/>
    <col min="198" max="198" width="14.5" style="492" hidden="1" customWidth="1" outlineLevel="1"/>
    <col min="199" max="199" width="16.6640625" style="492" hidden="1" customWidth="1" outlineLevel="1"/>
    <col min="200" max="200" width="10.6640625" style="492" hidden="1" customWidth="1" collapsed="1"/>
    <col min="201" max="201" width="20" style="492" hidden="1" customWidth="1"/>
    <col min="202" max="202" width="10.6640625" style="492" hidden="1" customWidth="1" outlineLevel="1"/>
    <col min="203" max="203" width="16.6640625" style="492" hidden="1" customWidth="1" outlineLevel="1"/>
    <col min="204" max="204" width="10.6640625" style="492" hidden="1" customWidth="1" outlineLevel="1"/>
    <col min="205" max="205" width="16.6640625" style="492" hidden="1" customWidth="1" outlineLevel="1"/>
    <col min="206" max="206" width="10.6640625" style="492" hidden="1" customWidth="1" outlineLevel="1"/>
    <col min="207" max="207" width="22.1640625" style="492" hidden="1" customWidth="1" outlineLevel="1"/>
    <col min="208" max="208" width="12.5" style="492" hidden="1" customWidth="1" collapsed="1"/>
    <col min="209" max="209" width="18" style="492" hidden="1" customWidth="1"/>
    <col min="210" max="210" width="10.6640625" style="492" hidden="1" customWidth="1" outlineLevel="1"/>
    <col min="211" max="211" width="16.6640625" style="492" hidden="1" customWidth="1" outlineLevel="1"/>
    <col min="212" max="212" width="10.6640625" style="492" hidden="1" customWidth="1" outlineLevel="1"/>
    <col min="213" max="213" width="16.6640625" style="492" hidden="1" customWidth="1" outlineLevel="1"/>
    <col min="214" max="214" width="10.6640625" style="492" hidden="1" customWidth="1" outlineLevel="1"/>
    <col min="215" max="215" width="18" style="492" hidden="1" customWidth="1" outlineLevel="1"/>
    <col min="216" max="216" width="12.5" style="492" hidden="1" customWidth="1" collapsed="1"/>
    <col min="217" max="217" width="18" style="492" hidden="1" customWidth="1"/>
    <col min="218" max="218" width="10.6640625" style="492" hidden="1" customWidth="1" outlineLevel="1"/>
    <col min="219" max="219" width="16.6640625" style="492" hidden="1" customWidth="1" outlineLevel="1"/>
    <col min="220" max="220" width="10.6640625" style="492" hidden="1" customWidth="1" outlineLevel="1"/>
    <col min="221" max="221" width="16.6640625" style="492" hidden="1" customWidth="1" outlineLevel="1"/>
    <col min="222" max="222" width="10.6640625" style="492" hidden="1" customWidth="1" outlineLevel="1"/>
    <col min="223" max="223" width="16.6640625" style="492" hidden="1" customWidth="1" outlineLevel="1"/>
    <col min="224" max="224" width="12.5" style="492" hidden="1" customWidth="1" collapsed="1"/>
    <col min="225" max="225" width="18" style="492" hidden="1" customWidth="1"/>
    <col min="226" max="226" width="10.6640625" style="492" hidden="1" customWidth="1" outlineLevel="1"/>
    <col min="227" max="227" width="16.6640625" style="492" hidden="1" customWidth="1" outlineLevel="1"/>
    <col min="228" max="228" width="10.6640625" style="492" hidden="1" customWidth="1" outlineLevel="1"/>
    <col min="229" max="229" width="16.6640625" style="492" hidden="1" customWidth="1" outlineLevel="1"/>
    <col min="230" max="230" width="10.6640625" style="492" hidden="1" customWidth="1" outlineLevel="1"/>
    <col min="231" max="231" width="16.6640625" style="492" hidden="1" customWidth="1" outlineLevel="1"/>
    <col min="232" max="232" width="12.5" style="492" hidden="1" customWidth="1" collapsed="1"/>
    <col min="233" max="233" width="20" style="492" hidden="1" customWidth="1"/>
    <col min="234" max="234" width="10.6640625" style="492" hidden="1" customWidth="1" outlineLevel="1"/>
    <col min="235" max="235" width="16.6640625" style="492" hidden="1" customWidth="1" outlineLevel="1"/>
    <col min="236" max="236" width="10.6640625" style="492" hidden="1" customWidth="1" outlineLevel="1"/>
    <col min="237" max="237" width="16.6640625" style="492" hidden="1" customWidth="1" outlineLevel="1"/>
    <col min="238" max="238" width="10.6640625" style="492" hidden="1" customWidth="1" outlineLevel="1"/>
    <col min="239" max="239" width="16.6640625" style="492" hidden="1" customWidth="1" outlineLevel="1"/>
    <col min="240" max="240" width="12.5" style="492" hidden="1" customWidth="1" collapsed="1"/>
    <col min="241" max="241" width="18" style="492" hidden="1" customWidth="1"/>
    <col min="242" max="242" width="0" style="492" hidden="1" customWidth="1"/>
    <col min="243" max="243" width="19" style="492" hidden="1" customWidth="1"/>
    <col min="244" max="244" width="17.6640625" style="492" hidden="1" customWidth="1"/>
    <col min="245" max="267" width="0" style="492" hidden="1" customWidth="1"/>
    <col min="268" max="16384" width="9.1640625" style="492"/>
  </cols>
  <sheetData>
    <row r="1" spans="2:243" x14ac:dyDescent="0.2">
      <c r="E1" s="549"/>
    </row>
    <row r="2" spans="2:243" ht="20.25" x14ac:dyDescent="0.2">
      <c r="B2" s="493" t="s">
        <v>343</v>
      </c>
      <c r="E2" s="548"/>
      <c r="AC2" s="496"/>
      <c r="AE2" s="550"/>
      <c r="BD2" s="496"/>
      <c r="CE2" s="496"/>
      <c r="DF2" s="496"/>
      <c r="EG2" s="496"/>
      <c r="FH2" s="496"/>
      <c r="GI2" s="496"/>
    </row>
    <row r="3" spans="2:243" x14ac:dyDescent="0.2">
      <c r="B3" s="580" t="s">
        <v>646</v>
      </c>
    </row>
    <row r="4" spans="2:243" s="498" customFormat="1" ht="13.5" thickBot="1" x14ac:dyDescent="0.25">
      <c r="D4" s="499" t="s">
        <v>574</v>
      </c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499"/>
      <c r="S4" s="499"/>
      <c r="T4" s="499"/>
      <c r="U4" s="499"/>
      <c r="V4" s="499"/>
      <c r="W4" s="499"/>
      <c r="X4" s="499"/>
      <c r="Y4" s="499"/>
      <c r="Z4" s="499"/>
      <c r="AA4" s="499"/>
      <c r="AB4" s="499"/>
      <c r="AC4" s="499"/>
      <c r="AD4" s="499"/>
      <c r="AE4" s="499"/>
      <c r="AG4" s="499"/>
      <c r="AH4" s="499"/>
      <c r="AI4" s="499"/>
      <c r="AJ4" s="499"/>
      <c r="AK4" s="499"/>
      <c r="AL4" s="499"/>
      <c r="AM4" s="499"/>
      <c r="AN4" s="499"/>
      <c r="AO4" s="499"/>
      <c r="AP4" s="499"/>
      <c r="AQ4" s="499"/>
      <c r="AR4" s="499"/>
      <c r="AS4" s="499"/>
      <c r="AT4" s="499"/>
      <c r="AU4" s="499"/>
      <c r="AV4" s="499"/>
      <c r="AW4" s="499"/>
      <c r="AX4" s="499"/>
      <c r="AY4" s="499"/>
      <c r="AZ4" s="499"/>
      <c r="BA4" s="499"/>
      <c r="BB4" s="499"/>
      <c r="BC4" s="499"/>
      <c r="BD4" s="499"/>
      <c r="BE4" s="499"/>
      <c r="BF4" s="499"/>
      <c r="BH4" s="499"/>
      <c r="BI4" s="499"/>
      <c r="BJ4" s="499"/>
      <c r="BK4" s="499"/>
      <c r="BL4" s="499"/>
      <c r="BM4" s="499"/>
      <c r="BN4" s="499"/>
      <c r="BO4" s="499"/>
      <c r="BP4" s="499"/>
      <c r="BQ4" s="499"/>
      <c r="BR4" s="499"/>
      <c r="BS4" s="499"/>
      <c r="BT4" s="499"/>
      <c r="BU4" s="499"/>
      <c r="BV4" s="499"/>
      <c r="BW4" s="499"/>
      <c r="BX4" s="499"/>
      <c r="BY4" s="499"/>
      <c r="BZ4" s="499"/>
      <c r="CA4" s="499"/>
      <c r="CB4" s="499"/>
      <c r="CC4" s="499"/>
      <c r="CD4" s="499"/>
      <c r="CE4" s="499"/>
      <c r="CF4" s="499"/>
      <c r="CG4" s="499"/>
      <c r="CI4" s="499"/>
      <c r="CJ4" s="499"/>
      <c r="CK4" s="499"/>
      <c r="CL4" s="499"/>
      <c r="CM4" s="499"/>
      <c r="CN4" s="499"/>
      <c r="CO4" s="499"/>
      <c r="CP4" s="499"/>
      <c r="CQ4" s="499"/>
      <c r="CR4" s="499"/>
      <c r="CS4" s="499"/>
      <c r="CT4" s="499"/>
      <c r="CU4" s="499"/>
      <c r="CV4" s="499"/>
      <c r="CW4" s="499"/>
      <c r="CX4" s="499"/>
      <c r="CY4" s="499"/>
      <c r="CZ4" s="499"/>
      <c r="DA4" s="499"/>
      <c r="DB4" s="499"/>
      <c r="DC4" s="499"/>
      <c r="DD4" s="499"/>
      <c r="DE4" s="499"/>
      <c r="DF4" s="499"/>
      <c r="DG4" s="499"/>
      <c r="DH4" s="499"/>
      <c r="DI4" s="500"/>
      <c r="DJ4" s="499"/>
      <c r="DK4" s="499"/>
      <c r="DL4" s="499"/>
      <c r="DM4" s="499"/>
      <c r="DN4" s="499"/>
      <c r="DO4" s="499"/>
      <c r="DP4" s="499"/>
      <c r="DQ4" s="499"/>
      <c r="DR4" s="499"/>
      <c r="DS4" s="499"/>
      <c r="DT4" s="499"/>
      <c r="DU4" s="499"/>
      <c r="DV4" s="499"/>
      <c r="DW4" s="499"/>
      <c r="DX4" s="499"/>
      <c r="DY4" s="499"/>
      <c r="DZ4" s="499"/>
      <c r="EA4" s="499"/>
      <c r="EB4" s="499"/>
      <c r="EC4" s="499"/>
      <c r="ED4" s="499"/>
      <c r="EE4" s="499"/>
      <c r="EF4" s="499"/>
      <c r="EG4" s="499"/>
      <c r="EH4" s="499"/>
      <c r="EI4" s="499"/>
      <c r="EJ4" s="500"/>
      <c r="EK4" s="499"/>
      <c r="EL4" s="499"/>
      <c r="EM4" s="499"/>
      <c r="EN4" s="499"/>
      <c r="EO4" s="499"/>
      <c r="EP4" s="499"/>
      <c r="EQ4" s="499"/>
      <c r="ER4" s="499"/>
      <c r="ES4" s="499"/>
      <c r="ET4" s="499"/>
      <c r="EU4" s="499"/>
      <c r="EV4" s="499"/>
      <c r="EW4" s="499"/>
      <c r="EX4" s="499"/>
      <c r="EY4" s="499"/>
      <c r="EZ4" s="499"/>
      <c r="FA4" s="499"/>
      <c r="FB4" s="499"/>
      <c r="FC4" s="499"/>
      <c r="FD4" s="499"/>
      <c r="FE4" s="499"/>
      <c r="FF4" s="499"/>
      <c r="FG4" s="499"/>
      <c r="FH4" s="499"/>
      <c r="FI4" s="499"/>
      <c r="FJ4" s="499"/>
      <c r="FK4" s="500"/>
      <c r="FL4" s="499"/>
      <c r="FM4" s="499"/>
      <c r="FN4" s="499"/>
      <c r="FO4" s="499"/>
      <c r="FP4" s="499"/>
      <c r="FQ4" s="499"/>
      <c r="FR4" s="499"/>
      <c r="FS4" s="499"/>
      <c r="FT4" s="499"/>
      <c r="FU4" s="499"/>
      <c r="FV4" s="499"/>
      <c r="FW4" s="499"/>
      <c r="FX4" s="499"/>
      <c r="FY4" s="499"/>
      <c r="FZ4" s="499"/>
      <c r="GA4" s="499"/>
      <c r="GB4" s="499"/>
      <c r="GC4" s="499"/>
      <c r="GD4" s="499"/>
      <c r="GE4" s="499"/>
      <c r="GF4" s="499"/>
      <c r="GG4" s="499"/>
      <c r="GH4" s="499"/>
      <c r="GI4" s="499"/>
      <c r="GJ4" s="499"/>
      <c r="GK4" s="499"/>
      <c r="GL4" s="498" t="s">
        <v>573</v>
      </c>
    </row>
    <row r="5" spans="2:243" ht="15.75" thickTop="1" x14ac:dyDescent="0.2">
      <c r="B5" s="616" t="s">
        <v>184</v>
      </c>
      <c r="C5" s="616" t="s">
        <v>35</v>
      </c>
      <c r="D5" s="490" t="s">
        <v>354</v>
      </c>
      <c r="E5" s="619" t="s">
        <v>355</v>
      </c>
      <c r="F5" s="612">
        <v>2026</v>
      </c>
      <c r="G5" s="613"/>
      <c r="H5" s="613"/>
      <c r="I5" s="613"/>
      <c r="J5" s="613"/>
      <c r="K5" s="613"/>
      <c r="L5" s="613"/>
      <c r="M5" s="613"/>
      <c r="N5" s="613"/>
      <c r="O5" s="613"/>
      <c r="P5" s="613"/>
      <c r="Q5" s="613"/>
      <c r="R5" s="613"/>
      <c r="S5" s="613"/>
      <c r="T5" s="613"/>
      <c r="U5" s="613"/>
      <c r="V5" s="613"/>
      <c r="W5" s="613"/>
      <c r="X5" s="613"/>
      <c r="Y5" s="613"/>
      <c r="Z5" s="613"/>
      <c r="AA5" s="613"/>
      <c r="AB5" s="613"/>
      <c r="AC5" s="613"/>
      <c r="AD5" s="613"/>
      <c r="AE5" s="614"/>
      <c r="AG5" s="612">
        <v>2027</v>
      </c>
      <c r="AH5" s="613"/>
      <c r="AI5" s="613"/>
      <c r="AJ5" s="613"/>
      <c r="AK5" s="613"/>
      <c r="AL5" s="613"/>
      <c r="AM5" s="613"/>
      <c r="AN5" s="613"/>
      <c r="AO5" s="613"/>
      <c r="AP5" s="613"/>
      <c r="AQ5" s="613"/>
      <c r="AR5" s="613"/>
      <c r="AS5" s="613"/>
      <c r="AT5" s="613"/>
      <c r="AU5" s="613"/>
      <c r="AV5" s="613"/>
      <c r="AW5" s="613"/>
      <c r="AX5" s="613"/>
      <c r="AY5" s="613"/>
      <c r="AZ5" s="613"/>
      <c r="BA5" s="613"/>
      <c r="BB5" s="613"/>
      <c r="BC5" s="613"/>
      <c r="BD5" s="613"/>
      <c r="BE5" s="613"/>
      <c r="BF5" s="614"/>
      <c r="BH5" s="612">
        <v>2028</v>
      </c>
      <c r="BI5" s="613"/>
      <c r="BJ5" s="613"/>
      <c r="BK5" s="613"/>
      <c r="BL5" s="613"/>
      <c r="BM5" s="613"/>
      <c r="BN5" s="613"/>
      <c r="BO5" s="613"/>
      <c r="BP5" s="613"/>
      <c r="BQ5" s="613"/>
      <c r="BR5" s="613"/>
      <c r="BS5" s="613"/>
      <c r="BT5" s="613"/>
      <c r="BU5" s="613"/>
      <c r="BV5" s="613"/>
      <c r="BW5" s="613"/>
      <c r="BX5" s="613"/>
      <c r="BY5" s="613"/>
      <c r="BZ5" s="613"/>
      <c r="CA5" s="613"/>
      <c r="CB5" s="613"/>
      <c r="CC5" s="613"/>
      <c r="CD5" s="613"/>
      <c r="CE5" s="613"/>
      <c r="CF5" s="613"/>
      <c r="CG5" s="614"/>
      <c r="CI5" s="612">
        <v>2029</v>
      </c>
      <c r="CJ5" s="613"/>
      <c r="CK5" s="613"/>
      <c r="CL5" s="613"/>
      <c r="CM5" s="613"/>
      <c r="CN5" s="613"/>
      <c r="CO5" s="613"/>
      <c r="CP5" s="613"/>
      <c r="CQ5" s="613"/>
      <c r="CR5" s="613"/>
      <c r="CS5" s="613"/>
      <c r="CT5" s="613"/>
      <c r="CU5" s="613"/>
      <c r="CV5" s="613"/>
      <c r="CW5" s="613"/>
      <c r="CX5" s="613"/>
      <c r="CY5" s="613"/>
      <c r="CZ5" s="613"/>
      <c r="DA5" s="613"/>
      <c r="DB5" s="613"/>
      <c r="DC5" s="613"/>
      <c r="DD5" s="613"/>
      <c r="DE5" s="613"/>
      <c r="DF5" s="613"/>
      <c r="DG5" s="613"/>
      <c r="DH5" s="614"/>
      <c r="DI5" s="582"/>
      <c r="DJ5" s="612">
        <v>2029</v>
      </c>
      <c r="DK5" s="613"/>
      <c r="DL5" s="613"/>
      <c r="DM5" s="613"/>
      <c r="DN5" s="613"/>
      <c r="DO5" s="613"/>
      <c r="DP5" s="613"/>
      <c r="DQ5" s="613"/>
      <c r="DR5" s="613"/>
      <c r="DS5" s="613"/>
      <c r="DT5" s="613"/>
      <c r="DU5" s="613"/>
      <c r="DV5" s="613"/>
      <c r="DW5" s="613"/>
      <c r="DX5" s="613"/>
      <c r="DY5" s="613"/>
      <c r="DZ5" s="613"/>
      <c r="EA5" s="613"/>
      <c r="EB5" s="613"/>
      <c r="EC5" s="613"/>
      <c r="ED5" s="613"/>
      <c r="EE5" s="613"/>
      <c r="EF5" s="613"/>
      <c r="EG5" s="613"/>
      <c r="EH5" s="613"/>
      <c r="EI5" s="614"/>
      <c r="EJ5" s="582"/>
      <c r="EK5" s="612">
        <v>2030</v>
      </c>
      <c r="EL5" s="613"/>
      <c r="EM5" s="613"/>
      <c r="EN5" s="613"/>
      <c r="EO5" s="613"/>
      <c r="EP5" s="613"/>
      <c r="EQ5" s="613"/>
      <c r="ER5" s="613"/>
      <c r="ES5" s="613"/>
      <c r="ET5" s="613"/>
      <c r="EU5" s="613"/>
      <c r="EV5" s="613"/>
      <c r="EW5" s="613"/>
      <c r="EX5" s="613"/>
      <c r="EY5" s="613"/>
      <c r="EZ5" s="613"/>
      <c r="FA5" s="613"/>
      <c r="FB5" s="613"/>
      <c r="FC5" s="613"/>
      <c r="FD5" s="613"/>
      <c r="FE5" s="613"/>
      <c r="FF5" s="613"/>
      <c r="FG5" s="613"/>
      <c r="FH5" s="613"/>
      <c r="FI5" s="613"/>
      <c r="FJ5" s="614"/>
      <c r="FK5" s="501"/>
      <c r="FL5" s="612">
        <v>2031</v>
      </c>
      <c r="FM5" s="613"/>
      <c r="FN5" s="613"/>
      <c r="FO5" s="613"/>
      <c r="FP5" s="613"/>
      <c r="FQ5" s="613"/>
      <c r="FR5" s="613"/>
      <c r="FS5" s="613"/>
      <c r="FT5" s="613"/>
      <c r="FU5" s="613"/>
      <c r="FV5" s="613"/>
      <c r="FW5" s="613"/>
      <c r="FX5" s="613"/>
      <c r="FY5" s="613"/>
      <c r="FZ5" s="613"/>
      <c r="GA5" s="613"/>
      <c r="GB5" s="613"/>
      <c r="GC5" s="613"/>
      <c r="GD5" s="613"/>
      <c r="GE5" s="613"/>
      <c r="GF5" s="613"/>
      <c r="GG5" s="613"/>
      <c r="GH5" s="613"/>
      <c r="GI5" s="613"/>
      <c r="GJ5" s="613"/>
      <c r="GK5" s="614"/>
      <c r="GL5" s="622">
        <v>2024</v>
      </c>
      <c r="GM5" s="622"/>
      <c r="GN5" s="622"/>
      <c r="GO5" s="622"/>
      <c r="GP5" s="622"/>
      <c r="GQ5" s="622"/>
      <c r="GR5" s="627">
        <v>2025</v>
      </c>
      <c r="GS5" s="628"/>
      <c r="GT5" s="622">
        <v>2022</v>
      </c>
      <c r="GU5" s="622"/>
      <c r="GV5" s="622"/>
      <c r="GW5" s="622"/>
      <c r="GX5" s="622"/>
      <c r="GY5" s="622"/>
      <c r="GZ5" s="623" t="str">
        <f>"Total"&amp;" "&amp;GT5</f>
        <v>Total 2022</v>
      </c>
      <c r="HA5" s="624"/>
      <c r="HB5" s="622">
        <v>2023</v>
      </c>
      <c r="HC5" s="622"/>
      <c r="HD5" s="622"/>
      <c r="HE5" s="622"/>
      <c r="HF5" s="622"/>
      <c r="HG5" s="622"/>
      <c r="HH5" s="623" t="str">
        <f>"Total"&amp;" "&amp;HB5</f>
        <v>Total 2023</v>
      </c>
      <c r="HI5" s="624"/>
      <c r="HJ5" s="622">
        <v>2024</v>
      </c>
      <c r="HK5" s="622"/>
      <c r="HL5" s="622"/>
      <c r="HM5" s="622"/>
      <c r="HN5" s="622"/>
      <c r="HO5" s="622"/>
      <c r="HP5" s="623" t="str">
        <f>"Total"&amp;" "&amp;HJ5</f>
        <v>Total 2024</v>
      </c>
      <c r="HQ5" s="624"/>
      <c r="HR5" s="622">
        <v>2025</v>
      </c>
      <c r="HS5" s="622"/>
      <c r="HT5" s="622"/>
      <c r="HU5" s="622"/>
      <c r="HV5" s="622"/>
      <c r="HW5" s="622"/>
      <c r="HX5" s="623" t="str">
        <f>"Total"&amp;" "&amp;HR5</f>
        <v>Total 2025</v>
      </c>
      <c r="HY5" s="624"/>
      <c r="HZ5" s="622">
        <v>2026</v>
      </c>
      <c r="IA5" s="622"/>
      <c r="IB5" s="622"/>
      <c r="IC5" s="622"/>
      <c r="ID5" s="622"/>
      <c r="IE5" s="622"/>
      <c r="IF5" s="623">
        <v>2026</v>
      </c>
      <c r="IG5" s="624"/>
      <c r="II5" s="633" t="s">
        <v>42</v>
      </c>
    </row>
    <row r="6" spans="2:243" s="502" customFormat="1" ht="12.75" customHeight="1" x14ac:dyDescent="0.2">
      <c r="B6" s="617"/>
      <c r="C6" s="617"/>
      <c r="D6" s="620" t="s">
        <v>356</v>
      </c>
      <c r="E6" s="620"/>
      <c r="F6" s="615" t="s">
        <v>357</v>
      </c>
      <c r="G6" s="615"/>
      <c r="H6" s="615" t="s">
        <v>358</v>
      </c>
      <c r="I6" s="615"/>
      <c r="J6" s="615" t="s">
        <v>359</v>
      </c>
      <c r="K6" s="615"/>
      <c r="L6" s="615" t="s">
        <v>360</v>
      </c>
      <c r="M6" s="615"/>
      <c r="N6" s="615" t="s">
        <v>361</v>
      </c>
      <c r="O6" s="615"/>
      <c r="P6" s="615" t="s">
        <v>362</v>
      </c>
      <c r="Q6" s="615"/>
      <c r="R6" s="615" t="s">
        <v>363</v>
      </c>
      <c r="S6" s="615"/>
      <c r="T6" s="615" t="s">
        <v>364</v>
      </c>
      <c r="U6" s="615"/>
      <c r="V6" s="615" t="s">
        <v>365</v>
      </c>
      <c r="W6" s="615"/>
      <c r="X6" s="615" t="s">
        <v>366</v>
      </c>
      <c r="Y6" s="615"/>
      <c r="Z6" s="615" t="s">
        <v>367</v>
      </c>
      <c r="AA6" s="615"/>
      <c r="AB6" s="615" t="s">
        <v>368</v>
      </c>
      <c r="AC6" s="615"/>
      <c r="AD6" s="615" t="s">
        <v>42</v>
      </c>
      <c r="AE6" s="615"/>
      <c r="AG6" s="615" t="s">
        <v>357</v>
      </c>
      <c r="AH6" s="615"/>
      <c r="AI6" s="615" t="s">
        <v>358</v>
      </c>
      <c r="AJ6" s="615"/>
      <c r="AK6" s="615" t="s">
        <v>359</v>
      </c>
      <c r="AL6" s="615"/>
      <c r="AM6" s="615" t="s">
        <v>360</v>
      </c>
      <c r="AN6" s="615"/>
      <c r="AO6" s="615" t="s">
        <v>361</v>
      </c>
      <c r="AP6" s="615"/>
      <c r="AQ6" s="615" t="s">
        <v>362</v>
      </c>
      <c r="AR6" s="615"/>
      <c r="AS6" s="615" t="s">
        <v>363</v>
      </c>
      <c r="AT6" s="615"/>
      <c r="AU6" s="615" t="s">
        <v>364</v>
      </c>
      <c r="AV6" s="615"/>
      <c r="AW6" s="615" t="s">
        <v>365</v>
      </c>
      <c r="AX6" s="615"/>
      <c r="AY6" s="615" t="s">
        <v>366</v>
      </c>
      <c r="AZ6" s="615"/>
      <c r="BA6" s="615" t="s">
        <v>367</v>
      </c>
      <c r="BB6" s="615"/>
      <c r="BC6" s="615" t="s">
        <v>368</v>
      </c>
      <c r="BD6" s="615"/>
      <c r="BE6" s="615" t="s">
        <v>42</v>
      </c>
      <c r="BF6" s="615"/>
      <c r="BH6" s="615" t="s">
        <v>357</v>
      </c>
      <c r="BI6" s="615"/>
      <c r="BJ6" s="615" t="s">
        <v>358</v>
      </c>
      <c r="BK6" s="615"/>
      <c r="BL6" s="615" t="s">
        <v>359</v>
      </c>
      <c r="BM6" s="615"/>
      <c r="BN6" s="615" t="s">
        <v>360</v>
      </c>
      <c r="BO6" s="615"/>
      <c r="BP6" s="615" t="s">
        <v>361</v>
      </c>
      <c r="BQ6" s="615"/>
      <c r="BR6" s="615" t="s">
        <v>362</v>
      </c>
      <c r="BS6" s="615"/>
      <c r="BT6" s="615" t="s">
        <v>363</v>
      </c>
      <c r="BU6" s="615"/>
      <c r="BV6" s="615" t="s">
        <v>364</v>
      </c>
      <c r="BW6" s="615"/>
      <c r="BX6" s="615" t="s">
        <v>365</v>
      </c>
      <c r="BY6" s="615"/>
      <c r="BZ6" s="615" t="s">
        <v>366</v>
      </c>
      <c r="CA6" s="615"/>
      <c r="CB6" s="615" t="s">
        <v>367</v>
      </c>
      <c r="CC6" s="615"/>
      <c r="CD6" s="615" t="s">
        <v>368</v>
      </c>
      <c r="CE6" s="615"/>
      <c r="CF6" s="615" t="s">
        <v>42</v>
      </c>
      <c r="CG6" s="615"/>
      <c r="CI6" s="615" t="s">
        <v>357</v>
      </c>
      <c r="CJ6" s="615"/>
      <c r="CK6" s="615" t="s">
        <v>358</v>
      </c>
      <c r="CL6" s="615"/>
      <c r="CM6" s="615" t="s">
        <v>359</v>
      </c>
      <c r="CN6" s="615"/>
      <c r="CO6" s="615" t="s">
        <v>360</v>
      </c>
      <c r="CP6" s="615"/>
      <c r="CQ6" s="615" t="s">
        <v>361</v>
      </c>
      <c r="CR6" s="615"/>
      <c r="CS6" s="615" t="s">
        <v>362</v>
      </c>
      <c r="CT6" s="615"/>
      <c r="CU6" s="615" t="s">
        <v>363</v>
      </c>
      <c r="CV6" s="615"/>
      <c r="CW6" s="615" t="s">
        <v>364</v>
      </c>
      <c r="CX6" s="615"/>
      <c r="CY6" s="615" t="s">
        <v>365</v>
      </c>
      <c r="CZ6" s="615"/>
      <c r="DA6" s="615" t="s">
        <v>366</v>
      </c>
      <c r="DB6" s="615"/>
      <c r="DC6" s="615" t="s">
        <v>367</v>
      </c>
      <c r="DD6" s="615"/>
      <c r="DE6" s="615" t="s">
        <v>368</v>
      </c>
      <c r="DF6" s="615"/>
      <c r="DG6" s="615" t="s">
        <v>42</v>
      </c>
      <c r="DH6" s="615"/>
      <c r="DI6" s="339"/>
      <c r="DJ6" s="615" t="s">
        <v>357</v>
      </c>
      <c r="DK6" s="615"/>
      <c r="DL6" s="615" t="s">
        <v>358</v>
      </c>
      <c r="DM6" s="615"/>
      <c r="DN6" s="615" t="s">
        <v>359</v>
      </c>
      <c r="DO6" s="615"/>
      <c r="DP6" s="615" t="s">
        <v>360</v>
      </c>
      <c r="DQ6" s="615"/>
      <c r="DR6" s="615" t="s">
        <v>361</v>
      </c>
      <c r="DS6" s="615"/>
      <c r="DT6" s="615" t="s">
        <v>362</v>
      </c>
      <c r="DU6" s="615"/>
      <c r="DV6" s="615" t="s">
        <v>363</v>
      </c>
      <c r="DW6" s="615"/>
      <c r="DX6" s="615" t="s">
        <v>364</v>
      </c>
      <c r="DY6" s="615"/>
      <c r="DZ6" s="615" t="s">
        <v>365</v>
      </c>
      <c r="EA6" s="615"/>
      <c r="EB6" s="615" t="s">
        <v>366</v>
      </c>
      <c r="EC6" s="615"/>
      <c r="ED6" s="615" t="s">
        <v>367</v>
      </c>
      <c r="EE6" s="615"/>
      <c r="EF6" s="615" t="s">
        <v>368</v>
      </c>
      <c r="EG6" s="615"/>
      <c r="EH6" s="615" t="s">
        <v>42</v>
      </c>
      <c r="EI6" s="615"/>
      <c r="EJ6" s="341"/>
      <c r="EK6" s="631" t="s">
        <v>357</v>
      </c>
      <c r="EL6" s="632"/>
      <c r="EM6" s="615" t="s">
        <v>358</v>
      </c>
      <c r="EN6" s="615"/>
      <c r="EO6" s="615" t="s">
        <v>359</v>
      </c>
      <c r="EP6" s="615"/>
      <c r="EQ6" s="615" t="s">
        <v>360</v>
      </c>
      <c r="ER6" s="615"/>
      <c r="ES6" s="615" t="s">
        <v>361</v>
      </c>
      <c r="ET6" s="615"/>
      <c r="EU6" s="615" t="s">
        <v>362</v>
      </c>
      <c r="EV6" s="615"/>
      <c r="EW6" s="615" t="s">
        <v>363</v>
      </c>
      <c r="EX6" s="615"/>
      <c r="EY6" s="615" t="s">
        <v>364</v>
      </c>
      <c r="EZ6" s="615"/>
      <c r="FA6" s="615" t="s">
        <v>365</v>
      </c>
      <c r="FB6" s="615"/>
      <c r="FC6" s="615" t="s">
        <v>366</v>
      </c>
      <c r="FD6" s="615"/>
      <c r="FE6" s="615" t="s">
        <v>367</v>
      </c>
      <c r="FF6" s="615"/>
      <c r="FG6" s="615" t="s">
        <v>368</v>
      </c>
      <c r="FH6" s="615"/>
      <c r="FI6" s="615" t="s">
        <v>42</v>
      </c>
      <c r="FJ6" s="615"/>
      <c r="FK6" s="339"/>
      <c r="FL6" s="631" t="s">
        <v>357</v>
      </c>
      <c r="FM6" s="632"/>
      <c r="FN6" s="615" t="s">
        <v>358</v>
      </c>
      <c r="FO6" s="615"/>
      <c r="FP6" s="615" t="s">
        <v>359</v>
      </c>
      <c r="FQ6" s="615"/>
      <c r="FR6" s="615" t="s">
        <v>360</v>
      </c>
      <c r="FS6" s="615"/>
      <c r="FT6" s="615" t="s">
        <v>361</v>
      </c>
      <c r="FU6" s="615"/>
      <c r="FV6" s="615" t="s">
        <v>362</v>
      </c>
      <c r="FW6" s="615"/>
      <c r="FX6" s="615" t="s">
        <v>363</v>
      </c>
      <c r="FY6" s="615"/>
      <c r="FZ6" s="615" t="s">
        <v>364</v>
      </c>
      <c r="GA6" s="615"/>
      <c r="GB6" s="615" t="s">
        <v>365</v>
      </c>
      <c r="GC6" s="615"/>
      <c r="GD6" s="615" t="s">
        <v>366</v>
      </c>
      <c r="GE6" s="615"/>
      <c r="GF6" s="615" t="s">
        <v>367</v>
      </c>
      <c r="GG6" s="615"/>
      <c r="GH6" s="615" t="s">
        <v>368</v>
      </c>
      <c r="GI6" s="615"/>
      <c r="GJ6" s="615" t="s">
        <v>42</v>
      </c>
      <c r="GK6" s="615"/>
      <c r="GL6" s="615" t="s">
        <v>513</v>
      </c>
      <c r="GM6" s="615"/>
      <c r="GN6" s="615" t="s">
        <v>514</v>
      </c>
      <c r="GO6" s="615"/>
      <c r="GP6" s="615" t="s">
        <v>515</v>
      </c>
      <c r="GQ6" s="615"/>
      <c r="GR6" s="629"/>
      <c r="GS6" s="630"/>
      <c r="GT6" s="615" t="s">
        <v>513</v>
      </c>
      <c r="GU6" s="615"/>
      <c r="GV6" s="615" t="s">
        <v>514</v>
      </c>
      <c r="GW6" s="615"/>
      <c r="GX6" s="615" t="s">
        <v>515</v>
      </c>
      <c r="GY6" s="615"/>
      <c r="GZ6" s="625"/>
      <c r="HA6" s="626"/>
      <c r="HB6" s="615" t="s">
        <v>513</v>
      </c>
      <c r="HC6" s="615"/>
      <c r="HD6" s="615" t="s">
        <v>514</v>
      </c>
      <c r="HE6" s="615"/>
      <c r="HF6" s="615" t="s">
        <v>515</v>
      </c>
      <c r="HG6" s="615"/>
      <c r="HH6" s="625"/>
      <c r="HI6" s="626"/>
      <c r="HJ6" s="615" t="s">
        <v>513</v>
      </c>
      <c r="HK6" s="615"/>
      <c r="HL6" s="615" t="s">
        <v>514</v>
      </c>
      <c r="HM6" s="615"/>
      <c r="HN6" s="615" t="s">
        <v>515</v>
      </c>
      <c r="HO6" s="615"/>
      <c r="HP6" s="625"/>
      <c r="HQ6" s="626"/>
      <c r="HR6" s="615" t="s">
        <v>513</v>
      </c>
      <c r="HS6" s="615"/>
      <c r="HT6" s="615" t="s">
        <v>514</v>
      </c>
      <c r="HU6" s="615"/>
      <c r="HV6" s="615" t="s">
        <v>515</v>
      </c>
      <c r="HW6" s="615"/>
      <c r="HX6" s="625"/>
      <c r="HY6" s="626"/>
      <c r="HZ6" s="615" t="s">
        <v>513</v>
      </c>
      <c r="IA6" s="615"/>
      <c r="IB6" s="615" t="s">
        <v>514</v>
      </c>
      <c r="IC6" s="615"/>
      <c r="ID6" s="615" t="s">
        <v>515</v>
      </c>
      <c r="IE6" s="615"/>
      <c r="IF6" s="625"/>
      <c r="IG6" s="626"/>
      <c r="II6" s="633"/>
    </row>
    <row r="7" spans="2:243" x14ac:dyDescent="0.2">
      <c r="B7" s="618"/>
      <c r="C7" s="618"/>
      <c r="D7" s="621"/>
      <c r="E7" s="621"/>
      <c r="F7" s="491" t="s">
        <v>355</v>
      </c>
      <c r="G7" s="491" t="s">
        <v>369</v>
      </c>
      <c r="H7" s="491" t="s">
        <v>355</v>
      </c>
      <c r="I7" s="491" t="s">
        <v>369</v>
      </c>
      <c r="J7" s="491" t="s">
        <v>355</v>
      </c>
      <c r="K7" s="491" t="s">
        <v>369</v>
      </c>
      <c r="L7" s="491" t="s">
        <v>355</v>
      </c>
      <c r="M7" s="491" t="s">
        <v>369</v>
      </c>
      <c r="N7" s="491" t="s">
        <v>355</v>
      </c>
      <c r="O7" s="491" t="s">
        <v>369</v>
      </c>
      <c r="P7" s="491" t="s">
        <v>355</v>
      </c>
      <c r="Q7" s="491" t="s">
        <v>369</v>
      </c>
      <c r="R7" s="491" t="s">
        <v>355</v>
      </c>
      <c r="S7" s="491" t="s">
        <v>369</v>
      </c>
      <c r="T7" s="491" t="s">
        <v>355</v>
      </c>
      <c r="U7" s="491" t="s">
        <v>369</v>
      </c>
      <c r="V7" s="491" t="s">
        <v>355</v>
      </c>
      <c r="W7" s="491" t="s">
        <v>369</v>
      </c>
      <c r="X7" s="491" t="s">
        <v>355</v>
      </c>
      <c r="Y7" s="491" t="s">
        <v>369</v>
      </c>
      <c r="Z7" s="491" t="s">
        <v>355</v>
      </c>
      <c r="AA7" s="491" t="s">
        <v>369</v>
      </c>
      <c r="AB7" s="491" t="s">
        <v>355</v>
      </c>
      <c r="AC7" s="491" t="s">
        <v>369</v>
      </c>
      <c r="AD7" s="491" t="s">
        <v>355</v>
      </c>
      <c r="AE7" s="491" t="s">
        <v>369</v>
      </c>
      <c r="AG7" s="491" t="s">
        <v>355</v>
      </c>
      <c r="AH7" s="491" t="s">
        <v>369</v>
      </c>
      <c r="AI7" s="491" t="s">
        <v>355</v>
      </c>
      <c r="AJ7" s="491" t="s">
        <v>369</v>
      </c>
      <c r="AK7" s="491" t="s">
        <v>355</v>
      </c>
      <c r="AL7" s="491" t="s">
        <v>369</v>
      </c>
      <c r="AM7" s="491" t="s">
        <v>355</v>
      </c>
      <c r="AN7" s="491" t="s">
        <v>369</v>
      </c>
      <c r="AO7" s="491" t="s">
        <v>355</v>
      </c>
      <c r="AP7" s="491" t="s">
        <v>369</v>
      </c>
      <c r="AQ7" s="491" t="s">
        <v>355</v>
      </c>
      <c r="AR7" s="491" t="s">
        <v>369</v>
      </c>
      <c r="AS7" s="491" t="s">
        <v>355</v>
      </c>
      <c r="AT7" s="491" t="s">
        <v>369</v>
      </c>
      <c r="AU7" s="491" t="s">
        <v>355</v>
      </c>
      <c r="AV7" s="491" t="s">
        <v>369</v>
      </c>
      <c r="AW7" s="491" t="s">
        <v>355</v>
      </c>
      <c r="AX7" s="491" t="s">
        <v>369</v>
      </c>
      <c r="AY7" s="491" t="s">
        <v>355</v>
      </c>
      <c r="AZ7" s="491" t="s">
        <v>369</v>
      </c>
      <c r="BA7" s="491" t="s">
        <v>355</v>
      </c>
      <c r="BB7" s="491" t="s">
        <v>369</v>
      </c>
      <c r="BC7" s="491" t="s">
        <v>355</v>
      </c>
      <c r="BD7" s="491" t="s">
        <v>369</v>
      </c>
      <c r="BE7" s="491" t="s">
        <v>355</v>
      </c>
      <c r="BF7" s="491" t="s">
        <v>369</v>
      </c>
      <c r="BH7" s="491" t="s">
        <v>355</v>
      </c>
      <c r="BI7" s="491" t="s">
        <v>369</v>
      </c>
      <c r="BJ7" s="491" t="s">
        <v>355</v>
      </c>
      <c r="BK7" s="491" t="s">
        <v>369</v>
      </c>
      <c r="BL7" s="491" t="s">
        <v>355</v>
      </c>
      <c r="BM7" s="491" t="s">
        <v>369</v>
      </c>
      <c r="BN7" s="491" t="s">
        <v>355</v>
      </c>
      <c r="BO7" s="491" t="s">
        <v>369</v>
      </c>
      <c r="BP7" s="491" t="s">
        <v>355</v>
      </c>
      <c r="BQ7" s="491" t="s">
        <v>369</v>
      </c>
      <c r="BR7" s="491" t="s">
        <v>355</v>
      </c>
      <c r="BS7" s="491" t="s">
        <v>369</v>
      </c>
      <c r="BT7" s="491" t="s">
        <v>355</v>
      </c>
      <c r="BU7" s="491" t="s">
        <v>369</v>
      </c>
      <c r="BV7" s="491" t="s">
        <v>355</v>
      </c>
      <c r="BW7" s="491" t="s">
        <v>369</v>
      </c>
      <c r="BX7" s="491" t="s">
        <v>355</v>
      </c>
      <c r="BY7" s="491" t="s">
        <v>369</v>
      </c>
      <c r="BZ7" s="491" t="s">
        <v>355</v>
      </c>
      <c r="CA7" s="491" t="s">
        <v>369</v>
      </c>
      <c r="CB7" s="491" t="s">
        <v>355</v>
      </c>
      <c r="CC7" s="491" t="s">
        <v>369</v>
      </c>
      <c r="CD7" s="491" t="s">
        <v>355</v>
      </c>
      <c r="CE7" s="491" t="s">
        <v>369</v>
      </c>
      <c r="CF7" s="491" t="s">
        <v>355</v>
      </c>
      <c r="CG7" s="491" t="s">
        <v>369</v>
      </c>
      <c r="CI7" s="491" t="s">
        <v>355</v>
      </c>
      <c r="CJ7" s="491" t="s">
        <v>369</v>
      </c>
      <c r="CK7" s="491" t="s">
        <v>355</v>
      </c>
      <c r="CL7" s="491" t="s">
        <v>369</v>
      </c>
      <c r="CM7" s="491" t="s">
        <v>355</v>
      </c>
      <c r="CN7" s="491" t="s">
        <v>369</v>
      </c>
      <c r="CO7" s="491" t="s">
        <v>355</v>
      </c>
      <c r="CP7" s="491" t="s">
        <v>369</v>
      </c>
      <c r="CQ7" s="491" t="s">
        <v>355</v>
      </c>
      <c r="CR7" s="491" t="s">
        <v>369</v>
      </c>
      <c r="CS7" s="491" t="s">
        <v>355</v>
      </c>
      <c r="CT7" s="491" t="s">
        <v>369</v>
      </c>
      <c r="CU7" s="491" t="s">
        <v>355</v>
      </c>
      <c r="CV7" s="491" t="s">
        <v>369</v>
      </c>
      <c r="CW7" s="491" t="s">
        <v>355</v>
      </c>
      <c r="CX7" s="491" t="s">
        <v>369</v>
      </c>
      <c r="CY7" s="491" t="s">
        <v>355</v>
      </c>
      <c r="CZ7" s="491" t="s">
        <v>369</v>
      </c>
      <c r="DA7" s="491" t="s">
        <v>355</v>
      </c>
      <c r="DB7" s="491" t="s">
        <v>369</v>
      </c>
      <c r="DC7" s="491" t="s">
        <v>355</v>
      </c>
      <c r="DD7" s="491" t="s">
        <v>369</v>
      </c>
      <c r="DE7" s="491" t="s">
        <v>355</v>
      </c>
      <c r="DF7" s="491" t="s">
        <v>369</v>
      </c>
      <c r="DG7" s="491" t="s">
        <v>355</v>
      </c>
      <c r="DH7" s="491" t="s">
        <v>369</v>
      </c>
      <c r="DI7" s="503"/>
      <c r="DJ7" s="491" t="s">
        <v>355</v>
      </c>
      <c r="DK7" s="491" t="s">
        <v>369</v>
      </c>
      <c r="DL7" s="491" t="s">
        <v>355</v>
      </c>
      <c r="DM7" s="491" t="s">
        <v>369</v>
      </c>
      <c r="DN7" s="491" t="s">
        <v>355</v>
      </c>
      <c r="DO7" s="491" t="s">
        <v>369</v>
      </c>
      <c r="DP7" s="491" t="s">
        <v>355</v>
      </c>
      <c r="DQ7" s="491" t="s">
        <v>369</v>
      </c>
      <c r="DR7" s="491" t="s">
        <v>355</v>
      </c>
      <c r="DS7" s="491" t="s">
        <v>369</v>
      </c>
      <c r="DT7" s="491" t="s">
        <v>355</v>
      </c>
      <c r="DU7" s="491" t="s">
        <v>369</v>
      </c>
      <c r="DV7" s="491" t="s">
        <v>355</v>
      </c>
      <c r="DW7" s="491" t="s">
        <v>369</v>
      </c>
      <c r="DX7" s="491" t="s">
        <v>355</v>
      </c>
      <c r="DY7" s="491" t="s">
        <v>369</v>
      </c>
      <c r="DZ7" s="491" t="s">
        <v>355</v>
      </c>
      <c r="EA7" s="491" t="s">
        <v>369</v>
      </c>
      <c r="EB7" s="491" t="s">
        <v>355</v>
      </c>
      <c r="EC7" s="491" t="s">
        <v>369</v>
      </c>
      <c r="ED7" s="491" t="s">
        <v>355</v>
      </c>
      <c r="EE7" s="491" t="s">
        <v>369</v>
      </c>
      <c r="EF7" s="491" t="s">
        <v>355</v>
      </c>
      <c r="EG7" s="491" t="s">
        <v>369</v>
      </c>
      <c r="EH7" s="491" t="s">
        <v>355</v>
      </c>
      <c r="EI7" s="491" t="s">
        <v>369</v>
      </c>
      <c r="EJ7" s="503"/>
      <c r="EK7" s="491" t="s">
        <v>355</v>
      </c>
      <c r="EL7" s="491" t="s">
        <v>369</v>
      </c>
      <c r="EM7" s="491" t="s">
        <v>355</v>
      </c>
      <c r="EN7" s="491" t="s">
        <v>369</v>
      </c>
      <c r="EO7" s="491" t="s">
        <v>355</v>
      </c>
      <c r="EP7" s="491" t="s">
        <v>369</v>
      </c>
      <c r="EQ7" s="491" t="s">
        <v>355</v>
      </c>
      <c r="ER7" s="491" t="s">
        <v>369</v>
      </c>
      <c r="ES7" s="491" t="s">
        <v>355</v>
      </c>
      <c r="ET7" s="491" t="s">
        <v>369</v>
      </c>
      <c r="EU7" s="491" t="s">
        <v>355</v>
      </c>
      <c r="EV7" s="491" t="s">
        <v>369</v>
      </c>
      <c r="EW7" s="491" t="s">
        <v>355</v>
      </c>
      <c r="EX7" s="491" t="s">
        <v>369</v>
      </c>
      <c r="EY7" s="491" t="s">
        <v>355</v>
      </c>
      <c r="EZ7" s="491" t="s">
        <v>369</v>
      </c>
      <c r="FA7" s="491" t="s">
        <v>355</v>
      </c>
      <c r="FB7" s="491" t="s">
        <v>369</v>
      </c>
      <c r="FC7" s="491" t="s">
        <v>355</v>
      </c>
      <c r="FD7" s="491" t="s">
        <v>369</v>
      </c>
      <c r="FE7" s="491" t="s">
        <v>355</v>
      </c>
      <c r="FF7" s="491" t="s">
        <v>369</v>
      </c>
      <c r="FG7" s="491" t="s">
        <v>355</v>
      </c>
      <c r="FH7" s="491" t="s">
        <v>369</v>
      </c>
      <c r="FI7" s="491" t="s">
        <v>355</v>
      </c>
      <c r="FJ7" s="491" t="s">
        <v>369</v>
      </c>
      <c r="FK7" s="503"/>
      <c r="FL7" s="491" t="s">
        <v>355</v>
      </c>
      <c r="FM7" s="491" t="s">
        <v>369</v>
      </c>
      <c r="FN7" s="491" t="s">
        <v>355</v>
      </c>
      <c r="FO7" s="491" t="s">
        <v>369</v>
      </c>
      <c r="FP7" s="491" t="s">
        <v>355</v>
      </c>
      <c r="FQ7" s="491" t="s">
        <v>369</v>
      </c>
      <c r="FR7" s="491" t="s">
        <v>355</v>
      </c>
      <c r="FS7" s="491" t="s">
        <v>369</v>
      </c>
      <c r="FT7" s="491" t="s">
        <v>355</v>
      </c>
      <c r="FU7" s="491" t="s">
        <v>369</v>
      </c>
      <c r="FV7" s="491" t="s">
        <v>355</v>
      </c>
      <c r="FW7" s="491" t="s">
        <v>369</v>
      </c>
      <c r="FX7" s="491" t="s">
        <v>355</v>
      </c>
      <c r="FY7" s="491" t="s">
        <v>369</v>
      </c>
      <c r="FZ7" s="491" t="s">
        <v>355</v>
      </c>
      <c r="GA7" s="491" t="s">
        <v>369</v>
      </c>
      <c r="GB7" s="491" t="s">
        <v>355</v>
      </c>
      <c r="GC7" s="491" t="s">
        <v>369</v>
      </c>
      <c r="GD7" s="491" t="s">
        <v>355</v>
      </c>
      <c r="GE7" s="491" t="s">
        <v>369</v>
      </c>
      <c r="GF7" s="491" t="s">
        <v>355</v>
      </c>
      <c r="GG7" s="491" t="s">
        <v>369</v>
      </c>
      <c r="GH7" s="491" t="s">
        <v>355</v>
      </c>
      <c r="GI7" s="491" t="s">
        <v>369</v>
      </c>
      <c r="GJ7" s="491" t="s">
        <v>355</v>
      </c>
      <c r="GK7" s="491" t="s">
        <v>369</v>
      </c>
      <c r="GL7" s="491" t="s">
        <v>355</v>
      </c>
      <c r="GM7" s="491" t="s">
        <v>369</v>
      </c>
      <c r="GN7" s="491" t="s">
        <v>355</v>
      </c>
      <c r="GO7" s="491" t="s">
        <v>369</v>
      </c>
      <c r="GP7" s="491" t="s">
        <v>355</v>
      </c>
      <c r="GQ7" s="491" t="s">
        <v>369</v>
      </c>
      <c r="GR7" s="491" t="s">
        <v>355</v>
      </c>
      <c r="GS7" s="491" t="s">
        <v>369</v>
      </c>
      <c r="GT7" s="491" t="s">
        <v>355</v>
      </c>
      <c r="GU7" s="491" t="s">
        <v>369</v>
      </c>
      <c r="GV7" s="491" t="s">
        <v>355</v>
      </c>
      <c r="GW7" s="491" t="s">
        <v>369</v>
      </c>
      <c r="GX7" s="491" t="s">
        <v>355</v>
      </c>
      <c r="GY7" s="491" t="s">
        <v>369</v>
      </c>
      <c r="GZ7" s="491" t="s">
        <v>355</v>
      </c>
      <c r="HA7" s="491" t="s">
        <v>369</v>
      </c>
      <c r="HB7" s="491" t="s">
        <v>355</v>
      </c>
      <c r="HC7" s="491" t="s">
        <v>369</v>
      </c>
      <c r="HD7" s="491" t="s">
        <v>355</v>
      </c>
      <c r="HE7" s="491" t="s">
        <v>369</v>
      </c>
      <c r="HF7" s="491" t="s">
        <v>355</v>
      </c>
      <c r="HG7" s="491" t="s">
        <v>369</v>
      </c>
      <c r="HH7" s="491" t="s">
        <v>355</v>
      </c>
      <c r="HI7" s="491" t="s">
        <v>369</v>
      </c>
      <c r="HJ7" s="491" t="s">
        <v>355</v>
      </c>
      <c r="HK7" s="491" t="s">
        <v>369</v>
      </c>
      <c r="HL7" s="491" t="s">
        <v>355</v>
      </c>
      <c r="HM7" s="491" t="s">
        <v>369</v>
      </c>
      <c r="HN7" s="491" t="s">
        <v>355</v>
      </c>
      <c r="HO7" s="491" t="s">
        <v>369</v>
      </c>
      <c r="HP7" s="491" t="s">
        <v>355</v>
      </c>
      <c r="HQ7" s="491" t="s">
        <v>369</v>
      </c>
      <c r="HR7" s="491" t="s">
        <v>355</v>
      </c>
      <c r="HS7" s="491" t="s">
        <v>369</v>
      </c>
      <c r="HT7" s="491" t="s">
        <v>355</v>
      </c>
      <c r="HU7" s="491" t="s">
        <v>369</v>
      </c>
      <c r="HV7" s="491" t="s">
        <v>355</v>
      </c>
      <c r="HW7" s="491" t="s">
        <v>369</v>
      </c>
      <c r="HX7" s="491" t="s">
        <v>355</v>
      </c>
      <c r="HY7" s="491" t="s">
        <v>369</v>
      </c>
      <c r="HZ7" s="491" t="s">
        <v>355</v>
      </c>
      <c r="IA7" s="491" t="s">
        <v>369</v>
      </c>
      <c r="IB7" s="491" t="s">
        <v>355</v>
      </c>
      <c r="IC7" s="491" t="s">
        <v>369</v>
      </c>
      <c r="ID7" s="491" t="s">
        <v>355</v>
      </c>
      <c r="IE7" s="491" t="s">
        <v>369</v>
      </c>
      <c r="IF7" s="491" t="s">
        <v>355</v>
      </c>
      <c r="IG7" s="491" t="s">
        <v>369</v>
      </c>
    </row>
    <row r="8" spans="2:243" ht="24" hidden="1" customHeight="1" x14ac:dyDescent="0.2">
      <c r="B8" s="504"/>
      <c r="C8" s="505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06"/>
      <c r="O8" s="506"/>
      <c r="P8" s="506"/>
      <c r="Q8" s="506"/>
      <c r="R8" s="506"/>
      <c r="S8" s="506"/>
      <c r="T8" s="506"/>
      <c r="U8" s="506"/>
      <c r="V8" s="506"/>
      <c r="W8" s="506"/>
      <c r="X8" s="506"/>
      <c r="Y8" s="506"/>
      <c r="Z8" s="506"/>
      <c r="AA8" s="506"/>
      <c r="AB8" s="506"/>
      <c r="AC8" s="506"/>
      <c r="AD8" s="506"/>
      <c r="AE8" s="506"/>
      <c r="AG8" s="506"/>
      <c r="AH8" s="506"/>
      <c r="AI8" s="506"/>
      <c r="AJ8" s="506"/>
      <c r="AK8" s="506"/>
      <c r="AL8" s="506"/>
      <c r="AM8" s="506"/>
      <c r="AN8" s="506"/>
      <c r="AO8" s="506"/>
      <c r="AP8" s="506"/>
      <c r="AQ8" s="506"/>
      <c r="AR8" s="506"/>
      <c r="AS8" s="506"/>
      <c r="AT8" s="506"/>
      <c r="AU8" s="506"/>
      <c r="AV8" s="506"/>
      <c r="AW8" s="506"/>
      <c r="AX8" s="506"/>
      <c r="AY8" s="506"/>
      <c r="AZ8" s="506"/>
      <c r="BA8" s="506"/>
      <c r="BB8" s="506"/>
      <c r="BC8" s="506"/>
      <c r="BD8" s="506"/>
      <c r="BE8" s="506"/>
      <c r="BF8" s="506"/>
      <c r="BH8" s="506"/>
      <c r="BI8" s="506"/>
      <c r="BJ8" s="506"/>
      <c r="BK8" s="506"/>
      <c r="BL8" s="506"/>
      <c r="BM8" s="506"/>
      <c r="BN8" s="506"/>
      <c r="BO8" s="506"/>
      <c r="BP8" s="506"/>
      <c r="BQ8" s="506"/>
      <c r="BR8" s="506"/>
      <c r="BS8" s="506"/>
      <c r="BT8" s="506"/>
      <c r="BU8" s="506"/>
      <c r="BV8" s="506"/>
      <c r="BW8" s="506"/>
      <c r="BX8" s="506"/>
      <c r="BY8" s="506"/>
      <c r="BZ8" s="506"/>
      <c r="CA8" s="506"/>
      <c r="CB8" s="506"/>
      <c r="CC8" s="506"/>
      <c r="CD8" s="506"/>
      <c r="CE8" s="506"/>
      <c r="CF8" s="506"/>
      <c r="CG8" s="506"/>
      <c r="CI8" s="506"/>
      <c r="CJ8" s="506"/>
      <c r="CK8" s="506"/>
      <c r="CL8" s="506"/>
      <c r="CM8" s="506"/>
      <c r="CN8" s="506"/>
      <c r="CO8" s="506"/>
      <c r="CP8" s="506"/>
      <c r="CQ8" s="506"/>
      <c r="CR8" s="506"/>
      <c r="CS8" s="506"/>
      <c r="CT8" s="506"/>
      <c r="CU8" s="506"/>
      <c r="CV8" s="506"/>
      <c r="CW8" s="506"/>
      <c r="CX8" s="506"/>
      <c r="CY8" s="506"/>
      <c r="CZ8" s="506"/>
      <c r="DA8" s="506"/>
      <c r="DB8" s="506"/>
      <c r="DC8" s="506"/>
      <c r="DD8" s="506"/>
      <c r="DE8" s="506"/>
      <c r="DF8" s="506"/>
      <c r="DG8" s="506"/>
      <c r="DH8" s="506"/>
      <c r="DI8" s="507"/>
      <c r="DJ8" s="506"/>
      <c r="DK8" s="506"/>
      <c r="DL8" s="506"/>
      <c r="DM8" s="506"/>
      <c r="DN8" s="506"/>
      <c r="DO8" s="506"/>
      <c r="DP8" s="506"/>
      <c r="DQ8" s="506"/>
      <c r="DR8" s="506"/>
      <c r="DS8" s="506"/>
      <c r="DT8" s="506"/>
      <c r="DU8" s="506"/>
      <c r="DV8" s="506"/>
      <c r="DW8" s="506"/>
      <c r="DX8" s="506"/>
      <c r="DY8" s="506"/>
      <c r="DZ8" s="506"/>
      <c r="EA8" s="506"/>
      <c r="EB8" s="506"/>
      <c r="EC8" s="506"/>
      <c r="ED8" s="506"/>
      <c r="EE8" s="506"/>
      <c r="EF8" s="506"/>
      <c r="EG8" s="506"/>
      <c r="EH8" s="506"/>
      <c r="EI8" s="506"/>
      <c r="EJ8" s="507"/>
      <c r="EK8" s="506"/>
      <c r="EL8" s="506"/>
      <c r="EM8" s="506"/>
      <c r="EN8" s="506"/>
      <c r="EO8" s="506"/>
      <c r="EP8" s="506"/>
      <c r="EQ8" s="506"/>
      <c r="ER8" s="506"/>
      <c r="ES8" s="506"/>
      <c r="ET8" s="506"/>
      <c r="EU8" s="506"/>
      <c r="EV8" s="506"/>
      <c r="EW8" s="506"/>
      <c r="EX8" s="506"/>
      <c r="EY8" s="506"/>
      <c r="EZ8" s="506"/>
      <c r="FA8" s="506"/>
      <c r="FB8" s="506"/>
      <c r="FC8" s="506"/>
      <c r="FD8" s="506"/>
      <c r="FE8" s="506"/>
      <c r="FF8" s="506"/>
      <c r="FG8" s="506"/>
      <c r="FH8" s="506"/>
      <c r="FI8" s="506"/>
      <c r="FJ8" s="506"/>
      <c r="FL8" s="506"/>
      <c r="FM8" s="506"/>
      <c r="FN8" s="506"/>
      <c r="FO8" s="506"/>
      <c r="FP8" s="506"/>
      <c r="FQ8" s="506"/>
      <c r="FR8" s="506"/>
      <c r="FS8" s="506"/>
      <c r="FT8" s="506"/>
      <c r="FU8" s="506"/>
      <c r="FV8" s="506"/>
      <c r="FW8" s="506"/>
      <c r="FX8" s="506"/>
      <c r="FY8" s="506"/>
      <c r="FZ8" s="506"/>
      <c r="GA8" s="506"/>
      <c r="GB8" s="506"/>
      <c r="GC8" s="506"/>
      <c r="GD8" s="506"/>
      <c r="GE8" s="506"/>
      <c r="GF8" s="506"/>
      <c r="GG8" s="506"/>
      <c r="GH8" s="506"/>
      <c r="GI8" s="506"/>
      <c r="GJ8" s="506"/>
      <c r="GK8" s="506"/>
    </row>
    <row r="9" spans="2:243" ht="24" hidden="1" customHeight="1" x14ac:dyDescent="0.2">
      <c r="B9" s="508" t="s">
        <v>370</v>
      </c>
      <c r="C9" s="509"/>
      <c r="D9" s="507"/>
      <c r="E9" s="506"/>
      <c r="F9" s="506"/>
      <c r="G9" s="506"/>
      <c r="H9" s="506"/>
      <c r="I9" s="506"/>
      <c r="J9" s="506"/>
      <c r="K9" s="506"/>
      <c r="L9" s="506"/>
      <c r="M9" s="506"/>
      <c r="N9" s="506"/>
      <c r="O9" s="506"/>
      <c r="P9" s="506"/>
      <c r="Q9" s="506"/>
      <c r="R9" s="506"/>
      <c r="S9" s="506"/>
      <c r="T9" s="506"/>
      <c r="U9" s="506"/>
      <c r="V9" s="506"/>
      <c r="W9" s="506"/>
      <c r="X9" s="506"/>
      <c r="Y9" s="506"/>
      <c r="Z9" s="506"/>
      <c r="AA9" s="506"/>
      <c r="AB9" s="506"/>
      <c r="AC9" s="506"/>
      <c r="AD9" s="506"/>
      <c r="AE9" s="506"/>
      <c r="AG9" s="506"/>
      <c r="AH9" s="506"/>
      <c r="AI9" s="506"/>
      <c r="AJ9" s="506"/>
      <c r="AK9" s="506"/>
      <c r="AL9" s="506"/>
      <c r="AM9" s="506"/>
      <c r="AN9" s="506"/>
      <c r="AO9" s="506"/>
      <c r="AP9" s="506"/>
      <c r="AQ9" s="506"/>
      <c r="AR9" s="506"/>
      <c r="AS9" s="506"/>
      <c r="AT9" s="506"/>
      <c r="AU9" s="506"/>
      <c r="AV9" s="506"/>
      <c r="AW9" s="506"/>
      <c r="AX9" s="506"/>
      <c r="AY9" s="506"/>
      <c r="AZ9" s="506"/>
      <c r="BA9" s="506"/>
      <c r="BB9" s="506"/>
      <c r="BC9" s="506"/>
      <c r="BD9" s="506"/>
      <c r="BE9" s="506"/>
      <c r="BF9" s="506"/>
      <c r="BH9" s="506"/>
      <c r="BI9" s="506"/>
      <c r="BJ9" s="506"/>
      <c r="BK9" s="506"/>
      <c r="BL9" s="506"/>
      <c r="BM9" s="506"/>
      <c r="BN9" s="506"/>
      <c r="BO9" s="506"/>
      <c r="BP9" s="506"/>
      <c r="BQ9" s="506"/>
      <c r="BR9" s="506"/>
      <c r="BS9" s="506"/>
      <c r="BT9" s="506"/>
      <c r="BU9" s="506"/>
      <c r="BV9" s="506"/>
      <c r="BW9" s="506"/>
      <c r="BX9" s="506"/>
      <c r="BY9" s="506"/>
      <c r="BZ9" s="506"/>
      <c r="CA9" s="506"/>
      <c r="CB9" s="506"/>
      <c r="CC9" s="506"/>
      <c r="CD9" s="506"/>
      <c r="CE9" s="506"/>
      <c r="CF9" s="506"/>
      <c r="CG9" s="506"/>
      <c r="CI9" s="506"/>
      <c r="CJ9" s="506"/>
      <c r="CK9" s="506"/>
      <c r="CL9" s="506"/>
      <c r="CM9" s="506"/>
      <c r="CN9" s="506"/>
      <c r="CO9" s="506"/>
      <c r="CP9" s="506"/>
      <c r="CQ9" s="506"/>
      <c r="CR9" s="506"/>
      <c r="CS9" s="506"/>
      <c r="CT9" s="506"/>
      <c r="CU9" s="506"/>
      <c r="CV9" s="506"/>
      <c r="CW9" s="506"/>
      <c r="CX9" s="506"/>
      <c r="CY9" s="506"/>
      <c r="CZ9" s="506"/>
      <c r="DA9" s="506"/>
      <c r="DB9" s="506"/>
      <c r="DC9" s="506"/>
      <c r="DD9" s="506"/>
      <c r="DE9" s="506"/>
      <c r="DF9" s="506"/>
      <c r="DG9" s="506"/>
      <c r="DH9" s="506"/>
      <c r="DI9" s="507"/>
      <c r="DJ9" s="506"/>
      <c r="DK9" s="506"/>
      <c r="DL9" s="506"/>
      <c r="DM9" s="506"/>
      <c r="DN9" s="506"/>
      <c r="DO9" s="506"/>
      <c r="DP9" s="506"/>
      <c r="DQ9" s="506"/>
      <c r="DR9" s="506"/>
      <c r="DS9" s="506"/>
      <c r="DT9" s="506"/>
      <c r="DU9" s="506"/>
      <c r="DV9" s="506"/>
      <c r="DW9" s="506"/>
      <c r="DX9" s="506"/>
      <c r="DY9" s="506"/>
      <c r="DZ9" s="506"/>
      <c r="EA9" s="506"/>
      <c r="EB9" s="506"/>
      <c r="EC9" s="506"/>
      <c r="ED9" s="506"/>
      <c r="EE9" s="506"/>
      <c r="EF9" s="506"/>
      <c r="EG9" s="506"/>
      <c r="EH9" s="506"/>
      <c r="EI9" s="506"/>
      <c r="EJ9" s="507"/>
      <c r="EK9" s="506"/>
      <c r="EL9" s="506"/>
      <c r="EM9" s="506"/>
      <c r="EN9" s="506"/>
      <c r="EO9" s="506"/>
      <c r="EP9" s="506"/>
      <c r="EQ9" s="506"/>
      <c r="ER9" s="506"/>
      <c r="ES9" s="506"/>
      <c r="ET9" s="506"/>
      <c r="EU9" s="506"/>
      <c r="EV9" s="506"/>
      <c r="EW9" s="506"/>
      <c r="EX9" s="506"/>
      <c r="EY9" s="506"/>
      <c r="EZ9" s="506"/>
      <c r="FA9" s="506"/>
      <c r="FB9" s="506"/>
      <c r="FC9" s="506"/>
      <c r="FD9" s="506"/>
      <c r="FE9" s="506"/>
      <c r="FF9" s="506"/>
      <c r="FG9" s="506"/>
      <c r="FH9" s="506"/>
      <c r="FI9" s="506"/>
      <c r="FJ9" s="506"/>
      <c r="FL9" s="506"/>
      <c r="FM9" s="506"/>
      <c r="FN9" s="506"/>
      <c r="FO9" s="506"/>
      <c r="FP9" s="506"/>
      <c r="FQ9" s="506"/>
      <c r="FR9" s="506"/>
      <c r="FS9" s="506"/>
      <c r="FT9" s="506"/>
      <c r="FU9" s="506"/>
      <c r="FV9" s="506"/>
      <c r="FW9" s="506"/>
      <c r="FX9" s="506"/>
      <c r="FY9" s="506"/>
      <c r="FZ9" s="506"/>
      <c r="GA9" s="506"/>
      <c r="GB9" s="506"/>
      <c r="GC9" s="506"/>
      <c r="GD9" s="506"/>
      <c r="GE9" s="506"/>
      <c r="GF9" s="506"/>
      <c r="GG9" s="506"/>
      <c r="GH9" s="506"/>
      <c r="GI9" s="506"/>
      <c r="GJ9" s="506"/>
      <c r="GK9" s="506"/>
    </row>
    <row r="10" spans="2:243" ht="24" hidden="1" customHeight="1" x14ac:dyDescent="0.2">
      <c r="B10" s="510" t="s">
        <v>371</v>
      </c>
      <c r="C10" s="509" t="s">
        <v>372</v>
      </c>
      <c r="D10" s="507">
        <f>AE10/AD10</f>
        <v>110763.53749999999</v>
      </c>
      <c r="E10" s="507">
        <f>AD10</f>
        <v>6511.6</v>
      </c>
      <c r="F10" s="507">
        <f>'[15]TTL TB'!W14</f>
        <v>600</v>
      </c>
      <c r="G10" s="507">
        <f>'[15]TTL TB'!X21</f>
        <v>66458122.5</v>
      </c>
      <c r="H10" s="507">
        <f>'[15]TTL TB'!Y14</f>
        <v>600</v>
      </c>
      <c r="I10" s="507">
        <f>'[15]TTL TB'!Z21</f>
        <v>66458122.5</v>
      </c>
      <c r="J10" s="507">
        <f>'[15]TTL TB'!AA14</f>
        <v>407.39</v>
      </c>
      <c r="K10" s="507">
        <f>'[15]TTL TB'!AB21</f>
        <v>45123957.542125002</v>
      </c>
      <c r="L10" s="507">
        <f>'[15]TTL TB'!AC14</f>
        <v>600</v>
      </c>
      <c r="M10" s="507">
        <f>'[15]TTL TB'!AD21</f>
        <v>66458122.5</v>
      </c>
      <c r="N10" s="507">
        <f>'[15]TTL TB'!AE14</f>
        <v>600</v>
      </c>
      <c r="O10" s="507">
        <f>'[15]TTL TB'!AF21</f>
        <v>66458122.5</v>
      </c>
      <c r="P10" s="507">
        <f>'[15]TTL TB'!AG14</f>
        <v>457.63</v>
      </c>
      <c r="Q10" s="507">
        <f>'[15]TTL TB'!AH21</f>
        <v>50688717.666125</v>
      </c>
      <c r="R10" s="507">
        <f>'[15]TTL TB'!AI14</f>
        <v>600</v>
      </c>
      <c r="S10" s="507">
        <f>'[15]TTL TB'!AJ21</f>
        <v>66458122.5</v>
      </c>
      <c r="T10" s="507">
        <f>'[15]TTL TB'!AK14</f>
        <v>600</v>
      </c>
      <c r="U10" s="507">
        <f>'[15]TTL TB'!AL21</f>
        <v>66458122.5</v>
      </c>
      <c r="V10" s="507">
        <f>'[15]TTL TB'!AM14</f>
        <v>414.93</v>
      </c>
      <c r="W10" s="507">
        <f>'[15]TTL TB'!AN21</f>
        <v>45959114.614875004</v>
      </c>
      <c r="X10" s="507">
        <f>'[15]TTL TB'!AO14</f>
        <v>600</v>
      </c>
      <c r="Y10" s="507">
        <f>'[15]TTL TB'!AP21</f>
        <v>66458122.5</v>
      </c>
      <c r="Z10" s="507">
        <f>'[15]TTL TB'!AQ14</f>
        <v>600</v>
      </c>
      <c r="AA10" s="507">
        <f>'[15]TTL TB'!AR21</f>
        <v>66458122.5</v>
      </c>
      <c r="AB10" s="507">
        <f>'[15]TTL TB'!AS14</f>
        <v>431.65</v>
      </c>
      <c r="AC10" s="507">
        <f>'[15]TTL TB'!AT21</f>
        <v>47811080.961874999</v>
      </c>
      <c r="AD10" s="507">
        <f t="shared" ref="AD10:AE13" si="0">F10+H10+J10+L10+N10+P10+R10+T10+V10+X10+Z10+AB10</f>
        <v>6511.6</v>
      </c>
      <c r="AE10" s="507">
        <f t="shared" si="0"/>
        <v>721247850.78499997</v>
      </c>
      <c r="AG10" s="507"/>
      <c r="AH10" s="507"/>
      <c r="AI10" s="507"/>
      <c r="AJ10" s="507"/>
      <c r="AK10" s="507"/>
      <c r="AL10" s="507"/>
      <c r="AM10" s="507"/>
      <c r="AN10" s="507"/>
      <c r="AO10" s="507"/>
      <c r="AP10" s="507"/>
      <c r="AQ10" s="507"/>
      <c r="AR10" s="507"/>
      <c r="AS10" s="507"/>
      <c r="AT10" s="507"/>
      <c r="AU10" s="507"/>
      <c r="AV10" s="507"/>
      <c r="AW10" s="507"/>
      <c r="AX10" s="507"/>
      <c r="AY10" s="507"/>
      <c r="AZ10" s="507"/>
      <c r="BA10" s="507"/>
      <c r="BB10" s="507"/>
      <c r="BC10" s="507"/>
      <c r="BD10" s="507"/>
      <c r="BE10" s="507">
        <f t="shared" ref="BE10:BF13" si="1">AG10+AI10+AK10+AM10+AO10+AQ10+AS10+AU10+AW10+AY10+BA10+BC10</f>
        <v>0</v>
      </c>
      <c r="BF10" s="507">
        <f t="shared" si="1"/>
        <v>0</v>
      </c>
      <c r="BH10" s="507"/>
      <c r="BI10" s="507"/>
      <c r="BJ10" s="507"/>
      <c r="BK10" s="507"/>
      <c r="BL10" s="507"/>
      <c r="BM10" s="507"/>
      <c r="BN10" s="507"/>
      <c r="BO10" s="507"/>
      <c r="BP10" s="507"/>
      <c r="BQ10" s="507"/>
      <c r="BR10" s="507"/>
      <c r="BS10" s="507"/>
      <c r="BT10" s="507"/>
      <c r="BU10" s="507"/>
      <c r="BV10" s="507"/>
      <c r="BW10" s="507"/>
      <c r="BX10" s="507"/>
      <c r="BY10" s="507"/>
      <c r="BZ10" s="507"/>
      <c r="CA10" s="507"/>
      <c r="CB10" s="507"/>
      <c r="CC10" s="507"/>
      <c r="CD10" s="507"/>
      <c r="CE10" s="507"/>
      <c r="CF10" s="507">
        <f t="shared" ref="CF10:CG13" si="2">BH10+BJ10+BL10+BN10+BP10+BR10+BT10+BV10+BX10+BZ10+CB10+CD10</f>
        <v>0</v>
      </c>
      <c r="CG10" s="507">
        <f t="shared" si="2"/>
        <v>0</v>
      </c>
      <c r="CH10" s="511"/>
      <c r="CI10" s="507"/>
      <c r="CJ10" s="507"/>
      <c r="CK10" s="507"/>
      <c r="CL10" s="507"/>
      <c r="CM10" s="507"/>
      <c r="CN10" s="507"/>
      <c r="CO10" s="507"/>
      <c r="CP10" s="507"/>
      <c r="CQ10" s="507"/>
      <c r="CR10" s="507"/>
      <c r="CS10" s="507"/>
      <c r="CT10" s="507"/>
      <c r="CU10" s="507"/>
      <c r="CV10" s="507"/>
      <c r="CW10" s="507"/>
      <c r="CX10" s="507"/>
      <c r="CY10" s="507"/>
      <c r="CZ10" s="507"/>
      <c r="DA10" s="507"/>
      <c r="DB10" s="507"/>
      <c r="DC10" s="507"/>
      <c r="DD10" s="507"/>
      <c r="DE10" s="507"/>
      <c r="DF10" s="507"/>
      <c r="DG10" s="507">
        <f t="shared" ref="DG10:DH13" si="3">CI10+CK10+CM10+CO10+CQ10+CS10+CU10+CW10+CY10+DA10+DC10+DE10</f>
        <v>0</v>
      </c>
      <c r="DH10" s="507">
        <f t="shared" si="3"/>
        <v>0</v>
      </c>
      <c r="DI10" s="507"/>
      <c r="DJ10" s="507"/>
      <c r="DK10" s="507"/>
      <c r="DL10" s="507"/>
      <c r="DM10" s="507"/>
      <c r="DN10" s="507"/>
      <c r="DO10" s="507"/>
      <c r="DP10" s="507"/>
      <c r="DQ10" s="507"/>
      <c r="DR10" s="507"/>
      <c r="DS10" s="507"/>
      <c r="DT10" s="507"/>
      <c r="DU10" s="507"/>
      <c r="DV10" s="507"/>
      <c r="DW10" s="507"/>
      <c r="DX10" s="507"/>
      <c r="DY10" s="507"/>
      <c r="DZ10" s="507"/>
      <c r="EA10" s="507"/>
      <c r="EB10" s="507"/>
      <c r="EC10" s="507"/>
      <c r="ED10" s="507"/>
      <c r="EE10" s="507"/>
      <c r="EF10" s="507"/>
      <c r="EG10" s="507"/>
      <c r="EH10" s="507">
        <f t="shared" ref="EH10:EI13" si="4">DJ10+DL10+DN10+DP10+DR10+DT10+DV10+DX10+DZ10+EB10+ED10+EF10</f>
        <v>0</v>
      </c>
      <c r="EI10" s="507">
        <f t="shared" si="4"/>
        <v>0</v>
      </c>
      <c r="EJ10" s="507"/>
      <c r="EK10" s="507"/>
      <c r="EL10" s="507"/>
      <c r="EM10" s="507"/>
      <c r="EN10" s="507"/>
      <c r="EO10" s="507"/>
      <c r="EP10" s="507"/>
      <c r="EQ10" s="507"/>
      <c r="ER10" s="507"/>
      <c r="ES10" s="507"/>
      <c r="ET10" s="507"/>
      <c r="EU10" s="507"/>
      <c r="EV10" s="507"/>
      <c r="EW10" s="507"/>
      <c r="EX10" s="507"/>
      <c r="EY10" s="507"/>
      <c r="EZ10" s="507"/>
      <c r="FA10" s="507"/>
      <c r="FB10" s="507"/>
      <c r="FC10" s="507"/>
      <c r="FD10" s="507"/>
      <c r="FE10" s="507"/>
      <c r="FF10" s="507"/>
      <c r="FG10" s="507"/>
      <c r="FH10" s="507"/>
      <c r="FI10" s="507">
        <f t="shared" ref="FI10:FJ13" si="5">EK10+EM10+EO10+EQ10+ES10+EU10+EW10+EY10+FA10+FC10+FE10+FG10</f>
        <v>0</v>
      </c>
      <c r="FJ10" s="507">
        <f t="shared" si="5"/>
        <v>0</v>
      </c>
      <c r="FL10" s="507"/>
      <c r="FM10" s="507"/>
      <c r="FN10" s="507"/>
      <c r="FO10" s="507"/>
      <c r="FP10" s="507"/>
      <c r="FQ10" s="507"/>
      <c r="FR10" s="507"/>
      <c r="FS10" s="507"/>
      <c r="FT10" s="507"/>
      <c r="FU10" s="507"/>
      <c r="FV10" s="507"/>
      <c r="FW10" s="507"/>
      <c r="FX10" s="507"/>
      <c r="FY10" s="507"/>
      <c r="FZ10" s="507"/>
      <c r="GA10" s="507"/>
      <c r="GB10" s="507"/>
      <c r="GC10" s="507"/>
      <c r="GD10" s="507"/>
      <c r="GE10" s="507"/>
      <c r="GF10" s="507"/>
      <c r="GG10" s="507"/>
      <c r="GH10" s="507"/>
      <c r="GI10" s="507"/>
      <c r="GJ10" s="507">
        <f t="shared" ref="GJ10:GK13" si="6">FL10+FN10+FP10+FR10+FT10+FV10+FX10+FZ10+GB10+GD10+GF10+GH10</f>
        <v>0</v>
      </c>
      <c r="GK10" s="507">
        <f t="shared" si="6"/>
        <v>0</v>
      </c>
    </row>
    <row r="11" spans="2:243" ht="24" hidden="1" customHeight="1" x14ac:dyDescent="0.2">
      <c r="B11" s="510" t="s">
        <v>373</v>
      </c>
      <c r="C11" s="509" t="s">
        <v>372</v>
      </c>
      <c r="D11" s="507">
        <f>AE11/AD11</f>
        <v>5250000</v>
      </c>
      <c r="E11" s="507">
        <f>AD11</f>
        <v>2500</v>
      </c>
      <c r="F11" s="507">
        <f>'[15]TTL TB'!W45+'[15]TTL TB'!W47+'[15]TTL TB'!W49</f>
        <v>0</v>
      </c>
      <c r="G11" s="507">
        <f>'[15]TTL TB'!X52</f>
        <v>0</v>
      </c>
      <c r="H11" s="507">
        <f>'[15]TTL TB'!Y45+'[15]TTL TB'!Y47+'[15]TTL TB'!Y49</f>
        <v>0</v>
      </c>
      <c r="I11" s="507">
        <f>'[15]TTL TB'!Z52</f>
        <v>0</v>
      </c>
      <c r="J11" s="507">
        <f>'[15]TTL TB'!AA45+'[15]TTL TB'!AA47+'[15]TTL TB'!AA49</f>
        <v>0</v>
      </c>
      <c r="K11" s="507">
        <f>'[15]TTL TB'!AB52</f>
        <v>0</v>
      </c>
      <c r="L11" s="507">
        <f>'[15]TTL TB'!AC45+'[15]TTL TB'!AC47+'[15]TTL TB'!AC49</f>
        <v>0</v>
      </c>
      <c r="M11" s="507">
        <f>'[15]TTL TB'!AD52</f>
        <v>0</v>
      </c>
      <c r="N11" s="507">
        <f>'[15]TTL TB'!AE45+'[15]TTL TB'!AE47+'[15]TTL TB'!AE49</f>
        <v>0</v>
      </c>
      <c r="O11" s="507">
        <f>'[15]TTL TB'!AF52</f>
        <v>0</v>
      </c>
      <c r="P11" s="507">
        <f>'[15]TTL TB'!AG45+'[15]TTL TB'!AG47+'[15]TTL TB'!AG49</f>
        <v>0</v>
      </c>
      <c r="Q11" s="507">
        <f>'[15]TTL TB'!AH52</f>
        <v>0</v>
      </c>
      <c r="R11" s="507">
        <f>'[15]TTL TB'!AI45+'[15]TTL TB'!AI47+'[15]TTL TB'!AI49</f>
        <v>300</v>
      </c>
      <c r="S11" s="507">
        <f>'[15]TTL TB'!AJ52</f>
        <v>1575000000</v>
      </c>
      <c r="T11" s="507">
        <f>'[15]TTL TB'!AK45+'[15]TTL TB'!AK47+'[15]TTL TB'!AK49</f>
        <v>400</v>
      </c>
      <c r="U11" s="507">
        <f>'[15]TTL TB'!AL52</f>
        <v>2100000000</v>
      </c>
      <c r="V11" s="507">
        <f>'[15]TTL TB'!AM45+'[15]TTL TB'!AM47+'[15]TTL TB'!AM49</f>
        <v>400</v>
      </c>
      <c r="W11" s="507">
        <f>'[15]TTL TB'!AN52</f>
        <v>2100000000</v>
      </c>
      <c r="X11" s="507">
        <f>'[15]TTL TB'!AO45+'[15]TTL TB'!AO47+'[15]TTL TB'!AO49</f>
        <v>400</v>
      </c>
      <c r="Y11" s="507">
        <f>'[15]TTL TB'!AP52</f>
        <v>2100000000</v>
      </c>
      <c r="Z11" s="507">
        <f>'[15]TTL TB'!AQ45+'[15]TTL TB'!AQ47+'[15]TTL TB'!AQ49</f>
        <v>500</v>
      </c>
      <c r="AA11" s="507">
        <f>'[15]TTL TB'!AR52</f>
        <v>2625000000</v>
      </c>
      <c r="AB11" s="507">
        <f>'[15]TTL TB'!AS45+'[15]TTL TB'!AS47+'[15]TTL TB'!AS49</f>
        <v>500</v>
      </c>
      <c r="AC11" s="507">
        <f>'[15]TTL TB'!AT52</f>
        <v>2625000000</v>
      </c>
      <c r="AD11" s="507">
        <f t="shared" si="0"/>
        <v>2500</v>
      </c>
      <c r="AE11" s="507">
        <f t="shared" si="0"/>
        <v>13125000000</v>
      </c>
      <c r="AG11" s="507"/>
      <c r="AH11" s="507"/>
      <c r="AI11" s="507"/>
      <c r="AJ11" s="507"/>
      <c r="AK11" s="507"/>
      <c r="AL11" s="507"/>
      <c r="AM11" s="507"/>
      <c r="AN11" s="507"/>
      <c r="AO11" s="507"/>
      <c r="AP11" s="507"/>
      <c r="AQ11" s="507"/>
      <c r="AR11" s="507"/>
      <c r="AS11" s="507"/>
      <c r="AT11" s="507"/>
      <c r="AU11" s="507"/>
      <c r="AV11" s="507"/>
      <c r="AW11" s="507"/>
      <c r="AX11" s="507"/>
      <c r="AY11" s="507"/>
      <c r="AZ11" s="507"/>
      <c r="BA11" s="507"/>
      <c r="BB11" s="507"/>
      <c r="BC11" s="507"/>
      <c r="BD11" s="507"/>
      <c r="BE11" s="507">
        <f t="shared" si="1"/>
        <v>0</v>
      </c>
      <c r="BF11" s="507">
        <f t="shared" si="1"/>
        <v>0</v>
      </c>
      <c r="BH11" s="507"/>
      <c r="BI11" s="507"/>
      <c r="BJ11" s="507"/>
      <c r="BK11" s="507"/>
      <c r="BL11" s="507"/>
      <c r="BM11" s="507"/>
      <c r="BN11" s="507"/>
      <c r="BO11" s="507"/>
      <c r="BP11" s="507"/>
      <c r="BQ11" s="507"/>
      <c r="BR11" s="507"/>
      <c r="BS11" s="507"/>
      <c r="BT11" s="507"/>
      <c r="BU11" s="507"/>
      <c r="BV11" s="507"/>
      <c r="BW11" s="507"/>
      <c r="BX11" s="507"/>
      <c r="BY11" s="507"/>
      <c r="BZ11" s="507"/>
      <c r="CA11" s="507"/>
      <c r="CB11" s="507"/>
      <c r="CC11" s="507"/>
      <c r="CD11" s="507"/>
      <c r="CE11" s="507"/>
      <c r="CF11" s="507">
        <f t="shared" si="2"/>
        <v>0</v>
      </c>
      <c r="CG11" s="507">
        <f t="shared" si="2"/>
        <v>0</v>
      </c>
      <c r="CH11" s="511"/>
      <c r="CI11" s="507"/>
      <c r="CJ11" s="507"/>
      <c r="CK11" s="507"/>
      <c r="CL11" s="507"/>
      <c r="CM11" s="507"/>
      <c r="CN11" s="507"/>
      <c r="CO11" s="507"/>
      <c r="CP11" s="507"/>
      <c r="CQ11" s="507"/>
      <c r="CR11" s="507"/>
      <c r="CS11" s="507"/>
      <c r="CT11" s="507"/>
      <c r="CU11" s="507"/>
      <c r="CV11" s="507"/>
      <c r="CW11" s="507"/>
      <c r="CX11" s="507"/>
      <c r="CY11" s="507"/>
      <c r="CZ11" s="507"/>
      <c r="DA11" s="507"/>
      <c r="DB11" s="507"/>
      <c r="DC11" s="507"/>
      <c r="DD11" s="507"/>
      <c r="DE11" s="507"/>
      <c r="DF11" s="507"/>
      <c r="DG11" s="507">
        <f t="shared" si="3"/>
        <v>0</v>
      </c>
      <c r="DH11" s="507">
        <f t="shared" si="3"/>
        <v>0</v>
      </c>
      <c r="DI11" s="507"/>
      <c r="DJ11" s="507"/>
      <c r="DK11" s="507"/>
      <c r="DL11" s="507"/>
      <c r="DM11" s="507"/>
      <c r="DN11" s="507"/>
      <c r="DO11" s="507"/>
      <c r="DP11" s="507"/>
      <c r="DQ11" s="507"/>
      <c r="DR11" s="507"/>
      <c r="DS11" s="507"/>
      <c r="DT11" s="507"/>
      <c r="DU11" s="507"/>
      <c r="DV11" s="507"/>
      <c r="DW11" s="507"/>
      <c r="DX11" s="507"/>
      <c r="DY11" s="507"/>
      <c r="DZ11" s="507"/>
      <c r="EA11" s="507"/>
      <c r="EB11" s="507"/>
      <c r="EC11" s="507"/>
      <c r="ED11" s="507"/>
      <c r="EE11" s="507"/>
      <c r="EF11" s="507"/>
      <c r="EG11" s="507"/>
      <c r="EH11" s="507">
        <f t="shared" si="4"/>
        <v>0</v>
      </c>
      <c r="EI11" s="507">
        <f t="shared" si="4"/>
        <v>0</v>
      </c>
      <c r="EJ11" s="507"/>
      <c r="EK11" s="507"/>
      <c r="EL11" s="507"/>
      <c r="EM11" s="507"/>
      <c r="EN11" s="507"/>
      <c r="EO11" s="507"/>
      <c r="EP11" s="507"/>
      <c r="EQ11" s="507"/>
      <c r="ER11" s="507"/>
      <c r="ES11" s="507"/>
      <c r="ET11" s="507"/>
      <c r="EU11" s="507"/>
      <c r="EV11" s="507"/>
      <c r="EW11" s="507"/>
      <c r="EX11" s="507"/>
      <c r="EY11" s="507"/>
      <c r="EZ11" s="507"/>
      <c r="FA11" s="507"/>
      <c r="FB11" s="507"/>
      <c r="FC11" s="507"/>
      <c r="FD11" s="507"/>
      <c r="FE11" s="507"/>
      <c r="FF11" s="507"/>
      <c r="FG11" s="507"/>
      <c r="FH11" s="507"/>
      <c r="FI11" s="507">
        <f t="shared" si="5"/>
        <v>0</v>
      </c>
      <c r="FJ11" s="507">
        <f t="shared" si="5"/>
        <v>0</v>
      </c>
      <c r="FL11" s="507"/>
      <c r="FM11" s="507"/>
      <c r="FN11" s="507"/>
      <c r="FO11" s="507"/>
      <c r="FP11" s="507"/>
      <c r="FQ11" s="507"/>
      <c r="FR11" s="507"/>
      <c r="FS11" s="507"/>
      <c r="FT11" s="507"/>
      <c r="FU11" s="507"/>
      <c r="FV11" s="507"/>
      <c r="FW11" s="507"/>
      <c r="FX11" s="507"/>
      <c r="FY11" s="507"/>
      <c r="FZ11" s="507"/>
      <c r="GA11" s="507"/>
      <c r="GB11" s="507"/>
      <c r="GC11" s="507"/>
      <c r="GD11" s="507"/>
      <c r="GE11" s="507"/>
      <c r="GF11" s="507"/>
      <c r="GG11" s="507"/>
      <c r="GH11" s="507"/>
      <c r="GI11" s="507"/>
      <c r="GJ11" s="507">
        <f t="shared" si="6"/>
        <v>0</v>
      </c>
      <c r="GK11" s="507">
        <f t="shared" si="6"/>
        <v>0</v>
      </c>
    </row>
    <row r="12" spans="2:243" ht="24" hidden="1" customHeight="1" x14ac:dyDescent="0.2">
      <c r="B12" s="510" t="s">
        <v>374</v>
      </c>
      <c r="C12" s="509" t="s">
        <v>372</v>
      </c>
      <c r="D12" s="507">
        <f>AE12/AD12</f>
        <v>882733.22039999999</v>
      </c>
      <c r="E12" s="507">
        <f>AD12</f>
        <v>1100</v>
      </c>
      <c r="F12" s="507">
        <f>'[15]TTL TB'!W53</f>
        <v>0</v>
      </c>
      <c r="G12" s="507">
        <f>'[15]TTL TB'!X61</f>
        <v>0</v>
      </c>
      <c r="H12" s="507">
        <f>'[15]TTL TB'!Y53</f>
        <v>0</v>
      </c>
      <c r="I12" s="507">
        <f>'[15]TTL TB'!Z61</f>
        <v>0</v>
      </c>
      <c r="J12" s="507">
        <f>'[15]TTL TB'!AA53</f>
        <v>0</v>
      </c>
      <c r="K12" s="507">
        <f>'[15]TTL TB'!AB61</f>
        <v>0</v>
      </c>
      <c r="L12" s="507">
        <f>'[15]TTL TB'!AC53</f>
        <v>0</v>
      </c>
      <c r="M12" s="507">
        <f>'[15]TTL TB'!AD61</f>
        <v>0</v>
      </c>
      <c r="N12" s="507">
        <f>'[15]TTL TB'!AE53</f>
        <v>0</v>
      </c>
      <c r="O12" s="507">
        <f>'[15]TTL TB'!AF61</f>
        <v>0</v>
      </c>
      <c r="P12" s="507">
        <f>'[15]TTL TB'!AG53</f>
        <v>0</v>
      </c>
      <c r="Q12" s="507">
        <f>'[15]TTL TB'!AH61</f>
        <v>0</v>
      </c>
      <c r="R12" s="507">
        <f>'[15]TTL TB'!AI53</f>
        <v>0</v>
      </c>
      <c r="S12" s="507">
        <f>'[15]TTL TB'!AJ61</f>
        <v>0</v>
      </c>
      <c r="T12" s="507">
        <f>'[15]TTL TB'!AK53</f>
        <v>0</v>
      </c>
      <c r="U12" s="507">
        <f>'[15]TTL TB'!AL61</f>
        <v>0</v>
      </c>
      <c r="V12" s="507">
        <f>'[15]TTL TB'!AM53</f>
        <v>0</v>
      </c>
      <c r="W12" s="507">
        <f>'[15]TTL TB'!AN61</f>
        <v>0</v>
      </c>
      <c r="X12" s="507">
        <f>'[15]TTL TB'!AO53</f>
        <v>300</v>
      </c>
      <c r="Y12" s="507">
        <f>'[15]TTL TB'!AP61</f>
        <v>264819966.12</v>
      </c>
      <c r="Z12" s="507">
        <f>'[15]TTL TB'!AQ53</f>
        <v>400</v>
      </c>
      <c r="AA12" s="507">
        <f>'[15]TTL TB'!AR61</f>
        <v>353093288.15999997</v>
      </c>
      <c r="AB12" s="507">
        <f>'[15]TTL TB'!AS53</f>
        <v>400</v>
      </c>
      <c r="AC12" s="507">
        <f>'[15]TTL TB'!AT61</f>
        <v>353093288.15999997</v>
      </c>
      <c r="AD12" s="507">
        <f t="shared" si="0"/>
        <v>1100</v>
      </c>
      <c r="AE12" s="507">
        <f t="shared" si="0"/>
        <v>971006542.43999994</v>
      </c>
      <c r="AG12" s="507"/>
      <c r="AH12" s="507"/>
      <c r="AI12" s="507"/>
      <c r="AJ12" s="507"/>
      <c r="AK12" s="507"/>
      <c r="AL12" s="507"/>
      <c r="AM12" s="507"/>
      <c r="AN12" s="507"/>
      <c r="AO12" s="507"/>
      <c r="AP12" s="507"/>
      <c r="AQ12" s="507"/>
      <c r="AR12" s="507"/>
      <c r="AS12" s="507"/>
      <c r="AT12" s="507"/>
      <c r="AU12" s="507"/>
      <c r="AV12" s="507"/>
      <c r="AW12" s="507"/>
      <c r="AX12" s="507"/>
      <c r="AY12" s="507"/>
      <c r="AZ12" s="507"/>
      <c r="BA12" s="507"/>
      <c r="BB12" s="507"/>
      <c r="BC12" s="507"/>
      <c r="BD12" s="507"/>
      <c r="BE12" s="507">
        <f t="shared" si="1"/>
        <v>0</v>
      </c>
      <c r="BF12" s="507">
        <f t="shared" si="1"/>
        <v>0</v>
      </c>
      <c r="BH12" s="507"/>
      <c r="BI12" s="507"/>
      <c r="BJ12" s="507"/>
      <c r="BK12" s="507"/>
      <c r="BL12" s="507"/>
      <c r="BM12" s="507"/>
      <c r="BN12" s="507"/>
      <c r="BO12" s="507"/>
      <c r="BP12" s="507"/>
      <c r="BQ12" s="507"/>
      <c r="BR12" s="507"/>
      <c r="BS12" s="507"/>
      <c r="BT12" s="507"/>
      <c r="BU12" s="507"/>
      <c r="BV12" s="507"/>
      <c r="BW12" s="507"/>
      <c r="BX12" s="507"/>
      <c r="BY12" s="507"/>
      <c r="BZ12" s="507"/>
      <c r="CA12" s="507"/>
      <c r="CB12" s="507"/>
      <c r="CC12" s="507"/>
      <c r="CD12" s="507"/>
      <c r="CE12" s="507"/>
      <c r="CF12" s="507">
        <f t="shared" si="2"/>
        <v>0</v>
      </c>
      <c r="CG12" s="507">
        <f t="shared" si="2"/>
        <v>0</v>
      </c>
      <c r="CH12" s="511"/>
      <c r="CI12" s="507"/>
      <c r="CJ12" s="507"/>
      <c r="CK12" s="507"/>
      <c r="CL12" s="507"/>
      <c r="CM12" s="507"/>
      <c r="CN12" s="507"/>
      <c r="CO12" s="507"/>
      <c r="CP12" s="507"/>
      <c r="CQ12" s="507"/>
      <c r="CR12" s="507"/>
      <c r="CS12" s="507"/>
      <c r="CT12" s="507"/>
      <c r="CU12" s="507"/>
      <c r="CV12" s="507"/>
      <c r="CW12" s="507"/>
      <c r="CX12" s="507"/>
      <c r="CY12" s="507"/>
      <c r="CZ12" s="507"/>
      <c r="DA12" s="507"/>
      <c r="DB12" s="507"/>
      <c r="DC12" s="507"/>
      <c r="DD12" s="507"/>
      <c r="DE12" s="507"/>
      <c r="DF12" s="507"/>
      <c r="DG12" s="507">
        <f t="shared" si="3"/>
        <v>0</v>
      </c>
      <c r="DH12" s="507">
        <f t="shared" si="3"/>
        <v>0</v>
      </c>
      <c r="DI12" s="507"/>
      <c r="DJ12" s="507"/>
      <c r="DK12" s="507"/>
      <c r="DL12" s="507"/>
      <c r="DM12" s="507"/>
      <c r="DN12" s="507"/>
      <c r="DO12" s="507"/>
      <c r="DP12" s="507"/>
      <c r="DQ12" s="507"/>
      <c r="DR12" s="507"/>
      <c r="DS12" s="507"/>
      <c r="DT12" s="507"/>
      <c r="DU12" s="507"/>
      <c r="DV12" s="507"/>
      <c r="DW12" s="507"/>
      <c r="DX12" s="507"/>
      <c r="DY12" s="507"/>
      <c r="DZ12" s="507"/>
      <c r="EA12" s="507"/>
      <c r="EB12" s="507"/>
      <c r="EC12" s="507"/>
      <c r="ED12" s="507"/>
      <c r="EE12" s="507"/>
      <c r="EF12" s="507"/>
      <c r="EG12" s="507"/>
      <c r="EH12" s="507">
        <f t="shared" si="4"/>
        <v>0</v>
      </c>
      <c r="EI12" s="507">
        <f t="shared" si="4"/>
        <v>0</v>
      </c>
      <c r="EJ12" s="507"/>
      <c r="EK12" s="507"/>
      <c r="EL12" s="507"/>
      <c r="EM12" s="507"/>
      <c r="EN12" s="507"/>
      <c r="EO12" s="507"/>
      <c r="EP12" s="507"/>
      <c r="EQ12" s="507"/>
      <c r="ER12" s="507"/>
      <c r="ES12" s="507"/>
      <c r="ET12" s="507"/>
      <c r="EU12" s="507"/>
      <c r="EV12" s="507"/>
      <c r="EW12" s="507"/>
      <c r="EX12" s="507"/>
      <c r="EY12" s="507"/>
      <c r="EZ12" s="507"/>
      <c r="FA12" s="507"/>
      <c r="FB12" s="507"/>
      <c r="FC12" s="507"/>
      <c r="FD12" s="507"/>
      <c r="FE12" s="507"/>
      <c r="FF12" s="507"/>
      <c r="FG12" s="507"/>
      <c r="FH12" s="507"/>
      <c r="FI12" s="507">
        <f t="shared" si="5"/>
        <v>0</v>
      </c>
      <c r="FJ12" s="507">
        <f t="shared" si="5"/>
        <v>0</v>
      </c>
      <c r="FL12" s="507"/>
      <c r="FM12" s="507"/>
      <c r="FN12" s="507"/>
      <c r="FO12" s="507"/>
      <c r="FP12" s="507"/>
      <c r="FQ12" s="507"/>
      <c r="FR12" s="507"/>
      <c r="FS12" s="507"/>
      <c r="FT12" s="507"/>
      <c r="FU12" s="507"/>
      <c r="FV12" s="507"/>
      <c r="FW12" s="507"/>
      <c r="FX12" s="507"/>
      <c r="FY12" s="507"/>
      <c r="FZ12" s="507"/>
      <c r="GA12" s="507"/>
      <c r="GB12" s="507"/>
      <c r="GC12" s="507"/>
      <c r="GD12" s="507"/>
      <c r="GE12" s="507"/>
      <c r="GF12" s="507"/>
      <c r="GG12" s="507"/>
      <c r="GH12" s="507"/>
      <c r="GI12" s="507"/>
      <c r="GJ12" s="507">
        <f t="shared" si="6"/>
        <v>0</v>
      </c>
      <c r="GK12" s="507">
        <f t="shared" si="6"/>
        <v>0</v>
      </c>
    </row>
    <row r="13" spans="2:243" ht="24" hidden="1" customHeight="1" x14ac:dyDescent="0.2">
      <c r="B13" s="510" t="s">
        <v>375</v>
      </c>
      <c r="C13" s="509" t="s">
        <v>376</v>
      </c>
      <c r="D13" s="507">
        <f>AE13/AD13</f>
        <v>6300.0000000000009</v>
      </c>
      <c r="E13" s="507">
        <f>AD13</f>
        <v>239917.8</v>
      </c>
      <c r="F13" s="507">
        <f>'[15]TTL TB'!W62</f>
        <v>0</v>
      </c>
      <c r="G13" s="507">
        <f>'[15]TTL TB'!X66</f>
        <v>0</v>
      </c>
      <c r="H13" s="507">
        <f>'[15]TTL TB'!Y62</f>
        <v>0</v>
      </c>
      <c r="I13" s="507">
        <f>'[15]TTL TB'!Z66</f>
        <v>0</v>
      </c>
      <c r="J13" s="507">
        <f>'[15]TTL TB'!AA62</f>
        <v>0</v>
      </c>
      <c r="K13" s="507">
        <f>'[15]TTL TB'!AB66</f>
        <v>0</v>
      </c>
      <c r="L13" s="507">
        <f>'[15]TTL TB'!AC62</f>
        <v>27200</v>
      </c>
      <c r="M13" s="507">
        <f>'[15]TTL TB'!AD66</f>
        <v>171360000.00000003</v>
      </c>
      <c r="N13" s="507">
        <f>'[15]TTL TB'!AE62</f>
        <v>27200</v>
      </c>
      <c r="O13" s="507">
        <f>'[15]TTL TB'!AF66</f>
        <v>171360000.00000003</v>
      </c>
      <c r="P13" s="507">
        <f>'[15]TTL TB'!AG62</f>
        <v>24725.16</v>
      </c>
      <c r="Q13" s="507">
        <f>'[15]TTL TB'!AH66</f>
        <v>155768508.00000003</v>
      </c>
      <c r="R13" s="507">
        <f>'[15]TTL TB'!AI62</f>
        <v>27200</v>
      </c>
      <c r="S13" s="507">
        <f>'[15]TTL TB'!AJ66</f>
        <v>171360000.00000003</v>
      </c>
      <c r="T13" s="507">
        <f>'[15]TTL TB'!AK62</f>
        <v>27200</v>
      </c>
      <c r="U13" s="507">
        <f>'[15]TTL TB'!AL66</f>
        <v>171360000.00000003</v>
      </c>
      <c r="V13" s="507">
        <f>'[15]TTL TB'!AM62</f>
        <v>26935.72</v>
      </c>
      <c r="W13" s="507">
        <f>'[15]TTL TB'!AN66</f>
        <v>169695036.00000003</v>
      </c>
      <c r="X13" s="507">
        <f>'[15]TTL TB'!AO62</f>
        <v>27200</v>
      </c>
      <c r="Y13" s="507">
        <f>'[15]TTL TB'!AP66</f>
        <v>171360000.00000003</v>
      </c>
      <c r="Z13" s="507">
        <f>'[15]TTL TB'!AQ62</f>
        <v>27200</v>
      </c>
      <c r="AA13" s="507">
        <f>'[15]TTL TB'!AR66</f>
        <v>171360000.00000003</v>
      </c>
      <c r="AB13" s="507">
        <f>'[15]TTL TB'!AS62</f>
        <v>25056.92</v>
      </c>
      <c r="AC13" s="507">
        <f>'[15]TTL TB'!AT66</f>
        <v>157858596</v>
      </c>
      <c r="AD13" s="507">
        <f t="shared" si="0"/>
        <v>239917.8</v>
      </c>
      <c r="AE13" s="507">
        <f t="shared" si="0"/>
        <v>1511482140.0000002</v>
      </c>
      <c r="AG13" s="507"/>
      <c r="AH13" s="507"/>
      <c r="AI13" s="507"/>
      <c r="AJ13" s="507"/>
      <c r="AK13" s="507"/>
      <c r="AL13" s="507"/>
      <c r="AM13" s="507"/>
      <c r="AN13" s="507"/>
      <c r="AO13" s="507"/>
      <c r="AP13" s="507"/>
      <c r="AQ13" s="507"/>
      <c r="AR13" s="507"/>
      <c r="AS13" s="507"/>
      <c r="AT13" s="507"/>
      <c r="AU13" s="507"/>
      <c r="AV13" s="507"/>
      <c r="AW13" s="507"/>
      <c r="AX13" s="507"/>
      <c r="AY13" s="507"/>
      <c r="AZ13" s="507"/>
      <c r="BA13" s="507"/>
      <c r="BB13" s="507"/>
      <c r="BC13" s="507"/>
      <c r="BD13" s="507"/>
      <c r="BE13" s="507">
        <f t="shared" si="1"/>
        <v>0</v>
      </c>
      <c r="BF13" s="507">
        <f t="shared" si="1"/>
        <v>0</v>
      </c>
      <c r="BH13" s="507"/>
      <c r="BI13" s="507"/>
      <c r="BJ13" s="507"/>
      <c r="BK13" s="507"/>
      <c r="BL13" s="507"/>
      <c r="BM13" s="507"/>
      <c r="BN13" s="507"/>
      <c r="BO13" s="507"/>
      <c r="BP13" s="507"/>
      <c r="BQ13" s="507"/>
      <c r="BR13" s="507"/>
      <c r="BS13" s="507"/>
      <c r="BT13" s="507"/>
      <c r="BU13" s="507"/>
      <c r="BV13" s="507"/>
      <c r="BW13" s="507"/>
      <c r="BX13" s="507"/>
      <c r="BY13" s="507"/>
      <c r="BZ13" s="507"/>
      <c r="CA13" s="507"/>
      <c r="CB13" s="507"/>
      <c r="CC13" s="507"/>
      <c r="CD13" s="507"/>
      <c r="CE13" s="507"/>
      <c r="CF13" s="507">
        <f t="shared" si="2"/>
        <v>0</v>
      </c>
      <c r="CG13" s="507">
        <f t="shared" si="2"/>
        <v>0</v>
      </c>
      <c r="CH13" s="511"/>
      <c r="CI13" s="507"/>
      <c r="CJ13" s="507"/>
      <c r="CK13" s="507"/>
      <c r="CL13" s="507"/>
      <c r="CM13" s="507"/>
      <c r="CN13" s="507"/>
      <c r="CO13" s="507"/>
      <c r="CP13" s="507"/>
      <c r="CQ13" s="507"/>
      <c r="CR13" s="507"/>
      <c r="CS13" s="507"/>
      <c r="CT13" s="507"/>
      <c r="CU13" s="507"/>
      <c r="CV13" s="507"/>
      <c r="CW13" s="507"/>
      <c r="CX13" s="507"/>
      <c r="CY13" s="507"/>
      <c r="CZ13" s="507"/>
      <c r="DA13" s="507"/>
      <c r="DB13" s="507"/>
      <c r="DC13" s="507"/>
      <c r="DD13" s="507"/>
      <c r="DE13" s="507"/>
      <c r="DF13" s="507"/>
      <c r="DG13" s="507">
        <f t="shared" si="3"/>
        <v>0</v>
      </c>
      <c r="DH13" s="507">
        <f t="shared" si="3"/>
        <v>0</v>
      </c>
      <c r="DI13" s="507"/>
      <c r="DJ13" s="507"/>
      <c r="DK13" s="507"/>
      <c r="DL13" s="507"/>
      <c r="DM13" s="507"/>
      <c r="DN13" s="507"/>
      <c r="DO13" s="507"/>
      <c r="DP13" s="507"/>
      <c r="DQ13" s="507"/>
      <c r="DR13" s="507"/>
      <c r="DS13" s="507"/>
      <c r="DT13" s="507"/>
      <c r="DU13" s="507"/>
      <c r="DV13" s="507"/>
      <c r="DW13" s="507"/>
      <c r="DX13" s="507"/>
      <c r="DY13" s="507"/>
      <c r="DZ13" s="507"/>
      <c r="EA13" s="507"/>
      <c r="EB13" s="507"/>
      <c r="EC13" s="507"/>
      <c r="ED13" s="507"/>
      <c r="EE13" s="507"/>
      <c r="EF13" s="507"/>
      <c r="EG13" s="507"/>
      <c r="EH13" s="507">
        <f t="shared" si="4"/>
        <v>0</v>
      </c>
      <c r="EI13" s="507">
        <f t="shared" si="4"/>
        <v>0</v>
      </c>
      <c r="EJ13" s="507"/>
      <c r="EK13" s="507"/>
      <c r="EL13" s="507"/>
      <c r="EM13" s="507"/>
      <c r="EN13" s="507"/>
      <c r="EO13" s="507"/>
      <c r="EP13" s="507"/>
      <c r="EQ13" s="507"/>
      <c r="ER13" s="507"/>
      <c r="ES13" s="507"/>
      <c r="ET13" s="507"/>
      <c r="EU13" s="507"/>
      <c r="EV13" s="507"/>
      <c r="EW13" s="507"/>
      <c r="EX13" s="507"/>
      <c r="EY13" s="507"/>
      <c r="EZ13" s="507"/>
      <c r="FA13" s="507"/>
      <c r="FB13" s="507"/>
      <c r="FC13" s="507"/>
      <c r="FD13" s="507"/>
      <c r="FE13" s="507"/>
      <c r="FF13" s="507"/>
      <c r="FG13" s="507"/>
      <c r="FH13" s="507"/>
      <c r="FI13" s="507">
        <f t="shared" si="5"/>
        <v>0</v>
      </c>
      <c r="FJ13" s="507">
        <f t="shared" si="5"/>
        <v>0</v>
      </c>
      <c r="FL13" s="507"/>
      <c r="FM13" s="507"/>
      <c r="FN13" s="507"/>
      <c r="FO13" s="507"/>
      <c r="FP13" s="507"/>
      <c r="FQ13" s="507"/>
      <c r="FR13" s="507"/>
      <c r="FS13" s="507"/>
      <c r="FT13" s="507"/>
      <c r="FU13" s="507"/>
      <c r="FV13" s="507"/>
      <c r="FW13" s="507"/>
      <c r="FX13" s="507"/>
      <c r="FY13" s="507"/>
      <c r="FZ13" s="507"/>
      <c r="GA13" s="507"/>
      <c r="GB13" s="507"/>
      <c r="GC13" s="507"/>
      <c r="GD13" s="507"/>
      <c r="GE13" s="507"/>
      <c r="GF13" s="507"/>
      <c r="GG13" s="507"/>
      <c r="GH13" s="507"/>
      <c r="GI13" s="507"/>
      <c r="GJ13" s="507">
        <f t="shared" si="6"/>
        <v>0</v>
      </c>
      <c r="GK13" s="507">
        <f t="shared" si="6"/>
        <v>0</v>
      </c>
    </row>
    <row r="14" spans="2:243" s="502" customFormat="1" ht="24" hidden="1" customHeight="1" x14ac:dyDescent="0.2">
      <c r="B14" s="512" t="s">
        <v>377</v>
      </c>
      <c r="C14" s="513"/>
      <c r="D14" s="514"/>
      <c r="E14" s="514"/>
      <c r="F14" s="514"/>
      <c r="G14" s="514">
        <f>SUM(G10:G13)</f>
        <v>66458122.5</v>
      </c>
      <c r="H14" s="514"/>
      <c r="I14" s="514">
        <f>SUM(I10:I13)</f>
        <v>66458122.5</v>
      </c>
      <c r="J14" s="514"/>
      <c r="K14" s="514">
        <f>SUM(K10:K13)</f>
        <v>45123957.542125002</v>
      </c>
      <c r="L14" s="514"/>
      <c r="M14" s="514">
        <f>SUM(M10:M13)</f>
        <v>237818122.50000003</v>
      </c>
      <c r="N14" s="514"/>
      <c r="O14" s="514">
        <f>SUM(O10:O13)</f>
        <v>237818122.50000003</v>
      </c>
      <c r="P14" s="514"/>
      <c r="Q14" s="514">
        <f>SUM(Q10:Q13)</f>
        <v>206457225.66612503</v>
      </c>
      <c r="R14" s="514"/>
      <c r="S14" s="514">
        <f>SUM(S10:S13)</f>
        <v>1812818122.5</v>
      </c>
      <c r="T14" s="514"/>
      <c r="U14" s="514">
        <f>SUM(U10:U13)</f>
        <v>2337818122.5</v>
      </c>
      <c r="V14" s="514"/>
      <c r="W14" s="514">
        <f>SUM(W10:W13)</f>
        <v>2315654150.6148753</v>
      </c>
      <c r="X14" s="514"/>
      <c r="Y14" s="514">
        <f>SUM(Y10:Y13)</f>
        <v>2602638088.6199999</v>
      </c>
      <c r="Z14" s="514"/>
      <c r="AA14" s="514">
        <f>SUM(AA10:AA13)</f>
        <v>3215911410.6599998</v>
      </c>
      <c r="AB14" s="514"/>
      <c r="AC14" s="514">
        <f>SUM(AC10:AC13)</f>
        <v>3183762965.1218748</v>
      </c>
      <c r="AD14" s="514"/>
      <c r="AE14" s="514">
        <f>SUM(AE10:AE13)</f>
        <v>16328736533.225</v>
      </c>
      <c r="AG14" s="514"/>
      <c r="AH14" s="514"/>
      <c r="AI14" s="514"/>
      <c r="AJ14" s="514"/>
      <c r="AK14" s="514"/>
      <c r="AL14" s="514"/>
      <c r="AM14" s="514"/>
      <c r="AN14" s="514"/>
      <c r="AO14" s="514"/>
      <c r="AP14" s="514"/>
      <c r="AQ14" s="514"/>
      <c r="AR14" s="514"/>
      <c r="AS14" s="514"/>
      <c r="AT14" s="514"/>
      <c r="AU14" s="514"/>
      <c r="AV14" s="514"/>
      <c r="AW14" s="514"/>
      <c r="AX14" s="514"/>
      <c r="AY14" s="514"/>
      <c r="AZ14" s="514"/>
      <c r="BA14" s="514"/>
      <c r="BB14" s="514"/>
      <c r="BC14" s="514"/>
      <c r="BD14" s="514"/>
      <c r="BE14" s="514"/>
      <c r="BF14" s="514">
        <f>SUM(BF10:BF13)</f>
        <v>0</v>
      </c>
      <c r="BH14" s="514"/>
      <c r="BI14" s="514"/>
      <c r="BJ14" s="514"/>
      <c r="BK14" s="514"/>
      <c r="BL14" s="514"/>
      <c r="BM14" s="514"/>
      <c r="BN14" s="514"/>
      <c r="BO14" s="514"/>
      <c r="BP14" s="514"/>
      <c r="BQ14" s="514"/>
      <c r="BR14" s="514"/>
      <c r="BS14" s="514"/>
      <c r="BT14" s="514"/>
      <c r="BU14" s="514"/>
      <c r="BV14" s="514"/>
      <c r="BW14" s="514"/>
      <c r="BX14" s="514"/>
      <c r="BY14" s="514"/>
      <c r="BZ14" s="514"/>
      <c r="CA14" s="514"/>
      <c r="CB14" s="514"/>
      <c r="CC14" s="514"/>
      <c r="CD14" s="514"/>
      <c r="CE14" s="514"/>
      <c r="CF14" s="514"/>
      <c r="CG14" s="514">
        <f>SUM(CG10:CG13)</f>
        <v>0</v>
      </c>
      <c r="CH14" s="511"/>
      <c r="CI14" s="514"/>
      <c r="CJ14" s="514"/>
      <c r="CK14" s="514"/>
      <c r="CL14" s="514"/>
      <c r="CM14" s="514"/>
      <c r="CN14" s="514"/>
      <c r="CO14" s="514"/>
      <c r="CP14" s="514"/>
      <c r="CQ14" s="514"/>
      <c r="CR14" s="514"/>
      <c r="CS14" s="514"/>
      <c r="CT14" s="514"/>
      <c r="CU14" s="514"/>
      <c r="CV14" s="514"/>
      <c r="CW14" s="514"/>
      <c r="CX14" s="514"/>
      <c r="CY14" s="514"/>
      <c r="CZ14" s="514"/>
      <c r="DA14" s="514"/>
      <c r="DB14" s="514"/>
      <c r="DC14" s="514"/>
      <c r="DD14" s="514"/>
      <c r="DE14" s="514"/>
      <c r="DF14" s="514"/>
      <c r="DG14" s="514"/>
      <c r="DH14" s="514">
        <f>SUM(DH10:DH13)</f>
        <v>0</v>
      </c>
      <c r="DI14" s="514"/>
      <c r="DJ14" s="514"/>
      <c r="DK14" s="514"/>
      <c r="DL14" s="514"/>
      <c r="DM14" s="514"/>
      <c r="DN14" s="514"/>
      <c r="DO14" s="514"/>
      <c r="DP14" s="514"/>
      <c r="DQ14" s="514"/>
      <c r="DR14" s="514"/>
      <c r="DS14" s="514"/>
      <c r="DT14" s="514"/>
      <c r="DU14" s="514"/>
      <c r="DV14" s="514"/>
      <c r="DW14" s="514"/>
      <c r="DX14" s="514"/>
      <c r="DY14" s="514"/>
      <c r="DZ14" s="514"/>
      <c r="EA14" s="514"/>
      <c r="EB14" s="514"/>
      <c r="EC14" s="514"/>
      <c r="ED14" s="514"/>
      <c r="EE14" s="514"/>
      <c r="EF14" s="514"/>
      <c r="EG14" s="514"/>
      <c r="EH14" s="514"/>
      <c r="EI14" s="514">
        <f>SUM(EI10:EI13)</f>
        <v>0</v>
      </c>
      <c r="EJ14" s="514"/>
      <c r="EK14" s="514"/>
      <c r="EL14" s="514"/>
      <c r="EM14" s="514"/>
      <c r="EN14" s="514"/>
      <c r="EO14" s="514"/>
      <c r="EP14" s="514"/>
      <c r="EQ14" s="514"/>
      <c r="ER14" s="514"/>
      <c r="ES14" s="514"/>
      <c r="ET14" s="514"/>
      <c r="EU14" s="514"/>
      <c r="EV14" s="514"/>
      <c r="EW14" s="514"/>
      <c r="EX14" s="514"/>
      <c r="EY14" s="514"/>
      <c r="EZ14" s="514"/>
      <c r="FA14" s="514"/>
      <c r="FB14" s="514"/>
      <c r="FC14" s="514"/>
      <c r="FD14" s="514"/>
      <c r="FE14" s="514"/>
      <c r="FF14" s="514"/>
      <c r="FG14" s="514"/>
      <c r="FH14" s="514"/>
      <c r="FI14" s="514"/>
      <c r="FJ14" s="514">
        <f>SUM(FJ10:FJ13)</f>
        <v>0</v>
      </c>
      <c r="FK14" s="515"/>
      <c r="FL14" s="514"/>
      <c r="FM14" s="514"/>
      <c r="FN14" s="514"/>
      <c r="FO14" s="514"/>
      <c r="FP14" s="514"/>
      <c r="FQ14" s="514"/>
      <c r="FR14" s="514"/>
      <c r="FS14" s="514"/>
      <c r="FT14" s="514"/>
      <c r="FU14" s="514"/>
      <c r="FV14" s="514"/>
      <c r="FW14" s="514"/>
      <c r="FX14" s="514"/>
      <c r="FY14" s="514"/>
      <c r="FZ14" s="514"/>
      <c r="GA14" s="514"/>
      <c r="GB14" s="514"/>
      <c r="GC14" s="514"/>
      <c r="GD14" s="514"/>
      <c r="GE14" s="514"/>
      <c r="GF14" s="514"/>
      <c r="GG14" s="514"/>
      <c r="GH14" s="514"/>
      <c r="GI14" s="514"/>
      <c r="GJ14" s="514"/>
      <c r="GK14" s="514">
        <f>SUM(GK10:GK13)</f>
        <v>0</v>
      </c>
    </row>
    <row r="15" spans="2:243" s="502" customFormat="1" ht="24" hidden="1" customHeight="1" x14ac:dyDescent="0.2">
      <c r="B15" s="512"/>
      <c r="C15" s="513"/>
      <c r="D15" s="514"/>
      <c r="E15" s="514"/>
      <c r="F15" s="514"/>
      <c r="G15" s="514"/>
      <c r="H15" s="514"/>
      <c r="I15" s="514"/>
      <c r="J15" s="514"/>
      <c r="K15" s="514"/>
      <c r="L15" s="514"/>
      <c r="M15" s="514"/>
      <c r="N15" s="514"/>
      <c r="O15" s="514"/>
      <c r="P15" s="514"/>
      <c r="Q15" s="514"/>
      <c r="R15" s="514"/>
      <c r="S15" s="514"/>
      <c r="T15" s="514"/>
      <c r="U15" s="514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G15" s="514"/>
      <c r="AH15" s="514"/>
      <c r="AI15" s="514"/>
      <c r="AJ15" s="514"/>
      <c r="AK15" s="514"/>
      <c r="AL15" s="514"/>
      <c r="AM15" s="514"/>
      <c r="AN15" s="514"/>
      <c r="AO15" s="514"/>
      <c r="AP15" s="514"/>
      <c r="AQ15" s="514"/>
      <c r="AR15" s="514"/>
      <c r="AS15" s="514"/>
      <c r="AT15" s="514"/>
      <c r="AU15" s="514"/>
      <c r="AV15" s="514"/>
      <c r="AW15" s="514"/>
      <c r="AX15" s="514"/>
      <c r="AY15" s="514"/>
      <c r="AZ15" s="514"/>
      <c r="BA15" s="514"/>
      <c r="BB15" s="514"/>
      <c r="BC15" s="514"/>
      <c r="BD15" s="514"/>
      <c r="BE15" s="514"/>
      <c r="BF15" s="514"/>
      <c r="BH15" s="514"/>
      <c r="BI15" s="514"/>
      <c r="BJ15" s="514"/>
      <c r="BK15" s="514"/>
      <c r="BL15" s="514"/>
      <c r="BM15" s="514"/>
      <c r="BN15" s="514"/>
      <c r="BO15" s="514"/>
      <c r="BP15" s="514"/>
      <c r="BQ15" s="514"/>
      <c r="BR15" s="514"/>
      <c r="BS15" s="514"/>
      <c r="BT15" s="514"/>
      <c r="BU15" s="514"/>
      <c r="BV15" s="514"/>
      <c r="BW15" s="514"/>
      <c r="BX15" s="514"/>
      <c r="BY15" s="514"/>
      <c r="BZ15" s="514"/>
      <c r="CA15" s="514"/>
      <c r="CB15" s="514"/>
      <c r="CC15" s="514"/>
      <c r="CD15" s="514"/>
      <c r="CE15" s="514"/>
      <c r="CF15" s="514"/>
      <c r="CG15" s="514"/>
      <c r="CH15" s="511"/>
      <c r="CI15" s="514"/>
      <c r="CJ15" s="514"/>
      <c r="CK15" s="514"/>
      <c r="CL15" s="514"/>
      <c r="CM15" s="514"/>
      <c r="CN15" s="514"/>
      <c r="CO15" s="514"/>
      <c r="CP15" s="514"/>
      <c r="CQ15" s="514"/>
      <c r="CR15" s="514"/>
      <c r="CS15" s="514"/>
      <c r="CT15" s="514"/>
      <c r="CU15" s="514"/>
      <c r="CV15" s="514"/>
      <c r="CW15" s="514"/>
      <c r="CX15" s="514"/>
      <c r="CY15" s="514"/>
      <c r="CZ15" s="514"/>
      <c r="DA15" s="514"/>
      <c r="DB15" s="514"/>
      <c r="DC15" s="514"/>
      <c r="DD15" s="514"/>
      <c r="DE15" s="514"/>
      <c r="DF15" s="514"/>
      <c r="DG15" s="514"/>
      <c r="DH15" s="514"/>
      <c r="DI15" s="514"/>
      <c r="DJ15" s="514"/>
      <c r="DK15" s="514"/>
      <c r="DL15" s="514"/>
      <c r="DM15" s="514"/>
      <c r="DN15" s="514"/>
      <c r="DO15" s="514"/>
      <c r="DP15" s="514"/>
      <c r="DQ15" s="514"/>
      <c r="DR15" s="514"/>
      <c r="DS15" s="514"/>
      <c r="DT15" s="514"/>
      <c r="DU15" s="514"/>
      <c r="DV15" s="514"/>
      <c r="DW15" s="514"/>
      <c r="DX15" s="514"/>
      <c r="DY15" s="514"/>
      <c r="DZ15" s="514"/>
      <c r="EA15" s="514"/>
      <c r="EB15" s="514"/>
      <c r="EC15" s="514"/>
      <c r="ED15" s="514"/>
      <c r="EE15" s="514"/>
      <c r="EF15" s="514"/>
      <c r="EG15" s="514"/>
      <c r="EH15" s="514"/>
      <c r="EI15" s="514"/>
      <c r="EJ15" s="514"/>
      <c r="EK15" s="514"/>
      <c r="EL15" s="514"/>
      <c r="EM15" s="514"/>
      <c r="EN15" s="514"/>
      <c r="EO15" s="514"/>
      <c r="EP15" s="514"/>
      <c r="EQ15" s="514"/>
      <c r="ER15" s="514"/>
      <c r="ES15" s="514"/>
      <c r="ET15" s="514"/>
      <c r="EU15" s="514"/>
      <c r="EV15" s="514"/>
      <c r="EW15" s="514"/>
      <c r="EX15" s="514"/>
      <c r="EY15" s="514"/>
      <c r="EZ15" s="514"/>
      <c r="FA15" s="514"/>
      <c r="FB15" s="514"/>
      <c r="FC15" s="514"/>
      <c r="FD15" s="514"/>
      <c r="FE15" s="514"/>
      <c r="FF15" s="514"/>
      <c r="FG15" s="514"/>
      <c r="FH15" s="514"/>
      <c r="FI15" s="514"/>
      <c r="FJ15" s="514"/>
      <c r="FK15" s="515"/>
      <c r="FL15" s="514"/>
      <c r="FM15" s="514"/>
      <c r="FN15" s="514"/>
      <c r="FO15" s="514"/>
      <c r="FP15" s="514"/>
      <c r="FQ15" s="514"/>
      <c r="FR15" s="514"/>
      <c r="FS15" s="514"/>
      <c r="FT15" s="514"/>
      <c r="FU15" s="514"/>
      <c r="FV15" s="514"/>
      <c r="FW15" s="514"/>
      <c r="FX15" s="514"/>
      <c r="FY15" s="514"/>
      <c r="FZ15" s="514"/>
      <c r="GA15" s="514"/>
      <c r="GB15" s="514"/>
      <c r="GC15" s="514"/>
      <c r="GD15" s="514"/>
      <c r="GE15" s="514"/>
      <c r="GF15" s="514"/>
      <c r="GG15" s="514"/>
      <c r="GH15" s="514"/>
      <c r="GI15" s="514"/>
      <c r="GJ15" s="514"/>
      <c r="GK15" s="514"/>
    </row>
    <row r="16" spans="2:243" ht="24" customHeight="1" x14ac:dyDescent="0.2">
      <c r="B16" s="516" t="s">
        <v>378</v>
      </c>
      <c r="C16" s="517"/>
      <c r="D16" s="518"/>
      <c r="E16" s="518"/>
      <c r="F16" s="518"/>
      <c r="G16" s="518"/>
      <c r="H16" s="518"/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/>
      <c r="U16" s="518"/>
      <c r="V16" s="518"/>
      <c r="W16" s="518"/>
      <c r="X16" s="518"/>
      <c r="Y16" s="518"/>
      <c r="Z16" s="518"/>
      <c r="AA16" s="518"/>
      <c r="AB16" s="518"/>
      <c r="AC16" s="518"/>
      <c r="AD16" s="518"/>
      <c r="AE16" s="518"/>
      <c r="AG16" s="518"/>
      <c r="AH16" s="518"/>
      <c r="AI16" s="518"/>
      <c r="AJ16" s="518"/>
      <c r="AK16" s="518"/>
      <c r="AL16" s="518"/>
      <c r="AM16" s="518"/>
      <c r="AN16" s="518"/>
      <c r="AO16" s="518"/>
      <c r="AP16" s="518"/>
      <c r="AQ16" s="518"/>
      <c r="AR16" s="518"/>
      <c r="AS16" s="518"/>
      <c r="AT16" s="518"/>
      <c r="AU16" s="518"/>
      <c r="AV16" s="518"/>
      <c r="AW16" s="518"/>
      <c r="AX16" s="518"/>
      <c r="AY16" s="518"/>
      <c r="AZ16" s="518"/>
      <c r="BA16" s="518"/>
      <c r="BB16" s="518"/>
      <c r="BC16" s="518"/>
      <c r="BD16" s="518"/>
      <c r="BE16" s="518"/>
      <c r="BF16" s="518"/>
      <c r="BH16" s="518"/>
      <c r="BI16" s="518"/>
      <c r="BJ16" s="518"/>
      <c r="BK16" s="518"/>
      <c r="BL16" s="518"/>
      <c r="BM16" s="518"/>
      <c r="BN16" s="518"/>
      <c r="BO16" s="518"/>
      <c r="BP16" s="518"/>
      <c r="BQ16" s="518"/>
      <c r="BR16" s="518"/>
      <c r="BS16" s="518"/>
      <c r="BT16" s="518"/>
      <c r="BU16" s="518"/>
      <c r="BV16" s="518"/>
      <c r="BW16" s="518"/>
      <c r="BX16" s="518"/>
      <c r="BY16" s="518"/>
      <c r="BZ16" s="518"/>
      <c r="CA16" s="518"/>
      <c r="CB16" s="518"/>
      <c r="CC16" s="518"/>
      <c r="CD16" s="518"/>
      <c r="CE16" s="518"/>
      <c r="CF16" s="518"/>
      <c r="CG16" s="518"/>
      <c r="CH16" s="511"/>
      <c r="CI16" s="518"/>
      <c r="CJ16" s="518"/>
      <c r="CK16" s="518"/>
      <c r="CL16" s="518"/>
      <c r="CM16" s="518"/>
      <c r="CN16" s="518"/>
      <c r="CO16" s="518"/>
      <c r="CP16" s="518"/>
      <c r="CQ16" s="518"/>
      <c r="CR16" s="518"/>
      <c r="CS16" s="518"/>
      <c r="CT16" s="518"/>
      <c r="CU16" s="518"/>
      <c r="CV16" s="518"/>
      <c r="CW16" s="518"/>
      <c r="CX16" s="518"/>
      <c r="CY16" s="518"/>
      <c r="CZ16" s="518"/>
      <c r="DA16" s="518"/>
      <c r="DB16" s="518"/>
      <c r="DC16" s="518"/>
      <c r="DD16" s="518"/>
      <c r="DE16" s="518"/>
      <c r="DF16" s="518"/>
      <c r="DG16" s="518"/>
      <c r="DH16" s="518"/>
      <c r="DI16" s="507"/>
      <c r="DJ16" s="518"/>
      <c r="DK16" s="518"/>
      <c r="DL16" s="518"/>
      <c r="DM16" s="518"/>
      <c r="DN16" s="518"/>
      <c r="DO16" s="518"/>
      <c r="DP16" s="518"/>
      <c r="DQ16" s="518"/>
      <c r="DR16" s="518"/>
      <c r="DS16" s="518"/>
      <c r="DT16" s="518"/>
      <c r="DU16" s="518"/>
      <c r="DV16" s="518"/>
      <c r="DW16" s="518"/>
      <c r="DX16" s="518"/>
      <c r="DY16" s="518"/>
      <c r="DZ16" s="518"/>
      <c r="EA16" s="518"/>
      <c r="EB16" s="518"/>
      <c r="EC16" s="518"/>
      <c r="ED16" s="518"/>
      <c r="EE16" s="518"/>
      <c r="EF16" s="518"/>
      <c r="EG16" s="518"/>
      <c r="EH16" s="518"/>
      <c r="EI16" s="518"/>
      <c r="EJ16" s="507"/>
      <c r="EK16" s="518"/>
      <c r="EL16" s="518"/>
      <c r="EM16" s="518"/>
      <c r="EN16" s="518"/>
      <c r="EO16" s="518"/>
      <c r="EP16" s="518"/>
      <c r="EQ16" s="518"/>
      <c r="ER16" s="518"/>
      <c r="ES16" s="518"/>
      <c r="ET16" s="518"/>
      <c r="EU16" s="518"/>
      <c r="EV16" s="518"/>
      <c r="EW16" s="518"/>
      <c r="EX16" s="518"/>
      <c r="EY16" s="518"/>
      <c r="EZ16" s="518"/>
      <c r="FA16" s="518"/>
      <c r="FB16" s="518"/>
      <c r="FC16" s="518"/>
      <c r="FD16" s="518"/>
      <c r="FE16" s="518"/>
      <c r="FF16" s="518"/>
      <c r="FG16" s="518"/>
      <c r="FH16" s="518"/>
      <c r="FI16" s="518"/>
      <c r="FJ16" s="518"/>
      <c r="FL16" s="518"/>
      <c r="FM16" s="518"/>
      <c r="FN16" s="518"/>
      <c r="FO16" s="518"/>
      <c r="FP16" s="518"/>
      <c r="FQ16" s="518"/>
      <c r="FR16" s="518"/>
      <c r="FS16" s="518"/>
      <c r="FT16" s="518"/>
      <c r="FU16" s="518"/>
      <c r="FV16" s="518"/>
      <c r="FW16" s="518"/>
      <c r="FX16" s="518"/>
      <c r="FY16" s="518"/>
      <c r="FZ16" s="518"/>
      <c r="GA16" s="518"/>
      <c r="GB16" s="518"/>
      <c r="GC16" s="518"/>
      <c r="GD16" s="518"/>
      <c r="GE16" s="518"/>
      <c r="GF16" s="518"/>
      <c r="GG16" s="518"/>
      <c r="GH16" s="518"/>
      <c r="GI16" s="518"/>
      <c r="GJ16" s="518"/>
      <c r="GK16" s="518"/>
    </row>
    <row r="17" spans="1:250" s="519" customFormat="1" ht="24" customHeight="1" x14ac:dyDescent="0.2">
      <c r="B17" s="520" t="s">
        <v>379</v>
      </c>
      <c r="C17" s="521" t="s">
        <v>376</v>
      </c>
      <c r="D17" s="574">
        <f>24689*105.81%</f>
        <v>26123.430899999999</v>
      </c>
      <c r="E17" s="522">
        <f>(300/30)*350</f>
        <v>3500</v>
      </c>
      <c r="F17" s="522">
        <f>E17</f>
        <v>3500</v>
      </c>
      <c r="G17" s="522">
        <f>F17*$D17</f>
        <v>91432008.149999991</v>
      </c>
      <c r="H17" s="522"/>
      <c r="I17" s="522">
        <f>H17*$D17</f>
        <v>0</v>
      </c>
      <c r="J17" s="522"/>
      <c r="K17" s="522">
        <f>J17*$D17</f>
        <v>0</v>
      </c>
      <c r="L17" s="522"/>
      <c r="M17" s="522">
        <f>L17*$D17</f>
        <v>0</v>
      </c>
      <c r="N17" s="522"/>
      <c r="O17" s="522">
        <f>N17*$D17</f>
        <v>0</v>
      </c>
      <c r="P17" s="522"/>
      <c r="Q17" s="522">
        <f>P17*$D17</f>
        <v>0</v>
      </c>
      <c r="R17" s="522"/>
      <c r="S17" s="522">
        <f>R17*$D17</f>
        <v>0</v>
      </c>
      <c r="T17" s="522"/>
      <c r="U17" s="522">
        <f>T17*$D17</f>
        <v>0</v>
      </c>
      <c r="V17" s="522"/>
      <c r="W17" s="522">
        <f>V17*$D17</f>
        <v>0</v>
      </c>
      <c r="X17" s="522"/>
      <c r="Y17" s="522">
        <f>X17*$D17</f>
        <v>0</v>
      </c>
      <c r="Z17" s="522"/>
      <c r="AA17" s="522">
        <f>Z17*$D17</f>
        <v>0</v>
      </c>
      <c r="AB17" s="522"/>
      <c r="AC17" s="522">
        <f>AB17*$D17</f>
        <v>0</v>
      </c>
      <c r="AD17" s="522">
        <f t="shared" ref="AD17:AE26" si="7">F17+H17+J17+L17+N17+P17+R17+T17+V17+X17+Z17+AB17</f>
        <v>3500</v>
      </c>
      <c r="AE17" s="522">
        <f t="shared" si="7"/>
        <v>91432008.149999991</v>
      </c>
      <c r="AG17" s="522"/>
      <c r="AH17" s="522">
        <f>AG17*$D17</f>
        <v>0</v>
      </c>
      <c r="AI17" s="522"/>
      <c r="AJ17" s="522">
        <f>AI17*$D17</f>
        <v>0</v>
      </c>
      <c r="AK17" s="522"/>
      <c r="AL17" s="522">
        <f>AK17*$D17</f>
        <v>0</v>
      </c>
      <c r="AM17" s="522"/>
      <c r="AN17" s="522">
        <f>AM17*$D17</f>
        <v>0</v>
      </c>
      <c r="AO17" s="522"/>
      <c r="AP17" s="522">
        <f>AO17*$D17</f>
        <v>0</v>
      </c>
      <c r="AQ17" s="522"/>
      <c r="AR17" s="522">
        <f>AQ17*$D17</f>
        <v>0</v>
      </c>
      <c r="AS17" s="522"/>
      <c r="AT17" s="522">
        <f>AS17*$D17</f>
        <v>0</v>
      </c>
      <c r="AU17" s="522"/>
      <c r="AV17" s="522">
        <f>AU17*$D17</f>
        <v>0</v>
      </c>
      <c r="AW17" s="522"/>
      <c r="AX17" s="522">
        <f>AW17*$D17</f>
        <v>0</v>
      </c>
      <c r="AY17" s="522"/>
      <c r="AZ17" s="522">
        <f>AY17*$D17</f>
        <v>0</v>
      </c>
      <c r="BA17" s="522"/>
      <c r="BB17" s="522">
        <f>BA17*$D17</f>
        <v>0</v>
      </c>
      <c r="BC17" s="522"/>
      <c r="BD17" s="522">
        <f>BC17*$D17</f>
        <v>0</v>
      </c>
      <c r="BE17" s="522">
        <f t="shared" ref="BE17:BE26" si="8">AG17+AI17+AK17+AM17+AO17+AQ17+AS17+AU17+AW17+AY17+BA17+BC17</f>
        <v>0</v>
      </c>
      <c r="BF17" s="522">
        <f t="shared" ref="BF17:BF26" si="9">AH17+AJ17+AL17+AN17+AP17+AR17+AT17+AV17+AX17+AZ17+BB17+BD17</f>
        <v>0</v>
      </c>
      <c r="BH17" s="522"/>
      <c r="BI17" s="522">
        <f>BH17*$D17</f>
        <v>0</v>
      </c>
      <c r="BJ17" s="522"/>
      <c r="BK17" s="522">
        <f>BJ17*$D17</f>
        <v>0</v>
      </c>
      <c r="BL17" s="522"/>
      <c r="BM17" s="522">
        <f>BL17*$D17</f>
        <v>0</v>
      </c>
      <c r="BN17" s="522"/>
      <c r="BO17" s="522">
        <f>BN17*$D17</f>
        <v>0</v>
      </c>
      <c r="BP17" s="522"/>
      <c r="BQ17" s="522">
        <f>BP17*$D17</f>
        <v>0</v>
      </c>
      <c r="BR17" s="522"/>
      <c r="BS17" s="522">
        <f>BR17*$D17</f>
        <v>0</v>
      </c>
      <c r="BT17" s="522"/>
      <c r="BU17" s="522">
        <f>BT17*$D17</f>
        <v>0</v>
      </c>
      <c r="BV17" s="522"/>
      <c r="BW17" s="522">
        <f>BV17*$D17</f>
        <v>0</v>
      </c>
      <c r="BX17" s="522"/>
      <c r="BY17" s="522">
        <f>BX17*$D17</f>
        <v>0</v>
      </c>
      <c r="BZ17" s="522"/>
      <c r="CA17" s="522">
        <f>BZ17*$D17</f>
        <v>0</v>
      </c>
      <c r="CB17" s="522"/>
      <c r="CC17" s="522">
        <f>CB17*$D17</f>
        <v>0</v>
      </c>
      <c r="CD17" s="522"/>
      <c r="CE17" s="522">
        <f>CD17*$D17</f>
        <v>0</v>
      </c>
      <c r="CF17" s="522">
        <f t="shared" ref="CF17:CF26" si="10">BH17+BJ17+BL17+BN17+BP17+BR17+BT17+BV17+BX17+BZ17+CB17+CD17</f>
        <v>0</v>
      </c>
      <c r="CG17" s="522">
        <f t="shared" ref="CG17:CG26" si="11">BI17+BK17+BM17+BO17+BQ17+BS17+BU17+BW17+BY17+CA17+CC17+CE17</f>
        <v>0</v>
      </c>
      <c r="CH17" s="523"/>
      <c r="CI17" s="522"/>
      <c r="CJ17" s="522">
        <f>CI17*$D17</f>
        <v>0</v>
      </c>
      <c r="CK17" s="522"/>
      <c r="CL17" s="522">
        <f>CK17*$D17</f>
        <v>0</v>
      </c>
      <c r="CM17" s="522"/>
      <c r="CN17" s="522">
        <f>CM17*$D17</f>
        <v>0</v>
      </c>
      <c r="CO17" s="522"/>
      <c r="CP17" s="522">
        <f>CO17*$D17</f>
        <v>0</v>
      </c>
      <c r="CQ17" s="522"/>
      <c r="CR17" s="522">
        <f>CQ17*$D17</f>
        <v>0</v>
      </c>
      <c r="CS17" s="522"/>
      <c r="CT17" s="522">
        <f>CS17*$D17</f>
        <v>0</v>
      </c>
      <c r="CU17" s="522"/>
      <c r="CV17" s="522">
        <f>CU17*$D17</f>
        <v>0</v>
      </c>
      <c r="CW17" s="522"/>
      <c r="CX17" s="522">
        <f>CW17*$D17</f>
        <v>0</v>
      </c>
      <c r="CY17" s="522"/>
      <c r="CZ17" s="522">
        <f>CY17*$D17</f>
        <v>0</v>
      </c>
      <c r="DA17" s="522"/>
      <c r="DB17" s="522">
        <f>DA17*$D17</f>
        <v>0</v>
      </c>
      <c r="DC17" s="522"/>
      <c r="DD17" s="522">
        <f>DC17*$D17</f>
        <v>0</v>
      </c>
      <c r="DE17" s="522"/>
      <c r="DF17" s="522">
        <f>DE17*$D17</f>
        <v>0</v>
      </c>
      <c r="DG17" s="522">
        <f t="shared" ref="DG17:DG26" si="12">CI17+CK17+CM17+CO17+CQ17+CS17+CU17+CW17+CY17+DA17+DC17+DE17</f>
        <v>0</v>
      </c>
      <c r="DH17" s="522">
        <f t="shared" ref="DH17:DH26" si="13">CJ17+CL17+CN17+CP17+CR17+CT17+CV17+CX17+CZ17+DB17+DD17+DF17</f>
        <v>0</v>
      </c>
      <c r="DI17" s="524"/>
      <c r="DJ17" s="522"/>
      <c r="DK17" s="522">
        <f>DJ17*$D17</f>
        <v>0</v>
      </c>
      <c r="DL17" s="522"/>
      <c r="DM17" s="522">
        <f>DL17*$D17</f>
        <v>0</v>
      </c>
      <c r="DN17" s="522"/>
      <c r="DO17" s="522">
        <f>DN17*$D17</f>
        <v>0</v>
      </c>
      <c r="DP17" s="522"/>
      <c r="DQ17" s="522">
        <f>DP17*$D17</f>
        <v>0</v>
      </c>
      <c r="DR17" s="522"/>
      <c r="DS17" s="522">
        <f>DR17*$D17</f>
        <v>0</v>
      </c>
      <c r="DT17" s="522"/>
      <c r="DU17" s="522">
        <f>DT17*$D17</f>
        <v>0</v>
      </c>
      <c r="DV17" s="522"/>
      <c r="DW17" s="522">
        <f>DV17*$D17</f>
        <v>0</v>
      </c>
      <c r="DX17" s="522"/>
      <c r="DY17" s="522">
        <f>DX17*$D17</f>
        <v>0</v>
      </c>
      <c r="DZ17" s="522"/>
      <c r="EA17" s="522">
        <f>DZ17*$D17</f>
        <v>0</v>
      </c>
      <c r="EB17" s="522"/>
      <c r="EC17" s="522">
        <f>EB17*$D17</f>
        <v>0</v>
      </c>
      <c r="ED17" s="522"/>
      <c r="EE17" s="522">
        <f>ED17*$D17</f>
        <v>0</v>
      </c>
      <c r="EF17" s="522"/>
      <c r="EG17" s="522">
        <f>EF17*$D17</f>
        <v>0</v>
      </c>
      <c r="EH17" s="522">
        <f t="shared" ref="EH17:EH26" si="14">DJ17+DL17+DN17+DP17+DR17+DT17+DV17+DX17+DZ17+EB17+ED17+EF17</f>
        <v>0</v>
      </c>
      <c r="EI17" s="522">
        <f t="shared" ref="EI17:EI26" si="15">DK17+DM17+DO17+DQ17+DS17+DU17+DW17+DY17+EA17+EC17+EE17+EG17</f>
        <v>0</v>
      </c>
      <c r="EJ17" s="524"/>
      <c r="EK17" s="522"/>
      <c r="EL17" s="522">
        <f t="shared" ref="EL17:EL26" si="16">EK17*$D17</f>
        <v>0</v>
      </c>
      <c r="EM17" s="522"/>
      <c r="EN17" s="522">
        <f>EM17*$D17</f>
        <v>0</v>
      </c>
      <c r="EO17" s="522"/>
      <c r="EP17" s="522">
        <f>EO17*$D17</f>
        <v>0</v>
      </c>
      <c r="EQ17" s="522"/>
      <c r="ER17" s="522">
        <f>EQ17*$D17</f>
        <v>0</v>
      </c>
      <c r="ES17" s="522"/>
      <c r="ET17" s="522">
        <f>ES17*$D17</f>
        <v>0</v>
      </c>
      <c r="EU17" s="522"/>
      <c r="EV17" s="522">
        <f>EU17*$D17</f>
        <v>0</v>
      </c>
      <c r="EW17" s="522"/>
      <c r="EX17" s="522">
        <f>EW17*$D17</f>
        <v>0</v>
      </c>
      <c r="EY17" s="522"/>
      <c r="EZ17" s="522">
        <f>EY17*$D17</f>
        <v>0</v>
      </c>
      <c r="FA17" s="522"/>
      <c r="FB17" s="522">
        <f>FA17*$D17</f>
        <v>0</v>
      </c>
      <c r="FC17" s="522"/>
      <c r="FD17" s="522">
        <f>FC17*$D17</f>
        <v>0</v>
      </c>
      <c r="FE17" s="522"/>
      <c r="FF17" s="522">
        <f>FE17*$D17</f>
        <v>0</v>
      </c>
      <c r="FG17" s="522"/>
      <c r="FH17" s="522">
        <f>FG17*$D17</f>
        <v>0</v>
      </c>
      <c r="FI17" s="522">
        <f t="shared" ref="FI17:FI25" si="17">EK17+EM17+EO17+EQ17+ES17+EU17+EW17+EY17+FA17+FC17+FE17+FG17</f>
        <v>0</v>
      </c>
      <c r="FJ17" s="522">
        <f t="shared" ref="FJ17:FJ26" si="18">EL17+EN17+EP17+ER17+ET17+EV17+EX17+EZ17+FB17+FD17+FF17+FH17</f>
        <v>0</v>
      </c>
      <c r="FK17" s="525"/>
      <c r="FL17" s="522"/>
      <c r="FM17" s="522">
        <f t="shared" ref="FM17:FM26" si="19">FL17*$D17</f>
        <v>0</v>
      </c>
      <c r="FN17" s="522"/>
      <c r="FO17" s="522">
        <f>FN17*$D17</f>
        <v>0</v>
      </c>
      <c r="FP17" s="522"/>
      <c r="FQ17" s="522">
        <f>FP17*$D17</f>
        <v>0</v>
      </c>
      <c r="FR17" s="522"/>
      <c r="FS17" s="522">
        <f>FR17*$D17</f>
        <v>0</v>
      </c>
      <c r="FT17" s="522"/>
      <c r="FU17" s="522">
        <f>FT17*$D17</f>
        <v>0</v>
      </c>
      <c r="FV17" s="522"/>
      <c r="FW17" s="522">
        <f>FV17*$D17</f>
        <v>0</v>
      </c>
      <c r="FX17" s="522"/>
      <c r="FY17" s="522">
        <f>FX17*$D17</f>
        <v>0</v>
      </c>
      <c r="FZ17" s="522"/>
      <c r="GA17" s="522">
        <f>FZ17*$D17</f>
        <v>0</v>
      </c>
      <c r="GB17" s="522"/>
      <c r="GC17" s="522">
        <f>GB17*$D17</f>
        <v>0</v>
      </c>
      <c r="GD17" s="522"/>
      <c r="GE17" s="522">
        <f>GD17*$D17</f>
        <v>0</v>
      </c>
      <c r="GF17" s="522"/>
      <c r="GG17" s="522">
        <f>GF17*$D17</f>
        <v>0</v>
      </c>
      <c r="GH17" s="522"/>
      <c r="GI17" s="522">
        <f>GH17*$D17</f>
        <v>0</v>
      </c>
      <c r="GJ17" s="522">
        <f t="shared" ref="GJ17:GK26" si="20">FL17+FN17+FP17+FR17+FT17+FV17+FX17+FZ17+GB17+GD17+GF17+GH17</f>
        <v>0</v>
      </c>
      <c r="GK17" s="522">
        <f t="shared" si="20"/>
        <v>0</v>
      </c>
      <c r="GL17" s="523">
        <f>IFERROR(((+F17+H17+J17+L17)/($E17/'RKP 08'!$D$5)),0)</f>
        <v>350</v>
      </c>
      <c r="GM17" s="523">
        <f>G17+I17+K17+M17</f>
        <v>91432008.149999991</v>
      </c>
      <c r="GN17" s="523">
        <f>IFERROR(((+N17+P17+R17+T17)/($E17/'RKP 08'!$D$5)),0)</f>
        <v>0</v>
      </c>
      <c r="GO17" s="523">
        <f>+O17+Q17+S17+U17</f>
        <v>0</v>
      </c>
      <c r="GP17" s="523">
        <f>IFERROR(((V17+X17+Z17+AB17)/($E17/'RKP 08'!$D$5)),0)</f>
        <v>0</v>
      </c>
      <c r="GQ17" s="523">
        <f>W17+Y17+AA17+AC17</f>
        <v>0</v>
      </c>
      <c r="GR17" s="523">
        <f>GL17+GN17+GP17</f>
        <v>350</v>
      </c>
      <c r="GS17" s="523">
        <f>GM17+GO17+GQ17</f>
        <v>91432008.149999991</v>
      </c>
      <c r="GT17" s="523">
        <f>IFERROR(((AG17+AI17+AK17+AM17)/($E17/'RKP 08'!$D$5)),0)</f>
        <v>0</v>
      </c>
      <c r="GU17" s="523">
        <f t="shared" ref="GU17:GU29" si="21">AH17+AJ17+AL17+AN17</f>
        <v>0</v>
      </c>
      <c r="GV17" s="523">
        <f>IFERROR(((AO17+AQ17+AS17+AU17)/($E17/'RKP 08'!$D$5)),0)</f>
        <v>0</v>
      </c>
      <c r="GW17" s="523">
        <f t="shared" ref="GW17:GW29" si="22">AP17+AR17+AT17+AV17</f>
        <v>0</v>
      </c>
      <c r="GX17" s="523">
        <f>IFERROR(((AW17+AY17+BA17+BC17)/($E17/'RKP 08'!$D$5)),0)</f>
        <v>0</v>
      </c>
      <c r="GY17" s="523">
        <f t="shared" ref="GY17:GY29" si="23">AX17+AZ17+BB17+BD17</f>
        <v>0</v>
      </c>
      <c r="GZ17" s="523">
        <f>GT17+GV17+GX17</f>
        <v>0</v>
      </c>
      <c r="HA17" s="523">
        <f>GU17+GW17+GY17</f>
        <v>0</v>
      </c>
      <c r="HB17" s="523">
        <f>IFERROR(((BH17+BJ17+BL17+BN17)/($E17/'RKP 08'!$D$5)),0)</f>
        <v>0</v>
      </c>
      <c r="HC17" s="523">
        <f t="shared" ref="HC17:HC29" si="24">BI17+BK17+BM17+BO17</f>
        <v>0</v>
      </c>
      <c r="HD17" s="523">
        <f>IFERROR(((BP17+BR17+BT17+BV17)/($E17/'RKP 08'!$D$5)),0)</f>
        <v>0</v>
      </c>
      <c r="HE17" s="523">
        <f t="shared" ref="HE17:HE29" si="25">BQ17+BS17+BU17+BW17</f>
        <v>0</v>
      </c>
      <c r="HF17" s="523">
        <f>IFERROR(((BX17+BZ17+CB17+CD17)/($E17/'RKP 08'!$D$5)),0)</f>
        <v>0</v>
      </c>
      <c r="HG17" s="523">
        <f t="shared" ref="HG17:HG29" si="26">BY17+CA17+CC17+CE17</f>
        <v>0</v>
      </c>
      <c r="HH17" s="523">
        <f>HB17+HD17+HF17</f>
        <v>0</v>
      </c>
      <c r="HI17" s="523">
        <f>HC17+HE17+HG17</f>
        <v>0</v>
      </c>
      <c r="HJ17" s="523">
        <f>IFERROR(((CI17+CK17+CM17+CO17)/($E17/'RKP 08'!$D$5)),0)</f>
        <v>0</v>
      </c>
      <c r="HK17" s="523">
        <f>CJ17+CL17+CN17+CP17</f>
        <v>0</v>
      </c>
      <c r="HL17" s="523">
        <f>IFERROR(((CQ17+CS17+CU17+CW17)/($E17/'RKP 08'!$D$5)),0)</f>
        <v>0</v>
      </c>
      <c r="HM17" s="523">
        <f>CR17+CT17+CV17+CX17</f>
        <v>0</v>
      </c>
      <c r="HN17" s="523">
        <f>IFERROR(((CY17+DA17+DC17+DE17)/($E17/'RKP 08'!$D$5)),0)</f>
        <v>0</v>
      </c>
      <c r="HO17" s="523">
        <f>CZ17+DB17+DD17+DF17</f>
        <v>0</v>
      </c>
      <c r="HP17" s="523">
        <f>HJ17+HL17+HN17</f>
        <v>0</v>
      </c>
      <c r="HQ17" s="523">
        <f>HK17+HM17+HO17</f>
        <v>0</v>
      </c>
      <c r="HR17" s="511">
        <f>IFERROR(((DJ17+DL17+DN17+DP17)/($E17/'RKP 08'!$D$5)),0)</f>
        <v>0</v>
      </c>
      <c r="HS17" s="511">
        <f t="shared" ref="HS17:HS29" si="27">DK17+DM17+DO17+DQ17</f>
        <v>0</v>
      </c>
      <c r="HT17" s="511">
        <f>IFERROR(((DR17+DT17+DV17+DX17)/($E17/'RKP 08'!$D$5)),0)</f>
        <v>0</v>
      </c>
      <c r="HU17" s="511">
        <f t="shared" ref="HU17:HU29" si="28">DS17+DU17+DW17+DY17</f>
        <v>0</v>
      </c>
      <c r="HV17" s="511">
        <f>IFERROR(((DZ17+EB17+ED17+EF17)/($E17/'RKP 08'!$D$5)),0)</f>
        <v>0</v>
      </c>
      <c r="HW17" s="511">
        <f t="shared" ref="HW17:HW29" si="29">EA17+EC17+EE17+EG17</f>
        <v>0</v>
      </c>
      <c r="HX17" s="523">
        <f>HR17+HT17+HV17</f>
        <v>0</v>
      </c>
      <c r="HY17" s="523">
        <f>HS17+HU17+HW17</f>
        <v>0</v>
      </c>
      <c r="HZ17" s="523">
        <f>EK17+EM17+EO17+EQ17</f>
        <v>0</v>
      </c>
      <c r="IA17" s="523">
        <f>EL17+EN17+EP17+ER17</f>
        <v>0</v>
      </c>
      <c r="IB17" s="511">
        <f>((ES17+EU17+EW17+EY17)/($E17/'RKP 08'!$D$5))</f>
        <v>0</v>
      </c>
      <c r="IC17" s="511">
        <f t="shared" ref="IC17:IC29" si="30">ET17+EV17+EX17+EZ17</f>
        <v>0</v>
      </c>
      <c r="ID17" s="511">
        <f>((FA17+FC17+FE17+FG17)/($E17/'RKP 08'!$D$5))</f>
        <v>0</v>
      </c>
      <c r="IE17" s="511">
        <f t="shared" ref="IE17:IE29" si="31">FB17+FD17+FF17+FH17</f>
        <v>0</v>
      </c>
      <c r="IF17" s="523">
        <f>HZ17+IB17+ID17</f>
        <v>0</v>
      </c>
      <c r="IG17" s="523">
        <f>IA17+IC17+IE17</f>
        <v>0</v>
      </c>
      <c r="II17" s="523">
        <f>GS17+HA17+HI17+HQ17+HY17+IG17</f>
        <v>91432008.149999991</v>
      </c>
      <c r="IJ17" s="523">
        <f>II17-(D17*E17)</f>
        <v>0</v>
      </c>
      <c r="IK17" s="577"/>
    </row>
    <row r="18" spans="1:250" s="519" customFormat="1" ht="24" customHeight="1" x14ac:dyDescent="0.2">
      <c r="B18" s="520" t="s">
        <v>380</v>
      </c>
      <c r="C18" s="521" t="s">
        <v>376</v>
      </c>
      <c r="D18" s="574">
        <f>21950*105.81%</f>
        <v>23225.295000000002</v>
      </c>
      <c r="E18" s="522">
        <f>(1000/30)*350</f>
        <v>11666.666666666668</v>
      </c>
      <c r="F18" s="522">
        <f>E18</f>
        <v>11666.666666666668</v>
      </c>
      <c r="G18" s="522">
        <f>F18*$D18</f>
        <v>270961775.00000006</v>
      </c>
      <c r="H18" s="526">
        <v>0</v>
      </c>
      <c r="I18" s="522">
        <f t="shared" ref="I18:I26" si="32">H18*$D18</f>
        <v>0</v>
      </c>
      <c r="J18" s="526">
        <v>0</v>
      </c>
      <c r="K18" s="522">
        <f t="shared" ref="K18:K26" si="33">J18*$D18</f>
        <v>0</v>
      </c>
      <c r="L18" s="526">
        <v>0</v>
      </c>
      <c r="M18" s="522">
        <f t="shared" ref="M18:M26" si="34">L18*$D18</f>
        <v>0</v>
      </c>
      <c r="N18" s="526">
        <v>0</v>
      </c>
      <c r="O18" s="522">
        <f t="shared" ref="O18:O26" si="35">N18*$D18</f>
        <v>0</v>
      </c>
      <c r="P18" s="526">
        <v>0</v>
      </c>
      <c r="Q18" s="522">
        <f t="shared" ref="Q18:Q26" si="36">P18*$D18</f>
        <v>0</v>
      </c>
      <c r="R18" s="522"/>
      <c r="S18" s="522">
        <f t="shared" ref="S18:S25" si="37">R18*$D18</f>
        <v>0</v>
      </c>
      <c r="T18" s="522">
        <v>0</v>
      </c>
      <c r="U18" s="522">
        <f t="shared" ref="U18:U25" si="38">T18*$D18</f>
        <v>0</v>
      </c>
      <c r="V18" s="522"/>
      <c r="W18" s="522">
        <f t="shared" ref="W18:W25" si="39">V18*$D18</f>
        <v>0</v>
      </c>
      <c r="X18" s="522"/>
      <c r="Y18" s="522">
        <f t="shared" ref="Y18:Y26" si="40">X18*$D18</f>
        <v>0</v>
      </c>
      <c r="Z18" s="522"/>
      <c r="AA18" s="522">
        <f t="shared" ref="AA18:AA26" si="41">Z18*$D18</f>
        <v>0</v>
      </c>
      <c r="AB18" s="522"/>
      <c r="AC18" s="522">
        <f t="shared" ref="AC18:AC26" si="42">AB18*$D18</f>
        <v>0</v>
      </c>
      <c r="AD18" s="522">
        <f t="shared" si="7"/>
        <v>11666.666666666668</v>
      </c>
      <c r="AE18" s="522">
        <f t="shared" si="7"/>
        <v>270961775.00000006</v>
      </c>
      <c r="AG18" s="522"/>
      <c r="AH18" s="522">
        <f t="shared" ref="AH18:AH25" si="43">AG18*$D18</f>
        <v>0</v>
      </c>
      <c r="AI18" s="522"/>
      <c r="AJ18" s="522">
        <f t="shared" ref="AJ18:AJ25" si="44">AI18*$D18</f>
        <v>0</v>
      </c>
      <c r="AK18" s="522"/>
      <c r="AL18" s="522">
        <f t="shared" ref="AL18:AL26" si="45">AK18*$D18</f>
        <v>0</v>
      </c>
      <c r="AM18" s="526">
        <v>0</v>
      </c>
      <c r="AN18" s="522">
        <f t="shared" ref="AN18:AN26" si="46">AM18*$D18</f>
        <v>0</v>
      </c>
      <c r="AO18" s="522"/>
      <c r="AP18" s="522">
        <f t="shared" ref="AP18:AP26" si="47">AO18*$D18</f>
        <v>0</v>
      </c>
      <c r="AQ18" s="522"/>
      <c r="AR18" s="522">
        <f t="shared" ref="AR18:AR26" si="48">AQ18*$D18</f>
        <v>0</v>
      </c>
      <c r="AS18" s="526">
        <v>0</v>
      </c>
      <c r="AT18" s="522">
        <f t="shared" ref="AT18:AT26" si="49">AS18*$D18</f>
        <v>0</v>
      </c>
      <c r="AU18" s="527">
        <v>0</v>
      </c>
      <c r="AV18" s="522">
        <f t="shared" ref="AV18:AV26" si="50">AU18*$D18</f>
        <v>0</v>
      </c>
      <c r="AW18" s="522"/>
      <c r="AX18" s="522">
        <f t="shared" ref="AX18:AX26" si="51">AW18*$D18</f>
        <v>0</v>
      </c>
      <c r="AY18" s="522"/>
      <c r="AZ18" s="522">
        <f t="shared" ref="AZ18:AZ26" si="52">AY18*$D18</f>
        <v>0</v>
      </c>
      <c r="BA18" s="526"/>
      <c r="BB18" s="522">
        <f t="shared" ref="BB18:BB26" si="53">BA18*$D18</f>
        <v>0</v>
      </c>
      <c r="BC18" s="526"/>
      <c r="BD18" s="522">
        <f t="shared" ref="BD18:BD26" si="54">BC18*$D18</f>
        <v>0</v>
      </c>
      <c r="BE18" s="522">
        <v>0</v>
      </c>
      <c r="BF18" s="522">
        <f t="shared" si="9"/>
        <v>0</v>
      </c>
      <c r="BH18" s="526"/>
      <c r="BI18" s="522">
        <f t="shared" ref="BI18:BI26" si="55">BH18*$D18</f>
        <v>0</v>
      </c>
      <c r="BJ18" s="526"/>
      <c r="BK18" s="522">
        <f t="shared" ref="BK18:BK26" si="56">BJ18*$D18</f>
        <v>0</v>
      </c>
      <c r="BL18" s="526"/>
      <c r="BM18" s="522">
        <f t="shared" ref="BM18:BM26" si="57">BL18*$D18</f>
        <v>0</v>
      </c>
      <c r="BN18" s="526"/>
      <c r="BO18" s="522">
        <f t="shared" ref="BO18:BO26" si="58">BN18*$D18</f>
        <v>0</v>
      </c>
      <c r="BP18" s="526"/>
      <c r="BQ18" s="522">
        <f t="shared" ref="BQ18:BQ26" si="59">BP18*$D18</f>
        <v>0</v>
      </c>
      <c r="BR18" s="526"/>
      <c r="BS18" s="522">
        <f t="shared" ref="BS18:BS26" si="60">BR18*$D18</f>
        <v>0</v>
      </c>
      <c r="BT18" s="522"/>
      <c r="BU18" s="522">
        <f t="shared" ref="BU18:BU28" si="61">BT18*$D18</f>
        <v>0</v>
      </c>
      <c r="BV18" s="522"/>
      <c r="BW18" s="522">
        <f t="shared" ref="BW18:BW26" si="62">BV18*$D18</f>
        <v>0</v>
      </c>
      <c r="BX18" s="522"/>
      <c r="BY18" s="522">
        <f t="shared" ref="BY18:BY26" si="63">BX18*$D18</f>
        <v>0</v>
      </c>
      <c r="BZ18" s="522"/>
      <c r="CA18" s="522">
        <f t="shared" ref="CA18:CA26" si="64">BZ18*$D18</f>
        <v>0</v>
      </c>
      <c r="CB18" s="522"/>
      <c r="CC18" s="522">
        <f t="shared" ref="CC18:CC26" si="65">CB18*$D18</f>
        <v>0</v>
      </c>
      <c r="CD18" s="522"/>
      <c r="CE18" s="522">
        <f t="shared" ref="CE18:CE26" si="66">CD18*$D18</f>
        <v>0</v>
      </c>
      <c r="CF18" s="522">
        <f t="shared" si="10"/>
        <v>0</v>
      </c>
      <c r="CG18" s="522">
        <f t="shared" si="11"/>
        <v>0</v>
      </c>
      <c r="CH18" s="523"/>
      <c r="CI18" s="522"/>
      <c r="CJ18" s="522">
        <f t="shared" ref="CJ18:CJ26" si="67">CI18*$D18</f>
        <v>0</v>
      </c>
      <c r="CK18" s="522"/>
      <c r="CL18" s="522">
        <f t="shared" ref="CL18:CL26" si="68">CK18*$D18</f>
        <v>0</v>
      </c>
      <c r="CM18" s="522"/>
      <c r="CN18" s="522">
        <f t="shared" ref="CN18:CN26" si="69">CM18*$D18</f>
        <v>0</v>
      </c>
      <c r="CO18" s="522"/>
      <c r="CP18" s="522">
        <f t="shared" ref="CP18:CP26" si="70">CO18*$D18</f>
        <v>0</v>
      </c>
      <c r="CQ18" s="522"/>
      <c r="CR18" s="522">
        <f t="shared" ref="CR18:CR26" si="71">CQ18*$D18</f>
        <v>0</v>
      </c>
      <c r="CS18" s="522"/>
      <c r="CT18" s="522">
        <f t="shared" ref="CT18:CT26" si="72">CS18*$D18</f>
        <v>0</v>
      </c>
      <c r="CU18" s="522"/>
      <c r="CV18" s="522">
        <f t="shared" ref="CV18:CV26" si="73">CU18*$D18</f>
        <v>0</v>
      </c>
      <c r="CW18" s="522"/>
      <c r="CX18" s="522">
        <f t="shared" ref="CX18:CX26" si="74">CW18*$D18</f>
        <v>0</v>
      </c>
      <c r="CY18" s="522"/>
      <c r="CZ18" s="522">
        <f t="shared" ref="CZ18:CZ26" si="75">CY18*$D18</f>
        <v>0</v>
      </c>
      <c r="DA18" s="522"/>
      <c r="DB18" s="522">
        <f t="shared" ref="DB18:DB26" si="76">DA18*$D18</f>
        <v>0</v>
      </c>
      <c r="DC18" s="522"/>
      <c r="DD18" s="522">
        <f t="shared" ref="DD18:DD26" si="77">DC18*$D18</f>
        <v>0</v>
      </c>
      <c r="DE18" s="522"/>
      <c r="DF18" s="522">
        <f t="shared" ref="DF18:DF26" si="78">DE18*$D18</f>
        <v>0</v>
      </c>
      <c r="DG18" s="522">
        <f t="shared" si="12"/>
        <v>0</v>
      </c>
      <c r="DH18" s="522">
        <f t="shared" si="13"/>
        <v>0</v>
      </c>
      <c r="DI18" s="524"/>
      <c r="DJ18" s="522"/>
      <c r="DK18" s="522">
        <f t="shared" ref="DK18:DK26" si="79">DJ18*$D18</f>
        <v>0</v>
      </c>
      <c r="DL18" s="522"/>
      <c r="DM18" s="522">
        <f t="shared" ref="DM18:DM26" si="80">DL18*$D18</f>
        <v>0</v>
      </c>
      <c r="DN18" s="522"/>
      <c r="DO18" s="522">
        <f t="shared" ref="DO18:DO26" si="81">DN18*$D18</f>
        <v>0</v>
      </c>
      <c r="DP18" s="522"/>
      <c r="DQ18" s="522">
        <f t="shared" ref="DQ18:DQ26" si="82">DP18*$D18</f>
        <v>0</v>
      </c>
      <c r="DR18" s="522"/>
      <c r="DS18" s="522">
        <f t="shared" ref="DS18:DS26" si="83">DR18*$D18</f>
        <v>0</v>
      </c>
      <c r="DT18" s="522"/>
      <c r="DU18" s="522">
        <f t="shared" ref="DU18:DU26" si="84">DT18*$D18</f>
        <v>0</v>
      </c>
      <c r="DV18" s="522"/>
      <c r="DW18" s="522">
        <f t="shared" ref="DW18:DW26" si="85">DV18*$D18</f>
        <v>0</v>
      </c>
      <c r="DX18" s="522"/>
      <c r="DY18" s="522">
        <f t="shared" ref="DY18:DY26" si="86">DX18*$D18</f>
        <v>0</v>
      </c>
      <c r="DZ18" s="522"/>
      <c r="EA18" s="522">
        <f t="shared" ref="EA18:EA26" si="87">DZ18*$D18</f>
        <v>0</v>
      </c>
      <c r="EB18" s="522"/>
      <c r="EC18" s="522">
        <f t="shared" ref="EC18:EC26" si="88">EB18*$D18</f>
        <v>0</v>
      </c>
      <c r="ED18" s="522"/>
      <c r="EE18" s="522">
        <f t="shared" ref="EE18:EE26" si="89">ED18*$D18</f>
        <v>0</v>
      </c>
      <c r="EF18" s="522"/>
      <c r="EG18" s="522">
        <f t="shared" ref="EG18:EG26" si="90">EF18*$D18</f>
        <v>0</v>
      </c>
      <c r="EH18" s="522">
        <f t="shared" si="14"/>
        <v>0</v>
      </c>
      <c r="EI18" s="522">
        <f t="shared" si="15"/>
        <v>0</v>
      </c>
      <c r="EJ18" s="524"/>
      <c r="EK18" s="522"/>
      <c r="EL18" s="522">
        <f t="shared" si="16"/>
        <v>0</v>
      </c>
      <c r="EM18" s="522"/>
      <c r="EN18" s="522">
        <f t="shared" ref="EN18:EN26" si="91">EM18*$D18</f>
        <v>0</v>
      </c>
      <c r="EO18" s="522"/>
      <c r="EP18" s="522">
        <f t="shared" ref="EP18:EP26" si="92">EO18*$D18</f>
        <v>0</v>
      </c>
      <c r="EQ18" s="522"/>
      <c r="ER18" s="522">
        <f t="shared" ref="ER18:ER26" si="93">EQ18*$D18</f>
        <v>0</v>
      </c>
      <c r="ES18" s="522"/>
      <c r="ET18" s="522">
        <f t="shared" ref="ET18:ET26" si="94">ES18*$D18</f>
        <v>0</v>
      </c>
      <c r="EU18" s="522"/>
      <c r="EV18" s="522">
        <f t="shared" ref="EV18:EV26" si="95">EU18*$D18</f>
        <v>0</v>
      </c>
      <c r="EW18" s="522"/>
      <c r="EX18" s="522">
        <f t="shared" ref="EX18:EX26" si="96">EW18*$D18</f>
        <v>0</v>
      </c>
      <c r="EY18" s="522"/>
      <c r="EZ18" s="522">
        <f t="shared" ref="EZ18:EZ26" si="97">EY18*$D18</f>
        <v>0</v>
      </c>
      <c r="FA18" s="522"/>
      <c r="FB18" s="522">
        <f t="shared" ref="FB18:FB26" si="98">FA18*$D18</f>
        <v>0</v>
      </c>
      <c r="FC18" s="522"/>
      <c r="FD18" s="522">
        <f t="shared" ref="FD18:FD26" si="99">FC18*$D18</f>
        <v>0</v>
      </c>
      <c r="FE18" s="522"/>
      <c r="FF18" s="522">
        <f t="shared" ref="FF18:FF26" si="100">FE18*$D18</f>
        <v>0</v>
      </c>
      <c r="FG18" s="522"/>
      <c r="FH18" s="522">
        <f t="shared" ref="FH18:FH26" si="101">FG18*$D18</f>
        <v>0</v>
      </c>
      <c r="FI18" s="522">
        <f t="shared" si="17"/>
        <v>0</v>
      </c>
      <c r="FJ18" s="522">
        <f t="shared" si="18"/>
        <v>0</v>
      </c>
      <c r="FK18" s="525"/>
      <c r="FL18" s="522"/>
      <c r="FM18" s="522">
        <f t="shared" si="19"/>
        <v>0</v>
      </c>
      <c r="FN18" s="522"/>
      <c r="FO18" s="522">
        <f t="shared" ref="FO18:FO26" si="102">FN18*$D18</f>
        <v>0</v>
      </c>
      <c r="FP18" s="522"/>
      <c r="FQ18" s="522">
        <f t="shared" ref="FQ18:FQ26" si="103">FP18*$D18</f>
        <v>0</v>
      </c>
      <c r="FR18" s="522"/>
      <c r="FS18" s="522">
        <f t="shared" ref="FS18:FS26" si="104">FR18*$D18</f>
        <v>0</v>
      </c>
      <c r="FT18" s="522"/>
      <c r="FU18" s="522">
        <f t="shared" ref="FU18:FU26" si="105">FT18*$D18</f>
        <v>0</v>
      </c>
      <c r="FV18" s="522"/>
      <c r="FW18" s="522">
        <f t="shared" ref="FW18:FW26" si="106">FV18*$D18</f>
        <v>0</v>
      </c>
      <c r="FX18" s="522"/>
      <c r="FY18" s="522">
        <f t="shared" ref="FY18:FY26" si="107">FX18*$D18</f>
        <v>0</v>
      </c>
      <c r="FZ18" s="522"/>
      <c r="GA18" s="522">
        <f t="shared" ref="GA18:GA26" si="108">FZ18*$D18</f>
        <v>0</v>
      </c>
      <c r="GB18" s="522"/>
      <c r="GC18" s="522">
        <f t="shared" ref="GC18:GC26" si="109">GB18*$D18</f>
        <v>0</v>
      </c>
      <c r="GD18" s="522"/>
      <c r="GE18" s="522">
        <f t="shared" ref="GE18:GE26" si="110">GD18*$D18</f>
        <v>0</v>
      </c>
      <c r="GF18" s="522"/>
      <c r="GG18" s="522">
        <f t="shared" ref="GG18:GG26" si="111">GF18*$D18</f>
        <v>0</v>
      </c>
      <c r="GH18" s="522"/>
      <c r="GI18" s="522">
        <f t="shared" ref="GI18:GI26" si="112">GH18*$D18</f>
        <v>0</v>
      </c>
      <c r="GJ18" s="522">
        <f t="shared" si="20"/>
        <v>0</v>
      </c>
      <c r="GK18" s="522">
        <f t="shared" si="20"/>
        <v>0</v>
      </c>
      <c r="GL18" s="523">
        <f>IFERROR(((+F18+H18+J18+L18)/($E18/'RKP 08'!$D$5)),0)</f>
        <v>350</v>
      </c>
      <c r="GM18" s="523">
        <f>G18+I18+K18+M18</f>
        <v>270961775.00000006</v>
      </c>
      <c r="GN18" s="523">
        <f>IFERROR(((+N18+P18+R18+T18)/($E18/'RKP 08'!$D$5)),0)</f>
        <v>0</v>
      </c>
      <c r="GO18" s="523">
        <f t="shared" ref="GO18:GO29" si="113">+O18+Q18+S18+U18</f>
        <v>0</v>
      </c>
      <c r="GP18" s="523">
        <f>IFERROR(((V18+X18+Z18+AB18)/($E18/'RKP 08'!$D$5)),0)</f>
        <v>0</v>
      </c>
      <c r="GQ18" s="523">
        <f t="shared" ref="GQ18:GQ29" si="114">W18+Y18+AA18+AC18</f>
        <v>0</v>
      </c>
      <c r="GR18" s="523">
        <f t="shared" ref="GR18:GR26" si="115">GL18+GN18+GP18</f>
        <v>350</v>
      </c>
      <c r="GS18" s="523">
        <f t="shared" ref="GS18:GS26" si="116">GM18+GO18+GQ18</f>
        <v>270961775.00000006</v>
      </c>
      <c r="GT18" s="523">
        <f>IFERROR(((AG18+AI18+AK18+AM18)/($E18/'RKP 08'!$D$5)),0)</f>
        <v>0</v>
      </c>
      <c r="GU18" s="523">
        <f t="shared" si="21"/>
        <v>0</v>
      </c>
      <c r="GV18" s="523">
        <f>IFERROR(((AO18+AQ18+AS18+AU18)/($E18/'RKP 08'!$D$5)),0)</f>
        <v>0</v>
      </c>
      <c r="GW18" s="523">
        <f t="shared" si="22"/>
        <v>0</v>
      </c>
      <c r="GX18" s="523">
        <f>IFERROR(((AW18+AY18+BA18+BC18)/($E18/'RKP 08'!$D$5)),0)</f>
        <v>0</v>
      </c>
      <c r="GY18" s="523">
        <f t="shared" si="23"/>
        <v>0</v>
      </c>
      <c r="GZ18" s="523">
        <f t="shared" ref="GZ18:GZ29" si="117">GT18+GV18+GX18</f>
        <v>0</v>
      </c>
      <c r="HA18" s="523">
        <f t="shared" ref="HA18:HA29" si="118">GU18+GW18+GY18</f>
        <v>0</v>
      </c>
      <c r="HB18" s="523">
        <f>IFERROR(((BH18+BJ18+BL18+BN18)/($E18/'RKP 08'!$D$5)),0)</f>
        <v>0</v>
      </c>
      <c r="HC18" s="523">
        <f t="shared" si="24"/>
        <v>0</v>
      </c>
      <c r="HD18" s="523">
        <f>IFERROR(((BP18+BR18+BT18+BV18)/($E18/'RKP 08'!$D$5)),0)</f>
        <v>0</v>
      </c>
      <c r="HE18" s="523">
        <f t="shared" si="25"/>
        <v>0</v>
      </c>
      <c r="HF18" s="523">
        <f>IFERROR(((BX18+BZ18+CB18+CD18)/($E18/'RKP 08'!$D$5)),0)</f>
        <v>0</v>
      </c>
      <c r="HG18" s="523">
        <f t="shared" si="26"/>
        <v>0</v>
      </c>
      <c r="HH18" s="523">
        <f t="shared" ref="HH18:HH29" si="119">HB18+HD18+HF18</f>
        <v>0</v>
      </c>
      <c r="HI18" s="523">
        <f t="shared" ref="HI18:HI29" si="120">HC18+HE18+HG18</f>
        <v>0</v>
      </c>
      <c r="HJ18" s="523">
        <f>IFERROR(((CI18+CK18+CM18+CO18)/($E18/'RKP 08'!$D$5)),0)</f>
        <v>0</v>
      </c>
      <c r="HK18" s="523">
        <f t="shared" ref="HK18:HK26" si="121">CJ18+CL18+CN18+CP18</f>
        <v>0</v>
      </c>
      <c r="HL18" s="523">
        <f>IFERROR(((CQ18+CS18+CU18+CW18)/($E18/'RKP 08'!$D$5)),0)</f>
        <v>0</v>
      </c>
      <c r="HM18" s="523">
        <f t="shared" ref="HM18:HM26" si="122">CR18+CT18+CV18+CX18</f>
        <v>0</v>
      </c>
      <c r="HN18" s="523">
        <f>IFERROR(((CY18+DA18+DC18+DE18)/($E18/'RKP 08'!$D$5)),0)</f>
        <v>0</v>
      </c>
      <c r="HO18" s="523">
        <f t="shared" ref="HO18:HO26" si="123">CZ18+DB18+DD18+DF18</f>
        <v>0</v>
      </c>
      <c r="HP18" s="523">
        <f t="shared" ref="HP18:HP29" si="124">HJ18+HL18+HN18</f>
        <v>0</v>
      </c>
      <c r="HQ18" s="523">
        <f t="shared" ref="HQ18:HQ29" si="125">HK18+HM18+HO18</f>
        <v>0</v>
      </c>
      <c r="HR18" s="511">
        <f>IFERROR(((DJ18+DL18+DN18+DP18)/($E18/'RKP 08'!$D$5)),0)</f>
        <v>0</v>
      </c>
      <c r="HS18" s="511">
        <f t="shared" si="27"/>
        <v>0</v>
      </c>
      <c r="HT18" s="511">
        <f>IFERROR(((DR18+DT18+DV18+DX18)/($E18/'RKP 08'!$D$5)),0)</f>
        <v>0</v>
      </c>
      <c r="HU18" s="511">
        <f t="shared" si="28"/>
        <v>0</v>
      </c>
      <c r="HV18" s="511">
        <f>IFERROR(((DZ18+EB18+ED18+EF18)/($E18/'RKP 08'!$D$5)),0)</f>
        <v>0</v>
      </c>
      <c r="HW18" s="511">
        <f t="shared" si="29"/>
        <v>0</v>
      </c>
      <c r="HX18" s="523">
        <f t="shared" ref="HX18:HX29" si="126">HR18+HT18+HV18</f>
        <v>0</v>
      </c>
      <c r="HY18" s="523">
        <f t="shared" ref="HY18:HY29" si="127">HS18+HU18+HW18</f>
        <v>0</v>
      </c>
      <c r="HZ18" s="523">
        <f t="shared" ref="HZ18:IA29" si="128">EK18+EM18+EO18+EQ18</f>
        <v>0</v>
      </c>
      <c r="IA18" s="523">
        <f t="shared" si="128"/>
        <v>0</v>
      </c>
      <c r="IB18" s="511">
        <f>ES18+EU18+EW18+EY18</f>
        <v>0</v>
      </c>
      <c r="IC18" s="511">
        <f t="shared" si="30"/>
        <v>0</v>
      </c>
      <c r="ID18" s="511">
        <f>FA18+FC18+FE18+FG18</f>
        <v>0</v>
      </c>
      <c r="IE18" s="511">
        <f t="shared" si="31"/>
        <v>0</v>
      </c>
      <c r="IF18" s="523">
        <f t="shared" ref="IF18:IF29" si="129">HZ18+IB18+ID18</f>
        <v>0</v>
      </c>
      <c r="IG18" s="523">
        <f t="shared" ref="IG18:IG29" si="130">IA18+IC18+IE18</f>
        <v>0</v>
      </c>
      <c r="II18" s="523">
        <f t="shared" ref="II18:II26" si="131">GS18+HA18+HI18+HQ18+HY18+IG18</f>
        <v>270961775.00000006</v>
      </c>
      <c r="IJ18" s="523">
        <f t="shared" ref="IJ18:IJ26" si="132">II18-(D18*E18)</f>
        <v>0</v>
      </c>
      <c r="IK18" s="577"/>
    </row>
    <row r="19" spans="1:250" s="519" customFormat="1" ht="24" customHeight="1" x14ac:dyDescent="0.2">
      <c r="A19" s="528"/>
      <c r="B19" s="520" t="s">
        <v>351</v>
      </c>
      <c r="C19" s="521" t="s">
        <v>100</v>
      </c>
      <c r="D19" s="574">
        <f>130000000*105.81%</f>
        <v>137553000</v>
      </c>
      <c r="E19" s="576">
        <f>350/250</f>
        <v>1.4</v>
      </c>
      <c r="F19" s="522">
        <f t="shared" ref="F19:F29" si="133">E19</f>
        <v>1.4</v>
      </c>
      <c r="G19" s="522">
        <f t="shared" ref="G19:G26" si="134">F19*$D19</f>
        <v>192574200</v>
      </c>
      <c r="H19" s="526">
        <f>'[15]TTL TB'!Y104</f>
        <v>0</v>
      </c>
      <c r="I19" s="522">
        <f t="shared" si="32"/>
        <v>0</v>
      </c>
      <c r="J19" s="526">
        <f>'[15]TTL TB'!AA104</f>
        <v>0</v>
      </c>
      <c r="K19" s="522">
        <f t="shared" si="33"/>
        <v>0</v>
      </c>
      <c r="L19" s="526"/>
      <c r="M19" s="522">
        <f t="shared" si="34"/>
        <v>0</v>
      </c>
      <c r="N19" s="526"/>
      <c r="O19" s="522">
        <f t="shared" si="35"/>
        <v>0</v>
      </c>
      <c r="P19" s="526"/>
      <c r="Q19" s="522">
        <f t="shared" si="36"/>
        <v>0</v>
      </c>
      <c r="R19" s="526"/>
      <c r="S19" s="522">
        <f t="shared" si="37"/>
        <v>0</v>
      </c>
      <c r="T19" s="526"/>
      <c r="U19" s="522">
        <f t="shared" si="38"/>
        <v>0</v>
      </c>
      <c r="V19" s="526"/>
      <c r="W19" s="522">
        <f t="shared" si="39"/>
        <v>0</v>
      </c>
      <c r="X19" s="526"/>
      <c r="Y19" s="522">
        <f t="shared" si="40"/>
        <v>0</v>
      </c>
      <c r="Z19" s="526"/>
      <c r="AA19" s="522">
        <f t="shared" si="41"/>
        <v>0</v>
      </c>
      <c r="AB19" s="526"/>
      <c r="AC19" s="522">
        <f t="shared" si="42"/>
        <v>0</v>
      </c>
      <c r="AD19" s="522">
        <f t="shared" si="7"/>
        <v>1.4</v>
      </c>
      <c r="AE19" s="522">
        <f t="shared" si="7"/>
        <v>192574200</v>
      </c>
      <c r="AG19" s="526"/>
      <c r="AH19" s="522">
        <f t="shared" si="43"/>
        <v>0</v>
      </c>
      <c r="AI19" s="526"/>
      <c r="AJ19" s="522">
        <f t="shared" si="44"/>
        <v>0</v>
      </c>
      <c r="AK19" s="526"/>
      <c r="AL19" s="522">
        <f t="shared" si="45"/>
        <v>0</v>
      </c>
      <c r="AM19" s="526"/>
      <c r="AN19" s="522">
        <f t="shared" si="46"/>
        <v>0</v>
      </c>
      <c r="AO19" s="526"/>
      <c r="AP19" s="522">
        <f t="shared" si="47"/>
        <v>0</v>
      </c>
      <c r="AQ19" s="526"/>
      <c r="AR19" s="522">
        <f t="shared" si="48"/>
        <v>0</v>
      </c>
      <c r="AS19" s="526"/>
      <c r="AT19" s="522">
        <f t="shared" si="49"/>
        <v>0</v>
      </c>
      <c r="AU19" s="526"/>
      <c r="AV19" s="522">
        <f t="shared" si="50"/>
        <v>0</v>
      </c>
      <c r="AW19" s="526"/>
      <c r="AX19" s="522">
        <f t="shared" si="51"/>
        <v>0</v>
      </c>
      <c r="AY19" s="526"/>
      <c r="AZ19" s="522">
        <f t="shared" si="52"/>
        <v>0</v>
      </c>
      <c r="BA19" s="526"/>
      <c r="BB19" s="522">
        <f t="shared" si="53"/>
        <v>0</v>
      </c>
      <c r="BC19" s="526"/>
      <c r="BD19" s="522">
        <f t="shared" si="54"/>
        <v>0</v>
      </c>
      <c r="BE19" s="522">
        <f t="shared" si="8"/>
        <v>0</v>
      </c>
      <c r="BF19" s="522">
        <f t="shared" si="9"/>
        <v>0</v>
      </c>
      <c r="BH19" s="526"/>
      <c r="BI19" s="522">
        <f t="shared" si="55"/>
        <v>0</v>
      </c>
      <c r="BJ19" s="526"/>
      <c r="BK19" s="522">
        <f t="shared" si="56"/>
        <v>0</v>
      </c>
      <c r="BL19" s="526"/>
      <c r="BM19" s="522">
        <f t="shared" si="57"/>
        <v>0</v>
      </c>
      <c r="BN19" s="526"/>
      <c r="BO19" s="522">
        <f t="shared" si="58"/>
        <v>0</v>
      </c>
      <c r="BP19" s="526"/>
      <c r="BQ19" s="522">
        <f t="shared" si="59"/>
        <v>0</v>
      </c>
      <c r="BR19" s="526"/>
      <c r="BS19" s="522">
        <f t="shared" si="60"/>
        <v>0</v>
      </c>
      <c r="BT19" s="526"/>
      <c r="BU19" s="522">
        <f t="shared" si="61"/>
        <v>0</v>
      </c>
      <c r="BV19" s="526"/>
      <c r="BW19" s="522">
        <f t="shared" si="62"/>
        <v>0</v>
      </c>
      <c r="BX19" s="526"/>
      <c r="BY19" s="522">
        <f t="shared" si="63"/>
        <v>0</v>
      </c>
      <c r="BZ19" s="526"/>
      <c r="CA19" s="522">
        <f t="shared" si="64"/>
        <v>0</v>
      </c>
      <c r="CB19" s="526"/>
      <c r="CC19" s="522">
        <f t="shared" si="65"/>
        <v>0</v>
      </c>
      <c r="CD19" s="526"/>
      <c r="CE19" s="522">
        <f t="shared" si="66"/>
        <v>0</v>
      </c>
      <c r="CF19" s="522">
        <f t="shared" si="10"/>
        <v>0</v>
      </c>
      <c r="CG19" s="522">
        <f t="shared" si="11"/>
        <v>0</v>
      </c>
      <c r="CH19" s="523"/>
      <c r="CI19" s="526"/>
      <c r="CJ19" s="522">
        <f t="shared" si="67"/>
        <v>0</v>
      </c>
      <c r="CK19" s="526"/>
      <c r="CL19" s="522">
        <f t="shared" si="68"/>
        <v>0</v>
      </c>
      <c r="CM19" s="526"/>
      <c r="CN19" s="522">
        <f t="shared" si="69"/>
        <v>0</v>
      </c>
      <c r="CO19" s="526"/>
      <c r="CP19" s="522">
        <f t="shared" si="70"/>
        <v>0</v>
      </c>
      <c r="CQ19" s="526"/>
      <c r="CR19" s="522">
        <f t="shared" si="71"/>
        <v>0</v>
      </c>
      <c r="CS19" s="526"/>
      <c r="CT19" s="522">
        <f t="shared" si="72"/>
        <v>0</v>
      </c>
      <c r="CU19" s="526"/>
      <c r="CV19" s="522">
        <f t="shared" si="73"/>
        <v>0</v>
      </c>
      <c r="CW19" s="526"/>
      <c r="CX19" s="522">
        <f t="shared" si="74"/>
        <v>0</v>
      </c>
      <c r="CY19" s="526"/>
      <c r="CZ19" s="522">
        <f t="shared" si="75"/>
        <v>0</v>
      </c>
      <c r="DA19" s="526"/>
      <c r="DB19" s="522">
        <f t="shared" si="76"/>
        <v>0</v>
      </c>
      <c r="DC19" s="526"/>
      <c r="DD19" s="522">
        <f t="shared" si="77"/>
        <v>0</v>
      </c>
      <c r="DE19" s="526"/>
      <c r="DF19" s="522">
        <f t="shared" si="78"/>
        <v>0</v>
      </c>
      <c r="DG19" s="522">
        <f t="shared" si="12"/>
        <v>0</v>
      </c>
      <c r="DH19" s="522">
        <f t="shared" si="13"/>
        <v>0</v>
      </c>
      <c r="DI19" s="529"/>
      <c r="DJ19" s="526"/>
      <c r="DK19" s="522">
        <f t="shared" si="79"/>
        <v>0</v>
      </c>
      <c r="DL19" s="526"/>
      <c r="DM19" s="522">
        <f t="shared" si="80"/>
        <v>0</v>
      </c>
      <c r="DN19" s="526"/>
      <c r="DO19" s="522">
        <f t="shared" si="81"/>
        <v>0</v>
      </c>
      <c r="DP19" s="526"/>
      <c r="DQ19" s="522">
        <f t="shared" si="82"/>
        <v>0</v>
      </c>
      <c r="DR19" s="526"/>
      <c r="DS19" s="522">
        <f t="shared" si="83"/>
        <v>0</v>
      </c>
      <c r="DT19" s="526"/>
      <c r="DU19" s="522">
        <f t="shared" si="84"/>
        <v>0</v>
      </c>
      <c r="DV19" s="526"/>
      <c r="DW19" s="522">
        <f t="shared" si="85"/>
        <v>0</v>
      </c>
      <c r="DX19" s="526"/>
      <c r="DY19" s="522">
        <f t="shared" si="86"/>
        <v>0</v>
      </c>
      <c r="DZ19" s="526"/>
      <c r="EA19" s="522">
        <f t="shared" si="87"/>
        <v>0</v>
      </c>
      <c r="EB19" s="526"/>
      <c r="EC19" s="522">
        <f t="shared" si="88"/>
        <v>0</v>
      </c>
      <c r="ED19" s="526"/>
      <c r="EE19" s="522">
        <f t="shared" si="89"/>
        <v>0</v>
      </c>
      <c r="EF19" s="526"/>
      <c r="EG19" s="522">
        <f t="shared" si="90"/>
        <v>0</v>
      </c>
      <c r="EH19" s="522">
        <f t="shared" si="14"/>
        <v>0</v>
      </c>
      <c r="EI19" s="522">
        <f t="shared" si="15"/>
        <v>0</v>
      </c>
      <c r="EJ19" s="529"/>
      <c r="EK19" s="526"/>
      <c r="EL19" s="522">
        <f t="shared" si="16"/>
        <v>0</v>
      </c>
      <c r="EM19" s="526"/>
      <c r="EN19" s="522">
        <f t="shared" si="91"/>
        <v>0</v>
      </c>
      <c r="EO19" s="526"/>
      <c r="EP19" s="522">
        <f t="shared" si="92"/>
        <v>0</v>
      </c>
      <c r="EQ19" s="526"/>
      <c r="ER19" s="522">
        <f t="shared" si="93"/>
        <v>0</v>
      </c>
      <c r="ES19" s="526"/>
      <c r="ET19" s="522">
        <f t="shared" si="94"/>
        <v>0</v>
      </c>
      <c r="EU19" s="526"/>
      <c r="EV19" s="522">
        <f t="shared" si="95"/>
        <v>0</v>
      </c>
      <c r="EW19" s="526"/>
      <c r="EX19" s="522">
        <f t="shared" si="96"/>
        <v>0</v>
      </c>
      <c r="EY19" s="526"/>
      <c r="EZ19" s="522">
        <f t="shared" si="97"/>
        <v>0</v>
      </c>
      <c r="FA19" s="526"/>
      <c r="FB19" s="522">
        <f t="shared" si="98"/>
        <v>0</v>
      </c>
      <c r="FC19" s="526"/>
      <c r="FD19" s="522">
        <f t="shared" si="99"/>
        <v>0</v>
      </c>
      <c r="FE19" s="526"/>
      <c r="FF19" s="522">
        <f t="shared" si="100"/>
        <v>0</v>
      </c>
      <c r="FG19" s="526"/>
      <c r="FH19" s="522">
        <f t="shared" si="101"/>
        <v>0</v>
      </c>
      <c r="FI19" s="522">
        <f t="shared" si="17"/>
        <v>0</v>
      </c>
      <c r="FJ19" s="522">
        <f t="shared" si="18"/>
        <v>0</v>
      </c>
      <c r="FK19" s="525"/>
      <c r="FL19" s="522"/>
      <c r="FM19" s="522">
        <f t="shared" si="19"/>
        <v>0</v>
      </c>
      <c r="FN19" s="526"/>
      <c r="FO19" s="522">
        <f t="shared" si="102"/>
        <v>0</v>
      </c>
      <c r="FP19" s="526"/>
      <c r="FQ19" s="522">
        <f t="shared" si="103"/>
        <v>0</v>
      </c>
      <c r="FR19" s="526"/>
      <c r="FS19" s="522">
        <f t="shared" si="104"/>
        <v>0</v>
      </c>
      <c r="FT19" s="526"/>
      <c r="FU19" s="522">
        <f t="shared" si="105"/>
        <v>0</v>
      </c>
      <c r="FV19" s="526"/>
      <c r="FW19" s="522">
        <f t="shared" si="106"/>
        <v>0</v>
      </c>
      <c r="FX19" s="526"/>
      <c r="FY19" s="522">
        <f t="shared" si="107"/>
        <v>0</v>
      </c>
      <c r="FZ19" s="526"/>
      <c r="GA19" s="522">
        <f t="shared" si="108"/>
        <v>0</v>
      </c>
      <c r="GB19" s="526"/>
      <c r="GC19" s="522">
        <f t="shared" si="109"/>
        <v>0</v>
      </c>
      <c r="GD19" s="526"/>
      <c r="GE19" s="522">
        <f t="shared" si="110"/>
        <v>0</v>
      </c>
      <c r="GF19" s="526"/>
      <c r="GG19" s="522">
        <f t="shared" si="111"/>
        <v>0</v>
      </c>
      <c r="GH19" s="526"/>
      <c r="GI19" s="522">
        <f t="shared" si="112"/>
        <v>0</v>
      </c>
      <c r="GJ19" s="522">
        <f t="shared" si="20"/>
        <v>0</v>
      </c>
      <c r="GK19" s="522">
        <f t="shared" si="20"/>
        <v>0</v>
      </c>
      <c r="GL19" s="523">
        <f>IFERROR(((+F19+H19+J19+L19)/($E19/'RKP 08'!$D$5)),0)</f>
        <v>349.99999999999994</v>
      </c>
      <c r="GM19" s="523">
        <f t="shared" ref="GM19:GM29" si="135">G19+I19+K19+M19</f>
        <v>192574200</v>
      </c>
      <c r="GN19" s="523">
        <f>IFERROR(((+N19+P19+R19+T19)/($E19/'RKP 08'!$D$5)),0)</f>
        <v>0</v>
      </c>
      <c r="GO19" s="523">
        <f t="shared" si="113"/>
        <v>0</v>
      </c>
      <c r="GP19" s="523">
        <f>IFERROR(((V19+X19+Z19+AB19)/($E19/'RKP 08'!$D$5)),0)</f>
        <v>0</v>
      </c>
      <c r="GQ19" s="523">
        <f t="shared" si="114"/>
        <v>0</v>
      </c>
      <c r="GR19" s="523">
        <f t="shared" si="115"/>
        <v>349.99999999999994</v>
      </c>
      <c r="GS19" s="523">
        <f t="shared" si="116"/>
        <v>192574200</v>
      </c>
      <c r="GT19" s="523">
        <f>IFERROR(((AG19+AI19+AK19+AM19)/($E19/'RKP 08'!$D$5)),0)</f>
        <v>0</v>
      </c>
      <c r="GU19" s="523">
        <f t="shared" si="21"/>
        <v>0</v>
      </c>
      <c r="GV19" s="523">
        <f>IFERROR(((AO19+AQ19+AS19+AU19)/($E19/'RKP 08'!$D$5)),0)</f>
        <v>0</v>
      </c>
      <c r="GW19" s="523">
        <f t="shared" si="22"/>
        <v>0</v>
      </c>
      <c r="GX19" s="523">
        <f>IFERROR(((AW19+AY19+BA19+BC19)/($E19/'RKP 08'!$D$5)),0)</f>
        <v>0</v>
      </c>
      <c r="GY19" s="523">
        <f t="shared" si="23"/>
        <v>0</v>
      </c>
      <c r="GZ19" s="523">
        <f t="shared" si="117"/>
        <v>0</v>
      </c>
      <c r="HA19" s="523">
        <f t="shared" si="118"/>
        <v>0</v>
      </c>
      <c r="HB19" s="523">
        <f>IFERROR(((BH19+BJ19+BL19+BN19)/($E19/'RKP 08'!$D$5)),0)</f>
        <v>0</v>
      </c>
      <c r="HC19" s="523">
        <f t="shared" si="24"/>
        <v>0</v>
      </c>
      <c r="HD19" s="523">
        <f>IFERROR(((BP19+BR19+BT19+BV19)/($E19/'RKP 08'!$D$5)),0)</f>
        <v>0</v>
      </c>
      <c r="HE19" s="523">
        <f t="shared" si="25"/>
        <v>0</v>
      </c>
      <c r="HF19" s="523">
        <f>IFERROR(((BX19+BZ19+CB19+CD19)/($E19/'RKP 08'!$D$5)),0)</f>
        <v>0</v>
      </c>
      <c r="HG19" s="523">
        <f t="shared" si="26"/>
        <v>0</v>
      </c>
      <c r="HH19" s="523">
        <f t="shared" si="119"/>
        <v>0</v>
      </c>
      <c r="HI19" s="523">
        <f t="shared" si="120"/>
        <v>0</v>
      </c>
      <c r="HJ19" s="523">
        <f>IFERROR(((CI19+CK19+CM19+CO19)/($E19/'RKP 08'!$D$5)),0)</f>
        <v>0</v>
      </c>
      <c r="HK19" s="523">
        <f t="shared" si="121"/>
        <v>0</v>
      </c>
      <c r="HL19" s="523">
        <f>IFERROR(((CQ19+CS19+CU19+CW19)/($E19/'RKP 08'!$D$5)),0)</f>
        <v>0</v>
      </c>
      <c r="HM19" s="523">
        <f t="shared" si="122"/>
        <v>0</v>
      </c>
      <c r="HN19" s="523">
        <f>IFERROR(((CY19+DA19+DC19+DE19)/($E19/'RKP 08'!$D$5)),0)</f>
        <v>0</v>
      </c>
      <c r="HO19" s="523">
        <f t="shared" si="123"/>
        <v>0</v>
      </c>
      <c r="HP19" s="523">
        <f t="shared" si="124"/>
        <v>0</v>
      </c>
      <c r="HQ19" s="523">
        <f t="shared" si="125"/>
        <v>0</v>
      </c>
      <c r="HR19" s="511">
        <f>IFERROR(((DJ19+DL19+DN19+DP19)/($E19/'RKP 08'!$D$5)),0)</f>
        <v>0</v>
      </c>
      <c r="HS19" s="511">
        <f t="shared" si="27"/>
        <v>0</v>
      </c>
      <c r="HT19" s="511">
        <f>IFERROR(((DR19+DT19+DV19+DX19)/($E19/'RKP 08'!$D$5)),0)</f>
        <v>0</v>
      </c>
      <c r="HU19" s="511">
        <f t="shared" si="28"/>
        <v>0</v>
      </c>
      <c r="HV19" s="511">
        <f>IFERROR(((DZ19+EB19+ED19+EF19)/($E19/'RKP 08'!$D$5)),0)</f>
        <v>0</v>
      </c>
      <c r="HW19" s="511">
        <f t="shared" si="29"/>
        <v>0</v>
      </c>
      <c r="HX19" s="523">
        <f t="shared" si="126"/>
        <v>0</v>
      </c>
      <c r="HY19" s="523">
        <f t="shared" si="127"/>
        <v>0</v>
      </c>
      <c r="HZ19" s="523">
        <f t="shared" si="128"/>
        <v>0</v>
      </c>
      <c r="IA19" s="523">
        <f t="shared" si="128"/>
        <v>0</v>
      </c>
      <c r="IB19" s="511">
        <f>IFERROR(((ES19+EU19+EW19+EY19)/($E19/'RKP 08'!$D$5)),0)</f>
        <v>0</v>
      </c>
      <c r="IC19" s="511">
        <f t="shared" si="30"/>
        <v>0</v>
      </c>
      <c r="ID19" s="511">
        <f>IFERROR(((FA19+FC19+FE19+FG19)/($E19/'RKP 08'!$D$5)),0)</f>
        <v>0</v>
      </c>
      <c r="IE19" s="511">
        <f t="shared" si="31"/>
        <v>0</v>
      </c>
      <c r="IF19" s="523">
        <f t="shared" si="129"/>
        <v>0</v>
      </c>
      <c r="IG19" s="523">
        <f>IA19+IC19+IE19</f>
        <v>0</v>
      </c>
      <c r="II19" s="523">
        <f t="shared" si="131"/>
        <v>192574200</v>
      </c>
      <c r="IJ19" s="523">
        <f t="shared" si="132"/>
        <v>0</v>
      </c>
      <c r="IK19" s="577"/>
      <c r="IP19" s="519">
        <f>1133.3/250</f>
        <v>4.5331999999999999</v>
      </c>
    </row>
    <row r="20" spans="1:250" s="519" customFormat="1" ht="24" customHeight="1" x14ac:dyDescent="0.2">
      <c r="B20" s="520" t="s">
        <v>570</v>
      </c>
      <c r="C20" s="521" t="s">
        <v>376</v>
      </c>
      <c r="D20" s="574">
        <f>75495*105.81%</f>
        <v>79881.2595</v>
      </c>
      <c r="E20" s="522">
        <v>0</v>
      </c>
      <c r="F20" s="522">
        <f t="shared" si="133"/>
        <v>0</v>
      </c>
      <c r="G20" s="522">
        <f>F20*$D20</f>
        <v>0</v>
      </c>
      <c r="H20" s="526"/>
      <c r="I20" s="522">
        <f>H20*$D20</f>
        <v>0</v>
      </c>
      <c r="J20" s="526"/>
      <c r="K20" s="522">
        <f>J20*$D20</f>
        <v>0</v>
      </c>
      <c r="L20" s="526"/>
      <c r="M20" s="522">
        <f>L20*$D20</f>
        <v>0</v>
      </c>
      <c r="N20" s="526"/>
      <c r="O20" s="522">
        <f>N20*$D20</f>
        <v>0</v>
      </c>
      <c r="P20" s="526"/>
      <c r="Q20" s="522">
        <f>P20*$D20</f>
        <v>0</v>
      </c>
      <c r="R20" s="526"/>
      <c r="S20" s="522">
        <f>R20*$D20</f>
        <v>0</v>
      </c>
      <c r="T20" s="526"/>
      <c r="U20" s="522">
        <f>T20*$D20</f>
        <v>0</v>
      </c>
      <c r="V20" s="526"/>
      <c r="W20" s="522">
        <f>V20*$D20</f>
        <v>0</v>
      </c>
      <c r="X20" s="526"/>
      <c r="Y20" s="522">
        <f>X20*$D20</f>
        <v>0</v>
      </c>
      <c r="Z20" s="526"/>
      <c r="AA20" s="522">
        <f>Z20*$D20</f>
        <v>0</v>
      </c>
      <c r="AB20" s="526"/>
      <c r="AC20" s="522">
        <f>AB20*$D20</f>
        <v>0</v>
      </c>
      <c r="AD20" s="522">
        <f t="shared" ref="AD20:AE22" si="136">F20+H20+J20+L20+N20+P20+R20+T20+V20+X20+Z20+AB20</f>
        <v>0</v>
      </c>
      <c r="AE20" s="522">
        <f t="shared" si="136"/>
        <v>0</v>
      </c>
      <c r="AG20" s="526"/>
      <c r="AH20" s="522">
        <f>AG20*$D20</f>
        <v>0</v>
      </c>
      <c r="AI20" s="526"/>
      <c r="AJ20" s="522">
        <f>AI20*$D20</f>
        <v>0</v>
      </c>
      <c r="AK20" s="526"/>
      <c r="AL20" s="522">
        <f>AK20*$D20</f>
        <v>0</v>
      </c>
      <c r="AM20" s="526"/>
      <c r="AN20" s="522">
        <f>AM20*$D20</f>
        <v>0</v>
      </c>
      <c r="AO20" s="526"/>
      <c r="AP20" s="522">
        <f>AO20*$D20</f>
        <v>0</v>
      </c>
      <c r="AQ20" s="526"/>
      <c r="AR20" s="522">
        <f>AQ20*$D20</f>
        <v>0</v>
      </c>
      <c r="AS20" s="526"/>
      <c r="AT20" s="522">
        <f>AS20*$D20</f>
        <v>0</v>
      </c>
      <c r="AU20" s="526"/>
      <c r="AV20" s="522">
        <f>AU20*$D20</f>
        <v>0</v>
      </c>
      <c r="AW20" s="526"/>
      <c r="AX20" s="522">
        <f>AW20*$D20</f>
        <v>0</v>
      </c>
      <c r="AY20" s="526"/>
      <c r="AZ20" s="522">
        <f>AY20*$D20</f>
        <v>0</v>
      </c>
      <c r="BA20" s="526"/>
      <c r="BB20" s="522">
        <f>BA20*$D20</f>
        <v>0</v>
      </c>
      <c r="BC20" s="526"/>
      <c r="BD20" s="522">
        <f>BC20*$D20</f>
        <v>0</v>
      </c>
      <c r="BE20" s="522">
        <f t="shared" ref="BE20:BF22" si="137">AG20+AI20+AK20+AM20+AO20+AQ20+AS20+AU20+AW20+AY20+BA20+BC20</f>
        <v>0</v>
      </c>
      <c r="BF20" s="522">
        <f t="shared" si="137"/>
        <v>0</v>
      </c>
      <c r="BH20" s="526"/>
      <c r="BI20" s="522">
        <f>BH20*$D20</f>
        <v>0</v>
      </c>
      <c r="BJ20" s="526"/>
      <c r="BK20" s="522">
        <f>BJ20*$D20</f>
        <v>0</v>
      </c>
      <c r="BL20" s="526"/>
      <c r="BM20" s="522">
        <f>BL20*$D20</f>
        <v>0</v>
      </c>
      <c r="BN20" s="526"/>
      <c r="BO20" s="522">
        <f>BN20*$D20</f>
        <v>0</v>
      </c>
      <c r="BP20" s="526"/>
      <c r="BQ20" s="522">
        <f>BP20*$D20</f>
        <v>0</v>
      </c>
      <c r="BR20" s="526"/>
      <c r="BS20" s="522">
        <f>BR20*$D20</f>
        <v>0</v>
      </c>
      <c r="BT20" s="526"/>
      <c r="BU20" s="522">
        <f>BT20*$D20</f>
        <v>0</v>
      </c>
      <c r="BV20" s="526"/>
      <c r="BW20" s="522">
        <f>BV20*$D20</f>
        <v>0</v>
      </c>
      <c r="BX20" s="526"/>
      <c r="BY20" s="522">
        <f>BX20*$D20</f>
        <v>0</v>
      </c>
      <c r="BZ20" s="526"/>
      <c r="CA20" s="522">
        <f>BZ20*$D20</f>
        <v>0</v>
      </c>
      <c r="CB20" s="526"/>
      <c r="CC20" s="522">
        <f>CB20*$D20</f>
        <v>0</v>
      </c>
      <c r="CD20" s="526"/>
      <c r="CE20" s="522">
        <f>CD20*$D20</f>
        <v>0</v>
      </c>
      <c r="CF20" s="522">
        <f t="shared" ref="CF20:CG22" si="138">BH20+BJ20+BL20+BN20+BP20+BR20+BT20+BV20+BX20+BZ20+CB20+CD20</f>
        <v>0</v>
      </c>
      <c r="CG20" s="522">
        <f t="shared" si="138"/>
        <v>0</v>
      </c>
      <c r="CH20" s="523"/>
      <c r="CI20" s="526"/>
      <c r="CJ20" s="522">
        <f>CI20*$D20</f>
        <v>0</v>
      </c>
      <c r="CK20" s="526"/>
      <c r="CL20" s="522">
        <f>CK20*$D20</f>
        <v>0</v>
      </c>
      <c r="CM20" s="526"/>
      <c r="CN20" s="522">
        <f>CM20*$D20</f>
        <v>0</v>
      </c>
      <c r="CO20" s="526"/>
      <c r="CP20" s="522">
        <f>CO20*$D20</f>
        <v>0</v>
      </c>
      <c r="CQ20" s="526"/>
      <c r="CR20" s="522">
        <f>CQ20*$D20</f>
        <v>0</v>
      </c>
      <c r="CS20" s="526"/>
      <c r="CT20" s="522">
        <f>CS20*$D20</f>
        <v>0</v>
      </c>
      <c r="CU20" s="526"/>
      <c r="CV20" s="522">
        <f>CU20*$D20</f>
        <v>0</v>
      </c>
      <c r="CW20" s="526"/>
      <c r="CX20" s="522">
        <f>CW20*$D20</f>
        <v>0</v>
      </c>
      <c r="CY20" s="526"/>
      <c r="CZ20" s="522">
        <f>CY20*$D20</f>
        <v>0</v>
      </c>
      <c r="DA20" s="526"/>
      <c r="DB20" s="522">
        <f>DA20*$D20</f>
        <v>0</v>
      </c>
      <c r="DC20" s="526"/>
      <c r="DD20" s="522">
        <f>DC20*$D20</f>
        <v>0</v>
      </c>
      <c r="DE20" s="526"/>
      <c r="DF20" s="522">
        <f>DE20*$D20</f>
        <v>0</v>
      </c>
      <c r="DG20" s="522">
        <f t="shared" ref="DG20:DH22" si="139">CI20+CK20+CM20+CO20+CQ20+CS20+CU20+CW20+CY20+DA20+DC20+DE20</f>
        <v>0</v>
      </c>
      <c r="DH20" s="522">
        <f t="shared" si="139"/>
        <v>0</v>
      </c>
      <c r="DI20" s="529"/>
      <c r="DJ20" s="526"/>
      <c r="DK20" s="522">
        <f>DJ20*$D20</f>
        <v>0</v>
      </c>
      <c r="DL20" s="526"/>
      <c r="DM20" s="522">
        <f>DL20*$D20</f>
        <v>0</v>
      </c>
      <c r="DN20" s="526"/>
      <c r="DO20" s="522">
        <f>DN20*$D20</f>
        <v>0</v>
      </c>
      <c r="DP20" s="526"/>
      <c r="DQ20" s="522">
        <f>DP20*$D20</f>
        <v>0</v>
      </c>
      <c r="DR20" s="526"/>
      <c r="DS20" s="522">
        <f>DR20*$D20</f>
        <v>0</v>
      </c>
      <c r="DT20" s="526"/>
      <c r="DU20" s="522">
        <f>DT20*$D20</f>
        <v>0</v>
      </c>
      <c r="DV20" s="526"/>
      <c r="DW20" s="522">
        <f>DV20*$D20</f>
        <v>0</v>
      </c>
      <c r="DX20" s="526"/>
      <c r="DY20" s="522">
        <f>DX20*$D20</f>
        <v>0</v>
      </c>
      <c r="DZ20" s="526"/>
      <c r="EA20" s="522">
        <f>DZ20*$D20</f>
        <v>0</v>
      </c>
      <c r="EB20" s="526"/>
      <c r="EC20" s="522">
        <f>EB20*$D20</f>
        <v>0</v>
      </c>
      <c r="ED20" s="526"/>
      <c r="EE20" s="522">
        <f>ED20*$D20</f>
        <v>0</v>
      </c>
      <c r="EF20" s="526"/>
      <c r="EG20" s="522">
        <f>EF20*$D20</f>
        <v>0</v>
      </c>
      <c r="EH20" s="522">
        <f t="shared" ref="EH20:EI22" si="140">DJ20+DL20+DN20+DP20+DR20+DT20+DV20+DX20+DZ20+EB20+ED20+EF20</f>
        <v>0</v>
      </c>
      <c r="EI20" s="522">
        <f t="shared" si="140"/>
        <v>0</v>
      </c>
      <c r="EJ20" s="529"/>
      <c r="EK20" s="526"/>
      <c r="EL20" s="522">
        <f>EK20*$D20</f>
        <v>0</v>
      </c>
      <c r="EM20" s="526"/>
      <c r="EN20" s="522">
        <f>EM20*$D20</f>
        <v>0</v>
      </c>
      <c r="EO20" s="526"/>
      <c r="EP20" s="522">
        <f>EO20*$D20</f>
        <v>0</v>
      </c>
      <c r="EQ20" s="526"/>
      <c r="ER20" s="522">
        <f>EQ20*$D20</f>
        <v>0</v>
      </c>
      <c r="ES20" s="526"/>
      <c r="ET20" s="522">
        <f>ES20*$D20</f>
        <v>0</v>
      </c>
      <c r="EU20" s="526"/>
      <c r="EV20" s="522">
        <f>EU20*$D20</f>
        <v>0</v>
      </c>
      <c r="EW20" s="526"/>
      <c r="EX20" s="522">
        <f>EW20*$D20</f>
        <v>0</v>
      </c>
      <c r="EY20" s="526"/>
      <c r="EZ20" s="522">
        <f>EY20*$D20</f>
        <v>0</v>
      </c>
      <c r="FA20" s="526"/>
      <c r="FB20" s="522">
        <f>FA20*$D20</f>
        <v>0</v>
      </c>
      <c r="FC20" s="526"/>
      <c r="FD20" s="522">
        <f>FC20*$D20</f>
        <v>0</v>
      </c>
      <c r="FE20" s="526"/>
      <c r="FF20" s="522">
        <f>FE20*$D20</f>
        <v>0</v>
      </c>
      <c r="FG20" s="526"/>
      <c r="FH20" s="522">
        <f>FG20*$D20</f>
        <v>0</v>
      </c>
      <c r="FI20" s="522">
        <f t="shared" ref="FI20:FJ22" si="141">EK20+EM20+EO20+EQ20+ES20+EU20+EW20+EY20+FA20+FC20+FE20+FG20</f>
        <v>0</v>
      </c>
      <c r="FJ20" s="522">
        <f t="shared" si="141"/>
        <v>0</v>
      </c>
      <c r="FK20" s="525"/>
      <c r="FL20" s="522"/>
      <c r="FM20" s="522">
        <f>FL20*$D20</f>
        <v>0</v>
      </c>
      <c r="FN20" s="526"/>
      <c r="FO20" s="522">
        <f>FN20*$D20</f>
        <v>0</v>
      </c>
      <c r="FP20" s="526"/>
      <c r="FQ20" s="522">
        <f>FP20*$D20</f>
        <v>0</v>
      </c>
      <c r="FR20" s="526"/>
      <c r="FS20" s="522">
        <f>FR20*$D20</f>
        <v>0</v>
      </c>
      <c r="FT20" s="526"/>
      <c r="FU20" s="522">
        <f>FT20*$D20</f>
        <v>0</v>
      </c>
      <c r="FV20" s="526"/>
      <c r="FW20" s="522">
        <f>FV20*$D20</f>
        <v>0</v>
      </c>
      <c r="FX20" s="526"/>
      <c r="FY20" s="522">
        <f>FX20*$D20</f>
        <v>0</v>
      </c>
      <c r="FZ20" s="526"/>
      <c r="GA20" s="522">
        <f>FZ20*$D20</f>
        <v>0</v>
      </c>
      <c r="GB20" s="526"/>
      <c r="GC20" s="522">
        <f>GB20*$D20</f>
        <v>0</v>
      </c>
      <c r="GD20" s="526"/>
      <c r="GE20" s="522">
        <f>GD20*$D20</f>
        <v>0</v>
      </c>
      <c r="GF20" s="526"/>
      <c r="GG20" s="522">
        <f>GF20*$D20</f>
        <v>0</v>
      </c>
      <c r="GH20" s="526"/>
      <c r="GI20" s="522">
        <f>GH20*$D20</f>
        <v>0</v>
      </c>
      <c r="GJ20" s="522">
        <f t="shared" ref="GJ20:GK22" si="142">FL20+FN20+FP20+FR20+FT20+FV20+FX20+FZ20+GB20+GD20+GF20+GH20</f>
        <v>0</v>
      </c>
      <c r="GK20" s="522">
        <f t="shared" si="142"/>
        <v>0</v>
      </c>
      <c r="GL20" s="523">
        <f>IFERROR(((+F20+H20+J20+L20)/($E20/'RKP 08'!$D$5)),0)</f>
        <v>0</v>
      </c>
      <c r="GM20" s="523">
        <f t="shared" si="135"/>
        <v>0</v>
      </c>
      <c r="GN20" s="523">
        <f>IFERROR(((+N20+P20+R20+T20)/($E20/'RKP 08'!$D$5)),0)</f>
        <v>0</v>
      </c>
      <c r="GO20" s="523">
        <f t="shared" si="113"/>
        <v>0</v>
      </c>
      <c r="GP20" s="523">
        <f>IFERROR(((V20+X20+Z20+AB20)/($E20/'RKP 08'!$D$5)),0)</f>
        <v>0</v>
      </c>
      <c r="GQ20" s="523">
        <f t="shared" si="114"/>
        <v>0</v>
      </c>
      <c r="GR20" s="523">
        <f t="shared" si="115"/>
        <v>0</v>
      </c>
      <c r="GS20" s="523">
        <f t="shared" si="116"/>
        <v>0</v>
      </c>
      <c r="GT20" s="523">
        <f>IFERROR(((AG20+AI20+AK20+AM20)/($E20/'RKP 08'!$D$5)),0)</f>
        <v>0</v>
      </c>
      <c r="GU20" s="523">
        <f t="shared" si="21"/>
        <v>0</v>
      </c>
      <c r="GV20" s="523">
        <f>IFERROR(((AO20+AQ20+AS20+AU20)/($E20/'RKP 08'!$D$5)),0)</f>
        <v>0</v>
      </c>
      <c r="GW20" s="523">
        <f t="shared" si="22"/>
        <v>0</v>
      </c>
      <c r="GX20" s="523">
        <f>IFERROR(((AW20+AY20+BA20+BC20)/($E20/'RKP 08'!$D$5)),0)</f>
        <v>0</v>
      </c>
      <c r="GY20" s="523">
        <f t="shared" si="23"/>
        <v>0</v>
      </c>
      <c r="GZ20" s="523">
        <f t="shared" si="117"/>
        <v>0</v>
      </c>
      <c r="HA20" s="523">
        <f t="shared" si="118"/>
        <v>0</v>
      </c>
      <c r="HB20" s="523">
        <f>IFERROR(((BH20+BJ20+BL20+BN20)/($E20/'RKP 08'!$D$5)),0)</f>
        <v>0</v>
      </c>
      <c r="HC20" s="523">
        <f t="shared" si="24"/>
        <v>0</v>
      </c>
      <c r="HD20" s="523">
        <f>IFERROR(((BP20+BR20+BT20+BV20)/($E20/'RKP 08'!$D$5)),0)</f>
        <v>0</v>
      </c>
      <c r="HE20" s="523">
        <f t="shared" si="25"/>
        <v>0</v>
      </c>
      <c r="HF20" s="523">
        <f>IFERROR(((BX20+BZ20+CB20+CD20)/($E20/'RKP 08'!$D$5)),0)</f>
        <v>0</v>
      </c>
      <c r="HG20" s="523">
        <f t="shared" si="26"/>
        <v>0</v>
      </c>
      <c r="HH20" s="523">
        <f t="shared" si="119"/>
        <v>0</v>
      </c>
      <c r="HI20" s="523">
        <f t="shared" si="120"/>
        <v>0</v>
      </c>
      <c r="HJ20" s="523">
        <f>IFERROR(((CI20+CK20+CM20+CO20)/($E20/'RKP 08'!$D$5)),0)</f>
        <v>0</v>
      </c>
      <c r="HK20" s="523">
        <f t="shared" si="121"/>
        <v>0</v>
      </c>
      <c r="HL20" s="523">
        <f>IFERROR(((CQ20+CS20+CU20+CW20)/($E20/'RKP 08'!$D$5)),0)</f>
        <v>0</v>
      </c>
      <c r="HM20" s="523">
        <f t="shared" si="122"/>
        <v>0</v>
      </c>
      <c r="HN20" s="523">
        <f>IFERROR(((CY20+DA20+DC20+DE20)/($E20/'RKP 08'!$D$5)),0)</f>
        <v>0</v>
      </c>
      <c r="HO20" s="523">
        <f t="shared" si="123"/>
        <v>0</v>
      </c>
      <c r="HP20" s="523">
        <f t="shared" si="124"/>
        <v>0</v>
      </c>
      <c r="HQ20" s="523">
        <f t="shared" si="125"/>
        <v>0</v>
      </c>
      <c r="HR20" s="511">
        <f>IFERROR(((DJ20+DL20+DN20+DP20)/($E20/'RKP 08'!$D$5)),0)</f>
        <v>0</v>
      </c>
      <c r="HS20" s="511">
        <f t="shared" si="27"/>
        <v>0</v>
      </c>
      <c r="HT20" s="511">
        <f>IFERROR(((DR20+DT20+DV20+DX20)/($E20/'RKP 08'!$D$5)),0)</f>
        <v>0</v>
      </c>
      <c r="HU20" s="511">
        <f t="shared" si="28"/>
        <v>0</v>
      </c>
      <c r="HV20" s="511">
        <f>IFERROR(((DZ20+EB20+ED20+EF20)/($E20/'RKP 08'!$D$5)),0)</f>
        <v>0</v>
      </c>
      <c r="HW20" s="511">
        <f t="shared" si="29"/>
        <v>0</v>
      </c>
      <c r="HX20" s="523">
        <f t="shared" si="126"/>
        <v>0</v>
      </c>
      <c r="HY20" s="523">
        <f t="shared" si="127"/>
        <v>0</v>
      </c>
      <c r="HZ20" s="523">
        <f t="shared" si="128"/>
        <v>0</v>
      </c>
      <c r="IA20" s="523">
        <f t="shared" si="128"/>
        <v>0</v>
      </c>
      <c r="IB20" s="511">
        <f>IFERROR(((ES20+EU20+EW20+EY20)/($E20/'RKP 08'!$D$5)),0)</f>
        <v>0</v>
      </c>
      <c r="IC20" s="511">
        <f t="shared" si="30"/>
        <v>0</v>
      </c>
      <c r="ID20" s="511">
        <f>IFERROR(((FA20+FC20+FE20+FG20)/($E20/'RKP 08'!$D$5)),0)</f>
        <v>0</v>
      </c>
      <c r="IE20" s="511">
        <f t="shared" si="31"/>
        <v>0</v>
      </c>
      <c r="IF20" s="523">
        <f t="shared" si="129"/>
        <v>0</v>
      </c>
      <c r="IG20" s="523">
        <f t="shared" si="130"/>
        <v>0</v>
      </c>
      <c r="II20" s="523">
        <f t="shared" si="131"/>
        <v>0</v>
      </c>
      <c r="IJ20" s="523">
        <f t="shared" si="132"/>
        <v>0</v>
      </c>
    </row>
    <row r="21" spans="1:250" s="519" customFormat="1" ht="24" customHeight="1" x14ac:dyDescent="0.2">
      <c r="B21" s="520" t="s">
        <v>568</v>
      </c>
      <c r="C21" s="521" t="s">
        <v>376</v>
      </c>
      <c r="D21" s="574">
        <f>40740*105.81%</f>
        <v>43106.993999999999</v>
      </c>
      <c r="E21" s="522">
        <f>((1400/200)*350)*2</f>
        <v>4900</v>
      </c>
      <c r="F21" s="522">
        <f t="shared" si="133"/>
        <v>4900</v>
      </c>
      <c r="G21" s="522">
        <f>F21*$D21</f>
        <v>211224270.59999999</v>
      </c>
      <c r="H21" s="526"/>
      <c r="I21" s="522">
        <f>H21*$D21</f>
        <v>0</v>
      </c>
      <c r="J21" s="526"/>
      <c r="K21" s="522">
        <f>J21*$D21</f>
        <v>0</v>
      </c>
      <c r="L21" s="526"/>
      <c r="M21" s="522">
        <f>L21*$D21</f>
        <v>0</v>
      </c>
      <c r="N21" s="526"/>
      <c r="O21" s="522">
        <f>N21*$D21</f>
        <v>0</v>
      </c>
      <c r="P21" s="526"/>
      <c r="Q21" s="522">
        <f>P21*$D21</f>
        <v>0</v>
      </c>
      <c r="R21" s="526"/>
      <c r="S21" s="522">
        <f>R21*$D21</f>
        <v>0</v>
      </c>
      <c r="T21" s="526"/>
      <c r="U21" s="522">
        <f>T21*$D21</f>
        <v>0</v>
      </c>
      <c r="V21" s="526"/>
      <c r="W21" s="522">
        <f>V21*$D21</f>
        <v>0</v>
      </c>
      <c r="X21" s="526"/>
      <c r="Y21" s="522">
        <f>X21*$D21</f>
        <v>0</v>
      </c>
      <c r="Z21" s="526"/>
      <c r="AA21" s="522">
        <f>Z21*$D21</f>
        <v>0</v>
      </c>
      <c r="AB21" s="526"/>
      <c r="AC21" s="522">
        <f>AB21*$D21</f>
        <v>0</v>
      </c>
      <c r="AD21" s="522">
        <f t="shared" si="136"/>
        <v>4900</v>
      </c>
      <c r="AE21" s="522">
        <f t="shared" si="136"/>
        <v>211224270.59999999</v>
      </c>
      <c r="AG21" s="526"/>
      <c r="AH21" s="522">
        <f>AG21*$D21</f>
        <v>0</v>
      </c>
      <c r="AI21" s="526"/>
      <c r="AJ21" s="522">
        <f>AI21*$D21</f>
        <v>0</v>
      </c>
      <c r="AK21" s="526"/>
      <c r="AL21" s="522">
        <f>AK21*$D21</f>
        <v>0</v>
      </c>
      <c r="AM21" s="526"/>
      <c r="AN21" s="522">
        <f>AM21*$D21</f>
        <v>0</v>
      </c>
      <c r="AO21" s="526"/>
      <c r="AP21" s="522">
        <f>AO21*$D21</f>
        <v>0</v>
      </c>
      <c r="AQ21" s="526"/>
      <c r="AR21" s="522">
        <f>AQ21*$D21</f>
        <v>0</v>
      </c>
      <c r="AS21" s="526"/>
      <c r="AT21" s="522">
        <f>AS21*$D21</f>
        <v>0</v>
      </c>
      <c r="AU21" s="526"/>
      <c r="AV21" s="522">
        <f>AU21*$D21</f>
        <v>0</v>
      </c>
      <c r="AW21" s="526"/>
      <c r="AX21" s="522">
        <f>AW21*$D21</f>
        <v>0</v>
      </c>
      <c r="AY21" s="526"/>
      <c r="AZ21" s="522">
        <f>AY21*$D21</f>
        <v>0</v>
      </c>
      <c r="BA21" s="526"/>
      <c r="BB21" s="522">
        <f>BA21*$D21</f>
        <v>0</v>
      </c>
      <c r="BC21" s="526"/>
      <c r="BD21" s="522">
        <f>BC21*$D21</f>
        <v>0</v>
      </c>
      <c r="BE21" s="522">
        <f t="shared" si="137"/>
        <v>0</v>
      </c>
      <c r="BF21" s="522">
        <f t="shared" si="137"/>
        <v>0</v>
      </c>
      <c r="BH21" s="526"/>
      <c r="BI21" s="522">
        <f>BH21*$D21</f>
        <v>0</v>
      </c>
      <c r="BJ21" s="526"/>
      <c r="BK21" s="522">
        <f>BJ21*$D21</f>
        <v>0</v>
      </c>
      <c r="BL21" s="526"/>
      <c r="BM21" s="522">
        <f>BL21*$D21</f>
        <v>0</v>
      </c>
      <c r="BN21" s="526"/>
      <c r="BO21" s="522">
        <f>BN21*$D21</f>
        <v>0</v>
      </c>
      <c r="BP21" s="526"/>
      <c r="BQ21" s="522">
        <f>BP21*$D21</f>
        <v>0</v>
      </c>
      <c r="BR21" s="526"/>
      <c r="BS21" s="522">
        <f>BR21*$D21</f>
        <v>0</v>
      </c>
      <c r="BT21" s="526"/>
      <c r="BU21" s="522">
        <f>BT21*$D21</f>
        <v>0</v>
      </c>
      <c r="BV21" s="526"/>
      <c r="BW21" s="522">
        <f>BV21*$D21</f>
        <v>0</v>
      </c>
      <c r="BX21" s="526"/>
      <c r="BY21" s="522">
        <f>BX21*$D21</f>
        <v>0</v>
      </c>
      <c r="BZ21" s="526"/>
      <c r="CA21" s="522">
        <f>BZ21*$D21</f>
        <v>0</v>
      </c>
      <c r="CB21" s="526"/>
      <c r="CC21" s="522">
        <f>CB21*$D21</f>
        <v>0</v>
      </c>
      <c r="CD21" s="526"/>
      <c r="CE21" s="522">
        <f>CD21*$D21</f>
        <v>0</v>
      </c>
      <c r="CF21" s="522">
        <f t="shared" si="138"/>
        <v>0</v>
      </c>
      <c r="CG21" s="522">
        <f t="shared" si="138"/>
        <v>0</v>
      </c>
      <c r="CH21" s="523"/>
      <c r="CI21" s="526"/>
      <c r="CJ21" s="522">
        <f>CI21*$D21</f>
        <v>0</v>
      </c>
      <c r="CK21" s="526"/>
      <c r="CL21" s="522">
        <f>CK21*$D21</f>
        <v>0</v>
      </c>
      <c r="CM21" s="526"/>
      <c r="CN21" s="522">
        <f>CM21*$D21</f>
        <v>0</v>
      </c>
      <c r="CO21" s="526"/>
      <c r="CP21" s="522">
        <f>CO21*$D21</f>
        <v>0</v>
      </c>
      <c r="CQ21" s="526"/>
      <c r="CR21" s="522">
        <f>CQ21*$D21</f>
        <v>0</v>
      </c>
      <c r="CS21" s="526"/>
      <c r="CT21" s="522">
        <f>CS21*$D21</f>
        <v>0</v>
      </c>
      <c r="CU21" s="526"/>
      <c r="CV21" s="522">
        <f>CU21*$D21</f>
        <v>0</v>
      </c>
      <c r="CW21" s="526"/>
      <c r="CX21" s="522">
        <f>CW21*$D21</f>
        <v>0</v>
      </c>
      <c r="CY21" s="526"/>
      <c r="CZ21" s="522">
        <f>CY21*$D21</f>
        <v>0</v>
      </c>
      <c r="DA21" s="526"/>
      <c r="DB21" s="522">
        <f>DA21*$D21</f>
        <v>0</v>
      </c>
      <c r="DC21" s="526"/>
      <c r="DD21" s="522">
        <f>DC21*$D21</f>
        <v>0</v>
      </c>
      <c r="DE21" s="526"/>
      <c r="DF21" s="522">
        <f>DE21*$D21</f>
        <v>0</v>
      </c>
      <c r="DG21" s="522">
        <f t="shared" si="139"/>
        <v>0</v>
      </c>
      <c r="DH21" s="522">
        <f t="shared" si="139"/>
        <v>0</v>
      </c>
      <c r="DI21" s="529"/>
      <c r="DJ21" s="526"/>
      <c r="DK21" s="522">
        <f>DJ21*$D21</f>
        <v>0</v>
      </c>
      <c r="DL21" s="526"/>
      <c r="DM21" s="522">
        <f>DL21*$D21</f>
        <v>0</v>
      </c>
      <c r="DN21" s="526"/>
      <c r="DO21" s="522">
        <f>DN21*$D21</f>
        <v>0</v>
      </c>
      <c r="DP21" s="526"/>
      <c r="DQ21" s="522">
        <f>DP21*$D21</f>
        <v>0</v>
      </c>
      <c r="DR21" s="526"/>
      <c r="DS21" s="522">
        <f>DR21*$D21</f>
        <v>0</v>
      </c>
      <c r="DT21" s="526"/>
      <c r="DU21" s="522">
        <f>DT21*$D21</f>
        <v>0</v>
      </c>
      <c r="DV21" s="526"/>
      <c r="DW21" s="522">
        <f>DV21*$D21</f>
        <v>0</v>
      </c>
      <c r="DX21" s="526"/>
      <c r="DY21" s="522">
        <f>DX21*$D21</f>
        <v>0</v>
      </c>
      <c r="DZ21" s="526"/>
      <c r="EA21" s="522">
        <f>DZ21*$D21</f>
        <v>0</v>
      </c>
      <c r="EB21" s="526"/>
      <c r="EC21" s="522">
        <f>EB21*$D21</f>
        <v>0</v>
      </c>
      <c r="ED21" s="526"/>
      <c r="EE21" s="522">
        <f>ED21*$D21</f>
        <v>0</v>
      </c>
      <c r="EF21" s="526"/>
      <c r="EG21" s="522">
        <f>EF21*$D21</f>
        <v>0</v>
      </c>
      <c r="EH21" s="522">
        <f t="shared" si="140"/>
        <v>0</v>
      </c>
      <c r="EI21" s="522">
        <f t="shared" si="140"/>
        <v>0</v>
      </c>
      <c r="EJ21" s="529"/>
      <c r="EK21" s="526"/>
      <c r="EL21" s="522">
        <f>EK21*$D21</f>
        <v>0</v>
      </c>
      <c r="EM21" s="526"/>
      <c r="EN21" s="522">
        <f>EM21*$D21</f>
        <v>0</v>
      </c>
      <c r="EO21" s="526"/>
      <c r="EP21" s="522">
        <f>EO21*$D21</f>
        <v>0</v>
      </c>
      <c r="EQ21" s="526"/>
      <c r="ER21" s="522">
        <f>EQ21*$D21</f>
        <v>0</v>
      </c>
      <c r="ES21" s="526"/>
      <c r="ET21" s="522">
        <f>ES21*$D21</f>
        <v>0</v>
      </c>
      <c r="EU21" s="526"/>
      <c r="EV21" s="522">
        <f>EU21*$D21</f>
        <v>0</v>
      </c>
      <c r="EW21" s="526"/>
      <c r="EX21" s="522">
        <f>EW21*$D21</f>
        <v>0</v>
      </c>
      <c r="EY21" s="526"/>
      <c r="EZ21" s="522">
        <f>EY21*$D21</f>
        <v>0</v>
      </c>
      <c r="FA21" s="526"/>
      <c r="FB21" s="522">
        <f>FA21*$D21</f>
        <v>0</v>
      </c>
      <c r="FC21" s="526"/>
      <c r="FD21" s="522">
        <f>FC21*$D21</f>
        <v>0</v>
      </c>
      <c r="FE21" s="526"/>
      <c r="FF21" s="522">
        <f>FE21*$D21</f>
        <v>0</v>
      </c>
      <c r="FG21" s="526"/>
      <c r="FH21" s="522">
        <f>FG21*$D21</f>
        <v>0</v>
      </c>
      <c r="FI21" s="522">
        <f t="shared" si="141"/>
        <v>0</v>
      </c>
      <c r="FJ21" s="522">
        <f t="shared" si="141"/>
        <v>0</v>
      </c>
      <c r="FK21" s="525"/>
      <c r="FL21" s="522"/>
      <c r="FM21" s="522">
        <f>FL21*$D21</f>
        <v>0</v>
      </c>
      <c r="FN21" s="526"/>
      <c r="FO21" s="522">
        <f>FN21*$D21</f>
        <v>0</v>
      </c>
      <c r="FP21" s="526"/>
      <c r="FQ21" s="522">
        <f>FP21*$D21</f>
        <v>0</v>
      </c>
      <c r="FR21" s="526"/>
      <c r="FS21" s="522">
        <f>FR21*$D21</f>
        <v>0</v>
      </c>
      <c r="FT21" s="526"/>
      <c r="FU21" s="522">
        <f>FT21*$D21</f>
        <v>0</v>
      </c>
      <c r="FV21" s="526"/>
      <c r="FW21" s="522">
        <f>FV21*$D21</f>
        <v>0</v>
      </c>
      <c r="FX21" s="526"/>
      <c r="FY21" s="522">
        <f>FX21*$D21</f>
        <v>0</v>
      </c>
      <c r="FZ21" s="526"/>
      <c r="GA21" s="522">
        <f>FZ21*$D21</f>
        <v>0</v>
      </c>
      <c r="GB21" s="526"/>
      <c r="GC21" s="522">
        <f>GB21*$D21</f>
        <v>0</v>
      </c>
      <c r="GD21" s="526"/>
      <c r="GE21" s="522">
        <f>GD21*$D21</f>
        <v>0</v>
      </c>
      <c r="GF21" s="526"/>
      <c r="GG21" s="522">
        <f>GF21*$D21</f>
        <v>0</v>
      </c>
      <c r="GH21" s="526"/>
      <c r="GI21" s="522">
        <f>GH21*$D21</f>
        <v>0</v>
      </c>
      <c r="GJ21" s="522">
        <f t="shared" si="142"/>
        <v>0</v>
      </c>
      <c r="GK21" s="522">
        <f t="shared" si="142"/>
        <v>0</v>
      </c>
      <c r="GL21" s="523">
        <f>IFERROR(((+F21+H21+J21+L21)/($E21/'RKP 08'!$D$5)),0)</f>
        <v>350</v>
      </c>
      <c r="GM21" s="523">
        <f t="shared" si="135"/>
        <v>211224270.59999999</v>
      </c>
      <c r="GN21" s="523">
        <f>IFERROR(((+N21+P21+R21+T21)/($E21/'RKP 08'!$D$5)),0)</f>
        <v>0</v>
      </c>
      <c r="GO21" s="523">
        <f t="shared" si="113"/>
        <v>0</v>
      </c>
      <c r="GP21" s="523">
        <f>IFERROR(((V21+X21+Z21+AB21)/($E21/'RKP 08'!$D$5)),0)</f>
        <v>0</v>
      </c>
      <c r="GQ21" s="523">
        <f t="shared" si="114"/>
        <v>0</v>
      </c>
      <c r="GR21" s="523">
        <f t="shared" si="115"/>
        <v>350</v>
      </c>
      <c r="GS21" s="523">
        <f t="shared" si="116"/>
        <v>211224270.59999999</v>
      </c>
      <c r="GT21" s="523">
        <f>IFERROR(((AG21+AI21+AK21+AM21)/($E21/'RKP 08'!$D$5)),0)</f>
        <v>0</v>
      </c>
      <c r="GU21" s="523">
        <f t="shared" si="21"/>
        <v>0</v>
      </c>
      <c r="GV21" s="523">
        <f>IFERROR(((AO21+AQ21+AS21+AU21)/($E21/'RKP 08'!$D$5)),0)</f>
        <v>0</v>
      </c>
      <c r="GW21" s="523">
        <f t="shared" si="22"/>
        <v>0</v>
      </c>
      <c r="GX21" s="523">
        <f>IFERROR(((AW21+AY21+BA21+BC21)/($E21/'RKP 08'!$D$5)),0)</f>
        <v>0</v>
      </c>
      <c r="GY21" s="523">
        <f t="shared" si="23"/>
        <v>0</v>
      </c>
      <c r="GZ21" s="523">
        <f t="shared" si="117"/>
        <v>0</v>
      </c>
      <c r="HA21" s="523">
        <f t="shared" si="118"/>
        <v>0</v>
      </c>
      <c r="HB21" s="523">
        <f>IFERROR(((BH21+BJ21+BL21+BN21)/($E21/'RKP 08'!$D$5)),0)</f>
        <v>0</v>
      </c>
      <c r="HC21" s="523">
        <f t="shared" si="24"/>
        <v>0</v>
      </c>
      <c r="HD21" s="523">
        <f>IFERROR(((BP21+BR21+BT21+BV21)/($E21/'RKP 08'!$D$5)),0)</f>
        <v>0</v>
      </c>
      <c r="HE21" s="523">
        <f t="shared" si="25"/>
        <v>0</v>
      </c>
      <c r="HF21" s="523">
        <f>IFERROR(((BX21+BZ21+CB21+CD21)/($E21/'RKP 08'!$D$5)),0)</f>
        <v>0</v>
      </c>
      <c r="HG21" s="523">
        <f t="shared" si="26"/>
        <v>0</v>
      </c>
      <c r="HH21" s="523">
        <f t="shared" si="119"/>
        <v>0</v>
      </c>
      <c r="HI21" s="523">
        <f t="shared" si="120"/>
        <v>0</v>
      </c>
      <c r="HJ21" s="523">
        <f>IFERROR(((CI21+CK21+CM21+CO21)/($E21/'RKP 08'!$D$5)),0)</f>
        <v>0</v>
      </c>
      <c r="HK21" s="523">
        <f t="shared" si="121"/>
        <v>0</v>
      </c>
      <c r="HL21" s="523">
        <f>IFERROR(((CQ21+CS21+CU21+CW21)/($E21/'RKP 08'!$D$5)),0)</f>
        <v>0</v>
      </c>
      <c r="HM21" s="523">
        <f t="shared" si="122"/>
        <v>0</v>
      </c>
      <c r="HN21" s="523">
        <f>IFERROR(((CY21+DA21+DC21+DE21)/($E21/'RKP 08'!$D$5)),0)</f>
        <v>0</v>
      </c>
      <c r="HO21" s="523">
        <f t="shared" si="123"/>
        <v>0</v>
      </c>
      <c r="HP21" s="523">
        <f t="shared" si="124"/>
        <v>0</v>
      </c>
      <c r="HQ21" s="523">
        <f t="shared" si="125"/>
        <v>0</v>
      </c>
      <c r="HR21" s="511">
        <f>IFERROR(((DJ21+DL21+DN21+DP21)/($E21/'RKP 08'!$D$5)),0)</f>
        <v>0</v>
      </c>
      <c r="HS21" s="511">
        <f t="shared" si="27"/>
        <v>0</v>
      </c>
      <c r="HT21" s="511">
        <f>IFERROR(((DR21+DT21+DV21+DX21)/($E21/'RKP 08'!$D$5)),0)</f>
        <v>0</v>
      </c>
      <c r="HU21" s="511">
        <f t="shared" si="28"/>
        <v>0</v>
      </c>
      <c r="HV21" s="511">
        <f>IFERROR(((DZ21+EB21+ED21+EF21)/($E21/'RKP 08'!$D$5)),0)</f>
        <v>0</v>
      </c>
      <c r="HW21" s="511">
        <f t="shared" si="29"/>
        <v>0</v>
      </c>
      <c r="HX21" s="523">
        <f t="shared" si="126"/>
        <v>0</v>
      </c>
      <c r="HY21" s="523">
        <f t="shared" si="127"/>
        <v>0</v>
      </c>
      <c r="HZ21" s="523">
        <f t="shared" si="128"/>
        <v>0</v>
      </c>
      <c r="IA21" s="523">
        <f t="shared" si="128"/>
        <v>0</v>
      </c>
      <c r="IB21" s="511">
        <f>IFERROR(((ES21+EU21+EW21+EY21)/($E21/'RKP 08'!$D$5)),0)</f>
        <v>0</v>
      </c>
      <c r="IC21" s="511">
        <f t="shared" si="30"/>
        <v>0</v>
      </c>
      <c r="ID21" s="511">
        <f>IFERROR(((FA21+FC21+FE21+FG21)/($E21/'RKP 08'!$D$5)),0)</f>
        <v>0</v>
      </c>
      <c r="IE21" s="511">
        <f t="shared" si="31"/>
        <v>0</v>
      </c>
      <c r="IF21" s="523">
        <f t="shared" si="129"/>
        <v>0</v>
      </c>
      <c r="IG21" s="523">
        <f t="shared" si="130"/>
        <v>0</v>
      </c>
      <c r="II21" s="523">
        <f t="shared" si="131"/>
        <v>211224270.59999999</v>
      </c>
      <c r="IJ21" s="523">
        <f t="shared" si="132"/>
        <v>0</v>
      </c>
      <c r="IK21" s="577"/>
      <c r="IP21" s="519">
        <f>((1400/200)*1133.3)*82</f>
        <v>650514.19999999995</v>
      </c>
    </row>
    <row r="22" spans="1:250" s="519" customFormat="1" ht="24" customHeight="1" x14ac:dyDescent="0.2">
      <c r="B22" s="520" t="s">
        <v>571</v>
      </c>
      <c r="C22" s="521" t="s">
        <v>376</v>
      </c>
      <c r="D22" s="574">
        <f>305558*105.81%</f>
        <v>323310.91980000003</v>
      </c>
      <c r="E22" s="522">
        <f>(300/30)*350</f>
        <v>3500</v>
      </c>
      <c r="F22" s="522">
        <f t="shared" si="133"/>
        <v>3500</v>
      </c>
      <c r="G22" s="522">
        <f>F22*$D22</f>
        <v>1131588219.3000002</v>
      </c>
      <c r="H22" s="526">
        <v>0</v>
      </c>
      <c r="I22" s="522">
        <f>H22*$D22</f>
        <v>0</v>
      </c>
      <c r="J22" s="526">
        <v>0</v>
      </c>
      <c r="K22" s="522">
        <f>J22*$D22</f>
        <v>0</v>
      </c>
      <c r="L22" s="526">
        <v>0</v>
      </c>
      <c r="M22" s="522">
        <f>L22*$D22</f>
        <v>0</v>
      </c>
      <c r="N22" s="526">
        <v>0</v>
      </c>
      <c r="O22" s="522">
        <f>N22*$D22</f>
        <v>0</v>
      </c>
      <c r="P22" s="526">
        <v>0</v>
      </c>
      <c r="Q22" s="522">
        <f>P22*$D22</f>
        <v>0</v>
      </c>
      <c r="R22" s="526"/>
      <c r="S22" s="522">
        <f>R22*$D22</f>
        <v>0</v>
      </c>
      <c r="T22" s="526"/>
      <c r="U22" s="522">
        <f>T22*$D22</f>
        <v>0</v>
      </c>
      <c r="V22" s="526"/>
      <c r="W22" s="522">
        <f>V22*$D22</f>
        <v>0</v>
      </c>
      <c r="X22" s="526"/>
      <c r="Y22" s="522">
        <f>X22*$D22</f>
        <v>0</v>
      </c>
      <c r="Z22" s="526"/>
      <c r="AA22" s="522">
        <f>Z22*$D22</f>
        <v>0</v>
      </c>
      <c r="AB22" s="526"/>
      <c r="AC22" s="522">
        <f>AB22*$D22</f>
        <v>0</v>
      </c>
      <c r="AD22" s="522">
        <f t="shared" si="136"/>
        <v>3500</v>
      </c>
      <c r="AE22" s="522">
        <f t="shared" si="136"/>
        <v>1131588219.3000002</v>
      </c>
      <c r="AG22" s="526"/>
      <c r="AH22" s="522">
        <f>AG22*$D22</f>
        <v>0</v>
      </c>
      <c r="AI22" s="526"/>
      <c r="AJ22" s="522">
        <f>AI22*$D22</f>
        <v>0</v>
      </c>
      <c r="AK22" s="526"/>
      <c r="AL22" s="522">
        <f>AK22*$D22</f>
        <v>0</v>
      </c>
      <c r="AM22" s="526">
        <v>0</v>
      </c>
      <c r="AN22" s="522">
        <f>AM22*$D22</f>
        <v>0</v>
      </c>
      <c r="AO22" s="526"/>
      <c r="AP22" s="522">
        <f>AO22*$D22</f>
        <v>0</v>
      </c>
      <c r="AQ22" s="526"/>
      <c r="AR22" s="522">
        <f>AQ22*$D22</f>
        <v>0</v>
      </c>
      <c r="AS22" s="526">
        <v>0</v>
      </c>
      <c r="AT22" s="522">
        <f>AS22*$D22</f>
        <v>0</v>
      </c>
      <c r="AU22" s="527">
        <v>0</v>
      </c>
      <c r="AV22" s="522">
        <f>AU22*$D22</f>
        <v>0</v>
      </c>
      <c r="AW22" s="526"/>
      <c r="AX22" s="522">
        <f>AW22*$D22</f>
        <v>0</v>
      </c>
      <c r="AY22" s="526"/>
      <c r="AZ22" s="522">
        <f>AY22*$D22</f>
        <v>0</v>
      </c>
      <c r="BA22" s="526"/>
      <c r="BB22" s="522">
        <f>BA22*$D22</f>
        <v>0</v>
      </c>
      <c r="BC22" s="526"/>
      <c r="BD22" s="522">
        <f>BC22*$D22</f>
        <v>0</v>
      </c>
      <c r="BE22" s="522">
        <v>0</v>
      </c>
      <c r="BF22" s="522">
        <f t="shared" si="137"/>
        <v>0</v>
      </c>
      <c r="BH22" s="526"/>
      <c r="BI22" s="522">
        <f>BH22*$D22</f>
        <v>0</v>
      </c>
      <c r="BJ22" s="526"/>
      <c r="BK22" s="522">
        <f>BJ22*$D22</f>
        <v>0</v>
      </c>
      <c r="BL22" s="526"/>
      <c r="BM22" s="522">
        <f>BL22*$D22</f>
        <v>0</v>
      </c>
      <c r="BN22" s="526"/>
      <c r="BO22" s="522">
        <f>BN22*$D22</f>
        <v>0</v>
      </c>
      <c r="BP22" s="526"/>
      <c r="BQ22" s="522">
        <f>BP22*$D22</f>
        <v>0</v>
      </c>
      <c r="BR22" s="526"/>
      <c r="BS22" s="522">
        <f>BR22*$D22</f>
        <v>0</v>
      </c>
      <c r="BT22" s="526"/>
      <c r="BU22" s="522">
        <f>BT22*$D22</f>
        <v>0</v>
      </c>
      <c r="BV22" s="526"/>
      <c r="BW22" s="522">
        <f>BV22*$D22</f>
        <v>0</v>
      </c>
      <c r="BX22" s="526"/>
      <c r="BY22" s="522">
        <f>BX22*$D22</f>
        <v>0</v>
      </c>
      <c r="BZ22" s="526"/>
      <c r="CA22" s="522">
        <f>BZ22*$D22</f>
        <v>0</v>
      </c>
      <c r="CB22" s="526"/>
      <c r="CC22" s="522">
        <f>CB22*$D22</f>
        <v>0</v>
      </c>
      <c r="CD22" s="526"/>
      <c r="CE22" s="522">
        <f>CD22*$D22</f>
        <v>0</v>
      </c>
      <c r="CF22" s="522">
        <f t="shared" si="138"/>
        <v>0</v>
      </c>
      <c r="CG22" s="522">
        <f t="shared" si="138"/>
        <v>0</v>
      </c>
      <c r="CH22" s="523"/>
      <c r="CI22" s="526"/>
      <c r="CJ22" s="522">
        <f>CI22*$D22</f>
        <v>0</v>
      </c>
      <c r="CK22" s="526"/>
      <c r="CL22" s="522">
        <f>CK22*$D22</f>
        <v>0</v>
      </c>
      <c r="CM22" s="526"/>
      <c r="CN22" s="522">
        <f>CM22*$D22</f>
        <v>0</v>
      </c>
      <c r="CO22" s="526"/>
      <c r="CP22" s="522">
        <f>CO22*$D22</f>
        <v>0</v>
      </c>
      <c r="CQ22" s="526"/>
      <c r="CR22" s="522">
        <f>CQ22*$D22</f>
        <v>0</v>
      </c>
      <c r="CS22" s="526"/>
      <c r="CT22" s="522">
        <f>CS22*$D22</f>
        <v>0</v>
      </c>
      <c r="CU22" s="526"/>
      <c r="CV22" s="522">
        <f>CU22*$D22</f>
        <v>0</v>
      </c>
      <c r="CW22" s="526"/>
      <c r="CX22" s="522">
        <f>CW22*$D22</f>
        <v>0</v>
      </c>
      <c r="CY22" s="526"/>
      <c r="CZ22" s="522">
        <f>CY22*$D22</f>
        <v>0</v>
      </c>
      <c r="DA22" s="526"/>
      <c r="DB22" s="522">
        <f>DA22*$D22</f>
        <v>0</v>
      </c>
      <c r="DC22" s="526"/>
      <c r="DD22" s="522">
        <f>DC22*$D22</f>
        <v>0</v>
      </c>
      <c r="DE22" s="526"/>
      <c r="DF22" s="522">
        <f>DE22*$D22</f>
        <v>0</v>
      </c>
      <c r="DG22" s="522">
        <f t="shared" si="139"/>
        <v>0</v>
      </c>
      <c r="DH22" s="522">
        <f t="shared" si="139"/>
        <v>0</v>
      </c>
      <c r="DI22" s="529"/>
      <c r="DJ22" s="526"/>
      <c r="DK22" s="522">
        <f>DJ22*$D22</f>
        <v>0</v>
      </c>
      <c r="DL22" s="526"/>
      <c r="DM22" s="522">
        <f>DL22*$D22</f>
        <v>0</v>
      </c>
      <c r="DN22" s="526"/>
      <c r="DO22" s="522">
        <f>DN22*$D22</f>
        <v>0</v>
      </c>
      <c r="DP22" s="526"/>
      <c r="DQ22" s="522">
        <f>DP22*$D22</f>
        <v>0</v>
      </c>
      <c r="DR22" s="526"/>
      <c r="DS22" s="522">
        <f>DR22*$D22</f>
        <v>0</v>
      </c>
      <c r="DT22" s="526"/>
      <c r="DU22" s="522">
        <f>DT22*$D22</f>
        <v>0</v>
      </c>
      <c r="DV22" s="526"/>
      <c r="DW22" s="522">
        <f>DV22*$D22</f>
        <v>0</v>
      </c>
      <c r="DX22" s="526"/>
      <c r="DY22" s="522">
        <f>DX22*$D22</f>
        <v>0</v>
      </c>
      <c r="DZ22" s="526"/>
      <c r="EA22" s="522">
        <f>DZ22*$D22</f>
        <v>0</v>
      </c>
      <c r="EB22" s="526"/>
      <c r="EC22" s="522">
        <f>EB22*$D22</f>
        <v>0</v>
      </c>
      <c r="ED22" s="526"/>
      <c r="EE22" s="522">
        <f>ED22*$D22</f>
        <v>0</v>
      </c>
      <c r="EF22" s="526"/>
      <c r="EG22" s="522">
        <f>EF22*$D22</f>
        <v>0</v>
      </c>
      <c r="EH22" s="522">
        <f t="shared" si="140"/>
        <v>0</v>
      </c>
      <c r="EI22" s="522">
        <f t="shared" si="140"/>
        <v>0</v>
      </c>
      <c r="EJ22" s="529"/>
      <c r="EK22" s="526"/>
      <c r="EL22" s="522">
        <f>EK22*$D22</f>
        <v>0</v>
      </c>
      <c r="EM22" s="526"/>
      <c r="EN22" s="522">
        <f>EM22*$D22</f>
        <v>0</v>
      </c>
      <c r="EO22" s="526"/>
      <c r="EP22" s="522">
        <f>EO22*$D22</f>
        <v>0</v>
      </c>
      <c r="EQ22" s="526"/>
      <c r="ER22" s="522">
        <f>EQ22*$D22</f>
        <v>0</v>
      </c>
      <c r="ES22" s="526"/>
      <c r="ET22" s="522">
        <f>ES22*$D22</f>
        <v>0</v>
      </c>
      <c r="EU22" s="526"/>
      <c r="EV22" s="522">
        <f>EU22*$D22</f>
        <v>0</v>
      </c>
      <c r="EW22" s="526"/>
      <c r="EX22" s="522">
        <f>EW22*$D22</f>
        <v>0</v>
      </c>
      <c r="EY22" s="526"/>
      <c r="EZ22" s="522">
        <f>EY22*$D22</f>
        <v>0</v>
      </c>
      <c r="FA22" s="526"/>
      <c r="FB22" s="522">
        <f>FA22*$D22</f>
        <v>0</v>
      </c>
      <c r="FC22" s="526"/>
      <c r="FD22" s="522">
        <f>FC22*$D22</f>
        <v>0</v>
      </c>
      <c r="FE22" s="526"/>
      <c r="FF22" s="522">
        <f>FE22*$D22</f>
        <v>0</v>
      </c>
      <c r="FG22" s="526"/>
      <c r="FH22" s="522">
        <f>FG22*$D22</f>
        <v>0</v>
      </c>
      <c r="FI22" s="522">
        <f t="shared" si="141"/>
        <v>0</v>
      </c>
      <c r="FJ22" s="522">
        <f t="shared" si="141"/>
        <v>0</v>
      </c>
      <c r="FK22" s="525"/>
      <c r="FL22" s="522"/>
      <c r="FM22" s="522">
        <f>FL22*$D22</f>
        <v>0</v>
      </c>
      <c r="FN22" s="526"/>
      <c r="FO22" s="522">
        <f>FN22*$D22</f>
        <v>0</v>
      </c>
      <c r="FP22" s="526"/>
      <c r="FQ22" s="522">
        <f>FP22*$D22</f>
        <v>0</v>
      </c>
      <c r="FR22" s="526"/>
      <c r="FS22" s="522">
        <f>FR22*$D22</f>
        <v>0</v>
      </c>
      <c r="FT22" s="526"/>
      <c r="FU22" s="522">
        <f>FT22*$D22</f>
        <v>0</v>
      </c>
      <c r="FV22" s="526"/>
      <c r="FW22" s="522">
        <f>FV22*$D22</f>
        <v>0</v>
      </c>
      <c r="FX22" s="526"/>
      <c r="FY22" s="522">
        <f>FX22*$D22</f>
        <v>0</v>
      </c>
      <c r="FZ22" s="526"/>
      <c r="GA22" s="522">
        <f>FZ22*$D22</f>
        <v>0</v>
      </c>
      <c r="GB22" s="526"/>
      <c r="GC22" s="522">
        <f>GB22*$D22</f>
        <v>0</v>
      </c>
      <c r="GD22" s="526"/>
      <c r="GE22" s="522">
        <f>GD22*$D22</f>
        <v>0</v>
      </c>
      <c r="GF22" s="526"/>
      <c r="GG22" s="522">
        <f>GF22*$D22</f>
        <v>0</v>
      </c>
      <c r="GH22" s="526"/>
      <c r="GI22" s="522">
        <f>GH22*$D22</f>
        <v>0</v>
      </c>
      <c r="GJ22" s="522">
        <f t="shared" si="142"/>
        <v>0</v>
      </c>
      <c r="GK22" s="522">
        <f t="shared" si="142"/>
        <v>0</v>
      </c>
      <c r="GL22" s="523">
        <f>IFERROR(((+F22+H22+J22+L22)/($E22/'RKP 08'!$D$5)),0)</f>
        <v>350</v>
      </c>
      <c r="GM22" s="523">
        <f t="shared" si="135"/>
        <v>1131588219.3000002</v>
      </c>
      <c r="GN22" s="523">
        <f>IFERROR(((+N22+P22+R22+T22)/($E22/'RKP 08'!$D$5)),0)</f>
        <v>0</v>
      </c>
      <c r="GO22" s="523">
        <f t="shared" si="113"/>
        <v>0</v>
      </c>
      <c r="GP22" s="523">
        <f>IFERROR(((V22+X22+Z22+AB22)/($E22/'RKP 08'!$D$5)),0)</f>
        <v>0</v>
      </c>
      <c r="GQ22" s="523">
        <f t="shared" si="114"/>
        <v>0</v>
      </c>
      <c r="GR22" s="523">
        <f t="shared" si="115"/>
        <v>350</v>
      </c>
      <c r="GS22" s="523">
        <f t="shared" si="116"/>
        <v>1131588219.3000002</v>
      </c>
      <c r="GT22" s="523">
        <f>IFERROR(((AG22+AI22+AK22+AM22)/($E22/'RKP 08'!$D$5)),0)</f>
        <v>0</v>
      </c>
      <c r="GU22" s="523">
        <f t="shared" si="21"/>
        <v>0</v>
      </c>
      <c r="GV22" s="523">
        <f>IFERROR(((AO22+AQ22+AS22+AU22)/($E22/'RKP 08'!$D$5)),0)</f>
        <v>0</v>
      </c>
      <c r="GW22" s="523">
        <f t="shared" si="22"/>
        <v>0</v>
      </c>
      <c r="GX22" s="523">
        <f>IFERROR(((AW22+AY22+BA22+BC22)/($E22/'RKP 08'!$D$5)),0)</f>
        <v>0</v>
      </c>
      <c r="GY22" s="523">
        <f t="shared" si="23"/>
        <v>0</v>
      </c>
      <c r="GZ22" s="523">
        <f t="shared" si="117"/>
        <v>0</v>
      </c>
      <c r="HA22" s="523">
        <f t="shared" si="118"/>
        <v>0</v>
      </c>
      <c r="HB22" s="523">
        <f>IFERROR(((BH22+BJ22+BL22+BN22)/($E22/'RKP 08'!$D$5)),0)</f>
        <v>0</v>
      </c>
      <c r="HC22" s="523">
        <f t="shared" si="24"/>
        <v>0</v>
      </c>
      <c r="HD22" s="523">
        <f>IFERROR(((BP22+BR22+BT22+BV22)/($E22/'RKP 08'!$D$5)),0)</f>
        <v>0</v>
      </c>
      <c r="HE22" s="523">
        <f t="shared" si="25"/>
        <v>0</v>
      </c>
      <c r="HF22" s="523">
        <f>IFERROR(((BX22+BZ22+CB22+CD22)/($E22/'RKP 08'!$D$5)),0)</f>
        <v>0</v>
      </c>
      <c r="HG22" s="523">
        <f t="shared" si="26"/>
        <v>0</v>
      </c>
      <c r="HH22" s="523">
        <f t="shared" si="119"/>
        <v>0</v>
      </c>
      <c r="HI22" s="523">
        <f t="shared" si="120"/>
        <v>0</v>
      </c>
      <c r="HJ22" s="523">
        <f>IFERROR(((CI22+CK22+CM22+CO22)/($E22/'RKP 08'!$D$5)),0)</f>
        <v>0</v>
      </c>
      <c r="HK22" s="523">
        <f t="shared" si="121"/>
        <v>0</v>
      </c>
      <c r="HL22" s="523">
        <f>IFERROR(((CQ22+CS22+CU22+CW22)/($E22/'RKP 08'!$D$5)),0)</f>
        <v>0</v>
      </c>
      <c r="HM22" s="523">
        <f t="shared" si="122"/>
        <v>0</v>
      </c>
      <c r="HN22" s="523">
        <f>IFERROR(((CY22+DA22+DC22+DE22)/($E22/'RKP 08'!$D$5)),0)</f>
        <v>0</v>
      </c>
      <c r="HO22" s="523">
        <f t="shared" si="123"/>
        <v>0</v>
      </c>
      <c r="HP22" s="523">
        <f t="shared" si="124"/>
        <v>0</v>
      </c>
      <c r="HQ22" s="523">
        <f t="shared" si="125"/>
        <v>0</v>
      </c>
      <c r="HR22" s="511">
        <f>IFERROR(((DJ22+DL22+DN22+DP22)/($E22/'RKP 08'!$D$5)),0)</f>
        <v>0</v>
      </c>
      <c r="HS22" s="511">
        <f t="shared" si="27"/>
        <v>0</v>
      </c>
      <c r="HT22" s="511">
        <f>IFERROR(((DR22+DT22+DV22+DX22)/($E22/'RKP 08'!$D$5)),0)</f>
        <v>0</v>
      </c>
      <c r="HU22" s="511">
        <f t="shared" si="28"/>
        <v>0</v>
      </c>
      <c r="HV22" s="511">
        <f>IFERROR(((DZ22+EB22+ED22+EF22)/($E22/'RKP 08'!$D$5)),0)</f>
        <v>0</v>
      </c>
      <c r="HW22" s="511">
        <f t="shared" si="29"/>
        <v>0</v>
      </c>
      <c r="HX22" s="523">
        <f t="shared" si="126"/>
        <v>0</v>
      </c>
      <c r="HY22" s="523">
        <f t="shared" si="127"/>
        <v>0</v>
      </c>
      <c r="HZ22" s="523">
        <f t="shared" si="128"/>
        <v>0</v>
      </c>
      <c r="IA22" s="523">
        <f t="shared" si="128"/>
        <v>0</v>
      </c>
      <c r="IB22" s="511">
        <f>IFERROR(((ES22+EU22+EW22+EY22)/($E22/'RKP 08'!$D$5)),0)</f>
        <v>0</v>
      </c>
      <c r="IC22" s="511">
        <f t="shared" si="30"/>
        <v>0</v>
      </c>
      <c r="ID22" s="511">
        <f>IFERROR(((FA22+FC22+FE22+FG22)/($E22/'RKP 08'!$D$5)),0)</f>
        <v>0</v>
      </c>
      <c r="IE22" s="511">
        <f t="shared" si="31"/>
        <v>0</v>
      </c>
      <c r="IF22" s="523">
        <f t="shared" si="129"/>
        <v>0</v>
      </c>
      <c r="IG22" s="523">
        <f t="shared" si="130"/>
        <v>0</v>
      </c>
      <c r="II22" s="523">
        <f t="shared" si="131"/>
        <v>1131588219.3000002</v>
      </c>
      <c r="IJ22" s="523">
        <f t="shared" si="132"/>
        <v>0</v>
      </c>
      <c r="IK22" s="577"/>
    </row>
    <row r="23" spans="1:250" s="519" customFormat="1" ht="24" customHeight="1" x14ac:dyDescent="0.2">
      <c r="B23" s="520" t="s">
        <v>572</v>
      </c>
      <c r="C23" s="521" t="s">
        <v>376</v>
      </c>
      <c r="D23" s="574">
        <f>17325*105.81%</f>
        <v>18331.5825</v>
      </c>
      <c r="E23" s="522">
        <f>(1000/30)*350</f>
        <v>11666.666666666668</v>
      </c>
      <c r="F23" s="522">
        <f t="shared" si="133"/>
        <v>11666.666666666668</v>
      </c>
      <c r="G23" s="522">
        <f t="shared" si="134"/>
        <v>213868462.50000003</v>
      </c>
      <c r="H23" s="522"/>
      <c r="I23" s="522">
        <f t="shared" si="32"/>
        <v>0</v>
      </c>
      <c r="J23" s="522"/>
      <c r="K23" s="522">
        <f t="shared" si="33"/>
        <v>0</v>
      </c>
      <c r="L23" s="522"/>
      <c r="M23" s="522">
        <f t="shared" si="34"/>
        <v>0</v>
      </c>
      <c r="N23" s="522"/>
      <c r="O23" s="522">
        <f t="shared" si="35"/>
        <v>0</v>
      </c>
      <c r="P23" s="522"/>
      <c r="Q23" s="522">
        <f t="shared" si="36"/>
        <v>0</v>
      </c>
      <c r="R23" s="522"/>
      <c r="S23" s="522">
        <f t="shared" si="37"/>
        <v>0</v>
      </c>
      <c r="T23" s="522">
        <v>0</v>
      </c>
      <c r="U23" s="522">
        <f t="shared" si="38"/>
        <v>0</v>
      </c>
      <c r="V23" s="522"/>
      <c r="W23" s="522">
        <f t="shared" si="39"/>
        <v>0</v>
      </c>
      <c r="X23" s="522"/>
      <c r="Y23" s="522">
        <f t="shared" si="40"/>
        <v>0</v>
      </c>
      <c r="Z23" s="522"/>
      <c r="AA23" s="522">
        <f t="shared" si="41"/>
        <v>0</v>
      </c>
      <c r="AB23" s="522"/>
      <c r="AC23" s="522">
        <f t="shared" si="42"/>
        <v>0</v>
      </c>
      <c r="AD23" s="522">
        <f t="shared" si="7"/>
        <v>11666.666666666668</v>
      </c>
      <c r="AE23" s="522">
        <f t="shared" si="7"/>
        <v>213868462.50000003</v>
      </c>
      <c r="AG23" s="522"/>
      <c r="AH23" s="522">
        <f t="shared" si="43"/>
        <v>0</v>
      </c>
      <c r="AI23" s="522"/>
      <c r="AJ23" s="522">
        <f t="shared" si="44"/>
        <v>0</v>
      </c>
      <c r="AK23" s="522"/>
      <c r="AL23" s="522">
        <f t="shared" si="45"/>
        <v>0</v>
      </c>
      <c r="AM23" s="522">
        <v>0</v>
      </c>
      <c r="AN23" s="522">
        <f t="shared" si="46"/>
        <v>0</v>
      </c>
      <c r="AO23" s="522">
        <v>0</v>
      </c>
      <c r="AP23" s="522">
        <f t="shared" si="47"/>
        <v>0</v>
      </c>
      <c r="AQ23" s="522"/>
      <c r="AR23" s="522">
        <f t="shared" si="48"/>
        <v>0</v>
      </c>
      <c r="AS23" s="522"/>
      <c r="AT23" s="522">
        <f t="shared" si="49"/>
        <v>0</v>
      </c>
      <c r="AU23" s="522"/>
      <c r="AV23" s="522">
        <f t="shared" si="50"/>
        <v>0</v>
      </c>
      <c r="AW23" s="522"/>
      <c r="AX23" s="522">
        <f t="shared" si="51"/>
        <v>0</v>
      </c>
      <c r="AY23" s="522"/>
      <c r="AZ23" s="522">
        <f t="shared" si="52"/>
        <v>0</v>
      </c>
      <c r="BA23" s="522"/>
      <c r="BB23" s="522">
        <f t="shared" si="53"/>
        <v>0</v>
      </c>
      <c r="BC23" s="522"/>
      <c r="BD23" s="522">
        <f t="shared" si="54"/>
        <v>0</v>
      </c>
      <c r="BE23" s="522">
        <f t="shared" si="8"/>
        <v>0</v>
      </c>
      <c r="BF23" s="522">
        <f t="shared" si="9"/>
        <v>0</v>
      </c>
      <c r="BH23" s="522"/>
      <c r="BI23" s="522">
        <f t="shared" si="55"/>
        <v>0</v>
      </c>
      <c r="BJ23" s="522"/>
      <c r="BK23" s="522">
        <f t="shared" si="56"/>
        <v>0</v>
      </c>
      <c r="BL23" s="522"/>
      <c r="BM23" s="522">
        <f t="shared" si="57"/>
        <v>0</v>
      </c>
      <c r="BN23" s="522"/>
      <c r="BO23" s="522">
        <f t="shared" si="58"/>
        <v>0</v>
      </c>
      <c r="BP23" s="522"/>
      <c r="BQ23" s="522">
        <f t="shared" si="59"/>
        <v>0</v>
      </c>
      <c r="BR23" s="522"/>
      <c r="BS23" s="522">
        <f t="shared" si="60"/>
        <v>0</v>
      </c>
      <c r="BT23" s="522"/>
      <c r="BU23" s="522">
        <f t="shared" si="61"/>
        <v>0</v>
      </c>
      <c r="BV23" s="522"/>
      <c r="BW23" s="522">
        <f t="shared" si="62"/>
        <v>0</v>
      </c>
      <c r="BX23" s="522"/>
      <c r="BY23" s="522">
        <f t="shared" si="63"/>
        <v>0</v>
      </c>
      <c r="BZ23" s="522"/>
      <c r="CA23" s="522">
        <f t="shared" si="64"/>
        <v>0</v>
      </c>
      <c r="CB23" s="522"/>
      <c r="CC23" s="522">
        <f t="shared" si="65"/>
        <v>0</v>
      </c>
      <c r="CD23" s="522"/>
      <c r="CE23" s="522">
        <f t="shared" si="66"/>
        <v>0</v>
      </c>
      <c r="CF23" s="522">
        <f t="shared" si="10"/>
        <v>0</v>
      </c>
      <c r="CG23" s="522">
        <f t="shared" si="11"/>
        <v>0</v>
      </c>
      <c r="CH23" s="523"/>
      <c r="CI23" s="522"/>
      <c r="CJ23" s="522">
        <f t="shared" si="67"/>
        <v>0</v>
      </c>
      <c r="CK23" s="522"/>
      <c r="CL23" s="522">
        <f t="shared" si="68"/>
        <v>0</v>
      </c>
      <c r="CM23" s="522"/>
      <c r="CN23" s="522">
        <f t="shared" si="69"/>
        <v>0</v>
      </c>
      <c r="CO23" s="522"/>
      <c r="CP23" s="522">
        <f t="shared" si="70"/>
        <v>0</v>
      </c>
      <c r="CQ23" s="522"/>
      <c r="CR23" s="522">
        <f t="shared" si="71"/>
        <v>0</v>
      </c>
      <c r="CS23" s="522"/>
      <c r="CT23" s="522">
        <f t="shared" si="72"/>
        <v>0</v>
      </c>
      <c r="CU23" s="522"/>
      <c r="CV23" s="522">
        <f t="shared" si="73"/>
        <v>0</v>
      </c>
      <c r="CW23" s="522"/>
      <c r="CX23" s="522">
        <f t="shared" si="74"/>
        <v>0</v>
      </c>
      <c r="CY23" s="522"/>
      <c r="CZ23" s="522">
        <f t="shared" si="75"/>
        <v>0</v>
      </c>
      <c r="DA23" s="522"/>
      <c r="DB23" s="522">
        <f t="shared" si="76"/>
        <v>0</v>
      </c>
      <c r="DC23" s="522"/>
      <c r="DD23" s="522">
        <f t="shared" si="77"/>
        <v>0</v>
      </c>
      <c r="DE23" s="522"/>
      <c r="DF23" s="522">
        <f t="shared" si="78"/>
        <v>0</v>
      </c>
      <c r="DG23" s="522">
        <f t="shared" si="12"/>
        <v>0</v>
      </c>
      <c r="DH23" s="522">
        <f t="shared" si="13"/>
        <v>0</v>
      </c>
      <c r="DI23" s="524"/>
      <c r="DJ23" s="522"/>
      <c r="DK23" s="522">
        <f t="shared" si="79"/>
        <v>0</v>
      </c>
      <c r="DL23" s="522"/>
      <c r="DM23" s="522">
        <f t="shared" si="80"/>
        <v>0</v>
      </c>
      <c r="DN23" s="522"/>
      <c r="DO23" s="522">
        <f t="shared" si="81"/>
        <v>0</v>
      </c>
      <c r="DP23" s="522"/>
      <c r="DQ23" s="522">
        <f t="shared" si="82"/>
        <v>0</v>
      </c>
      <c r="DR23" s="522"/>
      <c r="DS23" s="522">
        <f t="shared" si="83"/>
        <v>0</v>
      </c>
      <c r="DT23" s="522"/>
      <c r="DU23" s="522">
        <f t="shared" si="84"/>
        <v>0</v>
      </c>
      <c r="DV23" s="522"/>
      <c r="DW23" s="522">
        <f t="shared" si="85"/>
        <v>0</v>
      </c>
      <c r="DX23" s="522"/>
      <c r="DY23" s="522">
        <f t="shared" si="86"/>
        <v>0</v>
      </c>
      <c r="DZ23" s="522"/>
      <c r="EA23" s="522">
        <f t="shared" si="87"/>
        <v>0</v>
      </c>
      <c r="EB23" s="522"/>
      <c r="EC23" s="522">
        <f t="shared" si="88"/>
        <v>0</v>
      </c>
      <c r="ED23" s="522"/>
      <c r="EE23" s="522">
        <f t="shared" si="89"/>
        <v>0</v>
      </c>
      <c r="EF23" s="522"/>
      <c r="EG23" s="522">
        <f t="shared" si="90"/>
        <v>0</v>
      </c>
      <c r="EH23" s="522">
        <f t="shared" si="14"/>
        <v>0</v>
      </c>
      <c r="EI23" s="522">
        <f t="shared" si="15"/>
        <v>0</v>
      </c>
      <c r="EJ23" s="524"/>
      <c r="EK23" s="522"/>
      <c r="EL23" s="522">
        <f t="shared" si="16"/>
        <v>0</v>
      </c>
      <c r="EM23" s="522"/>
      <c r="EN23" s="522">
        <f t="shared" si="91"/>
        <v>0</v>
      </c>
      <c r="EO23" s="522"/>
      <c r="EP23" s="522">
        <f t="shared" si="92"/>
        <v>0</v>
      </c>
      <c r="EQ23" s="522"/>
      <c r="ER23" s="522">
        <f t="shared" si="93"/>
        <v>0</v>
      </c>
      <c r="ES23" s="522"/>
      <c r="ET23" s="522">
        <f t="shared" si="94"/>
        <v>0</v>
      </c>
      <c r="EU23" s="522"/>
      <c r="EV23" s="522">
        <f t="shared" si="95"/>
        <v>0</v>
      </c>
      <c r="EW23" s="522"/>
      <c r="EX23" s="522">
        <f t="shared" si="96"/>
        <v>0</v>
      </c>
      <c r="EY23" s="522"/>
      <c r="EZ23" s="522">
        <f t="shared" si="97"/>
        <v>0</v>
      </c>
      <c r="FA23" s="522"/>
      <c r="FB23" s="522">
        <f t="shared" si="98"/>
        <v>0</v>
      </c>
      <c r="FC23" s="522"/>
      <c r="FD23" s="522">
        <f t="shared" si="99"/>
        <v>0</v>
      </c>
      <c r="FE23" s="522"/>
      <c r="FF23" s="522">
        <f t="shared" si="100"/>
        <v>0</v>
      </c>
      <c r="FG23" s="522"/>
      <c r="FH23" s="522">
        <f t="shared" si="101"/>
        <v>0</v>
      </c>
      <c r="FI23" s="522">
        <f t="shared" si="17"/>
        <v>0</v>
      </c>
      <c r="FJ23" s="522">
        <f t="shared" si="18"/>
        <v>0</v>
      </c>
      <c r="FK23" s="525"/>
      <c r="FL23" s="522"/>
      <c r="FM23" s="522">
        <f t="shared" si="19"/>
        <v>0</v>
      </c>
      <c r="FN23" s="522"/>
      <c r="FO23" s="522">
        <f t="shared" si="102"/>
        <v>0</v>
      </c>
      <c r="FP23" s="522"/>
      <c r="FQ23" s="522">
        <f t="shared" si="103"/>
        <v>0</v>
      </c>
      <c r="FR23" s="522"/>
      <c r="FS23" s="522">
        <f t="shared" si="104"/>
        <v>0</v>
      </c>
      <c r="FT23" s="522"/>
      <c r="FU23" s="522">
        <f t="shared" si="105"/>
        <v>0</v>
      </c>
      <c r="FV23" s="522"/>
      <c r="FW23" s="522">
        <f t="shared" si="106"/>
        <v>0</v>
      </c>
      <c r="FX23" s="522"/>
      <c r="FY23" s="522">
        <f t="shared" si="107"/>
        <v>0</v>
      </c>
      <c r="FZ23" s="522"/>
      <c r="GA23" s="522">
        <f t="shared" si="108"/>
        <v>0</v>
      </c>
      <c r="GB23" s="522"/>
      <c r="GC23" s="522">
        <f t="shared" si="109"/>
        <v>0</v>
      </c>
      <c r="GD23" s="522"/>
      <c r="GE23" s="522">
        <f t="shared" si="110"/>
        <v>0</v>
      </c>
      <c r="GF23" s="522"/>
      <c r="GG23" s="522">
        <f t="shared" si="111"/>
        <v>0</v>
      </c>
      <c r="GH23" s="522"/>
      <c r="GI23" s="522">
        <f t="shared" si="112"/>
        <v>0</v>
      </c>
      <c r="GJ23" s="522">
        <f t="shared" si="20"/>
        <v>0</v>
      </c>
      <c r="GK23" s="522">
        <f t="shared" si="20"/>
        <v>0</v>
      </c>
      <c r="GL23" s="523">
        <f>IFERROR(((+F23+H23+J23+L23)/($E23/'RKP 08'!$D$5)),0)</f>
        <v>350</v>
      </c>
      <c r="GM23" s="523">
        <f t="shared" si="135"/>
        <v>213868462.50000003</v>
      </c>
      <c r="GN23" s="523">
        <f>IFERROR(((+N23+P23+R23+T23)/($E23/'RKP 08'!$D$5)),0)</f>
        <v>0</v>
      </c>
      <c r="GO23" s="523">
        <f t="shared" si="113"/>
        <v>0</v>
      </c>
      <c r="GP23" s="523">
        <f>IFERROR(((V23+X23+Z23+AB23)/($E23/'RKP 08'!$D$5)),0)</f>
        <v>0</v>
      </c>
      <c r="GQ23" s="523">
        <f t="shared" si="114"/>
        <v>0</v>
      </c>
      <c r="GR23" s="523">
        <f t="shared" si="115"/>
        <v>350</v>
      </c>
      <c r="GS23" s="523">
        <f t="shared" si="116"/>
        <v>213868462.50000003</v>
      </c>
      <c r="GT23" s="523">
        <f>IFERROR(((AG23+AI23+AK23+AM23)/($E23/'RKP 08'!$D$5)),0)</f>
        <v>0</v>
      </c>
      <c r="GU23" s="523">
        <f t="shared" si="21"/>
        <v>0</v>
      </c>
      <c r="GV23" s="523">
        <f>IFERROR(((AO23+AQ23+AS23+AU23)/($E23/'RKP 08'!$D$5)),0)</f>
        <v>0</v>
      </c>
      <c r="GW23" s="523">
        <f t="shared" si="22"/>
        <v>0</v>
      </c>
      <c r="GX23" s="523">
        <f>IFERROR(((AW23+AY23+BA23+BC23)/($E23/'RKP 08'!$D$5)),0)</f>
        <v>0</v>
      </c>
      <c r="GY23" s="523">
        <f t="shared" si="23"/>
        <v>0</v>
      </c>
      <c r="GZ23" s="523">
        <f t="shared" si="117"/>
        <v>0</v>
      </c>
      <c r="HA23" s="523">
        <f t="shared" si="118"/>
        <v>0</v>
      </c>
      <c r="HB23" s="523">
        <f>IFERROR(((BH23+BJ23+BL23+BN23)/($E23/'RKP 08'!$D$5)),0)</f>
        <v>0</v>
      </c>
      <c r="HC23" s="523">
        <f t="shared" si="24"/>
        <v>0</v>
      </c>
      <c r="HD23" s="523">
        <f>IFERROR(((BP23+BR23+BT23+BV23)/($E23/'RKP 08'!$D$5)),0)</f>
        <v>0</v>
      </c>
      <c r="HE23" s="523">
        <f t="shared" si="25"/>
        <v>0</v>
      </c>
      <c r="HF23" s="523">
        <f>IFERROR(((BX23+BZ23+CB23+CD23)/($E23/'RKP 08'!$D$5)),0)</f>
        <v>0</v>
      </c>
      <c r="HG23" s="523">
        <f t="shared" si="26"/>
        <v>0</v>
      </c>
      <c r="HH23" s="523">
        <f t="shared" si="119"/>
        <v>0</v>
      </c>
      <c r="HI23" s="523">
        <f t="shared" si="120"/>
        <v>0</v>
      </c>
      <c r="HJ23" s="523">
        <f>IFERROR(((CI23+CK23+CM23+CO23)/($E23/'RKP 08'!$D$5)),0)</f>
        <v>0</v>
      </c>
      <c r="HK23" s="523">
        <f t="shared" si="121"/>
        <v>0</v>
      </c>
      <c r="HL23" s="523">
        <f>IFERROR(((CQ23+CS23+CU23+CW23)/($E23/'RKP 08'!$D$5)),0)</f>
        <v>0</v>
      </c>
      <c r="HM23" s="523">
        <f t="shared" si="122"/>
        <v>0</v>
      </c>
      <c r="HN23" s="523">
        <f>IFERROR(((CY23+DA23+DC23+DE23)/($E23/'RKP 08'!$D$5)),0)</f>
        <v>0</v>
      </c>
      <c r="HO23" s="523">
        <f t="shared" si="123"/>
        <v>0</v>
      </c>
      <c r="HP23" s="523">
        <f t="shared" si="124"/>
        <v>0</v>
      </c>
      <c r="HQ23" s="523">
        <f t="shared" si="125"/>
        <v>0</v>
      </c>
      <c r="HR23" s="511">
        <f>IFERROR(((DJ23+DL23+DN23+DP23)/($E23/'RKP 08'!$D$5)),0)</f>
        <v>0</v>
      </c>
      <c r="HS23" s="511">
        <f t="shared" si="27"/>
        <v>0</v>
      </c>
      <c r="HT23" s="511">
        <f>IFERROR(((DR23+DT23+DV23+DX23)/($E23/'RKP 08'!$D$5)),0)</f>
        <v>0</v>
      </c>
      <c r="HU23" s="511">
        <f t="shared" si="28"/>
        <v>0</v>
      </c>
      <c r="HV23" s="511">
        <f>IFERROR(((DZ23+EB23+ED23+EF23)/($E23/'RKP 08'!$D$5)),0)</f>
        <v>0</v>
      </c>
      <c r="HW23" s="511">
        <f t="shared" si="29"/>
        <v>0</v>
      </c>
      <c r="HX23" s="523">
        <f t="shared" si="126"/>
        <v>0</v>
      </c>
      <c r="HY23" s="523">
        <f t="shared" si="127"/>
        <v>0</v>
      </c>
      <c r="HZ23" s="523">
        <f t="shared" si="128"/>
        <v>0</v>
      </c>
      <c r="IA23" s="523">
        <f t="shared" si="128"/>
        <v>0</v>
      </c>
      <c r="IB23" s="511">
        <f>IFERROR(((ES23+EU23+EW23+EY23)/($E23/'RKP 08'!$D$5)),0)</f>
        <v>0</v>
      </c>
      <c r="IC23" s="511">
        <f t="shared" si="30"/>
        <v>0</v>
      </c>
      <c r="ID23" s="511">
        <f>IFERROR(((FA23+FC23+FE23+FG23)/($E23/'RKP 08'!$D$5)),0)</f>
        <v>0</v>
      </c>
      <c r="IE23" s="511">
        <f t="shared" si="31"/>
        <v>0</v>
      </c>
      <c r="IF23" s="523">
        <f t="shared" si="129"/>
        <v>0</v>
      </c>
      <c r="IG23" s="523">
        <f t="shared" si="130"/>
        <v>0</v>
      </c>
      <c r="II23" s="523">
        <f t="shared" si="131"/>
        <v>213868462.50000003</v>
      </c>
      <c r="IJ23" s="523">
        <f t="shared" si="132"/>
        <v>0</v>
      </c>
      <c r="IK23" s="577"/>
    </row>
    <row r="24" spans="1:250" s="519" customFormat="1" ht="24" customHeight="1" x14ac:dyDescent="0.2">
      <c r="B24" s="520" t="s">
        <v>569</v>
      </c>
      <c r="C24" s="521" t="s">
        <v>376</v>
      </c>
      <c r="D24" s="574">
        <f>8400*105.81%</f>
        <v>8888.0400000000009</v>
      </c>
      <c r="E24" s="522">
        <f>(350*300)</f>
        <v>105000</v>
      </c>
      <c r="F24" s="522">
        <f t="shared" si="133"/>
        <v>105000</v>
      </c>
      <c r="G24" s="522">
        <f t="shared" si="134"/>
        <v>933244200.00000012</v>
      </c>
      <c r="H24" s="522"/>
      <c r="I24" s="522">
        <f t="shared" si="32"/>
        <v>0</v>
      </c>
      <c r="J24" s="522"/>
      <c r="K24" s="522">
        <f t="shared" si="33"/>
        <v>0</v>
      </c>
      <c r="L24" s="522"/>
      <c r="M24" s="522">
        <f t="shared" si="34"/>
        <v>0</v>
      </c>
      <c r="N24" s="522"/>
      <c r="O24" s="522">
        <f t="shared" si="35"/>
        <v>0</v>
      </c>
      <c r="P24" s="522"/>
      <c r="Q24" s="522">
        <f t="shared" si="36"/>
        <v>0</v>
      </c>
      <c r="R24" s="522"/>
      <c r="S24" s="522">
        <f t="shared" si="37"/>
        <v>0</v>
      </c>
      <c r="T24" s="522"/>
      <c r="U24" s="522">
        <f t="shared" si="38"/>
        <v>0</v>
      </c>
      <c r="V24" s="522"/>
      <c r="W24" s="522">
        <f t="shared" si="39"/>
        <v>0</v>
      </c>
      <c r="X24" s="522"/>
      <c r="Y24" s="522">
        <f t="shared" si="40"/>
        <v>0</v>
      </c>
      <c r="Z24" s="522"/>
      <c r="AA24" s="522">
        <f t="shared" si="41"/>
        <v>0</v>
      </c>
      <c r="AB24" s="522"/>
      <c r="AC24" s="522">
        <f t="shared" si="42"/>
        <v>0</v>
      </c>
      <c r="AD24" s="522">
        <f>F24+H24+J24+L24+N24+P24+R24+T24+V24+X24+Z24+AB24</f>
        <v>105000</v>
      </c>
      <c r="AE24" s="522">
        <f t="shared" si="7"/>
        <v>933244200.00000012</v>
      </c>
      <c r="AG24" s="522"/>
      <c r="AH24" s="522">
        <f t="shared" si="43"/>
        <v>0</v>
      </c>
      <c r="AI24" s="522"/>
      <c r="AJ24" s="522">
        <f t="shared" si="44"/>
        <v>0</v>
      </c>
      <c r="AK24" s="522">
        <v>0</v>
      </c>
      <c r="AL24" s="522">
        <f t="shared" si="45"/>
        <v>0</v>
      </c>
      <c r="AM24" s="522">
        <v>0</v>
      </c>
      <c r="AN24" s="522">
        <f t="shared" si="46"/>
        <v>0</v>
      </c>
      <c r="AO24" s="522">
        <v>0</v>
      </c>
      <c r="AP24" s="522">
        <f t="shared" si="47"/>
        <v>0</v>
      </c>
      <c r="AQ24" s="522">
        <v>0</v>
      </c>
      <c r="AR24" s="522">
        <f t="shared" si="48"/>
        <v>0</v>
      </c>
      <c r="AS24" s="522">
        <v>0</v>
      </c>
      <c r="AT24" s="522">
        <f t="shared" si="49"/>
        <v>0</v>
      </c>
      <c r="AU24" s="522"/>
      <c r="AV24" s="522">
        <f t="shared" si="50"/>
        <v>0</v>
      </c>
      <c r="AW24" s="522"/>
      <c r="AX24" s="522">
        <f t="shared" si="51"/>
        <v>0</v>
      </c>
      <c r="AY24" s="522"/>
      <c r="AZ24" s="522">
        <f t="shared" si="52"/>
        <v>0</v>
      </c>
      <c r="BA24" s="530">
        <v>0</v>
      </c>
      <c r="BB24" s="522">
        <f t="shared" si="53"/>
        <v>0</v>
      </c>
      <c r="BC24" s="530">
        <v>0</v>
      </c>
      <c r="BD24" s="522">
        <f t="shared" si="54"/>
        <v>0</v>
      </c>
      <c r="BE24" s="522">
        <v>0</v>
      </c>
      <c r="BF24" s="522">
        <f t="shared" si="9"/>
        <v>0</v>
      </c>
      <c r="BH24" s="522">
        <v>0</v>
      </c>
      <c r="BI24" s="522">
        <f t="shared" si="55"/>
        <v>0</v>
      </c>
      <c r="BJ24" s="522">
        <v>0</v>
      </c>
      <c r="BK24" s="522">
        <f t="shared" si="56"/>
        <v>0</v>
      </c>
      <c r="BL24" s="522">
        <v>0</v>
      </c>
      <c r="BM24" s="522">
        <f t="shared" si="57"/>
        <v>0</v>
      </c>
      <c r="BN24" s="522">
        <v>0</v>
      </c>
      <c r="BO24" s="522">
        <f t="shared" si="58"/>
        <v>0</v>
      </c>
      <c r="BP24" s="522">
        <v>0</v>
      </c>
      <c r="BQ24" s="522">
        <f t="shared" si="59"/>
        <v>0</v>
      </c>
      <c r="BR24" s="522">
        <v>0</v>
      </c>
      <c r="BS24" s="522">
        <f t="shared" si="60"/>
        <v>0</v>
      </c>
      <c r="BT24" s="522">
        <v>0</v>
      </c>
      <c r="BU24" s="522">
        <f t="shared" si="61"/>
        <v>0</v>
      </c>
      <c r="BV24" s="522">
        <v>0</v>
      </c>
      <c r="BW24" s="522">
        <f t="shared" si="62"/>
        <v>0</v>
      </c>
      <c r="BX24" s="522">
        <v>0</v>
      </c>
      <c r="BY24" s="522">
        <f t="shared" si="63"/>
        <v>0</v>
      </c>
      <c r="BZ24" s="522"/>
      <c r="CA24" s="522">
        <f t="shared" si="64"/>
        <v>0</v>
      </c>
      <c r="CB24" s="522"/>
      <c r="CC24" s="522">
        <f t="shared" si="65"/>
        <v>0</v>
      </c>
      <c r="CD24" s="522"/>
      <c r="CE24" s="522">
        <f t="shared" si="66"/>
        <v>0</v>
      </c>
      <c r="CF24" s="522">
        <f t="shared" si="10"/>
        <v>0</v>
      </c>
      <c r="CG24" s="522">
        <f t="shared" si="11"/>
        <v>0</v>
      </c>
      <c r="CH24" s="523"/>
      <c r="CI24" s="522"/>
      <c r="CJ24" s="522">
        <f t="shared" si="67"/>
        <v>0</v>
      </c>
      <c r="CK24" s="522"/>
      <c r="CL24" s="522">
        <f t="shared" si="68"/>
        <v>0</v>
      </c>
      <c r="CM24" s="522"/>
      <c r="CN24" s="522">
        <f t="shared" si="69"/>
        <v>0</v>
      </c>
      <c r="CO24" s="522"/>
      <c r="CP24" s="522">
        <f t="shared" si="70"/>
        <v>0</v>
      </c>
      <c r="CQ24" s="522"/>
      <c r="CR24" s="522">
        <f t="shared" si="71"/>
        <v>0</v>
      </c>
      <c r="CS24" s="522"/>
      <c r="CT24" s="522">
        <f t="shared" si="72"/>
        <v>0</v>
      </c>
      <c r="CU24" s="522">
        <v>0</v>
      </c>
      <c r="CV24" s="522">
        <f t="shared" si="73"/>
        <v>0</v>
      </c>
      <c r="CW24" s="522">
        <v>0</v>
      </c>
      <c r="CX24" s="522">
        <f t="shared" si="74"/>
        <v>0</v>
      </c>
      <c r="CY24" s="522">
        <v>0</v>
      </c>
      <c r="CZ24" s="522">
        <f t="shared" si="75"/>
        <v>0</v>
      </c>
      <c r="DA24" s="522">
        <v>0</v>
      </c>
      <c r="DB24" s="522">
        <f t="shared" si="76"/>
        <v>0</v>
      </c>
      <c r="DC24" s="522"/>
      <c r="DD24" s="522">
        <f t="shared" si="77"/>
        <v>0</v>
      </c>
      <c r="DE24" s="522"/>
      <c r="DF24" s="522">
        <f t="shared" si="78"/>
        <v>0</v>
      </c>
      <c r="DG24" s="522">
        <f t="shared" si="12"/>
        <v>0</v>
      </c>
      <c r="DH24" s="522">
        <f t="shared" si="13"/>
        <v>0</v>
      </c>
      <c r="DI24" s="524"/>
      <c r="DJ24" s="522"/>
      <c r="DK24" s="522">
        <f t="shared" si="79"/>
        <v>0</v>
      </c>
      <c r="DL24" s="522"/>
      <c r="DM24" s="522">
        <f t="shared" si="80"/>
        <v>0</v>
      </c>
      <c r="DN24" s="522"/>
      <c r="DO24" s="522">
        <f t="shared" si="81"/>
        <v>0</v>
      </c>
      <c r="DP24" s="522"/>
      <c r="DQ24" s="522">
        <f t="shared" si="82"/>
        <v>0</v>
      </c>
      <c r="DR24" s="522"/>
      <c r="DS24" s="522">
        <f t="shared" si="83"/>
        <v>0</v>
      </c>
      <c r="DT24" s="522"/>
      <c r="DU24" s="522">
        <f t="shared" si="84"/>
        <v>0</v>
      </c>
      <c r="DV24" s="522">
        <v>0</v>
      </c>
      <c r="DW24" s="522">
        <f t="shared" si="85"/>
        <v>0</v>
      </c>
      <c r="DX24" s="522">
        <v>0</v>
      </c>
      <c r="DY24" s="522">
        <f t="shared" si="86"/>
        <v>0</v>
      </c>
      <c r="DZ24" s="522">
        <v>0</v>
      </c>
      <c r="EA24" s="522">
        <f t="shared" si="87"/>
        <v>0</v>
      </c>
      <c r="EB24" s="522">
        <v>0</v>
      </c>
      <c r="EC24" s="522">
        <f t="shared" si="88"/>
        <v>0</v>
      </c>
      <c r="ED24" s="522"/>
      <c r="EE24" s="522">
        <f t="shared" si="89"/>
        <v>0</v>
      </c>
      <c r="EF24" s="522"/>
      <c r="EG24" s="522">
        <f t="shared" si="90"/>
        <v>0</v>
      </c>
      <c r="EH24" s="522">
        <f t="shared" si="14"/>
        <v>0</v>
      </c>
      <c r="EI24" s="522">
        <f t="shared" si="15"/>
        <v>0</v>
      </c>
      <c r="EJ24" s="524"/>
      <c r="EK24" s="522"/>
      <c r="EL24" s="522">
        <f t="shared" si="16"/>
        <v>0</v>
      </c>
      <c r="EM24" s="522"/>
      <c r="EN24" s="522">
        <f t="shared" si="91"/>
        <v>0</v>
      </c>
      <c r="EO24" s="522"/>
      <c r="EP24" s="522">
        <f t="shared" si="92"/>
        <v>0</v>
      </c>
      <c r="EQ24" s="522"/>
      <c r="ER24" s="522">
        <f t="shared" si="93"/>
        <v>0</v>
      </c>
      <c r="ES24" s="522"/>
      <c r="ET24" s="522">
        <f t="shared" si="94"/>
        <v>0</v>
      </c>
      <c r="EU24" s="522"/>
      <c r="EV24" s="522">
        <f t="shared" si="95"/>
        <v>0</v>
      </c>
      <c r="EW24" s="522">
        <v>0</v>
      </c>
      <c r="EX24" s="522">
        <f t="shared" si="96"/>
        <v>0</v>
      </c>
      <c r="EY24" s="522">
        <v>0</v>
      </c>
      <c r="EZ24" s="522">
        <f t="shared" si="97"/>
        <v>0</v>
      </c>
      <c r="FA24" s="522">
        <v>0</v>
      </c>
      <c r="FB24" s="522">
        <f t="shared" si="98"/>
        <v>0</v>
      </c>
      <c r="FC24" s="522">
        <v>0</v>
      </c>
      <c r="FD24" s="522">
        <f t="shared" si="99"/>
        <v>0</v>
      </c>
      <c r="FE24" s="522"/>
      <c r="FF24" s="522">
        <f t="shared" si="100"/>
        <v>0</v>
      </c>
      <c r="FG24" s="522"/>
      <c r="FH24" s="522">
        <f t="shared" si="101"/>
        <v>0</v>
      </c>
      <c r="FI24" s="522">
        <f t="shared" si="17"/>
        <v>0</v>
      </c>
      <c r="FJ24" s="522">
        <f t="shared" si="18"/>
        <v>0</v>
      </c>
      <c r="FK24" s="525"/>
      <c r="FL24" s="522"/>
      <c r="FM24" s="522">
        <f t="shared" si="19"/>
        <v>0</v>
      </c>
      <c r="FN24" s="522"/>
      <c r="FO24" s="522">
        <f t="shared" si="102"/>
        <v>0</v>
      </c>
      <c r="FP24" s="522"/>
      <c r="FQ24" s="522">
        <f t="shared" si="103"/>
        <v>0</v>
      </c>
      <c r="FR24" s="522"/>
      <c r="FS24" s="522">
        <f t="shared" si="104"/>
        <v>0</v>
      </c>
      <c r="FT24" s="522"/>
      <c r="FU24" s="522">
        <f t="shared" si="105"/>
        <v>0</v>
      </c>
      <c r="FV24" s="522"/>
      <c r="FW24" s="522">
        <f t="shared" si="106"/>
        <v>0</v>
      </c>
      <c r="FX24" s="522">
        <v>0</v>
      </c>
      <c r="FY24" s="522">
        <f t="shared" si="107"/>
        <v>0</v>
      </c>
      <c r="FZ24" s="522">
        <v>0</v>
      </c>
      <c r="GA24" s="522">
        <f t="shared" si="108"/>
        <v>0</v>
      </c>
      <c r="GB24" s="522">
        <v>0</v>
      </c>
      <c r="GC24" s="522">
        <f t="shared" si="109"/>
        <v>0</v>
      </c>
      <c r="GD24" s="522">
        <v>0</v>
      </c>
      <c r="GE24" s="522">
        <f t="shared" si="110"/>
        <v>0</v>
      </c>
      <c r="GF24" s="522"/>
      <c r="GG24" s="522">
        <f t="shared" si="111"/>
        <v>0</v>
      </c>
      <c r="GH24" s="522"/>
      <c r="GI24" s="522">
        <f t="shared" si="112"/>
        <v>0</v>
      </c>
      <c r="GJ24" s="522">
        <f t="shared" si="20"/>
        <v>0</v>
      </c>
      <c r="GK24" s="522">
        <f t="shared" si="20"/>
        <v>0</v>
      </c>
      <c r="GL24" s="523">
        <f>IFERROR(((+F24+H24+J24+L24)/($E24/'RKP 08'!$D$5)),0)</f>
        <v>350</v>
      </c>
      <c r="GM24" s="523">
        <f t="shared" si="135"/>
        <v>933244200.00000012</v>
      </c>
      <c r="GN24" s="523">
        <f>IFERROR(((+N24+P24+R24+T24)/($E24/'RKP 08'!$D$5)),0)</f>
        <v>0</v>
      </c>
      <c r="GO24" s="523">
        <f t="shared" si="113"/>
        <v>0</v>
      </c>
      <c r="GP24" s="523">
        <f>IFERROR(((V24+X24+Z24+AB24)/($E24/'RKP 08'!$D$5)),0)</f>
        <v>0</v>
      </c>
      <c r="GQ24" s="523">
        <f t="shared" si="114"/>
        <v>0</v>
      </c>
      <c r="GR24" s="523">
        <f t="shared" si="115"/>
        <v>350</v>
      </c>
      <c r="GS24" s="523">
        <f t="shared" si="116"/>
        <v>933244200.00000012</v>
      </c>
      <c r="GT24" s="523">
        <f>IFERROR(((AG24+AI24+AK24+AM24)/($E24/'RKP 08'!$D$5)),0)</f>
        <v>0</v>
      </c>
      <c r="GU24" s="523">
        <f t="shared" si="21"/>
        <v>0</v>
      </c>
      <c r="GV24" s="523">
        <f>IFERROR(((AO24+AQ24+AS24+AU24)/($E24/'RKP 08'!$D$5)),0)</f>
        <v>0</v>
      </c>
      <c r="GW24" s="523">
        <f t="shared" si="22"/>
        <v>0</v>
      </c>
      <c r="GX24" s="523">
        <f>IFERROR(((AW24+AY24+BA24+BC24)/($E24/'RKP 08'!$D$5)),0)</f>
        <v>0</v>
      </c>
      <c r="GY24" s="523">
        <f t="shared" si="23"/>
        <v>0</v>
      </c>
      <c r="GZ24" s="523">
        <f t="shared" si="117"/>
        <v>0</v>
      </c>
      <c r="HA24" s="523">
        <f t="shared" si="118"/>
        <v>0</v>
      </c>
      <c r="HB24" s="523">
        <f>IFERROR(((BH24+BJ24+BL24+BN24)/($E24/'RKP 08'!$D$5)),0)</f>
        <v>0</v>
      </c>
      <c r="HC24" s="523">
        <f t="shared" si="24"/>
        <v>0</v>
      </c>
      <c r="HD24" s="523">
        <f>IFERROR(((BP24+BR24+BT24+BV24)/($E24/'RKP 08'!$D$5)),0)</f>
        <v>0</v>
      </c>
      <c r="HE24" s="523">
        <f t="shared" si="25"/>
        <v>0</v>
      </c>
      <c r="HF24" s="523">
        <f>IFERROR(((BX24+BZ24+CB24+CD24)/($E24/'RKP 08'!$D$5)),0)</f>
        <v>0</v>
      </c>
      <c r="HG24" s="523">
        <f t="shared" si="26"/>
        <v>0</v>
      </c>
      <c r="HH24" s="523">
        <f t="shared" si="119"/>
        <v>0</v>
      </c>
      <c r="HI24" s="523">
        <f t="shared" si="120"/>
        <v>0</v>
      </c>
      <c r="HJ24" s="523">
        <f>IFERROR(((CI24+CK24+CM24+CO24)/($E24/'RKP 08'!$D$5)),0)</f>
        <v>0</v>
      </c>
      <c r="HK24" s="523">
        <f t="shared" si="121"/>
        <v>0</v>
      </c>
      <c r="HL24" s="523">
        <f>IFERROR(((CQ24+CS24+CU24+CW24)/($E24/'RKP 08'!$D$5)),0)</f>
        <v>0</v>
      </c>
      <c r="HM24" s="523">
        <f t="shared" si="122"/>
        <v>0</v>
      </c>
      <c r="HN24" s="523">
        <f>IFERROR(((CY24+DA24+DC24+DE24)/($E24/'RKP 08'!$D$5)),0)</f>
        <v>0</v>
      </c>
      <c r="HO24" s="523">
        <f t="shared" si="123"/>
        <v>0</v>
      </c>
      <c r="HP24" s="523">
        <f t="shared" si="124"/>
        <v>0</v>
      </c>
      <c r="HQ24" s="523">
        <f t="shared" si="125"/>
        <v>0</v>
      </c>
      <c r="HR24" s="511">
        <f>IFERROR(((DJ24+DL24+DN24+DP24)/($E24/'RKP 08'!$D$5)),0)</f>
        <v>0</v>
      </c>
      <c r="HS24" s="511">
        <f t="shared" si="27"/>
        <v>0</v>
      </c>
      <c r="HT24" s="511">
        <f>IFERROR(((DR24+DT24+DV24+DX24)/($E24/'RKP 08'!$D$5)),0)</f>
        <v>0</v>
      </c>
      <c r="HU24" s="511">
        <f t="shared" si="28"/>
        <v>0</v>
      </c>
      <c r="HV24" s="511">
        <f>IFERROR(((DZ24+EB24+ED24+EF24)/($E24/'RKP 08'!$D$5)),0)</f>
        <v>0</v>
      </c>
      <c r="HW24" s="511">
        <f t="shared" si="29"/>
        <v>0</v>
      </c>
      <c r="HX24" s="523">
        <f t="shared" si="126"/>
        <v>0</v>
      </c>
      <c r="HY24" s="523">
        <f t="shared" si="127"/>
        <v>0</v>
      </c>
      <c r="HZ24" s="523">
        <f t="shared" si="128"/>
        <v>0</v>
      </c>
      <c r="IA24" s="523">
        <f t="shared" si="128"/>
        <v>0</v>
      </c>
      <c r="IB24" s="511">
        <f>IFERROR(((ES24+EU24+EW24+EY24)/($E24/'RKP 08'!$D$5)),0)</f>
        <v>0</v>
      </c>
      <c r="IC24" s="511">
        <f t="shared" si="30"/>
        <v>0</v>
      </c>
      <c r="ID24" s="511">
        <f>IFERROR(((FA24+FC24+FE24+FG24)/($E24/'RKP 08'!$D$5)),0)</f>
        <v>0</v>
      </c>
      <c r="IE24" s="511">
        <f t="shared" si="31"/>
        <v>0</v>
      </c>
      <c r="IF24" s="523">
        <f t="shared" si="129"/>
        <v>0</v>
      </c>
      <c r="IG24" s="523">
        <f t="shared" si="130"/>
        <v>0</v>
      </c>
      <c r="II24" s="523">
        <f t="shared" si="131"/>
        <v>933244200.00000012</v>
      </c>
      <c r="IJ24" s="523">
        <f t="shared" si="132"/>
        <v>0</v>
      </c>
      <c r="IK24" s="577"/>
    </row>
    <row r="25" spans="1:250" s="519" customFormat="1" ht="24" customHeight="1" x14ac:dyDescent="0.2">
      <c r="A25" s="528"/>
      <c r="B25" s="520" t="s">
        <v>518</v>
      </c>
      <c r="C25" s="521" t="s">
        <v>100</v>
      </c>
      <c r="D25" s="574">
        <f>((84*29946623)+(0)+(0))/84*105.81%</f>
        <v>31686521.796300001</v>
      </c>
      <c r="E25" s="522">
        <f>350/200</f>
        <v>1.75</v>
      </c>
      <c r="F25" s="522">
        <f t="shared" si="133"/>
        <v>1.75</v>
      </c>
      <c r="G25" s="522">
        <f t="shared" si="134"/>
        <v>55451413.143525004</v>
      </c>
      <c r="H25" s="526">
        <f>'[15]TTL TB'!Y158</f>
        <v>0</v>
      </c>
      <c r="I25" s="522">
        <f t="shared" si="32"/>
        <v>0</v>
      </c>
      <c r="J25" s="526">
        <f>'[15]TTL TB'!AA158</f>
        <v>0</v>
      </c>
      <c r="K25" s="522">
        <f t="shared" si="33"/>
        <v>0</v>
      </c>
      <c r="L25" s="526"/>
      <c r="M25" s="522">
        <f t="shared" si="34"/>
        <v>0</v>
      </c>
      <c r="N25" s="526"/>
      <c r="O25" s="522">
        <f t="shared" si="35"/>
        <v>0</v>
      </c>
      <c r="P25" s="526">
        <f>'[15]TTL TB'!AG158</f>
        <v>0</v>
      </c>
      <c r="Q25" s="522">
        <f t="shared" si="36"/>
        <v>0</v>
      </c>
      <c r="R25" s="526"/>
      <c r="S25" s="522">
        <f t="shared" si="37"/>
        <v>0</v>
      </c>
      <c r="T25" s="526"/>
      <c r="U25" s="522">
        <f t="shared" si="38"/>
        <v>0</v>
      </c>
      <c r="V25" s="526"/>
      <c r="W25" s="522">
        <f t="shared" si="39"/>
        <v>0</v>
      </c>
      <c r="X25" s="526"/>
      <c r="Y25" s="522">
        <f t="shared" si="40"/>
        <v>0</v>
      </c>
      <c r="Z25" s="526"/>
      <c r="AA25" s="522">
        <f t="shared" si="41"/>
        <v>0</v>
      </c>
      <c r="AB25" s="526">
        <f>'[15]TTL TB'!AS158</f>
        <v>0</v>
      </c>
      <c r="AC25" s="522">
        <f t="shared" si="42"/>
        <v>0</v>
      </c>
      <c r="AD25" s="522">
        <f t="shared" si="7"/>
        <v>1.75</v>
      </c>
      <c r="AE25" s="522">
        <f t="shared" si="7"/>
        <v>55451413.143525004</v>
      </c>
      <c r="AG25" s="526"/>
      <c r="AH25" s="522">
        <f t="shared" si="43"/>
        <v>0</v>
      </c>
      <c r="AI25" s="526"/>
      <c r="AJ25" s="522">
        <f t="shared" si="44"/>
        <v>0</v>
      </c>
      <c r="AK25" s="526"/>
      <c r="AL25" s="522">
        <f t="shared" si="45"/>
        <v>0</v>
      </c>
      <c r="AM25" s="526"/>
      <c r="AN25" s="522">
        <f t="shared" si="46"/>
        <v>0</v>
      </c>
      <c r="AO25" s="526"/>
      <c r="AP25" s="522">
        <f t="shared" si="47"/>
        <v>0</v>
      </c>
      <c r="AQ25" s="526"/>
      <c r="AR25" s="522">
        <f t="shared" si="48"/>
        <v>0</v>
      </c>
      <c r="AS25" s="526"/>
      <c r="AT25" s="522">
        <f t="shared" si="49"/>
        <v>0</v>
      </c>
      <c r="AU25" s="526"/>
      <c r="AV25" s="522">
        <f t="shared" si="50"/>
        <v>0</v>
      </c>
      <c r="AW25" s="526"/>
      <c r="AX25" s="522">
        <f t="shared" si="51"/>
        <v>0</v>
      </c>
      <c r="AY25" s="526"/>
      <c r="AZ25" s="522">
        <f t="shared" si="52"/>
        <v>0</v>
      </c>
      <c r="BA25" s="526"/>
      <c r="BB25" s="522">
        <f t="shared" si="53"/>
        <v>0</v>
      </c>
      <c r="BC25" s="526"/>
      <c r="BD25" s="522">
        <f t="shared" si="54"/>
        <v>0</v>
      </c>
      <c r="BE25" s="522">
        <f t="shared" si="8"/>
        <v>0</v>
      </c>
      <c r="BF25" s="522">
        <f t="shared" si="9"/>
        <v>0</v>
      </c>
      <c r="BH25" s="526">
        <v>0</v>
      </c>
      <c r="BI25" s="522">
        <f t="shared" si="55"/>
        <v>0</v>
      </c>
      <c r="BJ25" s="526">
        <v>0</v>
      </c>
      <c r="BK25" s="522">
        <f t="shared" si="56"/>
        <v>0</v>
      </c>
      <c r="BL25" s="526">
        <v>0</v>
      </c>
      <c r="BM25" s="522">
        <f t="shared" si="57"/>
        <v>0</v>
      </c>
      <c r="BN25" s="526">
        <v>0</v>
      </c>
      <c r="BO25" s="522">
        <f t="shared" si="58"/>
        <v>0</v>
      </c>
      <c r="BP25" s="526">
        <v>0</v>
      </c>
      <c r="BQ25" s="522">
        <f t="shared" si="59"/>
        <v>0</v>
      </c>
      <c r="BR25" s="526">
        <v>0</v>
      </c>
      <c r="BS25" s="522">
        <f t="shared" si="60"/>
        <v>0</v>
      </c>
      <c r="BT25" s="526">
        <v>0</v>
      </c>
      <c r="BU25" s="522">
        <f t="shared" si="61"/>
        <v>0</v>
      </c>
      <c r="BV25" s="526">
        <v>0</v>
      </c>
      <c r="BW25" s="522">
        <f t="shared" si="62"/>
        <v>0</v>
      </c>
      <c r="BX25" s="526">
        <v>0</v>
      </c>
      <c r="BY25" s="522">
        <f t="shared" si="63"/>
        <v>0</v>
      </c>
      <c r="BZ25" s="526">
        <v>0</v>
      </c>
      <c r="CA25" s="522">
        <f t="shared" si="64"/>
        <v>0</v>
      </c>
      <c r="CB25" s="526">
        <v>0</v>
      </c>
      <c r="CC25" s="522">
        <f t="shared" si="65"/>
        <v>0</v>
      </c>
      <c r="CD25" s="526">
        <v>0</v>
      </c>
      <c r="CE25" s="522">
        <f t="shared" si="66"/>
        <v>0</v>
      </c>
      <c r="CF25" s="522">
        <f t="shared" si="10"/>
        <v>0</v>
      </c>
      <c r="CG25" s="522">
        <f t="shared" si="11"/>
        <v>0</v>
      </c>
      <c r="CH25" s="523"/>
      <c r="CI25" s="526"/>
      <c r="CJ25" s="522">
        <f t="shared" si="67"/>
        <v>0</v>
      </c>
      <c r="CK25" s="526"/>
      <c r="CL25" s="522">
        <f t="shared" si="68"/>
        <v>0</v>
      </c>
      <c r="CM25" s="526"/>
      <c r="CN25" s="522">
        <f t="shared" si="69"/>
        <v>0</v>
      </c>
      <c r="CO25" s="526"/>
      <c r="CP25" s="522">
        <f t="shared" si="70"/>
        <v>0</v>
      </c>
      <c r="CQ25" s="526"/>
      <c r="CR25" s="522">
        <f t="shared" si="71"/>
        <v>0</v>
      </c>
      <c r="CS25" s="526"/>
      <c r="CT25" s="522">
        <f t="shared" si="72"/>
        <v>0</v>
      </c>
      <c r="CU25" s="526"/>
      <c r="CV25" s="522">
        <f t="shared" si="73"/>
        <v>0</v>
      </c>
      <c r="CW25" s="526"/>
      <c r="CX25" s="522">
        <f t="shared" si="74"/>
        <v>0</v>
      </c>
      <c r="CY25" s="526"/>
      <c r="CZ25" s="522">
        <f t="shared" si="75"/>
        <v>0</v>
      </c>
      <c r="DA25" s="526"/>
      <c r="DB25" s="522">
        <f t="shared" si="76"/>
        <v>0</v>
      </c>
      <c r="DC25" s="526"/>
      <c r="DD25" s="522">
        <f t="shared" si="77"/>
        <v>0</v>
      </c>
      <c r="DE25" s="526"/>
      <c r="DF25" s="522">
        <f t="shared" si="78"/>
        <v>0</v>
      </c>
      <c r="DG25" s="522">
        <f t="shared" si="12"/>
        <v>0</v>
      </c>
      <c r="DH25" s="522">
        <f t="shared" si="13"/>
        <v>0</v>
      </c>
      <c r="DI25" s="529"/>
      <c r="DJ25" s="526"/>
      <c r="DK25" s="522">
        <f t="shared" si="79"/>
        <v>0</v>
      </c>
      <c r="DL25" s="526"/>
      <c r="DM25" s="522">
        <f t="shared" si="80"/>
        <v>0</v>
      </c>
      <c r="DN25" s="526"/>
      <c r="DO25" s="522">
        <f t="shared" si="81"/>
        <v>0</v>
      </c>
      <c r="DP25" s="526"/>
      <c r="DQ25" s="522">
        <f t="shared" si="82"/>
        <v>0</v>
      </c>
      <c r="DR25" s="526"/>
      <c r="DS25" s="522">
        <f t="shared" si="83"/>
        <v>0</v>
      </c>
      <c r="DT25" s="526"/>
      <c r="DU25" s="522">
        <f t="shared" si="84"/>
        <v>0</v>
      </c>
      <c r="DV25" s="526"/>
      <c r="DW25" s="522">
        <f t="shared" si="85"/>
        <v>0</v>
      </c>
      <c r="DX25" s="526"/>
      <c r="DY25" s="522">
        <f t="shared" si="86"/>
        <v>0</v>
      </c>
      <c r="DZ25" s="526"/>
      <c r="EA25" s="522">
        <f t="shared" si="87"/>
        <v>0</v>
      </c>
      <c r="EB25" s="526"/>
      <c r="EC25" s="522">
        <f t="shared" si="88"/>
        <v>0</v>
      </c>
      <c r="ED25" s="526"/>
      <c r="EE25" s="522">
        <f t="shared" si="89"/>
        <v>0</v>
      </c>
      <c r="EF25" s="526"/>
      <c r="EG25" s="522">
        <f t="shared" si="90"/>
        <v>0</v>
      </c>
      <c r="EH25" s="522">
        <f t="shared" si="14"/>
        <v>0</v>
      </c>
      <c r="EI25" s="522">
        <f t="shared" si="15"/>
        <v>0</v>
      </c>
      <c r="EJ25" s="529"/>
      <c r="EK25" s="526"/>
      <c r="EL25" s="522">
        <f t="shared" si="16"/>
        <v>0</v>
      </c>
      <c r="EM25" s="526"/>
      <c r="EN25" s="522">
        <f t="shared" si="91"/>
        <v>0</v>
      </c>
      <c r="EO25" s="526"/>
      <c r="EP25" s="522">
        <f t="shared" si="92"/>
        <v>0</v>
      </c>
      <c r="EQ25" s="526"/>
      <c r="ER25" s="522">
        <f t="shared" si="93"/>
        <v>0</v>
      </c>
      <c r="ES25" s="526"/>
      <c r="ET25" s="522">
        <f t="shared" si="94"/>
        <v>0</v>
      </c>
      <c r="EU25" s="526"/>
      <c r="EV25" s="522">
        <f t="shared" si="95"/>
        <v>0</v>
      </c>
      <c r="EW25" s="526"/>
      <c r="EX25" s="522">
        <f t="shared" si="96"/>
        <v>0</v>
      </c>
      <c r="EY25" s="526"/>
      <c r="EZ25" s="522">
        <f t="shared" si="97"/>
        <v>0</v>
      </c>
      <c r="FA25" s="526"/>
      <c r="FB25" s="522">
        <f t="shared" si="98"/>
        <v>0</v>
      </c>
      <c r="FC25" s="526"/>
      <c r="FD25" s="522">
        <f t="shared" si="99"/>
        <v>0</v>
      </c>
      <c r="FE25" s="526"/>
      <c r="FF25" s="522">
        <f t="shared" si="100"/>
        <v>0</v>
      </c>
      <c r="FG25" s="526"/>
      <c r="FH25" s="522">
        <f t="shared" si="101"/>
        <v>0</v>
      </c>
      <c r="FI25" s="522">
        <f t="shared" si="17"/>
        <v>0</v>
      </c>
      <c r="FJ25" s="522">
        <f t="shared" si="18"/>
        <v>0</v>
      </c>
      <c r="FK25" s="525"/>
      <c r="FL25" s="522"/>
      <c r="FM25" s="522">
        <f t="shared" si="19"/>
        <v>0</v>
      </c>
      <c r="FN25" s="526"/>
      <c r="FO25" s="522">
        <f t="shared" si="102"/>
        <v>0</v>
      </c>
      <c r="FP25" s="526"/>
      <c r="FQ25" s="522">
        <f t="shared" si="103"/>
        <v>0</v>
      </c>
      <c r="FR25" s="526"/>
      <c r="FS25" s="522">
        <f t="shared" si="104"/>
        <v>0</v>
      </c>
      <c r="FT25" s="526"/>
      <c r="FU25" s="522">
        <f t="shared" si="105"/>
        <v>0</v>
      </c>
      <c r="FV25" s="526"/>
      <c r="FW25" s="522">
        <f t="shared" si="106"/>
        <v>0</v>
      </c>
      <c r="FX25" s="526"/>
      <c r="FY25" s="522">
        <f t="shared" si="107"/>
        <v>0</v>
      </c>
      <c r="FZ25" s="526"/>
      <c r="GA25" s="522">
        <f t="shared" si="108"/>
        <v>0</v>
      </c>
      <c r="GB25" s="526"/>
      <c r="GC25" s="522">
        <f t="shared" si="109"/>
        <v>0</v>
      </c>
      <c r="GD25" s="526"/>
      <c r="GE25" s="522">
        <f t="shared" si="110"/>
        <v>0</v>
      </c>
      <c r="GF25" s="526"/>
      <c r="GG25" s="522">
        <f t="shared" si="111"/>
        <v>0</v>
      </c>
      <c r="GH25" s="526"/>
      <c r="GI25" s="522">
        <f t="shared" si="112"/>
        <v>0</v>
      </c>
      <c r="GJ25" s="522">
        <f t="shared" si="20"/>
        <v>0</v>
      </c>
      <c r="GK25" s="522">
        <f t="shared" si="20"/>
        <v>0</v>
      </c>
      <c r="GL25" s="523">
        <f>IFERROR(((+F25+H25+J25+L25)/($E25/'RKP 08'!$D$5)),0)</f>
        <v>350</v>
      </c>
      <c r="GM25" s="523">
        <f t="shared" si="135"/>
        <v>55451413.143525004</v>
      </c>
      <c r="GN25" s="523">
        <f>IFERROR(((+N25+P25+R25+T25)/($E25/'RKP 08'!$D$5)),0)</f>
        <v>0</v>
      </c>
      <c r="GO25" s="523">
        <f t="shared" si="113"/>
        <v>0</v>
      </c>
      <c r="GP25" s="523">
        <f>IFERROR(((V25+X25+Z25+AB25)/($E25/'RKP 08'!$D$5)),0)</f>
        <v>0</v>
      </c>
      <c r="GQ25" s="523">
        <f t="shared" si="114"/>
        <v>0</v>
      </c>
      <c r="GR25" s="523">
        <f t="shared" si="115"/>
        <v>350</v>
      </c>
      <c r="GS25" s="523">
        <f t="shared" si="116"/>
        <v>55451413.143525004</v>
      </c>
      <c r="GT25" s="523">
        <f>IFERROR(((AG25+AI25+AK25+AM25)/($E25/'RKP 08'!$D$5)),0)</f>
        <v>0</v>
      </c>
      <c r="GU25" s="523">
        <f t="shared" si="21"/>
        <v>0</v>
      </c>
      <c r="GV25" s="523">
        <f>IFERROR(((AO25+AQ25+AS25+AU25)/($E25/'RKP 08'!$D$5)),0)</f>
        <v>0</v>
      </c>
      <c r="GW25" s="523">
        <f t="shared" si="22"/>
        <v>0</v>
      </c>
      <c r="GX25" s="523">
        <f>IFERROR(((AW25+AY25+BA25+BC25)/($E25/'RKP 08'!$D$5)),0)</f>
        <v>0</v>
      </c>
      <c r="GY25" s="523">
        <f t="shared" si="23"/>
        <v>0</v>
      </c>
      <c r="GZ25" s="523">
        <f t="shared" si="117"/>
        <v>0</v>
      </c>
      <c r="HA25" s="523">
        <f t="shared" si="118"/>
        <v>0</v>
      </c>
      <c r="HB25" s="523">
        <f>IFERROR(((BH25+BJ25+BL25+BN25)/($E25/'RKP 08'!$D$5)),0)</f>
        <v>0</v>
      </c>
      <c r="HC25" s="523">
        <f t="shared" si="24"/>
        <v>0</v>
      </c>
      <c r="HD25" s="523">
        <f>IFERROR(((BP25+BR25+BT25+BV25)/($E25/'RKP 08'!$D$5)),0)</f>
        <v>0</v>
      </c>
      <c r="HE25" s="523">
        <f t="shared" si="25"/>
        <v>0</v>
      </c>
      <c r="HF25" s="523">
        <f>IFERROR(((BX25+BZ25+CB25+CD25)/($E25/'RKP 08'!$D$5)),0)</f>
        <v>0</v>
      </c>
      <c r="HG25" s="523">
        <f t="shared" si="26"/>
        <v>0</v>
      </c>
      <c r="HH25" s="523">
        <f t="shared" si="119"/>
        <v>0</v>
      </c>
      <c r="HI25" s="523">
        <f t="shared" si="120"/>
        <v>0</v>
      </c>
      <c r="HJ25" s="523">
        <f>IFERROR(((CI25+CK25+CM25+CO25)/($E25/'RKP 08'!$D$5)),0)</f>
        <v>0</v>
      </c>
      <c r="HK25" s="523">
        <f t="shared" si="121"/>
        <v>0</v>
      </c>
      <c r="HL25" s="523">
        <f>IFERROR(((CQ25+CS25+CU25+CW25)/($E25/'RKP 08'!$D$5)),0)</f>
        <v>0</v>
      </c>
      <c r="HM25" s="523">
        <f t="shared" si="122"/>
        <v>0</v>
      </c>
      <c r="HN25" s="523">
        <f>IFERROR(((CY25+DA25+DC25+DE25)/($E25/'RKP 08'!$D$5)),0)</f>
        <v>0</v>
      </c>
      <c r="HO25" s="523">
        <f t="shared" si="123"/>
        <v>0</v>
      </c>
      <c r="HP25" s="523">
        <f t="shared" si="124"/>
        <v>0</v>
      </c>
      <c r="HQ25" s="523">
        <f t="shared" si="125"/>
        <v>0</v>
      </c>
      <c r="HR25" s="511">
        <f>IFERROR(((DJ25+DL25+DN25+DP25)/($E25/'RKP 08'!$D$5)),0)</f>
        <v>0</v>
      </c>
      <c r="HS25" s="511">
        <f t="shared" si="27"/>
        <v>0</v>
      </c>
      <c r="HT25" s="511">
        <f>IFERROR(((DR25+DT25+DV25+DX25)/($E25/'RKP 08'!$D$5)),0)</f>
        <v>0</v>
      </c>
      <c r="HU25" s="511">
        <f t="shared" si="28"/>
        <v>0</v>
      </c>
      <c r="HV25" s="511">
        <f>IFERROR(((DZ25+EB25+ED25+EF25)/($E25/'RKP 08'!$D$5)),0)</f>
        <v>0</v>
      </c>
      <c r="HW25" s="511">
        <f t="shared" si="29"/>
        <v>0</v>
      </c>
      <c r="HX25" s="523">
        <f t="shared" si="126"/>
        <v>0</v>
      </c>
      <c r="HY25" s="523">
        <f t="shared" si="127"/>
        <v>0</v>
      </c>
      <c r="HZ25" s="523">
        <f t="shared" si="128"/>
        <v>0</v>
      </c>
      <c r="IA25" s="523">
        <f t="shared" si="128"/>
        <v>0</v>
      </c>
      <c r="IB25" s="511">
        <f>IFERROR(((ES25+EU25+EW25+EY25)/($E25/'RKP 08'!$D$5)),0)</f>
        <v>0</v>
      </c>
      <c r="IC25" s="511">
        <f t="shared" si="30"/>
        <v>0</v>
      </c>
      <c r="ID25" s="511">
        <f>IFERROR(((FA25+FC25+FE25+FG25)/($E25/'RKP 08'!$D$5)),0)</f>
        <v>0</v>
      </c>
      <c r="IE25" s="511">
        <f t="shared" si="31"/>
        <v>0</v>
      </c>
      <c r="IF25" s="523">
        <f t="shared" si="129"/>
        <v>0</v>
      </c>
      <c r="IG25" s="523">
        <f t="shared" si="130"/>
        <v>0</v>
      </c>
      <c r="II25" s="523">
        <f t="shared" si="131"/>
        <v>55451413.143525004</v>
      </c>
      <c r="IJ25" s="523">
        <f t="shared" si="132"/>
        <v>0</v>
      </c>
      <c r="IK25" s="577"/>
    </row>
    <row r="26" spans="1:250" ht="24" customHeight="1" x14ac:dyDescent="0.2">
      <c r="A26" s="531"/>
      <c r="B26" s="532" t="s">
        <v>353</v>
      </c>
      <c r="C26" s="517" t="s">
        <v>100</v>
      </c>
      <c r="D26" s="575">
        <f>(((792*1872500)+(1208*1056000))/2000)+437000*105.81%</f>
        <v>1841723.7</v>
      </c>
      <c r="E26" s="518">
        <f>350*2</f>
        <v>700</v>
      </c>
      <c r="F26" s="522"/>
      <c r="G26" s="518">
        <f t="shared" si="134"/>
        <v>0</v>
      </c>
      <c r="H26" s="533">
        <f>'[15]TTL TB'!Y202</f>
        <v>0</v>
      </c>
      <c r="I26" s="518">
        <f t="shared" si="32"/>
        <v>0</v>
      </c>
      <c r="J26" s="533">
        <f>'[15]TTL TB'!AA202</f>
        <v>0</v>
      </c>
      <c r="K26" s="518">
        <f t="shared" si="33"/>
        <v>0</v>
      </c>
      <c r="L26" s="533">
        <f>'[15]TTL TB'!AC202</f>
        <v>0</v>
      </c>
      <c r="M26" s="518">
        <f t="shared" si="34"/>
        <v>0</v>
      </c>
      <c r="N26" s="533">
        <f>'[15]TTL TB'!AE202</f>
        <v>0</v>
      </c>
      <c r="O26" s="518">
        <f t="shared" si="35"/>
        <v>0</v>
      </c>
      <c r="P26" s="533">
        <f>'[15]TTL TB'!AG202</f>
        <v>0</v>
      </c>
      <c r="Q26" s="518">
        <f t="shared" si="36"/>
        <v>0</v>
      </c>
      <c r="R26" s="533">
        <f>'[15]TTL TB'!AI202</f>
        <v>0</v>
      </c>
      <c r="S26" s="518">
        <f>'[15]TTL TB'!AJ204</f>
        <v>0</v>
      </c>
      <c r="T26" s="533">
        <f>'[15]TTL TB'!AK202</f>
        <v>0</v>
      </c>
      <c r="U26" s="518">
        <f>'[15]TTL TB'!AL204</f>
        <v>0</v>
      </c>
      <c r="V26" s="533">
        <f>'[15]TTL TB'!AM202</f>
        <v>0</v>
      </c>
      <c r="W26" s="518">
        <f>'[15]TTL TB'!AN204</f>
        <v>0</v>
      </c>
      <c r="X26" s="533"/>
      <c r="Y26" s="518">
        <f t="shared" si="40"/>
        <v>0</v>
      </c>
      <c r="Z26" s="533"/>
      <c r="AA26" s="518">
        <f t="shared" si="41"/>
        <v>0</v>
      </c>
      <c r="AB26" s="533"/>
      <c r="AC26" s="518">
        <f t="shared" si="42"/>
        <v>0</v>
      </c>
      <c r="AD26" s="518">
        <f t="shared" si="7"/>
        <v>0</v>
      </c>
      <c r="AE26" s="518">
        <f t="shared" si="7"/>
        <v>0</v>
      </c>
      <c r="AG26" s="533"/>
      <c r="AH26" s="518">
        <f>AG26*$D26</f>
        <v>0</v>
      </c>
      <c r="AI26" s="533"/>
      <c r="AJ26" s="518">
        <f>AI26*$D26</f>
        <v>0</v>
      </c>
      <c r="AK26" s="533"/>
      <c r="AL26" s="518">
        <f t="shared" si="45"/>
        <v>0</v>
      </c>
      <c r="AM26" s="533"/>
      <c r="AN26" s="518">
        <f t="shared" si="46"/>
        <v>0</v>
      </c>
      <c r="AO26" s="533"/>
      <c r="AP26" s="518">
        <f t="shared" si="47"/>
        <v>0</v>
      </c>
      <c r="AQ26" s="533"/>
      <c r="AR26" s="518">
        <f t="shared" si="48"/>
        <v>0</v>
      </c>
      <c r="AS26" s="533"/>
      <c r="AT26" s="518">
        <f t="shared" si="49"/>
        <v>0</v>
      </c>
      <c r="AU26" s="533"/>
      <c r="AV26" s="518">
        <f t="shared" si="50"/>
        <v>0</v>
      </c>
      <c r="AW26" s="533"/>
      <c r="AX26" s="518">
        <f t="shared" si="51"/>
        <v>0</v>
      </c>
      <c r="AY26" s="533"/>
      <c r="AZ26" s="518">
        <f t="shared" si="52"/>
        <v>0</v>
      </c>
      <c r="BA26" s="533"/>
      <c r="BB26" s="518">
        <f t="shared" si="53"/>
        <v>0</v>
      </c>
      <c r="BC26" s="533"/>
      <c r="BD26" s="518">
        <f t="shared" si="54"/>
        <v>0</v>
      </c>
      <c r="BE26" s="518">
        <f t="shared" si="8"/>
        <v>0</v>
      </c>
      <c r="BF26" s="518">
        <f t="shared" si="9"/>
        <v>0</v>
      </c>
      <c r="BH26" s="533">
        <f>E26</f>
        <v>700</v>
      </c>
      <c r="BI26" s="518">
        <f t="shared" si="55"/>
        <v>1289206590</v>
      </c>
      <c r="BJ26" s="533"/>
      <c r="BK26" s="518">
        <f t="shared" si="56"/>
        <v>0</v>
      </c>
      <c r="BL26" s="533"/>
      <c r="BM26" s="518">
        <f t="shared" si="57"/>
        <v>0</v>
      </c>
      <c r="BN26" s="533"/>
      <c r="BO26" s="518">
        <f t="shared" si="58"/>
        <v>0</v>
      </c>
      <c r="BP26" s="533"/>
      <c r="BQ26" s="518">
        <f t="shared" si="59"/>
        <v>0</v>
      </c>
      <c r="BR26" s="533"/>
      <c r="BS26" s="518">
        <f>BR26*$D26</f>
        <v>0</v>
      </c>
      <c r="BT26" s="533"/>
      <c r="BU26" s="518">
        <f t="shared" si="61"/>
        <v>0</v>
      </c>
      <c r="BV26" s="533"/>
      <c r="BW26" s="518">
        <f t="shared" si="62"/>
        <v>0</v>
      </c>
      <c r="BX26" s="533"/>
      <c r="BY26" s="518">
        <f t="shared" si="63"/>
        <v>0</v>
      </c>
      <c r="BZ26" s="533"/>
      <c r="CA26" s="518">
        <f t="shared" si="64"/>
        <v>0</v>
      </c>
      <c r="CB26" s="533"/>
      <c r="CC26" s="518">
        <f t="shared" si="65"/>
        <v>0</v>
      </c>
      <c r="CD26" s="533"/>
      <c r="CE26" s="518">
        <f t="shared" si="66"/>
        <v>0</v>
      </c>
      <c r="CF26" s="518">
        <f t="shared" si="10"/>
        <v>700</v>
      </c>
      <c r="CG26" s="518">
        <f t="shared" si="11"/>
        <v>1289206590</v>
      </c>
      <c r="CH26" s="511"/>
      <c r="CI26" s="533"/>
      <c r="CJ26" s="518">
        <f t="shared" si="67"/>
        <v>0</v>
      </c>
      <c r="CK26" s="533"/>
      <c r="CL26" s="518">
        <f t="shared" si="68"/>
        <v>0</v>
      </c>
      <c r="CM26" s="533"/>
      <c r="CN26" s="518">
        <f t="shared" si="69"/>
        <v>0</v>
      </c>
      <c r="CO26" s="533"/>
      <c r="CP26" s="518">
        <f t="shared" si="70"/>
        <v>0</v>
      </c>
      <c r="CQ26" s="533"/>
      <c r="CR26" s="518">
        <f t="shared" si="71"/>
        <v>0</v>
      </c>
      <c r="CS26" s="533"/>
      <c r="CT26" s="518">
        <f t="shared" si="72"/>
        <v>0</v>
      </c>
      <c r="CU26" s="533">
        <v>0</v>
      </c>
      <c r="CV26" s="518">
        <f t="shared" si="73"/>
        <v>0</v>
      </c>
      <c r="CW26" s="533">
        <v>0</v>
      </c>
      <c r="CX26" s="518">
        <f t="shared" si="74"/>
        <v>0</v>
      </c>
      <c r="CY26" s="533">
        <v>0</v>
      </c>
      <c r="CZ26" s="518">
        <f t="shared" si="75"/>
        <v>0</v>
      </c>
      <c r="DA26" s="533">
        <v>0</v>
      </c>
      <c r="DB26" s="518">
        <f t="shared" si="76"/>
        <v>0</v>
      </c>
      <c r="DC26" s="533">
        <v>0</v>
      </c>
      <c r="DD26" s="518">
        <f t="shared" si="77"/>
        <v>0</v>
      </c>
      <c r="DE26" s="533">
        <v>0</v>
      </c>
      <c r="DF26" s="518">
        <f t="shared" si="78"/>
        <v>0</v>
      </c>
      <c r="DG26" s="518">
        <f t="shared" si="12"/>
        <v>0</v>
      </c>
      <c r="DH26" s="518">
        <f t="shared" si="13"/>
        <v>0</v>
      </c>
      <c r="DI26" s="534"/>
      <c r="DJ26" s="533">
        <v>0</v>
      </c>
      <c r="DK26" s="518">
        <f t="shared" si="79"/>
        <v>0</v>
      </c>
      <c r="DL26" s="533">
        <v>0</v>
      </c>
      <c r="DM26" s="518">
        <f t="shared" si="80"/>
        <v>0</v>
      </c>
      <c r="DN26" s="533">
        <v>0</v>
      </c>
      <c r="DO26" s="518">
        <f t="shared" si="81"/>
        <v>0</v>
      </c>
      <c r="DP26" s="533">
        <v>0</v>
      </c>
      <c r="DQ26" s="518">
        <f t="shared" si="82"/>
        <v>0</v>
      </c>
      <c r="DR26" s="533">
        <v>0</v>
      </c>
      <c r="DS26" s="518">
        <f t="shared" si="83"/>
        <v>0</v>
      </c>
      <c r="DT26" s="533">
        <v>0</v>
      </c>
      <c r="DU26" s="518">
        <f t="shared" si="84"/>
        <v>0</v>
      </c>
      <c r="DV26" s="533">
        <v>0</v>
      </c>
      <c r="DW26" s="518">
        <f t="shared" si="85"/>
        <v>0</v>
      </c>
      <c r="DX26" s="533">
        <v>0</v>
      </c>
      <c r="DY26" s="518">
        <f t="shared" si="86"/>
        <v>0</v>
      </c>
      <c r="DZ26" s="533">
        <v>0</v>
      </c>
      <c r="EA26" s="518">
        <f t="shared" si="87"/>
        <v>0</v>
      </c>
      <c r="EB26" s="533">
        <v>0</v>
      </c>
      <c r="EC26" s="518">
        <f t="shared" si="88"/>
        <v>0</v>
      </c>
      <c r="ED26" s="533">
        <v>0</v>
      </c>
      <c r="EE26" s="518">
        <f t="shared" si="89"/>
        <v>0</v>
      </c>
      <c r="EF26" s="533">
        <v>0</v>
      </c>
      <c r="EG26" s="518">
        <f t="shared" si="90"/>
        <v>0</v>
      </c>
      <c r="EH26" s="518">
        <f t="shared" si="14"/>
        <v>0</v>
      </c>
      <c r="EI26" s="518">
        <f t="shared" si="15"/>
        <v>0</v>
      </c>
      <c r="EJ26" s="534"/>
      <c r="EK26" s="533">
        <v>0</v>
      </c>
      <c r="EL26" s="518">
        <f t="shared" si="16"/>
        <v>0</v>
      </c>
      <c r="EM26" s="533">
        <v>0</v>
      </c>
      <c r="EN26" s="518">
        <f t="shared" si="91"/>
        <v>0</v>
      </c>
      <c r="EO26" s="533">
        <v>0</v>
      </c>
      <c r="EP26" s="518">
        <f t="shared" si="92"/>
        <v>0</v>
      </c>
      <c r="EQ26" s="533">
        <v>0</v>
      </c>
      <c r="ER26" s="518">
        <f t="shared" si="93"/>
        <v>0</v>
      </c>
      <c r="ES26" s="533">
        <v>0</v>
      </c>
      <c r="ET26" s="518">
        <f t="shared" si="94"/>
        <v>0</v>
      </c>
      <c r="EU26" s="533">
        <v>0</v>
      </c>
      <c r="EV26" s="518">
        <f t="shared" si="95"/>
        <v>0</v>
      </c>
      <c r="EW26" s="533"/>
      <c r="EX26" s="518">
        <f t="shared" si="96"/>
        <v>0</v>
      </c>
      <c r="EY26" s="533"/>
      <c r="EZ26" s="518">
        <f t="shared" si="97"/>
        <v>0</v>
      </c>
      <c r="FA26" s="533"/>
      <c r="FB26" s="518">
        <f t="shared" si="98"/>
        <v>0</v>
      </c>
      <c r="FC26" s="533"/>
      <c r="FD26" s="518">
        <f t="shared" si="99"/>
        <v>0</v>
      </c>
      <c r="FE26" s="533"/>
      <c r="FF26" s="518">
        <f t="shared" si="100"/>
        <v>0</v>
      </c>
      <c r="FG26" s="533"/>
      <c r="FH26" s="518">
        <f t="shared" si="101"/>
        <v>0</v>
      </c>
      <c r="FI26" s="518">
        <v>0</v>
      </c>
      <c r="FJ26" s="518">
        <f t="shared" si="18"/>
        <v>0</v>
      </c>
      <c r="FL26" s="518"/>
      <c r="FM26" s="518">
        <f t="shared" si="19"/>
        <v>0</v>
      </c>
      <c r="FN26" s="533"/>
      <c r="FO26" s="518">
        <f t="shared" si="102"/>
        <v>0</v>
      </c>
      <c r="FP26" s="533"/>
      <c r="FQ26" s="518">
        <f t="shared" si="103"/>
        <v>0</v>
      </c>
      <c r="FR26" s="533"/>
      <c r="FS26" s="518">
        <f t="shared" si="104"/>
        <v>0</v>
      </c>
      <c r="FT26" s="533"/>
      <c r="FU26" s="518">
        <f t="shared" si="105"/>
        <v>0</v>
      </c>
      <c r="FV26" s="533"/>
      <c r="FW26" s="518">
        <f t="shared" si="106"/>
        <v>0</v>
      </c>
      <c r="FX26" s="533"/>
      <c r="FY26" s="518">
        <f t="shared" si="107"/>
        <v>0</v>
      </c>
      <c r="FZ26" s="533"/>
      <c r="GA26" s="518">
        <f t="shared" si="108"/>
        <v>0</v>
      </c>
      <c r="GB26" s="533"/>
      <c r="GC26" s="518">
        <f t="shared" si="109"/>
        <v>0</v>
      </c>
      <c r="GD26" s="533"/>
      <c r="GE26" s="518">
        <f t="shared" si="110"/>
        <v>0</v>
      </c>
      <c r="GF26" s="533"/>
      <c r="GG26" s="518">
        <f t="shared" si="111"/>
        <v>0</v>
      </c>
      <c r="GH26" s="533"/>
      <c r="GI26" s="518">
        <f t="shared" si="112"/>
        <v>0</v>
      </c>
      <c r="GJ26" s="518">
        <f t="shared" si="20"/>
        <v>0</v>
      </c>
      <c r="GK26" s="518">
        <f t="shared" si="20"/>
        <v>0</v>
      </c>
      <c r="GL26" s="523">
        <f>IFERROR(((+F26+H26+J26+L26)/($E26/'RKP 08'!$D$5)),0)</f>
        <v>0</v>
      </c>
      <c r="GM26" s="523">
        <f t="shared" si="135"/>
        <v>0</v>
      </c>
      <c r="GN26" s="523">
        <f>IFERROR(((+N26+P26+R26+T26)/($E26/'RKP 08'!$D$5)),0)</f>
        <v>0</v>
      </c>
      <c r="GO26" s="523">
        <f t="shared" si="113"/>
        <v>0</v>
      </c>
      <c r="GP26" s="523">
        <f>IFERROR(((V26+X26+Z26+AB26)/($E26/'RKP 08'!$D$5)),0)</f>
        <v>0</v>
      </c>
      <c r="GQ26" s="523">
        <f t="shared" si="114"/>
        <v>0</v>
      </c>
      <c r="GR26" s="523">
        <f t="shared" si="115"/>
        <v>0</v>
      </c>
      <c r="GS26" s="523">
        <f t="shared" si="116"/>
        <v>0</v>
      </c>
      <c r="GT26" s="523">
        <f>IFERROR(((AG26+AI26+AK26+AM26)/($E26/'RKP 08'!$D$5)),0)</f>
        <v>0</v>
      </c>
      <c r="GU26" s="523">
        <f t="shared" si="21"/>
        <v>0</v>
      </c>
      <c r="GV26" s="523">
        <f>IFERROR(((AO26+AQ26+AS26+AU26)/($E26/'RKP 08'!$D$5)),0)</f>
        <v>0</v>
      </c>
      <c r="GW26" s="523">
        <f t="shared" si="22"/>
        <v>0</v>
      </c>
      <c r="GX26" s="523">
        <f>IFERROR(((AW26+AY26+BA26+BC26)/($E26/'RKP 08'!$D$5)),0)</f>
        <v>0</v>
      </c>
      <c r="GY26" s="523">
        <f t="shared" si="23"/>
        <v>0</v>
      </c>
      <c r="GZ26" s="523">
        <f t="shared" si="117"/>
        <v>0</v>
      </c>
      <c r="HA26" s="523">
        <f t="shared" si="118"/>
        <v>0</v>
      </c>
      <c r="HB26" s="523">
        <f>IFERROR(((BH26+BJ26+BL26+BN26)/($E26/'RKP 08'!$D$5)),0)</f>
        <v>350</v>
      </c>
      <c r="HC26" s="523">
        <f t="shared" si="24"/>
        <v>1289206590</v>
      </c>
      <c r="HD26" s="523">
        <f>IFERROR(((BP26+BR26+BT26+BV26)/($E26/'RKP 08'!$D$5)),0)</f>
        <v>0</v>
      </c>
      <c r="HE26" s="523">
        <f t="shared" si="25"/>
        <v>0</v>
      </c>
      <c r="HF26" s="523">
        <f>IFERROR(((BX26+BZ26+CB26+CD26)/($E26/'RKP 08'!$D$5)),0)</f>
        <v>0</v>
      </c>
      <c r="HG26" s="523">
        <f t="shared" si="26"/>
        <v>0</v>
      </c>
      <c r="HH26" s="523">
        <f t="shared" si="119"/>
        <v>350</v>
      </c>
      <c r="HI26" s="523">
        <f t="shared" si="120"/>
        <v>1289206590</v>
      </c>
      <c r="HJ26" s="523">
        <f>IFERROR(((CI26+CK26+CM26+CO26)/($E26/'RKP 08'!$D$5)),0)</f>
        <v>0</v>
      </c>
      <c r="HK26" s="523">
        <f t="shared" si="121"/>
        <v>0</v>
      </c>
      <c r="HL26" s="523">
        <f>IFERROR(((CQ26+CS26+CU26+CW26)/($E26/'RKP 08'!$D$5)),0)</f>
        <v>0</v>
      </c>
      <c r="HM26" s="523">
        <f t="shared" si="122"/>
        <v>0</v>
      </c>
      <c r="HN26" s="523">
        <f>IFERROR(((CY26+DA26+DC26+DE26)/($E26/'RKP 08'!$D$5)),0)</f>
        <v>0</v>
      </c>
      <c r="HO26" s="523">
        <f t="shared" si="123"/>
        <v>0</v>
      </c>
      <c r="HP26" s="523">
        <f t="shared" si="124"/>
        <v>0</v>
      </c>
      <c r="HQ26" s="523">
        <f t="shared" si="125"/>
        <v>0</v>
      </c>
      <c r="HR26" s="511">
        <f>IFERROR(((DJ26+DL26+DN26+DP26)/($E26/'RKP 08'!$D$5)),0)</f>
        <v>0</v>
      </c>
      <c r="HS26" s="511">
        <f t="shared" si="27"/>
        <v>0</v>
      </c>
      <c r="HT26" s="511">
        <f>IFERROR(((DR26+DT26+DV26+DX26)/($E26/'RKP 08'!$D$5)),0)</f>
        <v>0</v>
      </c>
      <c r="HU26" s="511">
        <f t="shared" si="28"/>
        <v>0</v>
      </c>
      <c r="HV26" s="511">
        <f>IFERROR(((DZ26+EB26+ED26+EF26)/($E26/'RKP 08'!$D$5)),0)</f>
        <v>0</v>
      </c>
      <c r="HW26" s="511">
        <f t="shared" si="29"/>
        <v>0</v>
      </c>
      <c r="HX26" s="523">
        <f t="shared" si="126"/>
        <v>0</v>
      </c>
      <c r="HY26" s="523">
        <f t="shared" si="127"/>
        <v>0</v>
      </c>
      <c r="HZ26" s="523">
        <f t="shared" si="128"/>
        <v>0</v>
      </c>
      <c r="IA26" s="523">
        <f t="shared" si="128"/>
        <v>0</v>
      </c>
      <c r="IB26" s="511">
        <f>IFERROR(((ES26+EU26+EW26+EY26)/($E26/'RKP 08'!$D$5)),0)</f>
        <v>0</v>
      </c>
      <c r="IC26" s="511">
        <f t="shared" si="30"/>
        <v>0</v>
      </c>
      <c r="ID26" s="511">
        <f>IFERROR(((FA26+FC26+FE26+FG26)/($E26/'RKP 08'!$D$5)),0)</f>
        <v>0</v>
      </c>
      <c r="IE26" s="511">
        <f t="shared" si="31"/>
        <v>0</v>
      </c>
      <c r="IF26" s="523">
        <f t="shared" si="129"/>
        <v>0</v>
      </c>
      <c r="IG26" s="523">
        <f t="shared" si="130"/>
        <v>0</v>
      </c>
      <c r="II26" s="523">
        <f t="shared" si="131"/>
        <v>1289206590</v>
      </c>
      <c r="IJ26" s="523">
        <f t="shared" si="132"/>
        <v>0</v>
      </c>
      <c r="IK26" s="578"/>
    </row>
    <row r="27" spans="1:250" ht="24" customHeight="1" x14ac:dyDescent="0.2">
      <c r="B27" s="567" t="s">
        <v>589</v>
      </c>
      <c r="C27" s="568" t="s">
        <v>376</v>
      </c>
      <c r="D27" s="575">
        <f>100811700/1000</f>
        <v>100811.7</v>
      </c>
      <c r="E27" s="533">
        <f>(1400/200)*350</f>
        <v>2450</v>
      </c>
      <c r="F27" s="522"/>
      <c r="G27" s="518"/>
      <c r="H27" s="533"/>
      <c r="I27" s="518"/>
      <c r="J27" s="533"/>
      <c r="K27" s="518"/>
      <c r="L27" s="533"/>
      <c r="M27" s="518"/>
      <c r="N27" s="533"/>
      <c r="O27" s="518"/>
      <c r="P27" s="533"/>
      <c r="Q27" s="518"/>
      <c r="R27" s="533"/>
      <c r="S27" s="518"/>
      <c r="T27" s="533"/>
      <c r="U27" s="518"/>
      <c r="V27" s="533"/>
      <c r="W27" s="518"/>
      <c r="X27" s="533"/>
      <c r="Y27" s="518"/>
      <c r="Z27" s="533"/>
      <c r="AA27" s="518"/>
      <c r="AB27" s="533"/>
      <c r="AC27" s="518"/>
      <c r="AD27" s="518"/>
      <c r="AE27" s="518"/>
      <c r="AG27" s="533"/>
      <c r="AH27" s="518"/>
      <c r="AI27" s="533"/>
      <c r="AJ27" s="518"/>
      <c r="AK27" s="533"/>
      <c r="AL27" s="518"/>
      <c r="AM27" s="533"/>
      <c r="AN27" s="518"/>
      <c r="AO27" s="533"/>
      <c r="AP27" s="518"/>
      <c r="AQ27" s="533"/>
      <c r="AR27" s="518"/>
      <c r="AS27" s="533"/>
      <c r="AT27" s="518"/>
      <c r="AU27" s="533"/>
      <c r="AV27" s="518"/>
      <c r="AW27" s="533"/>
      <c r="AX27" s="518"/>
      <c r="AY27" s="533"/>
      <c r="AZ27" s="518"/>
      <c r="BA27" s="533"/>
      <c r="BB27" s="518"/>
      <c r="BC27" s="533"/>
      <c r="BD27" s="518"/>
      <c r="BE27" s="518"/>
      <c r="BF27" s="518"/>
      <c r="BH27" s="533"/>
      <c r="BI27" s="518"/>
      <c r="BJ27" s="533"/>
      <c r="BK27" s="518"/>
      <c r="BL27" s="533"/>
      <c r="BM27" s="518"/>
      <c r="BN27" s="533"/>
      <c r="BO27" s="518"/>
      <c r="BP27" s="533"/>
      <c r="BQ27" s="518"/>
      <c r="BR27" s="533">
        <f>((1400/200)*1133.3)*2</f>
        <v>15866.199999999999</v>
      </c>
      <c r="BS27" s="518">
        <f t="shared" ref="BS27:BS28" si="143">BR27*$D27</f>
        <v>1599498594.54</v>
      </c>
      <c r="BT27" s="533"/>
      <c r="BU27" s="518">
        <f t="shared" si="61"/>
        <v>0</v>
      </c>
      <c r="BV27" s="533"/>
      <c r="BW27" s="518"/>
      <c r="BX27" s="533"/>
      <c r="BY27" s="518"/>
      <c r="BZ27" s="533"/>
      <c r="CA27" s="518"/>
      <c r="CB27" s="533"/>
      <c r="CC27" s="518"/>
      <c r="CD27" s="533"/>
      <c r="CE27" s="518"/>
      <c r="CF27" s="518">
        <f t="shared" ref="CF27:CF28" si="144">BH27+BJ27+BL27+BN27+BP27+BR27+BT27+BV27+BX27+BZ27+CB27+CD27</f>
        <v>15866.199999999999</v>
      </c>
      <c r="CG27" s="518">
        <f t="shared" ref="CG27:CG28" si="145">BI27+BK27+BM27+BO27+BQ27+BS27+BU27+BW27+BY27+CA27+CC27+CE27</f>
        <v>1599498594.54</v>
      </c>
      <c r="CH27" s="511"/>
      <c r="CI27" s="533"/>
      <c r="CJ27" s="518"/>
      <c r="CK27" s="533"/>
      <c r="CL27" s="518"/>
      <c r="CM27" s="533"/>
      <c r="CN27" s="518"/>
      <c r="CO27" s="533"/>
      <c r="CP27" s="518"/>
      <c r="CQ27" s="533"/>
      <c r="CR27" s="518"/>
      <c r="CS27" s="533"/>
      <c r="CT27" s="518">
        <f>CS27*D27</f>
        <v>0</v>
      </c>
      <c r="CU27" s="533"/>
      <c r="CV27" s="518"/>
      <c r="CW27" s="533"/>
      <c r="CX27" s="518"/>
      <c r="CY27" s="533"/>
      <c r="CZ27" s="518"/>
      <c r="DA27" s="533"/>
      <c r="DB27" s="518"/>
      <c r="DC27" s="533"/>
      <c r="DD27" s="518"/>
      <c r="DE27" s="533"/>
      <c r="DF27" s="518"/>
      <c r="DG27" s="518">
        <f>CS27</f>
        <v>0</v>
      </c>
      <c r="DH27" s="518">
        <f>CT27</f>
        <v>0</v>
      </c>
      <c r="DI27" s="534"/>
      <c r="DJ27" s="533"/>
      <c r="DK27" s="518"/>
      <c r="DL27" s="533"/>
      <c r="DM27" s="518"/>
      <c r="DN27" s="533"/>
      <c r="DO27" s="518"/>
      <c r="DP27" s="533"/>
      <c r="DQ27" s="518"/>
      <c r="DR27" s="533"/>
      <c r="DS27" s="518"/>
      <c r="DT27" s="533"/>
      <c r="DU27" s="518"/>
      <c r="DV27" s="533"/>
      <c r="DW27" s="518"/>
      <c r="DX27" s="533"/>
      <c r="DY27" s="518"/>
      <c r="DZ27" s="533"/>
      <c r="EA27" s="518"/>
      <c r="EB27" s="533"/>
      <c r="EC27" s="518"/>
      <c r="ED27" s="533"/>
      <c r="EE27" s="518"/>
      <c r="EF27" s="533"/>
      <c r="EG27" s="518"/>
      <c r="EH27" s="518"/>
      <c r="EI27" s="518"/>
      <c r="EJ27" s="534"/>
      <c r="EK27" s="533"/>
      <c r="EL27" s="518"/>
      <c r="EM27" s="533"/>
      <c r="EN27" s="518"/>
      <c r="EO27" s="533"/>
      <c r="EP27" s="518"/>
      <c r="EQ27" s="533"/>
      <c r="ER27" s="518"/>
      <c r="ES27" s="533"/>
      <c r="ET27" s="518"/>
      <c r="EU27" s="533"/>
      <c r="EV27" s="518"/>
      <c r="EW27" s="533"/>
      <c r="EX27" s="518"/>
      <c r="EY27" s="533"/>
      <c r="EZ27" s="518"/>
      <c r="FA27" s="533"/>
      <c r="FB27" s="518"/>
      <c r="FC27" s="533"/>
      <c r="FD27" s="518"/>
      <c r="FE27" s="533"/>
      <c r="FF27" s="518"/>
      <c r="FG27" s="533"/>
      <c r="FH27" s="518"/>
      <c r="FI27" s="518"/>
      <c r="FJ27" s="518"/>
      <c r="FL27" s="518"/>
      <c r="FM27" s="518"/>
      <c r="FN27" s="533"/>
      <c r="FO27" s="518"/>
      <c r="FP27" s="533"/>
      <c r="FQ27" s="518"/>
      <c r="FR27" s="533"/>
      <c r="FS27" s="518"/>
      <c r="FT27" s="533"/>
      <c r="FU27" s="518"/>
      <c r="FV27" s="533"/>
      <c r="FW27" s="518"/>
      <c r="FX27" s="533"/>
      <c r="FY27" s="518"/>
      <c r="FZ27" s="533"/>
      <c r="GA27" s="518"/>
      <c r="GB27" s="533"/>
      <c r="GC27" s="518"/>
      <c r="GD27" s="533"/>
      <c r="GE27" s="518"/>
      <c r="GF27" s="533"/>
      <c r="GG27" s="518"/>
      <c r="GH27" s="533"/>
      <c r="GI27" s="518"/>
      <c r="GJ27" s="518"/>
      <c r="GK27" s="518"/>
      <c r="GL27" s="523"/>
      <c r="GM27" s="523"/>
      <c r="GN27" s="523"/>
      <c r="GO27" s="523"/>
      <c r="GP27" s="523"/>
      <c r="GQ27" s="523"/>
      <c r="GR27" s="523">
        <f t="shared" ref="GR27:GR28" si="146">GL27+GN27+GP27</f>
        <v>0</v>
      </c>
      <c r="GS27" s="523">
        <f t="shared" ref="GS27:GS28" si="147">GM27+GO27+GQ27</f>
        <v>0</v>
      </c>
      <c r="GT27" s="523"/>
      <c r="GU27" s="523"/>
      <c r="GV27" s="523"/>
      <c r="GW27" s="523"/>
      <c r="GX27" s="523"/>
      <c r="GY27" s="523"/>
      <c r="GZ27" s="523"/>
      <c r="HA27" s="523"/>
      <c r="HB27" s="523"/>
      <c r="HC27" s="523"/>
      <c r="HD27" s="523"/>
      <c r="HE27" s="523"/>
      <c r="HF27" s="523"/>
      <c r="HG27" s="523"/>
      <c r="HH27" s="523"/>
      <c r="HI27" s="523"/>
      <c r="HJ27" s="523"/>
      <c r="HK27" s="523"/>
      <c r="HL27" s="523">
        <f>((1400/200)*1133.3)*2</f>
        <v>15866.199999999999</v>
      </c>
      <c r="HM27" s="523">
        <f>HL27*D27</f>
        <v>1599498594.54</v>
      </c>
      <c r="HN27" s="523"/>
      <c r="HO27" s="523"/>
      <c r="HP27" s="523">
        <f t="shared" ref="HP27:HP28" si="148">HJ27+HL27+HN27</f>
        <v>15866.199999999999</v>
      </c>
      <c r="HQ27" s="523">
        <f t="shared" ref="HQ27:HQ28" si="149">HK27+HM27+HO27</f>
        <v>1599498594.54</v>
      </c>
      <c r="HR27" s="511"/>
      <c r="HS27" s="511"/>
      <c r="HT27" s="511"/>
      <c r="HU27" s="511"/>
      <c r="HV27" s="511"/>
      <c r="HW27" s="511"/>
      <c r="HX27" s="523"/>
      <c r="HY27" s="523"/>
      <c r="HZ27" s="523"/>
      <c r="IA27" s="523"/>
      <c r="IB27" s="511"/>
      <c r="IC27" s="511"/>
      <c r="ID27" s="511"/>
      <c r="IE27" s="511"/>
      <c r="IF27" s="523"/>
      <c r="IG27" s="523"/>
      <c r="II27" s="523">
        <f>GS27+HA27+HI27+HQ27+HY27+IG27</f>
        <v>1599498594.54</v>
      </c>
      <c r="IJ27" s="523"/>
      <c r="IK27" s="578"/>
    </row>
    <row r="28" spans="1:250" ht="24" customHeight="1" x14ac:dyDescent="0.2">
      <c r="B28" s="567" t="s">
        <v>589</v>
      </c>
      <c r="C28" s="568" t="s">
        <v>376</v>
      </c>
      <c r="D28" s="575">
        <f>100811700/1000</f>
        <v>100811.7</v>
      </c>
      <c r="E28" s="533">
        <f>(1400/200)*350</f>
        <v>2450</v>
      </c>
      <c r="F28" s="522"/>
      <c r="G28" s="518"/>
      <c r="H28" s="533"/>
      <c r="I28" s="518"/>
      <c r="J28" s="533"/>
      <c r="K28" s="518"/>
      <c r="L28" s="533"/>
      <c r="M28" s="518"/>
      <c r="N28" s="533"/>
      <c r="O28" s="518"/>
      <c r="P28" s="533"/>
      <c r="Q28" s="518"/>
      <c r="R28" s="533"/>
      <c r="S28" s="518"/>
      <c r="T28" s="533"/>
      <c r="U28" s="518"/>
      <c r="V28" s="533"/>
      <c r="W28" s="518"/>
      <c r="X28" s="533"/>
      <c r="Y28" s="518"/>
      <c r="Z28" s="533"/>
      <c r="AA28" s="518"/>
      <c r="AB28" s="533"/>
      <c r="AC28" s="518"/>
      <c r="AD28" s="518"/>
      <c r="AE28" s="518"/>
      <c r="AG28" s="533"/>
      <c r="AH28" s="518"/>
      <c r="AI28" s="533"/>
      <c r="AJ28" s="518"/>
      <c r="AK28" s="533"/>
      <c r="AL28" s="518"/>
      <c r="AM28" s="533"/>
      <c r="AN28" s="518"/>
      <c r="AO28" s="533"/>
      <c r="AP28" s="518"/>
      <c r="AQ28" s="533"/>
      <c r="AR28" s="518"/>
      <c r="AS28" s="533"/>
      <c r="AT28" s="518"/>
      <c r="AU28" s="533"/>
      <c r="AV28" s="518"/>
      <c r="AW28" s="533"/>
      <c r="AX28" s="518"/>
      <c r="AY28" s="533"/>
      <c r="AZ28" s="518"/>
      <c r="BA28" s="533"/>
      <c r="BB28" s="518"/>
      <c r="BC28" s="533"/>
      <c r="BD28" s="518"/>
      <c r="BE28" s="518"/>
      <c r="BF28" s="518"/>
      <c r="BH28" s="533"/>
      <c r="BI28" s="518"/>
      <c r="BJ28" s="533"/>
      <c r="BK28" s="518"/>
      <c r="BL28" s="533"/>
      <c r="BM28" s="518"/>
      <c r="BN28" s="533"/>
      <c r="BO28" s="518"/>
      <c r="BP28" s="533"/>
      <c r="BQ28" s="518"/>
      <c r="BR28" s="533"/>
      <c r="BS28" s="518">
        <f t="shared" si="143"/>
        <v>0</v>
      </c>
      <c r="BT28" s="533">
        <f>((1400/200)*1133.3)*2</f>
        <v>15866.199999999999</v>
      </c>
      <c r="BU28" s="518">
        <f t="shared" si="61"/>
        <v>1599498594.54</v>
      </c>
      <c r="BV28" s="533"/>
      <c r="BW28" s="518"/>
      <c r="BX28" s="533"/>
      <c r="BY28" s="518"/>
      <c r="BZ28" s="533"/>
      <c r="CA28" s="518"/>
      <c r="CB28" s="533"/>
      <c r="CC28" s="518"/>
      <c r="CD28" s="533"/>
      <c r="CE28" s="518"/>
      <c r="CF28" s="518">
        <f t="shared" si="144"/>
        <v>15866.199999999999</v>
      </c>
      <c r="CG28" s="518">
        <f t="shared" si="145"/>
        <v>1599498594.54</v>
      </c>
      <c r="CH28" s="511"/>
      <c r="CI28" s="533"/>
      <c r="CJ28" s="518"/>
      <c r="CK28" s="533"/>
      <c r="CL28" s="518"/>
      <c r="CM28" s="533"/>
      <c r="CN28" s="518"/>
      <c r="CO28" s="533"/>
      <c r="CP28" s="518"/>
      <c r="CQ28" s="533"/>
      <c r="CR28" s="518"/>
      <c r="CS28" s="533"/>
      <c r="CT28" s="518"/>
      <c r="CU28" s="533"/>
      <c r="CV28" s="518">
        <f>CU28*D28</f>
        <v>0</v>
      </c>
      <c r="CW28" s="533"/>
      <c r="CX28" s="518"/>
      <c r="CY28" s="533"/>
      <c r="CZ28" s="518"/>
      <c r="DA28" s="533"/>
      <c r="DB28" s="518"/>
      <c r="DC28" s="533"/>
      <c r="DD28" s="518"/>
      <c r="DE28" s="533"/>
      <c r="DF28" s="518"/>
      <c r="DG28" s="518">
        <f>CU28</f>
        <v>0</v>
      </c>
      <c r="DH28" s="518">
        <f>CV28</f>
        <v>0</v>
      </c>
      <c r="DI28" s="534"/>
      <c r="DJ28" s="533"/>
      <c r="DK28" s="518"/>
      <c r="DL28" s="533"/>
      <c r="DM28" s="518"/>
      <c r="DN28" s="533"/>
      <c r="DO28" s="518"/>
      <c r="DP28" s="533"/>
      <c r="DQ28" s="518"/>
      <c r="DR28" s="533"/>
      <c r="DS28" s="518"/>
      <c r="DT28" s="533"/>
      <c r="DU28" s="518"/>
      <c r="DV28" s="533"/>
      <c r="DW28" s="518"/>
      <c r="DX28" s="533"/>
      <c r="DY28" s="518"/>
      <c r="DZ28" s="533"/>
      <c r="EA28" s="518"/>
      <c r="EB28" s="533"/>
      <c r="EC28" s="518"/>
      <c r="ED28" s="533"/>
      <c r="EE28" s="518"/>
      <c r="EF28" s="533"/>
      <c r="EG28" s="518"/>
      <c r="EH28" s="518"/>
      <c r="EI28" s="518"/>
      <c r="EJ28" s="534"/>
      <c r="EK28" s="533"/>
      <c r="EL28" s="518"/>
      <c r="EM28" s="533"/>
      <c r="EN28" s="518"/>
      <c r="EO28" s="533"/>
      <c r="EP28" s="518"/>
      <c r="EQ28" s="533"/>
      <c r="ER28" s="518"/>
      <c r="ES28" s="533"/>
      <c r="ET28" s="518"/>
      <c r="EU28" s="533"/>
      <c r="EV28" s="518"/>
      <c r="EW28" s="533"/>
      <c r="EX28" s="518"/>
      <c r="EY28" s="533"/>
      <c r="EZ28" s="518"/>
      <c r="FA28" s="533"/>
      <c r="FB28" s="518"/>
      <c r="FC28" s="533"/>
      <c r="FD28" s="518"/>
      <c r="FE28" s="533"/>
      <c r="FF28" s="518"/>
      <c r="FG28" s="533"/>
      <c r="FH28" s="518"/>
      <c r="FI28" s="518"/>
      <c r="FJ28" s="518"/>
      <c r="FL28" s="518"/>
      <c r="FM28" s="518"/>
      <c r="FN28" s="533"/>
      <c r="FO28" s="518"/>
      <c r="FP28" s="533"/>
      <c r="FQ28" s="518"/>
      <c r="FR28" s="533"/>
      <c r="FS28" s="518"/>
      <c r="FT28" s="533"/>
      <c r="FU28" s="518"/>
      <c r="FV28" s="533"/>
      <c r="FW28" s="518"/>
      <c r="FX28" s="533"/>
      <c r="FY28" s="518"/>
      <c r="FZ28" s="533"/>
      <c r="GA28" s="518"/>
      <c r="GB28" s="533"/>
      <c r="GC28" s="518"/>
      <c r="GD28" s="533"/>
      <c r="GE28" s="518"/>
      <c r="GF28" s="533"/>
      <c r="GG28" s="518"/>
      <c r="GH28" s="533"/>
      <c r="GI28" s="518"/>
      <c r="GJ28" s="518"/>
      <c r="GK28" s="518"/>
      <c r="GL28" s="523"/>
      <c r="GM28" s="523"/>
      <c r="GN28" s="523"/>
      <c r="GO28" s="523"/>
      <c r="GP28" s="523"/>
      <c r="GQ28" s="523"/>
      <c r="GR28" s="523">
        <f t="shared" si="146"/>
        <v>0</v>
      </c>
      <c r="GS28" s="523">
        <f t="shared" si="147"/>
        <v>0</v>
      </c>
      <c r="GT28" s="523"/>
      <c r="GU28" s="523"/>
      <c r="GV28" s="523"/>
      <c r="GW28" s="523"/>
      <c r="GX28" s="523"/>
      <c r="GY28" s="523"/>
      <c r="GZ28" s="523"/>
      <c r="HA28" s="523"/>
      <c r="HB28" s="523"/>
      <c r="HC28" s="523"/>
      <c r="HD28" s="523"/>
      <c r="HE28" s="523"/>
      <c r="HF28" s="523"/>
      <c r="HG28" s="523"/>
      <c r="HH28" s="523"/>
      <c r="HI28" s="523"/>
      <c r="HJ28" s="523"/>
      <c r="HK28" s="523"/>
      <c r="HL28" s="523"/>
      <c r="HM28" s="523"/>
      <c r="HN28" s="523">
        <f>((1400/200)*1133.3)*2</f>
        <v>15866.199999999999</v>
      </c>
      <c r="HO28" s="523">
        <f>HN28*D28</f>
        <v>1599498594.54</v>
      </c>
      <c r="HP28" s="523">
        <f t="shared" si="148"/>
        <v>15866.199999999999</v>
      </c>
      <c r="HQ28" s="523">
        <f t="shared" si="149"/>
        <v>1599498594.54</v>
      </c>
      <c r="HR28" s="511"/>
      <c r="HS28" s="511"/>
      <c r="HT28" s="511"/>
      <c r="HU28" s="511"/>
      <c r="HV28" s="511"/>
      <c r="HW28" s="511"/>
      <c r="HX28" s="523"/>
      <c r="HY28" s="523"/>
      <c r="HZ28" s="523"/>
      <c r="IA28" s="523"/>
      <c r="IB28" s="511"/>
      <c r="IC28" s="511"/>
      <c r="ID28" s="511"/>
      <c r="IE28" s="511"/>
      <c r="IF28" s="523"/>
      <c r="IG28" s="523"/>
      <c r="II28" s="523">
        <f>GS28+HA28+HI28+HQ28+HY28+IG28</f>
        <v>1599498594.54</v>
      </c>
      <c r="IJ28" s="523"/>
      <c r="IK28" s="578"/>
    </row>
    <row r="29" spans="1:250" s="535" customFormat="1" ht="24" customHeight="1" x14ac:dyDescent="0.2">
      <c r="B29" s="536" t="s">
        <v>381</v>
      </c>
      <c r="C29" s="537"/>
      <c r="D29" s="538"/>
      <c r="E29" s="539"/>
      <c r="F29" s="522">
        <f t="shared" si="133"/>
        <v>0</v>
      </c>
      <c r="G29" s="538">
        <f>SUM(G17:G26)</f>
        <v>3100344548.6935253</v>
      </c>
      <c r="H29" s="539"/>
      <c r="I29" s="538">
        <f>SUM(I17:I26)</f>
        <v>0</v>
      </c>
      <c r="J29" s="539"/>
      <c r="K29" s="538">
        <f>SUM(K17:K26)</f>
        <v>0</v>
      </c>
      <c r="L29" s="539"/>
      <c r="M29" s="538">
        <f>SUM(M17:M26)</f>
        <v>0</v>
      </c>
      <c r="N29" s="539"/>
      <c r="O29" s="538">
        <f>SUM(O17:O26)</f>
        <v>0</v>
      </c>
      <c r="P29" s="539"/>
      <c r="Q29" s="538">
        <f>SUM(Q17:Q26)</f>
        <v>0</v>
      </c>
      <c r="R29" s="539"/>
      <c r="S29" s="538">
        <f>SUM(S17:S26)</f>
        <v>0</v>
      </c>
      <c r="T29" s="539"/>
      <c r="U29" s="538">
        <f>SUM(U17:U26)</f>
        <v>0</v>
      </c>
      <c r="V29" s="539"/>
      <c r="W29" s="538">
        <f>SUM(W17:W26)</f>
        <v>0</v>
      </c>
      <c r="X29" s="539"/>
      <c r="Y29" s="538">
        <f>SUM(Y17:Y26)</f>
        <v>0</v>
      </c>
      <c r="Z29" s="539"/>
      <c r="AA29" s="538">
        <f>SUM(AA17:AA26)</f>
        <v>0</v>
      </c>
      <c r="AB29" s="539"/>
      <c r="AC29" s="538">
        <f>SUM(AC17:AC26)</f>
        <v>0</v>
      </c>
      <c r="AD29" s="538"/>
      <c r="AE29" s="538">
        <f>SUM(AE17:AE26)</f>
        <v>3100344548.6935253</v>
      </c>
      <c r="AG29" s="539"/>
      <c r="AH29" s="538"/>
      <c r="AI29" s="539"/>
      <c r="AJ29" s="538"/>
      <c r="AK29" s="539"/>
      <c r="AL29" s="538"/>
      <c r="AM29" s="539"/>
      <c r="AN29" s="538"/>
      <c r="AO29" s="539"/>
      <c r="AP29" s="538"/>
      <c r="AQ29" s="539"/>
      <c r="AR29" s="538"/>
      <c r="AS29" s="539"/>
      <c r="AT29" s="538"/>
      <c r="AU29" s="539"/>
      <c r="AV29" s="538"/>
      <c r="AW29" s="539"/>
      <c r="AX29" s="538"/>
      <c r="AY29" s="539"/>
      <c r="AZ29" s="538"/>
      <c r="BA29" s="539"/>
      <c r="BB29" s="538"/>
      <c r="BC29" s="539"/>
      <c r="BD29" s="538"/>
      <c r="BE29" s="538"/>
      <c r="BF29" s="538">
        <f>SUM(BF17:BF26)</f>
        <v>0</v>
      </c>
      <c r="BH29" s="539"/>
      <c r="BI29" s="538"/>
      <c r="BJ29" s="539"/>
      <c r="BK29" s="538"/>
      <c r="BL29" s="539"/>
      <c r="BM29" s="538"/>
      <c r="BN29" s="539"/>
      <c r="BO29" s="538"/>
      <c r="BP29" s="539"/>
      <c r="BQ29" s="538"/>
      <c r="BR29" s="539"/>
      <c r="BS29" s="538"/>
      <c r="BT29" s="539"/>
      <c r="BU29" s="538"/>
      <c r="BV29" s="539"/>
      <c r="BW29" s="538"/>
      <c r="BX29" s="539"/>
      <c r="BY29" s="538"/>
      <c r="BZ29" s="539"/>
      <c r="CA29" s="538"/>
      <c r="CB29" s="539"/>
      <c r="CC29" s="538"/>
      <c r="CD29" s="539"/>
      <c r="CE29" s="538"/>
      <c r="CF29" s="538"/>
      <c r="CG29" s="538">
        <f>SUM(CG17:CG28)</f>
        <v>4488203779.0799999</v>
      </c>
      <c r="CH29" s="511"/>
      <c r="CI29" s="539"/>
      <c r="CJ29" s="538"/>
      <c r="CK29" s="539"/>
      <c r="CL29" s="538"/>
      <c r="CM29" s="539"/>
      <c r="CN29" s="538"/>
      <c r="CO29" s="539"/>
      <c r="CP29" s="538"/>
      <c r="CQ29" s="539"/>
      <c r="CR29" s="538"/>
      <c r="CS29" s="539"/>
      <c r="CT29" s="538"/>
      <c r="CU29" s="539"/>
      <c r="CV29" s="538"/>
      <c r="CW29" s="539"/>
      <c r="CX29" s="538"/>
      <c r="CY29" s="539"/>
      <c r="CZ29" s="538"/>
      <c r="DA29" s="539"/>
      <c r="DB29" s="538"/>
      <c r="DC29" s="539"/>
      <c r="DD29" s="538"/>
      <c r="DE29" s="539"/>
      <c r="DF29" s="538"/>
      <c r="DG29" s="538"/>
      <c r="DH29" s="538">
        <f>SUM(DH17:DH28)</f>
        <v>0</v>
      </c>
      <c r="DI29" s="540"/>
      <c r="DJ29" s="539"/>
      <c r="DK29" s="538"/>
      <c r="DL29" s="539"/>
      <c r="DM29" s="538"/>
      <c r="DN29" s="539"/>
      <c r="DO29" s="538"/>
      <c r="DP29" s="539"/>
      <c r="DQ29" s="538"/>
      <c r="DR29" s="539"/>
      <c r="DS29" s="538"/>
      <c r="DT29" s="539"/>
      <c r="DU29" s="538"/>
      <c r="DV29" s="539"/>
      <c r="DW29" s="538"/>
      <c r="DX29" s="539"/>
      <c r="DY29" s="538"/>
      <c r="DZ29" s="539"/>
      <c r="EA29" s="538"/>
      <c r="EB29" s="539"/>
      <c r="EC29" s="538"/>
      <c r="ED29" s="539"/>
      <c r="EE29" s="538"/>
      <c r="EF29" s="539"/>
      <c r="EG29" s="538"/>
      <c r="EH29" s="538"/>
      <c r="EI29" s="538">
        <f>SUM(EI17:EI26)</f>
        <v>0</v>
      </c>
      <c r="EJ29" s="540"/>
      <c r="EK29" s="539"/>
      <c r="EL29" s="538"/>
      <c r="EM29" s="539"/>
      <c r="EN29" s="538"/>
      <c r="EO29" s="539"/>
      <c r="EP29" s="538"/>
      <c r="EQ29" s="539"/>
      <c r="ER29" s="538"/>
      <c r="ES29" s="539"/>
      <c r="ET29" s="538"/>
      <c r="EU29" s="539"/>
      <c r="EV29" s="538"/>
      <c r="EW29" s="539"/>
      <c r="EX29" s="538"/>
      <c r="EY29" s="539"/>
      <c r="EZ29" s="538"/>
      <c r="FA29" s="539"/>
      <c r="FB29" s="538"/>
      <c r="FC29" s="539"/>
      <c r="FD29" s="538"/>
      <c r="FE29" s="539"/>
      <c r="FF29" s="538"/>
      <c r="FG29" s="539"/>
      <c r="FH29" s="538"/>
      <c r="FI29" s="538"/>
      <c r="FJ29" s="538">
        <f>SUM(FJ17:FJ26)</f>
        <v>0</v>
      </c>
      <c r="FK29" s="541"/>
      <c r="FL29" s="538"/>
      <c r="FM29" s="538"/>
      <c r="FN29" s="539"/>
      <c r="FO29" s="538"/>
      <c r="FP29" s="539"/>
      <c r="FQ29" s="538"/>
      <c r="FR29" s="539"/>
      <c r="FS29" s="538"/>
      <c r="FT29" s="539"/>
      <c r="FU29" s="538"/>
      <c r="FV29" s="539"/>
      <c r="FW29" s="538"/>
      <c r="FX29" s="539"/>
      <c r="FY29" s="538"/>
      <c r="FZ29" s="539"/>
      <c r="GA29" s="538"/>
      <c r="GB29" s="539"/>
      <c r="GC29" s="538"/>
      <c r="GD29" s="539"/>
      <c r="GE29" s="538"/>
      <c r="GF29" s="539"/>
      <c r="GG29" s="538"/>
      <c r="GH29" s="539"/>
      <c r="GI29" s="538"/>
      <c r="GJ29" s="538"/>
      <c r="GK29" s="538">
        <f>SUM(GK17:GK26)</f>
        <v>0</v>
      </c>
      <c r="GL29" s="523">
        <f>IFERROR(((+F29+H29+J29+L29)/($E29/'RKP 08'!$D$5)),0)</f>
        <v>0</v>
      </c>
      <c r="GM29" s="523">
        <f t="shared" si="135"/>
        <v>3100344548.6935253</v>
      </c>
      <c r="GN29" s="523">
        <f>IFERROR(((+N29+P29+R29+T29)/($E29/'RKP 08'!$D$5)),0)</f>
        <v>0</v>
      </c>
      <c r="GO29" s="523">
        <f t="shared" si="113"/>
        <v>0</v>
      </c>
      <c r="GP29" s="523">
        <f>IFERROR(((V29+X29+Z29+AB29)/($E29/'RKP 08'!$D$5)),0)</f>
        <v>0</v>
      </c>
      <c r="GQ29" s="523">
        <f t="shared" si="114"/>
        <v>0</v>
      </c>
      <c r="GR29" s="523">
        <f>GL29+GN29+GP29</f>
        <v>0</v>
      </c>
      <c r="GS29" s="523">
        <f>GM29+GO29+GQ29</f>
        <v>3100344548.6935253</v>
      </c>
      <c r="GT29" s="523">
        <f>IFERROR(((AG29+AI29+AK29+AM29)/($E29/'RKP 08'!$D$5)),0)</f>
        <v>0</v>
      </c>
      <c r="GU29" s="523">
        <f t="shared" si="21"/>
        <v>0</v>
      </c>
      <c r="GV29" s="523">
        <f>IFERROR(((AO29+AQ29+AS29+AU29)/($E29/'RKP 08'!$D$5)),0)</f>
        <v>0</v>
      </c>
      <c r="GW29" s="523">
        <f t="shared" si="22"/>
        <v>0</v>
      </c>
      <c r="GX29" s="523">
        <f>IFERROR(((AW29+AY29+BA29+BC29)/($E29/'RKP 08'!$D$5)),0)</f>
        <v>0</v>
      </c>
      <c r="GY29" s="523">
        <f t="shared" si="23"/>
        <v>0</v>
      </c>
      <c r="GZ29" s="523">
        <f t="shared" si="117"/>
        <v>0</v>
      </c>
      <c r="HA29" s="523">
        <f t="shared" si="118"/>
        <v>0</v>
      </c>
      <c r="HB29" s="523">
        <f>IFERROR(((BH29+BJ29+BL29+BN29)/($E29/'RKP 08'!$D$5)),0)</f>
        <v>0</v>
      </c>
      <c r="HC29" s="523">
        <f t="shared" si="24"/>
        <v>0</v>
      </c>
      <c r="HD29" s="523">
        <f>IFERROR(((BP29+BR29+BT29+BV29)/($E29/'RKP 08'!$D$5)),0)</f>
        <v>0</v>
      </c>
      <c r="HE29" s="523">
        <f t="shared" si="25"/>
        <v>0</v>
      </c>
      <c r="HF29" s="523">
        <f>IFERROR(((BX29+BZ29+CB29+CD29)/($E29/'RKP 08'!$D$5)),0)</f>
        <v>0</v>
      </c>
      <c r="HG29" s="523">
        <f t="shared" si="26"/>
        <v>0</v>
      </c>
      <c r="HH29" s="523">
        <f t="shared" si="119"/>
        <v>0</v>
      </c>
      <c r="HI29" s="523">
        <f t="shared" si="120"/>
        <v>0</v>
      </c>
      <c r="HJ29" s="523">
        <f>IFERROR(((CI29+CK29+CM29)/($E29/'RKP 08'!$D$5)),0)</f>
        <v>0</v>
      </c>
      <c r="HK29" s="511">
        <f>CJ29+CL29+CN29</f>
        <v>0</v>
      </c>
      <c r="HL29" s="523">
        <f>IFERROR(((CO29+CQ29+CS29)/($E29/'RKP 08'!$D$5)),0)</f>
        <v>0</v>
      </c>
      <c r="HM29" s="511">
        <f>CP29+CR29+CT29</f>
        <v>0</v>
      </c>
      <c r="HN29" s="523">
        <f>IFERROR(((CU29+CW29+CY29)/($E29/'RKP 08'!$D$5)),0)</f>
        <v>0</v>
      </c>
      <c r="HO29" s="511">
        <f>CV29+CX29+CZ29</f>
        <v>0</v>
      </c>
      <c r="HP29" s="523">
        <f t="shared" si="124"/>
        <v>0</v>
      </c>
      <c r="HQ29" s="523">
        <f t="shared" si="125"/>
        <v>0</v>
      </c>
      <c r="HR29" s="511">
        <f>IFERROR(((DJ29+DL29+DN29+DP29)/($E29/'RKP 08'!$D$5)),0)</f>
        <v>0</v>
      </c>
      <c r="HS29" s="511">
        <f t="shared" si="27"/>
        <v>0</v>
      </c>
      <c r="HT29" s="511">
        <f>IFERROR(((DR29+DT29+DV29+DX29)/($E29/'RKP 08'!$D$5)),0)</f>
        <v>0</v>
      </c>
      <c r="HU29" s="511">
        <f t="shared" si="28"/>
        <v>0</v>
      </c>
      <c r="HV29" s="511">
        <f>IFERROR(((DZ29+EB29+ED29+EF29)/($E29/'RKP 08'!$D$5)),0)</f>
        <v>0</v>
      </c>
      <c r="HW29" s="511">
        <f t="shared" si="29"/>
        <v>0</v>
      </c>
      <c r="HX29" s="523">
        <f t="shared" si="126"/>
        <v>0</v>
      </c>
      <c r="HY29" s="523">
        <f t="shared" si="127"/>
        <v>0</v>
      </c>
      <c r="HZ29" s="523">
        <f t="shared" si="128"/>
        <v>0</v>
      </c>
      <c r="IA29" s="523">
        <f t="shared" si="128"/>
        <v>0</v>
      </c>
      <c r="IB29" s="511">
        <f>IFERROR(((ES29+EU29+EW29+EY29)/($E29/'RKP 08'!$D$5)),0)</f>
        <v>0</v>
      </c>
      <c r="IC29" s="511">
        <f t="shared" si="30"/>
        <v>0</v>
      </c>
      <c r="ID29" s="511">
        <f>IFERROR(((FA29+FC29+FE29+FG29)/($E29/'RKP 08'!$D$5)),0)</f>
        <v>0</v>
      </c>
      <c r="IE29" s="511">
        <f t="shared" si="31"/>
        <v>0</v>
      </c>
      <c r="IF29" s="523">
        <f t="shared" si="129"/>
        <v>0</v>
      </c>
      <c r="IG29" s="523">
        <f t="shared" si="130"/>
        <v>0</v>
      </c>
      <c r="II29" s="523">
        <f>SUM(II17:II28)</f>
        <v>7588548327.7735252</v>
      </c>
      <c r="IJ29" s="523"/>
    </row>
    <row r="30" spans="1:250" s="502" customFormat="1" ht="24" hidden="1" customHeight="1" x14ac:dyDescent="0.2">
      <c r="B30" s="512"/>
      <c r="C30" s="513"/>
      <c r="D30" s="514"/>
      <c r="E30" s="542"/>
      <c r="F30" s="542"/>
      <c r="G30" s="543"/>
      <c r="H30" s="542"/>
      <c r="I30" s="543"/>
      <c r="J30" s="542"/>
      <c r="K30" s="543"/>
      <c r="L30" s="542"/>
      <c r="M30" s="543"/>
      <c r="N30" s="542"/>
      <c r="O30" s="543"/>
      <c r="P30" s="542"/>
      <c r="Q30" s="543"/>
      <c r="R30" s="542"/>
      <c r="S30" s="543"/>
      <c r="T30" s="542"/>
      <c r="U30" s="543"/>
      <c r="V30" s="542"/>
      <c r="W30" s="543"/>
      <c r="X30" s="542"/>
      <c r="Y30" s="543"/>
      <c r="Z30" s="542"/>
      <c r="AA30" s="543"/>
      <c r="AB30" s="542"/>
      <c r="AC30" s="543"/>
      <c r="AD30" s="514"/>
      <c r="AE30" s="543"/>
      <c r="AG30" s="542"/>
      <c r="AH30" s="543"/>
      <c r="AI30" s="542"/>
      <c r="AJ30" s="543"/>
      <c r="AK30" s="542"/>
      <c r="AL30" s="543"/>
      <c r="AM30" s="542"/>
      <c r="AN30" s="543"/>
      <c r="AO30" s="542"/>
      <c r="AP30" s="543"/>
      <c r="AQ30" s="542"/>
      <c r="AR30" s="543"/>
      <c r="AS30" s="542"/>
      <c r="AT30" s="543"/>
      <c r="AU30" s="542"/>
      <c r="AV30" s="543"/>
      <c r="AW30" s="542"/>
      <c r="AX30" s="543"/>
      <c r="AY30" s="542"/>
      <c r="AZ30" s="543"/>
      <c r="BA30" s="542"/>
      <c r="BB30" s="543"/>
      <c r="BC30" s="542"/>
      <c r="BD30" s="543"/>
      <c r="BE30" s="514"/>
      <c r="BF30" s="543"/>
      <c r="BH30" s="542"/>
      <c r="BI30" s="543"/>
      <c r="BJ30" s="542"/>
      <c r="BK30" s="543"/>
      <c r="BL30" s="542"/>
      <c r="BM30" s="543"/>
      <c r="BN30" s="542"/>
      <c r="BO30" s="543"/>
      <c r="BP30" s="542"/>
      <c r="BQ30" s="543"/>
      <c r="BR30" s="542"/>
      <c r="BS30" s="543"/>
      <c r="BT30" s="542"/>
      <c r="BU30" s="543"/>
      <c r="BV30" s="542"/>
      <c r="BW30" s="543"/>
      <c r="BX30" s="542"/>
      <c r="BY30" s="543"/>
      <c r="BZ30" s="542"/>
      <c r="CA30" s="543"/>
      <c r="CB30" s="542"/>
      <c r="CC30" s="543"/>
      <c r="CD30" s="542"/>
      <c r="CE30" s="543"/>
      <c r="CF30" s="514"/>
      <c r="CG30" s="543"/>
      <c r="CH30" s="511"/>
      <c r="CI30" s="542"/>
      <c r="CJ30" s="543"/>
      <c r="CK30" s="542"/>
      <c r="CL30" s="543"/>
      <c r="CM30" s="542"/>
      <c r="CN30" s="543"/>
      <c r="CO30" s="542"/>
      <c r="CP30" s="543"/>
      <c r="CQ30" s="542"/>
      <c r="CR30" s="543"/>
      <c r="CS30" s="542"/>
      <c r="CT30" s="543"/>
      <c r="CU30" s="542"/>
      <c r="CV30" s="543"/>
      <c r="CW30" s="542"/>
      <c r="CX30" s="543"/>
      <c r="CY30" s="542"/>
      <c r="CZ30" s="543"/>
      <c r="DA30" s="542"/>
      <c r="DB30" s="543"/>
      <c r="DC30" s="542"/>
      <c r="DD30" s="543"/>
      <c r="DE30" s="542"/>
      <c r="DF30" s="543"/>
      <c r="DG30" s="514"/>
      <c r="DH30" s="543"/>
      <c r="DI30" s="542"/>
      <c r="DJ30" s="542"/>
      <c r="DK30" s="543"/>
      <c r="DL30" s="542"/>
      <c r="DM30" s="543"/>
      <c r="DN30" s="542"/>
      <c r="DO30" s="543"/>
      <c r="DP30" s="542"/>
      <c r="DQ30" s="543"/>
      <c r="DR30" s="542"/>
      <c r="DS30" s="543"/>
      <c r="DT30" s="542"/>
      <c r="DU30" s="543"/>
      <c r="DV30" s="542"/>
      <c r="DW30" s="543"/>
      <c r="DX30" s="542"/>
      <c r="DY30" s="543"/>
      <c r="DZ30" s="542"/>
      <c r="EA30" s="543"/>
      <c r="EB30" s="542"/>
      <c r="EC30" s="543"/>
      <c r="ED30" s="542"/>
      <c r="EE30" s="543"/>
      <c r="EF30" s="542"/>
      <c r="EG30" s="543"/>
      <c r="EH30" s="514"/>
      <c r="EI30" s="543"/>
      <c r="EJ30" s="542"/>
      <c r="EK30" s="542"/>
      <c r="EL30" s="543"/>
      <c r="EM30" s="542"/>
      <c r="EN30" s="543"/>
      <c r="EO30" s="542"/>
      <c r="EP30" s="543"/>
      <c r="EQ30" s="542"/>
      <c r="ER30" s="543"/>
      <c r="ES30" s="542"/>
      <c r="ET30" s="543"/>
      <c r="EU30" s="542"/>
      <c r="EV30" s="543"/>
      <c r="EW30" s="542"/>
      <c r="EX30" s="543"/>
      <c r="EY30" s="542"/>
      <c r="EZ30" s="543"/>
      <c r="FA30" s="542"/>
      <c r="FB30" s="543"/>
      <c r="FC30" s="542"/>
      <c r="FD30" s="543"/>
      <c r="FE30" s="542"/>
      <c r="FF30" s="543"/>
      <c r="FG30" s="542"/>
      <c r="FH30" s="543"/>
      <c r="FI30" s="514"/>
      <c r="FJ30" s="543"/>
      <c r="FK30" s="515"/>
      <c r="FL30" s="542"/>
      <c r="FM30" s="543"/>
      <c r="FN30" s="542"/>
      <c r="FO30" s="543"/>
      <c r="FP30" s="542"/>
      <c r="FQ30" s="543"/>
      <c r="FR30" s="542"/>
      <c r="FS30" s="543"/>
      <c r="FT30" s="542"/>
      <c r="FU30" s="543"/>
      <c r="FV30" s="542"/>
      <c r="FW30" s="543"/>
      <c r="FX30" s="542"/>
      <c r="FY30" s="543"/>
      <c r="FZ30" s="542"/>
      <c r="GA30" s="543"/>
      <c r="GB30" s="542"/>
      <c r="GC30" s="543"/>
      <c r="GD30" s="542"/>
      <c r="GE30" s="543"/>
      <c r="GF30" s="542"/>
      <c r="GG30" s="543"/>
      <c r="GH30" s="542"/>
      <c r="GI30" s="543"/>
      <c r="GJ30" s="514"/>
      <c r="GK30" s="543"/>
    </row>
    <row r="31" spans="1:250" ht="24" hidden="1" customHeight="1" x14ac:dyDescent="0.2">
      <c r="B31" s="508" t="s">
        <v>382</v>
      </c>
      <c r="C31" s="509"/>
      <c r="D31" s="507">
        <f>186*7500</f>
        <v>1395000</v>
      </c>
      <c r="E31" s="506"/>
      <c r="F31" s="506"/>
      <c r="G31" s="506"/>
      <c r="H31" s="506"/>
      <c r="I31" s="506"/>
      <c r="J31" s="506"/>
      <c r="K31" s="506"/>
      <c r="L31" s="506"/>
      <c r="M31" s="506"/>
      <c r="N31" s="506"/>
      <c r="O31" s="506"/>
      <c r="P31" s="506"/>
      <c r="Q31" s="506"/>
      <c r="R31" s="506"/>
      <c r="S31" s="506"/>
      <c r="T31" s="506"/>
      <c r="U31" s="506"/>
      <c r="V31" s="506"/>
      <c r="W31" s="506"/>
      <c r="X31" s="506"/>
      <c r="Y31" s="506"/>
      <c r="Z31" s="506"/>
      <c r="AA31" s="506"/>
      <c r="AB31" s="506"/>
      <c r="AC31" s="506"/>
      <c r="AD31" s="506"/>
      <c r="AE31" s="506"/>
      <c r="AG31" s="506"/>
      <c r="AH31" s="506"/>
      <c r="AI31" s="506"/>
      <c r="AJ31" s="506"/>
      <c r="AK31" s="506"/>
      <c r="AL31" s="506"/>
      <c r="AM31" s="506"/>
      <c r="AN31" s="506"/>
      <c r="AO31" s="506"/>
      <c r="AP31" s="506"/>
      <c r="AQ31" s="506"/>
      <c r="AR31" s="506"/>
      <c r="AS31" s="506"/>
      <c r="AT31" s="506"/>
      <c r="AU31" s="506"/>
      <c r="AV31" s="506"/>
      <c r="AW31" s="506"/>
      <c r="AX31" s="506"/>
      <c r="AY31" s="506"/>
      <c r="AZ31" s="506"/>
      <c r="BA31" s="506"/>
      <c r="BB31" s="506"/>
      <c r="BC31" s="506"/>
      <c r="BD31" s="506"/>
      <c r="BE31" s="506"/>
      <c r="BF31" s="506"/>
      <c r="BH31" s="506"/>
      <c r="BI31" s="506"/>
      <c r="BJ31" s="506"/>
      <c r="BK31" s="506"/>
      <c r="BL31" s="506"/>
      <c r="BM31" s="506"/>
      <c r="BN31" s="506"/>
      <c r="BO31" s="506"/>
      <c r="BP31" s="506"/>
      <c r="BQ31" s="506"/>
      <c r="BR31" s="506"/>
      <c r="BS31" s="506"/>
      <c r="BT31" s="506"/>
      <c r="BU31" s="506"/>
      <c r="BV31" s="506"/>
      <c r="BW31" s="506"/>
      <c r="BX31" s="506"/>
      <c r="BY31" s="506"/>
      <c r="BZ31" s="506"/>
      <c r="CA31" s="506"/>
      <c r="CB31" s="506"/>
      <c r="CC31" s="506"/>
      <c r="CD31" s="506"/>
      <c r="CE31" s="506"/>
      <c r="CF31" s="506"/>
      <c r="CG31" s="506"/>
      <c r="CH31" s="511"/>
      <c r="CI31" s="506"/>
      <c r="CJ31" s="506"/>
      <c r="CK31" s="506"/>
      <c r="CL31" s="506"/>
      <c r="CM31" s="506"/>
      <c r="CN31" s="506"/>
      <c r="CO31" s="506"/>
      <c r="CP31" s="506"/>
      <c r="CQ31" s="506"/>
      <c r="CR31" s="506"/>
      <c r="CS31" s="506"/>
      <c r="CT31" s="506"/>
      <c r="CU31" s="506"/>
      <c r="CV31" s="506"/>
      <c r="CW31" s="506"/>
      <c r="CX31" s="506"/>
      <c r="CY31" s="506"/>
      <c r="CZ31" s="506"/>
      <c r="DA31" s="506"/>
      <c r="DB31" s="506"/>
      <c r="DC31" s="506"/>
      <c r="DD31" s="506"/>
      <c r="DE31" s="506"/>
      <c r="DF31" s="506"/>
      <c r="DG31" s="506"/>
      <c r="DH31" s="506"/>
      <c r="DI31" s="507"/>
      <c r="DJ31" s="506"/>
      <c r="DK31" s="506"/>
      <c r="DL31" s="506"/>
      <c r="DM31" s="506"/>
      <c r="DN31" s="506"/>
      <c r="DO31" s="506"/>
      <c r="DP31" s="506"/>
      <c r="DQ31" s="506"/>
      <c r="DR31" s="506"/>
      <c r="DS31" s="506"/>
      <c r="DT31" s="506"/>
      <c r="DU31" s="506"/>
      <c r="DV31" s="506"/>
      <c r="DW31" s="506"/>
      <c r="DX31" s="506"/>
      <c r="DY31" s="506"/>
      <c r="DZ31" s="506"/>
      <c r="EA31" s="506"/>
      <c r="EB31" s="506"/>
      <c r="EC31" s="506"/>
      <c r="ED31" s="506"/>
      <c r="EE31" s="506"/>
      <c r="EF31" s="506"/>
      <c r="EG31" s="506"/>
      <c r="EH31" s="506"/>
      <c r="EI31" s="506"/>
      <c r="EJ31" s="507"/>
      <c r="EK31" s="506"/>
      <c r="EL31" s="506"/>
      <c r="EM31" s="506"/>
      <c r="EN31" s="506"/>
      <c r="EO31" s="506"/>
      <c r="EP31" s="506"/>
      <c r="EQ31" s="506"/>
      <c r="ER31" s="506"/>
      <c r="ES31" s="506"/>
      <c r="ET31" s="506"/>
      <c r="EU31" s="506"/>
      <c r="EV31" s="506"/>
      <c r="EW31" s="506"/>
      <c r="EX31" s="506"/>
      <c r="EY31" s="506"/>
      <c r="EZ31" s="506"/>
      <c r="FA31" s="506"/>
      <c r="FB31" s="506"/>
      <c r="FC31" s="506"/>
      <c r="FD31" s="506"/>
      <c r="FE31" s="506"/>
      <c r="FF31" s="506"/>
      <c r="FG31" s="506"/>
      <c r="FH31" s="506"/>
      <c r="FI31" s="506"/>
      <c r="FJ31" s="506"/>
      <c r="FL31" s="506"/>
      <c r="FM31" s="506"/>
      <c r="FN31" s="506"/>
      <c r="FO31" s="506"/>
      <c r="FP31" s="506"/>
      <c r="FQ31" s="506"/>
      <c r="FR31" s="506"/>
      <c r="FS31" s="506"/>
      <c r="FT31" s="506"/>
      <c r="FU31" s="506"/>
      <c r="FV31" s="506"/>
      <c r="FW31" s="506"/>
      <c r="FX31" s="506"/>
      <c r="FY31" s="506"/>
      <c r="FZ31" s="506"/>
      <c r="GA31" s="506"/>
      <c r="GB31" s="506"/>
      <c r="GC31" s="506"/>
      <c r="GD31" s="506"/>
      <c r="GE31" s="506"/>
      <c r="GF31" s="506"/>
      <c r="GG31" s="506"/>
      <c r="GH31" s="506"/>
      <c r="GI31" s="506"/>
      <c r="GJ31" s="506"/>
      <c r="GK31" s="506"/>
    </row>
    <row r="32" spans="1:250" ht="24" hidden="1" customHeight="1" x14ac:dyDescent="0.2">
      <c r="B32" s="510" t="s">
        <v>383</v>
      </c>
      <c r="C32" s="509" t="s">
        <v>372</v>
      </c>
      <c r="D32" s="507">
        <v>1096332.0656699999</v>
      </c>
      <c r="E32" s="506">
        <v>2000</v>
      </c>
      <c r="F32" s="506">
        <f>'[15]TTL TB'!W208</f>
        <v>0</v>
      </c>
      <c r="G32" s="506">
        <f>'[15]TTL TB'!X237</f>
        <v>0</v>
      </c>
      <c r="H32" s="506">
        <f>'[15]TTL TB'!Y208</f>
        <v>0</v>
      </c>
      <c r="I32" s="506">
        <f>'[15]TTL TB'!Z237</f>
        <v>0</v>
      </c>
      <c r="J32" s="506">
        <f>'[15]TTL TB'!AA208</f>
        <v>0</v>
      </c>
      <c r="K32" s="506">
        <f>'[15]TTL TB'!AB237</f>
        <v>0</v>
      </c>
      <c r="L32" s="506">
        <f>'[15]TTL TB'!AC208</f>
        <v>0</v>
      </c>
      <c r="M32" s="506">
        <f>'[15]TTL TB'!AD237</f>
        <v>0</v>
      </c>
      <c r="N32" s="506">
        <f>'[15]TTL TB'!AE208</f>
        <v>0</v>
      </c>
      <c r="O32" s="506">
        <f>'[15]TTL TB'!AF237</f>
        <v>0</v>
      </c>
      <c r="P32" s="506">
        <f>'[15]TTL TB'!AG208</f>
        <v>0</v>
      </c>
      <c r="Q32" s="506">
        <f>'[15]TTL TB'!AH237</f>
        <v>0</v>
      </c>
      <c r="R32" s="506">
        <f>'[15]TTL TB'!AI208</f>
        <v>0</v>
      </c>
      <c r="S32" s="506">
        <f>'[15]TTL TB'!AJ237</f>
        <v>0</v>
      </c>
      <c r="T32" s="506">
        <f>'[15]TTL TB'!AK208</f>
        <v>300</v>
      </c>
      <c r="U32" s="506">
        <f>'[15]TTL TB'!AL237</f>
        <v>174691352.331</v>
      </c>
      <c r="V32" s="506">
        <f>'[15]TTL TB'!AM208</f>
        <v>400</v>
      </c>
      <c r="W32" s="506">
        <f>'[15]TTL TB'!AN237</f>
        <v>466426796.26799995</v>
      </c>
      <c r="X32" s="506">
        <f>'[15]TTL TB'!AO208</f>
        <v>400</v>
      </c>
      <c r="Y32" s="506">
        <f>'[15]TTL TB'!AP237</f>
        <v>497771843.98799998</v>
      </c>
      <c r="Z32" s="506">
        <f>'[15]TTL TB'!AQ208</f>
        <v>400</v>
      </c>
      <c r="AA32" s="506">
        <f>'[15]TTL TB'!AR237</f>
        <v>497771843.98799998</v>
      </c>
      <c r="AB32" s="506">
        <v>500</v>
      </c>
      <c r="AC32" s="506">
        <f>'[15]TTL TB'!AT237</f>
        <v>476313922.87667549</v>
      </c>
      <c r="AD32" s="507">
        <f>F32+H32+J32+L32+N32+P32+R32+T32+V32+X32+Z32+AB32</f>
        <v>2000</v>
      </c>
      <c r="AE32" s="507">
        <f>G32+I32+K32+M32+O32+Q32+S32+U32+W32+Y32+AA32+AC32</f>
        <v>2112975759.4516754</v>
      </c>
      <c r="AG32" s="506"/>
      <c r="AH32" s="506"/>
      <c r="AI32" s="506"/>
      <c r="AJ32" s="506"/>
      <c r="AK32" s="506"/>
      <c r="AL32" s="506"/>
      <c r="AM32" s="506"/>
      <c r="AN32" s="506"/>
      <c r="AO32" s="506"/>
      <c r="AP32" s="506"/>
      <c r="AQ32" s="506"/>
      <c r="AR32" s="506"/>
      <c r="AS32" s="506"/>
      <c r="AT32" s="506"/>
      <c r="AU32" s="506"/>
      <c r="AV32" s="506"/>
      <c r="AW32" s="506"/>
      <c r="AX32" s="506"/>
      <c r="AY32" s="506"/>
      <c r="AZ32" s="506"/>
      <c r="BA32" s="506"/>
      <c r="BB32" s="506"/>
      <c r="BC32" s="506"/>
      <c r="BD32" s="506"/>
      <c r="BE32" s="507">
        <f t="shared" ref="BE32:BF37" si="150">AG32+AI32+AK32+AM32+AO32+AQ32+AS32+AU32+AW32+AY32+BA32+BC32</f>
        <v>0</v>
      </c>
      <c r="BF32" s="507">
        <f t="shared" si="150"/>
        <v>0</v>
      </c>
      <c r="BH32" s="506"/>
      <c r="BI32" s="506"/>
      <c r="BJ32" s="506"/>
      <c r="BK32" s="506"/>
      <c r="BL32" s="506"/>
      <c r="BM32" s="506"/>
      <c r="BN32" s="506"/>
      <c r="BO32" s="506"/>
      <c r="BP32" s="506"/>
      <c r="BQ32" s="506"/>
      <c r="BR32" s="506"/>
      <c r="BS32" s="506"/>
      <c r="BT32" s="506"/>
      <c r="BU32" s="506"/>
      <c r="BV32" s="506"/>
      <c r="BW32" s="506"/>
      <c r="BX32" s="506"/>
      <c r="BY32" s="506"/>
      <c r="BZ32" s="506"/>
      <c r="CA32" s="506"/>
      <c r="CB32" s="506"/>
      <c r="CC32" s="506"/>
      <c r="CD32" s="506"/>
      <c r="CE32" s="506"/>
      <c r="CF32" s="507">
        <f t="shared" ref="CF32:CF37" si="151">BH32+BJ32+BL32+BN32+BP32+BR32+BT32+BV32+BX32+BZ32+CB32+CD32</f>
        <v>0</v>
      </c>
      <c r="CG32" s="507">
        <f t="shared" ref="CG32:CG37" si="152">BI32+BK32+BM32+BO32+BQ32+BS32+BU32+BW32+BY32+CA32+CC32+CE32</f>
        <v>0</v>
      </c>
      <c r="CH32" s="511"/>
      <c r="CI32" s="506"/>
      <c r="CJ32" s="506"/>
      <c r="CK32" s="506"/>
      <c r="CL32" s="506"/>
      <c r="CM32" s="506"/>
      <c r="CN32" s="506"/>
      <c r="CO32" s="506"/>
      <c r="CP32" s="506"/>
      <c r="CQ32" s="506"/>
      <c r="CR32" s="506"/>
      <c r="CS32" s="506"/>
      <c r="CT32" s="506"/>
      <c r="CU32" s="506"/>
      <c r="CV32" s="506"/>
      <c r="CW32" s="506"/>
      <c r="CX32" s="506"/>
      <c r="CY32" s="506"/>
      <c r="CZ32" s="506"/>
      <c r="DA32" s="506"/>
      <c r="DB32" s="506"/>
      <c r="DC32" s="506"/>
      <c r="DD32" s="506"/>
      <c r="DE32" s="506"/>
      <c r="DF32" s="506"/>
      <c r="DG32" s="507">
        <f t="shared" ref="DG32:DG37" si="153">CI32+CK32+CM32+CO32+CQ32+CS32+CU32+CW32+CY32+DA32+DC32+DE32</f>
        <v>0</v>
      </c>
      <c r="DH32" s="507">
        <f t="shared" ref="DH32:DH37" si="154">CJ32+CL32+CN32+CP32+CR32+CT32+CV32+CX32+CZ32+DB32+DD32+DF32</f>
        <v>0</v>
      </c>
      <c r="DI32" s="507"/>
      <c r="DJ32" s="506"/>
      <c r="DK32" s="506"/>
      <c r="DL32" s="506"/>
      <c r="DM32" s="506"/>
      <c r="DN32" s="506"/>
      <c r="DO32" s="506"/>
      <c r="DP32" s="506"/>
      <c r="DQ32" s="506"/>
      <c r="DR32" s="506"/>
      <c r="DS32" s="506"/>
      <c r="DT32" s="506"/>
      <c r="DU32" s="506"/>
      <c r="DV32" s="506"/>
      <c r="DW32" s="506"/>
      <c r="DX32" s="506"/>
      <c r="DY32" s="506"/>
      <c r="DZ32" s="506"/>
      <c r="EA32" s="506"/>
      <c r="EB32" s="506"/>
      <c r="EC32" s="506"/>
      <c r="ED32" s="506"/>
      <c r="EE32" s="506"/>
      <c r="EF32" s="506"/>
      <c r="EG32" s="506"/>
      <c r="EH32" s="507">
        <f t="shared" ref="EH32:EH37" si="155">DJ32+DL32+DN32+DP32+DR32+DT32+DV32+DX32+DZ32+EB32+ED32+EF32</f>
        <v>0</v>
      </c>
      <c r="EI32" s="507">
        <f t="shared" ref="EI32:EI37" si="156">DK32+DM32+DO32+DQ32+DS32+DU32+DW32+DY32+EA32+EC32+EE32+EG32</f>
        <v>0</v>
      </c>
      <c r="EJ32" s="507"/>
      <c r="EK32" s="506"/>
      <c r="EL32" s="506"/>
      <c r="EM32" s="506"/>
      <c r="EN32" s="506"/>
      <c r="EO32" s="506"/>
      <c r="EP32" s="506"/>
      <c r="EQ32" s="506"/>
      <c r="ER32" s="506"/>
      <c r="ES32" s="506"/>
      <c r="ET32" s="506"/>
      <c r="EU32" s="506"/>
      <c r="EV32" s="506"/>
      <c r="EW32" s="506"/>
      <c r="EX32" s="506"/>
      <c r="EY32" s="506"/>
      <c r="EZ32" s="506"/>
      <c r="FA32" s="506"/>
      <c r="FB32" s="506"/>
      <c r="FC32" s="506"/>
      <c r="FD32" s="506"/>
      <c r="FE32" s="506"/>
      <c r="FF32" s="506"/>
      <c r="FG32" s="506"/>
      <c r="FH32" s="506"/>
      <c r="FI32" s="507">
        <f t="shared" ref="FI32:FI37" si="157">EK32+EM32+EO32+EQ32+ES32+EU32+EW32+EY32+FA32+FC32+FE32+FG32</f>
        <v>0</v>
      </c>
      <c r="FJ32" s="507">
        <f t="shared" ref="FJ32:FJ37" si="158">EL32+EN32+EP32+ER32+ET32+EV32+EX32+EZ32+FB32+FD32+FF32+FH32</f>
        <v>0</v>
      </c>
      <c r="FL32" s="506"/>
      <c r="FM32" s="506"/>
      <c r="FN32" s="506"/>
      <c r="FO32" s="506"/>
      <c r="FP32" s="506"/>
      <c r="FQ32" s="506"/>
      <c r="FR32" s="506"/>
      <c r="FS32" s="506"/>
      <c r="FT32" s="506"/>
      <c r="FU32" s="506"/>
      <c r="FV32" s="506"/>
      <c r="FW32" s="506"/>
      <c r="FX32" s="506"/>
      <c r="FY32" s="506"/>
      <c r="FZ32" s="506"/>
      <c r="GA32" s="506"/>
      <c r="GB32" s="506"/>
      <c r="GC32" s="506"/>
      <c r="GD32" s="506"/>
      <c r="GE32" s="506"/>
      <c r="GF32" s="506"/>
      <c r="GG32" s="506"/>
      <c r="GH32" s="506"/>
      <c r="GI32" s="506"/>
      <c r="GJ32" s="507">
        <f t="shared" ref="GJ32:GK37" si="159">FL32+FN32+FP32+FR32+FT32+FV32+FX32+FZ32+GB32+GD32+GF32+GH32</f>
        <v>0</v>
      </c>
      <c r="GK32" s="507">
        <f t="shared" si="159"/>
        <v>0</v>
      </c>
    </row>
    <row r="33" spans="1:193" ht="24" hidden="1" customHeight="1" x14ac:dyDescent="0.2">
      <c r="B33" s="510" t="s">
        <v>384</v>
      </c>
      <c r="C33" s="509" t="s">
        <v>372</v>
      </c>
      <c r="D33" s="507">
        <v>5565094.6361970874</v>
      </c>
      <c r="E33" s="506">
        <v>1500</v>
      </c>
      <c r="F33" s="506">
        <f>'[15]TTL TB'!W250</f>
        <v>0</v>
      </c>
      <c r="G33" s="506">
        <f>'[15]TTL TB'!X256</f>
        <v>0</v>
      </c>
      <c r="H33" s="506">
        <f>'[15]TTL TB'!Y250</f>
        <v>0</v>
      </c>
      <c r="I33" s="506">
        <f>'[15]TTL TB'!Z256</f>
        <v>0</v>
      </c>
      <c r="J33" s="506">
        <f>'[15]TTL TB'!AA250</f>
        <v>0</v>
      </c>
      <c r="K33" s="506">
        <f>'[15]TTL TB'!AB256</f>
        <v>0</v>
      </c>
      <c r="L33" s="506">
        <f>'[15]TTL TB'!AC250</f>
        <v>0</v>
      </c>
      <c r="M33" s="506">
        <f>'[15]TTL TB'!AD256</f>
        <v>0</v>
      </c>
      <c r="N33" s="506">
        <f>'[15]TTL TB'!AE250</f>
        <v>0</v>
      </c>
      <c r="O33" s="506">
        <f>'[15]TTL TB'!AF256</f>
        <v>0</v>
      </c>
      <c r="P33" s="506">
        <f>'[15]TTL TB'!AG250</f>
        <v>0</v>
      </c>
      <c r="Q33" s="506">
        <f>'[15]TTL TB'!AH256</f>
        <v>0</v>
      </c>
      <c r="R33" s="506">
        <f>'[15]TTL TB'!AI250</f>
        <v>0</v>
      </c>
      <c r="S33" s="506">
        <f>'[15]TTL TB'!AJ256</f>
        <v>0</v>
      </c>
      <c r="T33" s="506">
        <f>'[15]TTL TB'!AK250</f>
        <v>0</v>
      </c>
      <c r="U33" s="506">
        <f>'[15]TTL TB'!AL256</f>
        <v>98342400</v>
      </c>
      <c r="V33" s="506">
        <f>'[15]TTL TB'!AM250</f>
        <v>300</v>
      </c>
      <c r="W33" s="506">
        <f>'[15]TTL TB'!AN256</f>
        <v>504923938</v>
      </c>
      <c r="X33" s="506">
        <f>'[15]TTL TB'!AO250</f>
        <v>400</v>
      </c>
      <c r="Y33" s="506">
        <f>'[15]TTL TB'!AP256</f>
        <v>629524184</v>
      </c>
      <c r="Z33" s="506">
        <f>'[15]TTL TB'!AQ250</f>
        <v>400</v>
      </c>
      <c r="AA33" s="506">
        <f>'[15]TTL TB'!AR256</f>
        <v>629524184</v>
      </c>
      <c r="AB33" s="506">
        <v>400</v>
      </c>
      <c r="AC33" s="506">
        <f>'[15]TTL TB'!AT256</f>
        <v>617444459.20000005</v>
      </c>
      <c r="AD33" s="507">
        <f t="shared" ref="AD33:AE35" si="160">F33+H33+J33+L33+N33+P33+R33+T33+V33+X33+Z33+AB33</f>
        <v>1500</v>
      </c>
      <c r="AE33" s="507">
        <f t="shared" si="160"/>
        <v>2479759165.1999998</v>
      </c>
      <c r="AG33" s="506"/>
      <c r="AH33" s="506"/>
      <c r="AI33" s="506"/>
      <c r="AJ33" s="506"/>
      <c r="AK33" s="506"/>
      <c r="AL33" s="506"/>
      <c r="AM33" s="506"/>
      <c r="AN33" s="506"/>
      <c r="AO33" s="506"/>
      <c r="AP33" s="506"/>
      <c r="AQ33" s="506"/>
      <c r="AR33" s="506"/>
      <c r="AS33" s="506"/>
      <c r="AT33" s="506"/>
      <c r="AU33" s="506"/>
      <c r="AV33" s="506"/>
      <c r="AW33" s="506"/>
      <c r="AX33" s="506"/>
      <c r="AY33" s="506"/>
      <c r="AZ33" s="506"/>
      <c r="BA33" s="506"/>
      <c r="BB33" s="506"/>
      <c r="BC33" s="506"/>
      <c r="BD33" s="506"/>
      <c r="BE33" s="507">
        <f t="shared" si="150"/>
        <v>0</v>
      </c>
      <c r="BF33" s="507">
        <f t="shared" si="150"/>
        <v>0</v>
      </c>
      <c r="BH33" s="506"/>
      <c r="BI33" s="506"/>
      <c r="BJ33" s="506"/>
      <c r="BK33" s="506"/>
      <c r="BL33" s="506"/>
      <c r="BM33" s="506"/>
      <c r="BN33" s="506"/>
      <c r="BO33" s="506"/>
      <c r="BP33" s="506"/>
      <c r="BQ33" s="506"/>
      <c r="BR33" s="506"/>
      <c r="BS33" s="506"/>
      <c r="BT33" s="506"/>
      <c r="BU33" s="506"/>
      <c r="BV33" s="506"/>
      <c r="BW33" s="506"/>
      <c r="BX33" s="506"/>
      <c r="BY33" s="506"/>
      <c r="BZ33" s="506"/>
      <c r="CA33" s="506"/>
      <c r="CB33" s="506"/>
      <c r="CC33" s="506"/>
      <c r="CD33" s="506"/>
      <c r="CE33" s="506"/>
      <c r="CF33" s="507">
        <f t="shared" si="151"/>
        <v>0</v>
      </c>
      <c r="CG33" s="507">
        <f t="shared" si="152"/>
        <v>0</v>
      </c>
      <c r="CH33" s="511"/>
      <c r="CI33" s="506"/>
      <c r="CJ33" s="506"/>
      <c r="CK33" s="506"/>
      <c r="CL33" s="506"/>
      <c r="CM33" s="506"/>
      <c r="CN33" s="506"/>
      <c r="CO33" s="506"/>
      <c r="CP33" s="506"/>
      <c r="CQ33" s="506"/>
      <c r="CR33" s="506"/>
      <c r="CS33" s="506"/>
      <c r="CT33" s="506"/>
      <c r="CU33" s="506"/>
      <c r="CV33" s="506"/>
      <c r="CW33" s="506"/>
      <c r="CX33" s="506"/>
      <c r="CY33" s="506"/>
      <c r="CZ33" s="506"/>
      <c r="DA33" s="506"/>
      <c r="DB33" s="506"/>
      <c r="DC33" s="506"/>
      <c r="DD33" s="506"/>
      <c r="DE33" s="506"/>
      <c r="DF33" s="506"/>
      <c r="DG33" s="507">
        <f t="shared" si="153"/>
        <v>0</v>
      </c>
      <c r="DH33" s="507">
        <f t="shared" si="154"/>
        <v>0</v>
      </c>
      <c r="DI33" s="507"/>
      <c r="DJ33" s="506"/>
      <c r="DK33" s="506"/>
      <c r="DL33" s="506"/>
      <c r="DM33" s="506"/>
      <c r="DN33" s="506"/>
      <c r="DO33" s="506"/>
      <c r="DP33" s="506"/>
      <c r="DQ33" s="506"/>
      <c r="DR33" s="506"/>
      <c r="DS33" s="506"/>
      <c r="DT33" s="506"/>
      <c r="DU33" s="506"/>
      <c r="DV33" s="506"/>
      <c r="DW33" s="506"/>
      <c r="DX33" s="506"/>
      <c r="DY33" s="506"/>
      <c r="DZ33" s="506"/>
      <c r="EA33" s="506"/>
      <c r="EB33" s="506"/>
      <c r="EC33" s="506"/>
      <c r="ED33" s="506"/>
      <c r="EE33" s="506"/>
      <c r="EF33" s="506"/>
      <c r="EG33" s="506"/>
      <c r="EH33" s="507">
        <f t="shared" si="155"/>
        <v>0</v>
      </c>
      <c r="EI33" s="507">
        <f t="shared" si="156"/>
        <v>0</v>
      </c>
      <c r="EJ33" s="507"/>
      <c r="EK33" s="506"/>
      <c r="EL33" s="506"/>
      <c r="EM33" s="506"/>
      <c r="EN33" s="506"/>
      <c r="EO33" s="506"/>
      <c r="EP33" s="506"/>
      <c r="EQ33" s="506"/>
      <c r="ER33" s="506"/>
      <c r="ES33" s="506"/>
      <c r="ET33" s="506"/>
      <c r="EU33" s="506"/>
      <c r="EV33" s="506"/>
      <c r="EW33" s="506"/>
      <c r="EX33" s="506"/>
      <c r="EY33" s="506"/>
      <c r="EZ33" s="506"/>
      <c r="FA33" s="506"/>
      <c r="FB33" s="506"/>
      <c r="FC33" s="506"/>
      <c r="FD33" s="506"/>
      <c r="FE33" s="506"/>
      <c r="FF33" s="506"/>
      <c r="FG33" s="506"/>
      <c r="FH33" s="506"/>
      <c r="FI33" s="507">
        <f t="shared" si="157"/>
        <v>0</v>
      </c>
      <c r="FJ33" s="507">
        <f t="shared" si="158"/>
        <v>0</v>
      </c>
      <c r="FL33" s="506"/>
      <c r="FM33" s="506"/>
      <c r="FN33" s="506"/>
      <c r="FO33" s="506"/>
      <c r="FP33" s="506"/>
      <c r="FQ33" s="506"/>
      <c r="FR33" s="506"/>
      <c r="FS33" s="506"/>
      <c r="FT33" s="506"/>
      <c r="FU33" s="506"/>
      <c r="FV33" s="506"/>
      <c r="FW33" s="506"/>
      <c r="FX33" s="506"/>
      <c r="FY33" s="506"/>
      <c r="FZ33" s="506"/>
      <c r="GA33" s="506"/>
      <c r="GB33" s="506"/>
      <c r="GC33" s="506"/>
      <c r="GD33" s="506"/>
      <c r="GE33" s="506"/>
      <c r="GF33" s="506"/>
      <c r="GG33" s="506"/>
      <c r="GH33" s="506"/>
      <c r="GI33" s="506"/>
      <c r="GJ33" s="507">
        <f t="shared" si="159"/>
        <v>0</v>
      </c>
      <c r="GK33" s="507">
        <f t="shared" si="159"/>
        <v>0</v>
      </c>
    </row>
    <row r="34" spans="1:193" ht="24" hidden="1" customHeight="1" x14ac:dyDescent="0.2">
      <c r="A34" s="531"/>
      <c r="B34" s="510" t="s">
        <v>385</v>
      </c>
      <c r="C34" s="509" t="s">
        <v>372</v>
      </c>
      <c r="D34" s="507">
        <v>276566.82996720006</v>
      </c>
      <c r="E34" s="506">
        <v>1500</v>
      </c>
      <c r="F34" s="534"/>
      <c r="G34" s="507">
        <f>'[15]TTL TB'!X302</f>
        <v>0</v>
      </c>
      <c r="H34" s="534"/>
      <c r="I34" s="507">
        <f>'[15]TTL TB'!Z302</f>
        <v>0</v>
      </c>
      <c r="J34" s="534"/>
      <c r="K34" s="507">
        <f>'[15]TTL TB'!AB302</f>
        <v>0</v>
      </c>
      <c r="L34" s="534"/>
      <c r="M34" s="507">
        <f>'[15]TTL TB'!AD302</f>
        <v>0</v>
      </c>
      <c r="N34" s="534"/>
      <c r="O34" s="507">
        <f>'[15]TTL TB'!AF302</f>
        <v>0</v>
      </c>
      <c r="P34" s="534"/>
      <c r="Q34" s="507">
        <f>'[15]TTL TB'!AH302</f>
        <v>0</v>
      </c>
      <c r="R34" s="534"/>
      <c r="S34" s="507">
        <f>'[15]TTL TB'!AJ302</f>
        <v>0</v>
      </c>
      <c r="T34" s="534"/>
      <c r="U34" s="507">
        <f>'[15]TTL TB'!AL302</f>
        <v>0</v>
      </c>
      <c r="V34" s="534">
        <v>300</v>
      </c>
      <c r="W34" s="507">
        <f>'[15]TTL TB'!AN302</f>
        <v>32588485.515000001</v>
      </c>
      <c r="X34" s="534">
        <v>400</v>
      </c>
      <c r="Y34" s="507">
        <f>'[15]TTL TB'!AP302</f>
        <v>110178386.30340001</v>
      </c>
      <c r="Z34" s="534">
        <v>400</v>
      </c>
      <c r="AA34" s="507">
        <f>'[15]TTL TB'!AR302</f>
        <v>136041686.56620002</v>
      </c>
      <c r="AB34" s="534">
        <v>400</v>
      </c>
      <c r="AC34" s="507">
        <f>'[15]TTL TB'!AT302</f>
        <v>136041686.56620002</v>
      </c>
      <c r="AD34" s="507">
        <f>F34+H34+J34+L34+N34+P34+R34+T34+V34+X34+Z34+AB34</f>
        <v>1500</v>
      </c>
      <c r="AE34" s="507">
        <f>G34+I34+K34+M34+O34+Q34+S34+U34+W34+Y34+AA34+AC34</f>
        <v>414850244.95080006</v>
      </c>
      <c r="AG34" s="534"/>
      <c r="AH34" s="507"/>
      <c r="AI34" s="534"/>
      <c r="AJ34" s="507"/>
      <c r="AK34" s="534"/>
      <c r="AL34" s="507"/>
      <c r="AM34" s="534"/>
      <c r="AN34" s="507"/>
      <c r="AO34" s="534"/>
      <c r="AP34" s="507"/>
      <c r="AQ34" s="534"/>
      <c r="AR34" s="507"/>
      <c r="AS34" s="534"/>
      <c r="AT34" s="507"/>
      <c r="AU34" s="534"/>
      <c r="AV34" s="507"/>
      <c r="AW34" s="534"/>
      <c r="AX34" s="507"/>
      <c r="AY34" s="534"/>
      <c r="AZ34" s="507"/>
      <c r="BA34" s="534"/>
      <c r="BB34" s="507"/>
      <c r="BC34" s="534"/>
      <c r="BD34" s="507"/>
      <c r="BE34" s="507">
        <f t="shared" si="150"/>
        <v>0</v>
      </c>
      <c r="BF34" s="507">
        <f t="shared" si="150"/>
        <v>0</v>
      </c>
      <c r="BH34" s="534"/>
      <c r="BI34" s="507"/>
      <c r="BJ34" s="534"/>
      <c r="BK34" s="507"/>
      <c r="BL34" s="534"/>
      <c r="BM34" s="507"/>
      <c r="BN34" s="534"/>
      <c r="BO34" s="507"/>
      <c r="BP34" s="534"/>
      <c r="BQ34" s="507"/>
      <c r="BR34" s="534"/>
      <c r="BS34" s="507"/>
      <c r="BT34" s="534"/>
      <c r="BU34" s="507"/>
      <c r="BV34" s="534"/>
      <c r="BW34" s="507"/>
      <c r="BX34" s="534"/>
      <c r="BY34" s="507"/>
      <c r="BZ34" s="534"/>
      <c r="CA34" s="507"/>
      <c r="CB34" s="534"/>
      <c r="CC34" s="507"/>
      <c r="CD34" s="534"/>
      <c r="CE34" s="507"/>
      <c r="CF34" s="507">
        <f t="shared" si="151"/>
        <v>0</v>
      </c>
      <c r="CG34" s="507">
        <f t="shared" si="152"/>
        <v>0</v>
      </c>
      <c r="CH34" s="511"/>
      <c r="CI34" s="534"/>
      <c r="CJ34" s="507"/>
      <c r="CK34" s="534"/>
      <c r="CL34" s="507"/>
      <c r="CM34" s="534"/>
      <c r="CN34" s="507"/>
      <c r="CO34" s="534"/>
      <c r="CP34" s="507"/>
      <c r="CQ34" s="534"/>
      <c r="CR34" s="507"/>
      <c r="CS34" s="534"/>
      <c r="CT34" s="507"/>
      <c r="CU34" s="534"/>
      <c r="CV34" s="507"/>
      <c r="CW34" s="534"/>
      <c r="CX34" s="507"/>
      <c r="CY34" s="534"/>
      <c r="CZ34" s="507"/>
      <c r="DA34" s="534"/>
      <c r="DB34" s="507"/>
      <c r="DC34" s="534"/>
      <c r="DD34" s="507"/>
      <c r="DE34" s="534"/>
      <c r="DF34" s="507"/>
      <c r="DG34" s="507">
        <f t="shared" si="153"/>
        <v>0</v>
      </c>
      <c r="DH34" s="507">
        <f t="shared" si="154"/>
        <v>0</v>
      </c>
      <c r="DI34" s="534"/>
      <c r="DJ34" s="534"/>
      <c r="DK34" s="507"/>
      <c r="DL34" s="534"/>
      <c r="DM34" s="507"/>
      <c r="DN34" s="534"/>
      <c r="DO34" s="507"/>
      <c r="DP34" s="534"/>
      <c r="DQ34" s="507"/>
      <c r="DR34" s="534"/>
      <c r="DS34" s="507"/>
      <c r="DT34" s="534"/>
      <c r="DU34" s="507"/>
      <c r="DV34" s="534"/>
      <c r="DW34" s="507"/>
      <c r="DX34" s="534"/>
      <c r="DY34" s="507"/>
      <c r="DZ34" s="534"/>
      <c r="EA34" s="507"/>
      <c r="EB34" s="534"/>
      <c r="EC34" s="507"/>
      <c r="ED34" s="534"/>
      <c r="EE34" s="507"/>
      <c r="EF34" s="534"/>
      <c r="EG34" s="507"/>
      <c r="EH34" s="507">
        <f t="shared" si="155"/>
        <v>0</v>
      </c>
      <c r="EI34" s="507">
        <f t="shared" si="156"/>
        <v>0</v>
      </c>
      <c r="EJ34" s="534"/>
      <c r="EK34" s="534"/>
      <c r="EL34" s="507"/>
      <c r="EM34" s="534"/>
      <c r="EN34" s="507"/>
      <c r="EO34" s="534"/>
      <c r="EP34" s="507"/>
      <c r="EQ34" s="534"/>
      <c r="ER34" s="507"/>
      <c r="ES34" s="534"/>
      <c r="ET34" s="507"/>
      <c r="EU34" s="534"/>
      <c r="EV34" s="507"/>
      <c r="EW34" s="534"/>
      <c r="EX34" s="507"/>
      <c r="EY34" s="534"/>
      <c r="EZ34" s="507"/>
      <c r="FA34" s="534"/>
      <c r="FB34" s="507"/>
      <c r="FC34" s="534"/>
      <c r="FD34" s="507"/>
      <c r="FE34" s="534"/>
      <c r="FF34" s="507"/>
      <c r="FG34" s="534"/>
      <c r="FH34" s="507"/>
      <c r="FI34" s="507">
        <f t="shared" si="157"/>
        <v>0</v>
      </c>
      <c r="FJ34" s="507">
        <f t="shared" si="158"/>
        <v>0</v>
      </c>
      <c r="FL34" s="534"/>
      <c r="FM34" s="507"/>
      <c r="FN34" s="534"/>
      <c r="FO34" s="507"/>
      <c r="FP34" s="534"/>
      <c r="FQ34" s="507"/>
      <c r="FR34" s="534"/>
      <c r="FS34" s="507"/>
      <c r="FT34" s="534"/>
      <c r="FU34" s="507"/>
      <c r="FV34" s="534"/>
      <c r="FW34" s="507"/>
      <c r="FX34" s="534"/>
      <c r="FY34" s="507"/>
      <c r="FZ34" s="534"/>
      <c r="GA34" s="507"/>
      <c r="GB34" s="534"/>
      <c r="GC34" s="507"/>
      <c r="GD34" s="534"/>
      <c r="GE34" s="507"/>
      <c r="GF34" s="534"/>
      <c r="GG34" s="507"/>
      <c r="GH34" s="534"/>
      <c r="GI34" s="507"/>
      <c r="GJ34" s="507">
        <f t="shared" si="159"/>
        <v>0</v>
      </c>
      <c r="GK34" s="507">
        <f t="shared" si="159"/>
        <v>0</v>
      </c>
    </row>
    <row r="35" spans="1:193" ht="24" hidden="1" customHeight="1" x14ac:dyDescent="0.2">
      <c r="B35" s="510" t="s">
        <v>386</v>
      </c>
      <c r="C35" s="509">
        <f>'Tingkat Jalan Mineral'!G20</f>
        <v>998942.8</v>
      </c>
      <c r="D35" s="507">
        <v>494844.07857243775</v>
      </c>
      <c r="E35" s="507">
        <v>1500</v>
      </c>
      <c r="F35" s="506"/>
      <c r="G35" s="507">
        <f>'[15]TTL TB'!X353</f>
        <v>0</v>
      </c>
      <c r="H35" s="506"/>
      <c r="I35" s="507">
        <f>'[15]TTL TB'!Z353</f>
        <v>0</v>
      </c>
      <c r="J35" s="506"/>
      <c r="K35" s="507">
        <f>'[15]TTL TB'!AB353</f>
        <v>0</v>
      </c>
      <c r="L35" s="506"/>
      <c r="M35" s="507">
        <f>'[15]TTL TB'!AD353</f>
        <v>0</v>
      </c>
      <c r="N35" s="506"/>
      <c r="O35" s="507">
        <f>'[15]TTL TB'!AF353</f>
        <v>0</v>
      </c>
      <c r="P35" s="506"/>
      <c r="Q35" s="507">
        <f>'[15]TTL TB'!AH353</f>
        <v>0</v>
      </c>
      <c r="R35" s="506"/>
      <c r="S35" s="507">
        <f>'[15]TTL TB'!AJ353</f>
        <v>0</v>
      </c>
      <c r="T35" s="506"/>
      <c r="U35" s="507">
        <f>'[15]TTL TB'!AL353</f>
        <v>0</v>
      </c>
      <c r="V35" s="506">
        <v>300</v>
      </c>
      <c r="W35" s="507">
        <f>'[15]TTL TB'!AN353</f>
        <v>110552408.58804022</v>
      </c>
      <c r="X35" s="506">
        <v>400</v>
      </c>
      <c r="Y35" s="507">
        <f>'[15]TTL TB'!AP353</f>
        <v>198931881.93804023</v>
      </c>
      <c r="Z35" s="506">
        <v>400</v>
      </c>
      <c r="AA35" s="507">
        <f>'[15]TTL TB'!AR353</f>
        <v>217166321.45804024</v>
      </c>
      <c r="AB35" s="506">
        <v>400</v>
      </c>
      <c r="AC35" s="507">
        <f>'[15]TTL TB'!AT353</f>
        <v>215615505.87453604</v>
      </c>
      <c r="AD35" s="507">
        <f t="shared" si="160"/>
        <v>1500</v>
      </c>
      <c r="AE35" s="507">
        <f t="shared" si="160"/>
        <v>742266117.85865664</v>
      </c>
      <c r="AG35" s="506"/>
      <c r="AH35" s="507"/>
      <c r="AI35" s="506"/>
      <c r="AJ35" s="507"/>
      <c r="AK35" s="506"/>
      <c r="AL35" s="507"/>
      <c r="AM35" s="506"/>
      <c r="AN35" s="507"/>
      <c r="AO35" s="506"/>
      <c r="AP35" s="507"/>
      <c r="AQ35" s="506"/>
      <c r="AR35" s="507"/>
      <c r="AS35" s="506"/>
      <c r="AT35" s="507"/>
      <c r="AU35" s="506"/>
      <c r="AV35" s="507"/>
      <c r="AW35" s="506"/>
      <c r="AX35" s="507"/>
      <c r="AY35" s="506"/>
      <c r="AZ35" s="507"/>
      <c r="BA35" s="506"/>
      <c r="BB35" s="507"/>
      <c r="BC35" s="506"/>
      <c r="BD35" s="507"/>
      <c r="BE35" s="507">
        <f t="shared" si="150"/>
        <v>0</v>
      </c>
      <c r="BF35" s="507">
        <f t="shared" si="150"/>
        <v>0</v>
      </c>
      <c r="BH35" s="506"/>
      <c r="BI35" s="507"/>
      <c r="BJ35" s="506"/>
      <c r="BK35" s="507"/>
      <c r="BL35" s="506"/>
      <c r="BM35" s="507"/>
      <c r="BN35" s="506"/>
      <c r="BO35" s="507"/>
      <c r="BP35" s="506"/>
      <c r="BQ35" s="507"/>
      <c r="BR35" s="506"/>
      <c r="BS35" s="507"/>
      <c r="BT35" s="506"/>
      <c r="BU35" s="507"/>
      <c r="BV35" s="506"/>
      <c r="BW35" s="507"/>
      <c r="BX35" s="506"/>
      <c r="BY35" s="507"/>
      <c r="BZ35" s="506"/>
      <c r="CA35" s="507"/>
      <c r="CB35" s="506"/>
      <c r="CC35" s="507"/>
      <c r="CD35" s="506"/>
      <c r="CE35" s="507"/>
      <c r="CF35" s="507">
        <f t="shared" si="151"/>
        <v>0</v>
      </c>
      <c r="CG35" s="507">
        <f t="shared" si="152"/>
        <v>0</v>
      </c>
      <c r="CH35" s="511"/>
      <c r="CI35" s="506"/>
      <c r="CJ35" s="507"/>
      <c r="CK35" s="506"/>
      <c r="CL35" s="507"/>
      <c r="CM35" s="506"/>
      <c r="CN35" s="507"/>
      <c r="CO35" s="506"/>
      <c r="CP35" s="507"/>
      <c r="CQ35" s="506"/>
      <c r="CR35" s="507"/>
      <c r="CS35" s="506"/>
      <c r="CT35" s="507"/>
      <c r="CU35" s="506"/>
      <c r="CV35" s="507"/>
      <c r="CW35" s="506"/>
      <c r="CX35" s="507"/>
      <c r="CY35" s="506"/>
      <c r="CZ35" s="507"/>
      <c r="DA35" s="506"/>
      <c r="DB35" s="507"/>
      <c r="DC35" s="506"/>
      <c r="DD35" s="507"/>
      <c r="DE35" s="506"/>
      <c r="DF35" s="507"/>
      <c r="DG35" s="507">
        <f t="shared" si="153"/>
        <v>0</v>
      </c>
      <c r="DH35" s="507">
        <f t="shared" si="154"/>
        <v>0</v>
      </c>
      <c r="DI35" s="507"/>
      <c r="DJ35" s="506"/>
      <c r="DK35" s="507"/>
      <c r="DL35" s="506"/>
      <c r="DM35" s="507"/>
      <c r="DN35" s="506"/>
      <c r="DO35" s="507"/>
      <c r="DP35" s="506"/>
      <c r="DQ35" s="507"/>
      <c r="DR35" s="506"/>
      <c r="DS35" s="507"/>
      <c r="DT35" s="506"/>
      <c r="DU35" s="507"/>
      <c r="DV35" s="506"/>
      <c r="DW35" s="507"/>
      <c r="DX35" s="506"/>
      <c r="DY35" s="507"/>
      <c r="DZ35" s="506"/>
      <c r="EA35" s="507"/>
      <c r="EB35" s="506"/>
      <c r="EC35" s="507"/>
      <c r="ED35" s="506"/>
      <c r="EE35" s="507"/>
      <c r="EF35" s="506"/>
      <c r="EG35" s="507"/>
      <c r="EH35" s="507">
        <f t="shared" si="155"/>
        <v>0</v>
      </c>
      <c r="EI35" s="507">
        <f t="shared" si="156"/>
        <v>0</v>
      </c>
      <c r="EJ35" s="507"/>
      <c r="EK35" s="506"/>
      <c r="EL35" s="507"/>
      <c r="EM35" s="506"/>
      <c r="EN35" s="507"/>
      <c r="EO35" s="506"/>
      <c r="EP35" s="507"/>
      <c r="EQ35" s="506"/>
      <c r="ER35" s="507"/>
      <c r="ES35" s="506"/>
      <c r="ET35" s="507"/>
      <c r="EU35" s="506"/>
      <c r="EV35" s="507"/>
      <c r="EW35" s="506"/>
      <c r="EX35" s="507"/>
      <c r="EY35" s="506"/>
      <c r="EZ35" s="507"/>
      <c r="FA35" s="506"/>
      <c r="FB35" s="507"/>
      <c r="FC35" s="506"/>
      <c r="FD35" s="507"/>
      <c r="FE35" s="506"/>
      <c r="FF35" s="507"/>
      <c r="FG35" s="506"/>
      <c r="FH35" s="507"/>
      <c r="FI35" s="507">
        <f t="shared" si="157"/>
        <v>0</v>
      </c>
      <c r="FJ35" s="507">
        <f t="shared" si="158"/>
        <v>0</v>
      </c>
      <c r="FL35" s="506"/>
      <c r="FM35" s="507"/>
      <c r="FN35" s="506"/>
      <c r="FO35" s="507"/>
      <c r="FP35" s="506"/>
      <c r="FQ35" s="507"/>
      <c r="FR35" s="506"/>
      <c r="FS35" s="507"/>
      <c r="FT35" s="506"/>
      <c r="FU35" s="507"/>
      <c r="FV35" s="506"/>
      <c r="FW35" s="507"/>
      <c r="FX35" s="506"/>
      <c r="FY35" s="507"/>
      <c r="FZ35" s="506"/>
      <c r="GA35" s="507"/>
      <c r="GB35" s="506"/>
      <c r="GC35" s="507"/>
      <c r="GD35" s="506"/>
      <c r="GE35" s="507"/>
      <c r="GF35" s="506"/>
      <c r="GG35" s="507"/>
      <c r="GH35" s="506"/>
      <c r="GI35" s="507"/>
      <c r="GJ35" s="507">
        <f t="shared" si="159"/>
        <v>0</v>
      </c>
      <c r="GK35" s="507">
        <f t="shared" si="159"/>
        <v>0</v>
      </c>
    </row>
    <row r="36" spans="1:193" ht="24" hidden="1" customHeight="1" x14ac:dyDescent="0.2">
      <c r="B36" s="510" t="s">
        <v>387</v>
      </c>
      <c r="C36" s="509">
        <f>'Tingkat Jalan Mineral'!Q20</f>
        <v>1522646.8</v>
      </c>
      <c r="D36" s="507">
        <v>221455.0394590183</v>
      </c>
      <c r="E36" s="507">
        <v>1500</v>
      </c>
      <c r="F36" s="506"/>
      <c r="G36" s="507">
        <f>'[15]TTL TB'!X376</f>
        <v>0</v>
      </c>
      <c r="H36" s="506"/>
      <c r="I36" s="507">
        <f>'[15]TTL TB'!Z376</f>
        <v>0</v>
      </c>
      <c r="J36" s="506"/>
      <c r="K36" s="507">
        <f>'[15]TTL TB'!AB376</f>
        <v>0</v>
      </c>
      <c r="L36" s="506"/>
      <c r="M36" s="507">
        <f>'[15]TTL TB'!AD376</f>
        <v>0</v>
      </c>
      <c r="N36" s="506"/>
      <c r="O36" s="507">
        <f>'[15]TTL TB'!AF376</f>
        <v>0</v>
      </c>
      <c r="P36" s="506"/>
      <c r="Q36" s="507">
        <f>'[15]TTL TB'!AH376</f>
        <v>0</v>
      </c>
      <c r="R36" s="506"/>
      <c r="S36" s="507">
        <f>'[15]TTL TB'!AJ376</f>
        <v>0</v>
      </c>
      <c r="T36" s="506"/>
      <c r="U36" s="507">
        <f>'[15]TTL TB'!AL376</f>
        <v>0</v>
      </c>
      <c r="V36" s="506">
        <v>300</v>
      </c>
      <c r="W36" s="507">
        <f>'[15]TTL TB'!AN376</f>
        <v>83045639.797131866</v>
      </c>
      <c r="X36" s="506">
        <v>400</v>
      </c>
      <c r="Y36" s="507">
        <f>'[15]TTL TB'!AP376</f>
        <v>83045639.797131866</v>
      </c>
      <c r="Z36" s="506">
        <v>400</v>
      </c>
      <c r="AA36" s="507">
        <f>'[15]TTL TB'!AR376</f>
        <v>83045639.797131866</v>
      </c>
      <c r="AB36" s="506">
        <v>400</v>
      </c>
      <c r="AC36" s="507">
        <f>'[15]TTL TB'!AT376</f>
        <v>83045639.797131866</v>
      </c>
      <c r="AD36" s="507">
        <f>F36+H36+J36+L36+N36+P36+R36+T36+V36+X36+Z36+AB36</f>
        <v>1500</v>
      </c>
      <c r="AE36" s="507">
        <f>G36+I36+K36+M36+O36+Q36+S36+U36+W36+Y36+AA36+AC36</f>
        <v>332182559.18852746</v>
      </c>
      <c r="AG36" s="506"/>
      <c r="AH36" s="507"/>
      <c r="AI36" s="506"/>
      <c r="AJ36" s="507"/>
      <c r="AK36" s="506"/>
      <c r="AL36" s="507"/>
      <c r="AM36" s="506"/>
      <c r="AN36" s="507"/>
      <c r="AO36" s="506"/>
      <c r="AP36" s="507"/>
      <c r="AQ36" s="506"/>
      <c r="AR36" s="507"/>
      <c r="AS36" s="506"/>
      <c r="AT36" s="507"/>
      <c r="AU36" s="506"/>
      <c r="AV36" s="507"/>
      <c r="AW36" s="506"/>
      <c r="AX36" s="507"/>
      <c r="AY36" s="506"/>
      <c r="AZ36" s="507"/>
      <c r="BA36" s="506"/>
      <c r="BB36" s="507"/>
      <c r="BC36" s="506"/>
      <c r="BD36" s="507"/>
      <c r="BE36" s="507">
        <f t="shared" si="150"/>
        <v>0</v>
      </c>
      <c r="BF36" s="507">
        <f t="shared" si="150"/>
        <v>0</v>
      </c>
      <c r="BH36" s="506"/>
      <c r="BI36" s="507"/>
      <c r="BJ36" s="506"/>
      <c r="BK36" s="507"/>
      <c r="BL36" s="506"/>
      <c r="BM36" s="507"/>
      <c r="BN36" s="506"/>
      <c r="BO36" s="507"/>
      <c r="BP36" s="506"/>
      <c r="BQ36" s="507"/>
      <c r="BR36" s="506"/>
      <c r="BS36" s="507"/>
      <c r="BT36" s="506"/>
      <c r="BU36" s="507"/>
      <c r="BV36" s="506"/>
      <c r="BW36" s="507"/>
      <c r="BX36" s="506"/>
      <c r="BY36" s="507"/>
      <c r="BZ36" s="506"/>
      <c r="CA36" s="507"/>
      <c r="CB36" s="506"/>
      <c r="CC36" s="507"/>
      <c r="CD36" s="506"/>
      <c r="CE36" s="507"/>
      <c r="CF36" s="507">
        <f t="shared" si="151"/>
        <v>0</v>
      </c>
      <c r="CG36" s="507">
        <f t="shared" si="152"/>
        <v>0</v>
      </c>
      <c r="CH36" s="511"/>
      <c r="CI36" s="506"/>
      <c r="CJ36" s="507"/>
      <c r="CK36" s="506"/>
      <c r="CL36" s="507"/>
      <c r="CM36" s="506"/>
      <c r="CN36" s="507"/>
      <c r="CO36" s="506"/>
      <c r="CP36" s="507"/>
      <c r="CQ36" s="506"/>
      <c r="CR36" s="507"/>
      <c r="CS36" s="506"/>
      <c r="CT36" s="507"/>
      <c r="CU36" s="506"/>
      <c r="CV36" s="507"/>
      <c r="CW36" s="506"/>
      <c r="CX36" s="507"/>
      <c r="CY36" s="506"/>
      <c r="CZ36" s="507"/>
      <c r="DA36" s="506"/>
      <c r="DB36" s="507"/>
      <c r="DC36" s="506"/>
      <c r="DD36" s="507"/>
      <c r="DE36" s="506"/>
      <c r="DF36" s="507"/>
      <c r="DG36" s="507">
        <f t="shared" si="153"/>
        <v>0</v>
      </c>
      <c r="DH36" s="507">
        <f t="shared" si="154"/>
        <v>0</v>
      </c>
      <c r="DI36" s="507"/>
      <c r="DJ36" s="506"/>
      <c r="DK36" s="507"/>
      <c r="DL36" s="506"/>
      <c r="DM36" s="507"/>
      <c r="DN36" s="506"/>
      <c r="DO36" s="507"/>
      <c r="DP36" s="506"/>
      <c r="DQ36" s="507"/>
      <c r="DR36" s="506"/>
      <c r="DS36" s="507"/>
      <c r="DT36" s="506"/>
      <c r="DU36" s="507"/>
      <c r="DV36" s="506"/>
      <c r="DW36" s="507"/>
      <c r="DX36" s="506"/>
      <c r="DY36" s="507"/>
      <c r="DZ36" s="506"/>
      <c r="EA36" s="507"/>
      <c r="EB36" s="506"/>
      <c r="EC36" s="507"/>
      <c r="ED36" s="506"/>
      <c r="EE36" s="507"/>
      <c r="EF36" s="506"/>
      <c r="EG36" s="507"/>
      <c r="EH36" s="507">
        <f t="shared" si="155"/>
        <v>0</v>
      </c>
      <c r="EI36" s="507">
        <f t="shared" si="156"/>
        <v>0</v>
      </c>
      <c r="EJ36" s="507"/>
      <c r="EK36" s="506"/>
      <c r="EL36" s="507"/>
      <c r="EM36" s="506"/>
      <c r="EN36" s="507"/>
      <c r="EO36" s="506"/>
      <c r="EP36" s="507"/>
      <c r="EQ36" s="506"/>
      <c r="ER36" s="507"/>
      <c r="ES36" s="506"/>
      <c r="ET36" s="507"/>
      <c r="EU36" s="506"/>
      <c r="EV36" s="507"/>
      <c r="EW36" s="506"/>
      <c r="EX36" s="507"/>
      <c r="EY36" s="506"/>
      <c r="EZ36" s="507"/>
      <c r="FA36" s="506"/>
      <c r="FB36" s="507"/>
      <c r="FC36" s="506"/>
      <c r="FD36" s="507"/>
      <c r="FE36" s="506"/>
      <c r="FF36" s="507"/>
      <c r="FG36" s="506"/>
      <c r="FH36" s="507"/>
      <c r="FI36" s="507">
        <f t="shared" si="157"/>
        <v>0</v>
      </c>
      <c r="FJ36" s="507">
        <f t="shared" si="158"/>
        <v>0</v>
      </c>
      <c r="FL36" s="506"/>
      <c r="FM36" s="507"/>
      <c r="FN36" s="506"/>
      <c r="FO36" s="507"/>
      <c r="FP36" s="506"/>
      <c r="FQ36" s="507"/>
      <c r="FR36" s="506"/>
      <c r="FS36" s="507"/>
      <c r="FT36" s="506"/>
      <c r="FU36" s="507"/>
      <c r="FV36" s="506"/>
      <c r="FW36" s="507"/>
      <c r="FX36" s="506"/>
      <c r="FY36" s="507"/>
      <c r="FZ36" s="506"/>
      <c r="GA36" s="507"/>
      <c r="GB36" s="506"/>
      <c r="GC36" s="507"/>
      <c r="GD36" s="506"/>
      <c r="GE36" s="507"/>
      <c r="GF36" s="506"/>
      <c r="GG36" s="507"/>
      <c r="GH36" s="506"/>
      <c r="GI36" s="507"/>
      <c r="GJ36" s="507">
        <f t="shared" si="159"/>
        <v>0</v>
      </c>
      <c r="GK36" s="507">
        <f t="shared" si="159"/>
        <v>0</v>
      </c>
    </row>
    <row r="37" spans="1:193" ht="24" hidden="1" customHeight="1" x14ac:dyDescent="0.2">
      <c r="A37" s="531"/>
      <c r="B37" s="510" t="s">
        <v>388</v>
      </c>
      <c r="C37" s="509">
        <f>'Drainase Tnh Mineral '!Q21</f>
        <v>581740</v>
      </c>
      <c r="D37" s="507">
        <v>88821.750230358113</v>
      </c>
      <c r="E37" s="534">
        <v>6511.6</v>
      </c>
      <c r="F37" s="534">
        <f>'[15]TTL TB'!W378</f>
        <v>272.08500000000004</v>
      </c>
      <c r="G37" s="506">
        <f>'[15]TTL TB'!X393</f>
        <v>37323049.866666675</v>
      </c>
      <c r="H37" s="534">
        <f>'[15]TTL TB'!Y378</f>
        <v>272.08500000000004</v>
      </c>
      <c r="I37" s="506">
        <f>'[15]TTL TB'!Z393</f>
        <v>37323049.866666675</v>
      </c>
      <c r="J37" s="534">
        <f>'[15]TTL TB'!AA378</f>
        <v>272.08500000000004</v>
      </c>
      <c r="K37" s="506">
        <f>'[15]TTL TB'!AB393</f>
        <v>37323049.866666675</v>
      </c>
      <c r="L37" s="534">
        <f>'[15]TTL TB'!AC378</f>
        <v>272.08500000000004</v>
      </c>
      <c r="M37" s="506">
        <f>'[15]TTL TB'!AD393</f>
        <v>37323049.866666675</v>
      </c>
      <c r="N37" s="534">
        <f>'[15]TTL TB'!AE378</f>
        <v>272.08500000000004</v>
      </c>
      <c r="O37" s="506">
        <f>'[15]TTL TB'!AF393</f>
        <v>37323049.866666675</v>
      </c>
      <c r="P37" s="534">
        <f>'[15]TTL TB'!AG378</f>
        <v>272.08500000000004</v>
      </c>
      <c r="Q37" s="506">
        <f>'[15]TTL TB'!AH393</f>
        <v>37323049.866666675</v>
      </c>
      <c r="R37" s="534">
        <f>'[15]TTL TB'!AI378</f>
        <v>810.3950000000001</v>
      </c>
      <c r="S37" s="506">
        <f>'[15]TTL TB'!AJ393</f>
        <v>59072234.933333345</v>
      </c>
      <c r="T37" s="534">
        <f>'[15]TTL TB'!AK378</f>
        <v>810.3950000000001</v>
      </c>
      <c r="U37" s="506">
        <f>'[15]TTL TB'!AL393</f>
        <v>59072234.933333345</v>
      </c>
      <c r="V37" s="534">
        <f>'[15]TTL TB'!AM378</f>
        <v>810.3950000000001</v>
      </c>
      <c r="W37" s="506">
        <f>'[15]TTL TB'!AN393</f>
        <v>59072234.933333345</v>
      </c>
      <c r="X37" s="534">
        <f>'[15]TTL TB'!AO378</f>
        <v>815.96833333333336</v>
      </c>
      <c r="Y37" s="506">
        <f>'[15]TTL TB'!AP393</f>
        <v>59072234.933333337</v>
      </c>
      <c r="Z37" s="534">
        <f>'[15]TTL TB'!AQ378</f>
        <v>815.96833333333336</v>
      </c>
      <c r="AA37" s="506">
        <f>'[15]TTL TB'!AR393</f>
        <v>59072234.933333337</v>
      </c>
      <c r="AB37" s="534">
        <f>'[15]TTL TB'!AS378</f>
        <v>815.96833333333336</v>
      </c>
      <c r="AC37" s="506">
        <f>'[15]TTL TB'!AT393</f>
        <v>59072234.933333337</v>
      </c>
      <c r="AD37" s="507">
        <f>F37+H37+J37+L37+N37+P37+R37+T37+V37+X37+Z37+AB37</f>
        <v>6511.6</v>
      </c>
      <c r="AE37" s="507">
        <f>G37+I37+K37+M37+O37+Q37+S37+U37+W37+Y37+AA37+AC37</f>
        <v>578371708.80000007</v>
      </c>
      <c r="AG37" s="534"/>
      <c r="AH37" s="506"/>
      <c r="AI37" s="534"/>
      <c r="AJ37" s="506"/>
      <c r="AK37" s="534"/>
      <c r="AL37" s="506"/>
      <c r="AM37" s="534"/>
      <c r="AN37" s="506"/>
      <c r="AO37" s="534"/>
      <c r="AP37" s="506"/>
      <c r="AQ37" s="534"/>
      <c r="AR37" s="506"/>
      <c r="AS37" s="534"/>
      <c r="AT37" s="506"/>
      <c r="AU37" s="534"/>
      <c r="AV37" s="506"/>
      <c r="AW37" s="534"/>
      <c r="AX37" s="506"/>
      <c r="AY37" s="534"/>
      <c r="AZ37" s="506"/>
      <c r="BA37" s="534"/>
      <c r="BB37" s="506"/>
      <c r="BC37" s="534"/>
      <c r="BD37" s="506"/>
      <c r="BE37" s="507">
        <f t="shared" si="150"/>
        <v>0</v>
      </c>
      <c r="BF37" s="507">
        <f t="shared" si="150"/>
        <v>0</v>
      </c>
      <c r="BH37" s="534"/>
      <c r="BI37" s="506"/>
      <c r="BJ37" s="534"/>
      <c r="BK37" s="506"/>
      <c r="BL37" s="534"/>
      <c r="BM37" s="506"/>
      <c r="BN37" s="534"/>
      <c r="BO37" s="506"/>
      <c r="BP37" s="534"/>
      <c r="BQ37" s="506"/>
      <c r="BR37" s="534"/>
      <c r="BS37" s="506"/>
      <c r="BT37" s="534"/>
      <c r="BU37" s="506"/>
      <c r="BV37" s="534"/>
      <c r="BW37" s="506"/>
      <c r="BX37" s="534"/>
      <c r="BY37" s="506"/>
      <c r="BZ37" s="534"/>
      <c r="CA37" s="506"/>
      <c r="CB37" s="534"/>
      <c r="CC37" s="506"/>
      <c r="CD37" s="534"/>
      <c r="CE37" s="506"/>
      <c r="CF37" s="507">
        <f t="shared" si="151"/>
        <v>0</v>
      </c>
      <c r="CG37" s="507">
        <f t="shared" si="152"/>
        <v>0</v>
      </c>
      <c r="CH37" s="511"/>
      <c r="CI37" s="534"/>
      <c r="CJ37" s="506"/>
      <c r="CK37" s="534"/>
      <c r="CL37" s="506"/>
      <c r="CM37" s="534"/>
      <c r="CN37" s="506"/>
      <c r="CO37" s="534"/>
      <c r="CP37" s="506"/>
      <c r="CQ37" s="534"/>
      <c r="CR37" s="506"/>
      <c r="CS37" s="534"/>
      <c r="CT37" s="506"/>
      <c r="CU37" s="534"/>
      <c r="CV37" s="506"/>
      <c r="CW37" s="534"/>
      <c r="CX37" s="506"/>
      <c r="CY37" s="534"/>
      <c r="CZ37" s="506"/>
      <c r="DA37" s="534"/>
      <c r="DB37" s="506"/>
      <c r="DC37" s="534"/>
      <c r="DD37" s="506"/>
      <c r="DE37" s="534"/>
      <c r="DF37" s="506"/>
      <c r="DG37" s="507">
        <f t="shared" si="153"/>
        <v>0</v>
      </c>
      <c r="DH37" s="507">
        <f t="shared" si="154"/>
        <v>0</v>
      </c>
      <c r="DI37" s="534"/>
      <c r="DJ37" s="534"/>
      <c r="DK37" s="506"/>
      <c r="DL37" s="534"/>
      <c r="DM37" s="506"/>
      <c r="DN37" s="534"/>
      <c r="DO37" s="506"/>
      <c r="DP37" s="534"/>
      <c r="DQ37" s="506"/>
      <c r="DR37" s="534"/>
      <c r="DS37" s="506"/>
      <c r="DT37" s="534"/>
      <c r="DU37" s="506"/>
      <c r="DV37" s="534"/>
      <c r="DW37" s="506"/>
      <c r="DX37" s="534"/>
      <c r="DY37" s="506"/>
      <c r="DZ37" s="534"/>
      <c r="EA37" s="506"/>
      <c r="EB37" s="534"/>
      <c r="EC37" s="506"/>
      <c r="ED37" s="534"/>
      <c r="EE37" s="506"/>
      <c r="EF37" s="534"/>
      <c r="EG37" s="506"/>
      <c r="EH37" s="507">
        <f t="shared" si="155"/>
        <v>0</v>
      </c>
      <c r="EI37" s="507">
        <f t="shared" si="156"/>
        <v>0</v>
      </c>
      <c r="EJ37" s="534"/>
      <c r="EK37" s="534"/>
      <c r="EL37" s="506"/>
      <c r="EM37" s="534"/>
      <c r="EN37" s="506"/>
      <c r="EO37" s="534"/>
      <c r="EP37" s="506"/>
      <c r="EQ37" s="534"/>
      <c r="ER37" s="506"/>
      <c r="ES37" s="534"/>
      <c r="ET37" s="506"/>
      <c r="EU37" s="534"/>
      <c r="EV37" s="506"/>
      <c r="EW37" s="534"/>
      <c r="EX37" s="506"/>
      <c r="EY37" s="534"/>
      <c r="EZ37" s="506"/>
      <c r="FA37" s="534"/>
      <c r="FB37" s="506"/>
      <c r="FC37" s="534"/>
      <c r="FD37" s="506"/>
      <c r="FE37" s="534"/>
      <c r="FF37" s="506"/>
      <c r="FG37" s="534"/>
      <c r="FH37" s="506"/>
      <c r="FI37" s="507">
        <f t="shared" si="157"/>
        <v>0</v>
      </c>
      <c r="FJ37" s="507">
        <f t="shared" si="158"/>
        <v>0</v>
      </c>
      <c r="FL37" s="534"/>
      <c r="FM37" s="506"/>
      <c r="FN37" s="534"/>
      <c r="FO37" s="506"/>
      <c r="FP37" s="534"/>
      <c r="FQ37" s="506"/>
      <c r="FR37" s="534"/>
      <c r="FS37" s="506"/>
      <c r="FT37" s="534"/>
      <c r="FU37" s="506"/>
      <c r="FV37" s="534"/>
      <c r="FW37" s="506"/>
      <c r="FX37" s="534"/>
      <c r="FY37" s="506"/>
      <c r="FZ37" s="534"/>
      <c r="GA37" s="506"/>
      <c r="GB37" s="534"/>
      <c r="GC37" s="506"/>
      <c r="GD37" s="534"/>
      <c r="GE37" s="506"/>
      <c r="GF37" s="534"/>
      <c r="GG37" s="506"/>
      <c r="GH37" s="534"/>
      <c r="GI37" s="506"/>
      <c r="GJ37" s="507">
        <f t="shared" si="159"/>
        <v>0</v>
      </c>
      <c r="GK37" s="507">
        <f t="shared" si="159"/>
        <v>0</v>
      </c>
    </row>
    <row r="38" spans="1:193" s="502" customFormat="1" ht="24" hidden="1" customHeight="1" x14ac:dyDescent="0.2">
      <c r="B38" s="512" t="s">
        <v>389</v>
      </c>
      <c r="C38" s="513">
        <f>SUM(C35:C37)</f>
        <v>3103329.6</v>
      </c>
      <c r="D38" s="514"/>
      <c r="E38" s="542"/>
      <c r="F38" s="542"/>
      <c r="G38" s="543">
        <f>SUM(G32:G37)</f>
        <v>37323049.866666675</v>
      </c>
      <c r="H38" s="542"/>
      <c r="I38" s="543">
        <f>SUM(I32:I37)</f>
        <v>37323049.866666675</v>
      </c>
      <c r="J38" s="542"/>
      <c r="K38" s="543">
        <f>SUM(K32:K37)</f>
        <v>37323049.866666675</v>
      </c>
      <c r="L38" s="542"/>
      <c r="M38" s="543">
        <f>SUM(M32:M37)</f>
        <v>37323049.866666675</v>
      </c>
      <c r="N38" s="542"/>
      <c r="O38" s="543">
        <f>SUM(O32:O37)</f>
        <v>37323049.866666675</v>
      </c>
      <c r="P38" s="542"/>
      <c r="Q38" s="543">
        <f>SUM(Q32:Q37)</f>
        <v>37323049.866666675</v>
      </c>
      <c r="R38" s="542"/>
      <c r="S38" s="543">
        <f>SUM(S32:S37)</f>
        <v>59072234.933333345</v>
      </c>
      <c r="T38" s="542"/>
      <c r="U38" s="543">
        <f>SUM(U32:U37)</f>
        <v>332105987.26433331</v>
      </c>
      <c r="V38" s="542"/>
      <c r="W38" s="543">
        <f>SUM(W32:W37)</f>
        <v>1256609503.1015053</v>
      </c>
      <c r="X38" s="542"/>
      <c r="Y38" s="543">
        <f>SUM(Y32:Y37)</f>
        <v>1578524170.9599054</v>
      </c>
      <c r="Z38" s="542"/>
      <c r="AA38" s="543">
        <f>SUM(AA32:AA37)</f>
        <v>1622621910.7427053</v>
      </c>
      <c r="AB38" s="542"/>
      <c r="AC38" s="543">
        <f>SUM(AC32:AC37)</f>
        <v>1587533449.2478766</v>
      </c>
      <c r="AD38" s="514"/>
      <c r="AE38" s="543">
        <f>SUM(AE32:AE37)</f>
        <v>6660405555.4496593</v>
      </c>
      <c r="AG38" s="542"/>
      <c r="AH38" s="543"/>
      <c r="AI38" s="542"/>
      <c r="AJ38" s="543"/>
      <c r="AK38" s="542"/>
      <c r="AL38" s="543"/>
      <c r="AM38" s="542"/>
      <c r="AN38" s="543"/>
      <c r="AO38" s="542"/>
      <c r="AP38" s="543"/>
      <c r="AQ38" s="542"/>
      <c r="AR38" s="543"/>
      <c r="AS38" s="542"/>
      <c r="AT38" s="543"/>
      <c r="AU38" s="542"/>
      <c r="AV38" s="543"/>
      <c r="AW38" s="542"/>
      <c r="AX38" s="543"/>
      <c r="AY38" s="542"/>
      <c r="AZ38" s="543"/>
      <c r="BA38" s="542"/>
      <c r="BB38" s="543"/>
      <c r="BC38" s="542"/>
      <c r="BD38" s="543"/>
      <c r="BE38" s="514"/>
      <c r="BF38" s="543">
        <f>SUM(BF32:BF37)</f>
        <v>0</v>
      </c>
      <c r="BH38" s="542"/>
      <c r="BI38" s="543"/>
      <c r="BJ38" s="542"/>
      <c r="BK38" s="543"/>
      <c r="BL38" s="542"/>
      <c r="BM38" s="543"/>
      <c r="BN38" s="542"/>
      <c r="BO38" s="543"/>
      <c r="BP38" s="542"/>
      <c r="BQ38" s="543"/>
      <c r="BR38" s="542"/>
      <c r="BS38" s="543"/>
      <c r="BT38" s="542"/>
      <c r="BU38" s="543"/>
      <c r="BV38" s="542"/>
      <c r="BW38" s="543"/>
      <c r="BX38" s="542"/>
      <c r="BY38" s="543"/>
      <c r="BZ38" s="542"/>
      <c r="CA38" s="543"/>
      <c r="CB38" s="542"/>
      <c r="CC38" s="543"/>
      <c r="CD38" s="542"/>
      <c r="CE38" s="543"/>
      <c r="CF38" s="514"/>
      <c r="CG38" s="543">
        <f>SUM(CG32:CG37)</f>
        <v>0</v>
      </c>
      <c r="CH38" s="511"/>
      <c r="CI38" s="542"/>
      <c r="CJ38" s="543"/>
      <c r="CK38" s="542"/>
      <c r="CL38" s="543"/>
      <c r="CM38" s="542"/>
      <c r="CN38" s="543"/>
      <c r="CO38" s="542"/>
      <c r="CP38" s="543"/>
      <c r="CQ38" s="542"/>
      <c r="CR38" s="543"/>
      <c r="CS38" s="542"/>
      <c r="CT38" s="543"/>
      <c r="CU38" s="542"/>
      <c r="CV38" s="543"/>
      <c r="CW38" s="542"/>
      <c r="CX38" s="543"/>
      <c r="CY38" s="542"/>
      <c r="CZ38" s="543"/>
      <c r="DA38" s="542"/>
      <c r="DB38" s="543"/>
      <c r="DC38" s="542"/>
      <c r="DD38" s="543"/>
      <c r="DE38" s="542"/>
      <c r="DF38" s="543"/>
      <c r="DG38" s="514"/>
      <c r="DH38" s="543">
        <f>SUM(DH32:DH37)</f>
        <v>0</v>
      </c>
      <c r="DI38" s="542"/>
      <c r="DJ38" s="542"/>
      <c r="DK38" s="543"/>
      <c r="DL38" s="542"/>
      <c r="DM38" s="543"/>
      <c r="DN38" s="542"/>
      <c r="DO38" s="543"/>
      <c r="DP38" s="542"/>
      <c r="DQ38" s="543"/>
      <c r="DR38" s="542"/>
      <c r="DS38" s="543"/>
      <c r="DT38" s="542"/>
      <c r="DU38" s="543"/>
      <c r="DV38" s="542"/>
      <c r="DW38" s="543"/>
      <c r="DX38" s="542"/>
      <c r="DY38" s="543"/>
      <c r="DZ38" s="542"/>
      <c r="EA38" s="543"/>
      <c r="EB38" s="542"/>
      <c r="EC38" s="543"/>
      <c r="ED38" s="542"/>
      <c r="EE38" s="543"/>
      <c r="EF38" s="542"/>
      <c r="EG38" s="543"/>
      <c r="EH38" s="514"/>
      <c r="EI38" s="543">
        <f>SUM(EI32:EI37)</f>
        <v>0</v>
      </c>
      <c r="EJ38" s="542"/>
      <c r="EK38" s="542"/>
      <c r="EL38" s="543"/>
      <c r="EM38" s="542"/>
      <c r="EN38" s="543"/>
      <c r="EO38" s="542"/>
      <c r="EP38" s="543"/>
      <c r="EQ38" s="542"/>
      <c r="ER38" s="543"/>
      <c r="ES38" s="542"/>
      <c r="ET38" s="543"/>
      <c r="EU38" s="542"/>
      <c r="EV38" s="543"/>
      <c r="EW38" s="542"/>
      <c r="EX38" s="543"/>
      <c r="EY38" s="542"/>
      <c r="EZ38" s="543"/>
      <c r="FA38" s="542"/>
      <c r="FB38" s="543"/>
      <c r="FC38" s="542"/>
      <c r="FD38" s="543"/>
      <c r="FE38" s="542"/>
      <c r="FF38" s="543"/>
      <c r="FG38" s="542"/>
      <c r="FH38" s="543"/>
      <c r="FI38" s="514"/>
      <c r="FJ38" s="543">
        <f>SUM(FJ32:FJ37)</f>
        <v>0</v>
      </c>
      <c r="FK38" s="515"/>
      <c r="FL38" s="542"/>
      <c r="FM38" s="543"/>
      <c r="FN38" s="542"/>
      <c r="FO38" s="543"/>
      <c r="FP38" s="542"/>
      <c r="FQ38" s="543"/>
      <c r="FR38" s="542"/>
      <c r="FS38" s="543"/>
      <c r="FT38" s="542"/>
      <c r="FU38" s="543"/>
      <c r="FV38" s="542"/>
      <c r="FW38" s="543"/>
      <c r="FX38" s="542"/>
      <c r="FY38" s="543"/>
      <c r="FZ38" s="542"/>
      <c r="GA38" s="543"/>
      <c r="GB38" s="542"/>
      <c r="GC38" s="543"/>
      <c r="GD38" s="542"/>
      <c r="GE38" s="543"/>
      <c r="GF38" s="542"/>
      <c r="GG38" s="543"/>
      <c r="GH38" s="542"/>
      <c r="GI38" s="543"/>
      <c r="GJ38" s="514"/>
      <c r="GK38" s="543">
        <f>SUM(GK32:GK37)</f>
        <v>0</v>
      </c>
    </row>
    <row r="39" spans="1:193" ht="24" hidden="1" customHeight="1" x14ac:dyDescent="0.2">
      <c r="A39" s="544"/>
      <c r="B39" s="504"/>
      <c r="C39" s="579" t="e">
        <f>C33+C38</f>
        <v>#VALUE!</v>
      </c>
      <c r="D39" s="506"/>
      <c r="E39" s="506"/>
      <c r="F39" s="506"/>
      <c r="G39" s="506"/>
      <c r="H39" s="506"/>
      <c r="I39" s="506"/>
      <c r="J39" s="506"/>
      <c r="K39" s="506"/>
      <c r="L39" s="506"/>
      <c r="M39" s="506"/>
      <c r="N39" s="506"/>
      <c r="O39" s="506"/>
      <c r="P39" s="506"/>
      <c r="Q39" s="506"/>
      <c r="R39" s="506"/>
      <c r="S39" s="506"/>
      <c r="T39" s="506"/>
      <c r="U39" s="506"/>
      <c r="V39" s="506"/>
      <c r="W39" s="506"/>
      <c r="X39" s="506"/>
      <c r="Y39" s="506"/>
      <c r="Z39" s="506"/>
      <c r="AA39" s="506"/>
      <c r="AB39" s="506"/>
      <c r="AC39" s="506"/>
      <c r="AD39" s="506"/>
      <c r="AE39" s="506"/>
      <c r="AG39" s="506"/>
      <c r="AH39" s="506"/>
      <c r="AI39" s="506"/>
      <c r="AJ39" s="506"/>
      <c r="AK39" s="506"/>
      <c r="AL39" s="506"/>
      <c r="AM39" s="506"/>
      <c r="AN39" s="506"/>
      <c r="AO39" s="506"/>
      <c r="AP39" s="506"/>
      <c r="AQ39" s="506"/>
      <c r="AR39" s="506"/>
      <c r="AS39" s="506"/>
      <c r="AT39" s="506"/>
      <c r="AU39" s="506"/>
      <c r="AV39" s="506"/>
      <c r="AW39" s="506"/>
      <c r="AX39" s="506"/>
      <c r="AY39" s="506"/>
      <c r="AZ39" s="506"/>
      <c r="BA39" s="506"/>
      <c r="BB39" s="506"/>
      <c r="BC39" s="506"/>
      <c r="BD39" s="506"/>
      <c r="BE39" s="506"/>
      <c r="BF39" s="506"/>
      <c r="BG39" s="545"/>
      <c r="BH39" s="506"/>
      <c r="BI39" s="506"/>
      <c r="BJ39" s="506"/>
      <c r="BK39" s="506"/>
      <c r="BL39" s="506"/>
      <c r="BM39" s="506"/>
      <c r="BN39" s="506"/>
      <c r="BO39" s="506"/>
      <c r="BP39" s="506"/>
      <c r="BQ39" s="506"/>
      <c r="BR39" s="506"/>
      <c r="BS39" s="506"/>
      <c r="BT39" s="506"/>
      <c r="BU39" s="506"/>
      <c r="BV39" s="506"/>
      <c r="BW39" s="506"/>
      <c r="BX39" s="506"/>
      <c r="BY39" s="506"/>
      <c r="BZ39" s="506"/>
      <c r="CA39" s="506"/>
      <c r="CB39" s="506"/>
      <c r="CC39" s="506"/>
      <c r="CD39" s="506"/>
      <c r="CE39" s="506"/>
      <c r="CF39" s="506"/>
      <c r="CG39" s="506"/>
      <c r="CH39" s="511"/>
      <c r="CI39" s="506"/>
      <c r="CJ39" s="506"/>
      <c r="CK39" s="506"/>
      <c r="CL39" s="506"/>
      <c r="CM39" s="506"/>
      <c r="CN39" s="506"/>
      <c r="CO39" s="506"/>
      <c r="CP39" s="506"/>
      <c r="CQ39" s="506"/>
      <c r="CR39" s="506"/>
      <c r="CS39" s="506"/>
      <c r="CT39" s="506"/>
      <c r="CU39" s="506"/>
      <c r="CV39" s="506"/>
      <c r="CW39" s="506"/>
      <c r="CX39" s="506"/>
      <c r="CY39" s="506"/>
      <c r="CZ39" s="506"/>
      <c r="DA39" s="506"/>
      <c r="DB39" s="506"/>
      <c r="DC39" s="506"/>
      <c r="DD39" s="506"/>
      <c r="DE39" s="506"/>
      <c r="DF39" s="506"/>
      <c r="DG39" s="506"/>
      <c r="DH39" s="506"/>
      <c r="DI39" s="507"/>
      <c r="DJ39" s="506"/>
      <c r="DK39" s="506"/>
      <c r="DL39" s="506"/>
      <c r="DM39" s="506"/>
      <c r="DN39" s="506"/>
      <c r="DO39" s="506"/>
      <c r="DP39" s="506"/>
      <c r="DQ39" s="506"/>
      <c r="DR39" s="506"/>
      <c r="DS39" s="506"/>
      <c r="DT39" s="506"/>
      <c r="DU39" s="506"/>
      <c r="DV39" s="506"/>
      <c r="DW39" s="506"/>
      <c r="DX39" s="506"/>
      <c r="DY39" s="506"/>
      <c r="DZ39" s="506"/>
      <c r="EA39" s="506"/>
      <c r="EB39" s="506"/>
      <c r="EC39" s="506"/>
      <c r="ED39" s="506"/>
      <c r="EE39" s="506"/>
      <c r="EF39" s="506"/>
      <c r="EG39" s="506"/>
      <c r="EH39" s="506"/>
      <c r="EI39" s="506"/>
      <c r="EJ39" s="507"/>
      <c r="EK39" s="506"/>
      <c r="EL39" s="506"/>
      <c r="EM39" s="506"/>
      <c r="EN39" s="506"/>
      <c r="EO39" s="506"/>
      <c r="EP39" s="506"/>
      <c r="EQ39" s="506"/>
      <c r="ER39" s="506"/>
      <c r="ES39" s="506"/>
      <c r="ET39" s="506"/>
      <c r="EU39" s="506"/>
      <c r="EV39" s="506"/>
      <c r="EW39" s="506"/>
      <c r="EX39" s="506"/>
      <c r="EY39" s="506"/>
      <c r="EZ39" s="506"/>
      <c r="FA39" s="506"/>
      <c r="FB39" s="506"/>
      <c r="FC39" s="506"/>
      <c r="FD39" s="506"/>
      <c r="FE39" s="506"/>
      <c r="FF39" s="506"/>
      <c r="FG39" s="506"/>
      <c r="FH39" s="506"/>
      <c r="FI39" s="506"/>
      <c r="FJ39" s="506"/>
      <c r="FL39" s="506"/>
      <c r="FM39" s="506"/>
      <c r="FN39" s="506"/>
      <c r="FO39" s="506"/>
      <c r="FP39" s="506"/>
      <c r="FQ39" s="506"/>
      <c r="FR39" s="506"/>
      <c r="FS39" s="506"/>
      <c r="FT39" s="506"/>
      <c r="FU39" s="506"/>
      <c r="FV39" s="506"/>
      <c r="FW39" s="506"/>
      <c r="FX39" s="506"/>
      <c r="FY39" s="506"/>
      <c r="FZ39" s="506"/>
      <c r="GA39" s="506"/>
      <c r="GB39" s="506"/>
      <c r="GC39" s="506"/>
      <c r="GD39" s="506"/>
      <c r="GE39" s="506"/>
      <c r="GF39" s="506"/>
      <c r="GG39" s="506"/>
      <c r="GH39" s="506"/>
      <c r="GI39" s="506"/>
      <c r="GJ39" s="506"/>
      <c r="GK39" s="506"/>
    </row>
    <row r="40" spans="1:193" s="302" customFormat="1" ht="24" hidden="1" customHeight="1" x14ac:dyDescent="0.2">
      <c r="A40" s="298"/>
      <c r="B40" s="299" t="s">
        <v>390</v>
      </c>
      <c r="C40" s="300"/>
      <c r="D40" s="301"/>
      <c r="E40" s="301"/>
      <c r="F40" s="301"/>
      <c r="G40" s="301">
        <f>SUM(G10:G38)/2</f>
        <v>3204125721.0601921</v>
      </c>
      <c r="H40" s="301"/>
      <c r="I40" s="301">
        <f>SUM(I10:I38)/2</f>
        <v>103781172.36666667</v>
      </c>
      <c r="J40" s="301"/>
      <c r="K40" s="301">
        <f>SUM(K10:K38)/2</f>
        <v>82447007.408791676</v>
      </c>
      <c r="L40" s="301"/>
      <c r="M40" s="301">
        <f>SUM(M10:M38)/2</f>
        <v>275141172.36666667</v>
      </c>
      <c r="N40" s="301"/>
      <c r="O40" s="301">
        <f>SUM(O10:O38)/2</f>
        <v>275141172.36666667</v>
      </c>
      <c r="P40" s="301"/>
      <c r="Q40" s="301">
        <f>SUM(Q10:Q38)/2</f>
        <v>243780275.5327917</v>
      </c>
      <c r="R40" s="301"/>
      <c r="S40" s="301">
        <f>SUM(S10:S38)/2</f>
        <v>1871890357.4333334</v>
      </c>
      <c r="T40" s="301"/>
      <c r="U40" s="301">
        <f>SUM(U10:U38)/2</f>
        <v>2669924109.7643337</v>
      </c>
      <c r="V40" s="301"/>
      <c r="W40" s="301">
        <f>SUM(W10:W38)/2</f>
        <v>3572263653.7163806</v>
      </c>
      <c r="X40" s="301"/>
      <c r="Y40" s="301">
        <f>SUM(Y10:Y38)/2</f>
        <v>4181162259.579905</v>
      </c>
      <c r="Z40" s="301"/>
      <c r="AA40" s="301">
        <f>SUM(AA10:AA38)/2</f>
        <v>4838533321.4027052</v>
      </c>
      <c r="AB40" s="301"/>
      <c r="AC40" s="301">
        <f>SUM(AC10:AC38)/2</f>
        <v>4771296414.3697519</v>
      </c>
      <c r="AD40" s="301"/>
      <c r="AE40" s="301">
        <f>SUM(AE10:AE38)/2</f>
        <v>26089486637.368187</v>
      </c>
      <c r="AG40" s="301"/>
      <c r="AH40" s="301">
        <f>SUM(AH10:AH38)/2</f>
        <v>0</v>
      </c>
      <c r="AI40" s="301"/>
      <c r="AJ40" s="301">
        <f>SUM(AJ10:AJ38)/2</f>
        <v>0</v>
      </c>
      <c r="AK40" s="301"/>
      <c r="AL40" s="301">
        <f>SUM(AL10:AL38)/2</f>
        <v>0</v>
      </c>
      <c r="AM40" s="301"/>
      <c r="AN40" s="301">
        <f>SUM(AN10:AN38)/2</f>
        <v>0</v>
      </c>
      <c r="AO40" s="301"/>
      <c r="AP40" s="301">
        <f>SUM(AP10:AP38)/2</f>
        <v>0</v>
      </c>
      <c r="AQ40" s="301"/>
      <c r="AR40" s="301">
        <f>SUM(AR10:AR38)/2</f>
        <v>0</v>
      </c>
      <c r="AS40" s="301"/>
      <c r="AT40" s="301">
        <f>SUM(AT10:AT38)/2</f>
        <v>0</v>
      </c>
      <c r="AU40" s="301"/>
      <c r="AV40" s="301">
        <f>SUM(AV10:AV38)/2</f>
        <v>0</v>
      </c>
      <c r="AW40" s="301"/>
      <c r="AX40" s="301">
        <f>SUM(AX10:AX38)/2</f>
        <v>0</v>
      </c>
      <c r="AY40" s="301"/>
      <c r="AZ40" s="301">
        <f>SUM(AZ10:AZ38)/2</f>
        <v>0</v>
      </c>
      <c r="BA40" s="301"/>
      <c r="BB40" s="301">
        <f>SUM(BB10:BB38)/2</f>
        <v>0</v>
      </c>
      <c r="BC40" s="301"/>
      <c r="BD40" s="301">
        <f>SUM(BD10:BD38)/2</f>
        <v>0</v>
      </c>
      <c r="BE40" s="301"/>
      <c r="BF40" s="301">
        <f>SUM(BF10:BF38)/2</f>
        <v>0</v>
      </c>
      <c r="BG40" s="303"/>
      <c r="BH40" s="301"/>
      <c r="BI40" s="301">
        <f>SUM(BI10:BI38)/2</f>
        <v>644603295</v>
      </c>
      <c r="BJ40" s="301"/>
      <c r="BK40" s="301">
        <f>SUM(BK10:BK38)/2</f>
        <v>0</v>
      </c>
      <c r="BL40" s="301"/>
      <c r="BM40" s="301">
        <f>SUM(BM10:BM38)/2</f>
        <v>0</v>
      </c>
      <c r="BN40" s="301"/>
      <c r="BO40" s="301">
        <f>SUM(BO10:BO38)/2</f>
        <v>0</v>
      </c>
      <c r="BP40" s="301"/>
      <c r="BQ40" s="301">
        <f>SUM(BQ10:BQ38)/2</f>
        <v>0</v>
      </c>
      <c r="BR40" s="301"/>
      <c r="BS40" s="301">
        <f>SUM(BS10:BS38)/2</f>
        <v>799749297.26999998</v>
      </c>
      <c r="BT40" s="301"/>
      <c r="BU40" s="301">
        <f>SUM(BU10:BU38)/2</f>
        <v>799749297.26999998</v>
      </c>
      <c r="BV40" s="301"/>
      <c r="BW40" s="301">
        <f>SUM(BW10:BW38)/2</f>
        <v>0</v>
      </c>
      <c r="BX40" s="301"/>
      <c r="BY40" s="301">
        <f>SUM(BY10:BY38)/2</f>
        <v>0</v>
      </c>
      <c r="BZ40" s="301"/>
      <c r="CA40" s="301">
        <f>SUM(CA10:CA38)/2</f>
        <v>0</v>
      </c>
      <c r="CB40" s="301"/>
      <c r="CC40" s="301">
        <f>SUM(CC10:CC38)/2</f>
        <v>0</v>
      </c>
      <c r="CD40" s="301"/>
      <c r="CE40" s="301">
        <f>SUM(CE10:CE38)/2</f>
        <v>0</v>
      </c>
      <c r="CF40" s="301"/>
      <c r="CG40" s="301">
        <f>SUM(CG10:CG38)/2</f>
        <v>4488203779.0799999</v>
      </c>
      <c r="CH40" s="304"/>
      <c r="CI40" s="301"/>
      <c r="CJ40" s="301">
        <f>SUM(CJ10:CJ38)/2</f>
        <v>0</v>
      </c>
      <c r="CK40" s="301"/>
      <c r="CL40" s="301">
        <f>SUM(CL10:CL38)/2</f>
        <v>0</v>
      </c>
      <c r="CM40" s="301"/>
      <c r="CN40" s="301">
        <f>SUM(CN10:CN38)/2</f>
        <v>0</v>
      </c>
      <c r="CO40" s="301"/>
      <c r="CP40" s="301">
        <f>SUM(CP10:CP38)/2</f>
        <v>0</v>
      </c>
      <c r="CQ40" s="301"/>
      <c r="CR40" s="301">
        <f>SUM(CR10:CR38)/2</f>
        <v>0</v>
      </c>
      <c r="CS40" s="301"/>
      <c r="CT40" s="301">
        <f>SUM(CT10:CT38)/2</f>
        <v>0</v>
      </c>
      <c r="CU40" s="301"/>
      <c r="CV40" s="301">
        <f>SUM(CV10:CV38)/2</f>
        <v>0</v>
      </c>
      <c r="CW40" s="301"/>
      <c r="CX40" s="301">
        <f>SUM(CX10:CX38)/2</f>
        <v>0</v>
      </c>
      <c r="CY40" s="301"/>
      <c r="CZ40" s="301">
        <f>SUM(CZ10:CZ38)/2</f>
        <v>0</v>
      </c>
      <c r="DA40" s="301"/>
      <c r="DB40" s="301">
        <f>SUM(DB10:DB38)/2</f>
        <v>0</v>
      </c>
      <c r="DC40" s="301"/>
      <c r="DD40" s="301">
        <f>SUM(DD10:DD38)/2</f>
        <v>0</v>
      </c>
      <c r="DE40" s="301"/>
      <c r="DF40" s="301">
        <f>SUM(DF10:DF38)/2</f>
        <v>0</v>
      </c>
      <c r="DG40" s="301"/>
      <c r="DH40" s="301">
        <f>SUM(DH10:DH38)/2</f>
        <v>0</v>
      </c>
      <c r="DI40" s="340"/>
      <c r="DJ40" s="301"/>
      <c r="DK40" s="301">
        <f>SUM(DK10:DK38)/2</f>
        <v>0</v>
      </c>
      <c r="DL40" s="301"/>
      <c r="DM40" s="301">
        <f>SUM(DM10:DM38)/2</f>
        <v>0</v>
      </c>
      <c r="DN40" s="301"/>
      <c r="DO40" s="301">
        <f>SUM(DO10:DO38)/2</f>
        <v>0</v>
      </c>
      <c r="DP40" s="301"/>
      <c r="DQ40" s="301">
        <f>SUM(DQ10:DQ38)/2</f>
        <v>0</v>
      </c>
      <c r="DR40" s="301"/>
      <c r="DS40" s="301">
        <f>SUM(DS10:DS38)/2</f>
        <v>0</v>
      </c>
      <c r="DT40" s="301"/>
      <c r="DU40" s="301">
        <f>SUM(DU10:DU38)/2</f>
        <v>0</v>
      </c>
      <c r="DV40" s="301"/>
      <c r="DW40" s="301">
        <f>SUM(DW10:DW38)/2</f>
        <v>0</v>
      </c>
      <c r="DX40" s="301"/>
      <c r="DY40" s="301">
        <f>SUM(DY10:DY38)/2</f>
        <v>0</v>
      </c>
      <c r="DZ40" s="301"/>
      <c r="EA40" s="301">
        <f>SUM(EA10:EA38)/2</f>
        <v>0</v>
      </c>
      <c r="EB40" s="301"/>
      <c r="EC40" s="301">
        <f>SUM(EC10:EC38)/2</f>
        <v>0</v>
      </c>
      <c r="ED40" s="301"/>
      <c r="EE40" s="301">
        <f>SUM(EE10:EE38)/2</f>
        <v>0</v>
      </c>
      <c r="EF40" s="301"/>
      <c r="EG40" s="301">
        <f>SUM(EG10:EG38)/2</f>
        <v>0</v>
      </c>
      <c r="EH40" s="301"/>
      <c r="EI40" s="301">
        <f>SUM(EI10:EI38)/2</f>
        <v>0</v>
      </c>
      <c r="EJ40" s="340"/>
      <c r="EK40" s="301"/>
      <c r="EL40" s="301">
        <f>SUM(EL10:EL38)/2</f>
        <v>0</v>
      </c>
      <c r="EM40" s="301"/>
      <c r="EN40" s="301">
        <f>SUM(EN10:EN38)/2</f>
        <v>0</v>
      </c>
      <c r="EO40" s="301"/>
      <c r="EP40" s="301">
        <f>SUM(EP10:EP38)/2</f>
        <v>0</v>
      </c>
      <c r="EQ40" s="301"/>
      <c r="ER40" s="301">
        <f>SUM(ER10:ER38)/2</f>
        <v>0</v>
      </c>
      <c r="ES40" s="301"/>
      <c r="ET40" s="301">
        <f>SUM(ET10:ET38)/2</f>
        <v>0</v>
      </c>
      <c r="EU40" s="301"/>
      <c r="EV40" s="301">
        <f>SUM(EV10:EV38)/2</f>
        <v>0</v>
      </c>
      <c r="EW40" s="301"/>
      <c r="EX40" s="301">
        <f>SUM(EX10:EX38)/2</f>
        <v>0</v>
      </c>
      <c r="EY40" s="301"/>
      <c r="EZ40" s="301">
        <f>SUM(EZ10:EZ38)/2</f>
        <v>0</v>
      </c>
      <c r="FA40" s="301"/>
      <c r="FB40" s="301">
        <f>SUM(FB10:FB38)/2</f>
        <v>0</v>
      </c>
      <c r="FC40" s="301"/>
      <c r="FD40" s="301">
        <f>SUM(FD10:FD38)/2</f>
        <v>0</v>
      </c>
      <c r="FE40" s="301"/>
      <c r="FF40" s="301">
        <f>SUM(FF10:FF38)/2</f>
        <v>0</v>
      </c>
      <c r="FG40" s="301"/>
      <c r="FH40" s="301">
        <f>SUM(FH10:FH38)/2</f>
        <v>0</v>
      </c>
      <c r="FI40" s="301"/>
      <c r="FJ40" s="301">
        <f>SUM(FJ10:FJ38)/2</f>
        <v>0</v>
      </c>
      <c r="FK40" s="342"/>
      <c r="FL40" s="301"/>
      <c r="FM40" s="301">
        <f>SUM(FM10:FM38)/2</f>
        <v>0</v>
      </c>
      <c r="FN40" s="301"/>
      <c r="FO40" s="301">
        <f>SUM(FO10:FO38)/2</f>
        <v>0</v>
      </c>
      <c r="FP40" s="301"/>
      <c r="FQ40" s="301">
        <f>SUM(FQ10:FQ38)/2</f>
        <v>0</v>
      </c>
      <c r="FR40" s="301"/>
      <c r="FS40" s="301">
        <f>SUM(FS10:FS38)/2</f>
        <v>0</v>
      </c>
      <c r="FT40" s="301"/>
      <c r="FU40" s="301">
        <f>SUM(FU10:FU38)/2</f>
        <v>0</v>
      </c>
      <c r="FV40" s="301"/>
      <c r="FW40" s="301">
        <f>SUM(FW10:FW38)/2</f>
        <v>0</v>
      </c>
      <c r="FX40" s="301"/>
      <c r="FY40" s="301">
        <f>SUM(FY10:FY38)/2</f>
        <v>0</v>
      </c>
      <c r="FZ40" s="301"/>
      <c r="GA40" s="301">
        <f>SUM(GA10:GA38)/2</f>
        <v>0</v>
      </c>
      <c r="GB40" s="301"/>
      <c r="GC40" s="301">
        <f>SUM(GC10:GC38)/2</f>
        <v>0</v>
      </c>
      <c r="GD40" s="301"/>
      <c r="GE40" s="301">
        <f>SUM(GE10:GE38)/2</f>
        <v>0</v>
      </c>
      <c r="GF40" s="301"/>
      <c r="GG40" s="301">
        <f>SUM(GG10:GG38)/2</f>
        <v>0</v>
      </c>
      <c r="GH40" s="301"/>
      <c r="GI40" s="301">
        <f>SUM(GI10:GI38)/2</f>
        <v>0</v>
      </c>
      <c r="GJ40" s="301"/>
      <c r="GK40" s="301">
        <f>SUM(GK10:GK38)/2</f>
        <v>0</v>
      </c>
    </row>
    <row r="42" spans="1:193" x14ac:dyDescent="0.2">
      <c r="AE42" s="495">
        <f>AE29</f>
        <v>3100344548.6935253</v>
      </c>
      <c r="BF42" s="495">
        <f>BF29+AE42</f>
        <v>3100344548.6935253</v>
      </c>
      <c r="CG42" s="495">
        <f>CG29+BF42</f>
        <v>7588548327.7735252</v>
      </c>
      <c r="DH42" s="495">
        <f>CG42+DH29</f>
        <v>7588548327.7735252</v>
      </c>
      <c r="EI42" s="495">
        <f>EI29+DG42</f>
        <v>0</v>
      </c>
      <c r="FJ42" s="495">
        <f>FJ29+EG42</f>
        <v>0</v>
      </c>
      <c r="GK42" s="495">
        <f>GK29+FH42</f>
        <v>0</v>
      </c>
    </row>
    <row r="45" spans="1:193" x14ac:dyDescent="0.2">
      <c r="B45" s="570" t="s">
        <v>270</v>
      </c>
      <c r="C45" s="571"/>
      <c r="D45" s="572"/>
      <c r="E45" s="572"/>
      <c r="F45" s="572"/>
      <c r="G45" s="572"/>
      <c r="H45" s="572"/>
      <c r="I45" s="572"/>
      <c r="J45" s="572"/>
      <c r="K45" s="572"/>
      <c r="L45" s="572"/>
      <c r="M45" s="572"/>
      <c r="N45" s="572"/>
      <c r="O45" s="572"/>
      <c r="P45" s="572"/>
      <c r="Q45" s="572"/>
      <c r="R45" s="572"/>
      <c r="S45" s="572"/>
      <c r="T45" s="572"/>
      <c r="U45" s="572"/>
      <c r="V45" s="572"/>
      <c r="W45" s="572"/>
      <c r="X45" s="572"/>
      <c r="Y45" s="572"/>
      <c r="Z45" s="572"/>
      <c r="AA45" s="572"/>
      <c r="AB45" s="572"/>
      <c r="AC45" s="572"/>
      <c r="AD45" s="572"/>
      <c r="AE45" s="572"/>
    </row>
    <row r="46" spans="1:193" x14ac:dyDescent="0.2">
      <c r="B46" s="570" t="s">
        <v>590</v>
      </c>
      <c r="C46" s="573" t="s">
        <v>537</v>
      </c>
      <c r="D46" s="572">
        <v>1500</v>
      </c>
      <c r="E46" s="572">
        <v>75000</v>
      </c>
      <c r="F46" s="572"/>
      <c r="G46" s="572"/>
      <c r="H46" s="572"/>
      <c r="I46" s="572"/>
      <c r="J46" s="572"/>
      <c r="K46" s="572"/>
      <c r="L46" s="572"/>
      <c r="M46" s="572"/>
      <c r="N46" s="572"/>
      <c r="O46" s="572"/>
      <c r="P46" s="572"/>
      <c r="Q46" s="572"/>
      <c r="R46" s="572"/>
      <c r="S46" s="572"/>
      <c r="T46" s="572"/>
      <c r="U46" s="572"/>
      <c r="V46" s="572"/>
      <c r="W46" s="572"/>
      <c r="X46" s="572"/>
      <c r="Y46" s="572"/>
      <c r="Z46" s="572"/>
      <c r="AA46" s="572"/>
      <c r="AB46" s="572"/>
      <c r="AC46" s="572"/>
      <c r="AD46" s="572">
        <f>D46/4*E46</f>
        <v>28125000</v>
      </c>
      <c r="AE46" s="572"/>
    </row>
    <row r="47" spans="1:193" x14ac:dyDescent="0.2">
      <c r="B47" s="570" t="s">
        <v>593</v>
      </c>
      <c r="C47" s="573" t="s">
        <v>526</v>
      </c>
      <c r="D47" s="572">
        <v>1</v>
      </c>
      <c r="E47" s="572">
        <v>185000</v>
      </c>
      <c r="F47" s="572"/>
      <c r="G47" s="572"/>
      <c r="H47" s="572"/>
      <c r="I47" s="572"/>
      <c r="J47" s="572"/>
      <c r="K47" s="572"/>
      <c r="L47" s="572"/>
      <c r="M47" s="572"/>
      <c r="N47" s="572"/>
      <c r="O47" s="572"/>
      <c r="P47" s="572"/>
      <c r="Q47" s="572"/>
      <c r="R47" s="572"/>
      <c r="S47" s="572"/>
      <c r="T47" s="572"/>
      <c r="U47" s="572"/>
      <c r="V47" s="572"/>
      <c r="W47" s="572"/>
      <c r="X47" s="572"/>
      <c r="Y47" s="572"/>
      <c r="Z47" s="572"/>
      <c r="AA47" s="572"/>
      <c r="AB47" s="572"/>
      <c r="AC47" s="572"/>
      <c r="AD47" s="572">
        <f>D46/4*E47</f>
        <v>69375000</v>
      </c>
      <c r="AE47" s="572"/>
    </row>
    <row r="48" spans="1:193" x14ac:dyDescent="0.25">
      <c r="B48" s="570" t="s">
        <v>591</v>
      </c>
      <c r="C48" s="573" t="s">
        <v>592</v>
      </c>
      <c r="D48" s="569">
        <v>3</v>
      </c>
      <c r="E48" s="569">
        <v>599680</v>
      </c>
      <c r="F48" s="572"/>
      <c r="G48" s="572"/>
      <c r="H48" s="572"/>
      <c r="I48" s="572"/>
      <c r="J48" s="572"/>
      <c r="K48" s="572"/>
      <c r="L48" s="572"/>
      <c r="M48" s="572"/>
      <c r="N48" s="572"/>
      <c r="O48" s="572"/>
      <c r="P48" s="572"/>
      <c r="Q48" s="572"/>
      <c r="R48" s="572"/>
      <c r="S48" s="572"/>
      <c r="T48" s="572"/>
      <c r="U48" s="572"/>
      <c r="V48" s="572"/>
      <c r="W48" s="572"/>
      <c r="X48" s="572"/>
      <c r="Y48" s="572"/>
      <c r="Z48" s="572"/>
      <c r="AA48" s="572"/>
      <c r="AB48" s="572"/>
      <c r="AC48" s="572"/>
      <c r="AD48" s="572">
        <f>D48*E48</f>
        <v>1799040</v>
      </c>
      <c r="AE48" s="572"/>
    </row>
    <row r="49" spans="2:31" x14ac:dyDescent="0.25">
      <c r="B49" s="570" t="s">
        <v>85</v>
      </c>
      <c r="C49" s="573" t="s">
        <v>592</v>
      </c>
      <c r="D49" s="569">
        <v>3</v>
      </c>
      <c r="E49" s="569">
        <v>504220</v>
      </c>
      <c r="F49" s="572"/>
      <c r="G49" s="572"/>
      <c r="H49" s="572"/>
      <c r="I49" s="572"/>
      <c r="J49" s="572"/>
      <c r="K49" s="572"/>
      <c r="L49" s="572"/>
      <c r="M49" s="572"/>
      <c r="N49" s="572"/>
      <c r="O49" s="572"/>
      <c r="P49" s="572"/>
      <c r="Q49" s="572"/>
      <c r="R49" s="572"/>
      <c r="S49" s="572"/>
      <c r="T49" s="572"/>
      <c r="U49" s="572"/>
      <c r="V49" s="572"/>
      <c r="W49" s="572"/>
      <c r="X49" s="572"/>
      <c r="Y49" s="572"/>
      <c r="Z49" s="572"/>
      <c r="AA49" s="572"/>
      <c r="AB49" s="572"/>
      <c r="AC49" s="572"/>
      <c r="AD49" s="572">
        <f>D49*E49</f>
        <v>1512660</v>
      </c>
      <c r="AE49" s="572"/>
    </row>
    <row r="50" spans="2:31" x14ac:dyDescent="0.2">
      <c r="AD50" s="495">
        <f>SUM(AD46:AD49)</f>
        <v>100811700</v>
      </c>
    </row>
  </sheetData>
  <mergeCells count="133">
    <mergeCell ref="HJ5:HO5"/>
    <mergeCell ref="HP5:HQ6"/>
    <mergeCell ref="HJ6:HK6"/>
    <mergeCell ref="HL6:HM6"/>
    <mergeCell ref="HN6:HO6"/>
    <mergeCell ref="FL5:GK5"/>
    <mergeCell ref="II5:II6"/>
    <mergeCell ref="HZ5:IE5"/>
    <mergeCell ref="IF5:IG6"/>
    <mergeCell ref="HZ6:IA6"/>
    <mergeCell ref="IB6:IC6"/>
    <mergeCell ref="ID6:IE6"/>
    <mergeCell ref="HR5:HW5"/>
    <mergeCell ref="HX5:HY6"/>
    <mergeCell ref="HR6:HS6"/>
    <mergeCell ref="HT6:HU6"/>
    <mergeCell ref="HV6:HW6"/>
    <mergeCell ref="FC6:FD6"/>
    <mergeCell ref="FE6:FF6"/>
    <mergeCell ref="FG6:FH6"/>
    <mergeCell ref="FI6:FJ6"/>
    <mergeCell ref="GV6:GW6"/>
    <mergeCell ref="GX6:GY6"/>
    <mergeCell ref="GN6:GO6"/>
    <mergeCell ref="GP6:GQ6"/>
    <mergeCell ref="GL6:GM6"/>
    <mergeCell ref="GD6:GE6"/>
    <mergeCell ref="GF6:GG6"/>
    <mergeCell ref="GH6:GI6"/>
    <mergeCell ref="GJ6:G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DJ6:DK6"/>
    <mergeCell ref="DL6:DM6"/>
    <mergeCell ref="DN6:DO6"/>
    <mergeCell ref="DP6:DQ6"/>
    <mergeCell ref="DR6:DS6"/>
    <mergeCell ref="EF6:EG6"/>
    <mergeCell ref="EH6:EI6"/>
    <mergeCell ref="EK5:FJ5"/>
    <mergeCell ref="EK6:EL6"/>
    <mergeCell ref="EM6:EN6"/>
    <mergeCell ref="EO6:EP6"/>
    <mergeCell ref="EQ6:ER6"/>
    <mergeCell ref="ES6:ET6"/>
    <mergeCell ref="EU6:EV6"/>
    <mergeCell ref="EW6:EX6"/>
    <mergeCell ref="DJ5:EI5"/>
    <mergeCell ref="DT6:DU6"/>
    <mergeCell ref="DV6:DW6"/>
    <mergeCell ref="DX6:DY6"/>
    <mergeCell ref="DZ6:EA6"/>
    <mergeCell ref="EB6:EC6"/>
    <mergeCell ref="ED6:EE6"/>
    <mergeCell ref="EY6:EZ6"/>
    <mergeCell ref="FA6:FB6"/>
    <mergeCell ref="CI5:DH5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BZ6:CA6"/>
    <mergeCell ref="CB6:CC6"/>
    <mergeCell ref="CD6:CE6"/>
    <mergeCell ref="CF6:CG6"/>
    <mergeCell ref="HB5:HG5"/>
    <mergeCell ref="HH5:HI6"/>
    <mergeCell ref="HB6:HC6"/>
    <mergeCell ref="HD6:HE6"/>
    <mergeCell ref="HF6:HG6"/>
    <mergeCell ref="BH5:CG5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GL5:GQ5"/>
    <mergeCell ref="GR5:GS6"/>
    <mergeCell ref="GT5:GY5"/>
    <mergeCell ref="GZ5:HA6"/>
    <mergeCell ref="GT6:GU6"/>
    <mergeCell ref="V6:W6"/>
    <mergeCell ref="X6:Y6"/>
    <mergeCell ref="Z6:AA6"/>
    <mergeCell ref="AB6:AC6"/>
    <mergeCell ref="AD6:AE6"/>
    <mergeCell ref="B5:B7"/>
    <mergeCell ref="C5:C7"/>
    <mergeCell ref="E5:E7"/>
    <mergeCell ref="F5:AE5"/>
    <mergeCell ref="D6:D7"/>
    <mergeCell ref="F6:G6"/>
    <mergeCell ref="H6:I6"/>
    <mergeCell ref="J6:K6"/>
    <mergeCell ref="L6:M6"/>
    <mergeCell ref="N6:O6"/>
    <mergeCell ref="P6:Q6"/>
    <mergeCell ref="R6:S6"/>
    <mergeCell ref="T6:U6"/>
    <mergeCell ref="AG5:BF5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</mergeCells>
  <pageMargins left="0.34" right="0.11" top="0.13" bottom="0.24" header="0.3" footer="0.3"/>
  <pageSetup paperSize="9" scale="72" fitToHeight="3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2:HJ135"/>
  <sheetViews>
    <sheetView topLeftCell="B1" zoomScale="79" zoomScaleNormal="92" workbookViewId="0">
      <pane xSplit="3" ySplit="7" topLeftCell="BB8" activePane="bottomRight" state="frozen"/>
      <selection activeCell="C40" sqref="C40"/>
      <selection pane="topRight" activeCell="C40" sqref="C40"/>
      <selection pane="bottomLeft" activeCell="C40" sqref="C40"/>
      <selection pane="bottomRight" activeCell="HF48" sqref="HF48"/>
    </sheetView>
  </sheetViews>
  <sheetFormatPr defaultColWidth="9.1640625" defaultRowHeight="12.75" outlineLevelCol="1" x14ac:dyDescent="0.2"/>
  <cols>
    <col min="1" max="1" width="7" style="309" bestFit="1" customWidth="1"/>
    <col min="2" max="2" width="45" style="309" bestFit="1" customWidth="1"/>
    <col min="3" max="3" width="19.6640625" style="309" bestFit="1" customWidth="1"/>
    <col min="4" max="4" width="12" style="309" customWidth="1"/>
    <col min="5" max="7" width="9.6640625" style="309" hidden="1" customWidth="1" outlineLevel="1"/>
    <col min="8" max="8" width="14.1640625" style="309" hidden="1" customWidth="1" outlineLevel="1"/>
    <col min="9" max="9" width="9.6640625" style="309" hidden="1" customWidth="1" outlineLevel="1"/>
    <col min="10" max="10" width="14.1640625" style="309" hidden="1" customWidth="1" outlineLevel="1"/>
    <col min="11" max="13" width="9.6640625" style="309" hidden="1" customWidth="1" outlineLevel="1"/>
    <col min="14" max="14" width="16.1640625" style="309" hidden="1" customWidth="1" outlineLevel="1"/>
    <col min="15" max="15" width="9.6640625" style="309" hidden="1" customWidth="1" outlineLevel="1"/>
    <col min="16" max="16" width="13" style="309" hidden="1" customWidth="1" outlineLevel="1"/>
    <col min="17" max="17" width="9.6640625" style="309" hidden="1" customWidth="1" outlineLevel="1"/>
    <col min="18" max="18" width="17.6640625" style="309" hidden="1" customWidth="1" outlineLevel="1"/>
    <col min="19" max="19" width="9.6640625" style="309" hidden="1" customWidth="1" outlineLevel="1"/>
    <col min="20" max="20" width="16.5" style="309" hidden="1" customWidth="1" outlineLevel="1"/>
    <col min="21" max="21" width="9.6640625" style="309" hidden="1" customWidth="1" outlineLevel="1"/>
    <col min="22" max="22" width="18.1640625" style="309" hidden="1" customWidth="1" outlineLevel="1"/>
    <col min="23" max="23" width="9.6640625" style="309" hidden="1" customWidth="1" outlineLevel="1"/>
    <col min="24" max="24" width="18.1640625" style="309" hidden="1" customWidth="1" outlineLevel="1"/>
    <col min="25" max="25" width="9.6640625" style="309" hidden="1" customWidth="1" outlineLevel="1"/>
    <col min="26" max="26" width="16.1640625" style="309" hidden="1" customWidth="1" outlineLevel="1"/>
    <col min="27" max="27" width="9.6640625" style="309" hidden="1" customWidth="1" outlineLevel="1"/>
    <col min="28" max="28" width="17.5" style="309" hidden="1" customWidth="1" outlineLevel="1"/>
    <col min="29" max="29" width="9.6640625" style="309" hidden="1" customWidth="1"/>
    <col min="30" max="30" width="17.6640625" style="309" hidden="1" customWidth="1"/>
    <col min="31" max="31" width="9.6640625" style="309" customWidth="1" outlineLevel="1"/>
    <col min="32" max="32" width="18.5" style="309" customWidth="1" outlineLevel="1"/>
    <col min="33" max="33" width="9.6640625" style="309" customWidth="1" outlineLevel="1"/>
    <col min="34" max="34" width="18.5" style="309" customWidth="1" outlineLevel="1"/>
    <col min="35" max="35" width="9.6640625" style="309" customWidth="1" outlineLevel="1"/>
    <col min="36" max="36" width="19.5" style="309" customWidth="1" outlineLevel="1"/>
    <col min="37" max="37" width="9.6640625" style="309" customWidth="1" outlineLevel="1"/>
    <col min="38" max="38" width="19.5" style="309" customWidth="1" outlineLevel="1"/>
    <col min="39" max="39" width="9.6640625" style="309" customWidth="1" outlineLevel="1"/>
    <col min="40" max="40" width="19.5" style="309" customWidth="1" outlineLevel="1"/>
    <col min="41" max="41" width="9.6640625" style="309" customWidth="1" outlineLevel="1"/>
    <col min="42" max="42" width="19.5" style="309" customWidth="1" outlineLevel="1"/>
    <col min="43" max="43" width="9.6640625" style="309" customWidth="1" outlineLevel="1"/>
    <col min="44" max="44" width="19.5" style="309" customWidth="1" outlineLevel="1"/>
    <col min="45" max="45" width="9.6640625" style="309" customWidth="1" outlineLevel="1"/>
    <col min="46" max="46" width="19.5" style="309" customWidth="1" outlineLevel="1"/>
    <col min="47" max="47" width="9.6640625" style="309" customWidth="1" outlineLevel="1"/>
    <col min="48" max="48" width="19.6640625" style="309" customWidth="1" outlineLevel="1"/>
    <col min="49" max="49" width="9.6640625" style="309" customWidth="1" outlineLevel="1"/>
    <col min="50" max="50" width="19.6640625" style="309" customWidth="1" outlineLevel="1"/>
    <col min="51" max="51" width="9.6640625" style="309" customWidth="1" outlineLevel="1"/>
    <col min="52" max="52" width="19.6640625" style="309" customWidth="1" outlineLevel="1"/>
    <col min="53" max="53" width="9.6640625" style="309" customWidth="1" outlineLevel="1"/>
    <col min="54" max="54" width="19.6640625" style="309" customWidth="1" outlineLevel="1"/>
    <col min="55" max="55" width="11" style="309" bestFit="1" customWidth="1"/>
    <col min="56" max="56" width="20.6640625" style="309" bestFit="1" customWidth="1"/>
    <col min="57" max="57" width="10" style="309" hidden="1" customWidth="1" outlineLevel="1"/>
    <col min="58" max="58" width="19.6640625" style="309" hidden="1" customWidth="1" outlineLevel="1"/>
    <col min="59" max="59" width="9.6640625" style="309" hidden="1" customWidth="1" outlineLevel="1"/>
    <col min="60" max="60" width="19.6640625" style="309" hidden="1" customWidth="1" outlineLevel="1"/>
    <col min="61" max="61" width="9.6640625" style="309" hidden="1" customWidth="1" outlineLevel="1"/>
    <col min="62" max="62" width="19.6640625" style="309" hidden="1" customWidth="1" outlineLevel="1"/>
    <col min="63" max="63" width="9.6640625" style="309" hidden="1" customWidth="1" outlineLevel="1"/>
    <col min="64" max="64" width="19.6640625" style="309" hidden="1" customWidth="1" outlineLevel="1"/>
    <col min="65" max="65" width="9.6640625" style="309" hidden="1" customWidth="1" outlineLevel="1"/>
    <col min="66" max="66" width="19.6640625" style="309" hidden="1" customWidth="1" outlineLevel="1"/>
    <col min="67" max="67" width="9.6640625" style="309" hidden="1" customWidth="1" outlineLevel="1"/>
    <col min="68" max="68" width="19.6640625" style="309" hidden="1" customWidth="1" outlineLevel="1"/>
    <col min="69" max="69" width="9.6640625" style="309" hidden="1" customWidth="1" outlineLevel="1"/>
    <col min="70" max="70" width="19.6640625" style="309" hidden="1" customWidth="1" outlineLevel="1"/>
    <col min="71" max="71" width="9.6640625" style="309" hidden="1" customWidth="1" outlineLevel="1"/>
    <col min="72" max="72" width="19.6640625" style="309" hidden="1" customWidth="1" outlineLevel="1"/>
    <col min="73" max="73" width="9.6640625" style="309" hidden="1" customWidth="1" outlineLevel="1"/>
    <col min="74" max="74" width="19.6640625" style="309" hidden="1" customWidth="1" outlineLevel="1"/>
    <col min="75" max="75" width="9.6640625" style="309" hidden="1" customWidth="1" outlineLevel="1"/>
    <col min="76" max="76" width="19.6640625" style="309" hidden="1" customWidth="1" outlineLevel="1"/>
    <col min="77" max="77" width="9.6640625" style="309" hidden="1" customWidth="1" outlineLevel="1"/>
    <col min="78" max="78" width="19.6640625" style="309" hidden="1" customWidth="1" outlineLevel="1"/>
    <col min="79" max="79" width="9.6640625" style="309" hidden="1" customWidth="1" outlineLevel="1"/>
    <col min="80" max="80" width="19.6640625" style="309" hidden="1" customWidth="1" outlineLevel="1"/>
    <col min="81" max="81" width="11" style="309" bestFit="1" customWidth="1" collapsed="1"/>
    <col min="82" max="82" width="21" style="309" bestFit="1" customWidth="1"/>
    <col min="83" max="83" width="10" style="309" hidden="1" customWidth="1" outlineLevel="1"/>
    <col min="84" max="84" width="19.5" style="309" hidden="1" customWidth="1" outlineLevel="1"/>
    <col min="85" max="85" width="9.6640625" style="309" hidden="1" customWidth="1" outlineLevel="1"/>
    <col min="86" max="86" width="19.5" style="309" hidden="1" customWidth="1" outlineLevel="1"/>
    <col min="87" max="87" width="9.6640625" style="309" hidden="1" customWidth="1" outlineLevel="1"/>
    <col min="88" max="88" width="18.5" style="309" hidden="1" customWidth="1" outlineLevel="1"/>
    <col min="89" max="89" width="9.6640625" style="309" hidden="1" customWidth="1" outlineLevel="1"/>
    <col min="90" max="90" width="18.5" style="309" hidden="1" customWidth="1" outlineLevel="1"/>
    <col min="91" max="91" width="9.6640625" style="309" hidden="1" customWidth="1" outlineLevel="1"/>
    <col min="92" max="92" width="18.5" style="309" hidden="1" customWidth="1" outlineLevel="1"/>
    <col min="93" max="93" width="9.6640625" style="309" hidden="1" customWidth="1" outlineLevel="1"/>
    <col min="94" max="94" width="18.5" style="309" hidden="1" customWidth="1" outlineLevel="1"/>
    <col min="95" max="95" width="9.6640625" style="309" hidden="1" customWidth="1" outlineLevel="1"/>
    <col min="96" max="96" width="18.5" style="309" hidden="1" customWidth="1" outlineLevel="1"/>
    <col min="97" max="97" width="9.6640625" style="309" hidden="1" customWidth="1" outlineLevel="1"/>
    <col min="98" max="98" width="18.5" style="309" hidden="1" customWidth="1" outlineLevel="1"/>
    <col min="99" max="99" width="9.6640625" style="309" hidden="1" customWidth="1" outlineLevel="1"/>
    <col min="100" max="100" width="18.5" style="309" hidden="1" customWidth="1" outlineLevel="1"/>
    <col min="101" max="101" width="9.6640625" style="309" hidden="1" customWidth="1" outlineLevel="1"/>
    <col min="102" max="102" width="18.5" style="309" hidden="1" customWidth="1" outlineLevel="1"/>
    <col min="103" max="103" width="9.6640625" style="309" hidden="1" customWidth="1" outlineLevel="1"/>
    <col min="104" max="104" width="18.5" style="309" hidden="1" customWidth="1" outlineLevel="1"/>
    <col min="105" max="105" width="9.6640625" style="309" hidden="1" customWidth="1" outlineLevel="1"/>
    <col min="106" max="106" width="18.5" style="309" hidden="1" customWidth="1" outlineLevel="1"/>
    <col min="107" max="107" width="11" style="309" bestFit="1" customWidth="1" collapsed="1"/>
    <col min="108" max="108" width="19.6640625" style="309" bestFit="1" customWidth="1"/>
    <col min="109" max="109" width="9.6640625" style="309" hidden="1" customWidth="1" outlineLevel="1"/>
    <col min="110" max="110" width="18.5" style="309" hidden="1" customWidth="1" outlineLevel="1"/>
    <col min="111" max="111" width="9.6640625" style="309" hidden="1" customWidth="1" outlineLevel="1"/>
    <col min="112" max="112" width="18.5" style="309" hidden="1" customWidth="1" outlineLevel="1"/>
    <col min="113" max="113" width="9.6640625" style="309" hidden="1" customWidth="1" outlineLevel="1"/>
    <col min="114" max="114" width="18.5" style="309" hidden="1" customWidth="1" outlineLevel="1"/>
    <col min="115" max="115" width="9.6640625" style="309" hidden="1" customWidth="1" outlineLevel="1"/>
    <col min="116" max="116" width="19.6640625" style="309" hidden="1" customWidth="1" outlineLevel="1"/>
    <col min="117" max="117" width="9.6640625" style="309" hidden="1" customWidth="1" outlineLevel="1"/>
    <col min="118" max="118" width="18.5" style="309" hidden="1" customWidth="1" outlineLevel="1"/>
    <col min="119" max="119" width="9.6640625" style="309" hidden="1" customWidth="1" outlineLevel="1"/>
    <col min="120" max="120" width="18.5" style="309" hidden="1" customWidth="1" outlineLevel="1"/>
    <col min="121" max="121" width="9.6640625" style="309" hidden="1" customWidth="1" outlineLevel="1"/>
    <col min="122" max="122" width="18.5" style="309" hidden="1" customWidth="1" outlineLevel="1"/>
    <col min="123" max="123" width="9.6640625" style="309" hidden="1" customWidth="1" outlineLevel="1"/>
    <col min="124" max="124" width="19.6640625" style="309" hidden="1" customWidth="1" outlineLevel="1"/>
    <col min="125" max="125" width="9.6640625" style="309" hidden="1" customWidth="1" outlineLevel="1"/>
    <col min="126" max="126" width="18.5" style="309" hidden="1" customWidth="1" outlineLevel="1"/>
    <col min="127" max="127" width="9.6640625" style="309" hidden="1" customWidth="1" outlineLevel="1"/>
    <col min="128" max="128" width="18.5" style="309" hidden="1" customWidth="1" outlineLevel="1"/>
    <col min="129" max="129" width="9.6640625" style="309" hidden="1" customWidth="1" outlineLevel="1"/>
    <col min="130" max="130" width="18.5" style="309" hidden="1" customWidth="1" outlineLevel="1"/>
    <col min="131" max="131" width="9.6640625" style="309" hidden="1" customWidth="1" outlineLevel="1"/>
    <col min="132" max="132" width="19.6640625" style="309" hidden="1" customWidth="1" outlineLevel="1"/>
    <col min="133" max="133" width="9.6640625" style="309" customWidth="1" collapsed="1"/>
    <col min="134" max="134" width="19.6640625" style="309" customWidth="1"/>
    <col min="135" max="135" width="9.6640625" style="309" hidden="1" customWidth="1" outlineLevel="1"/>
    <col min="136" max="136" width="16.5" style="309" hidden="1" customWidth="1" outlineLevel="1"/>
    <col min="137" max="137" width="9.6640625" style="309" hidden="1" customWidth="1" outlineLevel="1"/>
    <col min="138" max="138" width="16.5" style="309" hidden="1" customWidth="1" outlineLevel="1"/>
    <col min="139" max="139" width="9.6640625" style="309" hidden="1" customWidth="1" outlineLevel="1"/>
    <col min="140" max="140" width="16.6640625" style="309" hidden="1" customWidth="1" outlineLevel="1"/>
    <col min="141" max="141" width="9.6640625" style="309" hidden="1" customWidth="1" outlineLevel="1"/>
    <col min="142" max="142" width="19.6640625" style="309" hidden="1" customWidth="1" outlineLevel="1"/>
    <col min="143" max="143" width="9.6640625" style="309" hidden="1" customWidth="1" outlineLevel="1"/>
    <col min="144" max="144" width="16.5" style="309" hidden="1" customWidth="1" outlineLevel="1"/>
    <col min="145" max="145" width="9.6640625" style="309" hidden="1" customWidth="1" outlineLevel="1"/>
    <col min="146" max="146" width="18.5" style="309" hidden="1" customWidth="1" outlineLevel="1"/>
    <col min="147" max="147" width="9.6640625" style="309" hidden="1" customWidth="1" outlineLevel="1"/>
    <col min="148" max="148" width="16.5" style="309" hidden="1" customWidth="1" outlineLevel="1"/>
    <col min="149" max="149" width="9.6640625" style="309" hidden="1" customWidth="1" outlineLevel="1"/>
    <col min="150" max="150" width="19.6640625" style="309" hidden="1" customWidth="1" outlineLevel="1"/>
    <col min="151" max="151" width="9.6640625" style="309" hidden="1" customWidth="1" outlineLevel="1"/>
    <col min="152" max="152" width="16.5" style="309" hidden="1" customWidth="1" outlineLevel="1"/>
    <col min="153" max="153" width="9.6640625" style="309" hidden="1" customWidth="1" outlineLevel="1"/>
    <col min="154" max="154" width="16.5" style="309" hidden="1" customWidth="1" outlineLevel="1"/>
    <col min="155" max="155" width="9.6640625" style="309" hidden="1" customWidth="1" outlineLevel="1"/>
    <col min="156" max="156" width="16.5" style="309" hidden="1" customWidth="1" outlineLevel="1"/>
    <col min="157" max="157" width="9.6640625" style="309" hidden="1" customWidth="1" outlineLevel="1"/>
    <col min="158" max="158" width="18.5" style="309" hidden="1" customWidth="1" outlineLevel="1"/>
    <col min="159" max="159" width="9.6640625" style="309" hidden="1" customWidth="1" collapsed="1"/>
    <col min="160" max="160" width="19.6640625" style="309" hidden="1" customWidth="1"/>
    <col min="161" max="161" width="9.6640625" style="309" hidden="1" customWidth="1" outlineLevel="1"/>
    <col min="162" max="162" width="16.5" style="309" hidden="1" customWidth="1" outlineLevel="1"/>
    <col min="163" max="163" width="9.6640625" style="309" hidden="1" customWidth="1" outlineLevel="1"/>
    <col min="164" max="164" width="16.5" style="309" hidden="1" customWidth="1" outlineLevel="1"/>
    <col min="165" max="165" width="9.6640625" style="309" hidden="1" customWidth="1" outlineLevel="1"/>
    <col min="166" max="166" width="16.5" style="309" hidden="1" customWidth="1" outlineLevel="1"/>
    <col min="167" max="167" width="9.6640625" style="309" hidden="1" customWidth="1" outlineLevel="1"/>
    <col min="168" max="168" width="19.6640625" style="309" hidden="1" customWidth="1" outlineLevel="1"/>
    <col min="169" max="169" width="9.6640625" style="309" hidden="1" customWidth="1" outlineLevel="1"/>
    <col min="170" max="170" width="16.5" style="309" hidden="1" customWidth="1" outlineLevel="1"/>
    <col min="171" max="171" width="9.6640625" style="309" hidden="1" customWidth="1" outlineLevel="1"/>
    <col min="172" max="172" width="18.5" style="309" hidden="1" customWidth="1" outlineLevel="1"/>
    <col min="173" max="173" width="9.6640625" style="309" hidden="1" customWidth="1" outlineLevel="1"/>
    <col min="174" max="174" width="16.5" style="309" hidden="1" customWidth="1" outlineLevel="1"/>
    <col min="175" max="175" width="9.6640625" style="309" hidden="1" customWidth="1" outlineLevel="1"/>
    <col min="176" max="176" width="19.6640625" style="309" hidden="1" customWidth="1" outlineLevel="1"/>
    <col min="177" max="177" width="9.6640625" style="309" hidden="1" customWidth="1" outlineLevel="1"/>
    <col min="178" max="178" width="16.5" style="309" hidden="1" customWidth="1" outlineLevel="1"/>
    <col min="179" max="179" width="9.6640625" style="309" hidden="1" customWidth="1" outlineLevel="1"/>
    <col min="180" max="180" width="16.5" style="309" hidden="1" customWidth="1" outlineLevel="1"/>
    <col min="181" max="181" width="9.6640625" style="309" hidden="1" customWidth="1" outlineLevel="1"/>
    <col min="182" max="182" width="16.5" style="309" hidden="1" customWidth="1" outlineLevel="1"/>
    <col min="183" max="183" width="9.6640625" style="309" hidden="1" customWidth="1" outlineLevel="1"/>
    <col min="184" max="184" width="18.5" style="309" hidden="1" customWidth="1" outlineLevel="1"/>
    <col min="185" max="185" width="9.6640625" style="309" hidden="1" customWidth="1" collapsed="1"/>
    <col min="186" max="186" width="19.6640625" style="309" hidden="1" customWidth="1"/>
    <col min="187" max="187" width="9.6640625" style="309" hidden="1" customWidth="1" outlineLevel="1"/>
    <col min="188" max="188" width="16.5" style="309" hidden="1" customWidth="1" outlineLevel="1"/>
    <col min="189" max="189" width="9.6640625" style="309" hidden="1" customWidth="1" outlineLevel="1"/>
    <col min="190" max="190" width="16.5" style="309" hidden="1" customWidth="1" outlineLevel="1"/>
    <col min="191" max="191" width="9.6640625" style="309" hidden="1" customWidth="1" outlineLevel="1"/>
    <col min="192" max="192" width="16.5" style="309" hidden="1" customWidth="1" outlineLevel="1"/>
    <col min="193" max="193" width="9.6640625" style="309" hidden="1" customWidth="1" outlineLevel="1"/>
    <col min="194" max="194" width="19.6640625" style="309" hidden="1" customWidth="1" outlineLevel="1"/>
    <col min="195" max="195" width="9.6640625" style="309" hidden="1" customWidth="1" outlineLevel="1"/>
    <col min="196" max="196" width="16.5" style="309" hidden="1" customWidth="1" outlineLevel="1"/>
    <col min="197" max="197" width="9.6640625" style="309" hidden="1" customWidth="1" outlineLevel="1"/>
    <col min="198" max="198" width="18.5" style="309" hidden="1" customWidth="1" outlineLevel="1"/>
    <col min="199" max="199" width="9.6640625" style="309" hidden="1" customWidth="1" outlineLevel="1"/>
    <col min="200" max="200" width="16.5" style="309" hidden="1" customWidth="1" outlineLevel="1"/>
    <col min="201" max="201" width="9.6640625" style="309" hidden="1" customWidth="1" outlineLevel="1"/>
    <col min="202" max="202" width="19.6640625" style="309" hidden="1" customWidth="1" outlineLevel="1"/>
    <col min="203" max="203" width="9.6640625" style="309" hidden="1" customWidth="1" outlineLevel="1"/>
    <col min="204" max="204" width="16.5" style="309" hidden="1" customWidth="1" outlineLevel="1"/>
    <col min="205" max="205" width="9.6640625" style="309" hidden="1" customWidth="1" outlineLevel="1"/>
    <col min="206" max="206" width="16.5" style="309" hidden="1" customWidth="1" outlineLevel="1"/>
    <col min="207" max="207" width="9.6640625" style="309" hidden="1" customWidth="1" outlineLevel="1"/>
    <col min="208" max="208" width="16.5" style="309" hidden="1" customWidth="1" outlineLevel="1"/>
    <col min="209" max="209" width="9.6640625" style="309" hidden="1" customWidth="1" outlineLevel="1"/>
    <col min="210" max="210" width="18.5" style="309" hidden="1" customWidth="1" outlineLevel="1"/>
    <col min="211" max="211" width="9.6640625" style="309" hidden="1" customWidth="1" collapsed="1"/>
    <col min="212" max="212" width="19.6640625" style="309" hidden="1" customWidth="1"/>
    <col min="213" max="213" width="11" style="309" bestFit="1" customWidth="1"/>
    <col min="214" max="214" width="21" style="309" bestFit="1" customWidth="1"/>
    <col min="215" max="215" width="2.6640625" style="309" customWidth="1"/>
    <col min="216" max="216" width="16.5" style="309" bestFit="1" customWidth="1"/>
    <col min="217" max="217" width="15.5" style="309" bestFit="1" customWidth="1"/>
    <col min="218" max="218" width="19.5" style="309" bestFit="1" customWidth="1"/>
    <col min="219" max="16384" width="9.1640625" style="309"/>
  </cols>
  <sheetData>
    <row r="2" spans="2:214" x14ac:dyDescent="0.2">
      <c r="B2" s="257" t="str">
        <f>+'RKT 18_19 Infra'!B2</f>
        <v>PT. KUMAI SENTOSA</v>
      </c>
      <c r="DU2" s="310"/>
      <c r="DV2" s="310"/>
    </row>
    <row r="4" spans="2:214" s="255" customFormat="1" ht="13.5" thickBot="1" x14ac:dyDescent="0.25">
      <c r="D4" s="255" t="s">
        <v>391</v>
      </c>
      <c r="AE4" s="255">
        <v>1</v>
      </c>
      <c r="AF4" s="255">
        <v>1</v>
      </c>
      <c r="AG4" s="255">
        <v>1</v>
      </c>
      <c r="AH4" s="255">
        <v>1</v>
      </c>
      <c r="AI4" s="255">
        <v>1</v>
      </c>
      <c r="AJ4" s="255">
        <v>1</v>
      </c>
      <c r="AK4" s="255">
        <v>1</v>
      </c>
      <c r="AL4" s="255">
        <v>1</v>
      </c>
      <c r="AM4" s="255">
        <v>1</v>
      </c>
      <c r="AN4" s="255">
        <v>1</v>
      </c>
      <c r="AO4" s="255">
        <v>1</v>
      </c>
      <c r="AP4" s="255">
        <v>1</v>
      </c>
      <c r="AQ4" s="255">
        <v>1</v>
      </c>
      <c r="AR4" s="255">
        <v>1</v>
      </c>
      <c r="AS4" s="255">
        <v>1</v>
      </c>
      <c r="AT4" s="255">
        <v>1</v>
      </c>
      <c r="AU4" s="255">
        <v>1</v>
      </c>
      <c r="AV4" s="255">
        <v>1</v>
      </c>
      <c r="AW4" s="255">
        <v>1</v>
      </c>
      <c r="AX4" s="255">
        <v>1</v>
      </c>
      <c r="AY4" s="255">
        <v>1</v>
      </c>
      <c r="AZ4" s="255">
        <v>1</v>
      </c>
      <c r="BA4" s="255">
        <v>1</v>
      </c>
      <c r="BB4" s="255">
        <v>1</v>
      </c>
      <c r="BC4" s="255">
        <v>1</v>
      </c>
      <c r="BD4" s="255">
        <v>1</v>
      </c>
      <c r="BE4" s="255">
        <v>2</v>
      </c>
      <c r="BF4" s="255">
        <v>2</v>
      </c>
      <c r="BG4" s="255">
        <v>2</v>
      </c>
      <c r="BH4" s="255">
        <v>2</v>
      </c>
      <c r="BI4" s="255">
        <v>2</v>
      </c>
      <c r="BJ4" s="255">
        <v>2</v>
      </c>
      <c r="BK4" s="255">
        <v>2</v>
      </c>
      <c r="BL4" s="255">
        <v>2</v>
      </c>
      <c r="BM4" s="255">
        <v>2</v>
      </c>
      <c r="BN4" s="255">
        <v>2</v>
      </c>
      <c r="BO4" s="255">
        <v>2</v>
      </c>
      <c r="BP4" s="255">
        <v>2</v>
      </c>
      <c r="BQ4" s="255">
        <v>2</v>
      </c>
      <c r="BR4" s="255">
        <v>2</v>
      </c>
      <c r="BS4" s="255">
        <v>2</v>
      </c>
      <c r="BT4" s="255">
        <v>2</v>
      </c>
      <c r="BU4" s="255">
        <v>2</v>
      </c>
      <c r="BV4" s="255">
        <v>2</v>
      </c>
      <c r="BW4" s="255">
        <v>2</v>
      </c>
      <c r="BX4" s="255">
        <v>2</v>
      </c>
      <c r="BY4" s="255">
        <v>2</v>
      </c>
      <c r="BZ4" s="255">
        <v>2</v>
      </c>
      <c r="CA4" s="255">
        <v>2</v>
      </c>
      <c r="CB4" s="255">
        <v>2</v>
      </c>
      <c r="CC4" s="255">
        <v>2</v>
      </c>
      <c r="CD4" s="255">
        <v>2</v>
      </c>
      <c r="CE4" s="255">
        <v>3</v>
      </c>
      <c r="CF4" s="255">
        <v>3</v>
      </c>
      <c r="CG4" s="255">
        <v>3</v>
      </c>
      <c r="CH4" s="255">
        <v>3</v>
      </c>
      <c r="CI4" s="255">
        <v>3</v>
      </c>
      <c r="CJ4" s="255">
        <v>3</v>
      </c>
      <c r="CK4" s="255">
        <v>3</v>
      </c>
      <c r="CL4" s="255">
        <v>3</v>
      </c>
      <c r="CM4" s="255">
        <v>3</v>
      </c>
      <c r="CN4" s="255">
        <v>3</v>
      </c>
      <c r="CO4" s="255">
        <v>3</v>
      </c>
      <c r="CP4" s="255">
        <v>3</v>
      </c>
      <c r="CQ4" s="255">
        <v>3</v>
      </c>
      <c r="CR4" s="255">
        <v>3</v>
      </c>
      <c r="CS4" s="255">
        <v>3</v>
      </c>
      <c r="CT4" s="255">
        <v>3</v>
      </c>
      <c r="CU4" s="255">
        <v>3</v>
      </c>
      <c r="CV4" s="255">
        <v>3</v>
      </c>
      <c r="CW4" s="255">
        <v>3</v>
      </c>
      <c r="CX4" s="255">
        <v>3</v>
      </c>
      <c r="CY4" s="255">
        <v>3</v>
      </c>
      <c r="CZ4" s="255">
        <v>3</v>
      </c>
      <c r="DA4" s="255">
        <v>3</v>
      </c>
      <c r="DB4" s="255">
        <v>3</v>
      </c>
      <c r="DC4" s="255">
        <v>3</v>
      </c>
      <c r="DD4" s="255">
        <v>3</v>
      </c>
      <c r="DE4" s="255">
        <v>4</v>
      </c>
      <c r="DF4" s="255">
        <v>4</v>
      </c>
      <c r="DG4" s="255">
        <v>4</v>
      </c>
      <c r="DH4" s="255">
        <v>4</v>
      </c>
      <c r="DI4" s="255">
        <v>4</v>
      </c>
      <c r="DJ4" s="255">
        <v>4</v>
      </c>
      <c r="DK4" s="255">
        <v>4</v>
      </c>
      <c r="DL4" s="255">
        <v>4</v>
      </c>
      <c r="DM4" s="255">
        <v>4</v>
      </c>
      <c r="DN4" s="255">
        <v>4</v>
      </c>
      <c r="DO4" s="255">
        <v>4</v>
      </c>
      <c r="DP4" s="255">
        <v>4</v>
      </c>
      <c r="DQ4" s="255">
        <v>4</v>
      </c>
      <c r="DR4" s="255">
        <v>4</v>
      </c>
      <c r="DS4" s="255">
        <v>4</v>
      </c>
      <c r="DT4" s="255">
        <v>4</v>
      </c>
      <c r="DU4" s="255">
        <v>4</v>
      </c>
      <c r="DV4" s="255">
        <v>4</v>
      </c>
      <c r="DW4" s="255">
        <v>4</v>
      </c>
      <c r="DX4" s="255">
        <v>4</v>
      </c>
      <c r="DY4" s="255">
        <v>4</v>
      </c>
      <c r="DZ4" s="255">
        <v>4</v>
      </c>
      <c r="EA4" s="255">
        <v>4</v>
      </c>
      <c r="EB4" s="255">
        <v>4</v>
      </c>
      <c r="EC4" s="255">
        <v>4</v>
      </c>
      <c r="ED4" s="255">
        <v>4</v>
      </c>
      <c r="EE4" s="255">
        <v>5</v>
      </c>
      <c r="EF4" s="255">
        <v>5</v>
      </c>
      <c r="EG4" s="255">
        <v>5</v>
      </c>
      <c r="EH4" s="255">
        <v>5</v>
      </c>
      <c r="EI4" s="255">
        <v>5</v>
      </c>
      <c r="EJ4" s="255">
        <v>5</v>
      </c>
      <c r="EK4" s="255">
        <v>5</v>
      </c>
      <c r="EL4" s="255">
        <v>5</v>
      </c>
      <c r="EM4" s="255">
        <v>5</v>
      </c>
      <c r="EN4" s="255">
        <v>5</v>
      </c>
      <c r="EO4" s="255">
        <v>5</v>
      </c>
      <c r="EP4" s="255">
        <v>5</v>
      </c>
      <c r="EQ4" s="255">
        <v>5</v>
      </c>
      <c r="ER4" s="255">
        <v>5</v>
      </c>
      <c r="ES4" s="255">
        <v>5</v>
      </c>
      <c r="ET4" s="255">
        <v>5</v>
      </c>
      <c r="EU4" s="255">
        <v>5</v>
      </c>
      <c r="EV4" s="255">
        <v>5</v>
      </c>
      <c r="EW4" s="255">
        <v>5</v>
      </c>
      <c r="EX4" s="255">
        <v>5</v>
      </c>
      <c r="EY4" s="255">
        <v>5</v>
      </c>
      <c r="EZ4" s="255">
        <v>5</v>
      </c>
      <c r="FA4" s="255">
        <v>5</v>
      </c>
      <c r="FB4" s="255">
        <v>5</v>
      </c>
      <c r="FC4" s="255">
        <v>5</v>
      </c>
      <c r="FD4" s="255">
        <v>5</v>
      </c>
      <c r="FE4" s="255">
        <v>6</v>
      </c>
      <c r="FF4" s="255">
        <v>6</v>
      </c>
      <c r="FG4" s="255">
        <v>6</v>
      </c>
      <c r="FH4" s="255">
        <v>6</v>
      </c>
      <c r="FI4" s="255">
        <v>6</v>
      </c>
      <c r="FJ4" s="255">
        <v>6</v>
      </c>
      <c r="FK4" s="255">
        <v>6</v>
      </c>
      <c r="FL4" s="255">
        <v>6</v>
      </c>
      <c r="FM4" s="255">
        <v>6</v>
      </c>
      <c r="FN4" s="255">
        <v>6</v>
      </c>
      <c r="FO4" s="255">
        <v>6</v>
      </c>
      <c r="FP4" s="255">
        <v>6</v>
      </c>
      <c r="FQ4" s="255">
        <v>6</v>
      </c>
      <c r="FR4" s="255">
        <v>6</v>
      </c>
      <c r="FS4" s="255">
        <v>6</v>
      </c>
      <c r="FT4" s="255">
        <v>6</v>
      </c>
      <c r="FU4" s="255">
        <v>6</v>
      </c>
      <c r="FV4" s="255">
        <v>6</v>
      </c>
      <c r="FW4" s="255">
        <v>6</v>
      </c>
      <c r="FX4" s="255">
        <v>6</v>
      </c>
      <c r="FY4" s="255">
        <v>6</v>
      </c>
      <c r="FZ4" s="255">
        <v>6</v>
      </c>
      <c r="GA4" s="255">
        <v>6</v>
      </c>
      <c r="GB4" s="255">
        <v>6</v>
      </c>
      <c r="GC4" s="255">
        <v>6</v>
      </c>
      <c r="GD4" s="255">
        <v>6</v>
      </c>
      <c r="GE4" s="255">
        <v>7</v>
      </c>
      <c r="GF4" s="255">
        <v>7</v>
      </c>
      <c r="GG4" s="255">
        <v>7</v>
      </c>
      <c r="GH4" s="255">
        <v>7</v>
      </c>
      <c r="GI4" s="255">
        <v>7</v>
      </c>
      <c r="GJ4" s="255">
        <v>7</v>
      </c>
      <c r="GK4" s="255">
        <v>7</v>
      </c>
      <c r="GL4" s="255">
        <v>7</v>
      </c>
      <c r="GM4" s="255">
        <v>7</v>
      </c>
      <c r="GN4" s="255">
        <v>7</v>
      </c>
      <c r="GO4" s="255">
        <v>7</v>
      </c>
      <c r="GP4" s="255">
        <v>7</v>
      </c>
      <c r="GQ4" s="255">
        <v>7</v>
      </c>
      <c r="GR4" s="255">
        <v>7</v>
      </c>
      <c r="GS4" s="255">
        <v>7</v>
      </c>
      <c r="GT4" s="255">
        <v>7</v>
      </c>
      <c r="GU4" s="255">
        <v>7</v>
      </c>
      <c r="GV4" s="255">
        <v>7</v>
      </c>
      <c r="GW4" s="255">
        <v>7</v>
      </c>
      <c r="GX4" s="255">
        <v>7</v>
      </c>
      <c r="GY4" s="255">
        <v>7</v>
      </c>
      <c r="GZ4" s="255">
        <v>7</v>
      </c>
      <c r="HA4" s="255">
        <v>7</v>
      </c>
      <c r="HB4" s="255">
        <v>7</v>
      </c>
      <c r="HC4" s="255">
        <v>7</v>
      </c>
      <c r="HD4" s="255">
        <v>7</v>
      </c>
    </row>
    <row r="5" spans="2:214" ht="13.5" thickTop="1" x14ac:dyDescent="0.2">
      <c r="B5" s="642" t="s">
        <v>184</v>
      </c>
      <c r="C5" s="256" t="s">
        <v>354</v>
      </c>
      <c r="D5" s="256" t="s">
        <v>392</v>
      </c>
      <c r="E5" s="635">
        <v>2017</v>
      </c>
      <c r="F5" s="636"/>
      <c r="G5" s="636"/>
      <c r="H5" s="636"/>
      <c r="I5" s="636"/>
      <c r="J5" s="636"/>
      <c r="K5" s="636"/>
      <c r="L5" s="636"/>
      <c r="M5" s="636"/>
      <c r="N5" s="636"/>
      <c r="O5" s="636"/>
      <c r="P5" s="636"/>
      <c r="Q5" s="636"/>
      <c r="R5" s="636"/>
      <c r="S5" s="636"/>
      <c r="T5" s="636"/>
      <c r="U5" s="636"/>
      <c r="V5" s="636"/>
      <c r="W5" s="636"/>
      <c r="X5" s="636"/>
      <c r="Y5" s="636"/>
      <c r="Z5" s="636"/>
      <c r="AA5" s="636"/>
      <c r="AB5" s="636"/>
      <c r="AC5" s="636"/>
      <c r="AD5" s="637"/>
      <c r="AE5" s="635">
        <v>2025</v>
      </c>
      <c r="AF5" s="636"/>
      <c r="AG5" s="636"/>
      <c r="AH5" s="636"/>
      <c r="AI5" s="636"/>
      <c r="AJ5" s="636"/>
      <c r="AK5" s="636"/>
      <c r="AL5" s="636"/>
      <c r="AM5" s="636"/>
      <c r="AN5" s="636"/>
      <c r="AO5" s="636"/>
      <c r="AP5" s="636"/>
      <c r="AQ5" s="636"/>
      <c r="AR5" s="636"/>
      <c r="AS5" s="636"/>
      <c r="AT5" s="636"/>
      <c r="AU5" s="636"/>
      <c r="AV5" s="636"/>
      <c r="AW5" s="636"/>
      <c r="AX5" s="636"/>
      <c r="AY5" s="636"/>
      <c r="AZ5" s="636"/>
      <c r="BA5" s="636"/>
      <c r="BB5" s="636"/>
      <c r="BC5" s="636"/>
      <c r="BD5" s="637"/>
      <c r="BE5" s="635">
        <v>2026</v>
      </c>
      <c r="BF5" s="636"/>
      <c r="BG5" s="636"/>
      <c r="BH5" s="636"/>
      <c r="BI5" s="636"/>
      <c r="BJ5" s="636"/>
      <c r="BK5" s="636"/>
      <c r="BL5" s="636"/>
      <c r="BM5" s="636"/>
      <c r="BN5" s="636"/>
      <c r="BO5" s="636"/>
      <c r="BP5" s="636"/>
      <c r="BQ5" s="636"/>
      <c r="BR5" s="636"/>
      <c r="BS5" s="636"/>
      <c r="BT5" s="636"/>
      <c r="BU5" s="636"/>
      <c r="BV5" s="636"/>
      <c r="BW5" s="636"/>
      <c r="BX5" s="636"/>
      <c r="BY5" s="636"/>
      <c r="BZ5" s="636"/>
      <c r="CA5" s="636"/>
      <c r="CB5" s="636"/>
      <c r="CC5" s="636"/>
      <c r="CD5" s="637"/>
      <c r="CE5" s="635">
        <v>2027</v>
      </c>
      <c r="CF5" s="636"/>
      <c r="CG5" s="636"/>
      <c r="CH5" s="636"/>
      <c r="CI5" s="636"/>
      <c r="CJ5" s="636"/>
      <c r="CK5" s="636"/>
      <c r="CL5" s="636"/>
      <c r="CM5" s="636"/>
      <c r="CN5" s="636"/>
      <c r="CO5" s="636"/>
      <c r="CP5" s="636"/>
      <c r="CQ5" s="636"/>
      <c r="CR5" s="636"/>
      <c r="CS5" s="636"/>
      <c r="CT5" s="636"/>
      <c r="CU5" s="636"/>
      <c r="CV5" s="636"/>
      <c r="CW5" s="636"/>
      <c r="CX5" s="636"/>
      <c r="CY5" s="636"/>
      <c r="CZ5" s="636"/>
      <c r="DA5" s="636"/>
      <c r="DB5" s="636"/>
      <c r="DC5" s="636"/>
      <c r="DD5" s="637"/>
      <c r="DE5" s="635">
        <v>2028</v>
      </c>
      <c r="DF5" s="636"/>
      <c r="DG5" s="636"/>
      <c r="DH5" s="636"/>
      <c r="DI5" s="636"/>
      <c r="DJ5" s="636"/>
      <c r="DK5" s="636"/>
      <c r="DL5" s="636"/>
      <c r="DM5" s="636"/>
      <c r="DN5" s="636"/>
      <c r="DO5" s="636"/>
      <c r="DP5" s="636"/>
      <c r="DQ5" s="636"/>
      <c r="DR5" s="636"/>
      <c r="DS5" s="636"/>
      <c r="DT5" s="636"/>
      <c r="DU5" s="636"/>
      <c r="DV5" s="636"/>
      <c r="DW5" s="636"/>
      <c r="DX5" s="636"/>
      <c r="DY5" s="636"/>
      <c r="DZ5" s="636"/>
      <c r="EA5" s="636"/>
      <c r="EB5" s="636"/>
      <c r="EC5" s="636"/>
      <c r="ED5" s="637"/>
      <c r="EE5" s="635">
        <v>2025</v>
      </c>
      <c r="EF5" s="636"/>
      <c r="EG5" s="636"/>
      <c r="EH5" s="636"/>
      <c r="EI5" s="636"/>
      <c r="EJ5" s="636"/>
      <c r="EK5" s="636"/>
      <c r="EL5" s="636"/>
      <c r="EM5" s="636"/>
      <c r="EN5" s="636"/>
      <c r="EO5" s="636"/>
      <c r="EP5" s="636"/>
      <c r="EQ5" s="636"/>
      <c r="ER5" s="636"/>
      <c r="ES5" s="636"/>
      <c r="ET5" s="636"/>
      <c r="EU5" s="636"/>
      <c r="EV5" s="636"/>
      <c r="EW5" s="636"/>
      <c r="EX5" s="636"/>
      <c r="EY5" s="636"/>
      <c r="EZ5" s="636"/>
      <c r="FA5" s="636"/>
      <c r="FB5" s="636"/>
      <c r="FC5" s="636"/>
      <c r="FD5" s="637"/>
      <c r="FE5" s="635">
        <v>2026</v>
      </c>
      <c r="FF5" s="636"/>
      <c r="FG5" s="636"/>
      <c r="FH5" s="636"/>
      <c r="FI5" s="636"/>
      <c r="FJ5" s="636"/>
      <c r="FK5" s="636"/>
      <c r="FL5" s="636"/>
      <c r="FM5" s="636"/>
      <c r="FN5" s="636"/>
      <c r="FO5" s="636"/>
      <c r="FP5" s="636"/>
      <c r="FQ5" s="636"/>
      <c r="FR5" s="636"/>
      <c r="FS5" s="636"/>
      <c r="FT5" s="636"/>
      <c r="FU5" s="636"/>
      <c r="FV5" s="636"/>
      <c r="FW5" s="636"/>
      <c r="FX5" s="636"/>
      <c r="FY5" s="636"/>
      <c r="FZ5" s="636"/>
      <c r="GA5" s="636"/>
      <c r="GB5" s="636"/>
      <c r="GC5" s="636"/>
      <c r="GD5" s="637"/>
      <c r="GE5" s="635">
        <v>2027</v>
      </c>
      <c r="GF5" s="636"/>
      <c r="GG5" s="636"/>
      <c r="GH5" s="636"/>
      <c r="GI5" s="636"/>
      <c r="GJ5" s="636"/>
      <c r="GK5" s="636"/>
      <c r="GL5" s="636"/>
      <c r="GM5" s="636"/>
      <c r="GN5" s="636"/>
      <c r="GO5" s="636"/>
      <c r="GP5" s="636"/>
      <c r="GQ5" s="636"/>
      <c r="GR5" s="636"/>
      <c r="GS5" s="636"/>
      <c r="GT5" s="636"/>
      <c r="GU5" s="636"/>
      <c r="GV5" s="636"/>
      <c r="GW5" s="636"/>
      <c r="GX5" s="636"/>
      <c r="GY5" s="636"/>
      <c r="GZ5" s="636"/>
      <c r="HA5" s="636"/>
      <c r="HB5" s="636"/>
      <c r="HC5" s="636"/>
      <c r="HD5" s="637"/>
      <c r="HE5" s="638" t="s">
        <v>34</v>
      </c>
      <c r="HF5" s="639"/>
    </row>
    <row r="6" spans="2:214" s="257" customFormat="1" x14ac:dyDescent="0.2">
      <c r="B6" s="643"/>
      <c r="C6" s="643" t="s">
        <v>393</v>
      </c>
      <c r="D6" s="643" t="s">
        <v>394</v>
      </c>
      <c r="E6" s="634" t="s">
        <v>357</v>
      </c>
      <c r="F6" s="634"/>
      <c r="G6" s="634" t="s">
        <v>358</v>
      </c>
      <c r="H6" s="634"/>
      <c r="I6" s="634" t="s">
        <v>359</v>
      </c>
      <c r="J6" s="634"/>
      <c r="K6" s="634" t="s">
        <v>360</v>
      </c>
      <c r="L6" s="634"/>
      <c r="M6" s="634" t="s">
        <v>361</v>
      </c>
      <c r="N6" s="634"/>
      <c r="O6" s="634" t="s">
        <v>362</v>
      </c>
      <c r="P6" s="634"/>
      <c r="Q6" s="634" t="s">
        <v>363</v>
      </c>
      <c r="R6" s="634"/>
      <c r="S6" s="634" t="s">
        <v>364</v>
      </c>
      <c r="T6" s="634"/>
      <c r="U6" s="634" t="s">
        <v>365</v>
      </c>
      <c r="V6" s="634"/>
      <c r="W6" s="634" t="s">
        <v>366</v>
      </c>
      <c r="X6" s="634"/>
      <c r="Y6" s="634" t="s">
        <v>367</v>
      </c>
      <c r="Z6" s="634"/>
      <c r="AA6" s="634" t="s">
        <v>368</v>
      </c>
      <c r="AB6" s="634"/>
      <c r="AC6" s="634" t="s">
        <v>42</v>
      </c>
      <c r="AD6" s="634"/>
      <c r="AE6" s="634" t="s">
        <v>357</v>
      </c>
      <c r="AF6" s="634"/>
      <c r="AG6" s="634" t="s">
        <v>358</v>
      </c>
      <c r="AH6" s="634"/>
      <c r="AI6" s="634" t="s">
        <v>359</v>
      </c>
      <c r="AJ6" s="634"/>
      <c r="AK6" s="634" t="s">
        <v>360</v>
      </c>
      <c r="AL6" s="634"/>
      <c r="AM6" s="634" t="s">
        <v>361</v>
      </c>
      <c r="AN6" s="634"/>
      <c r="AO6" s="634" t="s">
        <v>362</v>
      </c>
      <c r="AP6" s="634"/>
      <c r="AQ6" s="634" t="s">
        <v>363</v>
      </c>
      <c r="AR6" s="634"/>
      <c r="AS6" s="634" t="s">
        <v>364</v>
      </c>
      <c r="AT6" s="634"/>
      <c r="AU6" s="634" t="s">
        <v>365</v>
      </c>
      <c r="AV6" s="634"/>
      <c r="AW6" s="634" t="s">
        <v>366</v>
      </c>
      <c r="AX6" s="634"/>
      <c r="AY6" s="634" t="s">
        <v>367</v>
      </c>
      <c r="AZ6" s="634"/>
      <c r="BA6" s="634" t="s">
        <v>368</v>
      </c>
      <c r="BB6" s="634"/>
      <c r="BC6" s="634" t="s">
        <v>42</v>
      </c>
      <c r="BD6" s="634"/>
      <c r="BE6" s="634" t="s">
        <v>357</v>
      </c>
      <c r="BF6" s="634"/>
      <c r="BG6" s="634" t="s">
        <v>358</v>
      </c>
      <c r="BH6" s="634"/>
      <c r="BI6" s="634" t="s">
        <v>359</v>
      </c>
      <c r="BJ6" s="634"/>
      <c r="BK6" s="634" t="s">
        <v>360</v>
      </c>
      <c r="BL6" s="634"/>
      <c r="BM6" s="634" t="s">
        <v>361</v>
      </c>
      <c r="BN6" s="634"/>
      <c r="BO6" s="634" t="s">
        <v>362</v>
      </c>
      <c r="BP6" s="634"/>
      <c r="BQ6" s="634" t="s">
        <v>363</v>
      </c>
      <c r="BR6" s="634"/>
      <c r="BS6" s="634" t="s">
        <v>364</v>
      </c>
      <c r="BT6" s="634"/>
      <c r="BU6" s="634" t="s">
        <v>365</v>
      </c>
      <c r="BV6" s="634"/>
      <c r="BW6" s="634" t="s">
        <v>366</v>
      </c>
      <c r="BX6" s="634"/>
      <c r="BY6" s="634" t="s">
        <v>367</v>
      </c>
      <c r="BZ6" s="634"/>
      <c r="CA6" s="634" t="s">
        <v>368</v>
      </c>
      <c r="CB6" s="634"/>
      <c r="CC6" s="634" t="s">
        <v>42</v>
      </c>
      <c r="CD6" s="634"/>
      <c r="CE6" s="634" t="s">
        <v>357</v>
      </c>
      <c r="CF6" s="634"/>
      <c r="CG6" s="634" t="s">
        <v>358</v>
      </c>
      <c r="CH6" s="634"/>
      <c r="CI6" s="634" t="s">
        <v>359</v>
      </c>
      <c r="CJ6" s="634"/>
      <c r="CK6" s="634" t="s">
        <v>360</v>
      </c>
      <c r="CL6" s="634"/>
      <c r="CM6" s="634" t="s">
        <v>361</v>
      </c>
      <c r="CN6" s="634"/>
      <c r="CO6" s="634" t="s">
        <v>362</v>
      </c>
      <c r="CP6" s="634"/>
      <c r="CQ6" s="634" t="s">
        <v>363</v>
      </c>
      <c r="CR6" s="634"/>
      <c r="CS6" s="634" t="s">
        <v>364</v>
      </c>
      <c r="CT6" s="634"/>
      <c r="CU6" s="634" t="s">
        <v>365</v>
      </c>
      <c r="CV6" s="634"/>
      <c r="CW6" s="634" t="s">
        <v>366</v>
      </c>
      <c r="CX6" s="634"/>
      <c r="CY6" s="634" t="s">
        <v>367</v>
      </c>
      <c r="CZ6" s="634"/>
      <c r="DA6" s="634" t="s">
        <v>368</v>
      </c>
      <c r="DB6" s="634"/>
      <c r="DC6" s="634" t="s">
        <v>42</v>
      </c>
      <c r="DD6" s="634"/>
      <c r="DE6" s="634" t="s">
        <v>357</v>
      </c>
      <c r="DF6" s="634"/>
      <c r="DG6" s="634" t="s">
        <v>358</v>
      </c>
      <c r="DH6" s="634"/>
      <c r="DI6" s="634" t="s">
        <v>359</v>
      </c>
      <c r="DJ6" s="634"/>
      <c r="DK6" s="634" t="s">
        <v>360</v>
      </c>
      <c r="DL6" s="634"/>
      <c r="DM6" s="634" t="s">
        <v>361</v>
      </c>
      <c r="DN6" s="634"/>
      <c r="DO6" s="634" t="s">
        <v>362</v>
      </c>
      <c r="DP6" s="634"/>
      <c r="DQ6" s="634" t="s">
        <v>363</v>
      </c>
      <c r="DR6" s="634"/>
      <c r="DS6" s="634" t="s">
        <v>364</v>
      </c>
      <c r="DT6" s="634"/>
      <c r="DU6" s="634" t="s">
        <v>365</v>
      </c>
      <c r="DV6" s="634"/>
      <c r="DW6" s="634" t="s">
        <v>366</v>
      </c>
      <c r="DX6" s="634"/>
      <c r="DY6" s="634" t="s">
        <v>367</v>
      </c>
      <c r="DZ6" s="634"/>
      <c r="EA6" s="634" t="s">
        <v>368</v>
      </c>
      <c r="EB6" s="634"/>
      <c r="EC6" s="634" t="s">
        <v>42</v>
      </c>
      <c r="ED6" s="634"/>
      <c r="EE6" s="634" t="s">
        <v>357</v>
      </c>
      <c r="EF6" s="634"/>
      <c r="EG6" s="634" t="s">
        <v>358</v>
      </c>
      <c r="EH6" s="634"/>
      <c r="EI6" s="634" t="s">
        <v>359</v>
      </c>
      <c r="EJ6" s="634"/>
      <c r="EK6" s="634" t="s">
        <v>360</v>
      </c>
      <c r="EL6" s="634"/>
      <c r="EM6" s="634" t="s">
        <v>361</v>
      </c>
      <c r="EN6" s="634"/>
      <c r="EO6" s="634" t="s">
        <v>362</v>
      </c>
      <c r="EP6" s="634"/>
      <c r="EQ6" s="634" t="s">
        <v>363</v>
      </c>
      <c r="ER6" s="634"/>
      <c r="ES6" s="634" t="s">
        <v>364</v>
      </c>
      <c r="ET6" s="634"/>
      <c r="EU6" s="634" t="s">
        <v>365</v>
      </c>
      <c r="EV6" s="634"/>
      <c r="EW6" s="634" t="s">
        <v>366</v>
      </c>
      <c r="EX6" s="634"/>
      <c r="EY6" s="634" t="s">
        <v>367</v>
      </c>
      <c r="EZ6" s="634"/>
      <c r="FA6" s="634" t="s">
        <v>368</v>
      </c>
      <c r="FB6" s="634"/>
      <c r="FC6" s="634" t="s">
        <v>42</v>
      </c>
      <c r="FD6" s="634"/>
      <c r="FE6" s="634" t="s">
        <v>357</v>
      </c>
      <c r="FF6" s="634"/>
      <c r="FG6" s="634" t="s">
        <v>358</v>
      </c>
      <c r="FH6" s="634"/>
      <c r="FI6" s="634" t="s">
        <v>359</v>
      </c>
      <c r="FJ6" s="634"/>
      <c r="FK6" s="634" t="s">
        <v>360</v>
      </c>
      <c r="FL6" s="634"/>
      <c r="FM6" s="634" t="s">
        <v>361</v>
      </c>
      <c r="FN6" s="634"/>
      <c r="FO6" s="634" t="s">
        <v>362</v>
      </c>
      <c r="FP6" s="634"/>
      <c r="FQ6" s="634" t="s">
        <v>363</v>
      </c>
      <c r="FR6" s="634"/>
      <c r="FS6" s="634" t="s">
        <v>364</v>
      </c>
      <c r="FT6" s="634"/>
      <c r="FU6" s="634" t="s">
        <v>365</v>
      </c>
      <c r="FV6" s="634"/>
      <c r="FW6" s="634" t="s">
        <v>366</v>
      </c>
      <c r="FX6" s="634"/>
      <c r="FY6" s="634" t="s">
        <v>367</v>
      </c>
      <c r="FZ6" s="634"/>
      <c r="GA6" s="634" t="s">
        <v>368</v>
      </c>
      <c r="GB6" s="634"/>
      <c r="GC6" s="634" t="s">
        <v>42</v>
      </c>
      <c r="GD6" s="634"/>
      <c r="GE6" s="634" t="s">
        <v>357</v>
      </c>
      <c r="GF6" s="634"/>
      <c r="GG6" s="634" t="s">
        <v>358</v>
      </c>
      <c r="GH6" s="634"/>
      <c r="GI6" s="634" t="s">
        <v>359</v>
      </c>
      <c r="GJ6" s="634"/>
      <c r="GK6" s="634" t="s">
        <v>360</v>
      </c>
      <c r="GL6" s="634"/>
      <c r="GM6" s="634" t="s">
        <v>361</v>
      </c>
      <c r="GN6" s="634"/>
      <c r="GO6" s="634" t="s">
        <v>362</v>
      </c>
      <c r="GP6" s="634"/>
      <c r="GQ6" s="634" t="s">
        <v>363</v>
      </c>
      <c r="GR6" s="634"/>
      <c r="GS6" s="634" t="s">
        <v>364</v>
      </c>
      <c r="GT6" s="634"/>
      <c r="GU6" s="634" t="s">
        <v>365</v>
      </c>
      <c r="GV6" s="634"/>
      <c r="GW6" s="634" t="s">
        <v>366</v>
      </c>
      <c r="GX6" s="634"/>
      <c r="GY6" s="634" t="s">
        <v>367</v>
      </c>
      <c r="GZ6" s="634"/>
      <c r="HA6" s="634" t="s">
        <v>368</v>
      </c>
      <c r="HB6" s="634"/>
      <c r="HC6" s="634" t="s">
        <v>42</v>
      </c>
      <c r="HD6" s="634"/>
      <c r="HE6" s="640"/>
      <c r="HF6" s="641"/>
    </row>
    <row r="7" spans="2:214" x14ac:dyDescent="0.2">
      <c r="B7" s="644"/>
      <c r="C7" s="644"/>
      <c r="D7" s="644"/>
      <c r="E7" s="258" t="s">
        <v>355</v>
      </c>
      <c r="F7" s="258" t="s">
        <v>369</v>
      </c>
      <c r="G7" s="258" t="s">
        <v>355</v>
      </c>
      <c r="H7" s="258" t="s">
        <v>369</v>
      </c>
      <c r="I7" s="258" t="s">
        <v>355</v>
      </c>
      <c r="J7" s="258" t="s">
        <v>369</v>
      </c>
      <c r="K7" s="258" t="s">
        <v>355</v>
      </c>
      <c r="L7" s="258" t="s">
        <v>369</v>
      </c>
      <c r="M7" s="258" t="s">
        <v>355</v>
      </c>
      <c r="N7" s="258" t="s">
        <v>369</v>
      </c>
      <c r="O7" s="258" t="s">
        <v>355</v>
      </c>
      <c r="P7" s="258" t="s">
        <v>369</v>
      </c>
      <c r="Q7" s="258" t="s">
        <v>355</v>
      </c>
      <c r="R7" s="258" t="s">
        <v>369</v>
      </c>
      <c r="S7" s="258" t="s">
        <v>355</v>
      </c>
      <c r="T7" s="258" t="s">
        <v>369</v>
      </c>
      <c r="U7" s="258" t="s">
        <v>355</v>
      </c>
      <c r="V7" s="258" t="s">
        <v>369</v>
      </c>
      <c r="W7" s="258" t="s">
        <v>355</v>
      </c>
      <c r="X7" s="258" t="s">
        <v>369</v>
      </c>
      <c r="Y7" s="258" t="s">
        <v>355</v>
      </c>
      <c r="Z7" s="258" t="s">
        <v>369</v>
      </c>
      <c r="AA7" s="258" t="s">
        <v>355</v>
      </c>
      <c r="AB7" s="258" t="s">
        <v>369</v>
      </c>
      <c r="AC7" s="258" t="s">
        <v>355</v>
      </c>
      <c r="AD7" s="258" t="s">
        <v>369</v>
      </c>
      <c r="AE7" s="258" t="s">
        <v>355</v>
      </c>
      <c r="AF7" s="258" t="s">
        <v>369</v>
      </c>
      <c r="AG7" s="258" t="s">
        <v>355</v>
      </c>
      <c r="AH7" s="258" t="s">
        <v>369</v>
      </c>
      <c r="AI7" s="258" t="s">
        <v>355</v>
      </c>
      <c r="AJ7" s="258" t="s">
        <v>369</v>
      </c>
      <c r="AK7" s="258" t="s">
        <v>355</v>
      </c>
      <c r="AL7" s="258" t="s">
        <v>369</v>
      </c>
      <c r="AM7" s="258" t="s">
        <v>355</v>
      </c>
      <c r="AN7" s="258" t="s">
        <v>369</v>
      </c>
      <c r="AO7" s="258" t="s">
        <v>355</v>
      </c>
      <c r="AP7" s="258" t="s">
        <v>369</v>
      </c>
      <c r="AQ7" s="258" t="s">
        <v>355</v>
      </c>
      <c r="AR7" s="258" t="s">
        <v>369</v>
      </c>
      <c r="AS7" s="258" t="s">
        <v>355</v>
      </c>
      <c r="AT7" s="258" t="s">
        <v>369</v>
      </c>
      <c r="AU7" s="258" t="s">
        <v>355</v>
      </c>
      <c r="AV7" s="258" t="s">
        <v>369</v>
      </c>
      <c r="AW7" s="258" t="s">
        <v>355</v>
      </c>
      <c r="AX7" s="258" t="s">
        <v>369</v>
      </c>
      <c r="AY7" s="258" t="s">
        <v>355</v>
      </c>
      <c r="AZ7" s="258" t="s">
        <v>369</v>
      </c>
      <c r="BA7" s="258" t="s">
        <v>355</v>
      </c>
      <c r="BB7" s="258" t="s">
        <v>369</v>
      </c>
      <c r="BC7" s="258" t="s">
        <v>355</v>
      </c>
      <c r="BD7" s="258" t="s">
        <v>369</v>
      </c>
      <c r="BE7" s="258" t="s">
        <v>355</v>
      </c>
      <c r="BF7" s="258" t="s">
        <v>369</v>
      </c>
      <c r="BG7" s="258" t="s">
        <v>355</v>
      </c>
      <c r="BH7" s="258" t="s">
        <v>369</v>
      </c>
      <c r="BI7" s="258" t="s">
        <v>355</v>
      </c>
      <c r="BJ7" s="258" t="s">
        <v>369</v>
      </c>
      <c r="BK7" s="258" t="s">
        <v>355</v>
      </c>
      <c r="BL7" s="258" t="s">
        <v>369</v>
      </c>
      <c r="BM7" s="258" t="s">
        <v>355</v>
      </c>
      <c r="BN7" s="258" t="s">
        <v>369</v>
      </c>
      <c r="BO7" s="258" t="s">
        <v>355</v>
      </c>
      <c r="BP7" s="258" t="s">
        <v>369</v>
      </c>
      <c r="BQ7" s="258" t="s">
        <v>355</v>
      </c>
      <c r="BR7" s="258" t="s">
        <v>369</v>
      </c>
      <c r="BS7" s="258" t="s">
        <v>355</v>
      </c>
      <c r="BT7" s="258" t="s">
        <v>369</v>
      </c>
      <c r="BU7" s="258" t="s">
        <v>355</v>
      </c>
      <c r="BV7" s="258" t="s">
        <v>369</v>
      </c>
      <c r="BW7" s="258" t="s">
        <v>355</v>
      </c>
      <c r="BX7" s="258" t="s">
        <v>369</v>
      </c>
      <c r="BY7" s="258" t="s">
        <v>355</v>
      </c>
      <c r="BZ7" s="258" t="s">
        <v>369</v>
      </c>
      <c r="CA7" s="258" t="s">
        <v>355</v>
      </c>
      <c r="CB7" s="258" t="s">
        <v>369</v>
      </c>
      <c r="CC7" s="258" t="s">
        <v>355</v>
      </c>
      <c r="CD7" s="258" t="s">
        <v>369</v>
      </c>
      <c r="CE7" s="258" t="s">
        <v>355</v>
      </c>
      <c r="CF7" s="258" t="s">
        <v>369</v>
      </c>
      <c r="CG7" s="258" t="s">
        <v>355</v>
      </c>
      <c r="CH7" s="258" t="s">
        <v>369</v>
      </c>
      <c r="CI7" s="258" t="s">
        <v>355</v>
      </c>
      <c r="CJ7" s="258" t="s">
        <v>369</v>
      </c>
      <c r="CK7" s="258" t="s">
        <v>355</v>
      </c>
      <c r="CL7" s="258" t="s">
        <v>369</v>
      </c>
      <c r="CM7" s="258" t="s">
        <v>355</v>
      </c>
      <c r="CN7" s="258" t="s">
        <v>369</v>
      </c>
      <c r="CO7" s="258" t="s">
        <v>355</v>
      </c>
      <c r="CP7" s="258" t="s">
        <v>369</v>
      </c>
      <c r="CQ7" s="258" t="s">
        <v>355</v>
      </c>
      <c r="CR7" s="258" t="s">
        <v>369</v>
      </c>
      <c r="CS7" s="258" t="s">
        <v>355</v>
      </c>
      <c r="CT7" s="258" t="s">
        <v>369</v>
      </c>
      <c r="CU7" s="258" t="s">
        <v>355</v>
      </c>
      <c r="CV7" s="258" t="s">
        <v>369</v>
      </c>
      <c r="CW7" s="258" t="s">
        <v>355</v>
      </c>
      <c r="CX7" s="258" t="s">
        <v>369</v>
      </c>
      <c r="CY7" s="258" t="s">
        <v>355</v>
      </c>
      <c r="CZ7" s="258" t="s">
        <v>369</v>
      </c>
      <c r="DA7" s="258" t="s">
        <v>355</v>
      </c>
      <c r="DB7" s="258" t="s">
        <v>369</v>
      </c>
      <c r="DC7" s="258" t="s">
        <v>355</v>
      </c>
      <c r="DD7" s="258" t="s">
        <v>369</v>
      </c>
      <c r="DE7" s="258" t="s">
        <v>355</v>
      </c>
      <c r="DF7" s="258" t="s">
        <v>369</v>
      </c>
      <c r="DG7" s="258" t="s">
        <v>355</v>
      </c>
      <c r="DH7" s="258" t="s">
        <v>369</v>
      </c>
      <c r="DI7" s="258" t="s">
        <v>355</v>
      </c>
      <c r="DJ7" s="258" t="s">
        <v>369</v>
      </c>
      <c r="DK7" s="258" t="s">
        <v>355</v>
      </c>
      <c r="DL7" s="258" t="s">
        <v>369</v>
      </c>
      <c r="DM7" s="258" t="s">
        <v>355</v>
      </c>
      <c r="DN7" s="258" t="s">
        <v>369</v>
      </c>
      <c r="DO7" s="258" t="s">
        <v>355</v>
      </c>
      <c r="DP7" s="258" t="s">
        <v>369</v>
      </c>
      <c r="DQ7" s="258" t="s">
        <v>355</v>
      </c>
      <c r="DR7" s="258" t="s">
        <v>369</v>
      </c>
      <c r="DS7" s="258" t="s">
        <v>355</v>
      </c>
      <c r="DT7" s="258" t="s">
        <v>369</v>
      </c>
      <c r="DU7" s="258" t="s">
        <v>355</v>
      </c>
      <c r="DV7" s="258" t="s">
        <v>369</v>
      </c>
      <c r="DW7" s="258" t="s">
        <v>355</v>
      </c>
      <c r="DX7" s="258" t="s">
        <v>369</v>
      </c>
      <c r="DY7" s="258" t="s">
        <v>355</v>
      </c>
      <c r="DZ7" s="258" t="s">
        <v>369</v>
      </c>
      <c r="EA7" s="258" t="s">
        <v>355</v>
      </c>
      <c r="EB7" s="258" t="s">
        <v>369</v>
      </c>
      <c r="EC7" s="258" t="s">
        <v>355</v>
      </c>
      <c r="ED7" s="258" t="s">
        <v>369</v>
      </c>
      <c r="EE7" s="258" t="s">
        <v>355</v>
      </c>
      <c r="EF7" s="258" t="s">
        <v>369</v>
      </c>
      <c r="EG7" s="258" t="s">
        <v>355</v>
      </c>
      <c r="EH7" s="258" t="s">
        <v>369</v>
      </c>
      <c r="EI7" s="258" t="s">
        <v>355</v>
      </c>
      <c r="EJ7" s="258" t="s">
        <v>369</v>
      </c>
      <c r="EK7" s="258" t="s">
        <v>355</v>
      </c>
      <c r="EL7" s="258" t="s">
        <v>369</v>
      </c>
      <c r="EM7" s="258" t="s">
        <v>355</v>
      </c>
      <c r="EN7" s="258" t="s">
        <v>369</v>
      </c>
      <c r="EO7" s="258" t="s">
        <v>355</v>
      </c>
      <c r="EP7" s="258" t="s">
        <v>369</v>
      </c>
      <c r="EQ7" s="258" t="s">
        <v>355</v>
      </c>
      <c r="ER7" s="258" t="s">
        <v>369</v>
      </c>
      <c r="ES7" s="258" t="s">
        <v>355</v>
      </c>
      <c r="ET7" s="258" t="s">
        <v>369</v>
      </c>
      <c r="EU7" s="258" t="s">
        <v>355</v>
      </c>
      <c r="EV7" s="258" t="s">
        <v>369</v>
      </c>
      <c r="EW7" s="258" t="s">
        <v>355</v>
      </c>
      <c r="EX7" s="258" t="s">
        <v>369</v>
      </c>
      <c r="EY7" s="258" t="s">
        <v>355</v>
      </c>
      <c r="EZ7" s="258" t="s">
        <v>369</v>
      </c>
      <c r="FA7" s="258" t="s">
        <v>355</v>
      </c>
      <c r="FB7" s="258" t="s">
        <v>369</v>
      </c>
      <c r="FC7" s="258" t="s">
        <v>355</v>
      </c>
      <c r="FD7" s="258" t="s">
        <v>369</v>
      </c>
      <c r="FE7" s="258" t="s">
        <v>355</v>
      </c>
      <c r="FF7" s="258" t="s">
        <v>369</v>
      </c>
      <c r="FG7" s="258" t="s">
        <v>355</v>
      </c>
      <c r="FH7" s="258" t="s">
        <v>369</v>
      </c>
      <c r="FI7" s="258" t="s">
        <v>355</v>
      </c>
      <c r="FJ7" s="258" t="s">
        <v>369</v>
      </c>
      <c r="FK7" s="258" t="s">
        <v>355</v>
      </c>
      <c r="FL7" s="258" t="s">
        <v>369</v>
      </c>
      <c r="FM7" s="258" t="s">
        <v>355</v>
      </c>
      <c r="FN7" s="258" t="s">
        <v>369</v>
      </c>
      <c r="FO7" s="258" t="s">
        <v>355</v>
      </c>
      <c r="FP7" s="258" t="s">
        <v>369</v>
      </c>
      <c r="FQ7" s="258" t="s">
        <v>355</v>
      </c>
      <c r="FR7" s="258" t="s">
        <v>369</v>
      </c>
      <c r="FS7" s="258" t="s">
        <v>355</v>
      </c>
      <c r="FT7" s="258" t="s">
        <v>369</v>
      </c>
      <c r="FU7" s="258" t="s">
        <v>355</v>
      </c>
      <c r="FV7" s="258" t="s">
        <v>369</v>
      </c>
      <c r="FW7" s="258" t="s">
        <v>355</v>
      </c>
      <c r="FX7" s="258" t="s">
        <v>369</v>
      </c>
      <c r="FY7" s="258" t="s">
        <v>355</v>
      </c>
      <c r="FZ7" s="258" t="s">
        <v>369</v>
      </c>
      <c r="GA7" s="258" t="s">
        <v>355</v>
      </c>
      <c r="GB7" s="258" t="s">
        <v>369</v>
      </c>
      <c r="GC7" s="258" t="s">
        <v>355</v>
      </c>
      <c r="GD7" s="258" t="s">
        <v>369</v>
      </c>
      <c r="GE7" s="258" t="s">
        <v>355</v>
      </c>
      <c r="GF7" s="258" t="s">
        <v>369</v>
      </c>
      <c r="GG7" s="258" t="s">
        <v>355</v>
      </c>
      <c r="GH7" s="258" t="s">
        <v>369</v>
      </c>
      <c r="GI7" s="258" t="s">
        <v>355</v>
      </c>
      <c r="GJ7" s="258" t="s">
        <v>369</v>
      </c>
      <c r="GK7" s="258" t="s">
        <v>355</v>
      </c>
      <c r="GL7" s="258" t="s">
        <v>369</v>
      </c>
      <c r="GM7" s="258" t="s">
        <v>355</v>
      </c>
      <c r="GN7" s="258" t="s">
        <v>369</v>
      </c>
      <c r="GO7" s="258" t="s">
        <v>355</v>
      </c>
      <c r="GP7" s="258" t="s">
        <v>369</v>
      </c>
      <c r="GQ7" s="258" t="s">
        <v>355</v>
      </c>
      <c r="GR7" s="258" t="s">
        <v>369</v>
      </c>
      <c r="GS7" s="258" t="s">
        <v>355</v>
      </c>
      <c r="GT7" s="258" t="s">
        <v>369</v>
      </c>
      <c r="GU7" s="258" t="s">
        <v>355</v>
      </c>
      <c r="GV7" s="258" t="s">
        <v>369</v>
      </c>
      <c r="GW7" s="258" t="s">
        <v>355</v>
      </c>
      <c r="GX7" s="258" t="s">
        <v>369</v>
      </c>
      <c r="GY7" s="258" t="s">
        <v>355</v>
      </c>
      <c r="GZ7" s="258" t="s">
        <v>369</v>
      </c>
      <c r="HA7" s="258" t="s">
        <v>355</v>
      </c>
      <c r="HB7" s="258" t="s">
        <v>369</v>
      </c>
      <c r="HC7" s="258" t="s">
        <v>355</v>
      </c>
      <c r="HD7" s="258" t="s">
        <v>369</v>
      </c>
      <c r="HE7" s="259" t="s">
        <v>355</v>
      </c>
      <c r="HF7" s="259" t="s">
        <v>369</v>
      </c>
    </row>
    <row r="8" spans="2:214" hidden="1" x14ac:dyDescent="0.2">
      <c r="B8" s="311"/>
      <c r="C8" s="311"/>
      <c r="D8" s="311"/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  <c r="BS8" s="312"/>
      <c r="BT8" s="312"/>
      <c r="BU8" s="312"/>
      <c r="BV8" s="312"/>
      <c r="BW8" s="312"/>
      <c r="BX8" s="312"/>
      <c r="BY8" s="312"/>
      <c r="BZ8" s="312"/>
      <c r="CA8" s="312"/>
      <c r="CB8" s="312"/>
      <c r="CC8" s="312"/>
      <c r="CD8" s="312"/>
      <c r="CE8" s="312"/>
      <c r="CF8" s="312"/>
      <c r="CG8" s="312"/>
      <c r="CH8" s="312"/>
      <c r="CI8" s="312"/>
      <c r="CJ8" s="312"/>
      <c r="CK8" s="312"/>
      <c r="CL8" s="312"/>
      <c r="CM8" s="312"/>
      <c r="CN8" s="312"/>
      <c r="CO8" s="312"/>
      <c r="CP8" s="312"/>
      <c r="CQ8" s="312"/>
      <c r="CR8" s="312"/>
      <c r="CS8" s="312"/>
      <c r="CT8" s="312"/>
      <c r="CU8" s="312"/>
      <c r="CV8" s="312"/>
      <c r="CW8" s="312"/>
      <c r="CX8" s="312"/>
      <c r="CY8" s="312"/>
      <c r="CZ8" s="312"/>
      <c r="DA8" s="312"/>
      <c r="DB8" s="312"/>
      <c r="DC8" s="312"/>
      <c r="DD8" s="312"/>
      <c r="DE8" s="312"/>
      <c r="DF8" s="312"/>
      <c r="DG8" s="312"/>
      <c r="DH8" s="312"/>
      <c r="DI8" s="312"/>
      <c r="DJ8" s="312"/>
      <c r="DK8" s="312"/>
      <c r="DL8" s="312"/>
      <c r="DM8" s="312"/>
      <c r="DN8" s="312"/>
      <c r="DO8" s="312"/>
      <c r="DP8" s="312"/>
      <c r="DQ8" s="312"/>
      <c r="DR8" s="312"/>
      <c r="DS8" s="312"/>
      <c r="DT8" s="312"/>
      <c r="DU8" s="312"/>
      <c r="DV8" s="312"/>
      <c r="DW8" s="312"/>
      <c r="DX8" s="312"/>
      <c r="DY8" s="312"/>
      <c r="DZ8" s="312"/>
      <c r="EA8" s="312"/>
      <c r="EB8" s="312"/>
      <c r="EC8" s="312"/>
      <c r="ED8" s="312"/>
      <c r="EE8" s="312"/>
      <c r="EF8" s="312"/>
      <c r="EG8" s="312"/>
      <c r="EH8" s="312"/>
      <c r="EI8" s="312"/>
      <c r="EJ8" s="312"/>
      <c r="EK8" s="312"/>
      <c r="EL8" s="312"/>
      <c r="EM8" s="312"/>
      <c r="EN8" s="312"/>
      <c r="EO8" s="312"/>
      <c r="EP8" s="312"/>
      <c r="EQ8" s="312"/>
      <c r="ER8" s="312"/>
      <c r="ES8" s="312"/>
      <c r="ET8" s="312"/>
      <c r="EU8" s="312"/>
      <c r="EV8" s="312"/>
      <c r="EW8" s="312"/>
      <c r="EX8" s="312"/>
      <c r="EY8" s="312"/>
      <c r="EZ8" s="312"/>
      <c r="FA8" s="312"/>
      <c r="FB8" s="312"/>
      <c r="FC8" s="312"/>
      <c r="FD8" s="312"/>
      <c r="FE8" s="312"/>
      <c r="FF8" s="312"/>
      <c r="FG8" s="312"/>
      <c r="FH8" s="312"/>
      <c r="FI8" s="312"/>
      <c r="FJ8" s="312"/>
      <c r="FK8" s="312"/>
      <c r="FL8" s="312"/>
      <c r="FM8" s="312"/>
      <c r="FN8" s="312"/>
      <c r="FO8" s="312"/>
      <c r="FP8" s="312"/>
      <c r="FQ8" s="312"/>
      <c r="FR8" s="312"/>
      <c r="FS8" s="312"/>
      <c r="FT8" s="312"/>
      <c r="FU8" s="312"/>
      <c r="FV8" s="312"/>
      <c r="FW8" s="312"/>
      <c r="FX8" s="312"/>
      <c r="FY8" s="312"/>
      <c r="FZ8" s="312"/>
      <c r="GA8" s="312"/>
      <c r="GB8" s="312"/>
      <c r="GC8" s="312"/>
      <c r="GD8" s="312"/>
      <c r="GE8" s="312"/>
      <c r="GF8" s="312"/>
      <c r="GG8" s="312"/>
      <c r="GH8" s="312"/>
      <c r="GI8" s="312"/>
      <c r="GJ8" s="312"/>
      <c r="GK8" s="312"/>
      <c r="GL8" s="312"/>
      <c r="GM8" s="312"/>
      <c r="GN8" s="312"/>
      <c r="GO8" s="312"/>
      <c r="GP8" s="312"/>
      <c r="GQ8" s="312"/>
      <c r="GR8" s="312"/>
      <c r="GS8" s="312"/>
      <c r="GT8" s="312"/>
      <c r="GU8" s="312"/>
      <c r="GV8" s="312"/>
      <c r="GW8" s="312"/>
      <c r="GX8" s="312"/>
      <c r="GY8" s="312"/>
      <c r="GZ8" s="312"/>
      <c r="HA8" s="312"/>
      <c r="HB8" s="312"/>
      <c r="HC8" s="312"/>
      <c r="HD8" s="312"/>
      <c r="HE8" s="312"/>
      <c r="HF8" s="312"/>
    </row>
    <row r="9" spans="2:214" hidden="1" x14ac:dyDescent="0.2">
      <c r="B9" s="260" t="s">
        <v>395</v>
      </c>
      <c r="C9" s="311"/>
      <c r="D9" s="311"/>
      <c r="E9" s="312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312"/>
      <c r="CC9" s="312"/>
      <c r="CD9" s="312"/>
      <c r="CE9" s="312"/>
      <c r="CF9" s="312"/>
      <c r="CG9" s="312"/>
      <c r="CH9" s="312"/>
      <c r="CI9" s="312"/>
      <c r="CJ9" s="312"/>
      <c r="CK9" s="312"/>
      <c r="CL9" s="312"/>
      <c r="CM9" s="312"/>
      <c r="CN9" s="312"/>
      <c r="CO9" s="312"/>
      <c r="CP9" s="312"/>
      <c r="CQ9" s="312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2"/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2"/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2"/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2"/>
      <c r="FQ9" s="312"/>
      <c r="FR9" s="312"/>
      <c r="FS9" s="312"/>
      <c r="FT9" s="312"/>
      <c r="FU9" s="312"/>
      <c r="FV9" s="312"/>
      <c r="FW9" s="312"/>
      <c r="FX9" s="312"/>
      <c r="FY9" s="312"/>
      <c r="FZ9" s="312"/>
      <c r="GA9" s="312"/>
      <c r="GB9" s="312"/>
      <c r="GC9" s="312"/>
      <c r="GD9" s="312"/>
      <c r="GE9" s="312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2"/>
      <c r="GS9" s="312"/>
      <c r="GT9" s="312"/>
      <c r="GU9" s="312"/>
      <c r="GV9" s="312"/>
      <c r="GW9" s="312"/>
      <c r="GX9" s="312"/>
      <c r="GY9" s="312"/>
      <c r="GZ9" s="312"/>
      <c r="HA9" s="312"/>
      <c r="HB9" s="312"/>
      <c r="HC9" s="312"/>
      <c r="HD9" s="312"/>
      <c r="HE9" s="312"/>
      <c r="HF9" s="312"/>
    </row>
    <row r="10" spans="2:214" hidden="1" x14ac:dyDescent="0.2">
      <c r="B10" s="313" t="s">
        <v>396</v>
      </c>
      <c r="C10" s="314"/>
      <c r="D10" s="314">
        <v>1224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312"/>
      <c r="BI10" s="312"/>
      <c r="BJ10" s="312"/>
      <c r="BK10" s="312"/>
      <c r="BL10" s="312"/>
      <c r="BM10" s="312"/>
      <c r="BN10" s="312"/>
      <c r="BO10" s="312"/>
      <c r="BP10" s="312"/>
      <c r="BQ10" s="312"/>
      <c r="BR10" s="312"/>
      <c r="BS10" s="312"/>
      <c r="BT10" s="312"/>
      <c r="BU10" s="312"/>
      <c r="BV10" s="312"/>
      <c r="BW10" s="312"/>
      <c r="BX10" s="312"/>
      <c r="BY10" s="312"/>
      <c r="BZ10" s="312"/>
      <c r="CA10" s="312"/>
      <c r="CB10" s="312"/>
      <c r="CC10" s="312"/>
      <c r="CD10" s="312"/>
      <c r="CE10" s="312"/>
      <c r="CF10" s="312"/>
      <c r="CG10" s="312"/>
      <c r="CH10" s="312"/>
      <c r="CI10" s="312"/>
      <c r="CJ10" s="312"/>
      <c r="CK10" s="312"/>
      <c r="CL10" s="312"/>
      <c r="CM10" s="312"/>
      <c r="CN10" s="312"/>
      <c r="CO10" s="312"/>
      <c r="CP10" s="312"/>
      <c r="CQ10" s="312"/>
      <c r="CR10" s="312"/>
      <c r="CS10" s="312"/>
      <c r="CT10" s="312"/>
      <c r="CU10" s="312"/>
      <c r="CV10" s="312"/>
      <c r="CW10" s="312"/>
      <c r="CX10" s="312"/>
      <c r="CY10" s="312"/>
      <c r="CZ10" s="312"/>
      <c r="DA10" s="312"/>
      <c r="DB10" s="312"/>
      <c r="DC10" s="312"/>
      <c r="DD10" s="312"/>
      <c r="DE10" s="312"/>
      <c r="DF10" s="312"/>
      <c r="DG10" s="312"/>
      <c r="DH10" s="312"/>
      <c r="DI10" s="312"/>
      <c r="DJ10" s="312"/>
      <c r="DK10" s="312"/>
      <c r="DL10" s="312"/>
      <c r="DM10" s="312"/>
      <c r="DN10" s="312"/>
      <c r="DO10" s="312"/>
      <c r="DP10" s="312"/>
      <c r="DQ10" s="312"/>
      <c r="DR10" s="312"/>
      <c r="DS10" s="312"/>
      <c r="DT10" s="312"/>
      <c r="DU10" s="312"/>
      <c r="DV10" s="312"/>
      <c r="DW10" s="312"/>
      <c r="DX10" s="312"/>
      <c r="DY10" s="312"/>
      <c r="DZ10" s="312"/>
      <c r="EA10" s="312"/>
      <c r="EB10" s="312"/>
      <c r="EC10" s="312"/>
      <c r="ED10" s="312"/>
      <c r="EE10" s="312"/>
      <c r="EF10" s="312"/>
      <c r="EG10" s="312"/>
      <c r="EH10" s="312"/>
      <c r="EI10" s="312"/>
      <c r="EJ10" s="312"/>
      <c r="EK10" s="312"/>
      <c r="EL10" s="312"/>
      <c r="EM10" s="312"/>
      <c r="EN10" s="312"/>
      <c r="EO10" s="312"/>
      <c r="EP10" s="312"/>
      <c r="EQ10" s="312"/>
      <c r="ER10" s="312"/>
      <c r="ES10" s="312"/>
      <c r="ET10" s="312"/>
      <c r="EU10" s="312"/>
      <c r="EV10" s="312"/>
      <c r="EW10" s="312"/>
      <c r="EX10" s="312"/>
      <c r="EY10" s="312"/>
      <c r="EZ10" s="312"/>
      <c r="FA10" s="312"/>
      <c r="FB10" s="312"/>
      <c r="FC10" s="312"/>
      <c r="FD10" s="312"/>
      <c r="FE10" s="312"/>
      <c r="FF10" s="312"/>
      <c r="FG10" s="312"/>
      <c r="FH10" s="312"/>
      <c r="FI10" s="312"/>
      <c r="FJ10" s="312"/>
      <c r="FK10" s="312"/>
      <c r="FL10" s="312"/>
      <c r="FM10" s="312"/>
      <c r="FN10" s="312"/>
      <c r="FO10" s="312"/>
      <c r="FP10" s="312"/>
      <c r="FQ10" s="312"/>
      <c r="FR10" s="312"/>
      <c r="FS10" s="312"/>
      <c r="FT10" s="312"/>
      <c r="FU10" s="312"/>
      <c r="FV10" s="312"/>
      <c r="FW10" s="312"/>
      <c r="FX10" s="312"/>
      <c r="FY10" s="312"/>
      <c r="FZ10" s="312"/>
      <c r="GA10" s="312"/>
      <c r="GB10" s="312"/>
      <c r="GC10" s="312"/>
      <c r="GD10" s="312"/>
      <c r="GE10" s="312"/>
      <c r="GF10" s="312"/>
      <c r="GG10" s="312"/>
      <c r="GH10" s="312"/>
      <c r="GI10" s="312"/>
      <c r="GJ10" s="312"/>
      <c r="GK10" s="312"/>
      <c r="GL10" s="312"/>
      <c r="GM10" s="312"/>
      <c r="GN10" s="312"/>
      <c r="GO10" s="312"/>
      <c r="GP10" s="312"/>
      <c r="GQ10" s="312"/>
      <c r="GR10" s="312"/>
      <c r="GS10" s="312"/>
      <c r="GT10" s="312"/>
      <c r="GU10" s="312"/>
      <c r="GV10" s="312"/>
      <c r="GW10" s="312"/>
      <c r="GX10" s="312"/>
      <c r="GY10" s="312"/>
      <c r="GZ10" s="312"/>
      <c r="HA10" s="312"/>
      <c r="HB10" s="312"/>
      <c r="HC10" s="312"/>
      <c r="HD10" s="312"/>
      <c r="HE10" s="312"/>
      <c r="HF10" s="312"/>
    </row>
    <row r="11" spans="2:214" hidden="1" x14ac:dyDescent="0.2">
      <c r="B11" s="313" t="s">
        <v>397</v>
      </c>
      <c r="C11" s="314"/>
      <c r="D11" s="314">
        <v>1162.8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312"/>
      <c r="BI11" s="312"/>
      <c r="BJ11" s="312"/>
      <c r="BK11" s="312"/>
      <c r="BL11" s="312"/>
      <c r="BM11" s="312"/>
      <c r="BN11" s="312"/>
      <c r="BO11" s="312"/>
      <c r="BP11" s="312"/>
      <c r="BQ11" s="312"/>
      <c r="BR11" s="312"/>
      <c r="BS11" s="312"/>
      <c r="BT11" s="312"/>
      <c r="BU11" s="312"/>
      <c r="BV11" s="312"/>
      <c r="BW11" s="312"/>
      <c r="BX11" s="312"/>
      <c r="BY11" s="312"/>
      <c r="BZ11" s="312"/>
      <c r="CA11" s="312"/>
      <c r="CB11" s="312"/>
      <c r="CC11" s="312"/>
      <c r="CD11" s="312"/>
      <c r="CE11" s="312"/>
      <c r="CF11" s="312"/>
      <c r="CG11" s="312"/>
      <c r="CH11" s="312"/>
      <c r="CI11" s="312"/>
      <c r="CJ11" s="312"/>
      <c r="CK11" s="312"/>
      <c r="CL11" s="312"/>
      <c r="CM11" s="312"/>
      <c r="CN11" s="312"/>
      <c r="CO11" s="312"/>
      <c r="CP11" s="312"/>
      <c r="CQ11" s="312"/>
      <c r="CR11" s="312"/>
      <c r="CS11" s="312"/>
      <c r="CT11" s="312"/>
      <c r="CU11" s="312"/>
      <c r="CV11" s="312"/>
      <c r="CW11" s="312"/>
      <c r="CX11" s="312"/>
      <c r="CY11" s="312"/>
      <c r="CZ11" s="312"/>
      <c r="DA11" s="312"/>
      <c r="DB11" s="312"/>
      <c r="DC11" s="312"/>
      <c r="DD11" s="312"/>
      <c r="DE11" s="312"/>
      <c r="DF11" s="312"/>
      <c r="DG11" s="312"/>
      <c r="DH11" s="312"/>
      <c r="DI11" s="312"/>
      <c r="DJ11" s="312"/>
      <c r="DK11" s="312"/>
      <c r="DL11" s="312"/>
      <c r="DM11" s="312"/>
      <c r="DN11" s="312"/>
      <c r="DO11" s="312"/>
      <c r="DP11" s="312"/>
      <c r="DQ11" s="312"/>
      <c r="DR11" s="312"/>
      <c r="DS11" s="312"/>
      <c r="DT11" s="312"/>
      <c r="DU11" s="312"/>
      <c r="DV11" s="312"/>
      <c r="DW11" s="312"/>
      <c r="DX11" s="312"/>
      <c r="DY11" s="312"/>
      <c r="DZ11" s="312"/>
      <c r="EA11" s="312"/>
      <c r="EB11" s="312"/>
      <c r="EC11" s="312"/>
      <c r="ED11" s="312"/>
      <c r="EE11" s="312"/>
      <c r="EF11" s="312"/>
      <c r="EG11" s="312"/>
      <c r="EH11" s="312"/>
      <c r="EI11" s="312"/>
      <c r="EJ11" s="312"/>
      <c r="EK11" s="312"/>
      <c r="EL11" s="312"/>
      <c r="EM11" s="312"/>
      <c r="EN11" s="312"/>
      <c r="EO11" s="312"/>
      <c r="EP11" s="312"/>
      <c r="EQ11" s="312"/>
      <c r="ER11" s="312"/>
      <c r="ES11" s="312"/>
      <c r="ET11" s="312"/>
      <c r="EU11" s="312"/>
      <c r="EV11" s="312"/>
      <c r="EW11" s="312"/>
      <c r="EX11" s="312"/>
      <c r="EY11" s="312"/>
      <c r="EZ11" s="312"/>
      <c r="FA11" s="312"/>
      <c r="FB11" s="312"/>
      <c r="FC11" s="312"/>
      <c r="FD11" s="312"/>
      <c r="FE11" s="312"/>
      <c r="FF11" s="312"/>
      <c r="FG11" s="312"/>
      <c r="FH11" s="312"/>
      <c r="FI11" s="312"/>
      <c r="FJ11" s="312"/>
      <c r="FK11" s="312"/>
      <c r="FL11" s="312"/>
      <c r="FM11" s="312"/>
      <c r="FN11" s="312"/>
      <c r="FO11" s="312"/>
      <c r="FP11" s="312"/>
      <c r="FQ11" s="312"/>
      <c r="FR11" s="312"/>
      <c r="FS11" s="312"/>
      <c r="FT11" s="312"/>
      <c r="FU11" s="312"/>
      <c r="FV11" s="312"/>
      <c r="FW11" s="312"/>
      <c r="FX11" s="312"/>
      <c r="FY11" s="312"/>
      <c r="FZ11" s="312"/>
      <c r="GA11" s="312"/>
      <c r="GB11" s="312"/>
      <c r="GC11" s="312"/>
      <c r="GD11" s="312"/>
      <c r="GE11" s="312"/>
      <c r="GF11" s="312"/>
      <c r="GG11" s="312"/>
      <c r="GH11" s="312"/>
      <c r="GI11" s="312"/>
      <c r="GJ11" s="312"/>
      <c r="GK11" s="312"/>
      <c r="GL11" s="312"/>
      <c r="GM11" s="312"/>
      <c r="GN11" s="312"/>
      <c r="GO11" s="312"/>
      <c r="GP11" s="312"/>
      <c r="GQ11" s="312"/>
      <c r="GR11" s="312"/>
      <c r="GS11" s="312"/>
      <c r="GT11" s="312"/>
      <c r="GU11" s="312"/>
      <c r="GV11" s="312"/>
      <c r="GW11" s="312"/>
      <c r="GX11" s="312"/>
      <c r="GY11" s="312"/>
      <c r="GZ11" s="312"/>
      <c r="HA11" s="312"/>
      <c r="HB11" s="312"/>
      <c r="HC11" s="312"/>
      <c r="HD11" s="312"/>
      <c r="HE11" s="312"/>
      <c r="HF11" s="312"/>
    </row>
    <row r="12" spans="2:214" hidden="1" x14ac:dyDescent="0.2">
      <c r="B12" s="311"/>
      <c r="C12" s="311"/>
      <c r="D12" s="311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312"/>
      <c r="BI12" s="312"/>
      <c r="BJ12" s="312"/>
      <c r="BK12" s="312"/>
      <c r="BL12" s="312"/>
      <c r="BM12" s="312"/>
      <c r="BN12" s="312"/>
      <c r="BO12" s="312"/>
      <c r="BP12" s="312"/>
      <c r="BQ12" s="312"/>
      <c r="BR12" s="312"/>
      <c r="BS12" s="312"/>
      <c r="BT12" s="312"/>
      <c r="BU12" s="312"/>
      <c r="BV12" s="312"/>
      <c r="BW12" s="312"/>
      <c r="BX12" s="312"/>
      <c r="BY12" s="312"/>
      <c r="BZ12" s="312"/>
      <c r="CA12" s="312"/>
      <c r="CB12" s="312"/>
      <c r="CC12" s="312"/>
      <c r="CD12" s="312"/>
      <c r="CE12" s="312"/>
      <c r="CF12" s="312"/>
      <c r="CG12" s="312"/>
      <c r="CH12" s="312"/>
      <c r="CI12" s="312"/>
      <c r="CJ12" s="312"/>
      <c r="CK12" s="312"/>
      <c r="CL12" s="312"/>
      <c r="CM12" s="312"/>
      <c r="CN12" s="312"/>
      <c r="CO12" s="312"/>
      <c r="CP12" s="312"/>
      <c r="CQ12" s="312"/>
      <c r="CR12" s="312"/>
      <c r="CS12" s="312"/>
      <c r="CT12" s="312"/>
      <c r="CU12" s="312"/>
      <c r="CV12" s="312"/>
      <c r="CW12" s="312"/>
      <c r="CX12" s="312"/>
      <c r="CY12" s="312"/>
      <c r="CZ12" s="312"/>
      <c r="DA12" s="312"/>
      <c r="DB12" s="312"/>
      <c r="DC12" s="312"/>
      <c r="DD12" s="312"/>
      <c r="DE12" s="312"/>
      <c r="DF12" s="312"/>
      <c r="DG12" s="312"/>
      <c r="DH12" s="312"/>
      <c r="DI12" s="312"/>
      <c r="DJ12" s="312"/>
      <c r="DK12" s="312"/>
      <c r="DL12" s="312"/>
      <c r="DM12" s="312"/>
      <c r="DN12" s="312"/>
      <c r="DO12" s="312"/>
      <c r="DP12" s="312"/>
      <c r="DQ12" s="312"/>
      <c r="DR12" s="312"/>
      <c r="DS12" s="312"/>
      <c r="DT12" s="312"/>
      <c r="DU12" s="312"/>
      <c r="DV12" s="312"/>
      <c r="DW12" s="312"/>
      <c r="DX12" s="312"/>
      <c r="DY12" s="312"/>
      <c r="DZ12" s="312"/>
      <c r="EA12" s="312"/>
      <c r="EB12" s="312"/>
      <c r="EC12" s="312"/>
      <c r="ED12" s="312"/>
      <c r="EE12" s="312"/>
      <c r="EF12" s="312"/>
      <c r="EG12" s="312"/>
      <c r="EH12" s="312"/>
      <c r="EI12" s="312"/>
      <c r="EJ12" s="312"/>
      <c r="EK12" s="312"/>
      <c r="EL12" s="312"/>
      <c r="EM12" s="312"/>
      <c r="EN12" s="312"/>
      <c r="EO12" s="312"/>
      <c r="EP12" s="312"/>
      <c r="EQ12" s="312"/>
      <c r="ER12" s="312"/>
      <c r="ES12" s="312"/>
      <c r="ET12" s="312"/>
      <c r="EU12" s="312"/>
      <c r="EV12" s="312"/>
      <c r="EW12" s="312"/>
      <c r="EX12" s="312"/>
      <c r="EY12" s="312"/>
      <c r="EZ12" s="312"/>
      <c r="FA12" s="312"/>
      <c r="FB12" s="312"/>
      <c r="FC12" s="312"/>
      <c r="FD12" s="312"/>
      <c r="FE12" s="312"/>
      <c r="FF12" s="312"/>
      <c r="FG12" s="312"/>
      <c r="FH12" s="312"/>
      <c r="FI12" s="312"/>
      <c r="FJ12" s="312"/>
      <c r="FK12" s="312"/>
      <c r="FL12" s="312"/>
      <c r="FM12" s="312"/>
      <c r="FN12" s="312"/>
      <c r="FO12" s="312"/>
      <c r="FP12" s="312"/>
      <c r="FQ12" s="312"/>
      <c r="FR12" s="312"/>
      <c r="FS12" s="312"/>
      <c r="FT12" s="312"/>
      <c r="FU12" s="312"/>
      <c r="FV12" s="312"/>
      <c r="FW12" s="312"/>
      <c r="FX12" s="312"/>
      <c r="FY12" s="312"/>
      <c r="FZ12" s="312"/>
      <c r="GA12" s="312"/>
      <c r="GB12" s="312"/>
      <c r="GC12" s="312"/>
      <c r="GD12" s="312"/>
      <c r="GE12" s="312"/>
      <c r="GF12" s="312"/>
      <c r="GG12" s="312"/>
      <c r="GH12" s="312"/>
      <c r="GI12" s="312"/>
      <c r="GJ12" s="312"/>
      <c r="GK12" s="312"/>
      <c r="GL12" s="312"/>
      <c r="GM12" s="312"/>
      <c r="GN12" s="312"/>
      <c r="GO12" s="312"/>
      <c r="GP12" s="312"/>
      <c r="GQ12" s="312"/>
      <c r="GR12" s="312"/>
      <c r="GS12" s="312"/>
      <c r="GT12" s="312"/>
      <c r="GU12" s="312"/>
      <c r="GV12" s="312"/>
      <c r="GW12" s="312"/>
      <c r="GX12" s="312"/>
      <c r="GY12" s="312"/>
      <c r="GZ12" s="312"/>
      <c r="HA12" s="312"/>
      <c r="HB12" s="312"/>
      <c r="HC12" s="312"/>
      <c r="HD12" s="312"/>
      <c r="HE12" s="312"/>
      <c r="HF12" s="312"/>
    </row>
    <row r="13" spans="2:214" hidden="1" x14ac:dyDescent="0.2">
      <c r="B13" s="311" t="s">
        <v>398</v>
      </c>
      <c r="C13" s="315"/>
      <c r="D13" s="311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12"/>
      <c r="EL13" s="312"/>
      <c r="EM13" s="312"/>
      <c r="EN13" s="312"/>
      <c r="EO13" s="312"/>
      <c r="EP13" s="312"/>
      <c r="EQ13" s="312"/>
      <c r="ER13" s="312"/>
      <c r="ES13" s="312"/>
      <c r="ET13" s="312"/>
      <c r="EU13" s="312"/>
      <c r="EV13" s="312"/>
      <c r="EW13" s="312"/>
      <c r="EX13" s="312"/>
      <c r="EY13" s="312"/>
      <c r="EZ13" s="312"/>
      <c r="FA13" s="312"/>
      <c r="FB13" s="312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2"/>
      <c r="FQ13" s="312"/>
      <c r="FR13" s="312"/>
      <c r="FS13" s="312"/>
      <c r="FT13" s="312"/>
      <c r="FU13" s="312"/>
      <c r="FV13" s="312"/>
      <c r="FW13" s="312"/>
      <c r="FX13" s="312"/>
      <c r="FY13" s="312"/>
      <c r="FZ13" s="312"/>
      <c r="GA13" s="312"/>
      <c r="GB13" s="312"/>
      <c r="GC13" s="312"/>
      <c r="GD13" s="312"/>
      <c r="GE13" s="312"/>
      <c r="GF13" s="312"/>
      <c r="GG13" s="312"/>
      <c r="GH13" s="312"/>
      <c r="GI13" s="312"/>
      <c r="GJ13" s="312"/>
      <c r="GK13" s="312"/>
      <c r="GL13" s="312"/>
      <c r="GM13" s="312"/>
      <c r="GN13" s="312"/>
      <c r="GO13" s="312"/>
      <c r="GP13" s="312"/>
      <c r="GQ13" s="312"/>
      <c r="GR13" s="312"/>
      <c r="GS13" s="312"/>
      <c r="GT13" s="312"/>
      <c r="GU13" s="312"/>
      <c r="GV13" s="312"/>
      <c r="GW13" s="312"/>
      <c r="GX13" s="312"/>
      <c r="GY13" s="312"/>
      <c r="GZ13" s="312"/>
      <c r="HA13" s="312"/>
      <c r="HB13" s="312"/>
      <c r="HC13" s="312"/>
      <c r="HD13" s="312"/>
      <c r="HE13" s="312"/>
      <c r="HF13" s="312"/>
    </row>
    <row r="14" spans="2:214" hidden="1" x14ac:dyDescent="0.2">
      <c r="B14" s="311" t="s">
        <v>399</v>
      </c>
      <c r="C14" s="312"/>
      <c r="D14" s="311"/>
      <c r="E14" s="312"/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12"/>
      <c r="AZ14" s="312"/>
      <c r="BA14" s="312"/>
      <c r="BB14" s="312"/>
      <c r="BC14" s="312"/>
      <c r="BD14" s="312"/>
      <c r="BE14" s="312"/>
      <c r="BF14" s="312"/>
      <c r="BG14" s="312"/>
      <c r="BH14" s="312"/>
      <c r="BI14" s="312"/>
      <c r="BJ14" s="312"/>
      <c r="BK14" s="312"/>
      <c r="BL14" s="312"/>
      <c r="BM14" s="312"/>
      <c r="BN14" s="312"/>
      <c r="BO14" s="312"/>
      <c r="BP14" s="312"/>
      <c r="BQ14" s="312"/>
      <c r="BR14" s="312"/>
      <c r="BS14" s="312"/>
      <c r="BT14" s="312"/>
      <c r="BU14" s="312"/>
      <c r="BV14" s="312"/>
      <c r="BW14" s="312"/>
      <c r="BX14" s="312"/>
      <c r="BY14" s="312"/>
      <c r="BZ14" s="312"/>
      <c r="CA14" s="312"/>
      <c r="CB14" s="312"/>
      <c r="CC14" s="312"/>
      <c r="CD14" s="312"/>
      <c r="CE14" s="312"/>
      <c r="CF14" s="312"/>
      <c r="CG14" s="312"/>
      <c r="CH14" s="312"/>
      <c r="CI14" s="312"/>
      <c r="CJ14" s="312"/>
      <c r="CK14" s="312"/>
      <c r="CL14" s="312"/>
      <c r="CM14" s="312"/>
      <c r="CN14" s="312"/>
      <c r="CO14" s="312"/>
      <c r="CP14" s="312"/>
      <c r="CQ14" s="312"/>
      <c r="CR14" s="312"/>
      <c r="CS14" s="312"/>
      <c r="CT14" s="312"/>
      <c r="CU14" s="312"/>
      <c r="CV14" s="312"/>
      <c r="CW14" s="312"/>
      <c r="CX14" s="312"/>
      <c r="CY14" s="312"/>
      <c r="CZ14" s="312"/>
      <c r="DA14" s="312"/>
      <c r="DB14" s="312"/>
      <c r="DC14" s="312"/>
      <c r="DD14" s="312"/>
      <c r="DE14" s="312"/>
      <c r="DF14" s="312"/>
      <c r="DG14" s="312"/>
      <c r="DH14" s="312"/>
      <c r="DI14" s="312"/>
      <c r="DJ14" s="312"/>
      <c r="DK14" s="312"/>
      <c r="DL14" s="312"/>
      <c r="DM14" s="312"/>
      <c r="DN14" s="312"/>
      <c r="DO14" s="312"/>
      <c r="DP14" s="312"/>
      <c r="DQ14" s="312"/>
      <c r="DR14" s="312"/>
      <c r="DS14" s="312"/>
      <c r="DT14" s="312"/>
      <c r="DU14" s="312"/>
      <c r="DV14" s="312"/>
      <c r="DW14" s="312"/>
      <c r="DX14" s="312"/>
      <c r="DY14" s="312"/>
      <c r="DZ14" s="312"/>
      <c r="EA14" s="312"/>
      <c r="EB14" s="312"/>
      <c r="EC14" s="312"/>
      <c r="ED14" s="312"/>
      <c r="EE14" s="312"/>
      <c r="EF14" s="312"/>
      <c r="EG14" s="312"/>
      <c r="EH14" s="312"/>
      <c r="EI14" s="312"/>
      <c r="EJ14" s="312"/>
      <c r="EK14" s="312"/>
      <c r="EL14" s="312"/>
      <c r="EM14" s="312"/>
      <c r="EN14" s="312"/>
      <c r="EO14" s="312"/>
      <c r="EP14" s="312"/>
      <c r="EQ14" s="312"/>
      <c r="ER14" s="312"/>
      <c r="ES14" s="312"/>
      <c r="ET14" s="312"/>
      <c r="EU14" s="312"/>
      <c r="EV14" s="312"/>
      <c r="EW14" s="312"/>
      <c r="EX14" s="312"/>
      <c r="EY14" s="312"/>
      <c r="EZ14" s="312"/>
      <c r="FA14" s="312"/>
      <c r="FB14" s="312"/>
      <c r="FC14" s="312"/>
      <c r="FD14" s="312"/>
      <c r="FE14" s="312"/>
      <c r="FF14" s="312"/>
      <c r="FG14" s="312"/>
      <c r="FH14" s="312"/>
      <c r="FI14" s="312"/>
      <c r="FJ14" s="312"/>
      <c r="FK14" s="312"/>
      <c r="FL14" s="312"/>
      <c r="FM14" s="312"/>
      <c r="FN14" s="312"/>
      <c r="FO14" s="312"/>
      <c r="FP14" s="312"/>
      <c r="FQ14" s="312"/>
      <c r="FR14" s="312"/>
      <c r="FS14" s="312"/>
      <c r="FT14" s="312"/>
      <c r="FU14" s="312"/>
      <c r="FV14" s="312"/>
      <c r="FW14" s="312"/>
      <c r="FX14" s="312"/>
      <c r="FY14" s="312"/>
      <c r="FZ14" s="312"/>
      <c r="GA14" s="312"/>
      <c r="GB14" s="312"/>
      <c r="GC14" s="312"/>
      <c r="GD14" s="312"/>
      <c r="GE14" s="312"/>
      <c r="GF14" s="312"/>
      <c r="GG14" s="312"/>
      <c r="GH14" s="312"/>
      <c r="GI14" s="312"/>
      <c r="GJ14" s="312"/>
      <c r="GK14" s="312"/>
      <c r="GL14" s="312"/>
      <c r="GM14" s="312"/>
      <c r="GN14" s="312"/>
      <c r="GO14" s="312"/>
      <c r="GP14" s="312"/>
      <c r="GQ14" s="312"/>
      <c r="GR14" s="312"/>
      <c r="GS14" s="312"/>
      <c r="GT14" s="312"/>
      <c r="GU14" s="312"/>
      <c r="GV14" s="312"/>
      <c r="GW14" s="312"/>
      <c r="GX14" s="312"/>
      <c r="GY14" s="312"/>
      <c r="GZ14" s="312"/>
      <c r="HA14" s="312"/>
      <c r="HB14" s="312"/>
      <c r="HC14" s="312"/>
      <c r="HD14" s="312"/>
      <c r="HE14" s="312"/>
      <c r="HF14" s="312"/>
    </row>
    <row r="15" spans="2:214" hidden="1" x14ac:dyDescent="0.2">
      <c r="B15" s="316" t="s">
        <v>400</v>
      </c>
      <c r="C15" s="317">
        <v>80000</v>
      </c>
      <c r="D15" s="314"/>
      <c r="E15" s="312"/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261"/>
      <c r="AB15" s="312">
        <f>$C$15*AA15</f>
        <v>0</v>
      </c>
      <c r="AC15" s="318">
        <f t="shared" ref="AC15:AD22" si="0">E15+G15+I15+K15+M15+O15+Q15+S15+U15+W15+Y15+AA15</f>
        <v>0</v>
      </c>
      <c r="AD15" s="318">
        <f t="shared" si="0"/>
        <v>0</v>
      </c>
      <c r="AE15" s="312">
        <v>800</v>
      </c>
      <c r="AF15" s="312">
        <f>$C$15*AE15</f>
        <v>64000000</v>
      </c>
      <c r="AG15" s="312">
        <v>800</v>
      </c>
      <c r="AH15" s="312">
        <f>$C$15*AG15</f>
        <v>64000000</v>
      </c>
      <c r="AI15" s="312">
        <v>800</v>
      </c>
      <c r="AJ15" s="312">
        <f>$C$15*AI15</f>
        <v>64000000</v>
      </c>
      <c r="AK15" s="312">
        <v>800</v>
      </c>
      <c r="AL15" s="312">
        <f>$C$15*AK15</f>
        <v>64000000</v>
      </c>
      <c r="AM15" s="312">
        <v>800</v>
      </c>
      <c r="AN15" s="312">
        <f>$C$15*AM15</f>
        <v>64000000</v>
      </c>
      <c r="AO15" s="312">
        <v>800</v>
      </c>
      <c r="AP15" s="312">
        <f>$C$15*AO15</f>
        <v>64000000</v>
      </c>
      <c r="AQ15" s="312">
        <v>800</v>
      </c>
      <c r="AR15" s="312">
        <f>$C$15*AQ15</f>
        <v>64000000</v>
      </c>
      <c r="AS15" s="312">
        <v>666</v>
      </c>
      <c r="AT15" s="312">
        <f>$C$15*AS15</f>
        <v>53280000</v>
      </c>
      <c r="AU15" s="312"/>
      <c r="AV15" s="312"/>
      <c r="AW15" s="312"/>
      <c r="AX15" s="312"/>
      <c r="AY15" s="312"/>
      <c r="AZ15" s="312"/>
      <c r="BA15" s="312"/>
      <c r="BB15" s="312"/>
      <c r="BC15" s="318">
        <f t="shared" ref="BC15:BD22" si="1">AE15+AG15+AI15+AK15+AM15+AO15+AQ15+AS15+AU15+AW15+AY15+BA15</f>
        <v>6266</v>
      </c>
      <c r="BD15" s="318">
        <f t="shared" si="1"/>
        <v>501280000</v>
      </c>
      <c r="BE15" s="312"/>
      <c r="BF15" s="312"/>
      <c r="BG15" s="312"/>
      <c r="BH15" s="312"/>
      <c r="BI15" s="312"/>
      <c r="BJ15" s="312"/>
      <c r="BK15" s="312"/>
      <c r="BL15" s="312"/>
      <c r="BM15" s="312"/>
      <c r="BN15" s="312"/>
      <c r="BO15" s="312"/>
      <c r="BP15" s="312"/>
      <c r="BQ15" s="312"/>
      <c r="BR15" s="312"/>
      <c r="BS15" s="312"/>
      <c r="BT15" s="312"/>
      <c r="BU15" s="312"/>
      <c r="BV15" s="312"/>
      <c r="BW15" s="312"/>
      <c r="BX15" s="312"/>
      <c r="BY15" s="312"/>
      <c r="BZ15" s="312"/>
      <c r="CA15" s="312"/>
      <c r="CB15" s="312"/>
      <c r="CC15" s="318">
        <f t="shared" ref="CC15:CD29" si="2">BE15+BG15+BI15+BK15+BM15+BO15+BQ15+BS15+BU15+BW15+BY15+CA15</f>
        <v>0</v>
      </c>
      <c r="CD15" s="318">
        <f t="shared" si="2"/>
        <v>0</v>
      </c>
      <c r="CE15" s="312"/>
      <c r="CF15" s="312"/>
      <c r="CG15" s="312"/>
      <c r="CH15" s="312"/>
      <c r="CI15" s="312"/>
      <c r="CJ15" s="312"/>
      <c r="CK15" s="312"/>
      <c r="CL15" s="312"/>
      <c r="CM15" s="312"/>
      <c r="CN15" s="312"/>
      <c r="CO15" s="312"/>
      <c r="CP15" s="312"/>
      <c r="CQ15" s="312"/>
      <c r="CR15" s="312"/>
      <c r="CS15" s="312"/>
      <c r="CT15" s="312"/>
      <c r="CU15" s="312"/>
      <c r="CV15" s="312"/>
      <c r="CW15" s="312"/>
      <c r="CX15" s="312"/>
      <c r="CY15" s="312"/>
      <c r="CZ15" s="312"/>
      <c r="DA15" s="312"/>
      <c r="DB15" s="312"/>
      <c r="DC15" s="318">
        <f t="shared" ref="DC15:DD22" si="3">CE15+CG15+CI15+CK15+CM15+CO15+CQ15+CS15+CU15+CW15+CY15+DA15</f>
        <v>0</v>
      </c>
      <c r="DD15" s="318">
        <f t="shared" si="3"/>
        <v>0</v>
      </c>
      <c r="DE15" s="312"/>
      <c r="DF15" s="312"/>
      <c r="DG15" s="312"/>
      <c r="DH15" s="312"/>
      <c r="DI15" s="312"/>
      <c r="DJ15" s="312"/>
      <c r="DK15" s="312"/>
      <c r="DL15" s="312"/>
      <c r="DM15" s="312"/>
      <c r="DN15" s="312"/>
      <c r="DO15" s="312"/>
      <c r="DP15" s="312"/>
      <c r="DQ15" s="312"/>
      <c r="DR15" s="312"/>
      <c r="DS15" s="312"/>
      <c r="DT15" s="312"/>
      <c r="DU15" s="312"/>
      <c r="DV15" s="312"/>
      <c r="DW15" s="312"/>
      <c r="DX15" s="312"/>
      <c r="DY15" s="312"/>
      <c r="DZ15" s="312"/>
      <c r="EA15" s="312"/>
      <c r="EB15" s="312"/>
      <c r="EC15" s="318">
        <f t="shared" ref="EC15:ED22" si="4">DE15+DG15+DI15+DK15+DM15+DO15+DQ15+DS15+DU15+DW15+DY15+EA15</f>
        <v>0</v>
      </c>
      <c r="ED15" s="318">
        <f t="shared" si="4"/>
        <v>0</v>
      </c>
      <c r="EE15" s="312"/>
      <c r="EF15" s="312"/>
      <c r="EG15" s="312"/>
      <c r="EH15" s="312"/>
      <c r="EI15" s="312"/>
      <c r="EJ15" s="312"/>
      <c r="EK15" s="312"/>
      <c r="EL15" s="312"/>
      <c r="EM15" s="312"/>
      <c r="EN15" s="312"/>
      <c r="EO15" s="312"/>
      <c r="EP15" s="312"/>
      <c r="EQ15" s="312"/>
      <c r="ER15" s="312"/>
      <c r="ES15" s="312"/>
      <c r="ET15" s="312"/>
      <c r="EU15" s="312"/>
      <c r="EV15" s="312"/>
      <c r="EW15" s="312"/>
      <c r="EX15" s="312"/>
      <c r="EY15" s="312"/>
      <c r="EZ15" s="312"/>
      <c r="FA15" s="312"/>
      <c r="FB15" s="312"/>
      <c r="FC15" s="318">
        <f t="shared" ref="FC15:FD22" si="5">EE15+EG15+EI15+EK15+EM15+EO15+EQ15+ES15+EU15+EW15+EY15+FA15</f>
        <v>0</v>
      </c>
      <c r="FD15" s="318">
        <f t="shared" si="5"/>
        <v>0</v>
      </c>
      <c r="FE15" s="312"/>
      <c r="FF15" s="312"/>
      <c r="FG15" s="312"/>
      <c r="FH15" s="312"/>
      <c r="FI15" s="312"/>
      <c r="FJ15" s="312"/>
      <c r="FK15" s="312"/>
      <c r="FL15" s="312"/>
      <c r="FM15" s="312"/>
      <c r="FN15" s="312"/>
      <c r="FO15" s="312"/>
      <c r="FP15" s="312"/>
      <c r="FQ15" s="312"/>
      <c r="FR15" s="312"/>
      <c r="FS15" s="312"/>
      <c r="FT15" s="312"/>
      <c r="FU15" s="312"/>
      <c r="FV15" s="312"/>
      <c r="FW15" s="312"/>
      <c r="FX15" s="312"/>
      <c r="FY15" s="312"/>
      <c r="FZ15" s="312"/>
      <c r="GA15" s="312"/>
      <c r="GB15" s="312"/>
      <c r="GC15" s="318">
        <f t="shared" ref="GC15:GC22" si="6">FE15+FG15+FI15+FK15+FM15+FO15+FQ15+FS15+FU15+FW15+FY15+GA15</f>
        <v>0</v>
      </c>
      <c r="GD15" s="318">
        <f t="shared" ref="GD15:GD22" si="7">FF15+FH15+FJ15+FL15+FN15+FP15+FR15+FT15+FV15+FX15+FZ15+GB15</f>
        <v>0</v>
      </c>
      <c r="GE15" s="312"/>
      <c r="GF15" s="312"/>
      <c r="GG15" s="312"/>
      <c r="GH15" s="312"/>
      <c r="GI15" s="312"/>
      <c r="GJ15" s="312"/>
      <c r="GK15" s="312"/>
      <c r="GL15" s="312"/>
      <c r="GM15" s="312"/>
      <c r="GN15" s="312"/>
      <c r="GO15" s="312"/>
      <c r="GP15" s="312"/>
      <c r="GQ15" s="312"/>
      <c r="GR15" s="312"/>
      <c r="GS15" s="312"/>
      <c r="GT15" s="312"/>
      <c r="GU15" s="312"/>
      <c r="GV15" s="312"/>
      <c r="GW15" s="312"/>
      <c r="GX15" s="312"/>
      <c r="GY15" s="312"/>
      <c r="GZ15" s="312"/>
      <c r="HA15" s="312"/>
      <c r="HB15" s="312"/>
      <c r="HC15" s="318">
        <f t="shared" ref="HC15:HD22" si="8">GE15+GG15+GI15+GK15+GM15+GO15+GQ15+GS15+GU15+GW15+GY15+HA15</f>
        <v>0</v>
      </c>
      <c r="HD15" s="318">
        <f t="shared" si="8"/>
        <v>0</v>
      </c>
      <c r="HE15" s="318">
        <f t="shared" ref="HE15:HF22" si="9">AC15+BC15+CC15+DC15+EC15+FC15</f>
        <v>6266</v>
      </c>
      <c r="HF15" s="318">
        <f t="shared" si="9"/>
        <v>501280000</v>
      </c>
    </row>
    <row r="16" spans="2:214" hidden="1" x14ac:dyDescent="0.2">
      <c r="B16" s="316" t="s">
        <v>373</v>
      </c>
      <c r="C16" s="317">
        <v>4450000</v>
      </c>
      <c r="D16" s="314"/>
      <c r="E16" s="312"/>
      <c r="F16" s="312"/>
      <c r="G16" s="312"/>
      <c r="H16" s="312"/>
      <c r="I16" s="312"/>
      <c r="J16" s="312"/>
      <c r="K16" s="312"/>
      <c r="L16" s="312"/>
      <c r="M16" s="312"/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318">
        <f t="shared" si="0"/>
        <v>0</v>
      </c>
      <c r="AD16" s="318">
        <f t="shared" si="0"/>
        <v>0</v>
      </c>
      <c r="AE16" s="312"/>
      <c r="AF16" s="312"/>
      <c r="AG16" s="312"/>
      <c r="AH16" s="312"/>
      <c r="AI16" s="261"/>
      <c r="AJ16" s="312"/>
      <c r="AK16" s="312"/>
      <c r="AL16" s="312"/>
      <c r="AM16" s="312"/>
      <c r="AN16" s="312"/>
      <c r="AO16" s="312"/>
      <c r="AP16" s="312"/>
      <c r="AQ16" s="261">
        <v>300</v>
      </c>
      <c r="AR16" s="312">
        <f>$C$16*AQ16</f>
        <v>1335000000</v>
      </c>
      <c r="AS16" s="312">
        <v>400</v>
      </c>
      <c r="AT16" s="312">
        <f>$C$16*AS16</f>
        <v>1780000000</v>
      </c>
      <c r="AU16" s="312">
        <v>400</v>
      </c>
      <c r="AV16" s="312">
        <f>$C$16*AU16</f>
        <v>1780000000</v>
      </c>
      <c r="AW16" s="312">
        <v>400</v>
      </c>
      <c r="AX16" s="312">
        <f>$C$16*AW16</f>
        <v>1780000000</v>
      </c>
      <c r="AY16" s="312">
        <v>500</v>
      </c>
      <c r="AZ16" s="312">
        <f>$C$16*AY16</f>
        <v>2225000000</v>
      </c>
      <c r="BA16" s="312">
        <v>500</v>
      </c>
      <c r="BB16" s="312">
        <f>$C$16*BA16</f>
        <v>2225000000</v>
      </c>
      <c r="BC16" s="318">
        <f t="shared" si="1"/>
        <v>2500</v>
      </c>
      <c r="BD16" s="318">
        <f t="shared" si="1"/>
        <v>11125000000</v>
      </c>
      <c r="BE16" s="312">
        <v>500</v>
      </c>
      <c r="BF16" s="312">
        <f>$C$16*BE16</f>
        <v>2225000000</v>
      </c>
      <c r="BG16" s="312">
        <v>500</v>
      </c>
      <c r="BH16" s="312">
        <f>$C$16*BG16</f>
        <v>2225000000</v>
      </c>
      <c r="BI16" s="312">
        <v>500</v>
      </c>
      <c r="BJ16" s="312">
        <f>$C$16*BI16</f>
        <v>2225000000</v>
      </c>
      <c r="BK16" s="312">
        <v>500</v>
      </c>
      <c r="BL16" s="312">
        <f>$C$16*BK16</f>
        <v>2225000000</v>
      </c>
      <c r="BM16" s="312">
        <v>500</v>
      </c>
      <c r="BN16" s="312">
        <f>$C$16*BM16</f>
        <v>2225000000</v>
      </c>
      <c r="BO16" s="312">
        <v>400</v>
      </c>
      <c r="BP16" s="312">
        <f>$C$16*BO16</f>
        <v>1780000000</v>
      </c>
      <c r="BQ16" s="312">
        <v>400</v>
      </c>
      <c r="BR16" s="312">
        <f>$C$16*BQ16</f>
        <v>1780000000</v>
      </c>
      <c r="BS16" s="312">
        <v>400</v>
      </c>
      <c r="BT16" s="312">
        <f>$C$16*BS16</f>
        <v>1780000000</v>
      </c>
      <c r="BU16" s="312">
        <v>400</v>
      </c>
      <c r="BV16" s="312">
        <f>$C$16*BU16</f>
        <v>1780000000</v>
      </c>
      <c r="BW16" s="312">
        <v>466</v>
      </c>
      <c r="BX16" s="312">
        <f>$C$16*BW16</f>
        <v>2073700000</v>
      </c>
      <c r="BY16" s="312"/>
      <c r="BZ16" s="312"/>
      <c r="CA16" s="312"/>
      <c r="CB16" s="312"/>
      <c r="CC16" s="318">
        <f t="shared" si="2"/>
        <v>4566</v>
      </c>
      <c r="CD16" s="318">
        <f>$C$16*CC16</f>
        <v>20318700000</v>
      </c>
      <c r="CE16" s="312"/>
      <c r="CF16" s="312"/>
      <c r="CG16" s="312"/>
      <c r="CH16" s="312"/>
      <c r="CI16" s="312"/>
      <c r="CJ16" s="312"/>
      <c r="CK16" s="312"/>
      <c r="CL16" s="312"/>
      <c r="CM16" s="312"/>
      <c r="CN16" s="312"/>
      <c r="CO16" s="312"/>
      <c r="CP16" s="312"/>
      <c r="CQ16" s="312"/>
      <c r="CR16" s="312"/>
      <c r="CS16" s="312"/>
      <c r="CT16" s="312"/>
      <c r="CU16" s="312"/>
      <c r="CV16" s="312"/>
      <c r="CW16" s="312"/>
      <c r="CX16" s="312"/>
      <c r="CY16" s="312"/>
      <c r="CZ16" s="312"/>
      <c r="DA16" s="312"/>
      <c r="DB16" s="312"/>
      <c r="DC16" s="318">
        <f t="shared" si="3"/>
        <v>0</v>
      </c>
      <c r="DD16" s="318">
        <f t="shared" si="3"/>
        <v>0</v>
      </c>
      <c r="DE16" s="312"/>
      <c r="DF16" s="312"/>
      <c r="DG16" s="312"/>
      <c r="DH16" s="312"/>
      <c r="DI16" s="312"/>
      <c r="DJ16" s="312"/>
      <c r="DK16" s="312"/>
      <c r="DL16" s="312"/>
      <c r="DM16" s="312"/>
      <c r="DN16" s="312"/>
      <c r="DO16" s="312"/>
      <c r="DP16" s="312"/>
      <c r="DQ16" s="312"/>
      <c r="DR16" s="312"/>
      <c r="DS16" s="312"/>
      <c r="DT16" s="312"/>
      <c r="DU16" s="312"/>
      <c r="DV16" s="312"/>
      <c r="DW16" s="312"/>
      <c r="DX16" s="312"/>
      <c r="DY16" s="312"/>
      <c r="DZ16" s="312"/>
      <c r="EA16" s="312"/>
      <c r="EB16" s="312"/>
      <c r="EC16" s="318">
        <f t="shared" si="4"/>
        <v>0</v>
      </c>
      <c r="ED16" s="318">
        <f t="shared" si="4"/>
        <v>0</v>
      </c>
      <c r="EE16" s="312"/>
      <c r="EF16" s="312"/>
      <c r="EG16" s="312"/>
      <c r="EH16" s="312"/>
      <c r="EI16" s="312"/>
      <c r="EJ16" s="312"/>
      <c r="EK16" s="312"/>
      <c r="EL16" s="312"/>
      <c r="EM16" s="312"/>
      <c r="EN16" s="312"/>
      <c r="EO16" s="312"/>
      <c r="EP16" s="312"/>
      <c r="EQ16" s="312"/>
      <c r="ER16" s="312"/>
      <c r="ES16" s="312"/>
      <c r="ET16" s="312"/>
      <c r="EU16" s="312"/>
      <c r="EV16" s="312"/>
      <c r="EW16" s="312"/>
      <c r="EX16" s="312"/>
      <c r="EY16" s="312"/>
      <c r="EZ16" s="312"/>
      <c r="FA16" s="312"/>
      <c r="FB16" s="312"/>
      <c r="FC16" s="318">
        <f t="shared" si="5"/>
        <v>0</v>
      </c>
      <c r="FD16" s="318">
        <f t="shared" si="5"/>
        <v>0</v>
      </c>
      <c r="FE16" s="312"/>
      <c r="FF16" s="312"/>
      <c r="FG16" s="312"/>
      <c r="FH16" s="312"/>
      <c r="FI16" s="312"/>
      <c r="FJ16" s="312"/>
      <c r="FK16" s="312"/>
      <c r="FL16" s="312"/>
      <c r="FM16" s="312"/>
      <c r="FN16" s="312"/>
      <c r="FO16" s="312"/>
      <c r="FP16" s="312"/>
      <c r="FQ16" s="312"/>
      <c r="FR16" s="312"/>
      <c r="FS16" s="312"/>
      <c r="FT16" s="312"/>
      <c r="FU16" s="312"/>
      <c r="FV16" s="312"/>
      <c r="FW16" s="312"/>
      <c r="FX16" s="312"/>
      <c r="FY16" s="312"/>
      <c r="FZ16" s="312"/>
      <c r="GA16" s="312"/>
      <c r="GB16" s="312"/>
      <c r="GC16" s="318">
        <f t="shared" si="6"/>
        <v>0</v>
      </c>
      <c r="GD16" s="318">
        <f t="shared" si="7"/>
        <v>0</v>
      </c>
      <c r="GE16" s="312"/>
      <c r="GF16" s="312"/>
      <c r="GG16" s="312"/>
      <c r="GH16" s="312"/>
      <c r="GI16" s="312"/>
      <c r="GJ16" s="312"/>
      <c r="GK16" s="312"/>
      <c r="GL16" s="312"/>
      <c r="GM16" s="312"/>
      <c r="GN16" s="312"/>
      <c r="GO16" s="312"/>
      <c r="GP16" s="312"/>
      <c r="GQ16" s="312"/>
      <c r="GR16" s="312"/>
      <c r="GS16" s="312"/>
      <c r="GT16" s="312"/>
      <c r="GU16" s="312"/>
      <c r="GV16" s="312"/>
      <c r="GW16" s="312"/>
      <c r="GX16" s="312"/>
      <c r="GY16" s="312"/>
      <c r="GZ16" s="312"/>
      <c r="HA16" s="312"/>
      <c r="HB16" s="312"/>
      <c r="HC16" s="318">
        <f t="shared" si="8"/>
        <v>0</v>
      </c>
      <c r="HD16" s="318">
        <f t="shared" si="8"/>
        <v>0</v>
      </c>
      <c r="HE16" s="318">
        <f t="shared" si="9"/>
        <v>7066</v>
      </c>
      <c r="HF16" s="318">
        <f t="shared" si="9"/>
        <v>31443700000</v>
      </c>
    </row>
    <row r="17" spans="1:216" hidden="1" x14ac:dyDescent="0.2">
      <c r="A17" s="319"/>
      <c r="B17" s="316" t="s">
        <v>374</v>
      </c>
      <c r="C17" s="317">
        <v>1780000</v>
      </c>
      <c r="D17" s="314"/>
      <c r="E17" s="320"/>
      <c r="F17" s="320"/>
      <c r="G17" s="320"/>
      <c r="H17" s="320"/>
      <c r="I17" s="320"/>
      <c r="J17" s="320"/>
      <c r="K17" s="320"/>
      <c r="L17" s="320"/>
      <c r="M17" s="320"/>
      <c r="N17" s="320"/>
      <c r="O17" s="320"/>
      <c r="P17" s="320"/>
      <c r="Q17" s="320"/>
      <c r="R17" s="320"/>
      <c r="S17" s="320"/>
      <c r="T17" s="320"/>
      <c r="U17" s="320"/>
      <c r="V17" s="320"/>
      <c r="W17" s="320"/>
      <c r="X17" s="320"/>
      <c r="Y17" s="320"/>
      <c r="Z17" s="320"/>
      <c r="AA17" s="320"/>
      <c r="AB17" s="320"/>
      <c r="AC17" s="318">
        <f t="shared" si="0"/>
        <v>0</v>
      </c>
      <c r="AD17" s="318">
        <f t="shared" si="0"/>
        <v>0</v>
      </c>
      <c r="AE17" s="320"/>
      <c r="AF17" s="320"/>
      <c r="AG17" s="320"/>
      <c r="AH17" s="320"/>
      <c r="AI17" s="320"/>
      <c r="AJ17" s="320"/>
      <c r="AK17" s="320"/>
      <c r="AL17" s="320"/>
      <c r="AM17" s="320"/>
      <c r="AN17" s="320"/>
      <c r="AO17" s="261"/>
      <c r="AP17" s="312"/>
      <c r="AQ17" s="312"/>
      <c r="AR17" s="312"/>
      <c r="AS17" s="312"/>
      <c r="AT17" s="312"/>
      <c r="AU17" s="312"/>
      <c r="AV17" s="312"/>
      <c r="AW17" s="261">
        <v>300</v>
      </c>
      <c r="AX17" s="312">
        <f>$C$17*AW17</f>
        <v>534000000</v>
      </c>
      <c r="AY17" s="312">
        <v>400</v>
      </c>
      <c r="AZ17" s="312">
        <f>$C$17*AY17</f>
        <v>712000000</v>
      </c>
      <c r="BA17" s="312">
        <v>400</v>
      </c>
      <c r="BB17" s="312">
        <f>$C$17*BA17</f>
        <v>712000000</v>
      </c>
      <c r="BC17" s="318">
        <f t="shared" si="1"/>
        <v>1100</v>
      </c>
      <c r="BD17" s="318">
        <f t="shared" si="1"/>
        <v>1958000000</v>
      </c>
      <c r="BE17" s="312">
        <v>400</v>
      </c>
      <c r="BF17" s="312">
        <f>$C$17*BE17</f>
        <v>712000000</v>
      </c>
      <c r="BG17" s="312">
        <v>500</v>
      </c>
      <c r="BH17" s="312">
        <f>$C$17*BG17</f>
        <v>890000000</v>
      </c>
      <c r="BI17" s="312">
        <v>500</v>
      </c>
      <c r="BJ17" s="312">
        <f>$C$17*BI17</f>
        <v>890000000</v>
      </c>
      <c r="BK17" s="312">
        <v>500</v>
      </c>
      <c r="BL17" s="312">
        <f>$C$17*BK17</f>
        <v>890000000</v>
      </c>
      <c r="BM17" s="312">
        <v>500</v>
      </c>
      <c r="BN17" s="312">
        <f>$C$17*BM17</f>
        <v>890000000</v>
      </c>
      <c r="BO17" s="312">
        <v>500</v>
      </c>
      <c r="BP17" s="312">
        <f>$C$17*BO17</f>
        <v>890000000</v>
      </c>
      <c r="BQ17" s="312">
        <v>500</v>
      </c>
      <c r="BR17" s="312">
        <f>$C$17*BQ17</f>
        <v>890000000</v>
      </c>
      <c r="BS17" s="312">
        <v>500</v>
      </c>
      <c r="BT17" s="312">
        <f>$C$17*BS17</f>
        <v>890000000</v>
      </c>
      <c r="BU17" s="312">
        <v>400</v>
      </c>
      <c r="BV17" s="312">
        <f>$C$17*BU17</f>
        <v>712000000</v>
      </c>
      <c r="BW17" s="312">
        <v>400</v>
      </c>
      <c r="BX17" s="312">
        <f>$C$17*BW17</f>
        <v>712000000</v>
      </c>
      <c r="BY17" s="312">
        <v>400</v>
      </c>
      <c r="BZ17" s="312">
        <f>$C$17*BY17</f>
        <v>712000000</v>
      </c>
      <c r="CA17" s="312">
        <v>400</v>
      </c>
      <c r="CB17" s="312">
        <f>$C$17*CA17</f>
        <v>712000000</v>
      </c>
      <c r="CC17" s="318">
        <f t="shared" si="2"/>
        <v>5500</v>
      </c>
      <c r="CD17" s="318">
        <f>$C$17*CC17</f>
        <v>9790000000</v>
      </c>
      <c r="CE17" s="312">
        <v>466</v>
      </c>
      <c r="CF17" s="312">
        <f>$C$17*CE17</f>
        <v>829480000</v>
      </c>
      <c r="CG17" s="312"/>
      <c r="CH17" s="312"/>
      <c r="CI17" s="312"/>
      <c r="CJ17" s="312"/>
      <c r="CK17" s="312"/>
      <c r="CL17" s="312"/>
      <c r="CM17" s="312"/>
      <c r="CN17" s="312"/>
      <c r="CO17" s="312"/>
      <c r="CP17" s="312"/>
      <c r="CQ17" s="312"/>
      <c r="CR17" s="312"/>
      <c r="CS17" s="312"/>
      <c r="CT17" s="312"/>
      <c r="CU17" s="312"/>
      <c r="CV17" s="312"/>
      <c r="CW17" s="312"/>
      <c r="CX17" s="312"/>
      <c r="CY17" s="320"/>
      <c r="CZ17" s="320"/>
      <c r="DA17" s="320"/>
      <c r="DB17" s="320"/>
      <c r="DC17" s="318">
        <f t="shared" si="3"/>
        <v>466</v>
      </c>
      <c r="DD17" s="318">
        <f t="shared" si="3"/>
        <v>829480000</v>
      </c>
      <c r="DE17" s="320"/>
      <c r="DF17" s="320"/>
      <c r="DG17" s="320"/>
      <c r="DH17" s="320"/>
      <c r="DI17" s="320"/>
      <c r="DJ17" s="320"/>
      <c r="DK17" s="320"/>
      <c r="DL17" s="320"/>
      <c r="DM17" s="320"/>
      <c r="DN17" s="320"/>
      <c r="DO17" s="320"/>
      <c r="DP17" s="320"/>
      <c r="DQ17" s="320"/>
      <c r="DR17" s="320"/>
      <c r="DS17" s="320"/>
      <c r="DT17" s="320"/>
      <c r="DU17" s="320"/>
      <c r="DV17" s="320"/>
      <c r="DW17" s="320"/>
      <c r="DX17" s="320"/>
      <c r="DY17" s="320"/>
      <c r="DZ17" s="320"/>
      <c r="EA17" s="320"/>
      <c r="EB17" s="320"/>
      <c r="EC17" s="318">
        <f t="shared" si="4"/>
        <v>0</v>
      </c>
      <c r="ED17" s="318">
        <f t="shared" si="4"/>
        <v>0</v>
      </c>
      <c r="EE17" s="320"/>
      <c r="EF17" s="320"/>
      <c r="EG17" s="320"/>
      <c r="EH17" s="320"/>
      <c r="EI17" s="320"/>
      <c r="EJ17" s="320"/>
      <c r="EK17" s="320"/>
      <c r="EL17" s="320"/>
      <c r="EM17" s="320"/>
      <c r="EN17" s="320"/>
      <c r="EO17" s="320"/>
      <c r="EP17" s="320"/>
      <c r="EQ17" s="320"/>
      <c r="ER17" s="320"/>
      <c r="ES17" s="320"/>
      <c r="ET17" s="320"/>
      <c r="EU17" s="320"/>
      <c r="EV17" s="320"/>
      <c r="EW17" s="320"/>
      <c r="EX17" s="320"/>
      <c r="EY17" s="320"/>
      <c r="EZ17" s="320"/>
      <c r="FA17" s="320"/>
      <c r="FB17" s="320"/>
      <c r="FC17" s="318">
        <f t="shared" si="5"/>
        <v>0</v>
      </c>
      <c r="FD17" s="318">
        <f t="shared" si="5"/>
        <v>0</v>
      </c>
      <c r="FE17" s="320"/>
      <c r="FF17" s="320"/>
      <c r="FG17" s="320"/>
      <c r="FH17" s="320"/>
      <c r="FI17" s="320"/>
      <c r="FJ17" s="320"/>
      <c r="FK17" s="320"/>
      <c r="FL17" s="320"/>
      <c r="FM17" s="320"/>
      <c r="FN17" s="320"/>
      <c r="FO17" s="320"/>
      <c r="FP17" s="320"/>
      <c r="FQ17" s="320"/>
      <c r="FR17" s="320"/>
      <c r="FS17" s="320"/>
      <c r="FT17" s="320"/>
      <c r="FU17" s="320"/>
      <c r="FV17" s="320"/>
      <c r="FW17" s="320"/>
      <c r="FX17" s="320"/>
      <c r="FY17" s="320"/>
      <c r="FZ17" s="320"/>
      <c r="GA17" s="320"/>
      <c r="GB17" s="320"/>
      <c r="GC17" s="318">
        <f t="shared" si="6"/>
        <v>0</v>
      </c>
      <c r="GD17" s="318">
        <f t="shared" si="7"/>
        <v>0</v>
      </c>
      <c r="GE17" s="320"/>
      <c r="GF17" s="320"/>
      <c r="GG17" s="320"/>
      <c r="GH17" s="320"/>
      <c r="GI17" s="320"/>
      <c r="GJ17" s="320"/>
      <c r="GK17" s="320"/>
      <c r="GL17" s="320"/>
      <c r="GM17" s="320"/>
      <c r="GN17" s="320"/>
      <c r="GO17" s="320"/>
      <c r="GP17" s="320"/>
      <c r="GQ17" s="320"/>
      <c r="GR17" s="320"/>
      <c r="GS17" s="320"/>
      <c r="GT17" s="320"/>
      <c r="GU17" s="320"/>
      <c r="GV17" s="320"/>
      <c r="GW17" s="320"/>
      <c r="GX17" s="320"/>
      <c r="GY17" s="320"/>
      <c r="GZ17" s="320"/>
      <c r="HA17" s="320"/>
      <c r="HB17" s="320"/>
      <c r="HC17" s="318">
        <f t="shared" si="8"/>
        <v>0</v>
      </c>
      <c r="HD17" s="318">
        <f t="shared" si="8"/>
        <v>0</v>
      </c>
      <c r="HE17" s="318">
        <f t="shared" si="9"/>
        <v>7066</v>
      </c>
      <c r="HF17" s="318">
        <f t="shared" si="9"/>
        <v>12577480000</v>
      </c>
    </row>
    <row r="18" spans="1:216" hidden="1" x14ac:dyDescent="0.2">
      <c r="A18" s="319"/>
      <c r="B18" s="316" t="s">
        <v>388</v>
      </c>
      <c r="C18" s="317">
        <v>340000</v>
      </c>
      <c r="D18" s="314"/>
      <c r="E18" s="320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0"/>
      <c r="Q18" s="320"/>
      <c r="R18" s="312"/>
      <c r="S18" s="320"/>
      <c r="T18" s="312"/>
      <c r="U18" s="320"/>
      <c r="V18" s="312"/>
      <c r="W18" s="320"/>
      <c r="X18" s="312"/>
      <c r="Y18" s="320"/>
      <c r="Z18" s="312"/>
      <c r="AA18" s="262"/>
      <c r="AB18" s="312">
        <f>$C$18*AA18</f>
        <v>0</v>
      </c>
      <c r="AC18" s="318">
        <f t="shared" si="0"/>
        <v>0</v>
      </c>
      <c r="AD18" s="318">
        <f t="shared" si="0"/>
        <v>0</v>
      </c>
      <c r="AE18" s="320">
        <v>275</v>
      </c>
      <c r="AF18" s="312">
        <f t="shared" ref="AF18:BB18" si="10">$C$18*AE18</f>
        <v>93500000</v>
      </c>
      <c r="AG18" s="320">
        <v>275</v>
      </c>
      <c r="AH18" s="312">
        <f t="shared" si="10"/>
        <v>93500000</v>
      </c>
      <c r="AI18" s="320">
        <v>275</v>
      </c>
      <c r="AJ18" s="312">
        <f t="shared" si="10"/>
        <v>93500000</v>
      </c>
      <c r="AK18" s="320">
        <v>275</v>
      </c>
      <c r="AL18" s="312">
        <f t="shared" si="10"/>
        <v>93500000</v>
      </c>
      <c r="AM18" s="320">
        <v>275</v>
      </c>
      <c r="AN18" s="312">
        <f t="shared" si="10"/>
        <v>93500000</v>
      </c>
      <c r="AO18" s="320">
        <v>275</v>
      </c>
      <c r="AP18" s="312">
        <f t="shared" si="10"/>
        <v>93500000</v>
      </c>
      <c r="AQ18" s="320">
        <v>275</v>
      </c>
      <c r="AR18" s="312">
        <f t="shared" si="10"/>
        <v>93500000</v>
      </c>
      <c r="AS18" s="320">
        <v>275</v>
      </c>
      <c r="AT18" s="312">
        <f t="shared" si="10"/>
        <v>93500000</v>
      </c>
      <c r="AU18" s="320">
        <v>275</v>
      </c>
      <c r="AV18" s="312">
        <f t="shared" si="10"/>
        <v>93500000</v>
      </c>
      <c r="AW18" s="320">
        <v>275</v>
      </c>
      <c r="AX18" s="312">
        <f t="shared" si="10"/>
        <v>93500000</v>
      </c>
      <c r="AY18" s="320">
        <v>275</v>
      </c>
      <c r="AZ18" s="312">
        <f t="shared" si="10"/>
        <v>93500000</v>
      </c>
      <c r="BA18" s="320">
        <v>275</v>
      </c>
      <c r="BB18" s="312">
        <f t="shared" si="10"/>
        <v>93500000</v>
      </c>
      <c r="BC18" s="318">
        <f t="shared" si="1"/>
        <v>3300</v>
      </c>
      <c r="BD18" s="318">
        <f t="shared" si="1"/>
        <v>1122000000</v>
      </c>
      <c r="BE18" s="320">
        <v>275</v>
      </c>
      <c r="BF18" s="312">
        <f>$C$18*BE18</f>
        <v>93500000</v>
      </c>
      <c r="BG18" s="320">
        <v>275</v>
      </c>
      <c r="BH18" s="312">
        <f>$C$18*BG18</f>
        <v>93500000</v>
      </c>
      <c r="BI18" s="320">
        <v>275</v>
      </c>
      <c r="BJ18" s="312">
        <f>$C$18*BI18</f>
        <v>93500000</v>
      </c>
      <c r="BK18" s="320">
        <v>275</v>
      </c>
      <c r="BL18" s="312">
        <f>$C$18*BK18</f>
        <v>93500000</v>
      </c>
      <c r="BM18" s="320">
        <v>275</v>
      </c>
      <c r="BN18" s="312">
        <f>$C$18*BM18</f>
        <v>93500000</v>
      </c>
      <c r="BO18" s="320">
        <v>275</v>
      </c>
      <c r="BP18" s="312">
        <f>$C$18*BO18</f>
        <v>93500000</v>
      </c>
      <c r="BQ18" s="320">
        <v>275</v>
      </c>
      <c r="BR18" s="312">
        <f>$C$18*BQ18</f>
        <v>93500000</v>
      </c>
      <c r="BS18" s="320">
        <v>275</v>
      </c>
      <c r="BT18" s="312">
        <f>$C$18*BS18</f>
        <v>93500000</v>
      </c>
      <c r="BU18" s="320">
        <v>275</v>
      </c>
      <c r="BV18" s="312">
        <f>$C$18*BU18</f>
        <v>93500000</v>
      </c>
      <c r="BW18" s="320">
        <v>275</v>
      </c>
      <c r="BX18" s="312">
        <f>$C$18*BW18</f>
        <v>93500000</v>
      </c>
      <c r="BY18" s="320">
        <v>275</v>
      </c>
      <c r="BZ18" s="312">
        <f>$C$18*BY18</f>
        <v>93500000</v>
      </c>
      <c r="CA18" s="320">
        <v>275</v>
      </c>
      <c r="CB18" s="312">
        <f>$C$18*CA18</f>
        <v>93500000</v>
      </c>
      <c r="CC18" s="318">
        <f t="shared" si="2"/>
        <v>3300</v>
      </c>
      <c r="CD18" s="318">
        <f>$C$18*CC18</f>
        <v>1122000000</v>
      </c>
      <c r="CE18" s="320">
        <v>191</v>
      </c>
      <c r="CF18" s="312">
        <f>$C$18*CE18</f>
        <v>64940000</v>
      </c>
      <c r="CG18" s="320"/>
      <c r="CH18" s="312"/>
      <c r="CI18" s="320"/>
      <c r="CJ18" s="312"/>
      <c r="CK18" s="320"/>
      <c r="CL18" s="312"/>
      <c r="CM18" s="320"/>
      <c r="CN18" s="312"/>
      <c r="CO18" s="320"/>
      <c r="CP18" s="312"/>
      <c r="CQ18" s="320"/>
      <c r="CR18" s="312"/>
      <c r="CS18" s="320"/>
      <c r="CT18" s="312"/>
      <c r="CU18" s="320"/>
      <c r="CV18" s="312"/>
      <c r="CW18" s="320"/>
      <c r="CX18" s="312"/>
      <c r="CY18" s="320"/>
      <c r="CZ18" s="320"/>
      <c r="DA18" s="320"/>
      <c r="DB18" s="320"/>
      <c r="DC18" s="318">
        <f t="shared" si="3"/>
        <v>191</v>
      </c>
      <c r="DD18" s="318">
        <f t="shared" si="3"/>
        <v>64940000</v>
      </c>
      <c r="DE18" s="320"/>
      <c r="DF18" s="320"/>
      <c r="DG18" s="320"/>
      <c r="DH18" s="320"/>
      <c r="DI18" s="320"/>
      <c r="DJ18" s="320"/>
      <c r="DK18" s="320"/>
      <c r="DL18" s="320"/>
      <c r="DM18" s="320"/>
      <c r="DN18" s="320"/>
      <c r="DO18" s="320"/>
      <c r="DP18" s="320"/>
      <c r="DQ18" s="320"/>
      <c r="DR18" s="320"/>
      <c r="DS18" s="320"/>
      <c r="DT18" s="320"/>
      <c r="DU18" s="320"/>
      <c r="DV18" s="320"/>
      <c r="DW18" s="320"/>
      <c r="DX18" s="320"/>
      <c r="DY18" s="320"/>
      <c r="DZ18" s="320"/>
      <c r="EA18" s="320"/>
      <c r="EB18" s="320"/>
      <c r="EC18" s="318">
        <f t="shared" si="4"/>
        <v>0</v>
      </c>
      <c r="ED18" s="318">
        <f t="shared" si="4"/>
        <v>0</v>
      </c>
      <c r="EE18" s="320"/>
      <c r="EF18" s="320"/>
      <c r="EG18" s="320"/>
      <c r="EH18" s="320"/>
      <c r="EI18" s="320"/>
      <c r="EJ18" s="320"/>
      <c r="EK18" s="320"/>
      <c r="EL18" s="320"/>
      <c r="EM18" s="320"/>
      <c r="EN18" s="320"/>
      <c r="EO18" s="320"/>
      <c r="EP18" s="320"/>
      <c r="EQ18" s="320"/>
      <c r="ER18" s="320"/>
      <c r="ES18" s="320"/>
      <c r="ET18" s="320"/>
      <c r="EU18" s="320"/>
      <c r="EV18" s="320"/>
      <c r="EW18" s="320"/>
      <c r="EX18" s="320"/>
      <c r="EY18" s="320"/>
      <c r="EZ18" s="320"/>
      <c r="FA18" s="320"/>
      <c r="FB18" s="320"/>
      <c r="FC18" s="318">
        <f t="shared" si="5"/>
        <v>0</v>
      </c>
      <c r="FD18" s="318">
        <f t="shared" si="5"/>
        <v>0</v>
      </c>
      <c r="FE18" s="320"/>
      <c r="FF18" s="320"/>
      <c r="FG18" s="320"/>
      <c r="FH18" s="320"/>
      <c r="FI18" s="320"/>
      <c r="FJ18" s="320"/>
      <c r="FK18" s="320"/>
      <c r="FL18" s="320"/>
      <c r="FM18" s="320"/>
      <c r="FN18" s="320"/>
      <c r="FO18" s="320"/>
      <c r="FP18" s="320"/>
      <c r="FQ18" s="320"/>
      <c r="FR18" s="320"/>
      <c r="FS18" s="320"/>
      <c r="FT18" s="320"/>
      <c r="FU18" s="320"/>
      <c r="FV18" s="320"/>
      <c r="FW18" s="320"/>
      <c r="FX18" s="320"/>
      <c r="FY18" s="320"/>
      <c r="FZ18" s="320"/>
      <c r="GA18" s="320"/>
      <c r="GB18" s="320"/>
      <c r="GC18" s="318">
        <f t="shared" si="6"/>
        <v>0</v>
      </c>
      <c r="GD18" s="318">
        <f t="shared" si="7"/>
        <v>0</v>
      </c>
      <c r="GE18" s="320"/>
      <c r="GF18" s="320"/>
      <c r="GG18" s="320"/>
      <c r="GH18" s="320"/>
      <c r="GI18" s="320"/>
      <c r="GJ18" s="320"/>
      <c r="GK18" s="320"/>
      <c r="GL18" s="320"/>
      <c r="GM18" s="320"/>
      <c r="GN18" s="320"/>
      <c r="GO18" s="320"/>
      <c r="GP18" s="320"/>
      <c r="GQ18" s="320"/>
      <c r="GR18" s="320"/>
      <c r="GS18" s="320"/>
      <c r="GT18" s="320"/>
      <c r="GU18" s="320"/>
      <c r="GV18" s="320"/>
      <c r="GW18" s="320"/>
      <c r="GX18" s="320"/>
      <c r="GY18" s="320"/>
      <c r="GZ18" s="320"/>
      <c r="HA18" s="320"/>
      <c r="HB18" s="320"/>
      <c r="HC18" s="318">
        <f t="shared" si="8"/>
        <v>0</v>
      </c>
      <c r="HD18" s="318">
        <f t="shared" si="8"/>
        <v>0</v>
      </c>
      <c r="HE18" s="318">
        <f t="shared" si="9"/>
        <v>6791</v>
      </c>
      <c r="HF18" s="318">
        <f t="shared" si="9"/>
        <v>2308940000</v>
      </c>
    </row>
    <row r="19" spans="1:216" hidden="1" x14ac:dyDescent="0.2">
      <c r="B19" s="321" t="s">
        <v>401</v>
      </c>
      <c r="C19" s="317">
        <v>2440000</v>
      </c>
      <c r="D19" s="314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  <c r="AA19" s="312"/>
      <c r="AB19" s="312"/>
      <c r="AC19" s="318">
        <f t="shared" si="0"/>
        <v>0</v>
      </c>
      <c r="AD19" s="318">
        <f t="shared" si="0"/>
        <v>0</v>
      </c>
      <c r="AE19" s="312"/>
      <c r="AF19" s="312"/>
      <c r="AG19" s="312"/>
      <c r="AH19" s="312"/>
      <c r="AI19" s="312"/>
      <c r="AJ19" s="312"/>
      <c r="AK19" s="261"/>
      <c r="AL19" s="312"/>
      <c r="AM19" s="312"/>
      <c r="AN19" s="312"/>
      <c r="AO19" s="312"/>
      <c r="AP19" s="312"/>
      <c r="AQ19" s="312"/>
      <c r="AR19" s="312"/>
      <c r="AS19" s="261">
        <v>300</v>
      </c>
      <c r="AT19" s="312">
        <f>$C$19*AS19</f>
        <v>732000000</v>
      </c>
      <c r="AU19" s="312">
        <v>400</v>
      </c>
      <c r="AV19" s="312">
        <f>$C$19*AU19</f>
        <v>976000000</v>
      </c>
      <c r="AW19" s="312">
        <v>400</v>
      </c>
      <c r="AX19" s="312">
        <f>$C$19*AW19</f>
        <v>976000000</v>
      </c>
      <c r="AY19" s="312">
        <v>400</v>
      </c>
      <c r="AZ19" s="312">
        <f>$C$19*AY19</f>
        <v>976000000</v>
      </c>
      <c r="BA19" s="312">
        <v>500</v>
      </c>
      <c r="BB19" s="312">
        <f>$C$19*BA19</f>
        <v>1220000000</v>
      </c>
      <c r="BC19" s="318">
        <f t="shared" si="1"/>
        <v>2000</v>
      </c>
      <c r="BD19" s="318">
        <f t="shared" si="1"/>
        <v>4880000000</v>
      </c>
      <c r="BE19" s="312">
        <v>500</v>
      </c>
      <c r="BF19" s="312">
        <f t="shared" ref="BF19:BZ19" si="11">$C$19*BE19</f>
        <v>1220000000</v>
      </c>
      <c r="BG19" s="312">
        <v>500</v>
      </c>
      <c r="BH19" s="312">
        <f t="shared" si="11"/>
        <v>1220000000</v>
      </c>
      <c r="BI19" s="312">
        <v>500</v>
      </c>
      <c r="BJ19" s="312">
        <f t="shared" si="11"/>
        <v>1220000000</v>
      </c>
      <c r="BK19" s="312">
        <v>500</v>
      </c>
      <c r="BL19" s="312">
        <f t="shared" si="11"/>
        <v>1220000000</v>
      </c>
      <c r="BM19" s="312">
        <v>500</v>
      </c>
      <c r="BN19" s="312">
        <f t="shared" si="11"/>
        <v>1220000000</v>
      </c>
      <c r="BO19" s="312">
        <v>500</v>
      </c>
      <c r="BP19" s="312">
        <f t="shared" si="11"/>
        <v>1220000000</v>
      </c>
      <c r="BQ19" s="312">
        <v>400</v>
      </c>
      <c r="BR19" s="312">
        <f t="shared" si="11"/>
        <v>976000000</v>
      </c>
      <c r="BS19" s="312">
        <v>400</v>
      </c>
      <c r="BT19" s="312">
        <f t="shared" si="11"/>
        <v>976000000</v>
      </c>
      <c r="BU19" s="312">
        <v>400</v>
      </c>
      <c r="BV19" s="312">
        <f t="shared" si="11"/>
        <v>976000000</v>
      </c>
      <c r="BW19" s="312">
        <v>400</v>
      </c>
      <c r="BX19" s="312">
        <f t="shared" si="11"/>
        <v>976000000</v>
      </c>
      <c r="BY19" s="312">
        <v>466</v>
      </c>
      <c r="BZ19" s="312">
        <f t="shared" si="11"/>
        <v>1137040000</v>
      </c>
      <c r="CA19" s="312"/>
      <c r="CB19" s="312"/>
      <c r="CC19" s="318">
        <f t="shared" si="2"/>
        <v>5066</v>
      </c>
      <c r="CD19" s="318">
        <f t="shared" si="2"/>
        <v>12361040000</v>
      </c>
      <c r="CE19" s="312"/>
      <c r="CF19" s="312"/>
      <c r="CG19" s="312"/>
      <c r="CH19" s="312"/>
      <c r="CI19" s="312"/>
      <c r="CJ19" s="312"/>
      <c r="CK19" s="312"/>
      <c r="CL19" s="312"/>
      <c r="CM19" s="312"/>
      <c r="CN19" s="312"/>
      <c r="CO19" s="312"/>
      <c r="CP19" s="312"/>
      <c r="CQ19" s="312"/>
      <c r="CR19" s="312"/>
      <c r="CS19" s="312"/>
      <c r="CT19" s="312"/>
      <c r="CU19" s="312"/>
      <c r="CV19" s="312"/>
      <c r="CW19" s="312"/>
      <c r="CX19" s="312"/>
      <c r="CY19" s="312"/>
      <c r="CZ19" s="312"/>
      <c r="DA19" s="312"/>
      <c r="DB19" s="312"/>
      <c r="DC19" s="318">
        <f t="shared" si="3"/>
        <v>0</v>
      </c>
      <c r="DD19" s="318">
        <f t="shared" si="3"/>
        <v>0</v>
      </c>
      <c r="DE19" s="312"/>
      <c r="DF19" s="312"/>
      <c r="DG19" s="312"/>
      <c r="DH19" s="312"/>
      <c r="DI19" s="312"/>
      <c r="DJ19" s="312"/>
      <c r="DK19" s="312"/>
      <c r="DL19" s="312"/>
      <c r="DM19" s="312"/>
      <c r="DN19" s="312"/>
      <c r="DO19" s="312"/>
      <c r="DP19" s="312"/>
      <c r="DQ19" s="312"/>
      <c r="DR19" s="312"/>
      <c r="DS19" s="312"/>
      <c r="DT19" s="312"/>
      <c r="DU19" s="312"/>
      <c r="DV19" s="312"/>
      <c r="DW19" s="312"/>
      <c r="DX19" s="312"/>
      <c r="DY19" s="312"/>
      <c r="DZ19" s="312"/>
      <c r="EA19" s="312"/>
      <c r="EB19" s="312"/>
      <c r="EC19" s="318">
        <f t="shared" si="4"/>
        <v>0</v>
      </c>
      <c r="ED19" s="318">
        <f t="shared" si="4"/>
        <v>0</v>
      </c>
      <c r="EE19" s="312"/>
      <c r="EF19" s="312"/>
      <c r="EG19" s="312"/>
      <c r="EH19" s="312"/>
      <c r="EI19" s="312"/>
      <c r="EJ19" s="312"/>
      <c r="EK19" s="312"/>
      <c r="EL19" s="312"/>
      <c r="EM19" s="312"/>
      <c r="EN19" s="312"/>
      <c r="EO19" s="312"/>
      <c r="EP19" s="312"/>
      <c r="EQ19" s="312"/>
      <c r="ER19" s="312"/>
      <c r="ES19" s="312"/>
      <c r="ET19" s="312"/>
      <c r="EU19" s="312"/>
      <c r="EV19" s="312"/>
      <c r="EW19" s="312"/>
      <c r="EX19" s="312"/>
      <c r="EY19" s="312"/>
      <c r="EZ19" s="312"/>
      <c r="FA19" s="312"/>
      <c r="FB19" s="312"/>
      <c r="FC19" s="318">
        <f t="shared" si="5"/>
        <v>0</v>
      </c>
      <c r="FD19" s="318">
        <f t="shared" si="5"/>
        <v>0</v>
      </c>
      <c r="FE19" s="312"/>
      <c r="FF19" s="312"/>
      <c r="FG19" s="312"/>
      <c r="FH19" s="312"/>
      <c r="FI19" s="312"/>
      <c r="FJ19" s="312"/>
      <c r="FK19" s="312"/>
      <c r="FL19" s="312"/>
      <c r="FM19" s="312"/>
      <c r="FN19" s="312"/>
      <c r="FO19" s="312"/>
      <c r="FP19" s="312"/>
      <c r="FQ19" s="312"/>
      <c r="FR19" s="312"/>
      <c r="FS19" s="312"/>
      <c r="FT19" s="312"/>
      <c r="FU19" s="312"/>
      <c r="FV19" s="312"/>
      <c r="FW19" s="312"/>
      <c r="FX19" s="312"/>
      <c r="FY19" s="312"/>
      <c r="FZ19" s="312"/>
      <c r="GA19" s="312"/>
      <c r="GB19" s="312"/>
      <c r="GC19" s="318">
        <f t="shared" si="6"/>
        <v>0</v>
      </c>
      <c r="GD19" s="318">
        <f t="shared" si="7"/>
        <v>0</v>
      </c>
      <c r="GE19" s="312"/>
      <c r="GF19" s="312"/>
      <c r="GG19" s="312"/>
      <c r="GH19" s="312"/>
      <c r="GI19" s="312"/>
      <c r="GJ19" s="312"/>
      <c r="GK19" s="312"/>
      <c r="GL19" s="312"/>
      <c r="GM19" s="312"/>
      <c r="GN19" s="312"/>
      <c r="GO19" s="312"/>
      <c r="GP19" s="312"/>
      <c r="GQ19" s="312"/>
      <c r="GR19" s="312"/>
      <c r="GS19" s="312"/>
      <c r="GT19" s="312"/>
      <c r="GU19" s="312"/>
      <c r="GV19" s="312"/>
      <c r="GW19" s="312"/>
      <c r="GX19" s="312"/>
      <c r="GY19" s="312"/>
      <c r="GZ19" s="312"/>
      <c r="HA19" s="312"/>
      <c r="HB19" s="312"/>
      <c r="HC19" s="318">
        <f t="shared" si="8"/>
        <v>0</v>
      </c>
      <c r="HD19" s="318">
        <f t="shared" si="8"/>
        <v>0</v>
      </c>
      <c r="HE19" s="318">
        <f t="shared" si="9"/>
        <v>7066</v>
      </c>
      <c r="HF19" s="318">
        <f t="shared" si="9"/>
        <v>17241040000</v>
      </c>
    </row>
    <row r="20" spans="1:216" hidden="1" x14ac:dyDescent="0.2">
      <c r="B20" s="321" t="s">
        <v>402</v>
      </c>
      <c r="C20" s="317">
        <v>20830000</v>
      </c>
      <c r="D20" s="314"/>
      <c r="E20" s="312"/>
      <c r="F20" s="312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312"/>
      <c r="AB20" s="312"/>
      <c r="AC20" s="318">
        <f t="shared" si="0"/>
        <v>0</v>
      </c>
      <c r="AD20" s="318">
        <f t="shared" si="0"/>
        <v>0</v>
      </c>
      <c r="AE20" s="312"/>
      <c r="AF20" s="312"/>
      <c r="AG20" s="312"/>
      <c r="AH20" s="312"/>
      <c r="AI20" s="312"/>
      <c r="AJ20" s="312"/>
      <c r="AK20" s="312"/>
      <c r="AL20" s="312"/>
      <c r="AM20" s="261"/>
      <c r="AN20" s="312"/>
      <c r="AO20" s="312"/>
      <c r="AP20" s="312"/>
      <c r="AQ20" s="312"/>
      <c r="AR20" s="312"/>
      <c r="AS20" s="312"/>
      <c r="AT20" s="312"/>
      <c r="AU20" s="261">
        <v>300</v>
      </c>
      <c r="AV20" s="312">
        <f>$C$20*AU20</f>
        <v>6249000000</v>
      </c>
      <c r="AW20" s="312">
        <v>400</v>
      </c>
      <c r="AX20" s="312">
        <f>$C$20*AW20</f>
        <v>8332000000</v>
      </c>
      <c r="AY20" s="312">
        <v>400</v>
      </c>
      <c r="AZ20" s="312">
        <f>$C$20*AY20</f>
        <v>8332000000</v>
      </c>
      <c r="BA20" s="312">
        <v>400</v>
      </c>
      <c r="BB20" s="312">
        <f>$C$20*BA20</f>
        <v>8332000000</v>
      </c>
      <c r="BC20" s="318">
        <f t="shared" si="1"/>
        <v>1500</v>
      </c>
      <c r="BD20" s="318">
        <f t="shared" si="1"/>
        <v>31245000000</v>
      </c>
      <c r="BE20" s="312">
        <v>500</v>
      </c>
      <c r="BF20" s="312">
        <f t="shared" ref="BF20:CB20" si="12">$C$20*BE20</f>
        <v>10415000000</v>
      </c>
      <c r="BG20" s="312">
        <v>500</v>
      </c>
      <c r="BH20" s="312">
        <f t="shared" si="12"/>
        <v>10415000000</v>
      </c>
      <c r="BI20" s="312">
        <v>500</v>
      </c>
      <c r="BJ20" s="312">
        <f t="shared" si="12"/>
        <v>10415000000</v>
      </c>
      <c r="BK20" s="312">
        <v>500</v>
      </c>
      <c r="BL20" s="312">
        <f t="shared" si="12"/>
        <v>10415000000</v>
      </c>
      <c r="BM20" s="312">
        <v>500</v>
      </c>
      <c r="BN20" s="312">
        <f t="shared" si="12"/>
        <v>10415000000</v>
      </c>
      <c r="BO20" s="312">
        <v>500</v>
      </c>
      <c r="BP20" s="312">
        <f t="shared" si="12"/>
        <v>10415000000</v>
      </c>
      <c r="BQ20" s="312">
        <v>500</v>
      </c>
      <c r="BR20" s="312">
        <f t="shared" si="12"/>
        <v>10415000000</v>
      </c>
      <c r="BS20" s="312">
        <v>400</v>
      </c>
      <c r="BT20" s="312">
        <f t="shared" si="12"/>
        <v>8332000000</v>
      </c>
      <c r="BU20" s="312">
        <v>400</v>
      </c>
      <c r="BV20" s="312">
        <f t="shared" si="12"/>
        <v>8332000000</v>
      </c>
      <c r="BW20" s="312">
        <v>400</v>
      </c>
      <c r="BX20" s="312">
        <f t="shared" si="12"/>
        <v>8332000000</v>
      </c>
      <c r="BY20" s="312">
        <v>400</v>
      </c>
      <c r="BZ20" s="312">
        <f t="shared" si="12"/>
        <v>8332000000</v>
      </c>
      <c r="CA20" s="312">
        <v>466</v>
      </c>
      <c r="CB20" s="312">
        <f t="shared" si="12"/>
        <v>9706780000</v>
      </c>
      <c r="CC20" s="318">
        <f t="shared" si="2"/>
        <v>5566</v>
      </c>
      <c r="CD20" s="318">
        <f t="shared" si="2"/>
        <v>115939780000</v>
      </c>
      <c r="CE20" s="312"/>
      <c r="CF20" s="312"/>
      <c r="CG20" s="312"/>
      <c r="CH20" s="312"/>
      <c r="CI20" s="312"/>
      <c r="CJ20" s="312"/>
      <c r="CK20" s="312"/>
      <c r="CL20" s="312"/>
      <c r="CM20" s="312"/>
      <c r="CN20" s="312"/>
      <c r="CO20" s="312"/>
      <c r="CP20" s="312"/>
      <c r="CQ20" s="312"/>
      <c r="CR20" s="312"/>
      <c r="CS20" s="312"/>
      <c r="CT20" s="312"/>
      <c r="CU20" s="312"/>
      <c r="CV20" s="312"/>
      <c r="CW20" s="312"/>
      <c r="CX20" s="312"/>
      <c r="CY20" s="312"/>
      <c r="CZ20" s="312"/>
      <c r="DA20" s="312"/>
      <c r="DB20" s="312"/>
      <c r="DC20" s="318">
        <f t="shared" si="3"/>
        <v>0</v>
      </c>
      <c r="DD20" s="318">
        <f t="shared" si="3"/>
        <v>0</v>
      </c>
      <c r="DE20" s="312"/>
      <c r="DF20" s="312"/>
      <c r="DG20" s="312"/>
      <c r="DH20" s="312"/>
      <c r="DI20" s="312"/>
      <c r="DJ20" s="312"/>
      <c r="DK20" s="312"/>
      <c r="DL20" s="312"/>
      <c r="DM20" s="312"/>
      <c r="DN20" s="312"/>
      <c r="DO20" s="312"/>
      <c r="DP20" s="312"/>
      <c r="DQ20" s="312"/>
      <c r="DR20" s="312"/>
      <c r="DS20" s="312"/>
      <c r="DT20" s="312"/>
      <c r="DU20" s="312"/>
      <c r="DV20" s="312"/>
      <c r="DW20" s="312"/>
      <c r="DX20" s="312"/>
      <c r="DY20" s="312"/>
      <c r="DZ20" s="312"/>
      <c r="EA20" s="312"/>
      <c r="EB20" s="312"/>
      <c r="EC20" s="318">
        <f t="shared" si="4"/>
        <v>0</v>
      </c>
      <c r="ED20" s="318">
        <f t="shared" si="4"/>
        <v>0</v>
      </c>
      <c r="EE20" s="312"/>
      <c r="EF20" s="312"/>
      <c r="EG20" s="312"/>
      <c r="EH20" s="312"/>
      <c r="EI20" s="312"/>
      <c r="EJ20" s="312"/>
      <c r="EK20" s="312"/>
      <c r="EL20" s="312"/>
      <c r="EM20" s="312"/>
      <c r="EN20" s="312"/>
      <c r="EO20" s="312"/>
      <c r="EP20" s="312"/>
      <c r="EQ20" s="312"/>
      <c r="ER20" s="312"/>
      <c r="ES20" s="312"/>
      <c r="ET20" s="312"/>
      <c r="EU20" s="312"/>
      <c r="EV20" s="312"/>
      <c r="EW20" s="312"/>
      <c r="EX20" s="312"/>
      <c r="EY20" s="312"/>
      <c r="EZ20" s="312"/>
      <c r="FA20" s="312"/>
      <c r="FB20" s="312"/>
      <c r="FC20" s="318">
        <f t="shared" si="5"/>
        <v>0</v>
      </c>
      <c r="FD20" s="318">
        <f t="shared" si="5"/>
        <v>0</v>
      </c>
      <c r="FE20" s="312"/>
      <c r="FF20" s="312"/>
      <c r="FG20" s="312"/>
      <c r="FH20" s="312"/>
      <c r="FI20" s="312"/>
      <c r="FJ20" s="312"/>
      <c r="FK20" s="312"/>
      <c r="FL20" s="312"/>
      <c r="FM20" s="312"/>
      <c r="FN20" s="312"/>
      <c r="FO20" s="312"/>
      <c r="FP20" s="312"/>
      <c r="FQ20" s="312"/>
      <c r="FR20" s="312"/>
      <c r="FS20" s="312"/>
      <c r="FT20" s="312"/>
      <c r="FU20" s="312"/>
      <c r="FV20" s="312"/>
      <c r="FW20" s="312"/>
      <c r="FX20" s="312"/>
      <c r="FY20" s="312"/>
      <c r="FZ20" s="312"/>
      <c r="GA20" s="312"/>
      <c r="GB20" s="312"/>
      <c r="GC20" s="318">
        <f t="shared" si="6"/>
        <v>0</v>
      </c>
      <c r="GD20" s="318">
        <f t="shared" si="7"/>
        <v>0</v>
      </c>
      <c r="GE20" s="312"/>
      <c r="GF20" s="312"/>
      <c r="GG20" s="312"/>
      <c r="GH20" s="312"/>
      <c r="GI20" s="312"/>
      <c r="GJ20" s="312"/>
      <c r="GK20" s="312"/>
      <c r="GL20" s="312"/>
      <c r="GM20" s="312"/>
      <c r="GN20" s="312"/>
      <c r="GO20" s="312"/>
      <c r="GP20" s="312"/>
      <c r="GQ20" s="312"/>
      <c r="GR20" s="312"/>
      <c r="GS20" s="312"/>
      <c r="GT20" s="312"/>
      <c r="GU20" s="312"/>
      <c r="GV20" s="312"/>
      <c r="GW20" s="312"/>
      <c r="GX20" s="312"/>
      <c r="GY20" s="312"/>
      <c r="GZ20" s="312"/>
      <c r="HA20" s="312"/>
      <c r="HB20" s="312"/>
      <c r="HC20" s="318">
        <f t="shared" si="8"/>
        <v>0</v>
      </c>
      <c r="HD20" s="318">
        <f t="shared" si="8"/>
        <v>0</v>
      </c>
      <c r="HE20" s="318">
        <f t="shared" si="9"/>
        <v>7066</v>
      </c>
      <c r="HF20" s="318">
        <f t="shared" si="9"/>
        <v>147184780000</v>
      </c>
    </row>
    <row r="21" spans="1:216" hidden="1" x14ac:dyDescent="0.2">
      <c r="B21" s="321" t="s">
        <v>403</v>
      </c>
      <c r="C21" s="317">
        <v>8470000</v>
      </c>
      <c r="D21" s="314"/>
      <c r="E21" s="312"/>
      <c r="F21" s="312"/>
      <c r="G21" s="312"/>
      <c r="H21" s="312"/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8">
        <f t="shared" si="0"/>
        <v>0</v>
      </c>
      <c r="AD21" s="318">
        <f t="shared" si="0"/>
        <v>0</v>
      </c>
      <c r="AE21" s="312"/>
      <c r="AF21" s="312"/>
      <c r="AG21" s="312"/>
      <c r="AH21" s="312"/>
      <c r="AI21" s="312"/>
      <c r="AJ21" s="312"/>
      <c r="AK21" s="312"/>
      <c r="AL21" s="312"/>
      <c r="AM21" s="312"/>
      <c r="AN21" s="312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8">
        <f t="shared" si="1"/>
        <v>0</v>
      </c>
      <c r="BD21" s="318">
        <f t="shared" si="1"/>
        <v>0</v>
      </c>
      <c r="BE21" s="312">
        <v>125</v>
      </c>
      <c r="BF21" s="312">
        <f>$C$21*BE21</f>
        <v>1058750000</v>
      </c>
      <c r="BG21" s="312">
        <v>125</v>
      </c>
      <c r="BH21" s="312">
        <f>$C$21*BG21</f>
        <v>1058750000</v>
      </c>
      <c r="BI21" s="312">
        <v>125</v>
      </c>
      <c r="BJ21" s="312">
        <f>$C$21*BI21</f>
        <v>1058750000</v>
      </c>
      <c r="BK21" s="312">
        <v>125</v>
      </c>
      <c r="BL21" s="312">
        <f>$C$21*BK21</f>
        <v>1058750000</v>
      </c>
      <c r="BM21" s="312">
        <v>125</v>
      </c>
      <c r="BN21" s="312">
        <f>$C$21*BM21</f>
        <v>1058750000</v>
      </c>
      <c r="BO21" s="312">
        <v>125</v>
      </c>
      <c r="BP21" s="312">
        <f>$C$21*BO21</f>
        <v>1058750000</v>
      </c>
      <c r="BQ21" s="312">
        <v>125</v>
      </c>
      <c r="BR21" s="312">
        <f>$C$21*BQ21</f>
        <v>1058750000</v>
      </c>
      <c r="BS21" s="312">
        <v>125</v>
      </c>
      <c r="BT21" s="312">
        <f>$C$21*BS21</f>
        <v>1058750000</v>
      </c>
      <c r="BU21" s="312">
        <v>125</v>
      </c>
      <c r="BV21" s="312">
        <f>$C$21*BU21</f>
        <v>1058750000</v>
      </c>
      <c r="BW21" s="312">
        <v>125</v>
      </c>
      <c r="BX21" s="312">
        <f>$C$21*BW21</f>
        <v>1058750000</v>
      </c>
      <c r="BY21" s="312">
        <v>125</v>
      </c>
      <c r="BZ21" s="312">
        <f>$C$21*BY21</f>
        <v>1058750000</v>
      </c>
      <c r="CA21" s="312">
        <v>125</v>
      </c>
      <c r="CB21" s="312">
        <f>$C$21*CA21</f>
        <v>1058750000</v>
      </c>
      <c r="CC21" s="318">
        <f t="shared" si="2"/>
        <v>1500</v>
      </c>
      <c r="CD21" s="318">
        <f t="shared" si="2"/>
        <v>12705000000</v>
      </c>
      <c r="CE21" s="312">
        <v>500</v>
      </c>
      <c r="CF21" s="312">
        <f>$C$21*CE21</f>
        <v>4235000000</v>
      </c>
      <c r="CG21" s="312">
        <v>500</v>
      </c>
      <c r="CH21" s="312">
        <f>$C$21*CG21</f>
        <v>4235000000</v>
      </c>
      <c r="CI21" s="312">
        <v>500</v>
      </c>
      <c r="CJ21" s="312">
        <f>$C$21*CI21</f>
        <v>4235000000</v>
      </c>
      <c r="CK21" s="312">
        <v>500</v>
      </c>
      <c r="CL21" s="312">
        <f>$C$21*CK21</f>
        <v>4235000000</v>
      </c>
      <c r="CM21" s="312">
        <v>500</v>
      </c>
      <c r="CN21" s="312">
        <f>$C$21*CM21</f>
        <v>4235000000</v>
      </c>
      <c r="CO21" s="312">
        <v>500</v>
      </c>
      <c r="CP21" s="312">
        <f>$C$21*CO21</f>
        <v>4235000000</v>
      </c>
      <c r="CQ21" s="312">
        <v>500</v>
      </c>
      <c r="CR21" s="312">
        <f>$C$21*CQ21</f>
        <v>4235000000</v>
      </c>
      <c r="CS21" s="312">
        <v>400</v>
      </c>
      <c r="CT21" s="312">
        <f>$C$21*CS21</f>
        <v>3388000000</v>
      </c>
      <c r="CU21" s="312">
        <v>400</v>
      </c>
      <c r="CV21" s="312">
        <f>$C$21*CU21</f>
        <v>3388000000</v>
      </c>
      <c r="CW21" s="312">
        <v>400</v>
      </c>
      <c r="CX21" s="312">
        <f>$C$21*CW21</f>
        <v>3388000000</v>
      </c>
      <c r="CY21" s="312">
        <v>400</v>
      </c>
      <c r="CZ21" s="312">
        <f>$C$21*CY21</f>
        <v>3388000000</v>
      </c>
      <c r="DA21" s="312">
        <v>466</v>
      </c>
      <c r="DB21" s="312">
        <f>$C$21*DA21</f>
        <v>3947020000</v>
      </c>
      <c r="DC21" s="318">
        <f t="shared" si="3"/>
        <v>5566</v>
      </c>
      <c r="DD21" s="318">
        <f t="shared" si="3"/>
        <v>47144020000</v>
      </c>
      <c r="DE21" s="312"/>
      <c r="DF21" s="312"/>
      <c r="DG21" s="312"/>
      <c r="DH21" s="312"/>
      <c r="DI21" s="312"/>
      <c r="DJ21" s="312"/>
      <c r="DK21" s="312"/>
      <c r="DL21" s="312"/>
      <c r="DM21" s="312"/>
      <c r="DN21" s="312"/>
      <c r="DO21" s="312"/>
      <c r="DP21" s="312"/>
      <c r="DQ21" s="312"/>
      <c r="DR21" s="312"/>
      <c r="DS21" s="312"/>
      <c r="DT21" s="312"/>
      <c r="DU21" s="312"/>
      <c r="DV21" s="312"/>
      <c r="DW21" s="312"/>
      <c r="DX21" s="312"/>
      <c r="DY21" s="312"/>
      <c r="DZ21" s="312"/>
      <c r="EA21" s="312"/>
      <c r="EB21" s="312"/>
      <c r="EC21" s="318">
        <f t="shared" si="4"/>
        <v>0</v>
      </c>
      <c r="ED21" s="318">
        <f t="shared" si="4"/>
        <v>0</v>
      </c>
      <c r="EE21" s="312"/>
      <c r="EF21" s="312"/>
      <c r="EG21" s="312"/>
      <c r="EH21" s="312"/>
      <c r="EI21" s="312"/>
      <c r="EJ21" s="312"/>
      <c r="EK21" s="312"/>
      <c r="EL21" s="312"/>
      <c r="EM21" s="312"/>
      <c r="EN21" s="312"/>
      <c r="EO21" s="312"/>
      <c r="EP21" s="312"/>
      <c r="EQ21" s="312"/>
      <c r="ER21" s="312"/>
      <c r="ES21" s="312"/>
      <c r="ET21" s="312"/>
      <c r="EU21" s="312"/>
      <c r="EV21" s="312"/>
      <c r="EW21" s="312"/>
      <c r="EX21" s="312"/>
      <c r="EY21" s="312"/>
      <c r="EZ21" s="312"/>
      <c r="FA21" s="312"/>
      <c r="FB21" s="312"/>
      <c r="FC21" s="318">
        <f t="shared" si="5"/>
        <v>0</v>
      </c>
      <c r="FD21" s="318">
        <f t="shared" si="5"/>
        <v>0</v>
      </c>
      <c r="FE21" s="312"/>
      <c r="FF21" s="312"/>
      <c r="FG21" s="312"/>
      <c r="FH21" s="312"/>
      <c r="FI21" s="312"/>
      <c r="FJ21" s="312"/>
      <c r="FK21" s="312"/>
      <c r="FL21" s="312"/>
      <c r="FM21" s="312"/>
      <c r="FN21" s="312"/>
      <c r="FO21" s="312"/>
      <c r="FP21" s="312"/>
      <c r="FQ21" s="312"/>
      <c r="FR21" s="312"/>
      <c r="FS21" s="312"/>
      <c r="FT21" s="312"/>
      <c r="FU21" s="312"/>
      <c r="FV21" s="312"/>
      <c r="FW21" s="312"/>
      <c r="FX21" s="312"/>
      <c r="FY21" s="312"/>
      <c r="FZ21" s="312"/>
      <c r="GA21" s="312"/>
      <c r="GB21" s="312"/>
      <c r="GC21" s="318">
        <f t="shared" si="6"/>
        <v>0</v>
      </c>
      <c r="GD21" s="318">
        <f t="shared" si="7"/>
        <v>0</v>
      </c>
      <c r="GE21" s="312"/>
      <c r="GF21" s="312"/>
      <c r="GG21" s="312"/>
      <c r="GH21" s="312"/>
      <c r="GI21" s="312"/>
      <c r="GJ21" s="312"/>
      <c r="GK21" s="312"/>
      <c r="GL21" s="312"/>
      <c r="GM21" s="312"/>
      <c r="GN21" s="312"/>
      <c r="GO21" s="312"/>
      <c r="GP21" s="312"/>
      <c r="GQ21" s="312"/>
      <c r="GR21" s="312"/>
      <c r="GS21" s="312"/>
      <c r="GT21" s="312"/>
      <c r="GU21" s="312"/>
      <c r="GV21" s="312"/>
      <c r="GW21" s="312"/>
      <c r="GX21" s="312"/>
      <c r="GY21" s="312"/>
      <c r="GZ21" s="312"/>
      <c r="HA21" s="312"/>
      <c r="HB21" s="312"/>
      <c r="HC21" s="318">
        <f t="shared" si="8"/>
        <v>0</v>
      </c>
      <c r="HD21" s="318">
        <f t="shared" si="8"/>
        <v>0</v>
      </c>
      <c r="HE21" s="318">
        <f t="shared" si="9"/>
        <v>7066</v>
      </c>
      <c r="HF21" s="318">
        <f t="shared" si="9"/>
        <v>59849020000</v>
      </c>
    </row>
    <row r="22" spans="1:216" hidden="1" x14ac:dyDescent="0.2">
      <c r="B22" s="321" t="s">
        <v>404</v>
      </c>
      <c r="C22" s="317">
        <v>9880000</v>
      </c>
      <c r="D22" s="314"/>
      <c r="E22" s="312"/>
      <c r="F22" s="312"/>
      <c r="G22" s="31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8">
        <f t="shared" si="0"/>
        <v>0</v>
      </c>
      <c r="AD22" s="318">
        <f t="shared" si="0"/>
        <v>0</v>
      </c>
      <c r="AE22" s="312"/>
      <c r="AF22" s="312"/>
      <c r="AG22" s="312"/>
      <c r="AH22" s="312"/>
      <c r="AI22" s="312"/>
      <c r="AJ22" s="312"/>
      <c r="AK22" s="312"/>
      <c r="AL22" s="312"/>
      <c r="AM22" s="312"/>
      <c r="AN22" s="312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12"/>
      <c r="AZ22" s="312"/>
      <c r="BA22" s="312"/>
      <c r="BB22" s="312"/>
      <c r="BC22" s="318">
        <f t="shared" si="1"/>
        <v>0</v>
      </c>
      <c r="BD22" s="318">
        <f t="shared" si="1"/>
        <v>0</v>
      </c>
      <c r="BE22" s="312"/>
      <c r="BF22" s="312"/>
      <c r="BG22" s="312"/>
      <c r="BH22" s="312"/>
      <c r="BI22" s="312"/>
      <c r="BJ22" s="312"/>
      <c r="BK22" s="312"/>
      <c r="BL22" s="312"/>
      <c r="BM22" s="312"/>
      <c r="BN22" s="312"/>
      <c r="BO22" s="312"/>
      <c r="BP22" s="312"/>
      <c r="BQ22" s="312"/>
      <c r="BR22" s="312"/>
      <c r="BS22" s="312"/>
      <c r="BT22" s="312"/>
      <c r="BU22" s="312"/>
      <c r="BV22" s="312"/>
      <c r="BW22" s="312"/>
      <c r="BX22" s="312"/>
      <c r="BY22" s="312"/>
      <c r="BZ22" s="312"/>
      <c r="CA22" s="312"/>
      <c r="CB22" s="312"/>
      <c r="CC22" s="318">
        <f t="shared" si="2"/>
        <v>0</v>
      </c>
      <c r="CD22" s="318">
        <f t="shared" si="2"/>
        <v>0</v>
      </c>
      <c r="CE22" s="312">
        <v>125</v>
      </c>
      <c r="CF22" s="312">
        <f>$C$22*CE22</f>
        <v>1235000000</v>
      </c>
      <c r="CG22" s="312">
        <v>125</v>
      </c>
      <c r="CH22" s="312">
        <f>$C$22*CG22</f>
        <v>1235000000</v>
      </c>
      <c r="CI22" s="312">
        <v>125</v>
      </c>
      <c r="CJ22" s="312">
        <f>$C$22*CI22</f>
        <v>1235000000</v>
      </c>
      <c r="CK22" s="312">
        <v>125</v>
      </c>
      <c r="CL22" s="312">
        <f>$C$22*CK22</f>
        <v>1235000000</v>
      </c>
      <c r="CM22" s="312">
        <v>125</v>
      </c>
      <c r="CN22" s="312">
        <f>$C$22*CM22</f>
        <v>1235000000</v>
      </c>
      <c r="CO22" s="312">
        <v>125</v>
      </c>
      <c r="CP22" s="312">
        <f>$C$22*CO22</f>
        <v>1235000000</v>
      </c>
      <c r="CQ22" s="312">
        <v>125</v>
      </c>
      <c r="CR22" s="312">
        <f>$C$22*CQ22</f>
        <v>1235000000</v>
      </c>
      <c r="CS22" s="312">
        <v>125</v>
      </c>
      <c r="CT22" s="312">
        <f>$C$22*CS22</f>
        <v>1235000000</v>
      </c>
      <c r="CU22" s="312">
        <v>125</v>
      </c>
      <c r="CV22" s="312">
        <f>$C$22*CU22</f>
        <v>1235000000</v>
      </c>
      <c r="CW22" s="312">
        <v>125</v>
      </c>
      <c r="CX22" s="312">
        <f>$C$22*CW22</f>
        <v>1235000000</v>
      </c>
      <c r="CY22" s="312">
        <v>125</v>
      </c>
      <c r="CZ22" s="312">
        <f>$C$22*CY22</f>
        <v>1235000000</v>
      </c>
      <c r="DA22" s="312">
        <v>125</v>
      </c>
      <c r="DB22" s="312">
        <f>$C$22*DA22</f>
        <v>1235000000</v>
      </c>
      <c r="DC22" s="318">
        <f t="shared" si="3"/>
        <v>1500</v>
      </c>
      <c r="DD22" s="318">
        <f t="shared" si="3"/>
        <v>14820000000</v>
      </c>
      <c r="DE22" s="312">
        <v>500</v>
      </c>
      <c r="DF22" s="312">
        <f t="shared" ref="DF22:EB22" si="13">$C$22*DE22</f>
        <v>4940000000</v>
      </c>
      <c r="DG22" s="312">
        <v>500</v>
      </c>
      <c r="DH22" s="312">
        <f t="shared" si="13"/>
        <v>4940000000</v>
      </c>
      <c r="DI22" s="312">
        <v>500</v>
      </c>
      <c r="DJ22" s="312">
        <f t="shared" si="13"/>
        <v>4940000000</v>
      </c>
      <c r="DK22" s="312">
        <v>500</v>
      </c>
      <c r="DL22" s="312">
        <f t="shared" si="13"/>
        <v>4940000000</v>
      </c>
      <c r="DM22" s="312">
        <v>500</v>
      </c>
      <c r="DN22" s="312">
        <f t="shared" si="13"/>
        <v>4940000000</v>
      </c>
      <c r="DO22" s="312">
        <v>500</v>
      </c>
      <c r="DP22" s="312">
        <f t="shared" si="13"/>
        <v>4940000000</v>
      </c>
      <c r="DQ22" s="312">
        <v>500</v>
      </c>
      <c r="DR22" s="312">
        <f t="shared" si="13"/>
        <v>4940000000</v>
      </c>
      <c r="DS22" s="312">
        <v>400</v>
      </c>
      <c r="DT22" s="312">
        <f t="shared" si="13"/>
        <v>3952000000</v>
      </c>
      <c r="DU22" s="312">
        <v>400</v>
      </c>
      <c r="DV22" s="312">
        <f t="shared" si="13"/>
        <v>3952000000</v>
      </c>
      <c r="DW22" s="312">
        <v>400</v>
      </c>
      <c r="DX22" s="312">
        <f t="shared" si="13"/>
        <v>3952000000</v>
      </c>
      <c r="DY22" s="312">
        <v>400</v>
      </c>
      <c r="DZ22" s="312">
        <f t="shared" si="13"/>
        <v>3952000000</v>
      </c>
      <c r="EA22" s="312">
        <v>466</v>
      </c>
      <c r="EB22" s="312">
        <f t="shared" si="13"/>
        <v>4604080000</v>
      </c>
      <c r="EC22" s="318">
        <f t="shared" si="4"/>
        <v>5566</v>
      </c>
      <c r="ED22" s="318">
        <f t="shared" si="4"/>
        <v>54992080000</v>
      </c>
      <c r="EE22" s="312"/>
      <c r="EF22" s="312"/>
      <c r="EG22" s="312"/>
      <c r="EH22" s="312"/>
      <c r="EI22" s="312"/>
      <c r="EJ22" s="312"/>
      <c r="EK22" s="312"/>
      <c r="EL22" s="312"/>
      <c r="EM22" s="312"/>
      <c r="EN22" s="312"/>
      <c r="EO22" s="312"/>
      <c r="EP22" s="312"/>
      <c r="EQ22" s="312"/>
      <c r="ER22" s="312"/>
      <c r="ES22" s="312"/>
      <c r="ET22" s="312"/>
      <c r="EU22" s="312"/>
      <c r="EV22" s="312"/>
      <c r="EW22" s="312"/>
      <c r="EX22" s="312"/>
      <c r="EY22" s="312"/>
      <c r="EZ22" s="312"/>
      <c r="FA22" s="312"/>
      <c r="FB22" s="312"/>
      <c r="FC22" s="318">
        <f t="shared" si="5"/>
        <v>0</v>
      </c>
      <c r="FD22" s="318">
        <f t="shared" si="5"/>
        <v>0</v>
      </c>
      <c r="FE22" s="312"/>
      <c r="FF22" s="312"/>
      <c r="FG22" s="312"/>
      <c r="FH22" s="312"/>
      <c r="FI22" s="312"/>
      <c r="FJ22" s="312"/>
      <c r="FK22" s="312"/>
      <c r="FL22" s="312"/>
      <c r="FM22" s="312"/>
      <c r="FN22" s="312"/>
      <c r="FO22" s="312"/>
      <c r="FP22" s="312"/>
      <c r="FQ22" s="312"/>
      <c r="FR22" s="312"/>
      <c r="FS22" s="312"/>
      <c r="FT22" s="312"/>
      <c r="FU22" s="312"/>
      <c r="FV22" s="312"/>
      <c r="FW22" s="312"/>
      <c r="FX22" s="312"/>
      <c r="FY22" s="312"/>
      <c r="FZ22" s="312"/>
      <c r="GA22" s="312"/>
      <c r="GB22" s="312"/>
      <c r="GC22" s="318">
        <f t="shared" si="6"/>
        <v>0</v>
      </c>
      <c r="GD22" s="318">
        <f t="shared" si="7"/>
        <v>0</v>
      </c>
      <c r="GE22" s="312"/>
      <c r="GF22" s="312"/>
      <c r="GG22" s="312"/>
      <c r="GH22" s="312"/>
      <c r="GI22" s="312"/>
      <c r="GJ22" s="312"/>
      <c r="GK22" s="312"/>
      <c r="GL22" s="312"/>
      <c r="GM22" s="312"/>
      <c r="GN22" s="312"/>
      <c r="GO22" s="312"/>
      <c r="GP22" s="312"/>
      <c r="GQ22" s="312"/>
      <c r="GR22" s="312"/>
      <c r="GS22" s="312"/>
      <c r="GT22" s="312"/>
      <c r="GU22" s="312"/>
      <c r="GV22" s="312"/>
      <c r="GW22" s="312"/>
      <c r="GX22" s="312"/>
      <c r="GY22" s="312"/>
      <c r="GZ22" s="312"/>
      <c r="HA22" s="312"/>
      <c r="HB22" s="312"/>
      <c r="HC22" s="318">
        <f t="shared" si="8"/>
        <v>0</v>
      </c>
      <c r="HD22" s="318">
        <f t="shared" si="8"/>
        <v>0</v>
      </c>
      <c r="HE22" s="318">
        <f t="shared" si="9"/>
        <v>7066</v>
      </c>
      <c r="HF22" s="318">
        <f t="shared" si="9"/>
        <v>69812080000</v>
      </c>
    </row>
    <row r="23" spans="1:216" hidden="1" x14ac:dyDescent="0.2">
      <c r="B23" s="311" t="s">
        <v>276</v>
      </c>
      <c r="C23" s="322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  <c r="Z23" s="312"/>
      <c r="AA23" s="312"/>
      <c r="AB23" s="312"/>
      <c r="AC23" s="312"/>
      <c r="AD23" s="312"/>
      <c r="AE23" s="312"/>
      <c r="AF23" s="312"/>
      <c r="AG23" s="312"/>
      <c r="AH23" s="312"/>
      <c r="AI23" s="312"/>
      <c r="AJ23" s="312"/>
      <c r="AK23" s="312"/>
      <c r="AL23" s="312"/>
      <c r="AM23" s="312"/>
      <c r="AN23" s="312"/>
      <c r="AO23" s="312"/>
      <c r="AP23" s="312"/>
      <c r="AQ23" s="312"/>
      <c r="AR23" s="312"/>
      <c r="AS23" s="312"/>
      <c r="AT23" s="312"/>
      <c r="AU23" s="312"/>
      <c r="AV23" s="312"/>
      <c r="AW23" s="312"/>
      <c r="AX23" s="312"/>
      <c r="AY23" s="312"/>
      <c r="AZ23" s="312"/>
      <c r="BA23" s="312"/>
      <c r="BB23" s="312"/>
      <c r="BC23" s="312"/>
      <c r="BD23" s="312"/>
      <c r="BE23" s="312"/>
      <c r="BF23" s="312"/>
      <c r="BG23" s="312"/>
      <c r="BH23" s="312"/>
      <c r="BI23" s="312"/>
      <c r="BJ23" s="312"/>
      <c r="BK23" s="312"/>
      <c r="BL23" s="312"/>
      <c r="BM23" s="312"/>
      <c r="BN23" s="312"/>
      <c r="BO23" s="312"/>
      <c r="BP23" s="312"/>
      <c r="BQ23" s="312"/>
      <c r="BR23" s="312"/>
      <c r="BS23" s="312"/>
      <c r="BT23" s="312"/>
      <c r="BU23" s="312"/>
      <c r="BV23" s="312"/>
      <c r="BW23" s="312"/>
      <c r="BX23" s="312"/>
      <c r="BY23" s="312"/>
      <c r="BZ23" s="312"/>
      <c r="CA23" s="312"/>
      <c r="CB23" s="312"/>
      <c r="CC23" s="312"/>
      <c r="CD23" s="312"/>
      <c r="CE23" s="312"/>
      <c r="CF23" s="312"/>
      <c r="CG23" s="312"/>
      <c r="CH23" s="312"/>
      <c r="CI23" s="312"/>
      <c r="CJ23" s="312"/>
      <c r="CK23" s="312"/>
      <c r="CL23" s="312"/>
      <c r="CM23" s="312"/>
      <c r="CN23" s="312"/>
      <c r="CO23" s="312"/>
      <c r="CP23" s="312"/>
      <c r="CQ23" s="312"/>
      <c r="CR23" s="312"/>
      <c r="CS23" s="312"/>
      <c r="CT23" s="312"/>
      <c r="CU23" s="312"/>
      <c r="CV23" s="312"/>
      <c r="CW23" s="312"/>
      <c r="CX23" s="312"/>
      <c r="CY23" s="312"/>
      <c r="CZ23" s="312"/>
      <c r="DA23" s="312"/>
      <c r="DB23" s="312"/>
      <c r="DC23" s="312"/>
      <c r="DD23" s="312"/>
      <c r="DE23" s="312"/>
      <c r="DF23" s="312"/>
      <c r="DG23" s="312"/>
      <c r="DH23" s="312"/>
      <c r="DI23" s="312"/>
      <c r="DJ23" s="312"/>
      <c r="DK23" s="312"/>
      <c r="DL23" s="312"/>
      <c r="DM23" s="312"/>
      <c r="DN23" s="312"/>
      <c r="DO23" s="312"/>
      <c r="DP23" s="312"/>
      <c r="DQ23" s="312"/>
      <c r="DR23" s="312"/>
      <c r="DS23" s="312"/>
      <c r="DT23" s="312"/>
      <c r="DU23" s="312"/>
      <c r="DV23" s="312"/>
      <c r="DW23" s="312"/>
      <c r="DX23" s="312"/>
      <c r="DY23" s="312"/>
      <c r="DZ23" s="312"/>
      <c r="EA23" s="312"/>
      <c r="EB23" s="312"/>
      <c r="EC23" s="312"/>
      <c r="ED23" s="312"/>
      <c r="EE23" s="312"/>
      <c r="EF23" s="312"/>
      <c r="EG23" s="312"/>
      <c r="EH23" s="312"/>
      <c r="EI23" s="312"/>
      <c r="EJ23" s="312"/>
      <c r="EK23" s="312"/>
      <c r="EL23" s="312"/>
      <c r="EM23" s="312"/>
      <c r="EN23" s="312"/>
      <c r="EO23" s="312"/>
      <c r="EP23" s="312"/>
      <c r="EQ23" s="312"/>
      <c r="ER23" s="312"/>
      <c r="ES23" s="312"/>
      <c r="ET23" s="312"/>
      <c r="EU23" s="312"/>
      <c r="EV23" s="312"/>
      <c r="EW23" s="312"/>
      <c r="EX23" s="312"/>
      <c r="EY23" s="312"/>
      <c r="EZ23" s="312"/>
      <c r="FA23" s="312"/>
      <c r="FB23" s="312"/>
      <c r="FC23" s="312"/>
      <c r="FD23" s="312"/>
      <c r="FE23" s="312"/>
      <c r="FF23" s="312"/>
      <c r="FG23" s="312"/>
      <c r="FH23" s="312"/>
      <c r="FI23" s="312"/>
      <c r="FJ23" s="312"/>
      <c r="FK23" s="312"/>
      <c r="FL23" s="312"/>
      <c r="FM23" s="312"/>
      <c r="FN23" s="312"/>
      <c r="FO23" s="312"/>
      <c r="FP23" s="312"/>
      <c r="FQ23" s="312"/>
      <c r="FR23" s="312"/>
      <c r="FS23" s="312"/>
      <c r="FT23" s="312"/>
      <c r="FU23" s="312"/>
      <c r="FV23" s="312"/>
      <c r="FW23" s="312"/>
      <c r="FX23" s="312"/>
      <c r="FY23" s="312"/>
      <c r="FZ23" s="312"/>
      <c r="GA23" s="312"/>
      <c r="GB23" s="312"/>
      <c r="GC23" s="312"/>
      <c r="GD23" s="312"/>
      <c r="GE23" s="312"/>
      <c r="GF23" s="312"/>
      <c r="GG23" s="312"/>
      <c r="GH23" s="312"/>
      <c r="GI23" s="312"/>
      <c r="GJ23" s="312"/>
      <c r="GK23" s="312"/>
      <c r="GL23" s="312"/>
      <c r="GM23" s="312"/>
      <c r="GN23" s="312"/>
      <c r="GO23" s="312"/>
      <c r="GP23" s="312"/>
      <c r="GQ23" s="312"/>
      <c r="GR23" s="312"/>
      <c r="GS23" s="312"/>
      <c r="GT23" s="312"/>
      <c r="GU23" s="312"/>
      <c r="GV23" s="312"/>
      <c r="GW23" s="312"/>
      <c r="GX23" s="312"/>
      <c r="GY23" s="312"/>
      <c r="GZ23" s="312"/>
      <c r="HA23" s="312"/>
      <c r="HB23" s="312"/>
      <c r="HC23" s="312"/>
      <c r="HD23" s="312"/>
      <c r="HE23" s="312"/>
      <c r="HF23" s="312"/>
    </row>
    <row r="24" spans="1:216" hidden="1" x14ac:dyDescent="0.2">
      <c r="B24" s="316" t="s">
        <v>405</v>
      </c>
      <c r="C24" s="317">
        <v>465196.79215020279</v>
      </c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12"/>
      <c r="P24" s="312"/>
      <c r="Q24" s="320"/>
      <c r="R24" s="312"/>
      <c r="S24" s="320"/>
      <c r="T24" s="312"/>
      <c r="U24" s="320"/>
      <c r="V24" s="312"/>
      <c r="W24" s="320"/>
      <c r="X24" s="312"/>
      <c r="Y24" s="320"/>
      <c r="Z24" s="312"/>
      <c r="AA24" s="262"/>
      <c r="AB24" s="312"/>
      <c r="AC24" s="318">
        <f t="shared" ref="AC24:AD29" si="14">E24+G24+I24+K24+M24+O24+Q24+S24+U24+W24+Y24+AA24</f>
        <v>0</v>
      </c>
      <c r="AD24" s="318">
        <f t="shared" si="14"/>
        <v>0</v>
      </c>
      <c r="AE24" s="261">
        <v>600</v>
      </c>
      <c r="AF24" s="312">
        <f t="shared" ref="AF24:BB24" si="15">$C$24*AE24</f>
        <v>279118075.29012167</v>
      </c>
      <c r="AG24" s="312">
        <v>600</v>
      </c>
      <c r="AH24" s="312">
        <f t="shared" si="15"/>
        <v>279118075.29012167</v>
      </c>
      <c r="AI24" s="312">
        <v>600</v>
      </c>
      <c r="AJ24" s="312">
        <f t="shared" si="15"/>
        <v>279118075.29012167</v>
      </c>
      <c r="AK24" s="312">
        <v>600</v>
      </c>
      <c r="AL24" s="312">
        <f t="shared" si="15"/>
        <v>279118075.29012167</v>
      </c>
      <c r="AM24" s="312">
        <v>600</v>
      </c>
      <c r="AN24" s="312">
        <f t="shared" si="15"/>
        <v>279118075.29012167</v>
      </c>
      <c r="AO24" s="312">
        <v>600</v>
      </c>
      <c r="AP24" s="312">
        <f t="shared" si="15"/>
        <v>279118075.29012167</v>
      </c>
      <c r="AQ24" s="312">
        <v>600</v>
      </c>
      <c r="AR24" s="312">
        <f t="shared" si="15"/>
        <v>279118075.29012167</v>
      </c>
      <c r="AS24" s="312">
        <v>600</v>
      </c>
      <c r="AT24" s="312">
        <f t="shared" si="15"/>
        <v>279118075.29012167</v>
      </c>
      <c r="AU24" s="312">
        <v>600</v>
      </c>
      <c r="AV24" s="312">
        <f t="shared" si="15"/>
        <v>279118075.29012167</v>
      </c>
      <c r="AW24" s="312">
        <v>600</v>
      </c>
      <c r="AX24" s="312">
        <f t="shared" si="15"/>
        <v>279118075.29012167</v>
      </c>
      <c r="AY24" s="312">
        <v>600</v>
      </c>
      <c r="AZ24" s="312">
        <f t="shared" si="15"/>
        <v>279118075.29012167</v>
      </c>
      <c r="BA24" s="312">
        <v>466</v>
      </c>
      <c r="BB24" s="312">
        <f t="shared" si="15"/>
        <v>216781705.14199451</v>
      </c>
      <c r="BC24" s="318">
        <f t="shared" ref="BC24:BD29" si="16">AE24+AG24+AI24+AK24+AM24+AO24+AQ24+AS24+AU24+AW24+AY24+BA24</f>
        <v>7066</v>
      </c>
      <c r="BD24" s="318">
        <f t="shared" si="16"/>
        <v>3287080533.3333321</v>
      </c>
      <c r="BE24" s="312"/>
      <c r="BF24" s="312"/>
      <c r="BG24" s="312"/>
      <c r="BH24" s="312"/>
      <c r="BI24" s="312"/>
      <c r="BJ24" s="312"/>
      <c r="BK24" s="312"/>
      <c r="BL24" s="312"/>
      <c r="BM24" s="312"/>
      <c r="BN24" s="312"/>
      <c r="BO24" s="312"/>
      <c r="BP24" s="312"/>
      <c r="BQ24" s="312"/>
      <c r="BR24" s="312"/>
      <c r="BS24" s="312"/>
      <c r="BT24" s="312"/>
      <c r="BU24" s="312"/>
      <c r="BV24" s="312"/>
      <c r="BW24" s="312"/>
      <c r="BX24" s="312"/>
      <c r="BY24" s="312"/>
      <c r="BZ24" s="312"/>
      <c r="CA24" s="312"/>
      <c r="CB24" s="312"/>
      <c r="CC24" s="318">
        <f t="shared" si="2"/>
        <v>0</v>
      </c>
      <c r="CD24" s="318">
        <f t="shared" si="2"/>
        <v>0</v>
      </c>
      <c r="CE24" s="312"/>
      <c r="CF24" s="312"/>
      <c r="CG24" s="312"/>
      <c r="CH24" s="312"/>
      <c r="CI24" s="312"/>
      <c r="CJ24" s="312"/>
      <c r="CK24" s="312"/>
      <c r="CL24" s="312"/>
      <c r="CM24" s="312"/>
      <c r="CN24" s="312"/>
      <c r="CO24" s="312"/>
      <c r="CP24" s="312"/>
      <c r="CQ24" s="312"/>
      <c r="CR24" s="312"/>
      <c r="CS24" s="312"/>
      <c r="CT24" s="312"/>
      <c r="CU24" s="312"/>
      <c r="CV24" s="312"/>
      <c r="CW24" s="312"/>
      <c r="CX24" s="312"/>
      <c r="CY24" s="312"/>
      <c r="CZ24" s="312"/>
      <c r="DA24" s="312"/>
      <c r="DB24" s="312"/>
      <c r="DC24" s="318">
        <f t="shared" ref="DC24:DD29" si="17">CE24+CG24+CI24+CK24+CM24+CO24+CQ24+CS24+CU24+CW24+CY24+DA24</f>
        <v>0</v>
      </c>
      <c r="DD24" s="318">
        <f t="shared" si="17"/>
        <v>0</v>
      </c>
      <c r="DE24" s="312"/>
      <c r="DF24" s="312"/>
      <c r="DG24" s="312"/>
      <c r="DH24" s="312"/>
      <c r="DI24" s="312"/>
      <c r="DJ24" s="312"/>
      <c r="DK24" s="312"/>
      <c r="DL24" s="312"/>
      <c r="DM24" s="312"/>
      <c r="DN24" s="312"/>
      <c r="DO24" s="312"/>
      <c r="DP24" s="312"/>
      <c r="DQ24" s="312"/>
      <c r="DR24" s="312"/>
      <c r="DS24" s="312"/>
      <c r="DT24" s="312"/>
      <c r="DU24" s="312"/>
      <c r="DV24" s="312"/>
      <c r="DW24" s="312"/>
      <c r="DX24" s="312"/>
      <c r="DY24" s="312"/>
      <c r="DZ24" s="312"/>
      <c r="EA24" s="312"/>
      <c r="EB24" s="312"/>
      <c r="EC24" s="318">
        <f t="shared" ref="EC24:ED29" si="18">DE24+DG24+DI24+DK24+DM24+DO24+DQ24+DS24+DU24+DW24+DY24+EA24</f>
        <v>0</v>
      </c>
      <c r="ED24" s="318">
        <f t="shared" si="18"/>
        <v>0</v>
      </c>
      <c r="EE24" s="312"/>
      <c r="EF24" s="312"/>
      <c r="EG24" s="312"/>
      <c r="EH24" s="312"/>
      <c r="EI24" s="312"/>
      <c r="EJ24" s="312"/>
      <c r="EK24" s="312"/>
      <c r="EL24" s="312"/>
      <c r="EM24" s="312"/>
      <c r="EN24" s="312"/>
      <c r="EO24" s="312"/>
      <c r="EP24" s="312"/>
      <c r="EQ24" s="312"/>
      <c r="ER24" s="312"/>
      <c r="ES24" s="312"/>
      <c r="ET24" s="312"/>
      <c r="EU24" s="312"/>
      <c r="EV24" s="312"/>
      <c r="EW24" s="312"/>
      <c r="EX24" s="312"/>
      <c r="EY24" s="312"/>
      <c r="EZ24" s="312"/>
      <c r="FA24" s="312"/>
      <c r="FB24" s="312"/>
      <c r="FC24" s="318">
        <f t="shared" ref="FC24:FD29" si="19">EE24+EG24+EI24+EK24+EM24+EO24+EQ24+ES24+EU24+EW24+EY24+FA24</f>
        <v>0</v>
      </c>
      <c r="FD24" s="318">
        <f t="shared" si="19"/>
        <v>0</v>
      </c>
      <c r="FE24" s="312"/>
      <c r="FF24" s="312"/>
      <c r="FG24" s="312"/>
      <c r="FH24" s="312"/>
      <c r="FI24" s="312"/>
      <c r="FJ24" s="312"/>
      <c r="FK24" s="312"/>
      <c r="FL24" s="312"/>
      <c r="FM24" s="312"/>
      <c r="FN24" s="312"/>
      <c r="FO24" s="312"/>
      <c r="FP24" s="312"/>
      <c r="FQ24" s="312"/>
      <c r="FR24" s="312"/>
      <c r="FS24" s="312"/>
      <c r="FT24" s="312"/>
      <c r="FU24" s="312"/>
      <c r="FV24" s="312"/>
      <c r="FW24" s="312"/>
      <c r="FX24" s="312"/>
      <c r="FY24" s="312"/>
      <c r="FZ24" s="312"/>
      <c r="GA24" s="312"/>
      <c r="GB24" s="312"/>
      <c r="GC24" s="318">
        <f t="shared" ref="GC24:GD29" si="20">FE24+FG24+FI24+FK24+FM24+FO24+FQ24+FS24+FU24+FW24+FY24+GA24</f>
        <v>0</v>
      </c>
      <c r="GD24" s="318">
        <f t="shared" si="20"/>
        <v>0</v>
      </c>
      <c r="GE24" s="312"/>
      <c r="GF24" s="312"/>
      <c r="GG24" s="312"/>
      <c r="GH24" s="312"/>
      <c r="GI24" s="312"/>
      <c r="GJ24" s="312"/>
      <c r="GK24" s="312"/>
      <c r="GL24" s="312"/>
      <c r="GM24" s="312"/>
      <c r="GN24" s="312"/>
      <c r="GO24" s="312"/>
      <c r="GP24" s="312"/>
      <c r="GQ24" s="312"/>
      <c r="GR24" s="312"/>
      <c r="GS24" s="312"/>
      <c r="GT24" s="312"/>
      <c r="GU24" s="312"/>
      <c r="GV24" s="312"/>
      <c r="GW24" s="312"/>
      <c r="GX24" s="312"/>
      <c r="GY24" s="312"/>
      <c r="GZ24" s="312"/>
      <c r="HA24" s="312"/>
      <c r="HB24" s="312"/>
      <c r="HC24" s="318">
        <f t="shared" ref="HC24:HD29" si="21">GE24+GG24+GI24+GK24+GM24+GO24+GQ24+GS24+GU24+GW24+GY24+HA24</f>
        <v>0</v>
      </c>
      <c r="HD24" s="318">
        <f t="shared" si="21"/>
        <v>0</v>
      </c>
      <c r="HE24" s="318">
        <f t="shared" ref="HE24:HF29" si="22">AC24+BC24+CC24+DC24+EC24+FC24</f>
        <v>7066</v>
      </c>
      <c r="HF24" s="318">
        <f t="shared" si="22"/>
        <v>3287080533.3333321</v>
      </c>
    </row>
    <row r="25" spans="1:216" hidden="1" x14ac:dyDescent="0.2">
      <c r="B25" s="316" t="s">
        <v>406</v>
      </c>
      <c r="C25" s="317">
        <v>1098119.3461647325</v>
      </c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2"/>
      <c r="O25" s="312"/>
      <c r="P25" s="312"/>
      <c r="Q25" s="312"/>
      <c r="R25" s="312"/>
      <c r="S25" s="312"/>
      <c r="T25" s="312"/>
      <c r="U25" s="312"/>
      <c r="V25" s="312"/>
      <c r="W25" s="312"/>
      <c r="X25" s="312"/>
      <c r="Y25" s="312"/>
      <c r="Z25" s="312"/>
      <c r="AA25" s="261"/>
      <c r="AB25" s="312"/>
      <c r="AC25" s="318">
        <f t="shared" si="14"/>
        <v>0</v>
      </c>
      <c r="AD25" s="318">
        <f t="shared" si="14"/>
        <v>0</v>
      </c>
      <c r="AE25" s="261">
        <v>600</v>
      </c>
      <c r="AF25" s="312">
        <f t="shared" ref="AF25:BB25" si="23">$C$25*AE25</f>
        <v>658871607.69883943</v>
      </c>
      <c r="AG25" s="312">
        <v>600</v>
      </c>
      <c r="AH25" s="312">
        <f t="shared" si="23"/>
        <v>658871607.69883943</v>
      </c>
      <c r="AI25" s="312">
        <v>600</v>
      </c>
      <c r="AJ25" s="312">
        <f t="shared" si="23"/>
        <v>658871607.69883943</v>
      </c>
      <c r="AK25" s="312">
        <v>600</v>
      </c>
      <c r="AL25" s="312">
        <f t="shared" si="23"/>
        <v>658871607.69883943</v>
      </c>
      <c r="AM25" s="312">
        <v>600</v>
      </c>
      <c r="AN25" s="312">
        <f t="shared" si="23"/>
        <v>658871607.69883943</v>
      </c>
      <c r="AO25" s="312">
        <v>600</v>
      </c>
      <c r="AP25" s="312">
        <f t="shared" si="23"/>
        <v>658871607.69883943</v>
      </c>
      <c r="AQ25" s="312">
        <v>600</v>
      </c>
      <c r="AR25" s="312">
        <f t="shared" si="23"/>
        <v>658871607.69883943</v>
      </c>
      <c r="AS25" s="312">
        <v>600</v>
      </c>
      <c r="AT25" s="312">
        <f t="shared" si="23"/>
        <v>658871607.69883943</v>
      </c>
      <c r="AU25" s="312">
        <v>600</v>
      </c>
      <c r="AV25" s="312">
        <f t="shared" si="23"/>
        <v>658871607.69883943</v>
      </c>
      <c r="AW25" s="312">
        <v>600</v>
      </c>
      <c r="AX25" s="312">
        <f t="shared" si="23"/>
        <v>658871607.69883943</v>
      </c>
      <c r="AY25" s="312">
        <v>600</v>
      </c>
      <c r="AZ25" s="312">
        <f t="shared" si="23"/>
        <v>658871607.69883943</v>
      </c>
      <c r="BA25" s="312">
        <v>466</v>
      </c>
      <c r="BB25" s="312">
        <f t="shared" si="23"/>
        <v>511723615.31276536</v>
      </c>
      <c r="BC25" s="318">
        <f t="shared" si="16"/>
        <v>7066</v>
      </c>
      <c r="BD25" s="318">
        <f t="shared" si="16"/>
        <v>7759311299.9999971</v>
      </c>
      <c r="BE25" s="312"/>
      <c r="BF25" s="312"/>
      <c r="BG25" s="312"/>
      <c r="BH25" s="312"/>
      <c r="BI25" s="312"/>
      <c r="BJ25" s="312"/>
      <c r="BK25" s="312"/>
      <c r="BL25" s="312"/>
      <c r="BM25" s="312"/>
      <c r="BN25" s="312"/>
      <c r="BO25" s="312"/>
      <c r="BP25" s="312"/>
      <c r="BQ25" s="312"/>
      <c r="BR25" s="312"/>
      <c r="BS25" s="312"/>
      <c r="BT25" s="312"/>
      <c r="BU25" s="312"/>
      <c r="BV25" s="312"/>
      <c r="BW25" s="312"/>
      <c r="BX25" s="312"/>
      <c r="BY25" s="312"/>
      <c r="BZ25" s="312"/>
      <c r="CA25" s="312"/>
      <c r="CB25" s="312"/>
      <c r="CC25" s="318">
        <f t="shared" si="2"/>
        <v>0</v>
      </c>
      <c r="CD25" s="318">
        <f t="shared" si="2"/>
        <v>0</v>
      </c>
      <c r="CE25" s="312"/>
      <c r="CF25" s="312"/>
      <c r="CG25" s="312"/>
      <c r="CH25" s="312"/>
      <c r="CI25" s="312"/>
      <c r="CJ25" s="312"/>
      <c r="CK25" s="312"/>
      <c r="CL25" s="312"/>
      <c r="CM25" s="312"/>
      <c r="CN25" s="312"/>
      <c r="CO25" s="312"/>
      <c r="CP25" s="312"/>
      <c r="CQ25" s="312"/>
      <c r="CR25" s="312"/>
      <c r="CS25" s="312"/>
      <c r="CT25" s="312"/>
      <c r="CU25" s="312"/>
      <c r="CV25" s="312"/>
      <c r="CW25" s="312"/>
      <c r="CX25" s="312"/>
      <c r="CY25" s="312"/>
      <c r="CZ25" s="312"/>
      <c r="DA25" s="312"/>
      <c r="DB25" s="312"/>
      <c r="DC25" s="318">
        <f t="shared" si="17"/>
        <v>0</v>
      </c>
      <c r="DD25" s="318">
        <f t="shared" si="17"/>
        <v>0</v>
      </c>
      <c r="DE25" s="312"/>
      <c r="DF25" s="312"/>
      <c r="DG25" s="312"/>
      <c r="DH25" s="312"/>
      <c r="DI25" s="312"/>
      <c r="DJ25" s="312"/>
      <c r="DK25" s="312"/>
      <c r="DL25" s="312"/>
      <c r="DM25" s="312"/>
      <c r="DN25" s="312"/>
      <c r="DO25" s="312"/>
      <c r="DP25" s="312"/>
      <c r="DQ25" s="312"/>
      <c r="DR25" s="312"/>
      <c r="DS25" s="312"/>
      <c r="DT25" s="312"/>
      <c r="DU25" s="312"/>
      <c r="DV25" s="312"/>
      <c r="DW25" s="312"/>
      <c r="DX25" s="312"/>
      <c r="DY25" s="312"/>
      <c r="DZ25" s="312"/>
      <c r="EA25" s="312"/>
      <c r="EB25" s="312"/>
      <c r="EC25" s="318">
        <f t="shared" si="18"/>
        <v>0</v>
      </c>
      <c r="ED25" s="318">
        <f t="shared" si="18"/>
        <v>0</v>
      </c>
      <c r="EE25" s="312"/>
      <c r="EF25" s="312"/>
      <c r="EG25" s="312"/>
      <c r="EH25" s="312"/>
      <c r="EI25" s="312"/>
      <c r="EJ25" s="312"/>
      <c r="EK25" s="312"/>
      <c r="EL25" s="312"/>
      <c r="EM25" s="312"/>
      <c r="EN25" s="312"/>
      <c r="EO25" s="312"/>
      <c r="EP25" s="312"/>
      <c r="EQ25" s="312"/>
      <c r="ER25" s="312"/>
      <c r="ES25" s="312"/>
      <c r="ET25" s="312"/>
      <c r="EU25" s="312"/>
      <c r="EV25" s="312"/>
      <c r="EW25" s="312"/>
      <c r="EX25" s="312"/>
      <c r="EY25" s="312"/>
      <c r="EZ25" s="312"/>
      <c r="FA25" s="312"/>
      <c r="FB25" s="312"/>
      <c r="FC25" s="318">
        <f t="shared" si="19"/>
        <v>0</v>
      </c>
      <c r="FD25" s="318">
        <f t="shared" si="19"/>
        <v>0</v>
      </c>
      <c r="FE25" s="312"/>
      <c r="FF25" s="312"/>
      <c r="FG25" s="312"/>
      <c r="FH25" s="312"/>
      <c r="FI25" s="312"/>
      <c r="FJ25" s="312"/>
      <c r="FK25" s="312"/>
      <c r="FL25" s="312"/>
      <c r="FM25" s="312"/>
      <c r="FN25" s="312"/>
      <c r="FO25" s="312"/>
      <c r="FP25" s="312"/>
      <c r="FQ25" s="312"/>
      <c r="FR25" s="312"/>
      <c r="FS25" s="312"/>
      <c r="FT25" s="312"/>
      <c r="FU25" s="312"/>
      <c r="FV25" s="312"/>
      <c r="FW25" s="312"/>
      <c r="FX25" s="312"/>
      <c r="FY25" s="312"/>
      <c r="FZ25" s="312"/>
      <c r="GA25" s="312"/>
      <c r="GB25" s="312"/>
      <c r="GC25" s="318">
        <f t="shared" si="20"/>
        <v>0</v>
      </c>
      <c r="GD25" s="318">
        <f t="shared" si="20"/>
        <v>0</v>
      </c>
      <c r="GE25" s="312"/>
      <c r="GF25" s="312"/>
      <c r="GG25" s="312"/>
      <c r="GH25" s="312"/>
      <c r="GI25" s="312"/>
      <c r="GJ25" s="312"/>
      <c r="GK25" s="312"/>
      <c r="GL25" s="312"/>
      <c r="GM25" s="312"/>
      <c r="GN25" s="312"/>
      <c r="GO25" s="312"/>
      <c r="GP25" s="312"/>
      <c r="GQ25" s="312"/>
      <c r="GR25" s="312"/>
      <c r="GS25" s="312"/>
      <c r="GT25" s="312"/>
      <c r="GU25" s="312"/>
      <c r="GV25" s="312"/>
      <c r="GW25" s="312"/>
      <c r="GX25" s="312"/>
      <c r="GY25" s="312"/>
      <c r="GZ25" s="312"/>
      <c r="HA25" s="312"/>
      <c r="HB25" s="312"/>
      <c r="HC25" s="318">
        <f t="shared" si="21"/>
        <v>0</v>
      </c>
      <c r="HD25" s="318">
        <f t="shared" si="21"/>
        <v>0</v>
      </c>
      <c r="HE25" s="318">
        <f t="shared" si="22"/>
        <v>7066</v>
      </c>
      <c r="HF25" s="318">
        <f t="shared" si="22"/>
        <v>7759311299.9999971</v>
      </c>
    </row>
    <row r="26" spans="1:216" hidden="1" x14ac:dyDescent="0.2">
      <c r="A26" s="319"/>
      <c r="B26" s="316" t="s">
        <v>407</v>
      </c>
      <c r="C26" s="317">
        <v>2399400</v>
      </c>
      <c r="D26" s="319"/>
      <c r="E26" s="320"/>
      <c r="F26" s="320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Z26" s="320"/>
      <c r="AA26" s="320"/>
      <c r="AB26" s="320"/>
      <c r="AC26" s="318">
        <f>E26+G26+I26+K26+M26+O26+Q26+S26+U26+W26+Y26+AA26</f>
        <v>0</v>
      </c>
      <c r="AD26" s="318">
        <f>F26+H26+J26+L26+N26+P26+R26+T26+V26+X26+Z26+AB26</f>
        <v>0</v>
      </c>
      <c r="AE26" s="320"/>
      <c r="AF26" s="320"/>
      <c r="AG26" s="320"/>
      <c r="AH26" s="320"/>
      <c r="AI26" s="320"/>
      <c r="AJ26" s="320"/>
      <c r="AK26" s="312"/>
      <c r="AL26" s="312"/>
      <c r="AM26" s="312"/>
      <c r="AN26" s="312"/>
      <c r="AO26" s="312"/>
      <c r="AP26" s="312"/>
      <c r="AQ26" s="312"/>
      <c r="AR26" s="312"/>
      <c r="AS26" s="261">
        <v>300</v>
      </c>
      <c r="AT26" s="312">
        <f>$C$26*AS26</f>
        <v>719820000</v>
      </c>
      <c r="AU26" s="312">
        <v>400</v>
      </c>
      <c r="AV26" s="312">
        <f>$C$26*AU26</f>
        <v>959760000</v>
      </c>
      <c r="AW26" s="312">
        <v>400</v>
      </c>
      <c r="AX26" s="312">
        <f>$C$26*AW26</f>
        <v>959760000</v>
      </c>
      <c r="AY26" s="312">
        <v>400</v>
      </c>
      <c r="AZ26" s="312">
        <f>$C$26*AY26</f>
        <v>959760000</v>
      </c>
      <c r="BA26" s="312">
        <v>500</v>
      </c>
      <c r="BB26" s="312">
        <f>$C$26*BA26</f>
        <v>1199700000</v>
      </c>
      <c r="BC26" s="318">
        <f>AE26+AG26+AI26+AK26+AM26+AO26+AQ26+AS26+AU26+AW26+AY26+BA26</f>
        <v>2000</v>
      </c>
      <c r="BD26" s="318">
        <f>AF26+AH26+AJ26+AL26+AN26+AP26+AR26+AT26+AV26+AX26+AZ26+BB26</f>
        <v>4798800000</v>
      </c>
      <c r="BE26" s="312">
        <v>500</v>
      </c>
      <c r="BF26" s="312">
        <f t="shared" ref="BF26:BZ26" si="24">$C$26*BE26</f>
        <v>1199700000</v>
      </c>
      <c r="BG26" s="312">
        <v>500</v>
      </c>
      <c r="BH26" s="312">
        <f t="shared" si="24"/>
        <v>1199700000</v>
      </c>
      <c r="BI26" s="312">
        <v>500</v>
      </c>
      <c r="BJ26" s="312">
        <f t="shared" si="24"/>
        <v>1199700000</v>
      </c>
      <c r="BK26" s="312">
        <v>500</v>
      </c>
      <c r="BL26" s="312">
        <f t="shared" si="24"/>
        <v>1199700000</v>
      </c>
      <c r="BM26" s="312">
        <v>500</v>
      </c>
      <c r="BN26" s="312">
        <f t="shared" si="24"/>
        <v>1199700000</v>
      </c>
      <c r="BO26" s="312">
        <v>400</v>
      </c>
      <c r="BP26" s="312">
        <f t="shared" si="24"/>
        <v>959760000</v>
      </c>
      <c r="BQ26" s="312">
        <v>400</v>
      </c>
      <c r="BR26" s="312">
        <f t="shared" si="24"/>
        <v>959760000</v>
      </c>
      <c r="BS26" s="312">
        <v>400</v>
      </c>
      <c r="BT26" s="312">
        <f t="shared" si="24"/>
        <v>959760000</v>
      </c>
      <c r="BU26" s="312">
        <v>500</v>
      </c>
      <c r="BV26" s="312">
        <f t="shared" si="24"/>
        <v>1199700000</v>
      </c>
      <c r="BW26" s="312">
        <v>400</v>
      </c>
      <c r="BX26" s="312">
        <f t="shared" si="24"/>
        <v>959760000</v>
      </c>
      <c r="BY26" s="312">
        <v>466</v>
      </c>
      <c r="BZ26" s="312">
        <f t="shared" si="24"/>
        <v>1118120400</v>
      </c>
      <c r="CA26" s="312"/>
      <c r="CB26" s="312"/>
      <c r="CC26" s="318">
        <f>BE26+BG26+BI26+BK26+BM26+BO26+BQ26+BS26+BU26+BW26+BY26+CA26</f>
        <v>5066</v>
      </c>
      <c r="CD26" s="318">
        <f>BF26+BH26+BJ26+BL26+BN26+BP26+BR26+BT26+BV26+BX26+BZ26+CB26</f>
        <v>12155360400</v>
      </c>
      <c r="CE26" s="312"/>
      <c r="CF26" s="312"/>
      <c r="CG26" s="312"/>
      <c r="CH26" s="312"/>
      <c r="CI26" s="312"/>
      <c r="CJ26" s="312"/>
      <c r="CK26" s="312"/>
      <c r="CL26" s="312"/>
      <c r="CM26" s="312"/>
      <c r="CN26" s="312"/>
      <c r="CO26" s="312"/>
      <c r="CP26" s="312"/>
      <c r="CQ26" s="312"/>
      <c r="CR26" s="312"/>
      <c r="CS26" s="312"/>
      <c r="CT26" s="312"/>
      <c r="CU26" s="320"/>
      <c r="CV26" s="320"/>
      <c r="CW26" s="320"/>
      <c r="CX26" s="320"/>
      <c r="CY26" s="320"/>
      <c r="CZ26" s="320"/>
      <c r="DA26" s="320"/>
      <c r="DB26" s="320"/>
      <c r="DC26" s="318">
        <f>CE26+CG26+CI26+CK26+CM26+CO26+CQ26+CS26+CU26+CW26+CY26+DA26</f>
        <v>0</v>
      </c>
      <c r="DD26" s="318">
        <f>CF26+CH26+CJ26+CL26+CN26+CP26+CR26+CT26+CV26+CX26+CZ26+DB26</f>
        <v>0</v>
      </c>
      <c r="DE26" s="320"/>
      <c r="DF26" s="320"/>
      <c r="DG26" s="320"/>
      <c r="DH26" s="320"/>
      <c r="DI26" s="320"/>
      <c r="DJ26" s="320"/>
      <c r="DK26" s="320"/>
      <c r="DL26" s="320"/>
      <c r="DM26" s="320"/>
      <c r="DN26" s="320"/>
      <c r="DO26" s="320"/>
      <c r="DP26" s="320"/>
      <c r="DQ26" s="320"/>
      <c r="DR26" s="320"/>
      <c r="DS26" s="320"/>
      <c r="DT26" s="320"/>
      <c r="DU26" s="320"/>
      <c r="DV26" s="320"/>
      <c r="DW26" s="320"/>
      <c r="DX26" s="320"/>
      <c r="DY26" s="320"/>
      <c r="DZ26" s="320"/>
      <c r="EA26" s="320"/>
      <c r="EB26" s="320"/>
      <c r="EC26" s="318">
        <f>DE26+DG26+DI26+DK26+DM26+DO26+DQ26+DS26+DU26+DW26+DY26+EA26</f>
        <v>0</v>
      </c>
      <c r="ED26" s="318">
        <f>DF26+DH26+DJ26+DL26+DN26+DP26+DR26+DT26+DV26+DX26+DZ26+EB26</f>
        <v>0</v>
      </c>
      <c r="EE26" s="320"/>
      <c r="EF26" s="320"/>
      <c r="EG26" s="320"/>
      <c r="EH26" s="320"/>
      <c r="EI26" s="320"/>
      <c r="EJ26" s="320"/>
      <c r="EK26" s="320"/>
      <c r="EL26" s="320"/>
      <c r="EM26" s="320"/>
      <c r="EN26" s="320"/>
      <c r="EO26" s="320"/>
      <c r="EP26" s="320"/>
      <c r="EQ26" s="320"/>
      <c r="ER26" s="320"/>
      <c r="ES26" s="320"/>
      <c r="ET26" s="320"/>
      <c r="EU26" s="320"/>
      <c r="EV26" s="320"/>
      <c r="EW26" s="320"/>
      <c r="EX26" s="320"/>
      <c r="EY26" s="320"/>
      <c r="EZ26" s="320"/>
      <c r="FA26" s="320"/>
      <c r="FB26" s="320"/>
      <c r="FC26" s="318">
        <f>EE26+EG26+EI26+EK26+EM26+EO26+EQ26+ES26+EU26+EW26+EY26+FA26</f>
        <v>0</v>
      </c>
      <c r="FD26" s="318">
        <f>EF26+EH26+EJ26+EL26+EN26+EP26+ER26+ET26+EV26+EX26+EZ26+FB26</f>
        <v>0</v>
      </c>
      <c r="FE26" s="320"/>
      <c r="FF26" s="320"/>
      <c r="FG26" s="320"/>
      <c r="FH26" s="320"/>
      <c r="FI26" s="320"/>
      <c r="FJ26" s="320"/>
      <c r="FK26" s="320"/>
      <c r="FL26" s="320"/>
      <c r="FM26" s="320"/>
      <c r="FN26" s="320"/>
      <c r="FO26" s="320"/>
      <c r="FP26" s="320"/>
      <c r="FQ26" s="320"/>
      <c r="FR26" s="320"/>
      <c r="FS26" s="320"/>
      <c r="FT26" s="320"/>
      <c r="FU26" s="320"/>
      <c r="FV26" s="320"/>
      <c r="FW26" s="320"/>
      <c r="FX26" s="320"/>
      <c r="FY26" s="320"/>
      <c r="FZ26" s="320"/>
      <c r="GA26" s="320"/>
      <c r="GB26" s="320"/>
      <c r="GC26" s="318">
        <f t="shared" si="20"/>
        <v>0</v>
      </c>
      <c r="GD26" s="318">
        <f t="shared" si="20"/>
        <v>0</v>
      </c>
      <c r="GE26" s="320"/>
      <c r="GF26" s="320"/>
      <c r="GG26" s="320"/>
      <c r="GH26" s="320"/>
      <c r="GI26" s="320"/>
      <c r="GJ26" s="320"/>
      <c r="GK26" s="320"/>
      <c r="GL26" s="320"/>
      <c r="GM26" s="320"/>
      <c r="GN26" s="320"/>
      <c r="GO26" s="320"/>
      <c r="GP26" s="320"/>
      <c r="GQ26" s="320"/>
      <c r="GR26" s="320"/>
      <c r="GS26" s="320"/>
      <c r="GT26" s="320"/>
      <c r="GU26" s="320"/>
      <c r="GV26" s="320"/>
      <c r="GW26" s="320"/>
      <c r="GX26" s="320"/>
      <c r="GY26" s="320"/>
      <c r="GZ26" s="320"/>
      <c r="HA26" s="320"/>
      <c r="HB26" s="320"/>
      <c r="HC26" s="318">
        <f t="shared" si="21"/>
        <v>0</v>
      </c>
      <c r="HD26" s="318">
        <f t="shared" si="21"/>
        <v>0</v>
      </c>
      <c r="HE26" s="318">
        <f t="shared" si="22"/>
        <v>7066</v>
      </c>
      <c r="HF26" s="318">
        <f t="shared" si="22"/>
        <v>16954160400</v>
      </c>
    </row>
    <row r="27" spans="1:216" hidden="1" x14ac:dyDescent="0.2">
      <c r="A27" s="319"/>
      <c r="B27" s="316" t="s">
        <v>408</v>
      </c>
      <c r="C27" s="317">
        <v>4333333.333333333</v>
      </c>
      <c r="D27" s="319"/>
      <c r="E27" s="320"/>
      <c r="F27" s="320"/>
      <c r="G27" s="320"/>
      <c r="H27" s="320"/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12"/>
      <c r="W27" s="320"/>
      <c r="X27" s="312"/>
      <c r="Y27" s="320"/>
      <c r="Z27" s="312"/>
      <c r="AA27" s="320"/>
      <c r="AB27" s="312"/>
      <c r="AC27" s="318">
        <f t="shared" si="14"/>
        <v>0</v>
      </c>
      <c r="AD27" s="318">
        <f t="shared" si="14"/>
        <v>0</v>
      </c>
      <c r="AE27" s="262"/>
      <c r="AF27" s="312"/>
      <c r="AG27" s="262"/>
      <c r="AH27" s="312"/>
      <c r="AI27" s="262"/>
      <c r="AJ27" s="312"/>
      <c r="AK27" s="262">
        <v>150</v>
      </c>
      <c r="AL27" s="312">
        <f t="shared" ref="AL27:BB27" si="25">$C$27*AK27</f>
        <v>650000000</v>
      </c>
      <c r="AM27" s="320">
        <v>150</v>
      </c>
      <c r="AN27" s="312">
        <f t="shared" si="25"/>
        <v>650000000</v>
      </c>
      <c r="AO27" s="320">
        <v>150</v>
      </c>
      <c r="AP27" s="312">
        <f t="shared" si="25"/>
        <v>650000000</v>
      </c>
      <c r="AQ27" s="320">
        <v>150</v>
      </c>
      <c r="AR27" s="312">
        <f t="shared" si="25"/>
        <v>650000000</v>
      </c>
      <c r="AS27" s="320">
        <v>250</v>
      </c>
      <c r="AT27" s="312">
        <f t="shared" si="25"/>
        <v>1083333333.3333333</v>
      </c>
      <c r="AU27" s="320">
        <v>250</v>
      </c>
      <c r="AV27" s="312">
        <f t="shared" si="25"/>
        <v>1083333333.3333333</v>
      </c>
      <c r="AW27" s="320">
        <v>250</v>
      </c>
      <c r="AX27" s="312">
        <f t="shared" si="25"/>
        <v>1083333333.3333333</v>
      </c>
      <c r="AY27" s="320">
        <v>250</v>
      </c>
      <c r="AZ27" s="312">
        <f t="shared" si="25"/>
        <v>1083333333.3333333</v>
      </c>
      <c r="BA27" s="320">
        <v>250</v>
      </c>
      <c r="BB27" s="312">
        <f t="shared" si="25"/>
        <v>1083333333.3333333</v>
      </c>
      <c r="BC27" s="318">
        <f t="shared" si="16"/>
        <v>1850</v>
      </c>
      <c r="BD27" s="318">
        <f t="shared" si="16"/>
        <v>8016666666.6666651</v>
      </c>
      <c r="BE27" s="320">
        <v>250</v>
      </c>
      <c r="BF27" s="312">
        <f t="shared" ref="BF27:CB27" si="26">$C$27*BE27</f>
        <v>1083333333.3333333</v>
      </c>
      <c r="BG27" s="320">
        <v>250</v>
      </c>
      <c r="BH27" s="312">
        <f t="shared" si="26"/>
        <v>1083333333.3333333</v>
      </c>
      <c r="BI27" s="320">
        <v>250</v>
      </c>
      <c r="BJ27" s="312">
        <f t="shared" si="26"/>
        <v>1083333333.3333333</v>
      </c>
      <c r="BK27" s="320">
        <v>250</v>
      </c>
      <c r="BL27" s="312">
        <f t="shared" si="26"/>
        <v>1083333333.3333333</v>
      </c>
      <c r="BM27" s="320">
        <v>250</v>
      </c>
      <c r="BN27" s="312">
        <f t="shared" si="26"/>
        <v>1083333333.3333333</v>
      </c>
      <c r="BO27" s="320">
        <v>250</v>
      </c>
      <c r="BP27" s="312">
        <f t="shared" si="26"/>
        <v>1083333333.3333333</v>
      </c>
      <c r="BQ27" s="320">
        <v>250</v>
      </c>
      <c r="BR27" s="312">
        <f t="shared" si="26"/>
        <v>1083333333.3333333</v>
      </c>
      <c r="BS27" s="320">
        <v>250</v>
      </c>
      <c r="BT27" s="312">
        <f t="shared" si="26"/>
        <v>1083333333.3333333</v>
      </c>
      <c r="BU27" s="320">
        <v>250</v>
      </c>
      <c r="BV27" s="312">
        <f t="shared" si="26"/>
        <v>1083333333.3333333</v>
      </c>
      <c r="BW27" s="320">
        <v>250</v>
      </c>
      <c r="BX27" s="312">
        <f t="shared" si="26"/>
        <v>1083333333.3333333</v>
      </c>
      <c r="BY27" s="320">
        <v>250</v>
      </c>
      <c r="BZ27" s="312">
        <f t="shared" si="26"/>
        <v>1083333333.3333333</v>
      </c>
      <c r="CA27" s="320">
        <v>250</v>
      </c>
      <c r="CB27" s="312">
        <f t="shared" si="26"/>
        <v>1083333333.3333333</v>
      </c>
      <c r="CC27" s="318">
        <f t="shared" si="2"/>
        <v>3000</v>
      </c>
      <c r="CD27" s="318">
        <f t="shared" si="2"/>
        <v>13000000000.000002</v>
      </c>
      <c r="CE27" s="320">
        <v>250</v>
      </c>
      <c r="CF27" s="312">
        <f>$C$27*CE27</f>
        <v>1083333333.3333333</v>
      </c>
      <c r="CG27" s="320">
        <v>250</v>
      </c>
      <c r="CH27" s="312">
        <f>$C$27*CG27</f>
        <v>1083333333.3333333</v>
      </c>
      <c r="CI27" s="320">
        <v>250</v>
      </c>
      <c r="CJ27" s="312">
        <f>$C$27*CI27</f>
        <v>1083333333.3333333</v>
      </c>
      <c r="CK27" s="320">
        <v>250</v>
      </c>
      <c r="CL27" s="312">
        <f>$C$27*CK27</f>
        <v>1083333333.3333333</v>
      </c>
      <c r="CM27" s="320">
        <v>250</v>
      </c>
      <c r="CN27" s="312">
        <f>$C$27*CM27</f>
        <v>1083333333.3333333</v>
      </c>
      <c r="CO27" s="320">
        <v>250</v>
      </c>
      <c r="CP27" s="312">
        <f>$C$27*CO27</f>
        <v>1083333333.3333333</v>
      </c>
      <c r="CQ27" s="320">
        <v>250</v>
      </c>
      <c r="CR27" s="312">
        <f>$C$27*CQ27</f>
        <v>1083333333.3333333</v>
      </c>
      <c r="CS27" s="320">
        <v>250</v>
      </c>
      <c r="CT27" s="312">
        <f>$C$27*CS27</f>
        <v>1083333333.3333333</v>
      </c>
      <c r="CU27" s="320">
        <v>216</v>
      </c>
      <c r="CV27" s="312">
        <f>$C$27*CU27</f>
        <v>935999999.99999988</v>
      </c>
      <c r="CW27" s="320"/>
      <c r="CX27" s="320"/>
      <c r="CY27" s="320"/>
      <c r="CZ27" s="320"/>
      <c r="DA27" s="320"/>
      <c r="DB27" s="320"/>
      <c r="DC27" s="318">
        <f t="shared" si="17"/>
        <v>2216</v>
      </c>
      <c r="DD27" s="318">
        <f t="shared" si="17"/>
        <v>9602666666.666666</v>
      </c>
      <c r="DE27" s="320"/>
      <c r="DF27" s="320"/>
      <c r="DG27" s="320"/>
      <c r="DH27" s="320"/>
      <c r="DI27" s="320"/>
      <c r="DJ27" s="320"/>
      <c r="DK27" s="320"/>
      <c r="DL27" s="320"/>
      <c r="DM27" s="320"/>
      <c r="DN27" s="320"/>
      <c r="DO27" s="320"/>
      <c r="DP27" s="320"/>
      <c r="DQ27" s="320"/>
      <c r="DR27" s="320"/>
      <c r="DS27" s="320"/>
      <c r="DT27" s="320"/>
      <c r="DU27" s="320"/>
      <c r="DV27" s="320"/>
      <c r="DW27" s="320"/>
      <c r="DX27" s="320"/>
      <c r="DY27" s="320"/>
      <c r="DZ27" s="320"/>
      <c r="EA27" s="320"/>
      <c r="EB27" s="320"/>
      <c r="EC27" s="318">
        <f t="shared" si="18"/>
        <v>0</v>
      </c>
      <c r="ED27" s="318">
        <f t="shared" si="18"/>
        <v>0</v>
      </c>
      <c r="EE27" s="320"/>
      <c r="EF27" s="320"/>
      <c r="EG27" s="320"/>
      <c r="EH27" s="320"/>
      <c r="EI27" s="320"/>
      <c r="EJ27" s="320"/>
      <c r="EK27" s="320"/>
      <c r="EL27" s="320"/>
      <c r="EM27" s="320"/>
      <c r="EN27" s="320"/>
      <c r="EO27" s="320"/>
      <c r="EP27" s="320"/>
      <c r="EQ27" s="320"/>
      <c r="ER27" s="320"/>
      <c r="ES27" s="320"/>
      <c r="ET27" s="320"/>
      <c r="EU27" s="320"/>
      <c r="EV27" s="320"/>
      <c r="EW27" s="320"/>
      <c r="EX27" s="320"/>
      <c r="EY27" s="320"/>
      <c r="EZ27" s="320"/>
      <c r="FA27" s="320"/>
      <c r="FB27" s="320"/>
      <c r="FC27" s="318">
        <f t="shared" si="19"/>
        <v>0</v>
      </c>
      <c r="FD27" s="318">
        <f t="shared" si="19"/>
        <v>0</v>
      </c>
      <c r="FE27" s="320"/>
      <c r="FF27" s="320"/>
      <c r="FG27" s="320"/>
      <c r="FH27" s="320"/>
      <c r="FI27" s="320"/>
      <c r="FJ27" s="320"/>
      <c r="FK27" s="320"/>
      <c r="FL27" s="320"/>
      <c r="FM27" s="320"/>
      <c r="FN27" s="320"/>
      <c r="FO27" s="320"/>
      <c r="FP27" s="320"/>
      <c r="FQ27" s="320"/>
      <c r="FR27" s="320"/>
      <c r="FS27" s="320"/>
      <c r="FT27" s="320"/>
      <c r="FU27" s="320"/>
      <c r="FV27" s="320"/>
      <c r="FW27" s="320"/>
      <c r="FX27" s="320"/>
      <c r="FY27" s="320"/>
      <c r="FZ27" s="320"/>
      <c r="GA27" s="320"/>
      <c r="GB27" s="320"/>
      <c r="GC27" s="318">
        <f t="shared" si="20"/>
        <v>0</v>
      </c>
      <c r="GD27" s="318">
        <f t="shared" si="20"/>
        <v>0</v>
      </c>
      <c r="GE27" s="320"/>
      <c r="GF27" s="320"/>
      <c r="GG27" s="320"/>
      <c r="GH27" s="320"/>
      <c r="GI27" s="320"/>
      <c r="GJ27" s="320"/>
      <c r="GK27" s="320"/>
      <c r="GL27" s="320"/>
      <c r="GM27" s="320"/>
      <c r="GN27" s="320"/>
      <c r="GO27" s="320"/>
      <c r="GP27" s="320"/>
      <c r="GQ27" s="320"/>
      <c r="GR27" s="320"/>
      <c r="GS27" s="320"/>
      <c r="GT27" s="320"/>
      <c r="GU27" s="320"/>
      <c r="GV27" s="320"/>
      <c r="GW27" s="320"/>
      <c r="GX27" s="320"/>
      <c r="GY27" s="320"/>
      <c r="GZ27" s="320"/>
      <c r="HA27" s="320"/>
      <c r="HB27" s="320"/>
      <c r="HC27" s="318">
        <f t="shared" si="21"/>
        <v>0</v>
      </c>
      <c r="HD27" s="318">
        <f t="shared" si="21"/>
        <v>0</v>
      </c>
      <c r="HE27" s="318">
        <f t="shared" si="22"/>
        <v>7066</v>
      </c>
      <c r="HF27" s="318">
        <f t="shared" si="22"/>
        <v>30619333333.333336</v>
      </c>
    </row>
    <row r="28" spans="1:216" hidden="1" x14ac:dyDescent="0.2">
      <c r="A28" s="319"/>
      <c r="B28" s="316" t="s">
        <v>353</v>
      </c>
      <c r="C28" s="317">
        <v>700000</v>
      </c>
      <c r="D28" s="319"/>
      <c r="E28" s="320"/>
      <c r="F28" s="320"/>
      <c r="G28" s="320"/>
      <c r="H28" s="320"/>
      <c r="I28" s="320"/>
      <c r="J28" s="320"/>
      <c r="K28" s="320"/>
      <c r="L28" s="320"/>
      <c r="M28" s="320"/>
      <c r="N28" s="320"/>
      <c r="O28" s="320"/>
      <c r="P28" s="320"/>
      <c r="Q28" s="320"/>
      <c r="R28" s="312"/>
      <c r="S28" s="320"/>
      <c r="T28" s="312"/>
      <c r="U28" s="320"/>
      <c r="V28" s="312"/>
      <c r="W28" s="320"/>
      <c r="X28" s="312"/>
      <c r="Y28" s="320"/>
      <c r="Z28" s="312"/>
      <c r="AA28" s="320"/>
      <c r="AB28" s="312"/>
      <c r="AC28" s="318">
        <f>E28+G28+I28+K28+M28+O28+Q28+S28+U28+W28+Y28+AA28</f>
        <v>0</v>
      </c>
      <c r="AD28" s="318">
        <f>F28+H28+J28+L28+N28+P28+R28+T28+V28+X28+Z28+AB28</f>
        <v>0</v>
      </c>
      <c r="AE28" s="320"/>
      <c r="AF28" s="312"/>
      <c r="AG28" s="320"/>
      <c r="AH28" s="312"/>
      <c r="AI28" s="320"/>
      <c r="AJ28" s="312"/>
      <c r="AK28" s="320"/>
      <c r="AL28" s="312"/>
      <c r="AM28" s="320"/>
      <c r="AN28" s="312"/>
      <c r="AO28" s="262"/>
      <c r="AP28" s="312"/>
      <c r="AQ28" s="320"/>
      <c r="AR28" s="312"/>
      <c r="AS28" s="320"/>
      <c r="AT28" s="312"/>
      <c r="AU28" s="320"/>
      <c r="AV28" s="312"/>
      <c r="AW28" s="262">
        <v>150</v>
      </c>
      <c r="AX28" s="312">
        <f>$C$28*AW28</f>
        <v>105000000</v>
      </c>
      <c r="AY28" s="320">
        <v>150</v>
      </c>
      <c r="AZ28" s="312">
        <f>$C$28*AY28</f>
        <v>105000000</v>
      </c>
      <c r="BA28" s="320">
        <v>150</v>
      </c>
      <c r="BB28" s="312">
        <f>$C$28*BA28</f>
        <v>105000000</v>
      </c>
      <c r="BC28" s="318">
        <f>AE28+AG28+AI28+AK28+AM28+AO28+AQ28+AS28+AU28+AW28+AY28+BA28</f>
        <v>450</v>
      </c>
      <c r="BD28" s="318">
        <f>AF28+AH28+AJ28+AL28+AN28+AP28+AR28+AT28+AV28+AX28+AZ28+BB28</f>
        <v>315000000</v>
      </c>
      <c r="BE28" s="320">
        <v>150</v>
      </c>
      <c r="BF28" s="312">
        <f>$C$28*BE28</f>
        <v>105000000</v>
      </c>
      <c r="BG28" s="320">
        <v>250</v>
      </c>
      <c r="BH28" s="312">
        <f>$C$28*BG28</f>
        <v>175000000</v>
      </c>
      <c r="BI28" s="320">
        <v>250</v>
      </c>
      <c r="BJ28" s="312">
        <f>$C$28*BI28</f>
        <v>175000000</v>
      </c>
      <c r="BK28" s="320">
        <v>250</v>
      </c>
      <c r="BL28" s="312">
        <f>$C$28*BK28</f>
        <v>175000000</v>
      </c>
      <c r="BM28" s="320">
        <v>250</v>
      </c>
      <c r="BN28" s="312">
        <f>$C$28*BM28</f>
        <v>175000000</v>
      </c>
      <c r="BO28" s="320">
        <v>250</v>
      </c>
      <c r="BP28" s="312">
        <f>$C$28*BO28</f>
        <v>175000000</v>
      </c>
      <c r="BQ28" s="320">
        <v>250</v>
      </c>
      <c r="BR28" s="312">
        <f>$C$28*BQ28</f>
        <v>175000000</v>
      </c>
      <c r="BS28" s="320">
        <v>250</v>
      </c>
      <c r="BT28" s="312">
        <f>$C$28*BS28</f>
        <v>175000000</v>
      </c>
      <c r="BU28" s="320">
        <v>250</v>
      </c>
      <c r="BV28" s="312">
        <f>$C$28*BU28</f>
        <v>175000000</v>
      </c>
      <c r="BW28" s="320">
        <v>250</v>
      </c>
      <c r="BX28" s="312">
        <f>$C$28*BW28</f>
        <v>175000000</v>
      </c>
      <c r="BY28" s="320">
        <v>250</v>
      </c>
      <c r="BZ28" s="312">
        <f>$C$28*BY28</f>
        <v>175000000</v>
      </c>
      <c r="CA28" s="320">
        <v>200</v>
      </c>
      <c r="CB28" s="312">
        <f>$C$28*CA28</f>
        <v>140000000</v>
      </c>
      <c r="CC28" s="318">
        <f t="shared" si="2"/>
        <v>2850</v>
      </c>
      <c r="CD28" s="318">
        <f>BF28+BH28+BJ28+BL28+BN28+BP28+BR28+BT28+BV28+BX28+BZ28+CB28</f>
        <v>1995000000</v>
      </c>
      <c r="CE28" s="320">
        <v>200</v>
      </c>
      <c r="CF28" s="312">
        <f>$C$28*CE28</f>
        <v>140000000</v>
      </c>
      <c r="CG28" s="320">
        <v>200</v>
      </c>
      <c r="CH28" s="312">
        <f>$C$28*CG28</f>
        <v>140000000</v>
      </c>
      <c r="CI28" s="320">
        <v>200</v>
      </c>
      <c r="CJ28" s="312">
        <f>$C$28*CI28</f>
        <v>140000000</v>
      </c>
      <c r="CK28" s="320">
        <v>200</v>
      </c>
      <c r="CL28" s="312">
        <f>$C$28*CK28</f>
        <v>140000000</v>
      </c>
      <c r="CM28" s="320">
        <v>200</v>
      </c>
      <c r="CN28" s="312">
        <f>$C$28*CM28</f>
        <v>140000000</v>
      </c>
      <c r="CO28" s="320">
        <v>200</v>
      </c>
      <c r="CP28" s="312">
        <f>$C$28*CO28</f>
        <v>140000000</v>
      </c>
      <c r="CQ28" s="320">
        <v>200</v>
      </c>
      <c r="CR28" s="312">
        <f>$C$28*CQ28</f>
        <v>140000000</v>
      </c>
      <c r="CS28" s="320">
        <v>200</v>
      </c>
      <c r="CT28" s="312">
        <f>$C$28*CS28</f>
        <v>140000000</v>
      </c>
      <c r="CU28" s="320">
        <v>200</v>
      </c>
      <c r="CV28" s="312">
        <f>$C$28*CU28</f>
        <v>140000000</v>
      </c>
      <c r="CW28" s="320">
        <v>200</v>
      </c>
      <c r="CX28" s="312">
        <f>$C$28*CW28</f>
        <v>140000000</v>
      </c>
      <c r="CY28" s="320">
        <v>200</v>
      </c>
      <c r="CZ28" s="312">
        <f>$C$28*CY28</f>
        <v>140000000</v>
      </c>
      <c r="DA28" s="320">
        <v>200</v>
      </c>
      <c r="DB28" s="312">
        <f>$C$28*DA28</f>
        <v>140000000</v>
      </c>
      <c r="DC28" s="318">
        <f>CE28+CG28+CI28+CK28+CM28+CO28+CQ28+CS28+CU28+CW28+CY28+DA28</f>
        <v>2400</v>
      </c>
      <c r="DD28" s="318">
        <f>CF28+CH28+CJ28+CL28+CN28+CP28+CR28+CT28+CV28+CX28+CZ28+DB28</f>
        <v>1680000000</v>
      </c>
      <c r="DE28" s="320">
        <v>200</v>
      </c>
      <c r="DF28" s="312">
        <f>$C$28*DE28</f>
        <v>140000000</v>
      </c>
      <c r="DG28" s="320">
        <v>200</v>
      </c>
      <c r="DH28" s="312">
        <f>$C$28*DG28</f>
        <v>140000000</v>
      </c>
      <c r="DI28" s="320">
        <v>200</v>
      </c>
      <c r="DJ28" s="312">
        <f>$C$28*DI28</f>
        <v>140000000</v>
      </c>
      <c r="DK28" s="320">
        <v>200</v>
      </c>
      <c r="DL28" s="312">
        <f>$C$28*DK28</f>
        <v>140000000</v>
      </c>
      <c r="DM28" s="320">
        <v>200</v>
      </c>
      <c r="DN28" s="312">
        <f>$C$28*DM28</f>
        <v>140000000</v>
      </c>
      <c r="DO28" s="320">
        <v>200</v>
      </c>
      <c r="DP28" s="312">
        <f>$C$28*DO28</f>
        <v>140000000</v>
      </c>
      <c r="DQ28" s="320">
        <v>166</v>
      </c>
      <c r="DR28" s="312">
        <f>$C$28*DQ28</f>
        <v>116200000</v>
      </c>
      <c r="DS28" s="320"/>
      <c r="DT28" s="312"/>
      <c r="DU28" s="320"/>
      <c r="DV28" s="320"/>
      <c r="DW28" s="320"/>
      <c r="DX28" s="320"/>
      <c r="DY28" s="320"/>
      <c r="DZ28" s="320"/>
      <c r="EA28" s="320"/>
      <c r="EB28" s="320"/>
      <c r="EC28" s="318">
        <f>DE28+DG28+DI28+DK28+DM28+DO28+DQ28+DS28+DU28+DW28+DY28+EA28</f>
        <v>1366</v>
      </c>
      <c r="ED28" s="318">
        <f>DF28+DH28+DJ28+DL28+DN28+DP28+DR28+DT28+DV28+DX28+DZ28+EB28</f>
        <v>956200000</v>
      </c>
      <c r="EE28" s="320"/>
      <c r="EF28" s="320"/>
      <c r="EG28" s="320"/>
      <c r="EH28" s="320"/>
      <c r="EI28" s="320"/>
      <c r="EJ28" s="320"/>
      <c r="EK28" s="320"/>
      <c r="EL28" s="320"/>
      <c r="EM28" s="320"/>
      <c r="EN28" s="320"/>
      <c r="EO28" s="320"/>
      <c r="EP28" s="320"/>
      <c r="EQ28" s="320"/>
      <c r="ER28" s="320"/>
      <c r="ES28" s="320"/>
      <c r="ET28" s="320"/>
      <c r="EU28" s="320"/>
      <c r="EV28" s="320"/>
      <c r="EW28" s="320"/>
      <c r="EX28" s="320"/>
      <c r="EY28" s="320"/>
      <c r="EZ28" s="320"/>
      <c r="FA28" s="320"/>
      <c r="FB28" s="320"/>
      <c r="FC28" s="318">
        <f>EE28+EG28+EI28+EK28+EM28+EO28+EQ28+ES28+EU28+EW28+EY28+FA28</f>
        <v>0</v>
      </c>
      <c r="FD28" s="318">
        <f>EF28+EH28+EJ28+EL28+EN28+EP28+ER28+ET28+EV28+EX28+EZ28+FB28</f>
        <v>0</v>
      </c>
      <c r="FE28" s="320"/>
      <c r="FF28" s="320"/>
      <c r="FG28" s="320"/>
      <c r="FH28" s="320"/>
      <c r="FI28" s="320"/>
      <c r="FJ28" s="320"/>
      <c r="FK28" s="320"/>
      <c r="FL28" s="320"/>
      <c r="FM28" s="320"/>
      <c r="FN28" s="320"/>
      <c r="FO28" s="320"/>
      <c r="FP28" s="320"/>
      <c r="FQ28" s="320"/>
      <c r="FR28" s="320"/>
      <c r="FS28" s="320"/>
      <c r="FT28" s="320"/>
      <c r="FU28" s="320"/>
      <c r="FV28" s="320"/>
      <c r="FW28" s="320"/>
      <c r="FX28" s="320"/>
      <c r="FY28" s="320"/>
      <c r="FZ28" s="320"/>
      <c r="GA28" s="320"/>
      <c r="GB28" s="320"/>
      <c r="GC28" s="318">
        <f t="shared" si="20"/>
        <v>0</v>
      </c>
      <c r="GD28" s="318">
        <f t="shared" si="20"/>
        <v>0</v>
      </c>
      <c r="GE28" s="320"/>
      <c r="GF28" s="320"/>
      <c r="GG28" s="320"/>
      <c r="GH28" s="320"/>
      <c r="GI28" s="320"/>
      <c r="GJ28" s="320"/>
      <c r="GK28" s="320"/>
      <c r="GL28" s="320"/>
      <c r="GM28" s="320"/>
      <c r="GN28" s="320"/>
      <c r="GO28" s="320"/>
      <c r="GP28" s="320"/>
      <c r="GQ28" s="320"/>
      <c r="GR28" s="320"/>
      <c r="GS28" s="320"/>
      <c r="GT28" s="320"/>
      <c r="GU28" s="320"/>
      <c r="GV28" s="320"/>
      <c r="GW28" s="320"/>
      <c r="GX28" s="320"/>
      <c r="GY28" s="320"/>
      <c r="GZ28" s="320"/>
      <c r="HA28" s="320"/>
      <c r="HB28" s="320"/>
      <c r="HC28" s="318">
        <f t="shared" si="21"/>
        <v>0</v>
      </c>
      <c r="HD28" s="318">
        <f t="shared" si="21"/>
        <v>0</v>
      </c>
      <c r="HE28" s="318">
        <f t="shared" si="22"/>
        <v>7066</v>
      </c>
      <c r="HF28" s="318">
        <f t="shared" si="22"/>
        <v>4946200000</v>
      </c>
    </row>
    <row r="29" spans="1:216" hidden="1" x14ac:dyDescent="0.2">
      <c r="A29" s="319"/>
      <c r="B29" s="316" t="s">
        <v>352</v>
      </c>
      <c r="C29" s="317">
        <v>375000</v>
      </c>
      <c r="D29" s="319"/>
      <c r="E29" s="320"/>
      <c r="F29" s="320"/>
      <c r="G29" s="320"/>
      <c r="H29" s="320"/>
      <c r="I29" s="320"/>
      <c r="J29" s="320"/>
      <c r="K29" s="320"/>
      <c r="L29" s="320"/>
      <c r="M29" s="320"/>
      <c r="N29" s="320"/>
      <c r="O29" s="320"/>
      <c r="P29" s="320"/>
      <c r="Q29" s="320"/>
      <c r="R29" s="312"/>
      <c r="S29" s="320"/>
      <c r="T29" s="312"/>
      <c r="U29" s="320"/>
      <c r="V29" s="312"/>
      <c r="W29" s="320"/>
      <c r="X29" s="312"/>
      <c r="Y29" s="320"/>
      <c r="Z29" s="312"/>
      <c r="AA29" s="320"/>
      <c r="AB29" s="312"/>
      <c r="AC29" s="318">
        <f t="shared" si="14"/>
        <v>0</v>
      </c>
      <c r="AD29" s="318">
        <f t="shared" si="14"/>
        <v>0</v>
      </c>
      <c r="AE29" s="262"/>
      <c r="AF29" s="312"/>
      <c r="AG29" s="320"/>
      <c r="AH29" s="312"/>
      <c r="AI29" s="262"/>
      <c r="AJ29" s="312"/>
      <c r="AK29" s="262">
        <v>500</v>
      </c>
      <c r="AL29" s="312">
        <f t="shared" ref="AL29:BB29" si="27">$C$29*AK29</f>
        <v>187500000</v>
      </c>
      <c r="AM29" s="320">
        <v>500</v>
      </c>
      <c r="AN29" s="312">
        <f t="shared" si="27"/>
        <v>187500000</v>
      </c>
      <c r="AO29" s="320">
        <v>500</v>
      </c>
      <c r="AP29" s="312">
        <f t="shared" si="27"/>
        <v>187500000</v>
      </c>
      <c r="AQ29" s="320">
        <v>500</v>
      </c>
      <c r="AR29" s="312">
        <f t="shared" si="27"/>
        <v>187500000</v>
      </c>
      <c r="AS29" s="320">
        <v>500</v>
      </c>
      <c r="AT29" s="312">
        <f t="shared" si="27"/>
        <v>187500000</v>
      </c>
      <c r="AU29" s="320">
        <v>500</v>
      </c>
      <c r="AV29" s="312">
        <f t="shared" si="27"/>
        <v>187500000</v>
      </c>
      <c r="AW29" s="320">
        <v>500</v>
      </c>
      <c r="AX29" s="312">
        <f t="shared" si="27"/>
        <v>187500000</v>
      </c>
      <c r="AY29" s="320">
        <v>500</v>
      </c>
      <c r="AZ29" s="312">
        <f t="shared" si="27"/>
        <v>187500000</v>
      </c>
      <c r="BA29" s="320">
        <v>500</v>
      </c>
      <c r="BB29" s="312">
        <f t="shared" si="27"/>
        <v>187500000</v>
      </c>
      <c r="BC29" s="318">
        <f t="shared" si="16"/>
        <v>4500</v>
      </c>
      <c r="BD29" s="318">
        <f t="shared" si="16"/>
        <v>1687500000</v>
      </c>
      <c r="BE29" s="320">
        <v>500</v>
      </c>
      <c r="BF29" s="312">
        <f t="shared" ref="BF29:BN29" si="28">$C$29*BE29</f>
        <v>187500000</v>
      </c>
      <c r="BG29" s="320">
        <v>500</v>
      </c>
      <c r="BH29" s="312">
        <f t="shared" si="28"/>
        <v>187500000</v>
      </c>
      <c r="BI29" s="320">
        <v>500</v>
      </c>
      <c r="BJ29" s="312">
        <f t="shared" si="28"/>
        <v>187500000</v>
      </c>
      <c r="BK29" s="320">
        <v>500</v>
      </c>
      <c r="BL29" s="312">
        <f t="shared" si="28"/>
        <v>187500000</v>
      </c>
      <c r="BM29" s="320">
        <v>566</v>
      </c>
      <c r="BN29" s="312">
        <f t="shared" si="28"/>
        <v>212250000</v>
      </c>
      <c r="BO29" s="320"/>
      <c r="BP29" s="312"/>
      <c r="BQ29" s="320"/>
      <c r="BR29" s="312"/>
      <c r="BS29" s="320"/>
      <c r="BT29" s="312"/>
      <c r="BU29" s="320"/>
      <c r="BV29" s="312"/>
      <c r="BW29" s="320"/>
      <c r="BX29" s="312"/>
      <c r="BY29" s="320"/>
      <c r="BZ29" s="312"/>
      <c r="CA29" s="320"/>
      <c r="CB29" s="312"/>
      <c r="CC29" s="318">
        <f t="shared" si="2"/>
        <v>2566</v>
      </c>
      <c r="CD29" s="318">
        <f t="shared" si="2"/>
        <v>962250000</v>
      </c>
      <c r="CE29" s="320"/>
      <c r="CF29" s="312"/>
      <c r="CG29" s="320"/>
      <c r="CH29" s="312"/>
      <c r="CI29" s="320"/>
      <c r="CJ29" s="312"/>
      <c r="CK29" s="320"/>
      <c r="CL29" s="312"/>
      <c r="CM29" s="320"/>
      <c r="CN29" s="312"/>
      <c r="CO29" s="320"/>
      <c r="CP29" s="320"/>
      <c r="CQ29" s="320"/>
      <c r="CR29" s="320"/>
      <c r="CS29" s="320"/>
      <c r="CT29" s="320"/>
      <c r="CU29" s="320"/>
      <c r="CV29" s="320"/>
      <c r="CW29" s="320"/>
      <c r="CX29" s="320"/>
      <c r="CY29" s="320"/>
      <c r="CZ29" s="320"/>
      <c r="DA29" s="320"/>
      <c r="DB29" s="320"/>
      <c r="DC29" s="318">
        <f t="shared" si="17"/>
        <v>0</v>
      </c>
      <c r="DD29" s="318">
        <f t="shared" si="17"/>
        <v>0</v>
      </c>
      <c r="DE29" s="320"/>
      <c r="DF29" s="320"/>
      <c r="DG29" s="320"/>
      <c r="DH29" s="320"/>
      <c r="DI29" s="320"/>
      <c r="DJ29" s="320"/>
      <c r="DK29" s="320"/>
      <c r="DL29" s="320"/>
      <c r="DM29" s="320"/>
      <c r="DN29" s="320"/>
      <c r="DO29" s="320"/>
      <c r="DP29" s="320"/>
      <c r="DQ29" s="320"/>
      <c r="DR29" s="320"/>
      <c r="DS29" s="320"/>
      <c r="DT29" s="320"/>
      <c r="DU29" s="320"/>
      <c r="DV29" s="320"/>
      <c r="DW29" s="320"/>
      <c r="DX29" s="320"/>
      <c r="DY29" s="320"/>
      <c r="DZ29" s="320"/>
      <c r="EA29" s="320"/>
      <c r="EB29" s="320"/>
      <c r="EC29" s="318">
        <f t="shared" si="18"/>
        <v>0</v>
      </c>
      <c r="ED29" s="318">
        <f t="shared" si="18"/>
        <v>0</v>
      </c>
      <c r="EE29" s="320"/>
      <c r="EF29" s="320"/>
      <c r="EG29" s="320"/>
      <c r="EH29" s="320"/>
      <c r="EI29" s="320"/>
      <c r="EJ29" s="320"/>
      <c r="EK29" s="320"/>
      <c r="EL29" s="320"/>
      <c r="EM29" s="320"/>
      <c r="EN29" s="320"/>
      <c r="EO29" s="320"/>
      <c r="EP29" s="320"/>
      <c r="EQ29" s="320"/>
      <c r="ER29" s="320"/>
      <c r="ES29" s="320"/>
      <c r="ET29" s="320"/>
      <c r="EU29" s="320"/>
      <c r="EV29" s="320"/>
      <c r="EW29" s="320"/>
      <c r="EX29" s="320"/>
      <c r="EY29" s="320"/>
      <c r="EZ29" s="320"/>
      <c r="FA29" s="320"/>
      <c r="FB29" s="320"/>
      <c r="FC29" s="318">
        <f t="shared" si="19"/>
        <v>0</v>
      </c>
      <c r="FD29" s="318">
        <f t="shared" si="19"/>
        <v>0</v>
      </c>
      <c r="FE29" s="320"/>
      <c r="FF29" s="320"/>
      <c r="FG29" s="320"/>
      <c r="FH29" s="320"/>
      <c r="FI29" s="320"/>
      <c r="FJ29" s="320"/>
      <c r="FK29" s="320"/>
      <c r="FL29" s="320"/>
      <c r="FM29" s="320"/>
      <c r="FN29" s="320"/>
      <c r="FO29" s="320"/>
      <c r="FP29" s="320"/>
      <c r="FQ29" s="320"/>
      <c r="FR29" s="320"/>
      <c r="FS29" s="320"/>
      <c r="FT29" s="320"/>
      <c r="FU29" s="320"/>
      <c r="FV29" s="320"/>
      <c r="FW29" s="320"/>
      <c r="FX29" s="320"/>
      <c r="FY29" s="320"/>
      <c r="FZ29" s="320"/>
      <c r="GA29" s="320"/>
      <c r="GB29" s="320"/>
      <c r="GC29" s="318">
        <f t="shared" si="20"/>
        <v>0</v>
      </c>
      <c r="GD29" s="318">
        <f t="shared" si="20"/>
        <v>0</v>
      </c>
      <c r="GE29" s="320"/>
      <c r="GF29" s="320"/>
      <c r="GG29" s="320"/>
      <c r="GH29" s="320"/>
      <c r="GI29" s="320"/>
      <c r="GJ29" s="320"/>
      <c r="GK29" s="320"/>
      <c r="GL29" s="320"/>
      <c r="GM29" s="320"/>
      <c r="GN29" s="320"/>
      <c r="GO29" s="320"/>
      <c r="GP29" s="320"/>
      <c r="GQ29" s="320"/>
      <c r="GR29" s="320"/>
      <c r="GS29" s="320"/>
      <c r="GT29" s="320"/>
      <c r="GU29" s="320"/>
      <c r="GV29" s="320"/>
      <c r="GW29" s="320"/>
      <c r="GX29" s="320"/>
      <c r="GY29" s="320"/>
      <c r="GZ29" s="320"/>
      <c r="HA29" s="320"/>
      <c r="HB29" s="320"/>
      <c r="HC29" s="318">
        <f t="shared" si="21"/>
        <v>0</v>
      </c>
      <c r="HD29" s="318">
        <f t="shared" si="21"/>
        <v>0</v>
      </c>
      <c r="HE29" s="318">
        <f t="shared" si="22"/>
        <v>7066</v>
      </c>
      <c r="HF29" s="318">
        <f t="shared" si="22"/>
        <v>2649750000</v>
      </c>
    </row>
    <row r="30" spans="1:216" hidden="1" x14ac:dyDescent="0.2">
      <c r="A30" s="323"/>
      <c r="B30" s="311"/>
      <c r="C30" s="311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312"/>
      <c r="AB30" s="312"/>
      <c r="AC30" s="312"/>
      <c r="AD30" s="312"/>
      <c r="AE30" s="312"/>
      <c r="AF30" s="312"/>
      <c r="AG30" s="312"/>
      <c r="AH30" s="312"/>
      <c r="AI30" s="312"/>
      <c r="AJ30" s="312"/>
      <c r="AK30" s="312"/>
      <c r="AL30" s="312"/>
      <c r="AM30" s="312"/>
      <c r="AN30" s="312"/>
      <c r="AO30" s="312"/>
      <c r="AP30" s="312"/>
      <c r="AQ30" s="312"/>
      <c r="AR30" s="312"/>
      <c r="AS30" s="312"/>
      <c r="AT30" s="312"/>
      <c r="AU30" s="312"/>
      <c r="AV30" s="312"/>
      <c r="AW30" s="312"/>
      <c r="AX30" s="312"/>
      <c r="AY30" s="312"/>
      <c r="AZ30" s="312"/>
      <c r="BA30" s="312"/>
      <c r="BB30" s="312"/>
      <c r="BC30" s="312"/>
      <c r="BD30" s="312"/>
      <c r="BE30" s="312"/>
      <c r="BF30" s="312"/>
      <c r="BG30" s="312"/>
      <c r="BH30" s="312"/>
      <c r="BI30" s="312"/>
      <c r="BJ30" s="312"/>
      <c r="BK30" s="312"/>
      <c r="BL30" s="312"/>
      <c r="BM30" s="312"/>
      <c r="BN30" s="312"/>
      <c r="BO30" s="312"/>
      <c r="BP30" s="312"/>
      <c r="BQ30" s="312"/>
      <c r="BR30" s="312"/>
      <c r="BS30" s="312"/>
      <c r="BT30" s="312"/>
      <c r="BU30" s="312"/>
      <c r="BV30" s="312"/>
      <c r="BW30" s="312"/>
      <c r="BX30" s="312"/>
      <c r="BY30" s="312"/>
      <c r="BZ30" s="312"/>
      <c r="CA30" s="312"/>
      <c r="CB30" s="312"/>
      <c r="CC30" s="312"/>
      <c r="CD30" s="312"/>
      <c r="CE30" s="312"/>
      <c r="CF30" s="312"/>
      <c r="CG30" s="312"/>
      <c r="CH30" s="312"/>
      <c r="CI30" s="312"/>
      <c r="CJ30" s="312"/>
      <c r="CK30" s="312"/>
      <c r="CL30" s="312"/>
      <c r="CM30" s="312"/>
      <c r="CN30" s="312"/>
      <c r="CO30" s="312"/>
      <c r="CP30" s="312"/>
      <c r="CQ30" s="312"/>
      <c r="CR30" s="312"/>
      <c r="CS30" s="312"/>
      <c r="CT30" s="312"/>
      <c r="CU30" s="312"/>
      <c r="CV30" s="312"/>
      <c r="CW30" s="312"/>
      <c r="CX30" s="312"/>
      <c r="CY30" s="312"/>
      <c r="CZ30" s="312"/>
      <c r="DA30" s="312"/>
      <c r="DB30" s="312"/>
      <c r="DC30" s="312"/>
      <c r="DD30" s="312"/>
      <c r="DE30" s="312"/>
      <c r="DF30" s="312"/>
      <c r="DG30" s="312"/>
      <c r="DH30" s="312"/>
      <c r="DI30" s="312"/>
      <c r="DJ30" s="312"/>
      <c r="DK30" s="312"/>
      <c r="DL30" s="312"/>
      <c r="DM30" s="312"/>
      <c r="DN30" s="312"/>
      <c r="DO30" s="312"/>
      <c r="DP30" s="312"/>
      <c r="DQ30" s="312"/>
      <c r="DR30" s="312"/>
      <c r="DS30" s="312"/>
      <c r="DT30" s="312"/>
      <c r="DU30" s="312"/>
      <c r="DV30" s="312"/>
      <c r="DW30" s="312"/>
      <c r="DX30" s="312"/>
      <c r="DY30" s="312"/>
      <c r="DZ30" s="312"/>
      <c r="EA30" s="312"/>
      <c r="EB30" s="312"/>
      <c r="EC30" s="312"/>
      <c r="ED30" s="312"/>
      <c r="EE30" s="312"/>
      <c r="EF30" s="312"/>
      <c r="EG30" s="312"/>
      <c r="EH30" s="312"/>
      <c r="EI30" s="312"/>
      <c r="EJ30" s="312"/>
      <c r="EK30" s="312"/>
      <c r="EL30" s="312"/>
      <c r="EM30" s="312"/>
      <c r="EN30" s="312"/>
      <c r="EO30" s="312"/>
      <c r="EP30" s="312"/>
      <c r="EQ30" s="312"/>
      <c r="ER30" s="312"/>
      <c r="ES30" s="312"/>
      <c r="ET30" s="312"/>
      <c r="EU30" s="312"/>
      <c r="EV30" s="312"/>
      <c r="EW30" s="312"/>
      <c r="EX30" s="312"/>
      <c r="EY30" s="312"/>
      <c r="EZ30" s="312"/>
      <c r="FA30" s="312"/>
      <c r="FB30" s="312"/>
      <c r="FC30" s="312"/>
      <c r="FD30" s="312"/>
      <c r="FE30" s="312"/>
      <c r="FF30" s="312"/>
      <c r="FG30" s="312"/>
      <c r="FH30" s="312"/>
      <c r="FI30" s="312"/>
      <c r="FJ30" s="312"/>
      <c r="FK30" s="312"/>
      <c r="FL30" s="312"/>
      <c r="FM30" s="312"/>
      <c r="FN30" s="312"/>
      <c r="FO30" s="312"/>
      <c r="FP30" s="312"/>
      <c r="FQ30" s="312"/>
      <c r="FR30" s="312"/>
      <c r="FS30" s="312"/>
      <c r="FT30" s="312"/>
      <c r="FU30" s="312"/>
      <c r="FV30" s="312"/>
      <c r="FW30" s="312"/>
      <c r="FX30" s="312"/>
      <c r="FY30" s="312"/>
      <c r="FZ30" s="312"/>
      <c r="GA30" s="312"/>
      <c r="GB30" s="312"/>
      <c r="GC30" s="312"/>
      <c r="GD30" s="312"/>
      <c r="GE30" s="312"/>
      <c r="GF30" s="312"/>
      <c r="GG30" s="312"/>
      <c r="GH30" s="312"/>
      <c r="GI30" s="312"/>
      <c r="GJ30" s="312"/>
      <c r="GK30" s="312"/>
      <c r="GL30" s="312"/>
      <c r="GM30" s="312"/>
      <c r="GN30" s="312"/>
      <c r="GO30" s="312"/>
      <c r="GP30" s="312"/>
      <c r="GQ30" s="312"/>
      <c r="GR30" s="312"/>
      <c r="GS30" s="312"/>
      <c r="GT30" s="312"/>
      <c r="GU30" s="312"/>
      <c r="GV30" s="312"/>
      <c r="GW30" s="312"/>
      <c r="GX30" s="312"/>
      <c r="GY30" s="312"/>
      <c r="GZ30" s="312"/>
      <c r="HA30" s="312"/>
      <c r="HB30" s="312"/>
      <c r="HC30" s="312"/>
      <c r="HD30" s="312"/>
      <c r="HE30" s="312"/>
      <c r="HF30" s="312"/>
      <c r="HH30" s="263">
        <f>HF31/D10</f>
        <v>332625944.09041393</v>
      </c>
    </row>
    <row r="31" spans="1:216" hidden="1" x14ac:dyDescent="0.2">
      <c r="A31" s="264"/>
      <c r="B31" s="265" t="s">
        <v>409</v>
      </c>
      <c r="C31" s="266">
        <f>SUM(C14:C30)</f>
        <v>57641049.471648268</v>
      </c>
      <c r="D31" s="265"/>
      <c r="E31" s="266"/>
      <c r="F31" s="266">
        <f>SUM(F14:F30)</f>
        <v>0</v>
      </c>
      <c r="G31" s="266"/>
      <c r="H31" s="266">
        <f>SUM(H14:H30)</f>
        <v>0</v>
      </c>
      <c r="I31" s="266"/>
      <c r="J31" s="266">
        <f>SUM(J14:J30)</f>
        <v>0</v>
      </c>
      <c r="K31" s="266"/>
      <c r="L31" s="266">
        <f>SUM(L14:L30)</f>
        <v>0</v>
      </c>
      <c r="M31" s="266"/>
      <c r="N31" s="266">
        <f>SUM(N14:N30)</f>
        <v>0</v>
      </c>
      <c r="O31" s="266"/>
      <c r="P31" s="266">
        <f>SUM(P14:P30)</f>
        <v>0</v>
      </c>
      <c r="Q31" s="266"/>
      <c r="R31" s="266">
        <f>SUM(R14:R30)</f>
        <v>0</v>
      </c>
      <c r="S31" s="266"/>
      <c r="T31" s="266">
        <f>SUM(T14:T30)</f>
        <v>0</v>
      </c>
      <c r="U31" s="266"/>
      <c r="V31" s="266">
        <f>SUM(V14:V30)</f>
        <v>0</v>
      </c>
      <c r="W31" s="266"/>
      <c r="X31" s="266">
        <f>SUM(X14:X30)</f>
        <v>0</v>
      </c>
      <c r="Y31" s="266"/>
      <c r="Z31" s="266">
        <f>SUM(Z14:Z30)</f>
        <v>0</v>
      </c>
      <c r="AA31" s="266"/>
      <c r="AB31" s="266">
        <f>SUM(AB14:AB30)</f>
        <v>0</v>
      </c>
      <c r="AC31" s="266"/>
      <c r="AD31" s="266">
        <f>SUM(AD14:AD30)</f>
        <v>0</v>
      </c>
      <c r="AE31" s="266"/>
      <c r="AF31" s="266">
        <f>SUM(AF14:AF30)</f>
        <v>1095489682.9889612</v>
      </c>
      <c r="AG31" s="266"/>
      <c r="AH31" s="266">
        <f>SUM(AH14:AH30)</f>
        <v>1095489682.9889612</v>
      </c>
      <c r="AI31" s="266"/>
      <c r="AJ31" s="266">
        <f>SUM(AJ14:AJ30)</f>
        <v>1095489682.9889612</v>
      </c>
      <c r="AK31" s="266"/>
      <c r="AL31" s="266">
        <f>SUM(AL14:AL30)</f>
        <v>1932989682.9889612</v>
      </c>
      <c r="AM31" s="266"/>
      <c r="AN31" s="266">
        <f>SUM(AN14:AN30)</f>
        <v>1932989682.9889612</v>
      </c>
      <c r="AO31" s="266"/>
      <c r="AP31" s="266">
        <f>SUM(AP14:AP30)</f>
        <v>1932989682.9889612</v>
      </c>
      <c r="AQ31" s="266"/>
      <c r="AR31" s="266">
        <f>SUM(AR14:AR30)</f>
        <v>3267989682.9889612</v>
      </c>
      <c r="AS31" s="266"/>
      <c r="AT31" s="266">
        <f>SUM(AT14:AT30)</f>
        <v>5587423016.3222942</v>
      </c>
      <c r="AU31" s="266"/>
      <c r="AV31" s="266">
        <f>SUM(AV14:AV30)</f>
        <v>12267083016.322294</v>
      </c>
      <c r="AW31" s="266"/>
      <c r="AX31" s="266">
        <f>SUM(AX14:AX30)</f>
        <v>14989083016.322294</v>
      </c>
      <c r="AY31" s="266"/>
      <c r="AZ31" s="266">
        <f>SUM(AZ14:AZ30)</f>
        <v>15612083016.322294</v>
      </c>
      <c r="BA31" s="266"/>
      <c r="BB31" s="266">
        <f>SUM(BB14:BB30)</f>
        <v>15886538653.788094</v>
      </c>
      <c r="BC31" s="266"/>
      <c r="BD31" s="266">
        <f>SUM(BD14:BD30)</f>
        <v>76695638500</v>
      </c>
      <c r="BE31" s="266"/>
      <c r="BF31" s="266">
        <f>SUM(BF14:BF30)</f>
        <v>18299783333.333332</v>
      </c>
      <c r="BG31" s="266"/>
      <c r="BH31" s="266">
        <f>SUM(BH14:BH30)</f>
        <v>18547783333.333332</v>
      </c>
      <c r="BI31" s="266"/>
      <c r="BJ31" s="266">
        <f>SUM(BJ14:BJ30)</f>
        <v>18547783333.333332</v>
      </c>
      <c r="BK31" s="266"/>
      <c r="BL31" s="266">
        <f>SUM(BL14:BL30)</f>
        <v>18547783333.333332</v>
      </c>
      <c r="BM31" s="266"/>
      <c r="BN31" s="266">
        <f>SUM(BN14:BN30)</f>
        <v>18572533333.333332</v>
      </c>
      <c r="BO31" s="266"/>
      <c r="BP31" s="266">
        <f>SUM(BP14:BP30)</f>
        <v>17675343333.333332</v>
      </c>
      <c r="BQ31" s="266"/>
      <c r="BR31" s="266">
        <f>SUM(BR14:BR30)</f>
        <v>17431343333.333332</v>
      </c>
      <c r="BS31" s="266"/>
      <c r="BT31" s="266">
        <f>SUM(BT14:BT30)</f>
        <v>15348343333.333334</v>
      </c>
      <c r="BU31" s="266"/>
      <c r="BV31" s="266">
        <f>SUM(BV14:BV30)</f>
        <v>15410283333.333334</v>
      </c>
      <c r="BW31" s="266"/>
      <c r="BX31" s="266">
        <f>SUM(BX14:BX30)</f>
        <v>15464043333.333334</v>
      </c>
      <c r="BY31" s="266"/>
      <c r="BZ31" s="266">
        <f>SUM(BZ14:BZ30)</f>
        <v>13709743733.333334</v>
      </c>
      <c r="CA31" s="266"/>
      <c r="CB31" s="266">
        <f>SUM(CB14:CB30)</f>
        <v>12794363333.333334</v>
      </c>
      <c r="CC31" s="266"/>
      <c r="CD31" s="266">
        <f>SUM(CD14:CD30)</f>
        <v>200349130400</v>
      </c>
      <c r="CE31" s="266"/>
      <c r="CF31" s="266">
        <f>SUM(CF14:CF30)</f>
        <v>7587753333.333333</v>
      </c>
      <c r="CG31" s="266"/>
      <c r="CH31" s="266">
        <f>SUM(CH14:CH30)</f>
        <v>6693333333.333333</v>
      </c>
      <c r="CI31" s="266"/>
      <c r="CJ31" s="266">
        <f>SUM(CJ14:CJ30)</f>
        <v>6693333333.333333</v>
      </c>
      <c r="CK31" s="266"/>
      <c r="CL31" s="266">
        <f>SUM(CL14:CL30)</f>
        <v>6693333333.333333</v>
      </c>
      <c r="CM31" s="266"/>
      <c r="CN31" s="266">
        <f>SUM(CN14:CN30)</f>
        <v>6693333333.333333</v>
      </c>
      <c r="CO31" s="266"/>
      <c r="CP31" s="266">
        <f>SUM(CP14:CP30)</f>
        <v>6693333333.333333</v>
      </c>
      <c r="CQ31" s="266"/>
      <c r="CR31" s="266">
        <f>SUM(CR14:CR30)</f>
        <v>6693333333.333333</v>
      </c>
      <c r="CS31" s="266"/>
      <c r="CT31" s="266">
        <f>SUM(CT14:CT30)</f>
        <v>5846333333.333333</v>
      </c>
      <c r="CU31" s="266"/>
      <c r="CV31" s="266">
        <f>SUM(CV14:CV30)</f>
        <v>5699000000</v>
      </c>
      <c r="CW31" s="266"/>
      <c r="CX31" s="266">
        <f>SUM(CX14:CX30)</f>
        <v>4763000000</v>
      </c>
      <c r="CY31" s="266"/>
      <c r="CZ31" s="266">
        <f>SUM(CZ14:CZ30)</f>
        <v>4763000000</v>
      </c>
      <c r="DA31" s="266"/>
      <c r="DB31" s="266">
        <f>SUM(DB14:DB30)</f>
        <v>5322020000</v>
      </c>
      <c r="DC31" s="266"/>
      <c r="DD31" s="266">
        <f>SUM(DD14:DD30)</f>
        <v>74141106666.666672</v>
      </c>
      <c r="DE31" s="266"/>
      <c r="DF31" s="266">
        <f>SUM(DF14:DF30)</f>
        <v>5080000000</v>
      </c>
      <c r="DG31" s="266"/>
      <c r="DH31" s="266">
        <f>SUM(DH14:DH30)</f>
        <v>5080000000</v>
      </c>
      <c r="DI31" s="266"/>
      <c r="DJ31" s="266">
        <f>SUM(DJ14:DJ30)</f>
        <v>5080000000</v>
      </c>
      <c r="DK31" s="266"/>
      <c r="DL31" s="266">
        <f>SUM(DL14:DL30)</f>
        <v>5080000000</v>
      </c>
      <c r="DM31" s="266"/>
      <c r="DN31" s="266">
        <f>SUM(DN14:DN30)</f>
        <v>5080000000</v>
      </c>
      <c r="DO31" s="266"/>
      <c r="DP31" s="266">
        <f>SUM(DP14:DP30)</f>
        <v>5080000000</v>
      </c>
      <c r="DQ31" s="266"/>
      <c r="DR31" s="266">
        <f>SUM(DR14:DR30)</f>
        <v>5056200000</v>
      </c>
      <c r="DS31" s="266"/>
      <c r="DT31" s="266">
        <f>SUM(DT14:DT30)</f>
        <v>3952000000</v>
      </c>
      <c r="DU31" s="266"/>
      <c r="DV31" s="266">
        <f>SUM(DV14:DV30)</f>
        <v>3952000000</v>
      </c>
      <c r="DW31" s="266"/>
      <c r="DX31" s="266">
        <f>SUM(DX14:DX30)</f>
        <v>3952000000</v>
      </c>
      <c r="DY31" s="266"/>
      <c r="DZ31" s="266">
        <f>SUM(DZ14:DZ30)</f>
        <v>3952000000</v>
      </c>
      <c r="EA31" s="266"/>
      <c r="EB31" s="266">
        <f>SUM(EB14:EB30)</f>
        <v>4604080000</v>
      </c>
      <c r="EC31" s="266"/>
      <c r="ED31" s="266">
        <f>SUM(ED14:ED30)</f>
        <v>55948280000</v>
      </c>
      <c r="EE31" s="266"/>
      <c r="EF31" s="266">
        <f>SUM(EF14:EF30)</f>
        <v>0</v>
      </c>
      <c r="EG31" s="266"/>
      <c r="EH31" s="266">
        <f>SUM(EH14:EH30)</f>
        <v>0</v>
      </c>
      <c r="EI31" s="266"/>
      <c r="EJ31" s="266">
        <f>SUM(EJ14:EJ30)</f>
        <v>0</v>
      </c>
      <c r="EK31" s="266"/>
      <c r="EL31" s="266">
        <f>SUM(EL14:EL30)</f>
        <v>0</v>
      </c>
      <c r="EM31" s="266"/>
      <c r="EN31" s="266">
        <f>SUM(EN14:EN30)</f>
        <v>0</v>
      </c>
      <c r="EO31" s="266"/>
      <c r="EP31" s="266">
        <f>SUM(EP14:EP30)</f>
        <v>0</v>
      </c>
      <c r="EQ31" s="266"/>
      <c r="ER31" s="266">
        <f>SUM(ER14:ER30)</f>
        <v>0</v>
      </c>
      <c r="ES31" s="266"/>
      <c r="ET31" s="266">
        <f>SUM(ET14:ET30)</f>
        <v>0</v>
      </c>
      <c r="EU31" s="266"/>
      <c r="EV31" s="266">
        <f>SUM(EV14:EV30)</f>
        <v>0</v>
      </c>
      <c r="EW31" s="266"/>
      <c r="EX31" s="266">
        <f>SUM(EX14:EX30)</f>
        <v>0</v>
      </c>
      <c r="EY31" s="266"/>
      <c r="EZ31" s="266">
        <f>SUM(EZ14:EZ30)</f>
        <v>0</v>
      </c>
      <c r="FA31" s="266"/>
      <c r="FB31" s="266">
        <f>SUM(FB14:FB30)</f>
        <v>0</v>
      </c>
      <c r="FC31" s="266"/>
      <c r="FD31" s="266">
        <f>SUM(FD14:FD30)</f>
        <v>0</v>
      </c>
      <c r="FE31" s="266"/>
      <c r="FF31" s="266">
        <f>SUM(FF14:FF30)</f>
        <v>0</v>
      </c>
      <c r="FG31" s="266"/>
      <c r="FH31" s="266">
        <f>SUM(FH14:FH30)</f>
        <v>0</v>
      </c>
      <c r="FI31" s="266"/>
      <c r="FJ31" s="266">
        <f>SUM(FJ14:FJ30)</f>
        <v>0</v>
      </c>
      <c r="FK31" s="266"/>
      <c r="FL31" s="266">
        <f>SUM(FL14:FL30)</f>
        <v>0</v>
      </c>
      <c r="FM31" s="266"/>
      <c r="FN31" s="266">
        <f>SUM(FN14:FN30)</f>
        <v>0</v>
      </c>
      <c r="FO31" s="266"/>
      <c r="FP31" s="266">
        <f>SUM(FP14:FP30)</f>
        <v>0</v>
      </c>
      <c r="FQ31" s="266"/>
      <c r="FR31" s="266">
        <f>SUM(FR14:FR30)</f>
        <v>0</v>
      </c>
      <c r="FS31" s="266"/>
      <c r="FT31" s="266">
        <f>SUM(FT14:FT30)</f>
        <v>0</v>
      </c>
      <c r="FU31" s="266"/>
      <c r="FV31" s="266">
        <f>SUM(FV14:FV30)</f>
        <v>0</v>
      </c>
      <c r="FW31" s="266"/>
      <c r="FX31" s="266">
        <f>SUM(FX14:FX30)</f>
        <v>0</v>
      </c>
      <c r="FY31" s="266"/>
      <c r="FZ31" s="266">
        <f>SUM(FZ14:FZ30)</f>
        <v>0</v>
      </c>
      <c r="GA31" s="266"/>
      <c r="GB31" s="266">
        <f>SUM(GB14:GB30)</f>
        <v>0</v>
      </c>
      <c r="GC31" s="266"/>
      <c r="GD31" s="266">
        <f>SUM(GD14:GD30)</f>
        <v>0</v>
      </c>
      <c r="GE31" s="266"/>
      <c r="GF31" s="266">
        <f>SUM(GF14:GF30)</f>
        <v>0</v>
      </c>
      <c r="GG31" s="266"/>
      <c r="GH31" s="266">
        <f>SUM(GH14:GH30)</f>
        <v>0</v>
      </c>
      <c r="GI31" s="266"/>
      <c r="GJ31" s="266">
        <f>SUM(GJ14:GJ30)</f>
        <v>0</v>
      </c>
      <c r="GK31" s="266"/>
      <c r="GL31" s="266">
        <f>SUM(GL14:GL30)</f>
        <v>0</v>
      </c>
      <c r="GM31" s="266"/>
      <c r="GN31" s="266">
        <f>SUM(GN14:GN30)</f>
        <v>0</v>
      </c>
      <c r="GO31" s="266"/>
      <c r="GP31" s="266">
        <f>SUM(GP14:GP30)</f>
        <v>0</v>
      </c>
      <c r="GQ31" s="266"/>
      <c r="GR31" s="266">
        <f>SUM(GR14:GR30)</f>
        <v>0</v>
      </c>
      <c r="GS31" s="266"/>
      <c r="GT31" s="266">
        <f>SUM(GT14:GT30)</f>
        <v>0</v>
      </c>
      <c r="GU31" s="266"/>
      <c r="GV31" s="266">
        <f>SUM(GV14:GV30)</f>
        <v>0</v>
      </c>
      <c r="GW31" s="266"/>
      <c r="GX31" s="266">
        <f>SUM(GX14:GX30)</f>
        <v>0</v>
      </c>
      <c r="GY31" s="266"/>
      <c r="GZ31" s="266">
        <f>SUM(GZ14:GZ30)</f>
        <v>0</v>
      </c>
      <c r="HA31" s="266"/>
      <c r="HB31" s="266">
        <f>SUM(HB14:HB30)</f>
        <v>0</v>
      </c>
      <c r="HC31" s="266"/>
      <c r="HD31" s="266">
        <f>SUM(HD14:HD30)</f>
        <v>0</v>
      </c>
      <c r="HE31" s="266"/>
      <c r="HF31" s="266">
        <f>SUM(HF14:HF30)</f>
        <v>407134155566.66663</v>
      </c>
      <c r="HH31" s="267">
        <f>HF31/D11</f>
        <v>350132572.72675151</v>
      </c>
    </row>
    <row r="32" spans="1:216" x14ac:dyDescent="0.2">
      <c r="B32" s="324"/>
      <c r="C32" s="325"/>
      <c r="D32" s="325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  <c r="AR32" s="326"/>
      <c r="AS32" s="326"/>
      <c r="AT32" s="326"/>
      <c r="AU32" s="326"/>
      <c r="AV32" s="326"/>
      <c r="AW32" s="326"/>
      <c r="AX32" s="326"/>
      <c r="AY32" s="326"/>
      <c r="AZ32" s="326"/>
      <c r="BA32" s="326"/>
      <c r="BB32" s="326"/>
      <c r="BC32" s="326"/>
      <c r="BD32" s="326"/>
      <c r="BE32" s="326"/>
      <c r="BF32" s="326"/>
      <c r="BG32" s="326"/>
      <c r="BH32" s="326"/>
      <c r="BI32" s="326"/>
      <c r="BJ32" s="326"/>
      <c r="BK32" s="326"/>
      <c r="BL32" s="326"/>
      <c r="BM32" s="326"/>
      <c r="BN32" s="326"/>
      <c r="BO32" s="326"/>
      <c r="BP32" s="326"/>
      <c r="BQ32" s="326"/>
      <c r="BR32" s="326"/>
      <c r="BS32" s="326"/>
      <c r="BT32" s="326"/>
      <c r="BU32" s="326"/>
      <c r="BV32" s="326"/>
      <c r="BW32" s="326"/>
      <c r="BX32" s="326"/>
      <c r="BY32" s="326"/>
      <c r="BZ32" s="326"/>
      <c r="CA32" s="326"/>
      <c r="CB32" s="326"/>
      <c r="CC32" s="326"/>
      <c r="CD32" s="326"/>
      <c r="CE32" s="326"/>
      <c r="CF32" s="326"/>
      <c r="CG32" s="326"/>
      <c r="CH32" s="326"/>
      <c r="CI32" s="326"/>
      <c r="CJ32" s="326"/>
      <c r="CK32" s="326"/>
      <c r="CL32" s="326"/>
      <c r="CM32" s="326"/>
      <c r="CN32" s="326"/>
      <c r="CO32" s="326"/>
      <c r="CP32" s="326"/>
      <c r="CQ32" s="326"/>
      <c r="CR32" s="326"/>
      <c r="CS32" s="326"/>
      <c r="CT32" s="326"/>
      <c r="CU32" s="326"/>
      <c r="CV32" s="326"/>
      <c r="CW32" s="326"/>
      <c r="CX32" s="326"/>
      <c r="CY32" s="326"/>
      <c r="CZ32" s="326"/>
      <c r="DA32" s="326"/>
      <c r="DB32" s="326"/>
      <c r="DC32" s="326"/>
      <c r="DD32" s="326"/>
      <c r="DE32" s="326"/>
      <c r="DF32" s="326"/>
      <c r="DG32" s="326"/>
      <c r="DH32" s="326"/>
      <c r="DI32" s="326"/>
      <c r="DJ32" s="326"/>
      <c r="DK32" s="326"/>
      <c r="DL32" s="326"/>
      <c r="DM32" s="326"/>
      <c r="DN32" s="326"/>
      <c r="DO32" s="326"/>
      <c r="DP32" s="326"/>
      <c r="DQ32" s="326"/>
      <c r="DR32" s="326"/>
      <c r="DS32" s="326"/>
      <c r="DT32" s="326"/>
      <c r="DU32" s="326"/>
      <c r="DV32" s="326"/>
      <c r="DW32" s="326"/>
      <c r="DX32" s="326"/>
      <c r="DY32" s="326"/>
      <c r="DZ32" s="326"/>
      <c r="EA32" s="326"/>
      <c r="EB32" s="326"/>
      <c r="EC32" s="326"/>
      <c r="ED32" s="326"/>
      <c r="EE32" s="326"/>
      <c r="EF32" s="326"/>
      <c r="EG32" s="326"/>
      <c r="EH32" s="326"/>
      <c r="EI32" s="326"/>
      <c r="EJ32" s="326"/>
      <c r="EK32" s="326"/>
      <c r="EL32" s="326"/>
      <c r="EM32" s="326"/>
      <c r="EN32" s="326"/>
      <c r="EO32" s="326"/>
      <c r="EP32" s="326"/>
      <c r="EQ32" s="326"/>
      <c r="ER32" s="326"/>
      <c r="ES32" s="326"/>
      <c r="ET32" s="326"/>
      <c r="EU32" s="326"/>
      <c r="EV32" s="326"/>
      <c r="EW32" s="326"/>
      <c r="EX32" s="326"/>
      <c r="EY32" s="326"/>
      <c r="EZ32" s="326"/>
      <c r="FA32" s="326"/>
      <c r="FB32" s="326"/>
      <c r="FC32" s="326"/>
      <c r="FD32" s="326"/>
      <c r="FE32" s="326"/>
      <c r="FF32" s="326"/>
      <c r="FG32" s="326"/>
      <c r="FH32" s="326"/>
      <c r="FI32" s="326"/>
      <c r="FJ32" s="326"/>
      <c r="FK32" s="326"/>
      <c r="FL32" s="326"/>
      <c r="FM32" s="326"/>
      <c r="FN32" s="326"/>
      <c r="FO32" s="326"/>
      <c r="FP32" s="326"/>
      <c r="FQ32" s="326"/>
      <c r="FR32" s="326"/>
      <c r="FS32" s="326"/>
      <c r="FT32" s="326"/>
      <c r="FU32" s="326"/>
      <c r="FV32" s="326"/>
      <c r="FW32" s="326"/>
      <c r="FX32" s="326"/>
      <c r="FY32" s="326"/>
      <c r="FZ32" s="326"/>
      <c r="GA32" s="326"/>
      <c r="GB32" s="326"/>
      <c r="GC32" s="326"/>
      <c r="GD32" s="326"/>
      <c r="GE32" s="326"/>
      <c r="GF32" s="326"/>
      <c r="GG32" s="326"/>
      <c r="GH32" s="326"/>
      <c r="GI32" s="326"/>
      <c r="GJ32" s="326"/>
      <c r="GK32" s="326"/>
      <c r="GL32" s="326"/>
      <c r="GM32" s="326"/>
      <c r="GN32" s="326"/>
      <c r="GO32" s="326"/>
      <c r="GP32" s="326"/>
      <c r="GQ32" s="326"/>
      <c r="GR32" s="326"/>
      <c r="GS32" s="326"/>
      <c r="GT32" s="326"/>
      <c r="GU32" s="326"/>
      <c r="GV32" s="326"/>
      <c r="GW32" s="326"/>
      <c r="GX32" s="326"/>
      <c r="GY32" s="326"/>
      <c r="GZ32" s="326"/>
      <c r="HA32" s="326"/>
      <c r="HB32" s="326"/>
      <c r="HC32" s="326"/>
      <c r="HD32" s="326"/>
      <c r="HE32" s="326"/>
      <c r="HF32" s="326"/>
    </row>
    <row r="33" spans="2:218" x14ac:dyDescent="0.2">
      <c r="B33" s="260" t="s">
        <v>410</v>
      </c>
      <c r="C33" s="327"/>
      <c r="D33" s="327"/>
      <c r="E33" s="312"/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12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  <c r="AK33" s="312"/>
      <c r="AL33" s="312"/>
      <c r="AM33" s="312"/>
      <c r="AN33" s="312"/>
      <c r="AO33" s="312"/>
      <c r="AP33" s="312"/>
      <c r="AQ33" s="312"/>
      <c r="AR33" s="312"/>
      <c r="AS33" s="312"/>
      <c r="AT33" s="312"/>
      <c r="AU33" s="312"/>
      <c r="AV33" s="312"/>
      <c r="AW33" s="312"/>
      <c r="AX33" s="312"/>
      <c r="AY33" s="312"/>
      <c r="AZ33" s="312"/>
      <c r="BA33" s="312"/>
      <c r="BB33" s="312"/>
      <c r="BC33" s="312"/>
      <c r="BD33" s="312"/>
      <c r="BE33" s="312"/>
      <c r="BF33" s="312"/>
      <c r="BG33" s="312"/>
      <c r="BH33" s="312"/>
      <c r="BI33" s="312"/>
      <c r="BJ33" s="312"/>
      <c r="BK33" s="312"/>
      <c r="BL33" s="312"/>
      <c r="BM33" s="312"/>
      <c r="BN33" s="312"/>
      <c r="BO33" s="312"/>
      <c r="BP33" s="312"/>
      <c r="BQ33" s="312"/>
      <c r="BR33" s="312"/>
      <c r="BS33" s="312"/>
      <c r="BT33" s="312"/>
      <c r="BU33" s="312"/>
      <c r="BV33" s="312"/>
      <c r="BW33" s="312"/>
      <c r="BX33" s="312"/>
      <c r="BY33" s="312"/>
      <c r="BZ33" s="312"/>
      <c r="CA33" s="312"/>
      <c r="CB33" s="312"/>
      <c r="CC33" s="312"/>
      <c r="CD33" s="312"/>
      <c r="CE33" s="312"/>
      <c r="CF33" s="312"/>
      <c r="CG33" s="312"/>
      <c r="CH33" s="312"/>
      <c r="CI33" s="312"/>
      <c r="CJ33" s="312"/>
      <c r="CK33" s="312"/>
      <c r="CL33" s="312"/>
      <c r="CM33" s="312"/>
      <c r="CN33" s="312"/>
      <c r="CO33" s="312"/>
      <c r="CP33" s="312"/>
      <c r="CQ33" s="312"/>
      <c r="CR33" s="312"/>
      <c r="CS33" s="312"/>
      <c r="CT33" s="312"/>
      <c r="CU33" s="312"/>
      <c r="CV33" s="312"/>
      <c r="CW33" s="312"/>
      <c r="CX33" s="312"/>
      <c r="CY33" s="312"/>
      <c r="CZ33" s="312"/>
      <c r="DA33" s="312"/>
      <c r="DB33" s="312"/>
      <c r="DC33" s="312"/>
      <c r="DD33" s="312"/>
      <c r="DE33" s="312"/>
      <c r="DF33" s="312"/>
      <c r="DG33" s="312"/>
      <c r="DH33" s="312"/>
      <c r="DI33" s="312"/>
      <c r="DJ33" s="312"/>
      <c r="DK33" s="312"/>
      <c r="DL33" s="312"/>
      <c r="DM33" s="312"/>
      <c r="DN33" s="312"/>
      <c r="DO33" s="312"/>
      <c r="DP33" s="312"/>
      <c r="DQ33" s="312"/>
      <c r="DR33" s="312"/>
      <c r="DS33" s="312"/>
      <c r="DT33" s="312"/>
      <c r="DU33" s="312"/>
      <c r="DV33" s="312"/>
      <c r="DW33" s="312"/>
      <c r="DX33" s="312"/>
      <c r="DY33" s="312"/>
      <c r="DZ33" s="312"/>
      <c r="EA33" s="312"/>
      <c r="EB33" s="312"/>
      <c r="EC33" s="312"/>
      <c r="ED33" s="312"/>
      <c r="EE33" s="312"/>
      <c r="EF33" s="312"/>
      <c r="EG33" s="312"/>
      <c r="EH33" s="312"/>
      <c r="EI33" s="312"/>
      <c r="EJ33" s="312"/>
      <c r="EK33" s="312"/>
      <c r="EL33" s="312"/>
      <c r="EM33" s="312"/>
      <c r="EN33" s="312"/>
      <c r="EO33" s="312"/>
      <c r="EP33" s="312"/>
      <c r="EQ33" s="312"/>
      <c r="ER33" s="312"/>
      <c r="ES33" s="312"/>
      <c r="ET33" s="312"/>
      <c r="EU33" s="312"/>
      <c r="EV33" s="312"/>
      <c r="EW33" s="312"/>
      <c r="EX33" s="312"/>
      <c r="EY33" s="312"/>
      <c r="EZ33" s="312"/>
      <c r="FA33" s="312"/>
      <c r="FB33" s="312"/>
      <c r="FC33" s="312"/>
      <c r="FD33" s="312"/>
      <c r="FE33" s="312"/>
      <c r="FF33" s="312"/>
      <c r="FG33" s="312"/>
      <c r="FH33" s="312"/>
      <c r="FI33" s="312"/>
      <c r="FJ33" s="312"/>
      <c r="FK33" s="312"/>
      <c r="FL33" s="312"/>
      <c r="FM33" s="312"/>
      <c r="FN33" s="312"/>
      <c r="FO33" s="312"/>
      <c r="FP33" s="312"/>
      <c r="FQ33" s="312"/>
      <c r="FR33" s="312"/>
      <c r="FS33" s="312"/>
      <c r="FT33" s="312"/>
      <c r="FU33" s="312"/>
      <c r="FV33" s="312"/>
      <c r="FW33" s="312"/>
      <c r="FX33" s="312"/>
      <c r="FY33" s="312"/>
      <c r="FZ33" s="312"/>
      <c r="GA33" s="312"/>
      <c r="GB33" s="312"/>
      <c r="GC33" s="312"/>
      <c r="GD33" s="312"/>
      <c r="GE33" s="312"/>
      <c r="GF33" s="312"/>
      <c r="GG33" s="312"/>
      <c r="GH33" s="312"/>
      <c r="GI33" s="312"/>
      <c r="GJ33" s="312"/>
      <c r="GK33" s="312"/>
      <c r="GL33" s="312"/>
      <c r="GM33" s="312"/>
      <c r="GN33" s="312"/>
      <c r="GO33" s="312"/>
      <c r="GP33" s="312"/>
      <c r="GQ33" s="312"/>
      <c r="GR33" s="312"/>
      <c r="GS33" s="312"/>
      <c r="GT33" s="312"/>
      <c r="GU33" s="312"/>
      <c r="GV33" s="312"/>
      <c r="GW33" s="312"/>
      <c r="GX33" s="312"/>
      <c r="GY33" s="312"/>
      <c r="GZ33" s="312"/>
      <c r="HA33" s="312"/>
      <c r="HB33" s="312"/>
      <c r="HC33" s="312"/>
      <c r="HD33" s="312"/>
      <c r="HE33" s="312"/>
      <c r="HF33" s="312"/>
    </row>
    <row r="34" spans="2:218" x14ac:dyDescent="0.2">
      <c r="B34" s="313" t="s">
        <v>396</v>
      </c>
      <c r="C34" s="314"/>
      <c r="D34" s="314">
        <f>D35</f>
        <v>350</v>
      </c>
      <c r="E34" s="312"/>
      <c r="F34" s="312"/>
      <c r="G34" s="312"/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2"/>
      <c r="S34" s="312"/>
      <c r="T34" s="312"/>
      <c r="U34" s="312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  <c r="AK34" s="312"/>
      <c r="AL34" s="312"/>
      <c r="AM34" s="312"/>
      <c r="AN34" s="312"/>
      <c r="AO34" s="312"/>
      <c r="AP34" s="312"/>
      <c r="AQ34" s="312"/>
      <c r="AR34" s="312"/>
      <c r="AS34" s="312"/>
      <c r="AT34" s="312"/>
      <c r="AU34" s="312"/>
      <c r="AV34" s="312"/>
      <c r="AW34" s="312"/>
      <c r="AX34" s="312"/>
      <c r="AY34" s="312"/>
      <c r="AZ34" s="312"/>
      <c r="BA34" s="312"/>
      <c r="BB34" s="312"/>
      <c r="BC34" s="312"/>
      <c r="BD34" s="312"/>
      <c r="BE34" s="312"/>
      <c r="BF34" s="312"/>
      <c r="BG34" s="312"/>
      <c r="BH34" s="312"/>
      <c r="BI34" s="312"/>
      <c r="BJ34" s="312"/>
      <c r="BK34" s="312"/>
      <c r="BL34" s="312"/>
      <c r="BM34" s="312"/>
      <c r="BN34" s="312"/>
      <c r="BO34" s="312"/>
      <c r="BP34" s="312"/>
      <c r="BQ34" s="312"/>
      <c r="BR34" s="312"/>
      <c r="BS34" s="312"/>
      <c r="BT34" s="312"/>
      <c r="BU34" s="312"/>
      <c r="BV34" s="312"/>
      <c r="BW34" s="312"/>
      <c r="BX34" s="312"/>
      <c r="BY34" s="312"/>
      <c r="BZ34" s="312"/>
      <c r="CA34" s="312"/>
      <c r="CB34" s="312"/>
      <c r="CC34" s="312"/>
      <c r="CD34" s="312"/>
      <c r="CE34" s="312"/>
      <c r="CF34" s="312"/>
      <c r="CG34" s="312"/>
      <c r="CH34" s="312"/>
      <c r="CI34" s="312"/>
      <c r="CJ34" s="312"/>
      <c r="CK34" s="312"/>
      <c r="CL34" s="312"/>
      <c r="CM34" s="312"/>
      <c r="CN34" s="312"/>
      <c r="CO34" s="312"/>
      <c r="CP34" s="312"/>
      <c r="CQ34" s="312"/>
      <c r="CR34" s="312"/>
      <c r="CS34" s="312"/>
      <c r="CT34" s="312"/>
      <c r="CU34" s="312"/>
      <c r="CV34" s="312"/>
      <c r="CW34" s="312"/>
      <c r="CX34" s="312"/>
      <c r="CY34" s="312"/>
      <c r="CZ34" s="312"/>
      <c r="DA34" s="312"/>
      <c r="DB34" s="312"/>
      <c r="DC34" s="312"/>
      <c r="DD34" s="312"/>
      <c r="DE34" s="312"/>
      <c r="DF34" s="312"/>
      <c r="DG34" s="312"/>
      <c r="DH34" s="312"/>
      <c r="DI34" s="312"/>
      <c r="DJ34" s="312"/>
      <c r="DK34" s="312"/>
      <c r="DL34" s="312"/>
      <c r="DM34" s="312"/>
      <c r="DN34" s="312"/>
      <c r="DO34" s="312"/>
      <c r="DP34" s="312"/>
      <c r="DQ34" s="312"/>
      <c r="DR34" s="312"/>
      <c r="DS34" s="312"/>
      <c r="DT34" s="312"/>
      <c r="DU34" s="312"/>
      <c r="DV34" s="312"/>
      <c r="DW34" s="312"/>
      <c r="DX34" s="312"/>
      <c r="DY34" s="312"/>
      <c r="DZ34" s="312"/>
      <c r="EA34" s="312"/>
      <c r="EB34" s="312"/>
      <c r="EC34" s="312"/>
      <c r="ED34" s="312"/>
      <c r="EE34" s="312"/>
      <c r="EF34" s="312"/>
      <c r="EG34" s="312"/>
      <c r="EH34" s="312"/>
      <c r="EI34" s="312"/>
      <c r="EJ34" s="312"/>
      <c r="EK34" s="312"/>
      <c r="EL34" s="312"/>
      <c r="EM34" s="312"/>
      <c r="EN34" s="312"/>
      <c r="EO34" s="312"/>
      <c r="EP34" s="312"/>
      <c r="EQ34" s="312"/>
      <c r="ER34" s="312"/>
      <c r="ES34" s="312"/>
      <c r="ET34" s="312"/>
      <c r="EU34" s="312"/>
      <c r="EV34" s="312"/>
      <c r="EW34" s="312"/>
      <c r="EX34" s="312"/>
      <c r="EY34" s="312"/>
      <c r="EZ34" s="312"/>
      <c r="FA34" s="312"/>
      <c r="FB34" s="312"/>
      <c r="FC34" s="312"/>
      <c r="FD34" s="312"/>
      <c r="FE34" s="312"/>
      <c r="FF34" s="312"/>
      <c r="FG34" s="312"/>
      <c r="FH34" s="312"/>
      <c r="FI34" s="312"/>
      <c r="FJ34" s="312"/>
      <c r="FK34" s="312"/>
      <c r="FL34" s="312"/>
      <c r="FM34" s="312"/>
      <c r="FN34" s="312"/>
      <c r="FO34" s="312"/>
      <c r="FP34" s="312"/>
      <c r="FQ34" s="312"/>
      <c r="FR34" s="312"/>
      <c r="FS34" s="312"/>
      <c r="FT34" s="312"/>
      <c r="FU34" s="312"/>
      <c r="FV34" s="312"/>
      <c r="FW34" s="312"/>
      <c r="FX34" s="312"/>
      <c r="FY34" s="312"/>
      <c r="FZ34" s="312"/>
      <c r="GA34" s="312"/>
      <c r="GB34" s="312"/>
      <c r="GC34" s="312"/>
      <c r="GD34" s="312"/>
      <c r="GE34" s="312"/>
      <c r="GF34" s="312"/>
      <c r="GG34" s="312"/>
      <c r="GH34" s="312"/>
      <c r="GI34" s="312"/>
      <c r="GJ34" s="312"/>
      <c r="GK34" s="312"/>
      <c r="GL34" s="312"/>
      <c r="GM34" s="312"/>
      <c r="GN34" s="312"/>
      <c r="GO34" s="312"/>
      <c r="GP34" s="312"/>
      <c r="GQ34" s="312"/>
      <c r="GR34" s="312"/>
      <c r="GS34" s="312"/>
      <c r="GT34" s="312"/>
      <c r="GU34" s="312"/>
      <c r="GV34" s="312"/>
      <c r="GW34" s="312"/>
      <c r="GX34" s="312"/>
      <c r="GY34" s="312"/>
      <c r="GZ34" s="312"/>
      <c r="HA34" s="312"/>
      <c r="HB34" s="312"/>
      <c r="HC34" s="312"/>
      <c r="HD34" s="312"/>
      <c r="HE34" s="312"/>
      <c r="HF34" s="312"/>
    </row>
    <row r="35" spans="2:218" x14ac:dyDescent="0.2">
      <c r="B35" s="313" t="s">
        <v>397</v>
      </c>
      <c r="C35" s="314">
        <f>'Tingkat Jalan Mineral'!G20</f>
        <v>998942.8</v>
      </c>
      <c r="D35" s="314">
        <f>'RKP 08'!D5</f>
        <v>350</v>
      </c>
      <c r="E35" s="312"/>
      <c r="F35" s="312"/>
      <c r="G35" s="312"/>
      <c r="H35" s="312"/>
      <c r="I35" s="312"/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  <c r="AK35" s="312"/>
      <c r="AL35" s="312"/>
      <c r="AM35" s="312"/>
      <c r="AN35" s="312"/>
      <c r="AO35" s="312"/>
      <c r="AP35" s="312"/>
      <c r="AQ35" s="312"/>
      <c r="AR35" s="312"/>
      <c r="AS35" s="312"/>
      <c r="AT35" s="312"/>
      <c r="AU35" s="312"/>
      <c r="AV35" s="312"/>
      <c r="AW35" s="312"/>
      <c r="AX35" s="312"/>
      <c r="AY35" s="312"/>
      <c r="AZ35" s="312"/>
      <c r="BA35" s="312"/>
      <c r="BB35" s="312"/>
      <c r="BC35" s="312"/>
      <c r="BD35" s="312"/>
      <c r="BE35" s="312"/>
      <c r="BF35" s="312"/>
      <c r="BG35" s="312"/>
      <c r="BH35" s="312"/>
      <c r="BI35" s="312"/>
      <c r="BJ35" s="312"/>
      <c r="BK35" s="312"/>
      <c r="BL35" s="312"/>
      <c r="BM35" s="312"/>
      <c r="BN35" s="312"/>
      <c r="BO35" s="312"/>
      <c r="BP35" s="312"/>
      <c r="BQ35" s="312"/>
      <c r="BR35" s="312"/>
      <c r="BS35" s="312"/>
      <c r="BT35" s="312"/>
      <c r="BU35" s="312"/>
      <c r="BV35" s="312"/>
      <c r="BW35" s="312"/>
      <c r="BX35" s="312"/>
      <c r="BY35" s="312"/>
      <c r="BZ35" s="312"/>
      <c r="CA35" s="312"/>
      <c r="CB35" s="312"/>
      <c r="CC35" s="312"/>
      <c r="CD35" s="312"/>
      <c r="CE35" s="312"/>
      <c r="CF35" s="312"/>
      <c r="CG35" s="312"/>
      <c r="CH35" s="312"/>
      <c r="CI35" s="312"/>
      <c r="CJ35" s="312"/>
      <c r="CK35" s="312"/>
      <c r="CL35" s="312"/>
      <c r="CM35" s="312"/>
      <c r="CN35" s="312"/>
      <c r="CO35" s="312"/>
      <c r="CP35" s="312"/>
      <c r="CQ35" s="312"/>
      <c r="CR35" s="312"/>
      <c r="CS35" s="312"/>
      <c r="CT35" s="312"/>
      <c r="CU35" s="312"/>
      <c r="CV35" s="312"/>
      <c r="CW35" s="312"/>
      <c r="CX35" s="312"/>
      <c r="CY35" s="312"/>
      <c r="CZ35" s="312"/>
      <c r="DA35" s="312"/>
      <c r="DB35" s="312"/>
      <c r="DC35" s="312"/>
      <c r="DD35" s="312"/>
      <c r="DE35" s="312"/>
      <c r="DF35" s="312"/>
      <c r="DG35" s="312"/>
      <c r="DH35" s="312"/>
      <c r="DI35" s="312"/>
      <c r="DJ35" s="312"/>
      <c r="DK35" s="312"/>
      <c r="DL35" s="312"/>
      <c r="DM35" s="312"/>
      <c r="DN35" s="312"/>
      <c r="DO35" s="312"/>
      <c r="DP35" s="312"/>
      <c r="DQ35" s="312"/>
      <c r="DR35" s="312"/>
      <c r="DS35" s="312"/>
      <c r="DT35" s="312"/>
      <c r="DU35" s="312"/>
      <c r="DV35" s="312"/>
      <c r="DW35" s="312"/>
      <c r="DX35" s="312"/>
      <c r="DY35" s="312"/>
      <c r="DZ35" s="312"/>
      <c r="EA35" s="312"/>
      <c r="EB35" s="312"/>
      <c r="EC35" s="312"/>
      <c r="ED35" s="312"/>
      <c r="EE35" s="312"/>
      <c r="EF35" s="312"/>
      <c r="EG35" s="312"/>
      <c r="EH35" s="312"/>
      <c r="EI35" s="312"/>
      <c r="EJ35" s="312"/>
      <c r="EK35" s="312"/>
      <c r="EL35" s="312"/>
      <c r="EM35" s="312"/>
      <c r="EN35" s="312"/>
      <c r="EO35" s="312"/>
      <c r="EP35" s="312"/>
      <c r="EQ35" s="312"/>
      <c r="ER35" s="312"/>
      <c r="ES35" s="312"/>
      <c r="ET35" s="312"/>
      <c r="EU35" s="312"/>
      <c r="EV35" s="312"/>
      <c r="EW35" s="312"/>
      <c r="EX35" s="312"/>
      <c r="EY35" s="312"/>
      <c r="EZ35" s="312"/>
      <c r="FA35" s="312"/>
      <c r="FB35" s="312"/>
      <c r="FC35" s="312"/>
      <c r="FD35" s="312"/>
      <c r="FE35" s="312"/>
      <c r="FF35" s="312"/>
      <c r="FG35" s="312"/>
      <c r="FH35" s="312"/>
      <c r="FI35" s="312"/>
      <c r="FJ35" s="312"/>
      <c r="FK35" s="312"/>
      <c r="FL35" s="312"/>
      <c r="FM35" s="312"/>
      <c r="FN35" s="312"/>
      <c r="FO35" s="312"/>
      <c r="FP35" s="312"/>
      <c r="FQ35" s="312"/>
      <c r="FR35" s="312"/>
      <c r="FS35" s="312"/>
      <c r="FT35" s="312"/>
      <c r="FU35" s="312"/>
      <c r="FV35" s="312"/>
      <c r="FW35" s="312"/>
      <c r="FX35" s="312"/>
      <c r="FY35" s="312"/>
      <c r="FZ35" s="312"/>
      <c r="GA35" s="312"/>
      <c r="GB35" s="312"/>
      <c r="GC35" s="312"/>
      <c r="GD35" s="312"/>
      <c r="GE35" s="312"/>
      <c r="GF35" s="312"/>
      <c r="GG35" s="312"/>
      <c r="GH35" s="312"/>
      <c r="GI35" s="312"/>
      <c r="GJ35" s="312"/>
      <c r="GK35" s="312"/>
      <c r="GL35" s="312"/>
      <c r="GM35" s="312"/>
      <c r="GN35" s="312"/>
      <c r="GO35" s="312"/>
      <c r="GP35" s="312"/>
      <c r="GQ35" s="312"/>
      <c r="GR35" s="312"/>
      <c r="GS35" s="312"/>
      <c r="GT35" s="312"/>
      <c r="GU35" s="312"/>
      <c r="GV35" s="312"/>
      <c r="GW35" s="312"/>
      <c r="GX35" s="312"/>
      <c r="GY35" s="312"/>
      <c r="GZ35" s="312"/>
      <c r="HA35" s="312"/>
      <c r="HB35" s="312"/>
      <c r="HC35" s="312"/>
      <c r="HD35" s="312"/>
      <c r="HE35" s="312"/>
      <c r="HF35" s="312"/>
    </row>
    <row r="36" spans="2:218" x14ac:dyDescent="0.2">
      <c r="B36" s="311"/>
      <c r="C36" s="327">
        <f>'Tingkat Jalan Mineral'!Q20</f>
        <v>1522646.8</v>
      </c>
      <c r="D36" s="327"/>
      <c r="E36" s="312"/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12"/>
      <c r="X36" s="312"/>
      <c r="Y36" s="312"/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  <c r="AK36" s="312"/>
      <c r="AL36" s="312"/>
      <c r="AM36" s="312"/>
      <c r="AN36" s="312"/>
      <c r="AO36" s="312"/>
      <c r="AP36" s="312"/>
      <c r="AQ36" s="312"/>
      <c r="AR36" s="312"/>
      <c r="AS36" s="312"/>
      <c r="AT36" s="312"/>
      <c r="AU36" s="312"/>
      <c r="AV36" s="312"/>
      <c r="AW36" s="312"/>
      <c r="AX36" s="312"/>
      <c r="AY36" s="312"/>
      <c r="AZ36" s="312"/>
      <c r="BA36" s="312"/>
      <c r="BB36" s="312"/>
      <c r="BC36" s="312"/>
      <c r="BD36" s="312"/>
      <c r="BE36" s="312"/>
      <c r="BF36" s="312"/>
      <c r="BG36" s="312"/>
      <c r="BH36" s="312"/>
      <c r="BI36" s="312"/>
      <c r="BJ36" s="312"/>
      <c r="BK36" s="312"/>
      <c r="BL36" s="312"/>
      <c r="BM36" s="312"/>
      <c r="BN36" s="312"/>
      <c r="BO36" s="312"/>
      <c r="BP36" s="312"/>
      <c r="BQ36" s="312"/>
      <c r="BR36" s="312"/>
      <c r="BS36" s="312"/>
      <c r="BT36" s="312"/>
      <c r="BU36" s="312"/>
      <c r="BV36" s="312"/>
      <c r="BW36" s="312"/>
      <c r="BX36" s="312"/>
      <c r="BY36" s="312"/>
      <c r="BZ36" s="312"/>
      <c r="CA36" s="312"/>
      <c r="CB36" s="312"/>
      <c r="CC36" s="312"/>
      <c r="CD36" s="312"/>
      <c r="CE36" s="312"/>
      <c r="CF36" s="312"/>
      <c r="CG36" s="312"/>
      <c r="CH36" s="312"/>
      <c r="CI36" s="312"/>
      <c r="CJ36" s="312"/>
      <c r="CK36" s="312"/>
      <c r="CL36" s="312"/>
      <c r="CM36" s="312"/>
      <c r="CN36" s="312"/>
      <c r="CO36" s="312"/>
      <c r="CP36" s="312"/>
      <c r="CQ36" s="312"/>
      <c r="CR36" s="312"/>
      <c r="CS36" s="312"/>
      <c r="CT36" s="312"/>
      <c r="CU36" s="312"/>
      <c r="CV36" s="312"/>
      <c r="CW36" s="312"/>
      <c r="CX36" s="312"/>
      <c r="CY36" s="312"/>
      <c r="CZ36" s="312"/>
      <c r="DA36" s="312"/>
      <c r="DB36" s="312"/>
      <c r="DC36" s="312"/>
      <c r="DD36" s="312"/>
      <c r="DE36" s="312"/>
      <c r="DF36" s="312"/>
      <c r="DG36" s="312"/>
      <c r="DH36" s="312"/>
      <c r="DI36" s="312"/>
      <c r="DJ36" s="312"/>
      <c r="DK36" s="312"/>
      <c r="DL36" s="312"/>
      <c r="DM36" s="312"/>
      <c r="DN36" s="312"/>
      <c r="DO36" s="312"/>
      <c r="DP36" s="312"/>
      <c r="DQ36" s="312"/>
      <c r="DR36" s="312"/>
      <c r="DS36" s="312"/>
      <c r="DT36" s="312"/>
      <c r="DU36" s="312"/>
      <c r="DV36" s="312"/>
      <c r="DW36" s="312"/>
      <c r="DX36" s="312"/>
      <c r="DY36" s="312"/>
      <c r="DZ36" s="312"/>
      <c r="EA36" s="312"/>
      <c r="EB36" s="312"/>
      <c r="EC36" s="312"/>
      <c r="ED36" s="312"/>
      <c r="EE36" s="312"/>
      <c r="EF36" s="312"/>
      <c r="EG36" s="312"/>
      <c r="EH36" s="312"/>
      <c r="EI36" s="312"/>
      <c r="EJ36" s="312"/>
      <c r="EK36" s="312"/>
      <c r="EL36" s="312"/>
      <c r="EM36" s="312"/>
      <c r="EN36" s="312"/>
      <c r="EO36" s="312"/>
      <c r="EP36" s="312"/>
      <c r="EQ36" s="312"/>
      <c r="ER36" s="312"/>
      <c r="ES36" s="312"/>
      <c r="ET36" s="312"/>
      <c r="EU36" s="312"/>
      <c r="EV36" s="312"/>
      <c r="EW36" s="312"/>
      <c r="EX36" s="312"/>
      <c r="EY36" s="312"/>
      <c r="EZ36" s="312"/>
      <c r="FA36" s="312"/>
      <c r="FB36" s="312"/>
      <c r="FC36" s="312"/>
      <c r="FD36" s="312"/>
      <c r="FE36" s="312"/>
      <c r="FF36" s="312"/>
      <c r="FG36" s="312"/>
      <c r="FH36" s="312"/>
      <c r="FI36" s="312"/>
      <c r="FJ36" s="312"/>
      <c r="FK36" s="312"/>
      <c r="FL36" s="312"/>
      <c r="FM36" s="312"/>
      <c r="FN36" s="312"/>
      <c r="FO36" s="312"/>
      <c r="FP36" s="312"/>
      <c r="FQ36" s="312"/>
      <c r="FR36" s="312"/>
      <c r="FS36" s="312"/>
      <c r="FT36" s="312"/>
      <c r="FU36" s="312"/>
      <c r="FV36" s="312"/>
      <c r="FW36" s="312"/>
      <c r="FX36" s="312"/>
      <c r="FY36" s="312"/>
      <c r="FZ36" s="312"/>
      <c r="GA36" s="312"/>
      <c r="GB36" s="312"/>
      <c r="GC36" s="312"/>
      <c r="GD36" s="312"/>
      <c r="GE36" s="312"/>
      <c r="GF36" s="312"/>
      <c r="GG36" s="312"/>
      <c r="GH36" s="312"/>
      <c r="GI36" s="312"/>
      <c r="GJ36" s="312"/>
      <c r="GK36" s="312"/>
      <c r="GL36" s="312"/>
      <c r="GM36" s="312"/>
      <c r="GN36" s="312"/>
      <c r="GO36" s="312"/>
      <c r="GP36" s="312"/>
      <c r="GQ36" s="312"/>
      <c r="GR36" s="312"/>
      <c r="GS36" s="312"/>
      <c r="GT36" s="312"/>
      <c r="GU36" s="312"/>
      <c r="GV36" s="312"/>
      <c r="GW36" s="312"/>
      <c r="GX36" s="312"/>
      <c r="GY36" s="312"/>
      <c r="GZ36" s="312"/>
      <c r="HA36" s="312"/>
      <c r="HB36" s="312"/>
      <c r="HC36" s="312"/>
      <c r="HD36" s="312"/>
      <c r="HE36" s="312"/>
      <c r="HF36" s="312"/>
    </row>
    <row r="37" spans="2:218" x14ac:dyDescent="0.2">
      <c r="B37" s="311" t="s">
        <v>398</v>
      </c>
      <c r="C37" s="581">
        <f>'Drainase Tnh Mineral '!Q21</f>
        <v>581740</v>
      </c>
      <c r="D37" s="327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  <c r="AK37" s="312"/>
      <c r="AL37" s="312"/>
      <c r="AM37" s="312"/>
      <c r="AN37" s="312"/>
      <c r="AO37" s="312"/>
      <c r="AP37" s="312"/>
      <c r="AQ37" s="312"/>
      <c r="AR37" s="312"/>
      <c r="AS37" s="312"/>
      <c r="AT37" s="312"/>
      <c r="AU37" s="312"/>
      <c r="AV37" s="312"/>
      <c r="AW37" s="312"/>
      <c r="AX37" s="312"/>
      <c r="AY37" s="312"/>
      <c r="AZ37" s="312"/>
      <c r="BA37" s="312"/>
      <c r="BB37" s="312"/>
      <c r="BC37" s="312"/>
      <c r="BD37" s="312"/>
      <c r="BE37" s="312"/>
      <c r="BF37" s="312"/>
      <c r="BG37" s="312"/>
      <c r="BH37" s="312"/>
      <c r="BI37" s="312"/>
      <c r="BJ37" s="312"/>
      <c r="BK37" s="312"/>
      <c r="BL37" s="312"/>
      <c r="BM37" s="312"/>
      <c r="BN37" s="312"/>
      <c r="BO37" s="312"/>
      <c r="BP37" s="312"/>
      <c r="BQ37" s="312"/>
      <c r="BR37" s="312"/>
      <c r="BS37" s="312"/>
      <c r="BT37" s="312"/>
      <c r="BU37" s="312"/>
      <c r="BV37" s="312"/>
      <c r="BW37" s="312"/>
      <c r="BX37" s="312"/>
      <c r="BY37" s="312"/>
      <c r="BZ37" s="312"/>
      <c r="CA37" s="312"/>
      <c r="CB37" s="312"/>
      <c r="CC37" s="312"/>
      <c r="CD37" s="312"/>
      <c r="CE37" s="312"/>
      <c r="CF37" s="312"/>
      <c r="CG37" s="312"/>
      <c r="CH37" s="312"/>
      <c r="CI37" s="312"/>
      <c r="CJ37" s="312"/>
      <c r="CK37" s="312"/>
      <c r="CL37" s="312"/>
      <c r="CM37" s="312"/>
      <c r="CN37" s="312"/>
      <c r="CO37" s="312"/>
      <c r="CP37" s="312"/>
      <c r="CQ37" s="312"/>
      <c r="CR37" s="312"/>
      <c r="CS37" s="312"/>
      <c r="CT37" s="312"/>
      <c r="CU37" s="312"/>
      <c r="CV37" s="312"/>
      <c r="CW37" s="312"/>
      <c r="CX37" s="312"/>
      <c r="CY37" s="312"/>
      <c r="CZ37" s="312"/>
      <c r="DA37" s="312"/>
      <c r="DB37" s="312"/>
      <c r="DC37" s="312"/>
      <c r="DD37" s="312"/>
      <c r="DE37" s="312"/>
      <c r="DF37" s="312"/>
      <c r="DG37" s="312"/>
      <c r="DH37" s="312"/>
      <c r="DI37" s="312"/>
      <c r="DJ37" s="312"/>
      <c r="DK37" s="312"/>
      <c r="DL37" s="312"/>
      <c r="DM37" s="312"/>
      <c r="DN37" s="312"/>
      <c r="DO37" s="312"/>
      <c r="DP37" s="312"/>
      <c r="DQ37" s="312"/>
      <c r="DR37" s="312"/>
      <c r="DS37" s="312"/>
      <c r="DT37" s="312"/>
      <c r="DU37" s="312"/>
      <c r="DV37" s="312"/>
      <c r="DW37" s="312"/>
      <c r="DX37" s="312"/>
      <c r="DY37" s="312"/>
      <c r="DZ37" s="312"/>
      <c r="EA37" s="312"/>
      <c r="EB37" s="312"/>
      <c r="EC37" s="312"/>
      <c r="ED37" s="312"/>
      <c r="EE37" s="312"/>
      <c r="EF37" s="312"/>
      <c r="EG37" s="312"/>
      <c r="EH37" s="312"/>
      <c r="EI37" s="312"/>
      <c r="EJ37" s="312"/>
      <c r="EK37" s="312"/>
      <c r="EL37" s="312"/>
      <c r="EM37" s="312"/>
      <c r="EN37" s="312"/>
      <c r="EO37" s="312"/>
      <c r="EP37" s="312"/>
      <c r="EQ37" s="312"/>
      <c r="ER37" s="312"/>
      <c r="ES37" s="312"/>
      <c r="ET37" s="312"/>
      <c r="EU37" s="312"/>
      <c r="EV37" s="312"/>
      <c r="EW37" s="312"/>
      <c r="EX37" s="312"/>
      <c r="EY37" s="312"/>
      <c r="EZ37" s="312"/>
      <c r="FA37" s="312"/>
      <c r="FB37" s="312"/>
      <c r="FC37" s="312"/>
      <c r="FD37" s="312"/>
      <c r="FE37" s="312"/>
      <c r="FF37" s="312"/>
      <c r="FG37" s="312"/>
      <c r="FH37" s="312"/>
      <c r="FI37" s="312"/>
      <c r="FJ37" s="312"/>
      <c r="FK37" s="312"/>
      <c r="FL37" s="312"/>
      <c r="FM37" s="312"/>
      <c r="FN37" s="312"/>
      <c r="FO37" s="312"/>
      <c r="FP37" s="312"/>
      <c r="FQ37" s="312"/>
      <c r="FR37" s="312"/>
      <c r="FS37" s="312"/>
      <c r="FT37" s="312"/>
      <c r="FU37" s="312"/>
      <c r="FV37" s="312"/>
      <c r="FW37" s="312"/>
      <c r="FX37" s="312"/>
      <c r="FY37" s="312"/>
      <c r="FZ37" s="312"/>
      <c r="GA37" s="312"/>
      <c r="GB37" s="312"/>
      <c r="GC37" s="312"/>
      <c r="GD37" s="312"/>
      <c r="GE37" s="312"/>
      <c r="GF37" s="312"/>
      <c r="GG37" s="312"/>
      <c r="GH37" s="312"/>
      <c r="GI37" s="312"/>
      <c r="GJ37" s="312"/>
      <c r="GK37" s="312"/>
      <c r="GL37" s="312"/>
      <c r="GM37" s="312"/>
      <c r="GN37" s="312"/>
      <c r="GO37" s="312"/>
      <c r="GP37" s="312"/>
      <c r="GQ37" s="312"/>
      <c r="GR37" s="312"/>
      <c r="GS37" s="312"/>
      <c r="GT37" s="312"/>
      <c r="GU37" s="312"/>
      <c r="GV37" s="312"/>
      <c r="GW37" s="312"/>
      <c r="GX37" s="312"/>
      <c r="GY37" s="312"/>
      <c r="GZ37" s="312"/>
      <c r="HA37" s="312"/>
      <c r="HB37" s="312"/>
      <c r="HC37" s="312"/>
      <c r="HD37" s="312"/>
      <c r="HE37" s="312"/>
      <c r="HF37" s="312"/>
    </row>
    <row r="38" spans="2:218" x14ac:dyDescent="0.2">
      <c r="B38" s="260" t="s">
        <v>411</v>
      </c>
      <c r="C38" s="312">
        <f>SUM(C35:C37)</f>
        <v>3103329.6</v>
      </c>
      <c r="D38" s="327"/>
      <c r="E38" s="312"/>
      <c r="F38" s="312"/>
      <c r="G38" s="312"/>
      <c r="H38" s="312"/>
      <c r="I38" s="312"/>
      <c r="J38" s="312"/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2"/>
      <c r="Y38" s="312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  <c r="AK38" s="312"/>
      <c r="AL38" s="312"/>
      <c r="AM38" s="312"/>
      <c r="AN38" s="312"/>
      <c r="AO38" s="312"/>
      <c r="AP38" s="312"/>
      <c r="AQ38" s="312"/>
      <c r="AR38" s="312"/>
      <c r="AS38" s="312"/>
      <c r="AT38" s="312"/>
      <c r="AU38" s="312"/>
      <c r="AV38" s="312"/>
      <c r="AW38" s="312"/>
      <c r="AX38" s="312"/>
      <c r="AY38" s="312"/>
      <c r="AZ38" s="312"/>
      <c r="BA38" s="312"/>
      <c r="BB38" s="312"/>
      <c r="BC38" s="312"/>
      <c r="BD38" s="312"/>
      <c r="BE38" s="312"/>
      <c r="BF38" s="312"/>
      <c r="BG38" s="312"/>
      <c r="BH38" s="312"/>
      <c r="BI38" s="312"/>
      <c r="BJ38" s="312"/>
      <c r="BK38" s="312"/>
      <c r="BL38" s="312"/>
      <c r="BM38" s="312"/>
      <c r="BN38" s="312"/>
      <c r="BO38" s="312"/>
      <c r="BP38" s="312"/>
      <c r="BQ38" s="312"/>
      <c r="BR38" s="312"/>
      <c r="BS38" s="312"/>
      <c r="BT38" s="312"/>
      <c r="BU38" s="312"/>
      <c r="BV38" s="312"/>
      <c r="BW38" s="312"/>
      <c r="BX38" s="312"/>
      <c r="BY38" s="312"/>
      <c r="BZ38" s="312"/>
      <c r="CA38" s="312"/>
      <c r="CB38" s="312"/>
      <c r="CC38" s="312"/>
      <c r="CD38" s="312"/>
      <c r="CE38" s="312"/>
      <c r="CF38" s="312"/>
      <c r="CG38" s="312"/>
      <c r="CH38" s="312"/>
      <c r="CI38" s="312"/>
      <c r="CJ38" s="312"/>
      <c r="CK38" s="312"/>
      <c r="CL38" s="312"/>
      <c r="CM38" s="312"/>
      <c r="CN38" s="312"/>
      <c r="CO38" s="312"/>
      <c r="CP38" s="312"/>
      <c r="CQ38" s="312"/>
      <c r="CR38" s="312"/>
      <c r="CS38" s="312"/>
      <c r="CT38" s="312"/>
      <c r="CU38" s="312"/>
      <c r="CV38" s="312"/>
      <c r="CW38" s="312"/>
      <c r="CX38" s="312"/>
      <c r="CY38" s="312"/>
      <c r="CZ38" s="312"/>
      <c r="DA38" s="312"/>
      <c r="DB38" s="312"/>
      <c r="DC38" s="312"/>
      <c r="DD38" s="312"/>
      <c r="DE38" s="312"/>
      <c r="DF38" s="312"/>
      <c r="DG38" s="312"/>
      <c r="DH38" s="312"/>
      <c r="DI38" s="312"/>
      <c r="DJ38" s="312"/>
      <c r="DK38" s="312"/>
      <c r="DL38" s="312"/>
      <c r="DM38" s="312"/>
      <c r="DN38" s="312"/>
      <c r="DO38" s="312"/>
      <c r="DP38" s="312"/>
      <c r="DQ38" s="312"/>
      <c r="DR38" s="312"/>
      <c r="DS38" s="312"/>
      <c r="DT38" s="312"/>
      <c r="DU38" s="312"/>
      <c r="DV38" s="312"/>
      <c r="DW38" s="312"/>
      <c r="DX38" s="312"/>
      <c r="DY38" s="312"/>
      <c r="DZ38" s="312"/>
      <c r="EA38" s="312"/>
      <c r="EB38" s="312"/>
      <c r="EC38" s="312"/>
      <c r="ED38" s="312"/>
      <c r="EE38" s="312"/>
      <c r="EF38" s="312"/>
      <c r="EG38" s="312"/>
      <c r="EH38" s="312"/>
      <c r="EI38" s="312"/>
      <c r="EJ38" s="312"/>
      <c r="EK38" s="312"/>
      <c r="EL38" s="312"/>
      <c r="EM38" s="312"/>
      <c r="EN38" s="312"/>
      <c r="EO38" s="312"/>
      <c r="EP38" s="312"/>
      <c r="EQ38" s="312"/>
      <c r="ER38" s="312"/>
      <c r="ES38" s="312"/>
      <c r="ET38" s="312"/>
      <c r="EU38" s="312"/>
      <c r="EV38" s="312"/>
      <c r="EW38" s="312"/>
      <c r="EX38" s="312"/>
      <c r="EY38" s="312"/>
      <c r="EZ38" s="312"/>
      <c r="FA38" s="312"/>
      <c r="FB38" s="312"/>
      <c r="FC38" s="312"/>
      <c r="FD38" s="312"/>
      <c r="FE38" s="312"/>
      <c r="FF38" s="312"/>
      <c r="FG38" s="312"/>
      <c r="FH38" s="312"/>
      <c r="FI38" s="312"/>
      <c r="FJ38" s="312"/>
      <c r="FK38" s="312"/>
      <c r="FL38" s="312"/>
      <c r="FM38" s="312"/>
      <c r="FN38" s="312"/>
      <c r="FO38" s="312"/>
      <c r="FP38" s="312"/>
      <c r="FQ38" s="312"/>
      <c r="FR38" s="312"/>
      <c r="FS38" s="312"/>
      <c r="FT38" s="312"/>
      <c r="FU38" s="312"/>
      <c r="FV38" s="312"/>
      <c r="FW38" s="312"/>
      <c r="FX38" s="312"/>
      <c r="FY38" s="312"/>
      <c r="FZ38" s="312"/>
      <c r="GA38" s="312"/>
      <c r="GB38" s="312"/>
      <c r="GC38" s="312"/>
      <c r="GD38" s="312"/>
      <c r="GE38" s="312"/>
      <c r="GF38" s="312"/>
      <c r="GG38" s="312"/>
      <c r="GH38" s="312"/>
      <c r="GI38" s="312"/>
      <c r="GJ38" s="312"/>
      <c r="GK38" s="312"/>
      <c r="GL38" s="312"/>
      <c r="GM38" s="312"/>
      <c r="GN38" s="312"/>
      <c r="GO38" s="312"/>
      <c r="GP38" s="312"/>
      <c r="GQ38" s="312"/>
      <c r="GR38" s="312"/>
      <c r="GS38" s="312"/>
      <c r="GT38" s="312"/>
      <c r="GU38" s="312"/>
      <c r="GV38" s="312"/>
      <c r="GW38" s="312"/>
      <c r="GX38" s="312"/>
      <c r="GY38" s="312"/>
      <c r="GZ38" s="312"/>
      <c r="HA38" s="312"/>
      <c r="HB38" s="312"/>
      <c r="HC38" s="312"/>
      <c r="HD38" s="312"/>
      <c r="HE38" s="312"/>
      <c r="HF38" s="312"/>
    </row>
    <row r="39" spans="2:218" x14ac:dyDescent="0.2">
      <c r="B39" s="311" t="s">
        <v>412</v>
      </c>
      <c r="C39" s="312">
        <f>C33+C38</f>
        <v>3103329.6</v>
      </c>
      <c r="D39" s="327"/>
      <c r="E39" s="312"/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  <c r="AK39" s="312"/>
      <c r="AL39" s="312"/>
      <c r="AM39" s="312"/>
      <c r="AN39" s="312"/>
      <c r="AO39" s="312"/>
      <c r="AP39" s="312"/>
      <c r="AQ39" s="312"/>
      <c r="AR39" s="312"/>
      <c r="AS39" s="312"/>
      <c r="AT39" s="312"/>
      <c r="AU39" s="312"/>
      <c r="AV39" s="312"/>
      <c r="AW39" s="312"/>
      <c r="AX39" s="312"/>
      <c r="AY39" s="312"/>
      <c r="AZ39" s="312"/>
      <c r="BA39" s="312"/>
      <c r="BB39" s="312"/>
      <c r="BC39" s="312"/>
      <c r="BD39" s="312"/>
      <c r="BE39" s="312"/>
      <c r="BF39" s="312"/>
      <c r="BG39" s="312"/>
      <c r="BH39" s="312"/>
      <c r="BI39" s="312"/>
      <c r="BJ39" s="312"/>
      <c r="BK39" s="312"/>
      <c r="BL39" s="312"/>
      <c r="BM39" s="312"/>
      <c r="BN39" s="312"/>
      <c r="BO39" s="312"/>
      <c r="BP39" s="312"/>
      <c r="BQ39" s="312"/>
      <c r="BR39" s="312"/>
      <c r="BS39" s="312"/>
      <c r="BT39" s="312"/>
      <c r="BU39" s="312"/>
      <c r="BV39" s="312"/>
      <c r="BW39" s="312"/>
      <c r="BX39" s="312"/>
      <c r="BY39" s="312"/>
      <c r="BZ39" s="312"/>
      <c r="CA39" s="312"/>
      <c r="CB39" s="312"/>
      <c r="CC39" s="312"/>
      <c r="CD39" s="312"/>
      <c r="CE39" s="312"/>
      <c r="CF39" s="312"/>
      <c r="CG39" s="312"/>
      <c r="CH39" s="312"/>
      <c r="CI39" s="312"/>
      <c r="CJ39" s="312"/>
      <c r="CK39" s="312"/>
      <c r="CL39" s="312"/>
      <c r="CM39" s="312"/>
      <c r="CN39" s="312"/>
      <c r="CO39" s="312"/>
      <c r="CP39" s="312"/>
      <c r="CQ39" s="312"/>
      <c r="CR39" s="312"/>
      <c r="CS39" s="312"/>
      <c r="CT39" s="312"/>
      <c r="CU39" s="312"/>
      <c r="CV39" s="312"/>
      <c r="CW39" s="312"/>
      <c r="CX39" s="312"/>
      <c r="CY39" s="312"/>
      <c r="CZ39" s="312"/>
      <c r="DA39" s="312"/>
      <c r="DB39" s="312"/>
      <c r="DC39" s="312"/>
      <c r="DD39" s="312"/>
      <c r="DE39" s="312"/>
      <c r="DF39" s="312"/>
      <c r="DG39" s="312"/>
      <c r="DH39" s="312"/>
      <c r="DI39" s="312"/>
      <c r="DJ39" s="312"/>
      <c r="DK39" s="312"/>
      <c r="DL39" s="312"/>
      <c r="DM39" s="312"/>
      <c r="DN39" s="312"/>
      <c r="DO39" s="312"/>
      <c r="DP39" s="312"/>
      <c r="DQ39" s="312"/>
      <c r="DR39" s="312"/>
      <c r="DS39" s="312"/>
      <c r="DT39" s="312"/>
      <c r="DU39" s="312"/>
      <c r="DV39" s="312"/>
      <c r="DW39" s="312"/>
      <c r="DX39" s="312"/>
      <c r="DY39" s="312"/>
      <c r="DZ39" s="312"/>
      <c r="EA39" s="312"/>
      <c r="EB39" s="312"/>
      <c r="EC39" s="312"/>
      <c r="ED39" s="312"/>
      <c r="EE39" s="312"/>
      <c r="EF39" s="312"/>
      <c r="EG39" s="312"/>
      <c r="EH39" s="312"/>
      <c r="EI39" s="312"/>
      <c r="EJ39" s="312"/>
      <c r="EK39" s="312"/>
      <c r="EL39" s="312"/>
      <c r="EM39" s="312"/>
      <c r="EN39" s="312"/>
      <c r="EO39" s="312"/>
      <c r="EP39" s="312"/>
      <c r="EQ39" s="312"/>
      <c r="ER39" s="312"/>
      <c r="ES39" s="312"/>
      <c r="ET39" s="312"/>
      <c r="EU39" s="312"/>
      <c r="EV39" s="312"/>
      <c r="EW39" s="312"/>
      <c r="EX39" s="312"/>
      <c r="EY39" s="312"/>
      <c r="EZ39" s="312"/>
      <c r="FA39" s="312"/>
      <c r="FB39" s="312"/>
      <c r="FC39" s="312"/>
      <c r="FD39" s="312"/>
      <c r="FE39" s="312"/>
      <c r="FF39" s="312"/>
      <c r="FG39" s="312"/>
      <c r="FH39" s="312"/>
      <c r="FI39" s="312"/>
      <c r="FJ39" s="312"/>
      <c r="FK39" s="312"/>
      <c r="FL39" s="312"/>
      <c r="FM39" s="312"/>
      <c r="FN39" s="312"/>
      <c r="FO39" s="312"/>
      <c r="FP39" s="312"/>
      <c r="FQ39" s="312"/>
      <c r="FR39" s="312"/>
      <c r="FS39" s="312"/>
      <c r="FT39" s="312"/>
      <c r="FU39" s="312"/>
      <c r="FV39" s="312"/>
      <c r="FW39" s="312"/>
      <c r="FX39" s="312"/>
      <c r="FY39" s="312"/>
      <c r="FZ39" s="312"/>
      <c r="GA39" s="312"/>
      <c r="GB39" s="312"/>
      <c r="GC39" s="312"/>
      <c r="GD39" s="312"/>
      <c r="GE39" s="312"/>
      <c r="GF39" s="312"/>
      <c r="GG39" s="312"/>
      <c r="GH39" s="312"/>
      <c r="GI39" s="312"/>
      <c r="GJ39" s="312"/>
      <c r="GK39" s="312"/>
      <c r="GL39" s="312"/>
      <c r="GM39" s="312"/>
      <c r="GN39" s="312"/>
      <c r="GO39" s="312"/>
      <c r="GP39" s="312"/>
      <c r="GQ39" s="312"/>
      <c r="GR39" s="312"/>
      <c r="GS39" s="312"/>
      <c r="GT39" s="312"/>
      <c r="GU39" s="312"/>
      <c r="GV39" s="312"/>
      <c r="GW39" s="312"/>
      <c r="GX39" s="312"/>
      <c r="GY39" s="312"/>
      <c r="GZ39" s="312"/>
      <c r="HA39" s="312"/>
      <c r="HB39" s="312"/>
      <c r="HC39" s="312"/>
      <c r="HD39" s="312"/>
      <c r="HE39" s="312"/>
      <c r="HF39" s="312"/>
    </row>
    <row r="40" spans="2:218" x14ac:dyDescent="0.2">
      <c r="B40" s="313" t="s">
        <v>413</v>
      </c>
      <c r="C40" s="322">
        <v>522000000</v>
      </c>
      <c r="D40" s="447"/>
      <c r="E40" s="322"/>
      <c r="F40" s="322"/>
      <c r="G40" s="322"/>
      <c r="H40" s="322"/>
      <c r="I40" s="322"/>
      <c r="J40" s="322"/>
      <c r="K40" s="322"/>
      <c r="L40" s="322"/>
      <c r="M40" s="322"/>
      <c r="N40" s="322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  <c r="AA40" s="322"/>
      <c r="AB40" s="322"/>
      <c r="AC40" s="322">
        <f>E40+G40+I40+K40+M40+O40+Q40+S40+U40+W40+Y40+AA40</f>
        <v>0</v>
      </c>
      <c r="AD40" s="322">
        <f>F40+H40+J40+L40+N40+P40+R40+T40+V40+X40+Z40+AB40</f>
        <v>0</v>
      </c>
      <c r="AE40" s="322"/>
      <c r="AF40" s="322"/>
      <c r="AG40" s="322"/>
      <c r="AH40" s="322"/>
      <c r="AI40" s="322"/>
      <c r="AJ40" s="322"/>
      <c r="AK40" s="322"/>
      <c r="AL40" s="322"/>
      <c r="AM40" s="322"/>
      <c r="AN40" s="322"/>
      <c r="AO40" s="322"/>
      <c r="AP40" s="322"/>
      <c r="AQ40" s="322"/>
      <c r="AR40" s="322"/>
      <c r="AS40" s="322"/>
      <c r="AT40" s="322"/>
      <c r="AU40" s="322"/>
      <c r="AV40" s="322"/>
      <c r="AW40" s="322"/>
      <c r="AX40" s="322"/>
      <c r="AY40" s="322"/>
      <c r="AZ40" s="322"/>
      <c r="BA40" s="322"/>
      <c r="BB40" s="322"/>
      <c r="BC40" s="322">
        <f>AE40+AG40+AI40+AK40+AM40+AO40+AQ40+AS40+AU40+AW40+AY40+BA40</f>
        <v>0</v>
      </c>
      <c r="BD40" s="322">
        <f>AF40+AH40+AJ40+AL40+AN40+AP40+AR40+AT40+AV40+AX40+AZ40+BB40</f>
        <v>0</v>
      </c>
      <c r="BE40" s="322"/>
      <c r="BF40" s="322"/>
      <c r="BG40" s="322"/>
      <c r="BH40" s="322"/>
      <c r="BI40" s="322"/>
      <c r="BJ40" s="322"/>
      <c r="BK40" s="322"/>
      <c r="BL40" s="322"/>
      <c r="BM40" s="322"/>
      <c r="BN40" s="322"/>
      <c r="BO40" s="322"/>
      <c r="BP40" s="322"/>
      <c r="BQ40" s="322"/>
      <c r="BR40" s="322"/>
      <c r="BS40" s="322"/>
      <c r="BT40" s="322"/>
      <c r="BU40" s="322"/>
      <c r="BV40" s="322"/>
      <c r="BW40" s="322"/>
      <c r="BX40" s="322"/>
      <c r="BY40" s="322"/>
      <c r="BZ40" s="322"/>
      <c r="CA40" s="322"/>
      <c r="CB40" s="322"/>
      <c r="CC40" s="322">
        <f>BE40+BG40+BI40+BK40+BM40+BO40+BQ40+BS40+BU40+BW40+BY40+CA40</f>
        <v>0</v>
      </c>
      <c r="CD40" s="322">
        <f>BF40+BH40+BJ40+BL40+BN40+BP40+BR40+BT40+BV40+BX40+BZ40+CB40</f>
        <v>0</v>
      </c>
      <c r="CE40" s="322"/>
      <c r="CF40" s="322"/>
      <c r="CG40" s="322"/>
      <c r="CH40" s="322"/>
      <c r="CI40" s="322"/>
      <c r="CJ40" s="322"/>
      <c r="CK40" s="322"/>
      <c r="CL40" s="322"/>
      <c r="CM40" s="322"/>
      <c r="CN40" s="322"/>
      <c r="CO40" s="322"/>
      <c r="CP40" s="322"/>
      <c r="CQ40" s="322"/>
      <c r="CR40" s="322"/>
      <c r="CS40" s="322"/>
      <c r="CT40" s="322"/>
      <c r="CU40" s="322"/>
      <c r="CV40" s="322"/>
      <c r="CW40" s="322"/>
      <c r="CX40" s="322"/>
      <c r="CY40" s="322"/>
      <c r="CZ40" s="322"/>
      <c r="DA40" s="322"/>
      <c r="DB40" s="322"/>
      <c r="DC40" s="322">
        <f t="shared" ref="DC40:DD46" si="29">CE40+CG40+CI40+CK40+CM40+CO40+CQ40+CS40+CU40+CW40+CY40+DA40</f>
        <v>0</v>
      </c>
      <c r="DD40" s="322">
        <f t="shared" si="29"/>
        <v>0</v>
      </c>
      <c r="DE40" s="436"/>
      <c r="DF40" s="436"/>
      <c r="DG40" s="436"/>
      <c r="DH40" s="436"/>
      <c r="DI40" s="436"/>
      <c r="DJ40" s="436"/>
      <c r="DK40" s="436"/>
      <c r="DL40" s="436"/>
      <c r="DM40" s="436"/>
      <c r="DN40" s="436"/>
      <c r="DO40" s="436"/>
      <c r="DP40" s="436"/>
      <c r="DQ40" s="436"/>
      <c r="DR40" s="436"/>
      <c r="DS40" s="436"/>
      <c r="DT40" s="436"/>
      <c r="DU40" s="436"/>
      <c r="DV40" s="436"/>
      <c r="DW40" s="436"/>
      <c r="DX40" s="436"/>
      <c r="DY40" s="436"/>
      <c r="DZ40" s="436"/>
      <c r="EA40" s="436"/>
      <c r="EB40" s="436"/>
      <c r="EC40" s="322">
        <f t="shared" ref="EC40:ED46" si="30">DE40+DG40+DI40+DK40+DM40+DO40+DQ40+DS40+DU40+DW40+DY40+EA40</f>
        <v>0</v>
      </c>
      <c r="ED40" s="322">
        <f t="shared" si="30"/>
        <v>0</v>
      </c>
      <c r="EE40" s="436"/>
      <c r="EF40" s="436"/>
      <c r="EG40" s="436"/>
      <c r="EH40" s="436"/>
      <c r="EI40" s="436"/>
      <c r="EJ40" s="436"/>
      <c r="EK40" s="436"/>
      <c r="EL40" s="436"/>
      <c r="EM40" s="436"/>
      <c r="EN40" s="436"/>
      <c r="EO40" s="436"/>
      <c r="EP40" s="436"/>
      <c r="EQ40" s="436"/>
      <c r="ER40" s="436"/>
      <c r="ES40" s="436"/>
      <c r="ET40" s="436"/>
      <c r="EU40" s="436"/>
      <c r="EV40" s="436"/>
      <c r="EW40" s="436"/>
      <c r="EX40" s="436"/>
      <c r="EY40" s="436"/>
      <c r="EZ40" s="436"/>
      <c r="FA40" s="436"/>
      <c r="FB40" s="436"/>
      <c r="FC40" s="322">
        <f t="shared" ref="FC40:FD46" si="31">EE40+EG40+EI40+EK40+EM40+EO40+EQ40+ES40+EU40+EW40+EY40+FA40</f>
        <v>0</v>
      </c>
      <c r="FD40" s="322">
        <f t="shared" si="31"/>
        <v>0</v>
      </c>
      <c r="FE40" s="436"/>
      <c r="FF40" s="436"/>
      <c r="FG40" s="436"/>
      <c r="FH40" s="436"/>
      <c r="FI40" s="436"/>
      <c r="FJ40" s="436"/>
      <c r="FK40" s="436"/>
      <c r="FL40" s="322">
        <f>$C40*FK40</f>
        <v>0</v>
      </c>
      <c r="FM40" s="436"/>
      <c r="FN40" s="436"/>
      <c r="FO40" s="436"/>
      <c r="FP40" s="436"/>
      <c r="FQ40" s="436"/>
      <c r="FR40" s="436"/>
      <c r="FS40" s="436"/>
      <c r="FT40" s="436"/>
      <c r="FU40" s="436"/>
      <c r="FV40" s="436"/>
      <c r="FW40" s="436"/>
      <c r="FX40" s="436"/>
      <c r="FY40" s="436"/>
      <c r="FZ40" s="436"/>
      <c r="GA40" s="436"/>
      <c r="GB40" s="436"/>
      <c r="GC40" s="322">
        <f t="shared" ref="GC40:GC46" si="32">FE40+FG40+FI40+FK40+FM40+FO40+FQ40+FS40+FU40+FW40+FY40+GA40</f>
        <v>0</v>
      </c>
      <c r="GD40" s="322">
        <f t="shared" ref="GD40:GD46" si="33">FF40+FH40+FJ40+FL40+FN40+FP40+FR40+FT40+FV40+FX40+FZ40+GB40</f>
        <v>0</v>
      </c>
      <c r="GE40" s="436"/>
      <c r="GF40" s="436"/>
      <c r="GG40" s="436"/>
      <c r="GH40" s="436"/>
      <c r="GI40" s="436"/>
      <c r="GJ40" s="436"/>
      <c r="GK40" s="436"/>
      <c r="GL40" s="322">
        <f>$C40*GK40</f>
        <v>0</v>
      </c>
      <c r="GM40" s="436"/>
      <c r="GN40" s="436"/>
      <c r="GO40" s="436"/>
      <c r="GP40" s="436"/>
      <c r="GQ40" s="436"/>
      <c r="GR40" s="436"/>
      <c r="GS40" s="436"/>
      <c r="GT40" s="436"/>
      <c r="GU40" s="436"/>
      <c r="GV40" s="436"/>
      <c r="GW40" s="436"/>
      <c r="GX40" s="436"/>
      <c r="GY40" s="436"/>
      <c r="GZ40" s="436"/>
      <c r="HA40" s="436"/>
      <c r="HB40" s="436"/>
      <c r="HC40" s="322">
        <f t="shared" ref="HC40:HD46" si="34">GE40+GG40+GI40+GK40+GM40+GO40+GQ40+GS40+GU40+GW40+GY40+HA40</f>
        <v>0</v>
      </c>
      <c r="HD40" s="322">
        <f t="shared" si="34"/>
        <v>0</v>
      </c>
      <c r="HE40" s="322">
        <f>AC40+BC40+CC40+DC40+EC40+FC40+GC40+HC40</f>
        <v>0</v>
      </c>
      <c r="HF40" s="322">
        <f>AD40+BD40+CD40+DD40+ED40+FD40+GD40+HD40</f>
        <v>0</v>
      </c>
      <c r="HH40" s="448"/>
      <c r="HI40" s="449"/>
      <c r="HJ40" s="448"/>
    </row>
    <row r="41" spans="2:218" x14ac:dyDescent="0.2">
      <c r="B41" s="313" t="s">
        <v>414</v>
      </c>
      <c r="C41" s="322">
        <v>480000000</v>
      </c>
      <c r="D41" s="447"/>
      <c r="E41" s="322"/>
      <c r="F41" s="322"/>
      <c r="G41" s="322"/>
      <c r="H41" s="322"/>
      <c r="I41" s="322"/>
      <c r="J41" s="322"/>
      <c r="K41" s="322"/>
      <c r="L41" s="322"/>
      <c r="M41" s="322"/>
      <c r="N41" s="322"/>
      <c r="O41" s="322"/>
      <c r="P41" s="322"/>
      <c r="Q41" s="322"/>
      <c r="R41" s="322"/>
      <c r="S41" s="322"/>
      <c r="T41" s="322"/>
      <c r="U41" s="322"/>
      <c r="V41" s="322"/>
      <c r="W41" s="322"/>
      <c r="X41" s="322"/>
      <c r="Y41" s="322"/>
      <c r="Z41" s="322"/>
      <c r="AA41" s="322"/>
      <c r="AB41" s="322"/>
      <c r="AC41" s="322">
        <f t="shared" ref="AC41:AD46" si="35">E41+G41+I41+K41+M41+O41+Q41+S41+U41+W41+Y41+AA41</f>
        <v>0</v>
      </c>
      <c r="AD41" s="322">
        <f t="shared" si="35"/>
        <v>0</v>
      </c>
      <c r="AE41" s="322"/>
      <c r="AF41" s="322"/>
      <c r="AG41" s="322"/>
      <c r="AH41" s="322"/>
      <c r="AI41" s="322"/>
      <c r="AJ41" s="322"/>
      <c r="AK41" s="322"/>
      <c r="AL41" s="322"/>
      <c r="AM41" s="322"/>
      <c r="AN41" s="322"/>
      <c r="AO41" s="322"/>
      <c r="AP41" s="322"/>
      <c r="AQ41" s="322"/>
      <c r="AR41" s="322"/>
      <c r="AS41" s="322"/>
      <c r="AT41" s="322"/>
      <c r="AU41" s="322"/>
      <c r="AV41" s="322"/>
      <c r="AW41" s="322"/>
      <c r="AX41" s="322"/>
      <c r="AY41" s="322"/>
      <c r="AZ41" s="322"/>
      <c r="BA41" s="322"/>
      <c r="BB41" s="322"/>
      <c r="BC41" s="322">
        <f t="shared" ref="BC41:BD46" si="36">AE41+AG41+AI41+AK41+AM41+AO41+AQ41+AS41+AU41+AW41+AY41+BA41</f>
        <v>0</v>
      </c>
      <c r="BD41" s="322">
        <f t="shared" si="36"/>
        <v>0</v>
      </c>
      <c r="BE41" s="322"/>
      <c r="BF41" s="322"/>
      <c r="BG41" s="322"/>
      <c r="BH41" s="322"/>
      <c r="BI41" s="322"/>
      <c r="BJ41" s="322"/>
      <c r="BK41" s="322"/>
      <c r="BL41" s="322"/>
      <c r="BM41" s="322"/>
      <c r="BN41" s="322"/>
      <c r="BO41" s="322"/>
      <c r="BP41" s="322"/>
      <c r="BQ41" s="322"/>
      <c r="BR41" s="322"/>
      <c r="BS41" s="322"/>
      <c r="BT41" s="322"/>
      <c r="BU41" s="322"/>
      <c r="BV41" s="322"/>
      <c r="BW41" s="322"/>
      <c r="BX41" s="322"/>
      <c r="BY41" s="322"/>
      <c r="BZ41" s="322"/>
      <c r="CA41" s="322"/>
      <c r="CB41" s="322"/>
      <c r="CC41" s="322">
        <f t="shared" ref="CC41:CD46" si="37">BE41+BG41+BI41+BK41+BM41+BO41+BQ41+BS41+BU41+BW41+BY41+CA41</f>
        <v>0</v>
      </c>
      <c r="CD41" s="322">
        <f t="shared" si="37"/>
        <v>0</v>
      </c>
      <c r="CE41" s="322"/>
      <c r="CF41" s="322"/>
      <c r="CG41" s="322"/>
      <c r="CH41" s="322"/>
      <c r="CI41" s="322"/>
      <c r="CJ41" s="322"/>
      <c r="CK41" s="322"/>
      <c r="CL41" s="322"/>
      <c r="CM41" s="322"/>
      <c r="CN41" s="322"/>
      <c r="CO41" s="322"/>
      <c r="CP41" s="322"/>
      <c r="CQ41" s="322"/>
      <c r="CR41" s="322"/>
      <c r="CS41" s="322"/>
      <c r="CT41" s="322"/>
      <c r="CU41" s="322"/>
      <c r="CV41" s="322"/>
      <c r="CW41" s="322"/>
      <c r="CX41" s="322"/>
      <c r="CY41" s="322"/>
      <c r="CZ41" s="322"/>
      <c r="DA41" s="322"/>
      <c r="DB41" s="322"/>
      <c r="DC41" s="322">
        <f t="shared" si="29"/>
        <v>0</v>
      </c>
      <c r="DD41" s="322">
        <f t="shared" si="29"/>
        <v>0</v>
      </c>
      <c r="DE41" s="436"/>
      <c r="DF41" s="436"/>
      <c r="DG41" s="436"/>
      <c r="DH41" s="436"/>
      <c r="DI41" s="436"/>
      <c r="DJ41" s="436"/>
      <c r="DK41" s="436"/>
      <c r="DL41" s="436"/>
      <c r="DM41" s="436"/>
      <c r="DN41" s="436"/>
      <c r="DO41" s="436"/>
      <c r="DP41" s="436"/>
      <c r="DQ41" s="436"/>
      <c r="DR41" s="436"/>
      <c r="DS41" s="436"/>
      <c r="DT41" s="436"/>
      <c r="DU41" s="436"/>
      <c r="DV41" s="436"/>
      <c r="DW41" s="436"/>
      <c r="DX41" s="436"/>
      <c r="DY41" s="436"/>
      <c r="DZ41" s="436"/>
      <c r="EA41" s="436"/>
      <c r="EB41" s="436"/>
      <c r="EC41" s="322">
        <f t="shared" si="30"/>
        <v>0</v>
      </c>
      <c r="ED41" s="322">
        <f t="shared" si="30"/>
        <v>0</v>
      </c>
      <c r="EE41" s="436"/>
      <c r="EF41" s="436"/>
      <c r="EG41" s="436"/>
      <c r="EH41" s="436"/>
      <c r="EI41" s="436"/>
      <c r="EJ41" s="436"/>
      <c r="EK41" s="436"/>
      <c r="EL41" s="322">
        <f>$C41*EK41</f>
        <v>0</v>
      </c>
      <c r="EM41" s="436"/>
      <c r="EN41" s="436"/>
      <c r="EO41" s="436"/>
      <c r="EP41" s="436"/>
      <c r="EQ41" s="436"/>
      <c r="ER41" s="436"/>
      <c r="ES41" s="436"/>
      <c r="ET41" s="436"/>
      <c r="EU41" s="436"/>
      <c r="EV41" s="436"/>
      <c r="EW41" s="436"/>
      <c r="EX41" s="436"/>
      <c r="EY41" s="436"/>
      <c r="EZ41" s="436"/>
      <c r="FA41" s="436"/>
      <c r="FB41" s="436"/>
      <c r="FC41" s="322">
        <f t="shared" si="31"/>
        <v>0</v>
      </c>
      <c r="FD41" s="322">
        <f t="shared" si="31"/>
        <v>0</v>
      </c>
      <c r="FE41" s="436"/>
      <c r="FF41" s="436"/>
      <c r="FG41" s="436"/>
      <c r="FH41" s="436"/>
      <c r="FI41" s="436"/>
      <c r="FJ41" s="436"/>
      <c r="FK41" s="436"/>
      <c r="FL41" s="322">
        <f>$C41*FK41</f>
        <v>0</v>
      </c>
      <c r="FM41" s="436"/>
      <c r="FN41" s="436"/>
      <c r="FO41" s="436"/>
      <c r="FP41" s="436"/>
      <c r="FQ41" s="436"/>
      <c r="FR41" s="436"/>
      <c r="FS41" s="436"/>
      <c r="FT41" s="436"/>
      <c r="FU41" s="436"/>
      <c r="FV41" s="436"/>
      <c r="FW41" s="436"/>
      <c r="FX41" s="436"/>
      <c r="FY41" s="436"/>
      <c r="FZ41" s="436"/>
      <c r="GA41" s="436"/>
      <c r="GB41" s="436"/>
      <c r="GC41" s="322">
        <f t="shared" si="32"/>
        <v>0</v>
      </c>
      <c r="GD41" s="322">
        <f t="shared" si="33"/>
        <v>0</v>
      </c>
      <c r="GE41" s="436"/>
      <c r="GF41" s="436"/>
      <c r="GG41" s="436"/>
      <c r="GH41" s="436"/>
      <c r="GI41" s="436"/>
      <c r="GJ41" s="436"/>
      <c r="GK41" s="436"/>
      <c r="GL41" s="322">
        <f>$C41*GK41</f>
        <v>0</v>
      </c>
      <c r="GM41" s="436"/>
      <c r="GN41" s="436"/>
      <c r="GO41" s="436"/>
      <c r="GP41" s="436"/>
      <c r="GQ41" s="436"/>
      <c r="GR41" s="436"/>
      <c r="GS41" s="436"/>
      <c r="GT41" s="436"/>
      <c r="GU41" s="436"/>
      <c r="GV41" s="436"/>
      <c r="GW41" s="436"/>
      <c r="GX41" s="436"/>
      <c r="GY41" s="436"/>
      <c r="GZ41" s="436"/>
      <c r="HA41" s="436"/>
      <c r="HB41" s="436"/>
      <c r="HC41" s="322">
        <f t="shared" si="34"/>
        <v>0</v>
      </c>
      <c r="HD41" s="322">
        <f t="shared" si="34"/>
        <v>0</v>
      </c>
      <c r="HE41" s="322">
        <f t="shared" ref="HE41:HE46" si="38">AC41+BC41+CC41+DC41+EC41+FC41+GC41+HC41</f>
        <v>0</v>
      </c>
      <c r="HF41" s="322">
        <f t="shared" ref="HF41:HF46" si="39">AD41+BD41+CD41+DD41+ED41+FD41+GD41+HD41</f>
        <v>0</v>
      </c>
      <c r="HH41" s="448"/>
      <c r="HI41" s="449"/>
      <c r="HJ41" s="448"/>
    </row>
    <row r="42" spans="2:218" x14ac:dyDescent="0.2">
      <c r="B42" s="313" t="s">
        <v>415</v>
      </c>
      <c r="C42" s="322">
        <v>432000000</v>
      </c>
      <c r="D42" s="447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2"/>
      <c r="V42" s="322"/>
      <c r="W42" s="322"/>
      <c r="X42" s="322"/>
      <c r="Y42" s="322"/>
      <c r="Z42" s="322"/>
      <c r="AA42" s="322"/>
      <c r="AB42" s="322"/>
      <c r="AC42" s="322">
        <f t="shared" si="35"/>
        <v>0</v>
      </c>
      <c r="AD42" s="322">
        <f t="shared" si="35"/>
        <v>0</v>
      </c>
      <c r="AE42" s="322"/>
      <c r="AF42" s="322"/>
      <c r="AG42" s="322"/>
      <c r="AH42" s="322"/>
      <c r="AI42" s="322"/>
      <c r="AJ42" s="322"/>
      <c r="AK42" s="322"/>
      <c r="AL42" s="322"/>
      <c r="AM42" s="322"/>
      <c r="AN42" s="322"/>
      <c r="AO42" s="322"/>
      <c r="AP42" s="322"/>
      <c r="AQ42" s="322"/>
      <c r="AR42" s="322"/>
      <c r="AS42" s="322"/>
      <c r="AT42" s="322"/>
      <c r="AU42" s="322"/>
      <c r="AV42" s="322"/>
      <c r="AW42" s="322"/>
      <c r="AX42" s="322"/>
      <c r="AY42" s="322"/>
      <c r="AZ42" s="322"/>
      <c r="BA42" s="322"/>
      <c r="BB42" s="322"/>
      <c r="BC42" s="322">
        <f t="shared" si="36"/>
        <v>0</v>
      </c>
      <c r="BD42" s="322">
        <f t="shared" si="36"/>
        <v>0</v>
      </c>
      <c r="BE42" s="322"/>
      <c r="BF42" s="322"/>
      <c r="BG42" s="322"/>
      <c r="BH42" s="322"/>
      <c r="BI42" s="322"/>
      <c r="BJ42" s="322"/>
      <c r="BK42" s="322"/>
      <c r="BL42" s="322"/>
      <c r="BM42" s="322"/>
      <c r="BN42" s="322"/>
      <c r="BO42" s="322"/>
      <c r="BP42" s="322"/>
      <c r="BQ42" s="322"/>
      <c r="BR42" s="322"/>
      <c r="BS42" s="322"/>
      <c r="BT42" s="322"/>
      <c r="BU42" s="322"/>
      <c r="BV42" s="322"/>
      <c r="BW42" s="322"/>
      <c r="BX42" s="322"/>
      <c r="BY42" s="322"/>
      <c r="BZ42" s="322"/>
      <c r="CA42" s="322"/>
      <c r="CB42" s="322"/>
      <c r="CC42" s="322">
        <f t="shared" si="37"/>
        <v>0</v>
      </c>
      <c r="CD42" s="322">
        <f t="shared" si="37"/>
        <v>0</v>
      </c>
      <c r="CE42" s="322"/>
      <c r="CF42" s="322"/>
      <c r="CG42" s="322"/>
      <c r="CH42" s="322"/>
      <c r="CI42" s="322"/>
      <c r="CJ42" s="322"/>
      <c r="CK42" s="322"/>
      <c r="CL42" s="322"/>
      <c r="CM42" s="322"/>
      <c r="CN42" s="322"/>
      <c r="CO42" s="322"/>
      <c r="CP42" s="322"/>
      <c r="CQ42" s="322"/>
      <c r="CR42" s="322"/>
      <c r="CS42" s="322"/>
      <c r="CT42" s="322"/>
      <c r="CU42" s="322"/>
      <c r="CV42" s="322"/>
      <c r="CW42" s="322"/>
      <c r="CX42" s="322"/>
      <c r="CY42" s="322"/>
      <c r="CZ42" s="322"/>
      <c r="DA42" s="322"/>
      <c r="DB42" s="322"/>
      <c r="DC42" s="322">
        <f t="shared" si="29"/>
        <v>0</v>
      </c>
      <c r="DD42" s="322">
        <f t="shared" si="29"/>
        <v>0</v>
      </c>
      <c r="DE42" s="436"/>
      <c r="DF42" s="436"/>
      <c r="DG42" s="436"/>
      <c r="DH42" s="436"/>
      <c r="DI42" s="436"/>
      <c r="DJ42" s="436"/>
      <c r="DK42" s="436"/>
      <c r="DL42" s="436"/>
      <c r="DM42" s="436"/>
      <c r="DN42" s="436"/>
      <c r="DO42" s="436"/>
      <c r="DP42" s="436"/>
      <c r="DQ42" s="436"/>
      <c r="DR42" s="436"/>
      <c r="DS42" s="436"/>
      <c r="DT42" s="436"/>
      <c r="DU42" s="436"/>
      <c r="DV42" s="436"/>
      <c r="DW42" s="436"/>
      <c r="DX42" s="436"/>
      <c r="DY42" s="436"/>
      <c r="DZ42" s="436"/>
      <c r="EA42" s="436"/>
      <c r="EB42" s="436"/>
      <c r="EC42" s="322">
        <f t="shared" si="30"/>
        <v>0</v>
      </c>
      <c r="ED42" s="322">
        <f t="shared" si="30"/>
        <v>0</v>
      </c>
      <c r="EE42" s="436"/>
      <c r="EF42" s="436"/>
      <c r="EG42" s="436"/>
      <c r="EH42" s="436"/>
      <c r="EI42" s="436"/>
      <c r="EJ42" s="436"/>
      <c r="EK42" s="436"/>
      <c r="EL42" s="322">
        <f>$C42*EK42</f>
        <v>0</v>
      </c>
      <c r="EM42" s="436"/>
      <c r="EN42" s="436"/>
      <c r="EO42" s="436"/>
      <c r="EP42" s="436"/>
      <c r="EQ42" s="436"/>
      <c r="ER42" s="436"/>
      <c r="ES42" s="436"/>
      <c r="ET42" s="436"/>
      <c r="EU42" s="436"/>
      <c r="EV42" s="436"/>
      <c r="EW42" s="436"/>
      <c r="EX42" s="436"/>
      <c r="EY42" s="436"/>
      <c r="EZ42" s="436"/>
      <c r="FA42" s="436"/>
      <c r="FB42" s="436"/>
      <c r="FC42" s="322">
        <f t="shared" si="31"/>
        <v>0</v>
      </c>
      <c r="FD42" s="322">
        <f t="shared" si="31"/>
        <v>0</v>
      </c>
      <c r="FE42" s="436"/>
      <c r="FF42" s="436"/>
      <c r="FG42" s="436"/>
      <c r="FH42" s="436"/>
      <c r="FI42" s="436"/>
      <c r="FJ42" s="436"/>
      <c r="FK42" s="436"/>
      <c r="FL42" s="322">
        <f>$C42*FK42</f>
        <v>0</v>
      </c>
      <c r="FM42" s="436"/>
      <c r="FN42" s="436"/>
      <c r="FO42" s="436"/>
      <c r="FP42" s="436"/>
      <c r="FQ42" s="436"/>
      <c r="FR42" s="436"/>
      <c r="FS42" s="436"/>
      <c r="FT42" s="436"/>
      <c r="FU42" s="436"/>
      <c r="FV42" s="436"/>
      <c r="FW42" s="436"/>
      <c r="FX42" s="436"/>
      <c r="FY42" s="436"/>
      <c r="FZ42" s="436"/>
      <c r="GA42" s="436"/>
      <c r="GB42" s="436"/>
      <c r="GC42" s="322">
        <f t="shared" si="32"/>
        <v>0</v>
      </c>
      <c r="GD42" s="322">
        <f t="shared" si="33"/>
        <v>0</v>
      </c>
      <c r="GE42" s="436"/>
      <c r="GF42" s="436"/>
      <c r="GG42" s="436"/>
      <c r="GH42" s="436"/>
      <c r="GI42" s="436"/>
      <c r="GJ42" s="436"/>
      <c r="GK42" s="436"/>
      <c r="GL42" s="322">
        <f>$C42*GK42</f>
        <v>0</v>
      </c>
      <c r="GM42" s="436"/>
      <c r="GN42" s="436"/>
      <c r="GO42" s="436"/>
      <c r="GP42" s="436"/>
      <c r="GQ42" s="436"/>
      <c r="GR42" s="436"/>
      <c r="GS42" s="436"/>
      <c r="GT42" s="436"/>
      <c r="GU42" s="436"/>
      <c r="GV42" s="436"/>
      <c r="GW42" s="436"/>
      <c r="GX42" s="436"/>
      <c r="GY42" s="436"/>
      <c r="GZ42" s="436"/>
      <c r="HA42" s="436"/>
      <c r="HB42" s="436"/>
      <c r="HC42" s="322">
        <f t="shared" si="34"/>
        <v>0</v>
      </c>
      <c r="HD42" s="322">
        <f t="shared" si="34"/>
        <v>0</v>
      </c>
      <c r="HE42" s="322">
        <f t="shared" si="38"/>
        <v>0</v>
      </c>
      <c r="HF42" s="322">
        <f t="shared" si="39"/>
        <v>0</v>
      </c>
      <c r="HH42" s="448"/>
      <c r="HI42" s="449"/>
      <c r="HJ42" s="448"/>
    </row>
    <row r="43" spans="2:218" x14ac:dyDescent="0.2">
      <c r="B43" s="313" t="s">
        <v>416</v>
      </c>
      <c r="C43" s="322">
        <v>432000000</v>
      </c>
      <c r="D43" s="447"/>
      <c r="E43" s="322"/>
      <c r="F43" s="322"/>
      <c r="G43" s="322"/>
      <c r="H43" s="322"/>
      <c r="I43" s="322"/>
      <c r="J43" s="322"/>
      <c r="K43" s="322"/>
      <c r="L43" s="322"/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Y43" s="322"/>
      <c r="Z43" s="322"/>
      <c r="AA43" s="322"/>
      <c r="AB43" s="322"/>
      <c r="AC43" s="322">
        <f t="shared" si="35"/>
        <v>0</v>
      </c>
      <c r="AD43" s="322">
        <f t="shared" si="35"/>
        <v>0</v>
      </c>
      <c r="AE43" s="322"/>
      <c r="AF43" s="322"/>
      <c r="AG43" s="322"/>
      <c r="AH43" s="322"/>
      <c r="AI43" s="322"/>
      <c r="AJ43" s="322"/>
      <c r="AK43" s="322"/>
      <c r="AL43" s="322"/>
      <c r="AM43" s="322"/>
      <c r="AN43" s="322"/>
      <c r="AO43" s="322"/>
      <c r="AP43" s="322"/>
      <c r="AQ43" s="322"/>
      <c r="AR43" s="322"/>
      <c r="AS43" s="322"/>
      <c r="AT43" s="322"/>
      <c r="AU43" s="322"/>
      <c r="AV43" s="322"/>
      <c r="AW43" s="322"/>
      <c r="AX43" s="322"/>
      <c r="AY43" s="322"/>
      <c r="AZ43" s="322"/>
      <c r="BA43" s="322"/>
      <c r="BB43" s="322"/>
      <c r="BC43" s="322">
        <f t="shared" si="36"/>
        <v>0</v>
      </c>
      <c r="BD43" s="322">
        <f t="shared" si="36"/>
        <v>0</v>
      </c>
      <c r="BE43" s="322"/>
      <c r="BF43" s="322"/>
      <c r="BG43" s="322"/>
      <c r="BH43" s="322"/>
      <c r="BI43" s="322"/>
      <c r="BJ43" s="322"/>
      <c r="BK43" s="322"/>
      <c r="BL43" s="322"/>
      <c r="BM43" s="322"/>
      <c r="BN43" s="322"/>
      <c r="BO43" s="322"/>
      <c r="BP43" s="322"/>
      <c r="BQ43" s="322"/>
      <c r="BR43" s="322"/>
      <c r="BS43" s="322"/>
      <c r="BT43" s="322"/>
      <c r="BU43" s="322"/>
      <c r="BV43" s="322"/>
      <c r="BW43" s="322"/>
      <c r="BX43" s="322"/>
      <c r="BY43" s="322"/>
      <c r="BZ43" s="322"/>
      <c r="CA43" s="322"/>
      <c r="CB43" s="322"/>
      <c r="CC43" s="322">
        <f t="shared" si="37"/>
        <v>0</v>
      </c>
      <c r="CD43" s="322">
        <f t="shared" si="37"/>
        <v>0</v>
      </c>
      <c r="CE43" s="322"/>
      <c r="CF43" s="322"/>
      <c r="CG43" s="322"/>
      <c r="CH43" s="322"/>
      <c r="CI43" s="322"/>
      <c r="CJ43" s="322"/>
      <c r="CK43" s="322"/>
      <c r="CL43" s="322"/>
      <c r="CM43" s="322"/>
      <c r="CN43" s="322"/>
      <c r="CO43" s="322"/>
      <c r="CP43" s="322"/>
      <c r="CQ43" s="322"/>
      <c r="CR43" s="322"/>
      <c r="CS43" s="322"/>
      <c r="CT43" s="322"/>
      <c r="CU43" s="322"/>
      <c r="CV43" s="322"/>
      <c r="CW43" s="322"/>
      <c r="CX43" s="322"/>
      <c r="CY43" s="322"/>
      <c r="CZ43" s="322"/>
      <c r="DA43" s="322"/>
      <c r="DB43" s="322"/>
      <c r="DC43" s="322">
        <f t="shared" si="29"/>
        <v>0</v>
      </c>
      <c r="DD43" s="322">
        <f t="shared" si="29"/>
        <v>0</v>
      </c>
      <c r="DE43" s="436"/>
      <c r="DF43" s="436"/>
      <c r="DG43" s="436"/>
      <c r="DH43" s="436"/>
      <c r="DI43" s="436"/>
      <c r="DJ43" s="436"/>
      <c r="DK43" s="436"/>
      <c r="DL43" s="436"/>
      <c r="DM43" s="436"/>
      <c r="DN43" s="436"/>
      <c r="DO43" s="436"/>
      <c r="DP43" s="436"/>
      <c r="DQ43" s="436"/>
      <c r="DR43" s="436"/>
      <c r="DS43" s="436"/>
      <c r="DT43" s="436"/>
      <c r="DU43" s="436"/>
      <c r="DV43" s="436"/>
      <c r="DW43" s="436"/>
      <c r="DX43" s="436"/>
      <c r="DY43" s="436"/>
      <c r="DZ43" s="436"/>
      <c r="EA43" s="436"/>
      <c r="EB43" s="436"/>
      <c r="EC43" s="322">
        <f t="shared" si="30"/>
        <v>0</v>
      </c>
      <c r="ED43" s="322">
        <f t="shared" si="30"/>
        <v>0</v>
      </c>
      <c r="EE43" s="436"/>
      <c r="EF43" s="436"/>
      <c r="EG43" s="436"/>
      <c r="EH43" s="436"/>
      <c r="EI43" s="436"/>
      <c r="EJ43" s="436"/>
      <c r="EK43" s="436"/>
      <c r="EL43" s="436"/>
      <c r="EM43" s="436"/>
      <c r="EN43" s="436"/>
      <c r="EO43" s="436"/>
      <c r="EP43" s="436"/>
      <c r="EQ43" s="436"/>
      <c r="ER43" s="436"/>
      <c r="ES43" s="436"/>
      <c r="ET43" s="436"/>
      <c r="EU43" s="436"/>
      <c r="EV43" s="436"/>
      <c r="EW43" s="436"/>
      <c r="EX43" s="436"/>
      <c r="EY43" s="436"/>
      <c r="EZ43" s="436"/>
      <c r="FA43" s="436"/>
      <c r="FB43" s="436"/>
      <c r="FC43" s="322">
        <f t="shared" si="31"/>
        <v>0</v>
      </c>
      <c r="FD43" s="322">
        <f t="shared" si="31"/>
        <v>0</v>
      </c>
      <c r="FE43" s="436"/>
      <c r="FF43" s="436"/>
      <c r="FG43" s="436"/>
      <c r="FH43" s="436"/>
      <c r="FI43" s="436"/>
      <c r="FJ43" s="436"/>
      <c r="FK43" s="436"/>
      <c r="FL43" s="436"/>
      <c r="FM43" s="436"/>
      <c r="FN43" s="436"/>
      <c r="FO43" s="436"/>
      <c r="FP43" s="436"/>
      <c r="FQ43" s="436"/>
      <c r="FR43" s="436"/>
      <c r="FS43" s="436"/>
      <c r="FT43" s="322">
        <f>$C43*FS43</f>
        <v>0</v>
      </c>
      <c r="FU43" s="436"/>
      <c r="FV43" s="436"/>
      <c r="FW43" s="436"/>
      <c r="FX43" s="436"/>
      <c r="FY43" s="436"/>
      <c r="FZ43" s="436"/>
      <c r="GA43" s="436"/>
      <c r="GB43" s="436"/>
      <c r="GC43" s="322">
        <f t="shared" si="32"/>
        <v>0</v>
      </c>
      <c r="GD43" s="322">
        <f t="shared" si="33"/>
        <v>0</v>
      </c>
      <c r="GE43" s="436"/>
      <c r="GF43" s="436"/>
      <c r="GG43" s="436"/>
      <c r="GH43" s="436"/>
      <c r="GI43" s="436"/>
      <c r="GJ43" s="436"/>
      <c r="GK43" s="436"/>
      <c r="GL43" s="436"/>
      <c r="GM43" s="436"/>
      <c r="GN43" s="436"/>
      <c r="GO43" s="436"/>
      <c r="GP43" s="436"/>
      <c r="GQ43" s="436"/>
      <c r="GR43" s="436"/>
      <c r="GS43" s="436"/>
      <c r="GT43" s="322">
        <f>$C43*GS43</f>
        <v>0</v>
      </c>
      <c r="GU43" s="436"/>
      <c r="GV43" s="436"/>
      <c r="GW43" s="436"/>
      <c r="GX43" s="436"/>
      <c r="GY43" s="436"/>
      <c r="GZ43" s="436"/>
      <c r="HA43" s="436"/>
      <c r="HB43" s="436"/>
      <c r="HC43" s="322">
        <f t="shared" si="34"/>
        <v>0</v>
      </c>
      <c r="HD43" s="322">
        <f t="shared" si="34"/>
        <v>0</v>
      </c>
      <c r="HE43" s="322">
        <f t="shared" si="38"/>
        <v>0</v>
      </c>
      <c r="HF43" s="322">
        <f t="shared" si="39"/>
        <v>0</v>
      </c>
      <c r="HH43" s="448"/>
      <c r="HI43" s="449"/>
      <c r="HJ43" s="448"/>
    </row>
    <row r="44" spans="2:218" x14ac:dyDescent="0.2">
      <c r="B44" s="313" t="s">
        <v>417</v>
      </c>
      <c r="C44" s="322">
        <v>396000000</v>
      </c>
      <c r="D44" s="447">
        <v>0</v>
      </c>
      <c r="E44" s="322"/>
      <c r="F44" s="322"/>
      <c r="G44" s="322"/>
      <c r="H44" s="322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/>
      <c r="T44" s="322"/>
      <c r="U44" s="322"/>
      <c r="V44" s="322"/>
      <c r="W44" s="322"/>
      <c r="X44" s="322"/>
      <c r="Y44" s="322"/>
      <c r="Z44" s="322"/>
      <c r="AA44" s="322"/>
      <c r="AB44" s="322"/>
      <c r="AC44" s="322">
        <f t="shared" si="35"/>
        <v>0</v>
      </c>
      <c r="AD44" s="322">
        <f t="shared" si="35"/>
        <v>0</v>
      </c>
      <c r="AE44" s="322"/>
      <c r="AF44" s="322"/>
      <c r="AG44" s="322"/>
      <c r="AH44" s="322"/>
      <c r="AI44" s="322"/>
      <c r="AJ44" s="322"/>
      <c r="AK44" s="322"/>
      <c r="AL44" s="322"/>
      <c r="AM44" s="322"/>
      <c r="AN44" s="322"/>
      <c r="AO44" s="322"/>
      <c r="AP44" s="322"/>
      <c r="AQ44" s="322"/>
      <c r="AR44" s="322"/>
      <c r="AS44" s="322"/>
      <c r="AT44" s="322"/>
      <c r="AU44" s="322"/>
      <c r="AV44" s="322"/>
      <c r="AW44" s="322"/>
      <c r="AX44" s="322"/>
      <c r="AY44" s="322"/>
      <c r="AZ44" s="322"/>
      <c r="BA44" s="322"/>
      <c r="BB44" s="322"/>
      <c r="BC44" s="322">
        <f t="shared" si="36"/>
        <v>0</v>
      </c>
      <c r="BD44" s="322">
        <f t="shared" si="36"/>
        <v>0</v>
      </c>
      <c r="BE44" s="322"/>
      <c r="BF44" s="322"/>
      <c r="BG44" s="322"/>
      <c r="BH44" s="322"/>
      <c r="BI44" s="322"/>
      <c r="BJ44" s="322"/>
      <c r="BK44" s="322"/>
      <c r="BL44" s="322"/>
      <c r="BM44" s="322"/>
      <c r="BN44" s="322"/>
      <c r="BO44" s="322"/>
      <c r="BP44" s="322"/>
      <c r="BQ44" s="322"/>
      <c r="BR44" s="322"/>
      <c r="BS44" s="322"/>
      <c r="BT44" s="322"/>
      <c r="BU44" s="322"/>
      <c r="BV44" s="322"/>
      <c r="BW44" s="322"/>
      <c r="BX44" s="322"/>
      <c r="BY44" s="322"/>
      <c r="BZ44" s="322"/>
      <c r="CA44" s="322"/>
      <c r="CB44" s="322"/>
      <c r="CC44" s="322">
        <f t="shared" si="37"/>
        <v>0</v>
      </c>
      <c r="CD44" s="322">
        <f t="shared" si="37"/>
        <v>0</v>
      </c>
      <c r="CE44" s="322"/>
      <c r="CF44" s="322"/>
      <c r="CG44" s="322"/>
      <c r="CH44" s="322"/>
      <c r="CI44" s="322"/>
      <c r="CJ44" s="322"/>
      <c r="CK44" s="322"/>
      <c r="CL44" s="322"/>
      <c r="CM44" s="322"/>
      <c r="CN44" s="322"/>
      <c r="CO44" s="322"/>
      <c r="CP44" s="322"/>
      <c r="CQ44" s="322"/>
      <c r="CR44" s="322"/>
      <c r="CS44" s="322"/>
      <c r="CT44" s="322"/>
      <c r="CU44" s="322"/>
      <c r="CV44" s="322"/>
      <c r="CW44" s="322"/>
      <c r="CX44" s="322"/>
      <c r="CY44" s="322"/>
      <c r="CZ44" s="322"/>
      <c r="DA44" s="322"/>
      <c r="DB44" s="322"/>
      <c r="DC44" s="322">
        <f t="shared" si="29"/>
        <v>0</v>
      </c>
      <c r="DD44" s="322">
        <f t="shared" si="29"/>
        <v>0</v>
      </c>
      <c r="DE44" s="436"/>
      <c r="DF44" s="436"/>
      <c r="DG44" s="436"/>
      <c r="DH44" s="436"/>
      <c r="DI44" s="436"/>
      <c r="DJ44" s="436"/>
      <c r="DK44" s="436"/>
      <c r="DL44" s="436"/>
      <c r="DM44" s="436"/>
      <c r="DN44" s="436"/>
      <c r="DO44" s="436"/>
      <c r="DP44" s="436"/>
      <c r="DQ44" s="436"/>
      <c r="DR44" s="436"/>
      <c r="DS44" s="436">
        <v>0</v>
      </c>
      <c r="DT44" s="322">
        <f>$C44*DS44</f>
        <v>0</v>
      </c>
      <c r="DU44" s="436"/>
      <c r="DV44" s="436"/>
      <c r="DW44" s="436"/>
      <c r="DX44" s="436"/>
      <c r="DY44" s="436"/>
      <c r="DZ44" s="436"/>
      <c r="EA44" s="436">
        <v>0</v>
      </c>
      <c r="EB44" s="322">
        <f>$C44*EA44</f>
        <v>0</v>
      </c>
      <c r="EC44" s="322">
        <f t="shared" si="30"/>
        <v>0</v>
      </c>
      <c r="ED44" s="322">
        <f t="shared" si="30"/>
        <v>0</v>
      </c>
      <c r="EE44" s="436"/>
      <c r="EF44" s="436"/>
      <c r="EG44" s="436"/>
      <c r="EH44" s="436"/>
      <c r="EI44" s="436"/>
      <c r="EJ44" s="436"/>
      <c r="EK44" s="436"/>
      <c r="EL44" s="322">
        <f>$C44*EK44</f>
        <v>0</v>
      </c>
      <c r="EM44" s="436"/>
      <c r="EN44" s="436"/>
      <c r="EO44" s="436"/>
      <c r="EP44" s="436"/>
      <c r="EQ44" s="436"/>
      <c r="ER44" s="436"/>
      <c r="ES44" s="436"/>
      <c r="ET44" s="322">
        <f>$C44*ES44</f>
        <v>0</v>
      </c>
      <c r="EU44" s="436"/>
      <c r="EV44" s="436"/>
      <c r="EW44" s="436"/>
      <c r="EX44" s="436"/>
      <c r="EY44" s="436"/>
      <c r="EZ44" s="436"/>
      <c r="FA44" s="436"/>
      <c r="FB44" s="322">
        <f>$C44*FA44</f>
        <v>0</v>
      </c>
      <c r="FC44" s="322">
        <f t="shared" si="31"/>
        <v>0</v>
      </c>
      <c r="FD44" s="322">
        <f t="shared" si="31"/>
        <v>0</v>
      </c>
      <c r="FE44" s="436"/>
      <c r="FF44" s="436"/>
      <c r="FG44" s="436"/>
      <c r="FH44" s="436"/>
      <c r="FI44" s="436"/>
      <c r="FJ44" s="436"/>
      <c r="FK44" s="436"/>
      <c r="FL44" s="436"/>
      <c r="FM44" s="436"/>
      <c r="FN44" s="436"/>
      <c r="FO44" s="436"/>
      <c r="FP44" s="436"/>
      <c r="FQ44" s="436"/>
      <c r="FR44" s="436"/>
      <c r="FS44" s="436"/>
      <c r="FT44" s="322">
        <f>$C44*FS44</f>
        <v>0</v>
      </c>
      <c r="FU44" s="436"/>
      <c r="FV44" s="436"/>
      <c r="FW44" s="436"/>
      <c r="FX44" s="436"/>
      <c r="FY44" s="436"/>
      <c r="FZ44" s="436"/>
      <c r="GA44" s="436"/>
      <c r="GB44" s="322">
        <f>$C44*GA44</f>
        <v>0</v>
      </c>
      <c r="GC44" s="322">
        <f t="shared" si="32"/>
        <v>0</v>
      </c>
      <c r="GD44" s="322">
        <f t="shared" si="33"/>
        <v>0</v>
      </c>
      <c r="GE44" s="436"/>
      <c r="GF44" s="436"/>
      <c r="GG44" s="436"/>
      <c r="GH44" s="436"/>
      <c r="GI44" s="436"/>
      <c r="GJ44" s="436"/>
      <c r="GK44" s="436"/>
      <c r="GL44" s="436"/>
      <c r="GM44" s="436"/>
      <c r="GN44" s="436"/>
      <c r="GO44" s="436"/>
      <c r="GP44" s="436"/>
      <c r="GQ44" s="436"/>
      <c r="GR44" s="436"/>
      <c r="GS44" s="436"/>
      <c r="GT44" s="322">
        <f>$C44*GS44</f>
        <v>0</v>
      </c>
      <c r="GU44" s="436"/>
      <c r="GV44" s="436"/>
      <c r="GW44" s="436"/>
      <c r="GX44" s="436"/>
      <c r="GY44" s="436"/>
      <c r="GZ44" s="436"/>
      <c r="HA44" s="436"/>
      <c r="HB44" s="322">
        <f>$C44*HA44</f>
        <v>0</v>
      </c>
      <c r="HC44" s="322">
        <f t="shared" si="34"/>
        <v>0</v>
      </c>
      <c r="HD44" s="322">
        <f t="shared" si="34"/>
        <v>0</v>
      </c>
      <c r="HE44" s="322">
        <f t="shared" si="38"/>
        <v>0</v>
      </c>
      <c r="HF44" s="322">
        <f t="shared" si="39"/>
        <v>0</v>
      </c>
      <c r="HH44" s="448"/>
      <c r="HI44" s="449"/>
      <c r="HJ44" s="448"/>
    </row>
    <row r="45" spans="2:218" x14ac:dyDescent="0.2">
      <c r="B45" s="313" t="s">
        <v>418</v>
      </c>
      <c r="C45" s="322">
        <v>396000000</v>
      </c>
      <c r="D45" s="447"/>
      <c r="E45" s="322"/>
      <c r="F45" s="322"/>
      <c r="G45" s="322"/>
      <c r="H45" s="322"/>
      <c r="I45" s="322"/>
      <c r="J45" s="322"/>
      <c r="K45" s="322"/>
      <c r="L45" s="322"/>
      <c r="M45" s="322"/>
      <c r="N45" s="322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  <c r="AA45" s="322"/>
      <c r="AB45" s="322"/>
      <c r="AC45" s="322">
        <f t="shared" si="35"/>
        <v>0</v>
      </c>
      <c r="AD45" s="322">
        <f t="shared" si="35"/>
        <v>0</v>
      </c>
      <c r="AE45" s="322"/>
      <c r="AF45" s="322"/>
      <c r="AG45" s="322"/>
      <c r="AH45" s="322"/>
      <c r="AI45" s="322"/>
      <c r="AJ45" s="322"/>
      <c r="AK45" s="322"/>
      <c r="AL45" s="322"/>
      <c r="AM45" s="322"/>
      <c r="AN45" s="322"/>
      <c r="AO45" s="322"/>
      <c r="AP45" s="322"/>
      <c r="AQ45" s="322"/>
      <c r="AR45" s="322"/>
      <c r="AS45" s="322"/>
      <c r="AT45" s="322"/>
      <c r="AU45" s="322"/>
      <c r="AV45" s="322"/>
      <c r="AW45" s="322"/>
      <c r="AX45" s="322"/>
      <c r="AY45" s="322"/>
      <c r="AZ45" s="322"/>
      <c r="BA45" s="322"/>
      <c r="BB45" s="322"/>
      <c r="BC45" s="322">
        <f t="shared" si="36"/>
        <v>0</v>
      </c>
      <c r="BD45" s="322">
        <f t="shared" si="36"/>
        <v>0</v>
      </c>
      <c r="BE45" s="322"/>
      <c r="BF45" s="322"/>
      <c r="BG45" s="322"/>
      <c r="BH45" s="322"/>
      <c r="BI45" s="322"/>
      <c r="BJ45" s="322"/>
      <c r="BK45" s="322"/>
      <c r="BL45" s="322"/>
      <c r="BM45" s="322"/>
      <c r="BN45" s="322"/>
      <c r="BO45" s="322"/>
      <c r="BP45" s="322"/>
      <c r="BQ45" s="322"/>
      <c r="BR45" s="322"/>
      <c r="BS45" s="322"/>
      <c r="BT45" s="322"/>
      <c r="BU45" s="322"/>
      <c r="BV45" s="322"/>
      <c r="BW45" s="322"/>
      <c r="BX45" s="322"/>
      <c r="BY45" s="322"/>
      <c r="BZ45" s="322"/>
      <c r="CA45" s="322"/>
      <c r="CB45" s="322"/>
      <c r="CC45" s="322">
        <f t="shared" si="37"/>
        <v>0</v>
      </c>
      <c r="CD45" s="322">
        <f t="shared" si="37"/>
        <v>0</v>
      </c>
      <c r="CE45" s="322"/>
      <c r="CF45" s="322"/>
      <c r="CG45" s="322"/>
      <c r="CH45" s="322"/>
      <c r="CI45" s="322"/>
      <c r="CJ45" s="322"/>
      <c r="CK45" s="322"/>
      <c r="CL45" s="322"/>
      <c r="CM45" s="322"/>
      <c r="CN45" s="322"/>
      <c r="CO45" s="322"/>
      <c r="CP45" s="322"/>
      <c r="CQ45" s="322"/>
      <c r="CR45" s="322"/>
      <c r="CS45" s="322"/>
      <c r="CT45" s="322"/>
      <c r="CU45" s="322"/>
      <c r="CV45" s="322"/>
      <c r="CW45" s="322"/>
      <c r="CX45" s="322"/>
      <c r="CY45" s="322"/>
      <c r="CZ45" s="322"/>
      <c r="DA45" s="322"/>
      <c r="DB45" s="322"/>
      <c r="DC45" s="322">
        <f t="shared" si="29"/>
        <v>0</v>
      </c>
      <c r="DD45" s="322">
        <f t="shared" si="29"/>
        <v>0</v>
      </c>
      <c r="DE45" s="436"/>
      <c r="DF45" s="436"/>
      <c r="DG45" s="436"/>
      <c r="DH45" s="436"/>
      <c r="DI45" s="436"/>
      <c r="DJ45" s="436"/>
      <c r="DK45" s="436"/>
      <c r="DL45" s="436"/>
      <c r="DM45" s="436"/>
      <c r="DN45" s="436"/>
      <c r="DO45" s="436"/>
      <c r="DP45" s="436"/>
      <c r="DQ45" s="436"/>
      <c r="DR45" s="436"/>
      <c r="DS45" s="436"/>
      <c r="DT45" s="436"/>
      <c r="DU45" s="436"/>
      <c r="DV45" s="436"/>
      <c r="DW45" s="436"/>
      <c r="DX45" s="436"/>
      <c r="DY45" s="436"/>
      <c r="DZ45" s="436"/>
      <c r="EA45" s="436"/>
      <c r="EB45" s="436"/>
      <c r="EC45" s="322">
        <f t="shared" si="30"/>
        <v>0</v>
      </c>
      <c r="ED45" s="322">
        <f t="shared" si="30"/>
        <v>0</v>
      </c>
      <c r="EE45" s="436"/>
      <c r="EF45" s="436"/>
      <c r="EG45" s="436"/>
      <c r="EH45" s="436"/>
      <c r="EI45" s="436"/>
      <c r="EJ45" s="436"/>
      <c r="EK45" s="436"/>
      <c r="EL45" s="436"/>
      <c r="EM45" s="436"/>
      <c r="EN45" s="436"/>
      <c r="EO45" s="436"/>
      <c r="EP45" s="436"/>
      <c r="EQ45" s="436"/>
      <c r="ER45" s="436"/>
      <c r="ES45" s="436"/>
      <c r="ET45" s="436"/>
      <c r="EU45" s="436"/>
      <c r="EV45" s="436"/>
      <c r="EW45" s="436"/>
      <c r="EX45" s="436"/>
      <c r="EY45" s="436"/>
      <c r="EZ45" s="436"/>
      <c r="FA45" s="436"/>
      <c r="FB45" s="322">
        <f>$C45*FA45</f>
        <v>0</v>
      </c>
      <c r="FC45" s="322">
        <f t="shared" si="31"/>
        <v>0</v>
      </c>
      <c r="FD45" s="322">
        <f t="shared" si="31"/>
        <v>0</v>
      </c>
      <c r="FE45" s="436"/>
      <c r="FF45" s="436"/>
      <c r="FG45" s="436"/>
      <c r="FH45" s="436"/>
      <c r="FI45" s="436"/>
      <c r="FJ45" s="436"/>
      <c r="FK45" s="436"/>
      <c r="FL45" s="436"/>
      <c r="FM45" s="436"/>
      <c r="FN45" s="436"/>
      <c r="FO45" s="436"/>
      <c r="FP45" s="436"/>
      <c r="FQ45" s="436"/>
      <c r="FR45" s="436"/>
      <c r="FS45" s="436"/>
      <c r="FT45" s="436"/>
      <c r="FU45" s="436"/>
      <c r="FV45" s="436"/>
      <c r="FW45" s="436"/>
      <c r="FX45" s="436"/>
      <c r="FY45" s="436"/>
      <c r="FZ45" s="436"/>
      <c r="GA45" s="436"/>
      <c r="GB45" s="436"/>
      <c r="GC45" s="322">
        <f t="shared" si="32"/>
        <v>0</v>
      </c>
      <c r="GD45" s="322">
        <f t="shared" si="33"/>
        <v>0</v>
      </c>
      <c r="GE45" s="436"/>
      <c r="GF45" s="436"/>
      <c r="GG45" s="436"/>
      <c r="GH45" s="436"/>
      <c r="GI45" s="436"/>
      <c r="GJ45" s="436"/>
      <c r="GK45" s="436"/>
      <c r="GL45" s="436"/>
      <c r="GM45" s="436"/>
      <c r="GN45" s="436"/>
      <c r="GO45" s="436"/>
      <c r="GP45" s="436"/>
      <c r="GQ45" s="436"/>
      <c r="GR45" s="436"/>
      <c r="GS45" s="436"/>
      <c r="GT45" s="436"/>
      <c r="GU45" s="436"/>
      <c r="GV45" s="436"/>
      <c r="GW45" s="436"/>
      <c r="GX45" s="436"/>
      <c r="GY45" s="436"/>
      <c r="GZ45" s="436"/>
      <c r="HA45" s="436"/>
      <c r="HB45" s="436"/>
      <c r="HC45" s="322">
        <f t="shared" si="34"/>
        <v>0</v>
      </c>
      <c r="HD45" s="322">
        <f t="shared" si="34"/>
        <v>0</v>
      </c>
      <c r="HE45" s="322">
        <f t="shared" si="38"/>
        <v>0</v>
      </c>
      <c r="HF45" s="322">
        <f t="shared" si="39"/>
        <v>0</v>
      </c>
      <c r="HH45" s="448"/>
      <c r="HI45" s="449"/>
      <c r="HJ45" s="448"/>
    </row>
    <row r="46" spans="2:218" x14ac:dyDescent="0.2">
      <c r="B46" s="313" t="s">
        <v>419</v>
      </c>
      <c r="C46" s="322">
        <v>800000000</v>
      </c>
      <c r="D46" s="447">
        <v>0</v>
      </c>
      <c r="E46" s="322"/>
      <c r="F46" s="322"/>
      <c r="G46" s="322"/>
      <c r="H46" s="322"/>
      <c r="I46" s="322"/>
      <c r="J46" s="322"/>
      <c r="K46" s="322"/>
      <c r="L46" s="322"/>
      <c r="M46" s="322"/>
      <c r="N46" s="322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  <c r="AA46" s="322"/>
      <c r="AB46" s="322"/>
      <c r="AC46" s="322">
        <f t="shared" si="35"/>
        <v>0</v>
      </c>
      <c r="AD46" s="322">
        <f t="shared" si="35"/>
        <v>0</v>
      </c>
      <c r="AE46" s="322"/>
      <c r="AF46" s="322"/>
      <c r="AG46" s="322"/>
      <c r="AH46" s="322"/>
      <c r="AI46" s="322"/>
      <c r="AJ46" s="322"/>
      <c r="AK46" s="322"/>
      <c r="AL46" s="322">
        <f>$C$46*AK46</f>
        <v>0</v>
      </c>
      <c r="AM46" s="322"/>
      <c r="AN46" s="322"/>
      <c r="AO46" s="322"/>
      <c r="AP46" s="322"/>
      <c r="AQ46" s="322"/>
      <c r="AR46" s="322"/>
      <c r="AS46" s="322"/>
      <c r="AT46" s="322">
        <f>$C46*AS46</f>
        <v>0</v>
      </c>
      <c r="AU46" s="322"/>
      <c r="AV46" s="322"/>
      <c r="AW46" s="322"/>
      <c r="AX46" s="322"/>
      <c r="AY46" s="322">
        <v>4</v>
      </c>
      <c r="AZ46" s="322">
        <f>AY46*C46</f>
        <v>3200000000</v>
      </c>
      <c r="BA46" s="322"/>
      <c r="BB46" s="322">
        <f>$C46*BA46</f>
        <v>0</v>
      </c>
      <c r="BC46" s="322">
        <f t="shared" si="36"/>
        <v>4</v>
      </c>
      <c r="BD46" s="322">
        <f t="shared" si="36"/>
        <v>3200000000</v>
      </c>
      <c r="BE46" s="322"/>
      <c r="BF46" s="322"/>
      <c r="BG46" s="322"/>
      <c r="BH46" s="322"/>
      <c r="BI46" s="322"/>
      <c r="BJ46" s="322"/>
      <c r="BK46" s="322">
        <v>0</v>
      </c>
      <c r="BL46" s="322">
        <f>$C46*BK46</f>
        <v>0</v>
      </c>
      <c r="BM46" s="322"/>
      <c r="BN46" s="322"/>
      <c r="BO46" s="322"/>
      <c r="BP46" s="322"/>
      <c r="BQ46" s="322"/>
      <c r="BR46" s="322"/>
      <c r="BS46" s="322">
        <v>0</v>
      </c>
      <c r="BT46" s="322">
        <f>$C46*BS46</f>
        <v>0</v>
      </c>
      <c r="BU46" s="322"/>
      <c r="BV46" s="322"/>
      <c r="BW46" s="322"/>
      <c r="BX46" s="322"/>
      <c r="BY46" s="322"/>
      <c r="BZ46" s="322"/>
      <c r="CA46" s="322">
        <v>0</v>
      </c>
      <c r="CB46" s="322">
        <f>$C46*CA46</f>
        <v>0</v>
      </c>
      <c r="CC46" s="322">
        <f t="shared" si="37"/>
        <v>0</v>
      </c>
      <c r="CD46" s="322">
        <f t="shared" si="37"/>
        <v>0</v>
      </c>
      <c r="CE46" s="322"/>
      <c r="CF46" s="322"/>
      <c r="CG46" s="322"/>
      <c r="CH46" s="322"/>
      <c r="CI46" s="322">
        <v>0</v>
      </c>
      <c r="CJ46" s="322">
        <f>$C46*CI46</f>
        <v>0</v>
      </c>
      <c r="CK46" s="322"/>
      <c r="CL46" s="322">
        <f>$C46*CK46</f>
        <v>0</v>
      </c>
      <c r="CM46" s="322"/>
      <c r="CN46" s="322"/>
      <c r="CO46" s="322">
        <v>0</v>
      </c>
      <c r="CP46" s="322">
        <f>$C46*CO46</f>
        <v>0</v>
      </c>
      <c r="CQ46" s="322"/>
      <c r="CR46" s="322"/>
      <c r="CS46" s="322"/>
      <c r="CT46" s="322">
        <f>$C46*CS46</f>
        <v>0</v>
      </c>
      <c r="CU46" s="322">
        <v>0</v>
      </c>
      <c r="CV46" s="322">
        <f>$C46*CU46</f>
        <v>0</v>
      </c>
      <c r="CW46" s="322">
        <v>0</v>
      </c>
      <c r="CX46" s="322">
        <f>$C46*CW46</f>
        <v>0</v>
      </c>
      <c r="CY46" s="322"/>
      <c r="CZ46" s="322"/>
      <c r="DA46" s="322"/>
      <c r="DB46" s="322">
        <f>$C46*DA46</f>
        <v>0</v>
      </c>
      <c r="DC46" s="322">
        <f t="shared" si="29"/>
        <v>0</v>
      </c>
      <c r="DD46" s="322">
        <f t="shared" si="29"/>
        <v>0</v>
      </c>
      <c r="DE46" s="436"/>
      <c r="DF46" s="436"/>
      <c r="DG46" s="436"/>
      <c r="DH46" s="436"/>
      <c r="DI46" s="436"/>
      <c r="DJ46" s="436"/>
      <c r="DK46" s="436"/>
      <c r="DL46" s="322">
        <f>$C46*DK46</f>
        <v>0</v>
      </c>
      <c r="DM46" s="436"/>
      <c r="DN46" s="436"/>
      <c r="DO46" s="436"/>
      <c r="DP46" s="436"/>
      <c r="DQ46" s="436"/>
      <c r="DR46" s="436"/>
      <c r="DS46" s="436"/>
      <c r="DT46" s="322">
        <f>$C46*DS46</f>
        <v>0</v>
      </c>
      <c r="DU46" s="436"/>
      <c r="DV46" s="436"/>
      <c r="DW46" s="436"/>
      <c r="DX46" s="436"/>
      <c r="DY46" s="436"/>
      <c r="DZ46" s="436"/>
      <c r="EA46" s="436"/>
      <c r="EB46" s="322">
        <f>$C46*EA46</f>
        <v>0</v>
      </c>
      <c r="EC46" s="322">
        <f t="shared" si="30"/>
        <v>0</v>
      </c>
      <c r="ED46" s="322">
        <f t="shared" si="30"/>
        <v>0</v>
      </c>
      <c r="EE46" s="436"/>
      <c r="EF46" s="436"/>
      <c r="EG46" s="436"/>
      <c r="EH46" s="436"/>
      <c r="EI46" s="436"/>
      <c r="EJ46" s="436"/>
      <c r="EK46" s="436"/>
      <c r="EL46" s="322">
        <f>$C46*EK46</f>
        <v>0</v>
      </c>
      <c r="EM46" s="436"/>
      <c r="EN46" s="436"/>
      <c r="EO46" s="436"/>
      <c r="EP46" s="436"/>
      <c r="EQ46" s="436"/>
      <c r="ER46" s="436"/>
      <c r="ES46" s="436"/>
      <c r="ET46" s="322">
        <f>$C46*ES46</f>
        <v>0</v>
      </c>
      <c r="EU46" s="436"/>
      <c r="EV46" s="436"/>
      <c r="EW46" s="436"/>
      <c r="EX46" s="436"/>
      <c r="EY46" s="436"/>
      <c r="EZ46" s="436"/>
      <c r="FA46" s="436"/>
      <c r="FB46" s="322">
        <f>$C46*FA46</f>
        <v>0</v>
      </c>
      <c r="FC46" s="322">
        <f t="shared" si="31"/>
        <v>0</v>
      </c>
      <c r="FD46" s="322">
        <f t="shared" si="31"/>
        <v>0</v>
      </c>
      <c r="FE46" s="436"/>
      <c r="FF46" s="436"/>
      <c r="FG46" s="436"/>
      <c r="FH46" s="436"/>
      <c r="FI46" s="436"/>
      <c r="FJ46" s="436"/>
      <c r="FK46" s="436"/>
      <c r="FL46" s="322">
        <f>$C46*FK46</f>
        <v>0</v>
      </c>
      <c r="FM46" s="436"/>
      <c r="FN46" s="436"/>
      <c r="FO46" s="436"/>
      <c r="FP46" s="436"/>
      <c r="FQ46" s="436"/>
      <c r="FR46" s="436"/>
      <c r="FS46" s="436"/>
      <c r="FT46" s="322">
        <f>$C46*FS46</f>
        <v>0</v>
      </c>
      <c r="FU46" s="436"/>
      <c r="FV46" s="436"/>
      <c r="FW46" s="436"/>
      <c r="FX46" s="436"/>
      <c r="FY46" s="436"/>
      <c r="FZ46" s="436"/>
      <c r="GA46" s="436"/>
      <c r="GB46" s="322">
        <f>$C46*GA46</f>
        <v>0</v>
      </c>
      <c r="GC46" s="322">
        <f t="shared" si="32"/>
        <v>0</v>
      </c>
      <c r="GD46" s="322">
        <f t="shared" si="33"/>
        <v>0</v>
      </c>
      <c r="GE46" s="436"/>
      <c r="GF46" s="436"/>
      <c r="GG46" s="436"/>
      <c r="GH46" s="436"/>
      <c r="GI46" s="436"/>
      <c r="GJ46" s="436"/>
      <c r="GK46" s="436"/>
      <c r="GL46" s="322">
        <f>$C46*GK46</f>
        <v>0</v>
      </c>
      <c r="GM46" s="436"/>
      <c r="GN46" s="436"/>
      <c r="GO46" s="436"/>
      <c r="GP46" s="436"/>
      <c r="GQ46" s="436"/>
      <c r="GR46" s="436"/>
      <c r="GS46" s="436"/>
      <c r="GT46" s="322">
        <f>$C46*GS46</f>
        <v>0</v>
      </c>
      <c r="GU46" s="436"/>
      <c r="GV46" s="436"/>
      <c r="GW46" s="436"/>
      <c r="GX46" s="436"/>
      <c r="GY46" s="436"/>
      <c r="GZ46" s="436"/>
      <c r="HA46" s="436"/>
      <c r="HB46" s="322">
        <f>$C46*HA46</f>
        <v>0</v>
      </c>
      <c r="HC46" s="322">
        <f t="shared" si="34"/>
        <v>0</v>
      </c>
      <c r="HD46" s="322">
        <f t="shared" si="34"/>
        <v>0</v>
      </c>
      <c r="HE46" s="322">
        <f t="shared" si="38"/>
        <v>4</v>
      </c>
      <c r="HF46" s="322">
        <f t="shared" si="39"/>
        <v>3200000000</v>
      </c>
      <c r="HH46" s="448"/>
      <c r="HI46" s="449"/>
      <c r="HJ46" s="448"/>
    </row>
    <row r="47" spans="2:218" x14ac:dyDescent="0.2">
      <c r="B47" s="311" t="s">
        <v>420</v>
      </c>
      <c r="C47" s="322">
        <v>0</v>
      </c>
      <c r="D47" s="450"/>
      <c r="E47" s="451"/>
      <c r="F47" s="451"/>
      <c r="G47" s="451"/>
      <c r="H47" s="451"/>
      <c r="I47" s="451"/>
      <c r="J47" s="451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1"/>
      <c r="Z47" s="451"/>
      <c r="AA47" s="451"/>
      <c r="AB47" s="451"/>
      <c r="AC47" s="451"/>
      <c r="AD47" s="451"/>
      <c r="AE47" s="452">
        <f>SUM(AE40:AE46)</f>
        <v>0</v>
      </c>
      <c r="AF47" s="452">
        <f t="shared" ref="AF47:BB47" si="40">SUM(AF40:AF46)</f>
        <v>0</v>
      </c>
      <c r="AG47" s="452">
        <f t="shared" si="40"/>
        <v>0</v>
      </c>
      <c r="AH47" s="452">
        <f t="shared" si="40"/>
        <v>0</v>
      </c>
      <c r="AI47" s="452">
        <f t="shared" si="40"/>
        <v>0</v>
      </c>
      <c r="AJ47" s="452">
        <f t="shared" si="40"/>
        <v>0</v>
      </c>
      <c r="AK47" s="452">
        <f t="shared" si="40"/>
        <v>0</v>
      </c>
      <c r="AL47" s="452">
        <f t="shared" si="40"/>
        <v>0</v>
      </c>
      <c r="AM47" s="452">
        <f t="shared" si="40"/>
        <v>0</v>
      </c>
      <c r="AN47" s="452">
        <f t="shared" si="40"/>
        <v>0</v>
      </c>
      <c r="AO47" s="452">
        <f t="shared" si="40"/>
        <v>0</v>
      </c>
      <c r="AP47" s="452">
        <f t="shared" si="40"/>
        <v>0</v>
      </c>
      <c r="AQ47" s="452">
        <f t="shared" si="40"/>
        <v>0</v>
      </c>
      <c r="AR47" s="452">
        <f t="shared" si="40"/>
        <v>0</v>
      </c>
      <c r="AS47" s="452">
        <f t="shared" si="40"/>
        <v>0</v>
      </c>
      <c r="AT47" s="452">
        <f t="shared" si="40"/>
        <v>0</v>
      </c>
      <c r="AU47" s="452">
        <f t="shared" si="40"/>
        <v>0</v>
      </c>
      <c r="AV47" s="452">
        <f t="shared" si="40"/>
        <v>0</v>
      </c>
      <c r="AW47" s="452">
        <f t="shared" si="40"/>
        <v>0</v>
      </c>
      <c r="AX47" s="452">
        <f t="shared" si="40"/>
        <v>0</v>
      </c>
      <c r="AY47" s="452">
        <f t="shared" si="40"/>
        <v>4</v>
      </c>
      <c r="AZ47" s="452">
        <f t="shared" si="40"/>
        <v>3200000000</v>
      </c>
      <c r="BA47" s="452">
        <f t="shared" si="40"/>
        <v>0</v>
      </c>
      <c r="BB47" s="452">
        <f t="shared" si="40"/>
        <v>0</v>
      </c>
      <c r="BC47" s="452">
        <f>SUM(BC40:BC46)</f>
        <v>4</v>
      </c>
      <c r="BD47" s="452">
        <f>SUM(BD40:BD46)</f>
        <v>3200000000</v>
      </c>
      <c r="BE47" s="452">
        <f t="shared" ref="BE47:DP47" si="41">SUM(BE40:BE46)</f>
        <v>0</v>
      </c>
      <c r="BF47" s="452">
        <f t="shared" si="41"/>
        <v>0</v>
      </c>
      <c r="BG47" s="452">
        <f t="shared" si="41"/>
        <v>0</v>
      </c>
      <c r="BH47" s="452">
        <f t="shared" si="41"/>
        <v>0</v>
      </c>
      <c r="BI47" s="452">
        <f t="shared" si="41"/>
        <v>0</v>
      </c>
      <c r="BJ47" s="452">
        <f t="shared" si="41"/>
        <v>0</v>
      </c>
      <c r="BK47" s="452">
        <f t="shared" si="41"/>
        <v>0</v>
      </c>
      <c r="BL47" s="452">
        <f t="shared" si="41"/>
        <v>0</v>
      </c>
      <c r="BM47" s="452">
        <f t="shared" si="41"/>
        <v>0</v>
      </c>
      <c r="BN47" s="452">
        <f t="shared" si="41"/>
        <v>0</v>
      </c>
      <c r="BO47" s="452">
        <f t="shared" si="41"/>
        <v>0</v>
      </c>
      <c r="BP47" s="452">
        <f t="shared" si="41"/>
        <v>0</v>
      </c>
      <c r="BQ47" s="452">
        <f t="shared" si="41"/>
        <v>0</v>
      </c>
      <c r="BR47" s="452">
        <f t="shared" si="41"/>
        <v>0</v>
      </c>
      <c r="BS47" s="452">
        <f t="shared" si="41"/>
        <v>0</v>
      </c>
      <c r="BT47" s="452">
        <f t="shared" si="41"/>
        <v>0</v>
      </c>
      <c r="BU47" s="452">
        <f t="shared" si="41"/>
        <v>0</v>
      </c>
      <c r="BV47" s="452">
        <f t="shared" si="41"/>
        <v>0</v>
      </c>
      <c r="BW47" s="452">
        <f t="shared" si="41"/>
        <v>0</v>
      </c>
      <c r="BX47" s="452">
        <f t="shared" si="41"/>
        <v>0</v>
      </c>
      <c r="BY47" s="452">
        <f t="shared" si="41"/>
        <v>0</v>
      </c>
      <c r="BZ47" s="452">
        <f t="shared" si="41"/>
        <v>0</v>
      </c>
      <c r="CA47" s="452">
        <f t="shared" si="41"/>
        <v>0</v>
      </c>
      <c r="CB47" s="452">
        <f t="shared" si="41"/>
        <v>0</v>
      </c>
      <c r="CC47" s="452">
        <f t="shared" si="41"/>
        <v>0</v>
      </c>
      <c r="CD47" s="452">
        <f t="shared" si="41"/>
        <v>0</v>
      </c>
      <c r="CE47" s="452">
        <f t="shared" si="41"/>
        <v>0</v>
      </c>
      <c r="CF47" s="452">
        <f t="shared" si="41"/>
        <v>0</v>
      </c>
      <c r="CG47" s="452">
        <f t="shared" si="41"/>
        <v>0</v>
      </c>
      <c r="CH47" s="452">
        <f t="shared" si="41"/>
        <v>0</v>
      </c>
      <c r="CI47" s="452">
        <f t="shared" si="41"/>
        <v>0</v>
      </c>
      <c r="CJ47" s="452">
        <f t="shared" si="41"/>
        <v>0</v>
      </c>
      <c r="CK47" s="452">
        <f t="shared" si="41"/>
        <v>0</v>
      </c>
      <c r="CL47" s="452">
        <f t="shared" si="41"/>
        <v>0</v>
      </c>
      <c r="CM47" s="452">
        <f t="shared" si="41"/>
        <v>0</v>
      </c>
      <c r="CN47" s="452">
        <f t="shared" si="41"/>
        <v>0</v>
      </c>
      <c r="CO47" s="452">
        <f t="shared" si="41"/>
        <v>0</v>
      </c>
      <c r="CP47" s="452">
        <f t="shared" si="41"/>
        <v>0</v>
      </c>
      <c r="CQ47" s="452">
        <f t="shared" si="41"/>
        <v>0</v>
      </c>
      <c r="CR47" s="452">
        <f t="shared" si="41"/>
        <v>0</v>
      </c>
      <c r="CS47" s="452">
        <f t="shared" si="41"/>
        <v>0</v>
      </c>
      <c r="CT47" s="452">
        <f t="shared" si="41"/>
        <v>0</v>
      </c>
      <c r="CU47" s="452">
        <f t="shared" si="41"/>
        <v>0</v>
      </c>
      <c r="CV47" s="452">
        <f t="shared" si="41"/>
        <v>0</v>
      </c>
      <c r="CW47" s="452">
        <f t="shared" si="41"/>
        <v>0</v>
      </c>
      <c r="CX47" s="452">
        <f t="shared" si="41"/>
        <v>0</v>
      </c>
      <c r="CY47" s="452">
        <f t="shared" si="41"/>
        <v>0</v>
      </c>
      <c r="CZ47" s="452">
        <f t="shared" si="41"/>
        <v>0</v>
      </c>
      <c r="DA47" s="452">
        <f t="shared" si="41"/>
        <v>0</v>
      </c>
      <c r="DB47" s="452">
        <f t="shared" si="41"/>
        <v>0</v>
      </c>
      <c r="DC47" s="452">
        <f t="shared" si="41"/>
        <v>0</v>
      </c>
      <c r="DD47" s="452">
        <f t="shared" si="41"/>
        <v>0</v>
      </c>
      <c r="DE47" s="452">
        <f t="shared" si="41"/>
        <v>0</v>
      </c>
      <c r="DF47" s="452">
        <f t="shared" si="41"/>
        <v>0</v>
      </c>
      <c r="DG47" s="452">
        <f t="shared" si="41"/>
        <v>0</v>
      </c>
      <c r="DH47" s="452">
        <f t="shared" si="41"/>
        <v>0</v>
      </c>
      <c r="DI47" s="452">
        <f t="shared" si="41"/>
        <v>0</v>
      </c>
      <c r="DJ47" s="452">
        <f t="shared" si="41"/>
        <v>0</v>
      </c>
      <c r="DK47" s="452">
        <f t="shared" si="41"/>
        <v>0</v>
      </c>
      <c r="DL47" s="452">
        <f t="shared" si="41"/>
        <v>0</v>
      </c>
      <c r="DM47" s="452">
        <f t="shared" si="41"/>
        <v>0</v>
      </c>
      <c r="DN47" s="452">
        <f t="shared" si="41"/>
        <v>0</v>
      </c>
      <c r="DO47" s="452">
        <f t="shared" si="41"/>
        <v>0</v>
      </c>
      <c r="DP47" s="452">
        <f t="shared" si="41"/>
        <v>0</v>
      </c>
      <c r="DQ47" s="452">
        <f t="shared" ref="DQ47:FD47" si="42">SUM(DQ40:DQ46)</f>
        <v>0</v>
      </c>
      <c r="DR47" s="452">
        <f t="shared" si="42"/>
        <v>0</v>
      </c>
      <c r="DS47" s="452">
        <f t="shared" si="42"/>
        <v>0</v>
      </c>
      <c r="DT47" s="452">
        <f t="shared" si="42"/>
        <v>0</v>
      </c>
      <c r="DU47" s="452">
        <f t="shared" si="42"/>
        <v>0</v>
      </c>
      <c r="DV47" s="452">
        <f t="shared" si="42"/>
        <v>0</v>
      </c>
      <c r="DW47" s="452">
        <f t="shared" si="42"/>
        <v>0</v>
      </c>
      <c r="DX47" s="452">
        <f t="shared" si="42"/>
        <v>0</v>
      </c>
      <c r="DY47" s="452">
        <f t="shared" si="42"/>
        <v>0</v>
      </c>
      <c r="DZ47" s="452">
        <f t="shared" si="42"/>
        <v>0</v>
      </c>
      <c r="EA47" s="452">
        <f t="shared" si="42"/>
        <v>0</v>
      </c>
      <c r="EB47" s="452">
        <f t="shared" si="42"/>
        <v>0</v>
      </c>
      <c r="EC47" s="452">
        <f t="shared" si="42"/>
        <v>0</v>
      </c>
      <c r="ED47" s="452">
        <f t="shared" si="42"/>
        <v>0</v>
      </c>
      <c r="EE47" s="452">
        <f t="shared" si="42"/>
        <v>0</v>
      </c>
      <c r="EF47" s="452">
        <f t="shared" si="42"/>
        <v>0</v>
      </c>
      <c r="EG47" s="452">
        <f t="shared" si="42"/>
        <v>0</v>
      </c>
      <c r="EH47" s="452">
        <f t="shared" si="42"/>
        <v>0</v>
      </c>
      <c r="EI47" s="452">
        <f t="shared" si="42"/>
        <v>0</v>
      </c>
      <c r="EJ47" s="452">
        <f t="shared" si="42"/>
        <v>0</v>
      </c>
      <c r="EK47" s="452">
        <f t="shared" si="42"/>
        <v>0</v>
      </c>
      <c r="EL47" s="452">
        <f t="shared" si="42"/>
        <v>0</v>
      </c>
      <c r="EM47" s="452">
        <f t="shared" si="42"/>
        <v>0</v>
      </c>
      <c r="EN47" s="452">
        <f t="shared" si="42"/>
        <v>0</v>
      </c>
      <c r="EO47" s="452">
        <f t="shared" si="42"/>
        <v>0</v>
      </c>
      <c r="EP47" s="452">
        <f t="shared" si="42"/>
        <v>0</v>
      </c>
      <c r="EQ47" s="452">
        <f t="shared" si="42"/>
        <v>0</v>
      </c>
      <c r="ER47" s="452">
        <f t="shared" si="42"/>
        <v>0</v>
      </c>
      <c r="ES47" s="452">
        <f t="shared" si="42"/>
        <v>0</v>
      </c>
      <c r="ET47" s="452">
        <f t="shared" si="42"/>
        <v>0</v>
      </c>
      <c r="EU47" s="452">
        <f t="shared" si="42"/>
        <v>0</v>
      </c>
      <c r="EV47" s="452">
        <f t="shared" si="42"/>
        <v>0</v>
      </c>
      <c r="EW47" s="452">
        <f t="shared" si="42"/>
        <v>0</v>
      </c>
      <c r="EX47" s="452">
        <f t="shared" si="42"/>
        <v>0</v>
      </c>
      <c r="EY47" s="452">
        <f t="shared" si="42"/>
        <v>0</v>
      </c>
      <c r="EZ47" s="452">
        <f t="shared" si="42"/>
        <v>0</v>
      </c>
      <c r="FA47" s="452">
        <f t="shared" si="42"/>
        <v>0</v>
      </c>
      <c r="FB47" s="452">
        <f t="shared" si="42"/>
        <v>0</v>
      </c>
      <c r="FC47" s="452">
        <f t="shared" si="42"/>
        <v>0</v>
      </c>
      <c r="FD47" s="452">
        <f t="shared" si="42"/>
        <v>0</v>
      </c>
      <c r="FE47" s="452">
        <f t="shared" ref="FE47:HD47" si="43">SUM(FE40:FE46)</f>
        <v>0</v>
      </c>
      <c r="FF47" s="452">
        <f t="shared" si="43"/>
        <v>0</v>
      </c>
      <c r="FG47" s="452">
        <f t="shared" si="43"/>
        <v>0</v>
      </c>
      <c r="FH47" s="452">
        <f t="shared" si="43"/>
        <v>0</v>
      </c>
      <c r="FI47" s="452">
        <f t="shared" si="43"/>
        <v>0</v>
      </c>
      <c r="FJ47" s="452">
        <f t="shared" si="43"/>
        <v>0</v>
      </c>
      <c r="FK47" s="452">
        <f t="shared" si="43"/>
        <v>0</v>
      </c>
      <c r="FL47" s="452">
        <f t="shared" si="43"/>
        <v>0</v>
      </c>
      <c r="FM47" s="452">
        <f t="shared" si="43"/>
        <v>0</v>
      </c>
      <c r="FN47" s="452">
        <f t="shared" si="43"/>
        <v>0</v>
      </c>
      <c r="FO47" s="452">
        <f t="shared" si="43"/>
        <v>0</v>
      </c>
      <c r="FP47" s="452">
        <f t="shared" si="43"/>
        <v>0</v>
      </c>
      <c r="FQ47" s="452">
        <f t="shared" si="43"/>
        <v>0</v>
      </c>
      <c r="FR47" s="452">
        <f t="shared" si="43"/>
        <v>0</v>
      </c>
      <c r="FS47" s="452">
        <f t="shared" si="43"/>
        <v>0</v>
      </c>
      <c r="FT47" s="452">
        <f t="shared" si="43"/>
        <v>0</v>
      </c>
      <c r="FU47" s="452">
        <f t="shared" si="43"/>
        <v>0</v>
      </c>
      <c r="FV47" s="452">
        <f t="shared" si="43"/>
        <v>0</v>
      </c>
      <c r="FW47" s="452">
        <f t="shared" si="43"/>
        <v>0</v>
      </c>
      <c r="FX47" s="452">
        <f t="shared" si="43"/>
        <v>0</v>
      </c>
      <c r="FY47" s="452">
        <f t="shared" si="43"/>
        <v>0</v>
      </c>
      <c r="FZ47" s="452">
        <f t="shared" si="43"/>
        <v>0</v>
      </c>
      <c r="GA47" s="452">
        <f t="shared" si="43"/>
        <v>0</v>
      </c>
      <c r="GB47" s="452">
        <f t="shared" si="43"/>
        <v>0</v>
      </c>
      <c r="GC47" s="452">
        <f t="shared" si="43"/>
        <v>0</v>
      </c>
      <c r="GD47" s="452">
        <f t="shared" si="43"/>
        <v>0</v>
      </c>
      <c r="GE47" s="452">
        <f t="shared" si="43"/>
        <v>0</v>
      </c>
      <c r="GF47" s="452">
        <f t="shared" si="43"/>
        <v>0</v>
      </c>
      <c r="GG47" s="452">
        <f t="shared" si="43"/>
        <v>0</v>
      </c>
      <c r="GH47" s="452">
        <f t="shared" si="43"/>
        <v>0</v>
      </c>
      <c r="GI47" s="452">
        <f t="shared" si="43"/>
        <v>0</v>
      </c>
      <c r="GJ47" s="452">
        <f t="shared" si="43"/>
        <v>0</v>
      </c>
      <c r="GK47" s="452">
        <f t="shared" si="43"/>
        <v>0</v>
      </c>
      <c r="GL47" s="452">
        <f t="shared" si="43"/>
        <v>0</v>
      </c>
      <c r="GM47" s="452">
        <f t="shared" si="43"/>
        <v>0</v>
      </c>
      <c r="GN47" s="452">
        <f t="shared" si="43"/>
        <v>0</v>
      </c>
      <c r="GO47" s="452">
        <f t="shared" si="43"/>
        <v>0</v>
      </c>
      <c r="GP47" s="452">
        <f t="shared" si="43"/>
        <v>0</v>
      </c>
      <c r="GQ47" s="452">
        <f t="shared" si="43"/>
        <v>0</v>
      </c>
      <c r="GR47" s="452">
        <f t="shared" si="43"/>
        <v>0</v>
      </c>
      <c r="GS47" s="452">
        <f t="shared" si="43"/>
        <v>0</v>
      </c>
      <c r="GT47" s="452">
        <f t="shared" si="43"/>
        <v>0</v>
      </c>
      <c r="GU47" s="452">
        <f t="shared" si="43"/>
        <v>0</v>
      </c>
      <c r="GV47" s="452">
        <f t="shared" si="43"/>
        <v>0</v>
      </c>
      <c r="GW47" s="452">
        <f t="shared" si="43"/>
        <v>0</v>
      </c>
      <c r="GX47" s="452">
        <f t="shared" si="43"/>
        <v>0</v>
      </c>
      <c r="GY47" s="452">
        <f t="shared" si="43"/>
        <v>0</v>
      </c>
      <c r="GZ47" s="452">
        <f t="shared" si="43"/>
        <v>0</v>
      </c>
      <c r="HA47" s="452">
        <f t="shared" si="43"/>
        <v>0</v>
      </c>
      <c r="HB47" s="452">
        <f t="shared" si="43"/>
        <v>0</v>
      </c>
      <c r="HC47" s="452">
        <f t="shared" si="43"/>
        <v>0</v>
      </c>
      <c r="HD47" s="452">
        <f t="shared" si="43"/>
        <v>0</v>
      </c>
      <c r="HE47" s="452">
        <f>SUM(HE40:HE46)</f>
        <v>4</v>
      </c>
      <c r="HF47" s="452">
        <f>SUM(HF40:HF46)</f>
        <v>3200000000</v>
      </c>
      <c r="HH47" s="448"/>
      <c r="HI47" s="449"/>
      <c r="HJ47" s="448"/>
    </row>
    <row r="48" spans="2:218" x14ac:dyDescent="0.2">
      <c r="B48" s="313" t="s">
        <v>421</v>
      </c>
      <c r="C48" s="322">
        <v>780000000</v>
      </c>
      <c r="D48" s="447"/>
      <c r="E48" s="322"/>
      <c r="F48" s="322"/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  <c r="AA48" s="322"/>
      <c r="AB48" s="322"/>
      <c r="AC48" s="322">
        <f>E48+G48+I48+K48+M48+O48+Q48+S48+U48+W48+Y48+AA48</f>
        <v>0</v>
      </c>
      <c r="AD48" s="322">
        <f>F48+H48+J48+L48+N48+P48+R48+T48+V48+X48+Z48+AB48</f>
        <v>0</v>
      </c>
      <c r="AE48" s="322"/>
      <c r="AF48" s="322"/>
      <c r="AG48" s="322"/>
      <c r="AH48" s="322"/>
      <c r="AI48" s="322"/>
      <c r="AJ48" s="322"/>
      <c r="AK48" s="322"/>
      <c r="AL48" s="322"/>
      <c r="AM48" s="322"/>
      <c r="AN48" s="322"/>
      <c r="AO48" s="322"/>
      <c r="AP48" s="322"/>
      <c r="AQ48" s="322"/>
      <c r="AR48" s="322"/>
      <c r="AS48" s="322"/>
      <c r="AT48" s="322"/>
      <c r="AU48" s="322"/>
      <c r="AV48" s="322"/>
      <c r="AW48" s="322"/>
      <c r="AX48" s="322"/>
      <c r="AY48" s="322"/>
      <c r="AZ48" s="322"/>
      <c r="BA48" s="322"/>
      <c r="BB48" s="322"/>
      <c r="BC48" s="322">
        <f>AE48+AG48+AI48+AK48+AM48+AO48+AQ48+AS48+AU48+AW48+AY48+BA48</f>
        <v>0</v>
      </c>
      <c r="BD48" s="322">
        <f>AF48+AH48+AJ48+AL48+AN48+AP48+AR48+AT48+AV48+AX48+AZ48+BB48</f>
        <v>0</v>
      </c>
      <c r="BE48" s="322"/>
      <c r="BF48" s="322"/>
      <c r="BG48" s="322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>
        <f>BE48+BG48+BI48+BK48+BM48+BO48+BQ48+BS48+BU48+BW48+BY48+CA48</f>
        <v>0</v>
      </c>
      <c r="CD48" s="322">
        <f>BF48+BH48+BJ48+BL48+BN48+BP48+BR48+BT48+BV48+BX48+BZ48+CB48</f>
        <v>0</v>
      </c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>
        <f>$C48*CS48</f>
        <v>0</v>
      </c>
      <c r="CU48" s="322"/>
      <c r="CV48" s="322"/>
      <c r="CW48" s="322"/>
      <c r="CX48" s="322"/>
      <c r="CY48" s="322"/>
      <c r="CZ48" s="322"/>
      <c r="DA48" s="322"/>
      <c r="DB48" s="322">
        <f>$C48*DA48</f>
        <v>0</v>
      </c>
      <c r="DC48" s="322">
        <f t="shared" ref="DC48:DD61" si="44">CE48+CG48+CI48+CK48+CM48+CO48+CQ48+CS48+CU48+CW48+CY48+DA48</f>
        <v>0</v>
      </c>
      <c r="DD48" s="322">
        <f t="shared" si="44"/>
        <v>0</v>
      </c>
      <c r="DE48" s="436"/>
      <c r="DF48" s="436"/>
      <c r="DG48" s="436"/>
      <c r="DH48" s="436"/>
      <c r="DI48" s="436"/>
      <c r="DJ48" s="436"/>
      <c r="DK48" s="436"/>
      <c r="DL48" s="436"/>
      <c r="DM48" s="436"/>
      <c r="DN48" s="436"/>
      <c r="DO48" s="436"/>
      <c r="DP48" s="436"/>
      <c r="DQ48" s="436"/>
      <c r="DR48" s="436"/>
      <c r="DS48" s="436"/>
      <c r="DT48" s="436"/>
      <c r="DU48" s="436"/>
      <c r="DV48" s="436"/>
      <c r="DW48" s="436"/>
      <c r="DX48" s="436"/>
      <c r="DY48" s="436"/>
      <c r="DZ48" s="436"/>
      <c r="EA48" s="322"/>
      <c r="EB48" s="322">
        <f>$C48*EA48</f>
        <v>0</v>
      </c>
      <c r="EC48" s="322">
        <f t="shared" ref="EC48:ED61" si="45">DE48+DG48+DI48+DK48+DM48+DO48+DQ48+DS48+DU48+DW48+DY48+EA48</f>
        <v>0</v>
      </c>
      <c r="ED48" s="322">
        <f t="shared" si="45"/>
        <v>0</v>
      </c>
      <c r="EE48" s="436"/>
      <c r="EF48" s="436"/>
      <c r="EG48" s="436"/>
      <c r="EH48" s="436"/>
      <c r="EI48" s="436"/>
      <c r="EJ48" s="436"/>
      <c r="EK48" s="436"/>
      <c r="EL48" s="436">
        <f>$C$48*EK48</f>
        <v>0</v>
      </c>
      <c r="EM48" s="436"/>
      <c r="EN48" s="436"/>
      <c r="EO48" s="436"/>
      <c r="EP48" s="436"/>
      <c r="EQ48" s="436"/>
      <c r="ER48" s="436"/>
      <c r="ES48" s="436"/>
      <c r="ET48" s="436"/>
      <c r="EU48" s="436"/>
      <c r="EV48" s="436"/>
      <c r="EW48" s="436"/>
      <c r="EX48" s="436"/>
      <c r="EY48" s="436"/>
      <c r="EZ48" s="436"/>
      <c r="FA48" s="436"/>
      <c r="FB48" s="436"/>
      <c r="FC48" s="322">
        <f t="shared" ref="FC48:FD61" si="46">EE48+EG48+EI48+EK48+EM48+EO48+EQ48+ES48+EU48+EW48+EY48+FA48</f>
        <v>0</v>
      </c>
      <c r="FD48" s="322">
        <f t="shared" si="46"/>
        <v>0</v>
      </c>
      <c r="FE48" s="436"/>
      <c r="FF48" s="436"/>
      <c r="FG48" s="436"/>
      <c r="FH48" s="436"/>
      <c r="FI48" s="436"/>
      <c r="FJ48" s="436"/>
      <c r="FK48" s="436"/>
      <c r="FL48" s="322">
        <f>$C48*FK48</f>
        <v>0</v>
      </c>
      <c r="FM48" s="436"/>
      <c r="FN48" s="436"/>
      <c r="FO48" s="436"/>
      <c r="FP48" s="436"/>
      <c r="FQ48" s="436"/>
      <c r="FR48" s="436"/>
      <c r="FS48" s="436"/>
      <c r="FT48" s="436"/>
      <c r="FU48" s="436"/>
      <c r="FV48" s="436"/>
      <c r="FW48" s="436"/>
      <c r="FX48" s="436"/>
      <c r="FY48" s="436"/>
      <c r="FZ48" s="436"/>
      <c r="GA48" s="436"/>
      <c r="GB48" s="436"/>
      <c r="GC48" s="322">
        <f t="shared" ref="GC48:GC61" si="47">FE48+FG48+FI48+FK48+FM48+FO48+FQ48+FS48+FU48+FW48+FY48+GA48</f>
        <v>0</v>
      </c>
      <c r="GD48" s="322">
        <f t="shared" ref="GD48:GD61" si="48">FF48+FH48+FJ48+FL48+FN48+FP48+FR48+FT48+FV48+FX48+FZ48+GB48</f>
        <v>0</v>
      </c>
      <c r="GE48" s="436"/>
      <c r="GF48" s="436"/>
      <c r="GG48" s="436"/>
      <c r="GH48" s="436"/>
      <c r="GI48" s="436"/>
      <c r="GJ48" s="436"/>
      <c r="GK48" s="436"/>
      <c r="GL48" s="322">
        <f>$C48*GK48</f>
        <v>0</v>
      </c>
      <c r="GM48" s="436"/>
      <c r="GN48" s="436"/>
      <c r="GO48" s="436"/>
      <c r="GP48" s="436"/>
      <c r="GQ48" s="436"/>
      <c r="GR48" s="436"/>
      <c r="GS48" s="436"/>
      <c r="GT48" s="436"/>
      <c r="GU48" s="436"/>
      <c r="GV48" s="436"/>
      <c r="GW48" s="436"/>
      <c r="GX48" s="436"/>
      <c r="GY48" s="436"/>
      <c r="GZ48" s="436"/>
      <c r="HA48" s="436"/>
      <c r="HB48" s="436"/>
      <c r="HC48" s="322">
        <f t="shared" ref="HC48:HD61" si="49">GE48+GG48+GI48+GK48+GM48+GO48+GQ48+GS48+GU48+GW48+GY48+HA48</f>
        <v>0</v>
      </c>
      <c r="HD48" s="322">
        <f t="shared" si="49"/>
        <v>0</v>
      </c>
      <c r="HE48" s="322">
        <f t="shared" ref="HE48:HE61" si="50">AC48+BC48+CC48+DC48+EC48+FC48+GC48+HC48</f>
        <v>0</v>
      </c>
      <c r="HF48" s="322">
        <f t="shared" ref="HF48:HF61" si="51">AD48+BD48+CD48+DD48+ED48+FD48+GD48+HD48</f>
        <v>0</v>
      </c>
      <c r="HH48" s="448"/>
      <c r="HI48" s="449"/>
      <c r="HJ48" s="448"/>
    </row>
    <row r="49" spans="2:218" x14ac:dyDescent="0.2">
      <c r="B49" s="313" t="s">
        <v>422</v>
      </c>
      <c r="C49" s="322">
        <v>780000000</v>
      </c>
      <c r="D49" s="447"/>
      <c r="E49" s="322"/>
      <c r="F49" s="322"/>
      <c r="G49" s="322"/>
      <c r="H49" s="322"/>
      <c r="I49" s="322"/>
      <c r="J49" s="322"/>
      <c r="K49" s="322"/>
      <c r="L49" s="322"/>
      <c r="M49" s="322"/>
      <c r="N49" s="322"/>
      <c r="O49" s="322"/>
      <c r="P49" s="322"/>
      <c r="Q49" s="322"/>
      <c r="R49" s="322"/>
      <c r="S49" s="322"/>
      <c r="T49" s="322"/>
      <c r="U49" s="322"/>
      <c r="V49" s="322"/>
      <c r="W49" s="322"/>
      <c r="X49" s="322"/>
      <c r="Y49" s="322"/>
      <c r="Z49" s="322"/>
      <c r="AA49" s="322"/>
      <c r="AB49" s="322"/>
      <c r="AC49" s="322">
        <f t="shared" ref="AC49:AD61" si="52">E49+G49+I49+K49+M49+O49+Q49+S49+U49+W49+Y49+AA49</f>
        <v>0</v>
      </c>
      <c r="AD49" s="322">
        <f t="shared" si="52"/>
        <v>0</v>
      </c>
      <c r="AE49" s="322"/>
      <c r="AF49" s="322"/>
      <c r="AG49" s="322"/>
      <c r="AH49" s="322"/>
      <c r="AI49" s="322"/>
      <c r="AJ49" s="322"/>
      <c r="AK49" s="322"/>
      <c r="AL49" s="322"/>
      <c r="AM49" s="322"/>
      <c r="AN49" s="322"/>
      <c r="AO49" s="322"/>
      <c r="AP49" s="322"/>
      <c r="AQ49" s="322"/>
      <c r="AR49" s="322"/>
      <c r="AS49" s="322"/>
      <c r="AT49" s="322"/>
      <c r="AU49" s="322"/>
      <c r="AV49" s="322"/>
      <c r="AW49" s="322"/>
      <c r="AX49" s="322"/>
      <c r="AY49" s="322"/>
      <c r="AZ49" s="322"/>
      <c r="BA49" s="322"/>
      <c r="BB49" s="322"/>
      <c r="BC49" s="322">
        <f t="shared" ref="BC49:BD61" si="53">AE49+AG49+AI49+AK49+AM49+AO49+AQ49+AS49+AU49+AW49+AY49+BA49</f>
        <v>0</v>
      </c>
      <c r="BD49" s="322">
        <f t="shared" si="53"/>
        <v>0</v>
      </c>
      <c r="BE49" s="322"/>
      <c r="BF49" s="322"/>
      <c r="BG49" s="322"/>
      <c r="BH49" s="322"/>
      <c r="BI49" s="322"/>
      <c r="BJ49" s="322"/>
      <c r="BK49" s="322"/>
      <c r="BL49" s="322"/>
      <c r="BM49" s="322"/>
      <c r="BN49" s="322"/>
      <c r="BO49" s="322"/>
      <c r="BP49" s="322"/>
      <c r="BQ49" s="322"/>
      <c r="BR49" s="322"/>
      <c r="BS49" s="322"/>
      <c r="BT49" s="322"/>
      <c r="BU49" s="322"/>
      <c r="BV49" s="322"/>
      <c r="BW49" s="322"/>
      <c r="BX49" s="322"/>
      <c r="BY49" s="322"/>
      <c r="BZ49" s="322"/>
      <c r="CA49" s="322"/>
      <c r="CB49" s="322"/>
      <c r="CC49" s="322">
        <f t="shared" ref="CC49:CD61" si="54">BE49+BG49+BI49+BK49+BM49+BO49+BQ49+BS49+BU49+BW49+BY49+CA49</f>
        <v>0</v>
      </c>
      <c r="CD49" s="322">
        <f t="shared" si="54"/>
        <v>0</v>
      </c>
      <c r="CE49" s="322"/>
      <c r="CF49" s="322"/>
      <c r="CG49" s="322"/>
      <c r="CH49" s="322"/>
      <c r="CI49" s="322"/>
      <c r="CJ49" s="322"/>
      <c r="CK49" s="322"/>
      <c r="CL49" s="322"/>
      <c r="CM49" s="322"/>
      <c r="CN49" s="322"/>
      <c r="CO49" s="322"/>
      <c r="CP49" s="322"/>
      <c r="CQ49" s="322"/>
      <c r="CR49" s="322"/>
      <c r="CS49" s="322"/>
      <c r="CT49" s="322"/>
      <c r="CU49" s="322"/>
      <c r="CV49" s="322"/>
      <c r="CW49" s="322"/>
      <c r="CX49" s="322"/>
      <c r="CY49" s="322"/>
      <c r="CZ49" s="322"/>
      <c r="DA49" s="322"/>
      <c r="DB49" s="322"/>
      <c r="DC49" s="322">
        <f t="shared" si="44"/>
        <v>0</v>
      </c>
      <c r="DD49" s="322">
        <f t="shared" si="44"/>
        <v>0</v>
      </c>
      <c r="DE49" s="436"/>
      <c r="DF49" s="436"/>
      <c r="DG49" s="436"/>
      <c r="DH49" s="436"/>
      <c r="DI49" s="436"/>
      <c r="DJ49" s="436"/>
      <c r="DK49" s="436"/>
      <c r="DL49" s="436"/>
      <c r="DM49" s="436"/>
      <c r="DN49" s="436"/>
      <c r="DO49" s="436"/>
      <c r="DP49" s="436"/>
      <c r="DQ49" s="436"/>
      <c r="DR49" s="436"/>
      <c r="DS49" s="436"/>
      <c r="DT49" s="436"/>
      <c r="DU49" s="436"/>
      <c r="DV49" s="436"/>
      <c r="DW49" s="436"/>
      <c r="DX49" s="436"/>
      <c r="DY49" s="436"/>
      <c r="DZ49" s="436"/>
      <c r="EA49" s="436"/>
      <c r="EB49" s="436"/>
      <c r="EC49" s="322">
        <f t="shared" si="45"/>
        <v>0</v>
      </c>
      <c r="ED49" s="322">
        <f t="shared" si="45"/>
        <v>0</v>
      </c>
      <c r="EE49" s="436"/>
      <c r="EF49" s="436"/>
      <c r="EG49" s="436"/>
      <c r="EH49" s="436"/>
      <c r="EI49" s="436"/>
      <c r="EJ49" s="436"/>
      <c r="EK49" s="436"/>
      <c r="EL49" s="436"/>
      <c r="EM49" s="436"/>
      <c r="EN49" s="436"/>
      <c r="EO49" s="436"/>
      <c r="EP49" s="436"/>
      <c r="EQ49" s="436"/>
      <c r="ER49" s="436"/>
      <c r="ES49" s="436"/>
      <c r="ET49" s="436"/>
      <c r="EU49" s="436"/>
      <c r="EV49" s="436"/>
      <c r="EW49" s="436"/>
      <c r="EX49" s="436"/>
      <c r="EY49" s="436"/>
      <c r="EZ49" s="436"/>
      <c r="FA49" s="436"/>
      <c r="FB49" s="322">
        <f>$C49*FA49</f>
        <v>0</v>
      </c>
      <c r="FC49" s="322">
        <f t="shared" si="46"/>
        <v>0</v>
      </c>
      <c r="FD49" s="322">
        <f t="shared" si="46"/>
        <v>0</v>
      </c>
      <c r="FE49" s="436"/>
      <c r="FF49" s="436"/>
      <c r="FG49" s="436"/>
      <c r="FH49" s="436"/>
      <c r="FI49" s="436"/>
      <c r="FJ49" s="436"/>
      <c r="FK49" s="436"/>
      <c r="FL49" s="436"/>
      <c r="FM49" s="436"/>
      <c r="FN49" s="436"/>
      <c r="FO49" s="436"/>
      <c r="FP49" s="436"/>
      <c r="FQ49" s="436"/>
      <c r="FR49" s="436"/>
      <c r="FS49" s="436"/>
      <c r="FT49" s="436"/>
      <c r="FU49" s="436"/>
      <c r="FV49" s="436"/>
      <c r="FW49" s="436"/>
      <c r="FX49" s="436"/>
      <c r="FY49" s="436"/>
      <c r="FZ49" s="436"/>
      <c r="GA49" s="436"/>
      <c r="GB49" s="436"/>
      <c r="GC49" s="322">
        <f t="shared" si="47"/>
        <v>0</v>
      </c>
      <c r="GD49" s="322">
        <f t="shared" si="48"/>
        <v>0</v>
      </c>
      <c r="GE49" s="436"/>
      <c r="GF49" s="436"/>
      <c r="GG49" s="436"/>
      <c r="GH49" s="436"/>
      <c r="GI49" s="436"/>
      <c r="GJ49" s="436"/>
      <c r="GK49" s="436"/>
      <c r="GL49" s="436"/>
      <c r="GM49" s="436"/>
      <c r="GN49" s="436"/>
      <c r="GO49" s="436"/>
      <c r="GP49" s="436"/>
      <c r="GQ49" s="436"/>
      <c r="GR49" s="436"/>
      <c r="GS49" s="436"/>
      <c r="GT49" s="436"/>
      <c r="GU49" s="436"/>
      <c r="GV49" s="436"/>
      <c r="GW49" s="436"/>
      <c r="GX49" s="436"/>
      <c r="GY49" s="436"/>
      <c r="GZ49" s="436"/>
      <c r="HA49" s="436"/>
      <c r="HB49" s="436"/>
      <c r="HC49" s="322">
        <f t="shared" si="49"/>
        <v>0</v>
      </c>
      <c r="HD49" s="322">
        <f t="shared" si="49"/>
        <v>0</v>
      </c>
      <c r="HE49" s="322">
        <f t="shared" si="50"/>
        <v>0</v>
      </c>
      <c r="HF49" s="322">
        <f t="shared" si="51"/>
        <v>0</v>
      </c>
      <c r="HH49" s="448"/>
      <c r="HI49" s="449"/>
      <c r="HJ49" s="448"/>
    </row>
    <row r="50" spans="2:218" x14ac:dyDescent="0.2">
      <c r="B50" s="313" t="s">
        <v>423</v>
      </c>
      <c r="C50" s="322">
        <v>1080000000</v>
      </c>
      <c r="D50" s="447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  <c r="AA50" s="322"/>
      <c r="AB50" s="322"/>
      <c r="AC50" s="322">
        <f t="shared" si="52"/>
        <v>0</v>
      </c>
      <c r="AD50" s="322">
        <f t="shared" si="52"/>
        <v>0</v>
      </c>
      <c r="AE50" s="322"/>
      <c r="AF50" s="322"/>
      <c r="AG50" s="322"/>
      <c r="AH50" s="322"/>
      <c r="AI50" s="322"/>
      <c r="AJ50" s="322"/>
      <c r="AK50" s="322"/>
      <c r="AL50" s="322">
        <f>$C$51*AK50</f>
        <v>0</v>
      </c>
      <c r="AM50" s="322"/>
      <c r="AN50" s="322"/>
      <c r="AO50" s="322"/>
      <c r="AP50" s="322"/>
      <c r="AQ50" s="322"/>
      <c r="AR50" s="322"/>
      <c r="AS50" s="322"/>
      <c r="AT50" s="322"/>
      <c r="AU50" s="322"/>
      <c r="AV50" s="322"/>
      <c r="AW50" s="322"/>
      <c r="AX50" s="322"/>
      <c r="AY50" s="322"/>
      <c r="AZ50" s="322"/>
      <c r="BA50" s="322"/>
      <c r="BB50" s="322"/>
      <c r="BC50" s="322">
        <f t="shared" si="53"/>
        <v>0</v>
      </c>
      <c r="BD50" s="322">
        <f t="shared" si="53"/>
        <v>0</v>
      </c>
      <c r="BE50" s="322"/>
      <c r="BF50" s="322"/>
      <c r="BG50" s="322"/>
      <c r="BH50" s="322"/>
      <c r="BI50" s="322"/>
      <c r="BJ50" s="322"/>
      <c r="BK50" s="322"/>
      <c r="BL50" s="322"/>
      <c r="BM50" s="322"/>
      <c r="BN50" s="322"/>
      <c r="BO50" s="322"/>
      <c r="BP50" s="322"/>
      <c r="BQ50" s="322"/>
      <c r="BR50" s="322"/>
      <c r="BS50" s="322"/>
      <c r="BT50" s="322"/>
      <c r="BU50" s="322"/>
      <c r="BV50" s="322"/>
      <c r="BW50" s="322"/>
      <c r="BX50" s="322"/>
      <c r="BY50" s="322"/>
      <c r="BZ50" s="322"/>
      <c r="CA50" s="322"/>
      <c r="CB50" s="322">
        <f>$C50*CA50</f>
        <v>0</v>
      </c>
      <c r="CC50" s="322">
        <f t="shared" si="54"/>
        <v>0</v>
      </c>
      <c r="CD50" s="322">
        <f t="shared" si="54"/>
        <v>0</v>
      </c>
      <c r="CE50" s="322"/>
      <c r="CF50" s="322"/>
      <c r="CG50" s="322"/>
      <c r="CH50" s="322"/>
      <c r="CI50" s="322"/>
      <c r="CJ50" s="322"/>
      <c r="CK50" s="322"/>
      <c r="CL50" s="322"/>
      <c r="CM50" s="322"/>
      <c r="CN50" s="322"/>
      <c r="CO50" s="322"/>
      <c r="CP50" s="322"/>
      <c r="CQ50" s="322"/>
      <c r="CR50" s="322"/>
      <c r="CS50" s="322"/>
      <c r="CT50" s="322"/>
      <c r="CU50" s="322"/>
      <c r="CV50" s="322"/>
      <c r="CW50" s="322"/>
      <c r="CX50" s="322"/>
      <c r="CY50" s="322"/>
      <c r="CZ50" s="322"/>
      <c r="DA50" s="322"/>
      <c r="DB50" s="322">
        <f>$C50*DA50</f>
        <v>0</v>
      </c>
      <c r="DC50" s="322">
        <f t="shared" si="44"/>
        <v>0</v>
      </c>
      <c r="DD50" s="322">
        <f t="shared" si="44"/>
        <v>0</v>
      </c>
      <c r="DE50" s="436"/>
      <c r="DF50" s="436"/>
      <c r="DG50" s="436"/>
      <c r="DH50" s="436"/>
      <c r="DI50" s="436"/>
      <c r="DJ50" s="436"/>
      <c r="DK50" s="436"/>
      <c r="DL50" s="436"/>
      <c r="DM50" s="436"/>
      <c r="DN50" s="436"/>
      <c r="DO50" s="436"/>
      <c r="DP50" s="436"/>
      <c r="DQ50" s="436"/>
      <c r="DR50" s="436"/>
      <c r="DS50" s="436"/>
      <c r="DT50" s="436"/>
      <c r="DU50" s="436"/>
      <c r="DV50" s="436"/>
      <c r="DW50" s="436"/>
      <c r="DX50" s="436"/>
      <c r="DY50" s="436"/>
      <c r="DZ50" s="436"/>
      <c r="EA50" s="436"/>
      <c r="EB50" s="436"/>
      <c r="EC50" s="322">
        <f t="shared" si="45"/>
        <v>0</v>
      </c>
      <c r="ED50" s="322">
        <f t="shared" si="45"/>
        <v>0</v>
      </c>
      <c r="EE50" s="436"/>
      <c r="EF50" s="436"/>
      <c r="EG50" s="436"/>
      <c r="EH50" s="436"/>
      <c r="EI50" s="436"/>
      <c r="EJ50" s="436"/>
      <c r="EK50" s="436"/>
      <c r="EL50" s="436"/>
      <c r="EM50" s="436"/>
      <c r="EN50" s="436"/>
      <c r="EO50" s="436"/>
      <c r="EP50" s="436"/>
      <c r="EQ50" s="436"/>
      <c r="ER50" s="436"/>
      <c r="ES50" s="436"/>
      <c r="ET50" s="436"/>
      <c r="EU50" s="436"/>
      <c r="EV50" s="436"/>
      <c r="EW50" s="436"/>
      <c r="EX50" s="436"/>
      <c r="EY50" s="436"/>
      <c r="EZ50" s="436"/>
      <c r="FA50" s="436"/>
      <c r="FB50" s="436"/>
      <c r="FC50" s="322">
        <f t="shared" si="46"/>
        <v>0</v>
      </c>
      <c r="FD50" s="322">
        <f t="shared" si="46"/>
        <v>0</v>
      </c>
      <c r="FE50" s="436"/>
      <c r="FF50" s="436"/>
      <c r="FG50" s="436"/>
      <c r="FH50" s="436"/>
      <c r="FI50" s="436"/>
      <c r="FJ50" s="436"/>
      <c r="FK50" s="436"/>
      <c r="FL50" s="436"/>
      <c r="FM50" s="436"/>
      <c r="FN50" s="436"/>
      <c r="FO50" s="436"/>
      <c r="FP50" s="436"/>
      <c r="FQ50" s="436"/>
      <c r="FR50" s="436"/>
      <c r="FS50" s="436"/>
      <c r="FT50" s="436"/>
      <c r="FU50" s="436"/>
      <c r="FV50" s="436"/>
      <c r="FW50" s="436"/>
      <c r="FX50" s="436"/>
      <c r="FY50" s="436"/>
      <c r="FZ50" s="436"/>
      <c r="GA50" s="436"/>
      <c r="GB50" s="436"/>
      <c r="GC50" s="322">
        <f t="shared" si="47"/>
        <v>0</v>
      </c>
      <c r="GD50" s="322">
        <f t="shared" si="48"/>
        <v>0</v>
      </c>
      <c r="GE50" s="436"/>
      <c r="GF50" s="436"/>
      <c r="GG50" s="436"/>
      <c r="GH50" s="436"/>
      <c r="GI50" s="436"/>
      <c r="GJ50" s="436"/>
      <c r="GK50" s="436"/>
      <c r="GL50" s="436"/>
      <c r="GM50" s="436"/>
      <c r="GN50" s="436"/>
      <c r="GO50" s="436"/>
      <c r="GP50" s="436"/>
      <c r="GQ50" s="436"/>
      <c r="GR50" s="436"/>
      <c r="GS50" s="436"/>
      <c r="GT50" s="436"/>
      <c r="GU50" s="436"/>
      <c r="GV50" s="436"/>
      <c r="GW50" s="436"/>
      <c r="GX50" s="436"/>
      <c r="GY50" s="436"/>
      <c r="GZ50" s="436"/>
      <c r="HA50" s="436"/>
      <c r="HB50" s="436"/>
      <c r="HC50" s="322">
        <f t="shared" si="49"/>
        <v>0</v>
      </c>
      <c r="HD50" s="322">
        <f t="shared" si="49"/>
        <v>0</v>
      </c>
      <c r="HE50" s="322">
        <f t="shared" si="50"/>
        <v>0</v>
      </c>
      <c r="HF50" s="322">
        <f t="shared" si="51"/>
        <v>0</v>
      </c>
      <c r="HH50" s="448"/>
      <c r="HI50" s="449"/>
      <c r="HJ50" s="448"/>
    </row>
    <row r="51" spans="2:218" x14ac:dyDescent="0.2">
      <c r="B51" s="313" t="s">
        <v>424</v>
      </c>
      <c r="C51" s="322">
        <v>300000000</v>
      </c>
      <c r="D51" s="447">
        <v>0</v>
      </c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  <c r="AA51" s="322"/>
      <c r="AB51" s="322"/>
      <c r="AC51" s="322">
        <f t="shared" si="52"/>
        <v>0</v>
      </c>
      <c r="AD51" s="322">
        <f t="shared" si="52"/>
        <v>0</v>
      </c>
      <c r="AE51" s="322"/>
      <c r="AF51" s="322"/>
      <c r="AG51" s="322"/>
      <c r="AH51" s="322"/>
      <c r="AI51" s="322"/>
      <c r="AJ51" s="322"/>
      <c r="AK51" s="322"/>
      <c r="AL51" s="322"/>
      <c r="AM51" s="322"/>
      <c r="AN51" s="322"/>
      <c r="AO51" s="322"/>
      <c r="AP51" s="322"/>
      <c r="AQ51" s="322"/>
      <c r="AR51" s="322"/>
      <c r="AS51" s="322"/>
      <c r="AT51" s="322"/>
      <c r="AU51" s="322"/>
      <c r="AV51" s="322"/>
      <c r="AW51" s="322"/>
      <c r="AX51" s="322"/>
      <c r="AY51" s="322"/>
      <c r="AZ51" s="322"/>
      <c r="BA51" s="322"/>
      <c r="BB51" s="322"/>
      <c r="BC51" s="322">
        <f t="shared" si="53"/>
        <v>0</v>
      </c>
      <c r="BD51" s="322">
        <f t="shared" si="53"/>
        <v>0</v>
      </c>
      <c r="BE51" s="322"/>
      <c r="BF51" s="322"/>
      <c r="BG51" s="322"/>
      <c r="BH51" s="322"/>
      <c r="BI51" s="322"/>
      <c r="BJ51" s="322"/>
      <c r="BK51" s="322"/>
      <c r="BL51" s="322"/>
      <c r="BM51" s="322"/>
      <c r="BN51" s="322"/>
      <c r="BO51" s="322"/>
      <c r="BP51" s="322"/>
      <c r="BQ51" s="322"/>
      <c r="BR51" s="322"/>
      <c r="BS51" s="322"/>
      <c r="BT51" s="322"/>
      <c r="BU51" s="322"/>
      <c r="BV51" s="322"/>
      <c r="BW51" s="322"/>
      <c r="BX51" s="322"/>
      <c r="BY51" s="322"/>
      <c r="BZ51" s="322"/>
      <c r="CA51" s="322"/>
      <c r="CB51" s="322"/>
      <c r="CC51" s="322">
        <f t="shared" si="54"/>
        <v>0</v>
      </c>
      <c r="CD51" s="322">
        <f t="shared" si="54"/>
        <v>0</v>
      </c>
      <c r="CE51" s="322"/>
      <c r="CF51" s="322"/>
      <c r="CG51" s="322"/>
      <c r="CH51" s="322"/>
      <c r="CI51" s="322"/>
      <c r="CJ51" s="322"/>
      <c r="CK51" s="322"/>
      <c r="CL51" s="322"/>
      <c r="CM51" s="322"/>
      <c r="CN51" s="322"/>
      <c r="CO51" s="322"/>
      <c r="CP51" s="322"/>
      <c r="CQ51" s="322"/>
      <c r="CR51" s="322"/>
      <c r="CS51" s="322"/>
      <c r="CT51" s="322"/>
      <c r="CU51" s="322"/>
      <c r="CV51" s="322"/>
      <c r="CW51" s="322"/>
      <c r="CX51" s="322"/>
      <c r="CY51" s="322"/>
      <c r="CZ51" s="322"/>
      <c r="DA51" s="322"/>
      <c r="DB51" s="322"/>
      <c r="DC51" s="322">
        <f t="shared" si="44"/>
        <v>0</v>
      </c>
      <c r="DD51" s="322">
        <f t="shared" si="44"/>
        <v>0</v>
      </c>
      <c r="DE51" s="436"/>
      <c r="DF51" s="436"/>
      <c r="DG51" s="436"/>
      <c r="DH51" s="436"/>
      <c r="DI51" s="436"/>
      <c r="DJ51" s="436"/>
      <c r="DK51" s="436"/>
      <c r="DL51" s="436"/>
      <c r="DM51" s="436"/>
      <c r="DN51" s="436"/>
      <c r="DO51" s="436"/>
      <c r="DP51" s="436"/>
      <c r="DQ51" s="436"/>
      <c r="DR51" s="436"/>
      <c r="DS51" s="436"/>
      <c r="DT51" s="436"/>
      <c r="DU51" s="436"/>
      <c r="DV51" s="436"/>
      <c r="DW51" s="436"/>
      <c r="DX51" s="436"/>
      <c r="DY51" s="436"/>
      <c r="DZ51" s="436"/>
      <c r="EA51" s="436">
        <v>0</v>
      </c>
      <c r="EB51" s="322">
        <f>$C51*EA51</f>
        <v>0</v>
      </c>
      <c r="EC51" s="322">
        <f t="shared" si="45"/>
        <v>0</v>
      </c>
      <c r="ED51" s="322">
        <f t="shared" si="45"/>
        <v>0</v>
      </c>
      <c r="EE51" s="436"/>
      <c r="EF51" s="436"/>
      <c r="EG51" s="436"/>
      <c r="EH51" s="436"/>
      <c r="EI51" s="436"/>
      <c r="EJ51" s="436"/>
      <c r="EK51" s="436"/>
      <c r="EL51" s="436"/>
      <c r="EM51" s="436"/>
      <c r="EN51" s="436"/>
      <c r="EO51" s="436"/>
      <c r="EP51" s="436"/>
      <c r="EQ51" s="436"/>
      <c r="ER51" s="436"/>
      <c r="ES51" s="436"/>
      <c r="ET51" s="322">
        <f>$C51*ES51</f>
        <v>0</v>
      </c>
      <c r="EU51" s="436"/>
      <c r="EV51" s="436"/>
      <c r="EW51" s="436"/>
      <c r="EX51" s="436"/>
      <c r="EY51" s="436"/>
      <c r="EZ51" s="436"/>
      <c r="FA51" s="436"/>
      <c r="FB51" s="436"/>
      <c r="FC51" s="322">
        <f t="shared" si="46"/>
        <v>0</v>
      </c>
      <c r="FD51" s="322">
        <f t="shared" si="46"/>
        <v>0</v>
      </c>
      <c r="FE51" s="436"/>
      <c r="FF51" s="436"/>
      <c r="FG51" s="436"/>
      <c r="FH51" s="436"/>
      <c r="FI51" s="436"/>
      <c r="FJ51" s="436"/>
      <c r="FK51" s="436"/>
      <c r="FL51" s="436"/>
      <c r="FM51" s="436"/>
      <c r="FN51" s="436"/>
      <c r="FO51" s="436"/>
      <c r="FP51" s="436"/>
      <c r="FQ51" s="436"/>
      <c r="FR51" s="436"/>
      <c r="FS51" s="436"/>
      <c r="FT51" s="322">
        <f>$C51*FS51</f>
        <v>0</v>
      </c>
      <c r="FU51" s="436"/>
      <c r="FV51" s="436"/>
      <c r="FW51" s="436"/>
      <c r="FX51" s="436"/>
      <c r="FY51" s="436"/>
      <c r="FZ51" s="436"/>
      <c r="GA51" s="436"/>
      <c r="GB51" s="436"/>
      <c r="GC51" s="322">
        <f t="shared" si="47"/>
        <v>0</v>
      </c>
      <c r="GD51" s="322">
        <f t="shared" si="48"/>
        <v>0</v>
      </c>
      <c r="GE51" s="436"/>
      <c r="GF51" s="436"/>
      <c r="GG51" s="436"/>
      <c r="GH51" s="436"/>
      <c r="GI51" s="436"/>
      <c r="GJ51" s="436"/>
      <c r="GK51" s="436"/>
      <c r="GL51" s="436"/>
      <c r="GM51" s="436"/>
      <c r="GN51" s="436"/>
      <c r="GO51" s="436"/>
      <c r="GP51" s="436"/>
      <c r="GQ51" s="436"/>
      <c r="GR51" s="436"/>
      <c r="GS51" s="436"/>
      <c r="GT51" s="322">
        <f>$C51*GS51</f>
        <v>0</v>
      </c>
      <c r="GU51" s="436"/>
      <c r="GV51" s="436"/>
      <c r="GW51" s="436"/>
      <c r="GX51" s="436"/>
      <c r="GY51" s="436"/>
      <c r="GZ51" s="436"/>
      <c r="HA51" s="436"/>
      <c r="HB51" s="436"/>
      <c r="HC51" s="322">
        <f t="shared" si="49"/>
        <v>0</v>
      </c>
      <c r="HD51" s="322">
        <f t="shared" si="49"/>
        <v>0</v>
      </c>
      <c r="HE51" s="322">
        <f t="shared" si="50"/>
        <v>0</v>
      </c>
      <c r="HF51" s="322">
        <f t="shared" si="51"/>
        <v>0</v>
      </c>
      <c r="HH51" s="448"/>
      <c r="HI51" s="449"/>
      <c r="HJ51" s="448"/>
    </row>
    <row r="52" spans="2:218" x14ac:dyDescent="0.2">
      <c r="B52" s="313" t="s">
        <v>622</v>
      </c>
      <c r="C52" s="322">
        <v>400000000</v>
      </c>
      <c r="D52" s="447">
        <v>0</v>
      </c>
      <c r="E52" s="322"/>
      <c r="F52" s="322"/>
      <c r="G52" s="322"/>
      <c r="H52" s="322"/>
      <c r="I52" s="322"/>
      <c r="J52" s="322"/>
      <c r="K52" s="322"/>
      <c r="L52" s="322"/>
      <c r="M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  <c r="AA52" s="322"/>
      <c r="AB52" s="322"/>
      <c r="AC52" s="322">
        <f t="shared" si="52"/>
        <v>0</v>
      </c>
      <c r="AD52" s="322">
        <f t="shared" si="52"/>
        <v>0</v>
      </c>
      <c r="AE52" s="322"/>
      <c r="AF52" s="322"/>
      <c r="AG52" s="322"/>
      <c r="AH52" s="322"/>
      <c r="AI52" s="322"/>
      <c r="AJ52" s="322"/>
      <c r="AK52" s="322"/>
      <c r="AL52" s="322"/>
      <c r="AM52" s="322"/>
      <c r="AN52" s="322"/>
      <c r="AO52" s="322"/>
      <c r="AP52" s="322"/>
      <c r="AQ52" s="322"/>
      <c r="AR52" s="322"/>
      <c r="AS52" s="322"/>
      <c r="AT52" s="322"/>
      <c r="AU52" s="322"/>
      <c r="AV52" s="322"/>
      <c r="AW52" s="322"/>
      <c r="AX52" s="322"/>
      <c r="AY52" s="322">
        <v>1</v>
      </c>
      <c r="AZ52" s="322">
        <f>C52*AY52</f>
        <v>400000000</v>
      </c>
      <c r="BA52" s="322"/>
      <c r="BB52" s="322">
        <f>$C$53*BA52</f>
        <v>0</v>
      </c>
      <c r="BC52" s="322">
        <f t="shared" si="53"/>
        <v>1</v>
      </c>
      <c r="BD52" s="322">
        <f t="shared" si="53"/>
        <v>400000000</v>
      </c>
      <c r="BE52" s="322"/>
      <c r="BF52" s="322"/>
      <c r="BG52" s="322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>
        <f>$C52*BS52</f>
        <v>0</v>
      </c>
      <c r="BU52" s="322"/>
      <c r="BV52" s="322"/>
      <c r="BW52" s="322"/>
      <c r="BX52" s="322"/>
      <c r="BY52" s="322"/>
      <c r="BZ52" s="322"/>
      <c r="CA52" s="322"/>
      <c r="CB52" s="322">
        <f>$C52*CA52</f>
        <v>0</v>
      </c>
      <c r="CC52" s="322">
        <f t="shared" si="54"/>
        <v>0</v>
      </c>
      <c r="CD52" s="322">
        <f t="shared" si="54"/>
        <v>0</v>
      </c>
      <c r="CE52" s="322"/>
      <c r="CF52" s="322"/>
      <c r="CG52" s="322"/>
      <c r="CH52" s="322"/>
      <c r="CI52" s="322"/>
      <c r="CJ52" s="322"/>
      <c r="CK52" s="322"/>
      <c r="CL52" s="322">
        <f>$C52*CK52</f>
        <v>0</v>
      </c>
      <c r="CM52" s="322"/>
      <c r="CN52" s="322"/>
      <c r="CO52" s="322"/>
      <c r="CP52" s="322"/>
      <c r="CQ52" s="322"/>
      <c r="CR52" s="322"/>
      <c r="CS52" s="322"/>
      <c r="CT52" s="322">
        <f>$C52*CS52</f>
        <v>0</v>
      </c>
      <c r="CU52" s="322"/>
      <c r="CV52" s="322"/>
      <c r="CW52" s="322"/>
      <c r="CX52" s="322"/>
      <c r="CY52" s="322"/>
      <c r="CZ52" s="322"/>
      <c r="DA52" s="322"/>
      <c r="DB52" s="322">
        <f>$C52*DA52</f>
        <v>0</v>
      </c>
      <c r="DC52" s="322">
        <f t="shared" si="44"/>
        <v>0</v>
      </c>
      <c r="DD52" s="322">
        <f t="shared" si="44"/>
        <v>0</v>
      </c>
      <c r="DE52" s="436"/>
      <c r="DF52" s="436"/>
      <c r="DG52" s="436"/>
      <c r="DH52" s="436"/>
      <c r="DI52" s="436"/>
      <c r="DJ52" s="436"/>
      <c r="DK52" s="436"/>
      <c r="DL52" s="322">
        <f>$C52*DK52</f>
        <v>0</v>
      </c>
      <c r="DM52" s="436"/>
      <c r="DN52" s="436"/>
      <c r="DO52" s="436"/>
      <c r="DP52" s="436"/>
      <c r="DQ52" s="436"/>
      <c r="DR52" s="436"/>
      <c r="DS52" s="436"/>
      <c r="DT52" s="322">
        <f>$C52*DS52</f>
        <v>0</v>
      </c>
      <c r="DU52" s="436"/>
      <c r="DV52" s="436"/>
      <c r="DW52" s="436"/>
      <c r="DX52" s="436"/>
      <c r="DY52" s="436"/>
      <c r="DZ52" s="436"/>
      <c r="EA52" s="436"/>
      <c r="EB52" s="322">
        <f>$C52*EA52</f>
        <v>0</v>
      </c>
      <c r="EC52" s="322">
        <f t="shared" si="45"/>
        <v>0</v>
      </c>
      <c r="ED52" s="322">
        <f t="shared" si="45"/>
        <v>0</v>
      </c>
      <c r="EE52" s="436"/>
      <c r="EF52" s="436"/>
      <c r="EG52" s="436"/>
      <c r="EH52" s="436"/>
      <c r="EI52" s="436"/>
      <c r="EJ52" s="436"/>
      <c r="EK52" s="436"/>
      <c r="EL52" s="436"/>
      <c r="EM52" s="436"/>
      <c r="EN52" s="436"/>
      <c r="EO52" s="436"/>
      <c r="EP52" s="436"/>
      <c r="EQ52" s="436"/>
      <c r="ER52" s="436"/>
      <c r="ES52" s="436"/>
      <c r="ET52" s="436"/>
      <c r="EU52" s="436"/>
      <c r="EV52" s="436"/>
      <c r="EW52" s="436"/>
      <c r="EX52" s="436"/>
      <c r="EY52" s="436"/>
      <c r="EZ52" s="436"/>
      <c r="FA52" s="436"/>
      <c r="FB52" s="436"/>
      <c r="FC52" s="322">
        <f t="shared" si="46"/>
        <v>0</v>
      </c>
      <c r="FD52" s="322">
        <f t="shared" si="46"/>
        <v>0</v>
      </c>
      <c r="FE52" s="436"/>
      <c r="FF52" s="436"/>
      <c r="FG52" s="436"/>
      <c r="FH52" s="436"/>
      <c r="FI52" s="436"/>
      <c r="FJ52" s="436"/>
      <c r="FK52" s="436"/>
      <c r="FL52" s="436"/>
      <c r="FM52" s="436"/>
      <c r="FN52" s="436"/>
      <c r="FO52" s="436"/>
      <c r="FP52" s="436"/>
      <c r="FQ52" s="436"/>
      <c r="FR52" s="436"/>
      <c r="FS52" s="436"/>
      <c r="FT52" s="436"/>
      <c r="FU52" s="436"/>
      <c r="FV52" s="436"/>
      <c r="FW52" s="436"/>
      <c r="FX52" s="436"/>
      <c r="FY52" s="436"/>
      <c r="FZ52" s="436"/>
      <c r="GA52" s="436"/>
      <c r="GB52" s="436"/>
      <c r="GC52" s="322">
        <f t="shared" si="47"/>
        <v>0</v>
      </c>
      <c r="GD52" s="322">
        <f t="shared" si="48"/>
        <v>0</v>
      </c>
      <c r="GE52" s="436"/>
      <c r="GF52" s="436"/>
      <c r="GG52" s="436"/>
      <c r="GH52" s="436"/>
      <c r="GI52" s="436"/>
      <c r="GJ52" s="436"/>
      <c r="GK52" s="436"/>
      <c r="GL52" s="436"/>
      <c r="GM52" s="436"/>
      <c r="GN52" s="436"/>
      <c r="GO52" s="436"/>
      <c r="GP52" s="436"/>
      <c r="GQ52" s="436"/>
      <c r="GR52" s="436"/>
      <c r="GS52" s="436"/>
      <c r="GT52" s="436"/>
      <c r="GU52" s="436"/>
      <c r="GV52" s="436"/>
      <c r="GW52" s="436"/>
      <c r="GX52" s="436"/>
      <c r="GY52" s="436"/>
      <c r="GZ52" s="436"/>
      <c r="HA52" s="436"/>
      <c r="HB52" s="436"/>
      <c r="HC52" s="322">
        <f t="shared" si="49"/>
        <v>0</v>
      </c>
      <c r="HD52" s="322">
        <f t="shared" si="49"/>
        <v>0</v>
      </c>
      <c r="HE52" s="322">
        <f t="shared" si="50"/>
        <v>1</v>
      </c>
      <c r="HF52" s="322">
        <f t="shared" si="51"/>
        <v>400000000</v>
      </c>
      <c r="HH52" s="448"/>
      <c r="HI52" s="449"/>
      <c r="HJ52" s="448"/>
    </row>
    <row r="53" spans="2:218" x14ac:dyDescent="0.2">
      <c r="B53" s="313" t="s">
        <v>425</v>
      </c>
      <c r="C53" s="322">
        <v>540000000</v>
      </c>
      <c r="D53" s="447">
        <v>0</v>
      </c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>
        <f t="shared" si="52"/>
        <v>0</v>
      </c>
      <c r="AD53" s="322">
        <f t="shared" si="52"/>
        <v>0</v>
      </c>
      <c r="AE53" s="322"/>
      <c r="AF53" s="322"/>
      <c r="AG53" s="322"/>
      <c r="AH53" s="322"/>
      <c r="AI53" s="322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>
        <f>$C$54*AS53</f>
        <v>0</v>
      </c>
      <c r="AU53" s="322"/>
      <c r="AV53" s="322"/>
      <c r="AW53" s="322"/>
      <c r="AX53" s="322"/>
      <c r="AY53" s="322"/>
      <c r="AZ53" s="322"/>
      <c r="BA53" s="322"/>
      <c r="BB53" s="322"/>
      <c r="BC53" s="322">
        <f t="shared" si="53"/>
        <v>0</v>
      </c>
      <c r="BD53" s="322">
        <f t="shared" si="53"/>
        <v>0</v>
      </c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>
        <f>$C53*BS53</f>
        <v>0</v>
      </c>
      <c r="BU53" s="322"/>
      <c r="BV53" s="322"/>
      <c r="BW53" s="322"/>
      <c r="BX53" s="322"/>
      <c r="BY53" s="322"/>
      <c r="BZ53" s="322"/>
      <c r="CA53" s="322">
        <v>0</v>
      </c>
      <c r="CB53" s="322">
        <f>$C53*CA53</f>
        <v>0</v>
      </c>
      <c r="CC53" s="322">
        <f t="shared" si="54"/>
        <v>0</v>
      </c>
      <c r="CD53" s="322">
        <f t="shared" si="54"/>
        <v>0</v>
      </c>
      <c r="CE53" s="322"/>
      <c r="CF53" s="322"/>
      <c r="CG53" s="322"/>
      <c r="CH53" s="322"/>
      <c r="CI53" s="322"/>
      <c r="CJ53" s="322"/>
      <c r="CK53" s="322"/>
      <c r="CL53" s="322">
        <f>$C53*CK53</f>
        <v>0</v>
      </c>
      <c r="CM53" s="322"/>
      <c r="CN53" s="322"/>
      <c r="CO53" s="322"/>
      <c r="CP53" s="322"/>
      <c r="CQ53" s="322"/>
      <c r="CR53" s="322"/>
      <c r="CS53" s="322"/>
      <c r="CT53" s="322">
        <f>$C53*CS53</f>
        <v>0</v>
      </c>
      <c r="CU53" s="322"/>
      <c r="CV53" s="322"/>
      <c r="CW53" s="322"/>
      <c r="CX53" s="322"/>
      <c r="CY53" s="322"/>
      <c r="CZ53" s="322"/>
      <c r="DA53" s="322"/>
      <c r="DB53" s="322">
        <f>$C53*DA53</f>
        <v>0</v>
      </c>
      <c r="DC53" s="322">
        <f t="shared" si="44"/>
        <v>0</v>
      </c>
      <c r="DD53" s="322">
        <f t="shared" si="44"/>
        <v>0</v>
      </c>
      <c r="DE53" s="436"/>
      <c r="DF53" s="436"/>
      <c r="DG53" s="436"/>
      <c r="DH53" s="436"/>
      <c r="DI53" s="436"/>
      <c r="DJ53" s="436"/>
      <c r="DK53" s="436"/>
      <c r="DL53" s="322">
        <f>$C53*DK53</f>
        <v>0</v>
      </c>
      <c r="DM53" s="436"/>
      <c r="DN53" s="436"/>
      <c r="DO53" s="436"/>
      <c r="DP53" s="436"/>
      <c r="DQ53" s="436"/>
      <c r="DR53" s="436"/>
      <c r="DS53" s="436"/>
      <c r="DT53" s="322">
        <f>$C53*DS53</f>
        <v>0</v>
      </c>
      <c r="DU53" s="436"/>
      <c r="DV53" s="436"/>
      <c r="DW53" s="436"/>
      <c r="DX53" s="436"/>
      <c r="DY53" s="436"/>
      <c r="DZ53" s="436"/>
      <c r="EA53" s="436"/>
      <c r="EB53" s="436"/>
      <c r="EC53" s="322">
        <f t="shared" si="45"/>
        <v>0</v>
      </c>
      <c r="ED53" s="322">
        <f t="shared" si="45"/>
        <v>0</v>
      </c>
      <c r="EE53" s="436"/>
      <c r="EF53" s="436"/>
      <c r="EG53" s="436"/>
      <c r="EH53" s="436"/>
      <c r="EI53" s="436"/>
      <c r="EJ53" s="436"/>
      <c r="EK53" s="436"/>
      <c r="EL53" s="322">
        <f>$C53*EK53</f>
        <v>0</v>
      </c>
      <c r="EM53" s="436"/>
      <c r="EN53" s="436"/>
      <c r="EO53" s="436"/>
      <c r="EP53" s="436"/>
      <c r="EQ53" s="436"/>
      <c r="ER53" s="436"/>
      <c r="ES53" s="436"/>
      <c r="ET53" s="436"/>
      <c r="EU53" s="436"/>
      <c r="EV53" s="436"/>
      <c r="EW53" s="436"/>
      <c r="EX53" s="436"/>
      <c r="EY53" s="436"/>
      <c r="EZ53" s="436"/>
      <c r="FA53" s="436"/>
      <c r="FB53" s="436"/>
      <c r="FC53" s="322">
        <f t="shared" si="46"/>
        <v>0</v>
      </c>
      <c r="FD53" s="322">
        <f t="shared" si="46"/>
        <v>0</v>
      </c>
      <c r="FE53" s="436"/>
      <c r="FF53" s="436"/>
      <c r="FG53" s="436"/>
      <c r="FH53" s="436"/>
      <c r="FI53" s="436"/>
      <c r="FJ53" s="436"/>
      <c r="FK53" s="436"/>
      <c r="FL53" s="322">
        <f>$C53*FK53</f>
        <v>0</v>
      </c>
      <c r="FM53" s="436"/>
      <c r="FN53" s="436"/>
      <c r="FO53" s="436"/>
      <c r="FP53" s="436"/>
      <c r="FQ53" s="436"/>
      <c r="FR53" s="436"/>
      <c r="FS53" s="436"/>
      <c r="FT53" s="436"/>
      <c r="FU53" s="436"/>
      <c r="FV53" s="436"/>
      <c r="FW53" s="436"/>
      <c r="FX53" s="436"/>
      <c r="FY53" s="436"/>
      <c r="FZ53" s="436"/>
      <c r="GA53" s="436"/>
      <c r="GB53" s="436"/>
      <c r="GC53" s="322">
        <f t="shared" si="47"/>
        <v>0</v>
      </c>
      <c r="GD53" s="322">
        <f t="shared" si="48"/>
        <v>0</v>
      </c>
      <c r="GE53" s="436"/>
      <c r="GF53" s="436"/>
      <c r="GG53" s="436"/>
      <c r="GH53" s="436"/>
      <c r="GI53" s="436"/>
      <c r="GJ53" s="436"/>
      <c r="GK53" s="436"/>
      <c r="GL53" s="322">
        <f>$C53*GK53</f>
        <v>0</v>
      </c>
      <c r="GM53" s="436"/>
      <c r="GN53" s="436"/>
      <c r="GO53" s="436"/>
      <c r="GP53" s="436"/>
      <c r="GQ53" s="436"/>
      <c r="GR53" s="436"/>
      <c r="GS53" s="436"/>
      <c r="GT53" s="436"/>
      <c r="GU53" s="436"/>
      <c r="GV53" s="436"/>
      <c r="GW53" s="436"/>
      <c r="GX53" s="436"/>
      <c r="GY53" s="436"/>
      <c r="GZ53" s="436"/>
      <c r="HA53" s="436"/>
      <c r="HB53" s="436"/>
      <c r="HC53" s="322">
        <f t="shared" si="49"/>
        <v>0</v>
      </c>
      <c r="HD53" s="322">
        <f t="shared" si="49"/>
        <v>0</v>
      </c>
      <c r="HE53" s="322">
        <f t="shared" si="50"/>
        <v>0</v>
      </c>
      <c r="HF53" s="322">
        <f t="shared" si="51"/>
        <v>0</v>
      </c>
      <c r="HH53" s="448"/>
      <c r="HI53" s="449"/>
      <c r="HJ53" s="448"/>
    </row>
    <row r="54" spans="2:218" x14ac:dyDescent="0.2">
      <c r="B54" s="313" t="s">
        <v>426</v>
      </c>
      <c r="C54" s="322">
        <v>540000000</v>
      </c>
      <c r="D54" s="447"/>
      <c r="E54" s="322"/>
      <c r="F54" s="322"/>
      <c r="G54" s="322"/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  <c r="AA54" s="322"/>
      <c r="AB54" s="322"/>
      <c r="AC54" s="322">
        <f t="shared" si="52"/>
        <v>0</v>
      </c>
      <c r="AD54" s="322">
        <f t="shared" si="52"/>
        <v>0</v>
      </c>
      <c r="AE54" s="322"/>
      <c r="AF54" s="322"/>
      <c r="AG54" s="322"/>
      <c r="AH54" s="322"/>
      <c r="AI54" s="322"/>
      <c r="AJ54" s="322"/>
      <c r="AK54" s="322"/>
      <c r="AL54" s="322"/>
      <c r="AM54" s="322"/>
      <c r="AN54" s="322"/>
      <c r="AO54" s="322"/>
      <c r="AP54" s="322"/>
      <c r="AQ54" s="322"/>
      <c r="AR54" s="322"/>
      <c r="AS54" s="322"/>
      <c r="AT54" s="322"/>
      <c r="AU54" s="322"/>
      <c r="AV54" s="322"/>
      <c r="AW54" s="322"/>
      <c r="AX54" s="322"/>
      <c r="AY54" s="322"/>
      <c r="AZ54" s="322"/>
      <c r="BA54" s="322"/>
      <c r="BB54" s="322"/>
      <c r="BC54" s="322">
        <f t="shared" si="53"/>
        <v>0</v>
      </c>
      <c r="BD54" s="322">
        <f t="shared" si="53"/>
        <v>0</v>
      </c>
      <c r="BE54" s="322"/>
      <c r="BF54" s="322"/>
      <c r="BG54" s="322"/>
      <c r="BH54" s="322"/>
      <c r="BI54" s="322"/>
      <c r="BJ54" s="322"/>
      <c r="BK54" s="322"/>
      <c r="BL54" s="322"/>
      <c r="BM54" s="322"/>
      <c r="BN54" s="322"/>
      <c r="BO54" s="322"/>
      <c r="BP54" s="322"/>
      <c r="BQ54" s="322"/>
      <c r="BR54" s="322"/>
      <c r="BS54" s="322"/>
      <c r="BT54" s="322"/>
      <c r="BU54" s="322"/>
      <c r="BV54" s="322"/>
      <c r="BW54" s="322"/>
      <c r="BX54" s="322"/>
      <c r="BY54" s="322"/>
      <c r="BZ54" s="322"/>
      <c r="CA54" s="322"/>
      <c r="CB54" s="322"/>
      <c r="CC54" s="322">
        <f t="shared" si="54"/>
        <v>0</v>
      </c>
      <c r="CD54" s="322">
        <f t="shared" si="54"/>
        <v>0</v>
      </c>
      <c r="CE54" s="322"/>
      <c r="CF54" s="322"/>
      <c r="CG54" s="322"/>
      <c r="CH54" s="322"/>
      <c r="CI54" s="322"/>
      <c r="CJ54" s="322"/>
      <c r="CK54" s="322"/>
      <c r="CL54" s="322"/>
      <c r="CM54" s="322"/>
      <c r="CN54" s="322"/>
      <c r="CO54" s="322"/>
      <c r="CP54" s="322"/>
      <c r="CQ54" s="322"/>
      <c r="CR54" s="322"/>
      <c r="CS54" s="322"/>
      <c r="CT54" s="322"/>
      <c r="CU54" s="322"/>
      <c r="CV54" s="322"/>
      <c r="CW54" s="322"/>
      <c r="CX54" s="322"/>
      <c r="CY54" s="322"/>
      <c r="CZ54" s="322"/>
      <c r="DA54" s="322"/>
      <c r="DB54" s="322"/>
      <c r="DC54" s="322">
        <f t="shared" si="44"/>
        <v>0</v>
      </c>
      <c r="DD54" s="322">
        <f t="shared" si="44"/>
        <v>0</v>
      </c>
      <c r="DE54" s="436"/>
      <c r="DF54" s="436"/>
      <c r="DG54" s="436"/>
      <c r="DH54" s="436"/>
      <c r="DI54" s="436"/>
      <c r="DJ54" s="436"/>
      <c r="DK54" s="436"/>
      <c r="DL54" s="436"/>
      <c r="DM54" s="436"/>
      <c r="DN54" s="436"/>
      <c r="DO54" s="436"/>
      <c r="DP54" s="436"/>
      <c r="DQ54" s="436"/>
      <c r="DR54" s="436"/>
      <c r="DS54" s="436"/>
      <c r="DT54" s="436"/>
      <c r="DU54" s="436"/>
      <c r="DV54" s="436"/>
      <c r="DW54" s="436"/>
      <c r="DX54" s="436"/>
      <c r="DY54" s="436"/>
      <c r="DZ54" s="436"/>
      <c r="EA54" s="436"/>
      <c r="EB54" s="436"/>
      <c r="EC54" s="322">
        <f t="shared" si="45"/>
        <v>0</v>
      </c>
      <c r="ED54" s="322">
        <f t="shared" si="45"/>
        <v>0</v>
      </c>
      <c r="EE54" s="436"/>
      <c r="EF54" s="436"/>
      <c r="EG54" s="436"/>
      <c r="EH54" s="436"/>
      <c r="EI54" s="436"/>
      <c r="EJ54" s="436"/>
      <c r="EK54" s="436"/>
      <c r="EL54" s="322">
        <f>$C54*EK54</f>
        <v>0</v>
      </c>
      <c r="EM54" s="436"/>
      <c r="EN54" s="436"/>
      <c r="EO54" s="436"/>
      <c r="EP54" s="436"/>
      <c r="EQ54" s="436"/>
      <c r="ER54" s="436"/>
      <c r="ES54" s="436"/>
      <c r="ET54" s="436"/>
      <c r="EU54" s="436"/>
      <c r="EV54" s="436"/>
      <c r="EW54" s="436"/>
      <c r="EX54" s="436"/>
      <c r="EY54" s="436"/>
      <c r="EZ54" s="436"/>
      <c r="FA54" s="436"/>
      <c r="FB54" s="436"/>
      <c r="FC54" s="322">
        <f t="shared" si="46"/>
        <v>0</v>
      </c>
      <c r="FD54" s="322">
        <f t="shared" si="46"/>
        <v>0</v>
      </c>
      <c r="FE54" s="436"/>
      <c r="FF54" s="436"/>
      <c r="FG54" s="436"/>
      <c r="FH54" s="436"/>
      <c r="FI54" s="436"/>
      <c r="FJ54" s="436"/>
      <c r="FK54" s="436"/>
      <c r="FL54" s="436"/>
      <c r="FM54" s="436"/>
      <c r="FN54" s="436"/>
      <c r="FO54" s="436"/>
      <c r="FP54" s="436"/>
      <c r="FQ54" s="436"/>
      <c r="FR54" s="436"/>
      <c r="FS54" s="436"/>
      <c r="FT54" s="436"/>
      <c r="FU54" s="436"/>
      <c r="FV54" s="436"/>
      <c r="FW54" s="436"/>
      <c r="FX54" s="436"/>
      <c r="FY54" s="436"/>
      <c r="FZ54" s="436"/>
      <c r="GA54" s="436"/>
      <c r="GB54" s="436"/>
      <c r="GC54" s="322">
        <f t="shared" si="47"/>
        <v>0</v>
      </c>
      <c r="GD54" s="322">
        <f t="shared" si="48"/>
        <v>0</v>
      </c>
      <c r="GE54" s="436"/>
      <c r="GF54" s="436"/>
      <c r="GG54" s="436"/>
      <c r="GH54" s="436"/>
      <c r="GI54" s="436"/>
      <c r="GJ54" s="436"/>
      <c r="GK54" s="436"/>
      <c r="GL54" s="436"/>
      <c r="GM54" s="436"/>
      <c r="GN54" s="436"/>
      <c r="GO54" s="436"/>
      <c r="GP54" s="436"/>
      <c r="GQ54" s="436"/>
      <c r="GR54" s="436"/>
      <c r="GS54" s="436"/>
      <c r="GT54" s="436"/>
      <c r="GU54" s="436"/>
      <c r="GV54" s="436"/>
      <c r="GW54" s="436"/>
      <c r="GX54" s="436"/>
      <c r="GY54" s="436"/>
      <c r="GZ54" s="436"/>
      <c r="HA54" s="436"/>
      <c r="HB54" s="436"/>
      <c r="HC54" s="322">
        <f t="shared" si="49"/>
        <v>0</v>
      </c>
      <c r="HD54" s="322">
        <f t="shared" si="49"/>
        <v>0</v>
      </c>
      <c r="HE54" s="322">
        <f t="shared" si="50"/>
        <v>0</v>
      </c>
      <c r="HF54" s="322">
        <f t="shared" si="51"/>
        <v>0</v>
      </c>
      <c r="HH54" s="448"/>
      <c r="HI54" s="449"/>
      <c r="HJ54" s="448"/>
    </row>
    <row r="55" spans="2:218" x14ac:dyDescent="0.2">
      <c r="B55" s="313" t="s">
        <v>427</v>
      </c>
      <c r="C55" s="322">
        <v>306000000</v>
      </c>
      <c r="D55" s="447">
        <v>0</v>
      </c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  <c r="AA55" s="322"/>
      <c r="AB55" s="322"/>
      <c r="AC55" s="322">
        <f t="shared" si="52"/>
        <v>0</v>
      </c>
      <c r="AD55" s="322">
        <f t="shared" si="52"/>
        <v>0</v>
      </c>
      <c r="AE55" s="322"/>
      <c r="AF55" s="322"/>
      <c r="AG55" s="322"/>
      <c r="AH55" s="322"/>
      <c r="AI55" s="322"/>
      <c r="AJ55" s="322"/>
      <c r="AK55" s="322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>
        <f t="shared" si="53"/>
        <v>0</v>
      </c>
      <c r="BD55" s="322">
        <f t="shared" si="53"/>
        <v>0</v>
      </c>
      <c r="BE55" s="322"/>
      <c r="BF55" s="322"/>
      <c r="BG55" s="322"/>
      <c r="BH55" s="322"/>
      <c r="BI55" s="322"/>
      <c r="BJ55" s="322"/>
      <c r="BK55" s="322"/>
      <c r="BL55" s="322"/>
      <c r="BM55" s="322"/>
      <c r="BN55" s="322"/>
      <c r="BO55" s="322"/>
      <c r="BP55" s="322"/>
      <c r="BQ55" s="322"/>
      <c r="BR55" s="322"/>
      <c r="BS55" s="322"/>
      <c r="BT55" s="322"/>
      <c r="BU55" s="322"/>
      <c r="BV55" s="322"/>
      <c r="BW55" s="322"/>
      <c r="BX55" s="322"/>
      <c r="BY55" s="322"/>
      <c r="BZ55" s="322"/>
      <c r="CA55" s="322"/>
      <c r="CB55" s="322"/>
      <c r="CC55" s="322">
        <f t="shared" si="54"/>
        <v>0</v>
      </c>
      <c r="CD55" s="322">
        <f t="shared" si="54"/>
        <v>0</v>
      </c>
      <c r="CE55" s="322"/>
      <c r="CF55" s="322"/>
      <c r="CG55" s="322"/>
      <c r="CH55" s="322"/>
      <c r="CI55" s="322"/>
      <c r="CJ55" s="322"/>
      <c r="CK55" s="322"/>
      <c r="CL55" s="322"/>
      <c r="CM55" s="322"/>
      <c r="CN55" s="322"/>
      <c r="CO55" s="322"/>
      <c r="CP55" s="322"/>
      <c r="CQ55" s="322"/>
      <c r="CR55" s="322"/>
      <c r="CS55" s="322"/>
      <c r="CT55" s="322"/>
      <c r="CU55" s="322"/>
      <c r="CV55" s="322"/>
      <c r="CW55" s="322"/>
      <c r="CX55" s="322"/>
      <c r="CY55" s="322"/>
      <c r="CZ55" s="322"/>
      <c r="DA55" s="322"/>
      <c r="DB55" s="322"/>
      <c r="DC55" s="322">
        <f t="shared" si="44"/>
        <v>0</v>
      </c>
      <c r="DD55" s="322">
        <f t="shared" si="44"/>
        <v>0</v>
      </c>
      <c r="DE55" s="436"/>
      <c r="DF55" s="436"/>
      <c r="DG55" s="436"/>
      <c r="DH55" s="436"/>
      <c r="DI55" s="436"/>
      <c r="DJ55" s="436"/>
      <c r="DK55" s="436"/>
      <c r="DL55" s="436"/>
      <c r="DM55" s="436"/>
      <c r="DN55" s="436"/>
      <c r="DO55" s="436"/>
      <c r="DP55" s="436"/>
      <c r="DQ55" s="436"/>
      <c r="DR55" s="436"/>
      <c r="DS55" s="436"/>
      <c r="DT55" s="436"/>
      <c r="DU55" s="436"/>
      <c r="DV55" s="436"/>
      <c r="DW55" s="436"/>
      <c r="DX55" s="436"/>
      <c r="DY55" s="436"/>
      <c r="DZ55" s="436"/>
      <c r="EA55" s="436"/>
      <c r="EB55" s="322">
        <f>$C55*EA55</f>
        <v>0</v>
      </c>
      <c r="EC55" s="322">
        <f t="shared" si="45"/>
        <v>0</v>
      </c>
      <c r="ED55" s="322">
        <f t="shared" si="45"/>
        <v>0</v>
      </c>
      <c r="EE55" s="436"/>
      <c r="EF55" s="436"/>
      <c r="EG55" s="436"/>
      <c r="EH55" s="436"/>
      <c r="EI55" s="436"/>
      <c r="EJ55" s="436"/>
      <c r="EK55" s="436"/>
      <c r="EL55" s="436"/>
      <c r="EM55" s="436"/>
      <c r="EN55" s="436"/>
      <c r="EO55" s="436"/>
      <c r="EP55" s="436"/>
      <c r="EQ55" s="436"/>
      <c r="ER55" s="436"/>
      <c r="ES55" s="436"/>
      <c r="ET55" s="322">
        <f>$C55*ES55</f>
        <v>0</v>
      </c>
      <c r="EU55" s="436"/>
      <c r="EV55" s="436"/>
      <c r="EW55" s="436"/>
      <c r="EX55" s="436"/>
      <c r="EY55" s="436"/>
      <c r="EZ55" s="436"/>
      <c r="FA55" s="436"/>
      <c r="FB55" s="436"/>
      <c r="FC55" s="322">
        <f t="shared" si="46"/>
        <v>0</v>
      </c>
      <c r="FD55" s="322">
        <f t="shared" si="46"/>
        <v>0</v>
      </c>
      <c r="FE55" s="436"/>
      <c r="FF55" s="436"/>
      <c r="FG55" s="436"/>
      <c r="FH55" s="436"/>
      <c r="FI55" s="436"/>
      <c r="FJ55" s="436"/>
      <c r="FK55" s="436"/>
      <c r="FL55" s="436"/>
      <c r="FM55" s="436"/>
      <c r="FN55" s="436"/>
      <c r="FO55" s="436"/>
      <c r="FP55" s="436"/>
      <c r="FQ55" s="436"/>
      <c r="FR55" s="436"/>
      <c r="FS55" s="436"/>
      <c r="FT55" s="322">
        <f>$C55*FS55</f>
        <v>0</v>
      </c>
      <c r="FU55" s="436"/>
      <c r="FV55" s="436"/>
      <c r="FW55" s="436"/>
      <c r="FX55" s="436"/>
      <c r="FY55" s="436"/>
      <c r="FZ55" s="436"/>
      <c r="GA55" s="436"/>
      <c r="GB55" s="436"/>
      <c r="GC55" s="322">
        <f t="shared" si="47"/>
        <v>0</v>
      </c>
      <c r="GD55" s="322">
        <f t="shared" si="48"/>
        <v>0</v>
      </c>
      <c r="GE55" s="436"/>
      <c r="GF55" s="436"/>
      <c r="GG55" s="436"/>
      <c r="GH55" s="436"/>
      <c r="GI55" s="436"/>
      <c r="GJ55" s="436"/>
      <c r="GK55" s="436"/>
      <c r="GL55" s="436"/>
      <c r="GM55" s="436"/>
      <c r="GN55" s="436"/>
      <c r="GO55" s="436"/>
      <c r="GP55" s="436"/>
      <c r="GQ55" s="436"/>
      <c r="GR55" s="436"/>
      <c r="GS55" s="436"/>
      <c r="GT55" s="322">
        <f>$C55*GS55</f>
        <v>0</v>
      </c>
      <c r="GU55" s="436"/>
      <c r="GV55" s="436"/>
      <c r="GW55" s="436"/>
      <c r="GX55" s="436"/>
      <c r="GY55" s="436"/>
      <c r="GZ55" s="436"/>
      <c r="HA55" s="436"/>
      <c r="HB55" s="436"/>
      <c r="HC55" s="322">
        <f t="shared" si="49"/>
        <v>0</v>
      </c>
      <c r="HD55" s="322">
        <f t="shared" si="49"/>
        <v>0</v>
      </c>
      <c r="HE55" s="322">
        <f t="shared" si="50"/>
        <v>0</v>
      </c>
      <c r="HF55" s="322">
        <f t="shared" si="51"/>
        <v>0</v>
      </c>
      <c r="HH55" s="448"/>
      <c r="HI55" s="449"/>
      <c r="HJ55" s="448"/>
    </row>
    <row r="56" spans="2:218" x14ac:dyDescent="0.2">
      <c r="B56" s="313" t="s">
        <v>428</v>
      </c>
      <c r="C56" s="322">
        <v>780000000</v>
      </c>
      <c r="D56" s="447"/>
      <c r="E56" s="322"/>
      <c r="F56" s="322"/>
      <c r="G56" s="322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  <c r="AA56" s="322"/>
      <c r="AB56" s="322"/>
      <c r="AC56" s="322">
        <f t="shared" si="52"/>
        <v>0</v>
      </c>
      <c r="AD56" s="322">
        <f t="shared" si="52"/>
        <v>0</v>
      </c>
      <c r="AE56" s="322"/>
      <c r="AF56" s="322"/>
      <c r="AG56" s="322"/>
      <c r="AH56" s="322"/>
      <c r="AI56" s="322"/>
      <c r="AJ56" s="322"/>
      <c r="AK56" s="322"/>
      <c r="AL56" s="322"/>
      <c r="AM56" s="322"/>
      <c r="AN56" s="322"/>
      <c r="AO56" s="322"/>
      <c r="AP56" s="322"/>
      <c r="AQ56" s="322"/>
      <c r="AR56" s="322"/>
      <c r="AS56" s="322"/>
      <c r="AT56" s="322"/>
      <c r="AU56" s="322"/>
      <c r="AV56" s="322"/>
      <c r="AW56" s="322"/>
      <c r="AX56" s="322"/>
      <c r="AY56" s="322"/>
      <c r="AZ56" s="322"/>
      <c r="BA56" s="322"/>
      <c r="BB56" s="322"/>
      <c r="BC56" s="322">
        <f t="shared" si="53"/>
        <v>0</v>
      </c>
      <c r="BD56" s="322">
        <f t="shared" si="53"/>
        <v>0</v>
      </c>
      <c r="BE56" s="322"/>
      <c r="BF56" s="322"/>
      <c r="BG56" s="322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>
        <f t="shared" si="54"/>
        <v>0</v>
      </c>
      <c r="CD56" s="322">
        <f t="shared" si="54"/>
        <v>0</v>
      </c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  <c r="CX56" s="322"/>
      <c r="CY56" s="322"/>
      <c r="CZ56" s="322"/>
      <c r="DA56" s="322"/>
      <c r="DB56" s="322"/>
      <c r="DC56" s="322">
        <f t="shared" si="44"/>
        <v>0</v>
      </c>
      <c r="DD56" s="322">
        <f t="shared" si="44"/>
        <v>0</v>
      </c>
      <c r="DE56" s="436"/>
      <c r="DF56" s="436"/>
      <c r="DG56" s="436"/>
      <c r="DH56" s="436"/>
      <c r="DI56" s="436"/>
      <c r="DJ56" s="436"/>
      <c r="DK56" s="436"/>
      <c r="DL56" s="436"/>
      <c r="DM56" s="436"/>
      <c r="DN56" s="436"/>
      <c r="DO56" s="436"/>
      <c r="DP56" s="436"/>
      <c r="DQ56" s="436"/>
      <c r="DR56" s="436"/>
      <c r="DS56" s="436"/>
      <c r="DT56" s="436"/>
      <c r="DU56" s="436"/>
      <c r="DV56" s="436"/>
      <c r="DW56" s="436"/>
      <c r="DX56" s="436"/>
      <c r="DY56" s="436"/>
      <c r="DZ56" s="436"/>
      <c r="EA56" s="436"/>
      <c r="EB56" s="436"/>
      <c r="EC56" s="322">
        <f t="shared" si="45"/>
        <v>0</v>
      </c>
      <c r="ED56" s="322">
        <f t="shared" si="45"/>
        <v>0</v>
      </c>
      <c r="EE56" s="436"/>
      <c r="EF56" s="436"/>
      <c r="EG56" s="436"/>
      <c r="EH56" s="436"/>
      <c r="EI56" s="436"/>
      <c r="EJ56" s="436"/>
      <c r="EK56" s="436"/>
      <c r="EL56" s="436"/>
      <c r="EM56" s="436"/>
      <c r="EN56" s="436"/>
      <c r="EO56" s="436"/>
      <c r="EP56" s="436"/>
      <c r="EQ56" s="436"/>
      <c r="ER56" s="436"/>
      <c r="ES56" s="436"/>
      <c r="ET56" s="436"/>
      <c r="EU56" s="436"/>
      <c r="EV56" s="436"/>
      <c r="EW56" s="436"/>
      <c r="EX56" s="436"/>
      <c r="EY56" s="436"/>
      <c r="EZ56" s="436"/>
      <c r="FA56" s="436"/>
      <c r="FB56" s="322">
        <f>$C56*FA56</f>
        <v>0</v>
      </c>
      <c r="FC56" s="322">
        <f t="shared" si="46"/>
        <v>0</v>
      </c>
      <c r="FD56" s="322">
        <f t="shared" si="46"/>
        <v>0</v>
      </c>
      <c r="FE56" s="436"/>
      <c r="FF56" s="436"/>
      <c r="FG56" s="436"/>
      <c r="FH56" s="436"/>
      <c r="FI56" s="436"/>
      <c r="FJ56" s="436"/>
      <c r="FK56" s="436"/>
      <c r="FL56" s="436"/>
      <c r="FM56" s="436"/>
      <c r="FN56" s="436"/>
      <c r="FO56" s="436"/>
      <c r="FP56" s="436"/>
      <c r="FQ56" s="436"/>
      <c r="FR56" s="436"/>
      <c r="FS56" s="436"/>
      <c r="FT56" s="436"/>
      <c r="FU56" s="436"/>
      <c r="FV56" s="436"/>
      <c r="FW56" s="436"/>
      <c r="FX56" s="436"/>
      <c r="FY56" s="436"/>
      <c r="FZ56" s="436"/>
      <c r="GA56" s="436"/>
      <c r="GB56" s="322">
        <f>$C56*GA56</f>
        <v>0</v>
      </c>
      <c r="GC56" s="322">
        <f t="shared" si="47"/>
        <v>0</v>
      </c>
      <c r="GD56" s="322">
        <f t="shared" si="48"/>
        <v>0</v>
      </c>
      <c r="GE56" s="436"/>
      <c r="GF56" s="436"/>
      <c r="GG56" s="436"/>
      <c r="GH56" s="436"/>
      <c r="GI56" s="436"/>
      <c r="GJ56" s="436"/>
      <c r="GK56" s="436"/>
      <c r="GL56" s="436"/>
      <c r="GM56" s="436"/>
      <c r="GN56" s="436"/>
      <c r="GO56" s="436"/>
      <c r="GP56" s="436"/>
      <c r="GQ56" s="436"/>
      <c r="GR56" s="436"/>
      <c r="GS56" s="436"/>
      <c r="GT56" s="436"/>
      <c r="GU56" s="436"/>
      <c r="GV56" s="436"/>
      <c r="GW56" s="436"/>
      <c r="GX56" s="436"/>
      <c r="GY56" s="436"/>
      <c r="GZ56" s="436"/>
      <c r="HA56" s="436"/>
      <c r="HB56" s="322">
        <f>$C56*HA56</f>
        <v>0</v>
      </c>
      <c r="HC56" s="322">
        <f t="shared" si="49"/>
        <v>0</v>
      </c>
      <c r="HD56" s="322">
        <f t="shared" si="49"/>
        <v>0</v>
      </c>
      <c r="HE56" s="322">
        <f t="shared" si="50"/>
        <v>0</v>
      </c>
      <c r="HF56" s="322">
        <f t="shared" si="51"/>
        <v>0</v>
      </c>
      <c r="HH56" s="448"/>
      <c r="HI56" s="449"/>
      <c r="HJ56" s="448"/>
    </row>
    <row r="57" spans="2:218" x14ac:dyDescent="0.2">
      <c r="B57" s="313" t="s">
        <v>429</v>
      </c>
      <c r="C57" s="322">
        <v>600000000</v>
      </c>
      <c r="D57" s="447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>
        <f t="shared" si="52"/>
        <v>0</v>
      </c>
      <c r="AD57" s="322">
        <f t="shared" si="52"/>
        <v>0</v>
      </c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  <c r="AR57" s="322"/>
      <c r="AS57" s="322"/>
      <c r="AT57" s="322"/>
      <c r="AU57" s="322"/>
      <c r="AV57" s="322"/>
      <c r="AW57" s="322"/>
      <c r="AX57" s="322"/>
      <c r="AY57" s="322"/>
      <c r="AZ57" s="322"/>
      <c r="BA57" s="322"/>
      <c r="BB57" s="322"/>
      <c r="BC57" s="322">
        <f t="shared" si="53"/>
        <v>0</v>
      </c>
      <c r="BD57" s="322">
        <f t="shared" si="53"/>
        <v>0</v>
      </c>
      <c r="BE57" s="322"/>
      <c r="BF57" s="322"/>
      <c r="BG57" s="322"/>
      <c r="BH57" s="322"/>
      <c r="BI57" s="322"/>
      <c r="BJ57" s="322"/>
      <c r="BK57" s="322"/>
      <c r="BL57" s="322"/>
      <c r="BM57" s="322"/>
      <c r="BN57" s="322"/>
      <c r="BO57" s="322"/>
      <c r="BP57" s="322"/>
      <c r="BQ57" s="322"/>
      <c r="BR57" s="322"/>
      <c r="BS57" s="322"/>
      <c r="BT57" s="322"/>
      <c r="BU57" s="322"/>
      <c r="BV57" s="322"/>
      <c r="BW57" s="322"/>
      <c r="BX57" s="322"/>
      <c r="BY57" s="322"/>
      <c r="BZ57" s="322"/>
      <c r="CA57" s="322"/>
      <c r="CB57" s="322">
        <f>$C57*CA57</f>
        <v>0</v>
      </c>
      <c r="CC57" s="322">
        <f t="shared" si="54"/>
        <v>0</v>
      </c>
      <c r="CD57" s="322">
        <f t="shared" si="54"/>
        <v>0</v>
      </c>
      <c r="CE57" s="322"/>
      <c r="CF57" s="322"/>
      <c r="CG57" s="322"/>
      <c r="CH57" s="322"/>
      <c r="CI57" s="322"/>
      <c r="CJ57" s="322"/>
      <c r="CK57" s="322"/>
      <c r="CL57" s="322"/>
      <c r="CM57" s="322"/>
      <c r="CN57" s="322"/>
      <c r="CO57" s="322"/>
      <c r="CP57" s="322"/>
      <c r="CQ57" s="322"/>
      <c r="CR57" s="322"/>
      <c r="CS57" s="322"/>
      <c r="CT57" s="322"/>
      <c r="CU57" s="322"/>
      <c r="CV57" s="322"/>
      <c r="CW57" s="322"/>
      <c r="CX57" s="322"/>
      <c r="CY57" s="322"/>
      <c r="CZ57" s="322"/>
      <c r="DA57" s="322"/>
      <c r="DB57" s="322">
        <f>$C57*DA57</f>
        <v>0</v>
      </c>
      <c r="DC57" s="322">
        <f t="shared" si="44"/>
        <v>0</v>
      </c>
      <c r="DD57" s="322">
        <f t="shared" si="44"/>
        <v>0</v>
      </c>
      <c r="DE57" s="436"/>
      <c r="DF57" s="436"/>
      <c r="DG57" s="436"/>
      <c r="DH57" s="436"/>
      <c r="DI57" s="436"/>
      <c r="DJ57" s="436"/>
      <c r="DK57" s="436"/>
      <c r="DL57" s="436"/>
      <c r="DM57" s="436"/>
      <c r="DN57" s="436"/>
      <c r="DO57" s="436"/>
      <c r="DP57" s="436"/>
      <c r="DQ57" s="436"/>
      <c r="DR57" s="436"/>
      <c r="DS57" s="436"/>
      <c r="DT57" s="436"/>
      <c r="DU57" s="436"/>
      <c r="DV57" s="436"/>
      <c r="DW57" s="436"/>
      <c r="DX57" s="436"/>
      <c r="DY57" s="436"/>
      <c r="DZ57" s="436"/>
      <c r="EA57" s="436"/>
      <c r="EB57" s="436"/>
      <c r="EC57" s="322">
        <f t="shared" si="45"/>
        <v>0</v>
      </c>
      <c r="ED57" s="322">
        <f t="shared" si="45"/>
        <v>0</v>
      </c>
      <c r="EE57" s="436"/>
      <c r="EF57" s="436"/>
      <c r="EG57" s="436"/>
      <c r="EH57" s="436"/>
      <c r="EI57" s="436"/>
      <c r="EJ57" s="436"/>
      <c r="EK57" s="436"/>
      <c r="EL57" s="436"/>
      <c r="EM57" s="436"/>
      <c r="EN57" s="436"/>
      <c r="EO57" s="436"/>
      <c r="EP57" s="436"/>
      <c r="EQ57" s="436"/>
      <c r="ER57" s="436"/>
      <c r="ES57" s="436"/>
      <c r="ET57" s="436"/>
      <c r="EU57" s="436"/>
      <c r="EV57" s="436"/>
      <c r="EW57" s="436"/>
      <c r="EX57" s="436"/>
      <c r="EY57" s="436"/>
      <c r="EZ57" s="436"/>
      <c r="FA57" s="436"/>
      <c r="FB57" s="436"/>
      <c r="FC57" s="322">
        <f t="shared" si="46"/>
        <v>0</v>
      </c>
      <c r="FD57" s="322">
        <f t="shared" si="46"/>
        <v>0</v>
      </c>
      <c r="FE57" s="436"/>
      <c r="FF57" s="436"/>
      <c r="FG57" s="436"/>
      <c r="FH57" s="436"/>
      <c r="FI57" s="436"/>
      <c r="FJ57" s="436"/>
      <c r="FK57" s="436"/>
      <c r="FL57" s="436"/>
      <c r="FM57" s="436"/>
      <c r="FN57" s="436"/>
      <c r="FO57" s="436"/>
      <c r="FP57" s="436"/>
      <c r="FQ57" s="436"/>
      <c r="FR57" s="436"/>
      <c r="FS57" s="436"/>
      <c r="FT57" s="436"/>
      <c r="FU57" s="436"/>
      <c r="FV57" s="436"/>
      <c r="FW57" s="436"/>
      <c r="FX57" s="436"/>
      <c r="FY57" s="436"/>
      <c r="FZ57" s="436"/>
      <c r="GA57" s="436"/>
      <c r="GB57" s="436"/>
      <c r="GC57" s="322">
        <f t="shared" si="47"/>
        <v>0</v>
      </c>
      <c r="GD57" s="322">
        <f t="shared" si="48"/>
        <v>0</v>
      </c>
      <c r="GE57" s="436"/>
      <c r="GF57" s="436"/>
      <c r="GG57" s="436"/>
      <c r="GH57" s="436"/>
      <c r="GI57" s="436"/>
      <c r="GJ57" s="436"/>
      <c r="GK57" s="436"/>
      <c r="GL57" s="436"/>
      <c r="GM57" s="436"/>
      <c r="GN57" s="436"/>
      <c r="GO57" s="436"/>
      <c r="GP57" s="436"/>
      <c r="GQ57" s="436"/>
      <c r="GR57" s="436"/>
      <c r="GS57" s="436"/>
      <c r="GT57" s="436"/>
      <c r="GU57" s="436"/>
      <c r="GV57" s="436"/>
      <c r="GW57" s="436"/>
      <c r="GX57" s="436"/>
      <c r="GY57" s="436"/>
      <c r="GZ57" s="436"/>
      <c r="HA57" s="436"/>
      <c r="HB57" s="436"/>
      <c r="HC57" s="322">
        <f t="shared" si="49"/>
        <v>0</v>
      </c>
      <c r="HD57" s="322">
        <f t="shared" si="49"/>
        <v>0</v>
      </c>
      <c r="HE57" s="322">
        <f t="shared" si="50"/>
        <v>0</v>
      </c>
      <c r="HF57" s="322">
        <f t="shared" si="51"/>
        <v>0</v>
      </c>
      <c r="HH57" s="448"/>
      <c r="HI57" s="449"/>
      <c r="HJ57" s="448"/>
    </row>
    <row r="58" spans="2:218" x14ac:dyDescent="0.2">
      <c r="B58" s="313" t="s">
        <v>430</v>
      </c>
      <c r="C58" s="322">
        <v>60000000</v>
      </c>
      <c r="D58" s="447">
        <v>0</v>
      </c>
      <c r="E58" s="322"/>
      <c r="F58" s="322"/>
      <c r="G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  <c r="AA58" s="322"/>
      <c r="AB58" s="322"/>
      <c r="AC58" s="322">
        <f t="shared" si="52"/>
        <v>0</v>
      </c>
      <c r="AD58" s="322">
        <f t="shared" si="52"/>
        <v>0</v>
      </c>
      <c r="AE58" s="322"/>
      <c r="AF58" s="322"/>
      <c r="AG58" s="322"/>
      <c r="AH58" s="322"/>
      <c r="AI58" s="322"/>
      <c r="AJ58" s="322"/>
      <c r="AK58" s="322"/>
      <c r="AL58" s="322"/>
      <c r="AM58" s="322"/>
      <c r="AN58" s="322"/>
      <c r="AO58" s="322"/>
      <c r="AP58" s="322"/>
      <c r="AQ58" s="322"/>
      <c r="AR58" s="322"/>
      <c r="AS58" s="322"/>
      <c r="AT58" s="322"/>
      <c r="AU58" s="322"/>
      <c r="AV58" s="322"/>
      <c r="AW58" s="322"/>
      <c r="AX58" s="322"/>
      <c r="AY58" s="322"/>
      <c r="AZ58" s="322"/>
      <c r="BA58" s="322"/>
      <c r="BB58" s="322"/>
      <c r="BC58" s="322">
        <f t="shared" si="53"/>
        <v>0</v>
      </c>
      <c r="BD58" s="322">
        <f t="shared" si="53"/>
        <v>0</v>
      </c>
      <c r="BE58" s="322"/>
      <c r="BF58" s="322"/>
      <c r="BG58" s="322"/>
      <c r="BH58" s="322"/>
      <c r="BI58" s="322"/>
      <c r="BJ58" s="322"/>
      <c r="BK58" s="322"/>
      <c r="BL58" s="322"/>
      <c r="BM58" s="322"/>
      <c r="BN58" s="322"/>
      <c r="BO58" s="322"/>
      <c r="BP58" s="322"/>
      <c r="BQ58" s="322"/>
      <c r="BR58" s="322"/>
      <c r="BS58" s="322"/>
      <c r="BT58" s="322">
        <f>$C58*BS58</f>
        <v>0</v>
      </c>
      <c r="BU58" s="322"/>
      <c r="BV58" s="322"/>
      <c r="BW58" s="322"/>
      <c r="BX58" s="322"/>
      <c r="BY58" s="322"/>
      <c r="BZ58" s="322"/>
      <c r="CA58" s="322"/>
      <c r="CB58" s="322">
        <f>$C58*CA58</f>
        <v>0</v>
      </c>
      <c r="CC58" s="322">
        <f t="shared" si="54"/>
        <v>0</v>
      </c>
      <c r="CD58" s="322">
        <f t="shared" si="54"/>
        <v>0</v>
      </c>
      <c r="CE58" s="322"/>
      <c r="CF58" s="322"/>
      <c r="CG58" s="322"/>
      <c r="CH58" s="322"/>
      <c r="CI58" s="322"/>
      <c r="CJ58" s="322"/>
      <c r="CK58" s="322"/>
      <c r="CL58" s="322"/>
      <c r="CM58" s="322"/>
      <c r="CN58" s="322"/>
      <c r="CO58" s="322"/>
      <c r="CP58" s="322"/>
      <c r="CQ58" s="322"/>
      <c r="CR58" s="322"/>
      <c r="CS58" s="322"/>
      <c r="CT58" s="322">
        <f>$C58*CS58</f>
        <v>0</v>
      </c>
      <c r="CU58" s="322"/>
      <c r="CV58" s="322"/>
      <c r="CW58" s="322"/>
      <c r="CX58" s="322"/>
      <c r="CY58" s="322"/>
      <c r="CZ58" s="322"/>
      <c r="DA58" s="322"/>
      <c r="DB58" s="322">
        <f>$C58*DA58</f>
        <v>0</v>
      </c>
      <c r="DC58" s="322">
        <f t="shared" si="44"/>
        <v>0</v>
      </c>
      <c r="DD58" s="322">
        <f t="shared" si="44"/>
        <v>0</v>
      </c>
      <c r="DE58" s="436"/>
      <c r="DF58" s="436"/>
      <c r="DG58" s="436"/>
      <c r="DH58" s="436"/>
      <c r="DI58" s="436"/>
      <c r="DJ58" s="436"/>
      <c r="DK58" s="436"/>
      <c r="DL58" s="322">
        <f>$C58*DK58</f>
        <v>0</v>
      </c>
      <c r="DM58" s="436"/>
      <c r="DN58" s="436"/>
      <c r="DO58" s="436"/>
      <c r="DP58" s="436"/>
      <c r="DQ58" s="436"/>
      <c r="DR58" s="436"/>
      <c r="DS58" s="436"/>
      <c r="DT58" s="322">
        <f>$C58*DS58</f>
        <v>0</v>
      </c>
      <c r="DU58" s="436"/>
      <c r="DV58" s="436"/>
      <c r="DW58" s="436"/>
      <c r="DX58" s="436"/>
      <c r="DY58" s="436"/>
      <c r="DZ58" s="436"/>
      <c r="EA58" s="436"/>
      <c r="EB58" s="436"/>
      <c r="EC58" s="322">
        <f t="shared" si="45"/>
        <v>0</v>
      </c>
      <c r="ED58" s="322">
        <f t="shared" si="45"/>
        <v>0</v>
      </c>
      <c r="EE58" s="436"/>
      <c r="EF58" s="436"/>
      <c r="EG58" s="436"/>
      <c r="EH58" s="436"/>
      <c r="EI58" s="436"/>
      <c r="EJ58" s="436"/>
      <c r="EK58" s="436"/>
      <c r="EL58" s="322">
        <f>$C58*EK58</f>
        <v>0</v>
      </c>
      <c r="EM58" s="436"/>
      <c r="EN58" s="436"/>
      <c r="EO58" s="436"/>
      <c r="EP58" s="436"/>
      <c r="EQ58" s="436"/>
      <c r="ER58" s="436"/>
      <c r="ES58" s="436"/>
      <c r="ET58" s="436"/>
      <c r="EU58" s="436"/>
      <c r="EV58" s="436"/>
      <c r="EW58" s="436"/>
      <c r="EX58" s="436"/>
      <c r="EY58" s="436"/>
      <c r="EZ58" s="436"/>
      <c r="FA58" s="436"/>
      <c r="FB58" s="436"/>
      <c r="FC58" s="322">
        <f t="shared" si="46"/>
        <v>0</v>
      </c>
      <c r="FD58" s="322">
        <f t="shared" si="46"/>
        <v>0</v>
      </c>
      <c r="FE58" s="436"/>
      <c r="FF58" s="436"/>
      <c r="FG58" s="436"/>
      <c r="FH58" s="436"/>
      <c r="FI58" s="436"/>
      <c r="FJ58" s="436"/>
      <c r="FK58" s="436"/>
      <c r="FL58" s="436"/>
      <c r="FM58" s="436"/>
      <c r="FN58" s="436"/>
      <c r="FO58" s="436"/>
      <c r="FP58" s="436"/>
      <c r="FQ58" s="436"/>
      <c r="FR58" s="436"/>
      <c r="FS58" s="436"/>
      <c r="FT58" s="436"/>
      <c r="FU58" s="436"/>
      <c r="FV58" s="436"/>
      <c r="FW58" s="436"/>
      <c r="FX58" s="436"/>
      <c r="FY58" s="436"/>
      <c r="FZ58" s="436"/>
      <c r="GA58" s="436"/>
      <c r="GB58" s="436"/>
      <c r="GC58" s="322">
        <f t="shared" si="47"/>
        <v>0</v>
      </c>
      <c r="GD58" s="322">
        <f t="shared" si="48"/>
        <v>0</v>
      </c>
      <c r="GE58" s="436"/>
      <c r="GF58" s="436"/>
      <c r="GG58" s="436"/>
      <c r="GH58" s="436"/>
      <c r="GI58" s="436"/>
      <c r="GJ58" s="436"/>
      <c r="GK58" s="436"/>
      <c r="GL58" s="436"/>
      <c r="GM58" s="436"/>
      <c r="GN58" s="436"/>
      <c r="GO58" s="436"/>
      <c r="GP58" s="436"/>
      <c r="GQ58" s="436"/>
      <c r="GR58" s="436"/>
      <c r="GS58" s="436"/>
      <c r="GT58" s="436"/>
      <c r="GU58" s="436"/>
      <c r="GV58" s="436"/>
      <c r="GW58" s="436"/>
      <c r="GX58" s="436"/>
      <c r="GY58" s="436"/>
      <c r="GZ58" s="436"/>
      <c r="HA58" s="436"/>
      <c r="HB58" s="436"/>
      <c r="HC58" s="322">
        <f t="shared" si="49"/>
        <v>0</v>
      </c>
      <c r="HD58" s="322">
        <f t="shared" si="49"/>
        <v>0</v>
      </c>
      <c r="HE58" s="322">
        <f t="shared" si="50"/>
        <v>0</v>
      </c>
      <c r="HF58" s="322">
        <f t="shared" si="51"/>
        <v>0</v>
      </c>
      <c r="HH58" s="448"/>
      <c r="HI58" s="449"/>
      <c r="HJ58" s="448"/>
    </row>
    <row r="59" spans="2:218" x14ac:dyDescent="0.2">
      <c r="B59" s="313" t="s">
        <v>431</v>
      </c>
      <c r="C59" s="322">
        <v>72000000</v>
      </c>
      <c r="D59" s="447">
        <v>0</v>
      </c>
      <c r="E59" s="322"/>
      <c r="F59" s="322"/>
      <c r="G59" s="322"/>
      <c r="H59" s="322"/>
      <c r="I59" s="322"/>
      <c r="J59" s="322"/>
      <c r="K59" s="322"/>
      <c r="L59" s="322"/>
      <c r="M59" s="322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  <c r="AA59" s="322"/>
      <c r="AB59" s="322"/>
      <c r="AC59" s="322">
        <f t="shared" si="52"/>
        <v>0</v>
      </c>
      <c r="AD59" s="322">
        <f t="shared" si="52"/>
        <v>0</v>
      </c>
      <c r="AE59" s="322"/>
      <c r="AF59" s="322"/>
      <c r="AG59" s="322"/>
      <c r="AH59" s="322"/>
      <c r="AI59" s="322"/>
      <c r="AJ59" s="322"/>
      <c r="AK59" s="322"/>
      <c r="AL59" s="322"/>
      <c r="AM59" s="322"/>
      <c r="AN59" s="322"/>
      <c r="AO59" s="322"/>
      <c r="AP59" s="322"/>
      <c r="AQ59" s="322"/>
      <c r="AR59" s="322"/>
      <c r="AS59" s="322"/>
      <c r="AT59" s="322"/>
      <c r="AU59" s="322"/>
      <c r="AV59" s="322"/>
      <c r="AW59" s="322"/>
      <c r="AX59" s="322"/>
      <c r="AY59" s="322">
        <v>1</v>
      </c>
      <c r="AZ59" s="322">
        <f>C59*AY59</f>
        <v>72000000</v>
      </c>
      <c r="BA59" s="322"/>
      <c r="BB59" s="322"/>
      <c r="BC59" s="322">
        <f t="shared" si="53"/>
        <v>1</v>
      </c>
      <c r="BD59" s="322">
        <f t="shared" si="53"/>
        <v>72000000</v>
      </c>
      <c r="BE59" s="322"/>
      <c r="BF59" s="322"/>
      <c r="BG59" s="322"/>
      <c r="BH59" s="322"/>
      <c r="BI59" s="322"/>
      <c r="BJ59" s="322"/>
      <c r="BK59" s="322"/>
      <c r="BL59" s="322"/>
      <c r="BM59" s="322"/>
      <c r="BN59" s="322"/>
      <c r="BO59" s="322"/>
      <c r="BP59" s="322"/>
      <c r="BQ59" s="322"/>
      <c r="BR59" s="322"/>
      <c r="BS59" s="322"/>
      <c r="BT59" s="322">
        <f>$C59*BS59</f>
        <v>0</v>
      </c>
      <c r="BU59" s="322"/>
      <c r="BV59" s="322"/>
      <c r="BW59" s="322"/>
      <c r="BX59" s="322"/>
      <c r="BY59" s="322"/>
      <c r="BZ59" s="322"/>
      <c r="CA59" s="322"/>
      <c r="CB59" s="322">
        <f>$C59*CA59</f>
        <v>0</v>
      </c>
      <c r="CC59" s="322">
        <f t="shared" si="54"/>
        <v>0</v>
      </c>
      <c r="CD59" s="322">
        <f t="shared" si="54"/>
        <v>0</v>
      </c>
      <c r="CE59" s="322"/>
      <c r="CF59" s="322"/>
      <c r="CG59" s="322"/>
      <c r="CH59" s="322"/>
      <c r="CI59" s="322"/>
      <c r="CJ59" s="322"/>
      <c r="CK59" s="322"/>
      <c r="CL59" s="322">
        <f>$C59*CK59</f>
        <v>0</v>
      </c>
      <c r="CM59" s="322"/>
      <c r="CN59" s="322"/>
      <c r="CO59" s="322"/>
      <c r="CP59" s="322"/>
      <c r="CQ59" s="322"/>
      <c r="CR59" s="322"/>
      <c r="CS59" s="322"/>
      <c r="CT59" s="322">
        <f>$C59*CS59</f>
        <v>0</v>
      </c>
      <c r="CU59" s="322"/>
      <c r="CV59" s="322"/>
      <c r="CW59" s="322"/>
      <c r="CX59" s="322"/>
      <c r="CY59" s="322"/>
      <c r="CZ59" s="322"/>
      <c r="DA59" s="322"/>
      <c r="DB59" s="322">
        <f>$C59*DA59</f>
        <v>0</v>
      </c>
      <c r="DC59" s="322">
        <f t="shared" si="44"/>
        <v>0</v>
      </c>
      <c r="DD59" s="322">
        <f t="shared" si="44"/>
        <v>0</v>
      </c>
      <c r="DE59" s="436"/>
      <c r="DF59" s="436"/>
      <c r="DG59" s="436"/>
      <c r="DH59" s="436"/>
      <c r="DI59" s="436"/>
      <c r="DJ59" s="436"/>
      <c r="DK59" s="436"/>
      <c r="DL59" s="322">
        <f>$C59*DK59</f>
        <v>0</v>
      </c>
      <c r="DM59" s="436"/>
      <c r="DN59" s="436"/>
      <c r="DO59" s="436"/>
      <c r="DP59" s="436"/>
      <c r="DQ59" s="436"/>
      <c r="DR59" s="436"/>
      <c r="DS59" s="436"/>
      <c r="DT59" s="322">
        <f>$C59*DS59</f>
        <v>0</v>
      </c>
      <c r="DU59" s="436"/>
      <c r="DV59" s="436"/>
      <c r="DW59" s="436"/>
      <c r="DX59" s="436"/>
      <c r="DY59" s="436"/>
      <c r="DZ59" s="436"/>
      <c r="EA59" s="436"/>
      <c r="EB59" s="322">
        <f>$C59*EA59</f>
        <v>0</v>
      </c>
      <c r="EC59" s="322">
        <f t="shared" si="45"/>
        <v>0</v>
      </c>
      <c r="ED59" s="322">
        <f t="shared" si="45"/>
        <v>0</v>
      </c>
      <c r="EE59" s="436"/>
      <c r="EF59" s="436"/>
      <c r="EG59" s="436"/>
      <c r="EH59" s="436"/>
      <c r="EI59" s="436"/>
      <c r="EJ59" s="436"/>
      <c r="EK59" s="436"/>
      <c r="EL59" s="322">
        <f>$C59*EK59</f>
        <v>0</v>
      </c>
      <c r="EM59" s="436"/>
      <c r="EN59" s="436"/>
      <c r="EO59" s="436"/>
      <c r="EP59" s="436"/>
      <c r="EQ59" s="436"/>
      <c r="ER59" s="436"/>
      <c r="ES59" s="436"/>
      <c r="ET59" s="436"/>
      <c r="EU59" s="436"/>
      <c r="EV59" s="436"/>
      <c r="EW59" s="436"/>
      <c r="EX59" s="436"/>
      <c r="EY59" s="436"/>
      <c r="EZ59" s="436"/>
      <c r="FA59" s="436"/>
      <c r="FB59" s="436"/>
      <c r="FC59" s="322">
        <f t="shared" si="46"/>
        <v>0</v>
      </c>
      <c r="FD59" s="322">
        <f t="shared" si="46"/>
        <v>0</v>
      </c>
      <c r="FE59" s="436"/>
      <c r="FF59" s="436"/>
      <c r="FG59" s="436"/>
      <c r="FH59" s="436"/>
      <c r="FI59" s="436"/>
      <c r="FJ59" s="436"/>
      <c r="FK59" s="436"/>
      <c r="FL59" s="436"/>
      <c r="FM59" s="436"/>
      <c r="FN59" s="436"/>
      <c r="FO59" s="436"/>
      <c r="FP59" s="436"/>
      <c r="FQ59" s="436"/>
      <c r="FR59" s="436"/>
      <c r="FS59" s="436"/>
      <c r="FT59" s="436"/>
      <c r="FU59" s="436"/>
      <c r="FV59" s="436"/>
      <c r="FW59" s="436"/>
      <c r="FX59" s="436"/>
      <c r="FY59" s="436"/>
      <c r="FZ59" s="436"/>
      <c r="GA59" s="436"/>
      <c r="GB59" s="436"/>
      <c r="GC59" s="322">
        <f t="shared" si="47"/>
        <v>0</v>
      </c>
      <c r="GD59" s="322">
        <f t="shared" si="48"/>
        <v>0</v>
      </c>
      <c r="GE59" s="436"/>
      <c r="GF59" s="436"/>
      <c r="GG59" s="436"/>
      <c r="GH59" s="436"/>
      <c r="GI59" s="436"/>
      <c r="GJ59" s="436"/>
      <c r="GK59" s="436"/>
      <c r="GL59" s="436"/>
      <c r="GM59" s="436"/>
      <c r="GN59" s="436"/>
      <c r="GO59" s="436"/>
      <c r="GP59" s="436"/>
      <c r="GQ59" s="436"/>
      <c r="GR59" s="436"/>
      <c r="GS59" s="436"/>
      <c r="GT59" s="436"/>
      <c r="GU59" s="436"/>
      <c r="GV59" s="436"/>
      <c r="GW59" s="436"/>
      <c r="GX59" s="436"/>
      <c r="GY59" s="436"/>
      <c r="GZ59" s="436"/>
      <c r="HA59" s="436"/>
      <c r="HB59" s="436"/>
      <c r="HC59" s="322">
        <f t="shared" si="49"/>
        <v>0</v>
      </c>
      <c r="HD59" s="322">
        <f t="shared" si="49"/>
        <v>0</v>
      </c>
      <c r="HE59" s="322">
        <f t="shared" si="50"/>
        <v>1</v>
      </c>
      <c r="HF59" s="322">
        <f t="shared" si="51"/>
        <v>72000000</v>
      </c>
      <c r="HH59" s="448"/>
      <c r="HI59" s="449"/>
      <c r="HJ59" s="448"/>
    </row>
    <row r="60" spans="2:218" x14ac:dyDescent="0.2">
      <c r="B60" s="313" t="s">
        <v>432</v>
      </c>
      <c r="C60" s="322">
        <v>450000000</v>
      </c>
      <c r="D60" s="447">
        <v>0</v>
      </c>
      <c r="E60" s="322"/>
      <c r="F60" s="322"/>
      <c r="G60" s="322"/>
      <c r="H60" s="322"/>
      <c r="I60" s="322"/>
      <c r="J60" s="322"/>
      <c r="K60" s="322"/>
      <c r="L60" s="322"/>
      <c r="M60" s="322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  <c r="AA60" s="322"/>
      <c r="AB60" s="322"/>
      <c r="AC60" s="322">
        <f t="shared" si="52"/>
        <v>0</v>
      </c>
      <c r="AD60" s="322">
        <f t="shared" si="52"/>
        <v>0</v>
      </c>
      <c r="AE60" s="322"/>
      <c r="AF60" s="322"/>
      <c r="AG60" s="322"/>
      <c r="AH60" s="322"/>
      <c r="AI60" s="322"/>
      <c r="AJ60" s="322"/>
      <c r="AK60" s="322"/>
      <c r="AL60" s="322"/>
      <c r="AM60" s="322"/>
      <c r="AN60" s="322"/>
      <c r="AO60" s="322"/>
      <c r="AP60" s="322"/>
      <c r="AQ60" s="322"/>
      <c r="AR60" s="322"/>
      <c r="AS60" s="322"/>
      <c r="AT60" s="322"/>
      <c r="AU60" s="322"/>
      <c r="AV60" s="322"/>
      <c r="AW60" s="322"/>
      <c r="AX60" s="322"/>
      <c r="AY60" s="322"/>
      <c r="AZ60" s="322"/>
      <c r="BA60" s="322"/>
      <c r="BB60" s="322"/>
      <c r="BC60" s="322">
        <f t="shared" si="53"/>
        <v>0</v>
      </c>
      <c r="BD60" s="322">
        <f t="shared" si="53"/>
        <v>0</v>
      </c>
      <c r="BE60" s="322"/>
      <c r="BF60" s="322"/>
      <c r="BG60" s="322"/>
      <c r="BH60" s="322"/>
      <c r="BI60" s="322"/>
      <c r="BJ60" s="322"/>
      <c r="BK60" s="322"/>
      <c r="BL60" s="322"/>
      <c r="BM60" s="322"/>
      <c r="BN60" s="322"/>
      <c r="BO60" s="322"/>
      <c r="BP60" s="322"/>
      <c r="BQ60" s="322"/>
      <c r="BR60" s="322"/>
      <c r="BS60" s="322"/>
      <c r="BT60" s="322"/>
      <c r="BU60" s="322"/>
      <c r="BV60" s="322"/>
      <c r="BW60" s="322"/>
      <c r="BX60" s="322"/>
      <c r="BY60" s="322"/>
      <c r="BZ60" s="322"/>
      <c r="CA60" s="322"/>
      <c r="CB60" s="322"/>
      <c r="CC60" s="322">
        <f t="shared" si="54"/>
        <v>0</v>
      </c>
      <c r="CD60" s="322">
        <f t="shared" si="54"/>
        <v>0</v>
      </c>
      <c r="CE60" s="322"/>
      <c r="CF60" s="322"/>
      <c r="CG60" s="322"/>
      <c r="CH60" s="322"/>
      <c r="CI60" s="322"/>
      <c r="CJ60" s="322"/>
      <c r="CK60" s="322"/>
      <c r="CL60" s="322"/>
      <c r="CM60" s="322"/>
      <c r="CN60" s="322"/>
      <c r="CO60" s="322"/>
      <c r="CP60" s="322"/>
      <c r="CQ60" s="322"/>
      <c r="CR60" s="322"/>
      <c r="CS60" s="322"/>
      <c r="CT60" s="322"/>
      <c r="CU60" s="322"/>
      <c r="CV60" s="322"/>
      <c r="CW60" s="322"/>
      <c r="CX60" s="322"/>
      <c r="CY60" s="322"/>
      <c r="CZ60" s="322"/>
      <c r="DA60" s="322"/>
      <c r="DB60" s="322"/>
      <c r="DC60" s="322">
        <f t="shared" si="44"/>
        <v>0</v>
      </c>
      <c r="DD60" s="322">
        <f t="shared" si="44"/>
        <v>0</v>
      </c>
      <c r="DE60" s="436"/>
      <c r="DF60" s="436"/>
      <c r="DG60" s="436"/>
      <c r="DH60" s="436"/>
      <c r="DI60" s="436"/>
      <c r="DJ60" s="436"/>
      <c r="DK60" s="436"/>
      <c r="DL60" s="436"/>
      <c r="DM60" s="436"/>
      <c r="DN60" s="436"/>
      <c r="DO60" s="436"/>
      <c r="DP60" s="436"/>
      <c r="DQ60" s="436"/>
      <c r="DR60" s="436"/>
      <c r="DS60" s="436"/>
      <c r="DT60" s="436"/>
      <c r="DU60" s="436"/>
      <c r="DV60" s="436"/>
      <c r="DW60" s="436"/>
      <c r="DX60" s="436"/>
      <c r="DY60" s="436"/>
      <c r="DZ60" s="436"/>
      <c r="EA60" s="436"/>
      <c r="EB60" s="322">
        <f>$C60*EA60</f>
        <v>0</v>
      </c>
      <c r="EC60" s="322">
        <f t="shared" si="45"/>
        <v>0</v>
      </c>
      <c r="ED60" s="322">
        <f t="shared" si="45"/>
        <v>0</v>
      </c>
      <c r="EE60" s="436"/>
      <c r="EF60" s="436"/>
      <c r="EG60" s="436"/>
      <c r="EH60" s="436"/>
      <c r="EI60" s="436"/>
      <c r="EJ60" s="436"/>
      <c r="EK60" s="436"/>
      <c r="EL60" s="436"/>
      <c r="EM60" s="436"/>
      <c r="EN60" s="436"/>
      <c r="EO60" s="436"/>
      <c r="EP60" s="436"/>
      <c r="EQ60" s="436"/>
      <c r="ER60" s="436"/>
      <c r="ES60" s="436"/>
      <c r="ET60" s="322">
        <f>$C60*ES60</f>
        <v>0</v>
      </c>
      <c r="EU60" s="436"/>
      <c r="EV60" s="436"/>
      <c r="EW60" s="436"/>
      <c r="EX60" s="436"/>
      <c r="EY60" s="436"/>
      <c r="EZ60" s="436"/>
      <c r="FA60" s="436"/>
      <c r="FB60" s="322">
        <f>$C60*FA60</f>
        <v>0</v>
      </c>
      <c r="FC60" s="322">
        <f t="shared" si="46"/>
        <v>0</v>
      </c>
      <c r="FD60" s="322">
        <f t="shared" si="46"/>
        <v>0</v>
      </c>
      <c r="FE60" s="436"/>
      <c r="FF60" s="436"/>
      <c r="FG60" s="436"/>
      <c r="FH60" s="436"/>
      <c r="FI60" s="436"/>
      <c r="FJ60" s="436"/>
      <c r="FK60" s="436"/>
      <c r="FL60" s="436"/>
      <c r="FM60" s="436"/>
      <c r="FN60" s="436"/>
      <c r="FO60" s="436"/>
      <c r="FP60" s="436"/>
      <c r="FQ60" s="436"/>
      <c r="FR60" s="436"/>
      <c r="FS60" s="436"/>
      <c r="FT60" s="322">
        <f>$C60*FS60</f>
        <v>0</v>
      </c>
      <c r="FU60" s="436"/>
      <c r="FV60" s="436"/>
      <c r="FW60" s="436"/>
      <c r="FX60" s="436"/>
      <c r="FY60" s="436"/>
      <c r="FZ60" s="436"/>
      <c r="GA60" s="436"/>
      <c r="GB60" s="322">
        <f>$C60*GA60</f>
        <v>0</v>
      </c>
      <c r="GC60" s="322">
        <f t="shared" si="47"/>
        <v>0</v>
      </c>
      <c r="GD60" s="322">
        <f t="shared" si="48"/>
        <v>0</v>
      </c>
      <c r="GE60" s="436"/>
      <c r="GF60" s="436"/>
      <c r="GG60" s="436"/>
      <c r="GH60" s="436"/>
      <c r="GI60" s="436"/>
      <c r="GJ60" s="436"/>
      <c r="GK60" s="436"/>
      <c r="GL60" s="436"/>
      <c r="GM60" s="436"/>
      <c r="GN60" s="436"/>
      <c r="GO60" s="436"/>
      <c r="GP60" s="436"/>
      <c r="GQ60" s="436"/>
      <c r="GR60" s="436"/>
      <c r="GS60" s="436"/>
      <c r="GT60" s="322">
        <f>$C60*GS60</f>
        <v>0</v>
      </c>
      <c r="GU60" s="436"/>
      <c r="GV60" s="436"/>
      <c r="GW60" s="436"/>
      <c r="GX60" s="436"/>
      <c r="GY60" s="436"/>
      <c r="GZ60" s="436"/>
      <c r="HA60" s="436"/>
      <c r="HB60" s="436"/>
      <c r="HC60" s="322">
        <f t="shared" si="49"/>
        <v>0</v>
      </c>
      <c r="HD60" s="322">
        <f t="shared" si="49"/>
        <v>0</v>
      </c>
      <c r="HE60" s="322">
        <f t="shared" si="50"/>
        <v>0</v>
      </c>
      <c r="HF60" s="322">
        <f t="shared" si="51"/>
        <v>0</v>
      </c>
      <c r="HH60" s="448"/>
      <c r="HI60" s="449"/>
      <c r="HJ60" s="448"/>
    </row>
    <row r="61" spans="2:218" x14ac:dyDescent="0.2">
      <c r="B61" s="313" t="s">
        <v>433</v>
      </c>
      <c r="C61" s="322">
        <v>40000000000</v>
      </c>
      <c r="D61" s="447"/>
      <c r="E61" s="322"/>
      <c r="F61" s="322"/>
      <c r="G61" s="322"/>
      <c r="H61" s="322"/>
      <c r="I61" s="322"/>
      <c r="J61" s="322"/>
      <c r="K61" s="322"/>
      <c r="L61" s="322"/>
      <c r="M61" s="322"/>
      <c r="N61" s="32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  <c r="AA61" s="322"/>
      <c r="AB61" s="322"/>
      <c r="AC61" s="322">
        <f t="shared" si="52"/>
        <v>0</v>
      </c>
      <c r="AD61" s="322">
        <f t="shared" si="52"/>
        <v>0</v>
      </c>
      <c r="AE61" s="322"/>
      <c r="AF61" s="322"/>
      <c r="AG61" s="322"/>
      <c r="AH61" s="322"/>
      <c r="AI61" s="322"/>
      <c r="AJ61" s="322"/>
      <c r="AK61" s="453"/>
      <c r="AL61" s="322"/>
      <c r="AM61" s="453"/>
      <c r="AN61" s="322"/>
      <c r="AO61" s="322"/>
      <c r="AP61" s="322"/>
      <c r="AQ61" s="453"/>
      <c r="AR61" s="322"/>
      <c r="AS61" s="453"/>
      <c r="AT61" s="322"/>
      <c r="AU61" s="453"/>
      <c r="AV61" s="322"/>
      <c r="AW61" s="453"/>
      <c r="AX61" s="322"/>
      <c r="AY61" s="453"/>
      <c r="AZ61" s="322"/>
      <c r="BA61" s="453"/>
      <c r="BB61" s="322"/>
      <c r="BC61" s="322">
        <f t="shared" si="53"/>
        <v>0</v>
      </c>
      <c r="BD61" s="322">
        <f t="shared" si="53"/>
        <v>0</v>
      </c>
      <c r="BE61" s="453"/>
      <c r="BF61" s="322"/>
      <c r="BG61" s="322"/>
      <c r="BH61" s="322"/>
      <c r="BI61" s="322"/>
      <c r="BJ61" s="322"/>
      <c r="BK61" s="322"/>
      <c r="BL61" s="322"/>
      <c r="BM61" s="322"/>
      <c r="BN61" s="322"/>
      <c r="BO61" s="322"/>
      <c r="BP61" s="322"/>
      <c r="BQ61" s="453"/>
      <c r="BR61" s="322"/>
      <c r="BS61" s="322"/>
      <c r="BT61" s="322">
        <f>$C61*BS61</f>
        <v>0</v>
      </c>
      <c r="BU61" s="322"/>
      <c r="BV61" s="322"/>
      <c r="BW61" s="322"/>
      <c r="BX61" s="322"/>
      <c r="BY61" s="322"/>
      <c r="BZ61" s="322"/>
      <c r="CA61" s="322"/>
      <c r="CB61" s="322"/>
      <c r="CC61" s="322">
        <f t="shared" si="54"/>
        <v>0</v>
      </c>
      <c r="CD61" s="322">
        <f t="shared" si="54"/>
        <v>0</v>
      </c>
      <c r="CE61" s="453"/>
      <c r="CF61" s="322"/>
      <c r="CG61" s="322"/>
      <c r="CH61" s="322"/>
      <c r="CI61" s="322"/>
      <c r="CJ61" s="322"/>
      <c r="CK61" s="322"/>
      <c r="CL61" s="322"/>
      <c r="CM61" s="322"/>
      <c r="CN61" s="322"/>
      <c r="CO61" s="322"/>
      <c r="CP61" s="322"/>
      <c r="CQ61" s="453"/>
      <c r="CR61" s="322"/>
      <c r="CS61" s="322"/>
      <c r="CT61" s="322">
        <f>$C61*CS61</f>
        <v>0</v>
      </c>
      <c r="CU61" s="322"/>
      <c r="CV61" s="322"/>
      <c r="CW61" s="322"/>
      <c r="CX61" s="322"/>
      <c r="CY61" s="322"/>
      <c r="CZ61" s="322"/>
      <c r="DA61" s="322"/>
      <c r="DB61" s="322"/>
      <c r="DC61" s="322">
        <f t="shared" si="44"/>
        <v>0</v>
      </c>
      <c r="DD61" s="322">
        <f t="shared" si="44"/>
        <v>0</v>
      </c>
      <c r="DE61" s="436"/>
      <c r="DF61" s="436"/>
      <c r="DG61" s="436"/>
      <c r="DH61" s="436"/>
      <c r="DI61" s="454"/>
      <c r="DJ61" s="322">
        <f>$C61*DI61</f>
        <v>0</v>
      </c>
      <c r="DK61" s="454"/>
      <c r="DL61" s="322">
        <f>$C61*DK61</f>
        <v>0</v>
      </c>
      <c r="DM61" s="454"/>
      <c r="DN61" s="322">
        <f>$C61*DM61</f>
        <v>0</v>
      </c>
      <c r="DO61" s="454"/>
      <c r="DP61" s="322">
        <f>$C61*DO61</f>
        <v>0</v>
      </c>
      <c r="DQ61" s="454"/>
      <c r="DR61" s="322">
        <f>$C61*DQ61</f>
        <v>0</v>
      </c>
      <c r="DS61" s="454"/>
      <c r="DT61" s="322">
        <f>$C61*DS61</f>
        <v>0</v>
      </c>
      <c r="DU61" s="454"/>
      <c r="DV61" s="322">
        <f>$C61*DU61</f>
        <v>0</v>
      </c>
      <c r="DW61" s="454"/>
      <c r="DX61" s="322">
        <f>$C61*DW61</f>
        <v>0</v>
      </c>
      <c r="DY61" s="436"/>
      <c r="DZ61" s="436"/>
      <c r="EA61" s="436"/>
      <c r="EB61" s="436"/>
      <c r="EC61" s="322">
        <f t="shared" si="45"/>
        <v>0</v>
      </c>
      <c r="ED61" s="322">
        <f t="shared" si="45"/>
        <v>0</v>
      </c>
      <c r="EE61" s="436"/>
      <c r="EF61" s="436"/>
      <c r="EG61" s="436"/>
      <c r="EH61" s="436"/>
      <c r="EI61" s="436"/>
      <c r="EJ61" s="436"/>
      <c r="EK61" s="436"/>
      <c r="EL61" s="436"/>
      <c r="EM61" s="436"/>
      <c r="EN61" s="436"/>
      <c r="EO61" s="436"/>
      <c r="EP61" s="436"/>
      <c r="EQ61" s="436"/>
      <c r="ER61" s="436"/>
      <c r="ES61" s="436"/>
      <c r="ET61" s="436"/>
      <c r="EU61" s="436"/>
      <c r="EV61" s="436"/>
      <c r="EW61" s="436"/>
      <c r="EX61" s="436"/>
      <c r="EY61" s="436"/>
      <c r="EZ61" s="436"/>
      <c r="FA61" s="436"/>
      <c r="FB61" s="436"/>
      <c r="FC61" s="322">
        <f t="shared" si="46"/>
        <v>0</v>
      </c>
      <c r="FD61" s="322">
        <f t="shared" si="46"/>
        <v>0</v>
      </c>
      <c r="FE61" s="436"/>
      <c r="FF61" s="436"/>
      <c r="FG61" s="436"/>
      <c r="FH61" s="436"/>
      <c r="FI61" s="436"/>
      <c r="FJ61" s="436"/>
      <c r="FK61" s="436"/>
      <c r="FL61" s="436"/>
      <c r="FM61" s="436"/>
      <c r="FN61" s="436"/>
      <c r="FO61" s="436"/>
      <c r="FP61" s="436"/>
      <c r="FQ61" s="436"/>
      <c r="FR61" s="436"/>
      <c r="FS61" s="436"/>
      <c r="FT61" s="436"/>
      <c r="FU61" s="436"/>
      <c r="FV61" s="436"/>
      <c r="FW61" s="436"/>
      <c r="FX61" s="436"/>
      <c r="FY61" s="436"/>
      <c r="FZ61" s="436"/>
      <c r="GA61" s="436"/>
      <c r="GB61" s="436"/>
      <c r="GC61" s="322">
        <f t="shared" si="47"/>
        <v>0</v>
      </c>
      <c r="GD61" s="322">
        <f t="shared" si="48"/>
        <v>0</v>
      </c>
      <c r="GE61" s="436"/>
      <c r="GF61" s="436"/>
      <c r="GG61" s="436"/>
      <c r="GH61" s="436"/>
      <c r="GI61" s="436"/>
      <c r="GJ61" s="436"/>
      <c r="GK61" s="436"/>
      <c r="GL61" s="436"/>
      <c r="GM61" s="436"/>
      <c r="GN61" s="436"/>
      <c r="GO61" s="436"/>
      <c r="GP61" s="436"/>
      <c r="GQ61" s="436"/>
      <c r="GR61" s="436"/>
      <c r="GS61" s="436"/>
      <c r="GT61" s="436"/>
      <c r="GU61" s="436"/>
      <c r="GV61" s="436"/>
      <c r="GW61" s="436"/>
      <c r="GX61" s="436"/>
      <c r="GY61" s="436"/>
      <c r="GZ61" s="436"/>
      <c r="HA61" s="436"/>
      <c r="HB61" s="436"/>
      <c r="HC61" s="322">
        <f t="shared" si="49"/>
        <v>0</v>
      </c>
      <c r="HD61" s="322">
        <f t="shared" si="49"/>
        <v>0</v>
      </c>
      <c r="HE61" s="322">
        <f t="shared" si="50"/>
        <v>0</v>
      </c>
      <c r="HF61" s="322">
        <f t="shared" si="51"/>
        <v>0</v>
      </c>
      <c r="HH61" s="448"/>
      <c r="HI61" s="449"/>
      <c r="HJ61" s="448"/>
    </row>
    <row r="62" spans="2:218" x14ac:dyDescent="0.2">
      <c r="B62" s="260" t="s">
        <v>434</v>
      </c>
      <c r="C62" s="322">
        <v>0</v>
      </c>
      <c r="D62" s="455"/>
      <c r="E62" s="452"/>
      <c r="F62" s="452"/>
      <c r="G62" s="452"/>
      <c r="H62" s="452"/>
      <c r="I62" s="452"/>
      <c r="J62" s="452"/>
      <c r="K62" s="452"/>
      <c r="L62" s="452"/>
      <c r="M62" s="452"/>
      <c r="N62" s="452"/>
      <c r="O62" s="452"/>
      <c r="P62" s="452"/>
      <c r="Q62" s="452"/>
      <c r="R62" s="452"/>
      <c r="S62" s="452"/>
      <c r="T62" s="452"/>
      <c r="U62" s="452"/>
      <c r="V62" s="452"/>
      <c r="W62" s="452"/>
      <c r="X62" s="452"/>
      <c r="Y62" s="452"/>
      <c r="Z62" s="452"/>
      <c r="AA62" s="452"/>
      <c r="AB62" s="452"/>
      <c r="AC62" s="452"/>
      <c r="AD62" s="452"/>
      <c r="AE62" s="452">
        <f>SUM(AE48:AE61)</f>
        <v>0</v>
      </c>
      <c r="AF62" s="452">
        <f t="shared" ref="AF62:CQ62" si="55">SUM(AF48:AF61)</f>
        <v>0</v>
      </c>
      <c r="AG62" s="452">
        <f t="shared" si="55"/>
        <v>0</v>
      </c>
      <c r="AH62" s="452">
        <f t="shared" si="55"/>
        <v>0</v>
      </c>
      <c r="AI62" s="452">
        <f t="shared" si="55"/>
        <v>0</v>
      </c>
      <c r="AJ62" s="452">
        <f t="shared" si="55"/>
        <v>0</v>
      </c>
      <c r="AK62" s="452">
        <f t="shared" si="55"/>
        <v>0</v>
      </c>
      <c r="AL62" s="452">
        <f t="shared" si="55"/>
        <v>0</v>
      </c>
      <c r="AM62" s="452">
        <f t="shared" si="55"/>
        <v>0</v>
      </c>
      <c r="AN62" s="452">
        <f t="shared" si="55"/>
        <v>0</v>
      </c>
      <c r="AO62" s="452">
        <f t="shared" si="55"/>
        <v>0</v>
      </c>
      <c r="AP62" s="452">
        <f t="shared" si="55"/>
        <v>0</v>
      </c>
      <c r="AQ62" s="452">
        <f t="shared" si="55"/>
        <v>0</v>
      </c>
      <c r="AR62" s="452">
        <f t="shared" si="55"/>
        <v>0</v>
      </c>
      <c r="AS62" s="452">
        <f t="shared" si="55"/>
        <v>0</v>
      </c>
      <c r="AT62" s="452">
        <f t="shared" si="55"/>
        <v>0</v>
      </c>
      <c r="AU62" s="452">
        <f t="shared" si="55"/>
        <v>0</v>
      </c>
      <c r="AV62" s="452">
        <f t="shared" si="55"/>
        <v>0</v>
      </c>
      <c r="AW62" s="452">
        <f t="shared" si="55"/>
        <v>0</v>
      </c>
      <c r="AX62" s="452">
        <f t="shared" si="55"/>
        <v>0</v>
      </c>
      <c r="AY62" s="452">
        <f t="shared" si="55"/>
        <v>2</v>
      </c>
      <c r="AZ62" s="452">
        <f t="shared" si="55"/>
        <v>472000000</v>
      </c>
      <c r="BA62" s="452">
        <f t="shared" si="55"/>
        <v>0</v>
      </c>
      <c r="BB62" s="452">
        <f t="shared" si="55"/>
        <v>0</v>
      </c>
      <c r="BC62" s="452">
        <f t="shared" si="55"/>
        <v>2</v>
      </c>
      <c r="BD62" s="452">
        <f t="shared" si="55"/>
        <v>472000000</v>
      </c>
      <c r="BE62" s="452">
        <f t="shared" si="55"/>
        <v>0</v>
      </c>
      <c r="BF62" s="452">
        <f t="shared" si="55"/>
        <v>0</v>
      </c>
      <c r="BG62" s="452">
        <f t="shared" si="55"/>
        <v>0</v>
      </c>
      <c r="BH62" s="452">
        <f t="shared" si="55"/>
        <v>0</v>
      </c>
      <c r="BI62" s="452">
        <f t="shared" si="55"/>
        <v>0</v>
      </c>
      <c r="BJ62" s="452">
        <f t="shared" si="55"/>
        <v>0</v>
      </c>
      <c r="BK62" s="452">
        <f t="shared" si="55"/>
        <v>0</v>
      </c>
      <c r="BL62" s="452">
        <f t="shared" si="55"/>
        <v>0</v>
      </c>
      <c r="BM62" s="452">
        <f t="shared" si="55"/>
        <v>0</v>
      </c>
      <c r="BN62" s="452">
        <f t="shared" si="55"/>
        <v>0</v>
      </c>
      <c r="BO62" s="452">
        <f t="shared" si="55"/>
        <v>0</v>
      </c>
      <c r="BP62" s="452">
        <f t="shared" si="55"/>
        <v>0</v>
      </c>
      <c r="BQ62" s="452">
        <f t="shared" si="55"/>
        <v>0</v>
      </c>
      <c r="BR62" s="452">
        <f t="shared" si="55"/>
        <v>0</v>
      </c>
      <c r="BS62" s="452">
        <f t="shared" si="55"/>
        <v>0</v>
      </c>
      <c r="BT62" s="452">
        <f t="shared" si="55"/>
        <v>0</v>
      </c>
      <c r="BU62" s="452">
        <f t="shared" si="55"/>
        <v>0</v>
      </c>
      <c r="BV62" s="452">
        <f t="shared" si="55"/>
        <v>0</v>
      </c>
      <c r="BW62" s="452">
        <f t="shared" si="55"/>
        <v>0</v>
      </c>
      <c r="BX62" s="452">
        <f t="shared" si="55"/>
        <v>0</v>
      </c>
      <c r="BY62" s="452">
        <f t="shared" si="55"/>
        <v>0</v>
      </c>
      <c r="BZ62" s="452">
        <f t="shared" si="55"/>
        <v>0</v>
      </c>
      <c r="CA62" s="452">
        <f t="shared" si="55"/>
        <v>0</v>
      </c>
      <c r="CB62" s="452">
        <f t="shared" si="55"/>
        <v>0</v>
      </c>
      <c r="CC62" s="452">
        <f t="shared" si="55"/>
        <v>0</v>
      </c>
      <c r="CD62" s="452">
        <f t="shared" si="55"/>
        <v>0</v>
      </c>
      <c r="CE62" s="452">
        <f t="shared" si="55"/>
        <v>0</v>
      </c>
      <c r="CF62" s="452">
        <f t="shared" si="55"/>
        <v>0</v>
      </c>
      <c r="CG62" s="452">
        <f t="shared" si="55"/>
        <v>0</v>
      </c>
      <c r="CH62" s="452">
        <f t="shared" si="55"/>
        <v>0</v>
      </c>
      <c r="CI62" s="452">
        <f t="shared" si="55"/>
        <v>0</v>
      </c>
      <c r="CJ62" s="452">
        <f t="shared" si="55"/>
        <v>0</v>
      </c>
      <c r="CK62" s="452">
        <f t="shared" si="55"/>
        <v>0</v>
      </c>
      <c r="CL62" s="452">
        <f t="shared" si="55"/>
        <v>0</v>
      </c>
      <c r="CM62" s="452">
        <f t="shared" si="55"/>
        <v>0</v>
      </c>
      <c r="CN62" s="452">
        <f t="shared" si="55"/>
        <v>0</v>
      </c>
      <c r="CO62" s="452">
        <f t="shared" si="55"/>
        <v>0</v>
      </c>
      <c r="CP62" s="452">
        <f t="shared" si="55"/>
        <v>0</v>
      </c>
      <c r="CQ62" s="452">
        <f t="shared" si="55"/>
        <v>0</v>
      </c>
      <c r="CR62" s="452">
        <f t="shared" ref="CR62:FC62" si="56">SUM(CR48:CR61)</f>
        <v>0</v>
      </c>
      <c r="CS62" s="452">
        <f t="shared" si="56"/>
        <v>0</v>
      </c>
      <c r="CT62" s="452">
        <f t="shared" si="56"/>
        <v>0</v>
      </c>
      <c r="CU62" s="452">
        <f t="shared" si="56"/>
        <v>0</v>
      </c>
      <c r="CV62" s="452">
        <f t="shared" si="56"/>
        <v>0</v>
      </c>
      <c r="CW62" s="452">
        <f t="shared" si="56"/>
        <v>0</v>
      </c>
      <c r="CX62" s="452">
        <f t="shared" si="56"/>
        <v>0</v>
      </c>
      <c r="CY62" s="452">
        <f t="shared" si="56"/>
        <v>0</v>
      </c>
      <c r="CZ62" s="452">
        <f t="shared" si="56"/>
        <v>0</v>
      </c>
      <c r="DA62" s="452">
        <f t="shared" si="56"/>
        <v>0</v>
      </c>
      <c r="DB62" s="452">
        <f t="shared" si="56"/>
        <v>0</v>
      </c>
      <c r="DC62" s="452">
        <f t="shared" si="56"/>
        <v>0</v>
      </c>
      <c r="DD62" s="452">
        <f t="shared" si="56"/>
        <v>0</v>
      </c>
      <c r="DE62" s="452">
        <f t="shared" si="56"/>
        <v>0</v>
      </c>
      <c r="DF62" s="452">
        <f t="shared" si="56"/>
        <v>0</v>
      </c>
      <c r="DG62" s="452">
        <f t="shared" si="56"/>
        <v>0</v>
      </c>
      <c r="DH62" s="452">
        <f t="shared" si="56"/>
        <v>0</v>
      </c>
      <c r="DI62" s="452">
        <f t="shared" si="56"/>
        <v>0</v>
      </c>
      <c r="DJ62" s="452">
        <f t="shared" si="56"/>
        <v>0</v>
      </c>
      <c r="DK62" s="452">
        <f t="shared" si="56"/>
        <v>0</v>
      </c>
      <c r="DL62" s="452">
        <f t="shared" si="56"/>
        <v>0</v>
      </c>
      <c r="DM62" s="452">
        <f t="shared" si="56"/>
        <v>0</v>
      </c>
      <c r="DN62" s="452">
        <f t="shared" si="56"/>
        <v>0</v>
      </c>
      <c r="DO62" s="452">
        <f t="shared" si="56"/>
        <v>0</v>
      </c>
      <c r="DP62" s="452">
        <f t="shared" si="56"/>
        <v>0</v>
      </c>
      <c r="DQ62" s="452">
        <f t="shared" si="56"/>
        <v>0</v>
      </c>
      <c r="DR62" s="452">
        <f t="shared" si="56"/>
        <v>0</v>
      </c>
      <c r="DS62" s="452">
        <f t="shared" si="56"/>
        <v>0</v>
      </c>
      <c r="DT62" s="452">
        <f t="shared" si="56"/>
        <v>0</v>
      </c>
      <c r="DU62" s="452">
        <f t="shared" si="56"/>
        <v>0</v>
      </c>
      <c r="DV62" s="452">
        <f t="shared" si="56"/>
        <v>0</v>
      </c>
      <c r="DW62" s="452">
        <f t="shared" si="56"/>
        <v>0</v>
      </c>
      <c r="DX62" s="452">
        <f t="shared" si="56"/>
        <v>0</v>
      </c>
      <c r="DY62" s="452">
        <f t="shared" si="56"/>
        <v>0</v>
      </c>
      <c r="DZ62" s="452">
        <f t="shared" si="56"/>
        <v>0</v>
      </c>
      <c r="EA62" s="452">
        <f t="shared" si="56"/>
        <v>0</v>
      </c>
      <c r="EB62" s="452">
        <f t="shared" si="56"/>
        <v>0</v>
      </c>
      <c r="EC62" s="452">
        <f t="shared" si="56"/>
        <v>0</v>
      </c>
      <c r="ED62" s="452">
        <f t="shared" si="56"/>
        <v>0</v>
      </c>
      <c r="EE62" s="452">
        <f t="shared" si="56"/>
        <v>0</v>
      </c>
      <c r="EF62" s="452">
        <f t="shared" si="56"/>
        <v>0</v>
      </c>
      <c r="EG62" s="452">
        <f t="shared" si="56"/>
        <v>0</v>
      </c>
      <c r="EH62" s="452">
        <f t="shared" si="56"/>
        <v>0</v>
      </c>
      <c r="EI62" s="452">
        <f t="shared" si="56"/>
        <v>0</v>
      </c>
      <c r="EJ62" s="452">
        <f t="shared" si="56"/>
        <v>0</v>
      </c>
      <c r="EK62" s="452">
        <f t="shared" si="56"/>
        <v>0</v>
      </c>
      <c r="EL62" s="452">
        <f t="shared" si="56"/>
        <v>0</v>
      </c>
      <c r="EM62" s="452">
        <f t="shared" si="56"/>
        <v>0</v>
      </c>
      <c r="EN62" s="452">
        <f t="shared" si="56"/>
        <v>0</v>
      </c>
      <c r="EO62" s="452">
        <f t="shared" si="56"/>
        <v>0</v>
      </c>
      <c r="EP62" s="452">
        <f t="shared" si="56"/>
        <v>0</v>
      </c>
      <c r="EQ62" s="452">
        <f t="shared" si="56"/>
        <v>0</v>
      </c>
      <c r="ER62" s="452">
        <f t="shared" si="56"/>
        <v>0</v>
      </c>
      <c r="ES62" s="452">
        <f t="shared" si="56"/>
        <v>0</v>
      </c>
      <c r="ET62" s="452">
        <f t="shared" si="56"/>
        <v>0</v>
      </c>
      <c r="EU62" s="452">
        <f t="shared" si="56"/>
        <v>0</v>
      </c>
      <c r="EV62" s="452">
        <f t="shared" si="56"/>
        <v>0</v>
      </c>
      <c r="EW62" s="452">
        <f t="shared" si="56"/>
        <v>0</v>
      </c>
      <c r="EX62" s="452">
        <f t="shared" si="56"/>
        <v>0</v>
      </c>
      <c r="EY62" s="452">
        <f t="shared" si="56"/>
        <v>0</v>
      </c>
      <c r="EZ62" s="452">
        <f t="shared" si="56"/>
        <v>0</v>
      </c>
      <c r="FA62" s="452">
        <f t="shared" si="56"/>
        <v>0</v>
      </c>
      <c r="FB62" s="452">
        <f t="shared" si="56"/>
        <v>0</v>
      </c>
      <c r="FC62" s="452">
        <f t="shared" si="56"/>
        <v>0</v>
      </c>
      <c r="FD62" s="452">
        <f>SUM(FD48:FD61)</f>
        <v>0</v>
      </c>
      <c r="FE62" s="452">
        <f t="shared" ref="FE62:GC62" si="57">SUM(FE48:FE61)</f>
        <v>0</v>
      </c>
      <c r="FF62" s="452">
        <f t="shared" si="57"/>
        <v>0</v>
      </c>
      <c r="FG62" s="452">
        <f t="shared" si="57"/>
        <v>0</v>
      </c>
      <c r="FH62" s="452">
        <f t="shared" si="57"/>
        <v>0</v>
      </c>
      <c r="FI62" s="452">
        <f t="shared" si="57"/>
        <v>0</v>
      </c>
      <c r="FJ62" s="452">
        <f t="shared" si="57"/>
        <v>0</v>
      </c>
      <c r="FK62" s="452">
        <f t="shared" si="57"/>
        <v>0</v>
      </c>
      <c r="FL62" s="452">
        <f t="shared" si="57"/>
        <v>0</v>
      </c>
      <c r="FM62" s="452">
        <f t="shared" si="57"/>
        <v>0</v>
      </c>
      <c r="FN62" s="452">
        <f t="shared" si="57"/>
        <v>0</v>
      </c>
      <c r="FO62" s="452">
        <f t="shared" si="57"/>
        <v>0</v>
      </c>
      <c r="FP62" s="452">
        <f t="shared" si="57"/>
        <v>0</v>
      </c>
      <c r="FQ62" s="452">
        <f t="shared" si="57"/>
        <v>0</v>
      </c>
      <c r="FR62" s="452">
        <f t="shared" si="57"/>
        <v>0</v>
      </c>
      <c r="FS62" s="452">
        <f t="shared" si="57"/>
        <v>0</v>
      </c>
      <c r="FT62" s="452">
        <f t="shared" si="57"/>
        <v>0</v>
      </c>
      <c r="FU62" s="452">
        <f t="shared" si="57"/>
        <v>0</v>
      </c>
      <c r="FV62" s="452">
        <f t="shared" si="57"/>
        <v>0</v>
      </c>
      <c r="FW62" s="452">
        <f t="shared" si="57"/>
        <v>0</v>
      </c>
      <c r="FX62" s="452">
        <f t="shared" si="57"/>
        <v>0</v>
      </c>
      <c r="FY62" s="452">
        <f t="shared" si="57"/>
        <v>0</v>
      </c>
      <c r="FZ62" s="452">
        <f t="shared" si="57"/>
        <v>0</v>
      </c>
      <c r="GA62" s="452">
        <f t="shared" si="57"/>
        <v>0</v>
      </c>
      <c r="GB62" s="452">
        <f t="shared" si="57"/>
        <v>0</v>
      </c>
      <c r="GC62" s="452">
        <f t="shared" si="57"/>
        <v>0</v>
      </c>
      <c r="GD62" s="452">
        <f>SUM(GD48:GD61)</f>
        <v>0</v>
      </c>
      <c r="GE62" s="452">
        <f t="shared" ref="GE62:HC62" si="58">SUM(GE48:GE61)</f>
        <v>0</v>
      </c>
      <c r="GF62" s="452">
        <f t="shared" si="58"/>
        <v>0</v>
      </c>
      <c r="GG62" s="452">
        <f t="shared" si="58"/>
        <v>0</v>
      </c>
      <c r="GH62" s="452">
        <f t="shared" si="58"/>
        <v>0</v>
      </c>
      <c r="GI62" s="452">
        <f t="shared" si="58"/>
        <v>0</v>
      </c>
      <c r="GJ62" s="452">
        <f t="shared" si="58"/>
        <v>0</v>
      </c>
      <c r="GK62" s="452">
        <f t="shared" si="58"/>
        <v>0</v>
      </c>
      <c r="GL62" s="452">
        <f t="shared" si="58"/>
        <v>0</v>
      </c>
      <c r="GM62" s="452">
        <f t="shared" si="58"/>
        <v>0</v>
      </c>
      <c r="GN62" s="452">
        <f t="shared" si="58"/>
        <v>0</v>
      </c>
      <c r="GO62" s="452">
        <f t="shared" si="58"/>
        <v>0</v>
      </c>
      <c r="GP62" s="452">
        <f t="shared" si="58"/>
        <v>0</v>
      </c>
      <c r="GQ62" s="452">
        <f t="shared" si="58"/>
        <v>0</v>
      </c>
      <c r="GR62" s="452">
        <f t="shared" si="58"/>
        <v>0</v>
      </c>
      <c r="GS62" s="452">
        <f t="shared" si="58"/>
        <v>0</v>
      </c>
      <c r="GT62" s="452">
        <f t="shared" si="58"/>
        <v>0</v>
      </c>
      <c r="GU62" s="452">
        <f t="shared" si="58"/>
        <v>0</v>
      </c>
      <c r="GV62" s="452">
        <f t="shared" si="58"/>
        <v>0</v>
      </c>
      <c r="GW62" s="452">
        <f t="shared" si="58"/>
        <v>0</v>
      </c>
      <c r="GX62" s="452">
        <f t="shared" si="58"/>
        <v>0</v>
      </c>
      <c r="GY62" s="452">
        <f t="shared" si="58"/>
        <v>0</v>
      </c>
      <c r="GZ62" s="452">
        <f t="shared" si="58"/>
        <v>0</v>
      </c>
      <c r="HA62" s="452">
        <f t="shared" si="58"/>
        <v>0</v>
      </c>
      <c r="HB62" s="452">
        <f t="shared" si="58"/>
        <v>0</v>
      </c>
      <c r="HC62" s="452">
        <f t="shared" si="58"/>
        <v>0</v>
      </c>
      <c r="HD62" s="452">
        <f>SUM(HD48:HD61)</f>
        <v>0</v>
      </c>
      <c r="HE62" s="452">
        <f>SUM(HE48:HE61)</f>
        <v>2</v>
      </c>
      <c r="HF62" s="452">
        <f>SUM(HF48:HF61)</f>
        <v>472000000</v>
      </c>
      <c r="HH62" s="448"/>
      <c r="HI62" s="449"/>
      <c r="HJ62" s="448"/>
    </row>
    <row r="63" spans="2:218" x14ac:dyDescent="0.2">
      <c r="B63" s="311" t="s">
        <v>435</v>
      </c>
      <c r="C63" s="322">
        <v>0</v>
      </c>
      <c r="D63" s="450"/>
      <c r="E63" s="451"/>
      <c r="F63" s="451"/>
      <c r="G63" s="451"/>
      <c r="H63" s="451"/>
      <c r="I63" s="451"/>
      <c r="J63" s="451"/>
      <c r="K63" s="451"/>
      <c r="L63" s="451"/>
      <c r="M63" s="451"/>
      <c r="N63" s="451"/>
      <c r="O63" s="451"/>
      <c r="P63" s="451"/>
      <c r="Q63" s="451"/>
      <c r="R63" s="451"/>
      <c r="S63" s="451"/>
      <c r="T63" s="451"/>
      <c r="U63" s="451"/>
      <c r="V63" s="451"/>
      <c r="W63" s="451"/>
      <c r="X63" s="451"/>
      <c r="Y63" s="451"/>
      <c r="Z63" s="451"/>
      <c r="AA63" s="451"/>
      <c r="AB63" s="451"/>
      <c r="AC63" s="451"/>
      <c r="AD63" s="451"/>
      <c r="AE63" s="451"/>
      <c r="AF63" s="451"/>
      <c r="AG63" s="451"/>
      <c r="AH63" s="451"/>
      <c r="AI63" s="451"/>
      <c r="AJ63" s="451"/>
      <c r="AK63" s="451"/>
      <c r="AL63" s="451"/>
      <c r="AM63" s="451"/>
      <c r="AN63" s="451"/>
      <c r="AO63" s="451"/>
      <c r="AP63" s="451"/>
      <c r="AQ63" s="451"/>
      <c r="AR63" s="451"/>
      <c r="AS63" s="451"/>
      <c r="AT63" s="451"/>
      <c r="AU63" s="451"/>
      <c r="AV63" s="451"/>
      <c r="AW63" s="451"/>
      <c r="AX63" s="451"/>
      <c r="AY63" s="451"/>
      <c r="AZ63" s="451"/>
      <c r="BA63" s="451"/>
      <c r="BB63" s="451"/>
      <c r="BC63" s="451"/>
      <c r="BD63" s="451"/>
      <c r="BE63" s="451"/>
      <c r="BF63" s="451"/>
      <c r="BG63" s="451"/>
      <c r="BH63" s="451"/>
      <c r="BI63" s="451"/>
      <c r="BJ63" s="451"/>
      <c r="BK63" s="451"/>
      <c r="BL63" s="451"/>
      <c r="BM63" s="451"/>
      <c r="BN63" s="451"/>
      <c r="BO63" s="451"/>
      <c r="BP63" s="451"/>
      <c r="BQ63" s="451"/>
      <c r="BR63" s="451"/>
      <c r="BS63" s="451"/>
      <c r="BT63" s="451"/>
      <c r="BU63" s="451"/>
      <c r="BV63" s="451"/>
      <c r="BW63" s="451"/>
      <c r="BX63" s="451"/>
      <c r="BY63" s="451"/>
      <c r="BZ63" s="451"/>
      <c r="CA63" s="451"/>
      <c r="CB63" s="451"/>
      <c r="CC63" s="451"/>
      <c r="CD63" s="451"/>
      <c r="CE63" s="436"/>
      <c r="CF63" s="436"/>
      <c r="CG63" s="436"/>
      <c r="CH63" s="436"/>
      <c r="CI63" s="436"/>
      <c r="CJ63" s="436"/>
      <c r="CK63" s="436"/>
      <c r="CL63" s="436"/>
      <c r="CM63" s="436"/>
      <c r="CN63" s="436"/>
      <c r="CO63" s="436"/>
      <c r="CP63" s="436"/>
      <c r="CQ63" s="436"/>
      <c r="CR63" s="436"/>
      <c r="CS63" s="436"/>
      <c r="CT63" s="436"/>
      <c r="CU63" s="436"/>
      <c r="CV63" s="436"/>
      <c r="CW63" s="436"/>
      <c r="CX63" s="436"/>
      <c r="CY63" s="436"/>
      <c r="CZ63" s="436"/>
      <c r="DA63" s="436"/>
      <c r="DB63" s="436"/>
      <c r="DC63" s="451"/>
      <c r="DD63" s="451"/>
      <c r="DE63" s="436"/>
      <c r="DF63" s="436"/>
      <c r="DG63" s="436"/>
      <c r="DH63" s="436"/>
      <c r="DI63" s="436"/>
      <c r="DJ63" s="436"/>
      <c r="DK63" s="436"/>
      <c r="DL63" s="436"/>
      <c r="DM63" s="436"/>
      <c r="DN63" s="436"/>
      <c r="DO63" s="436"/>
      <c r="DP63" s="436"/>
      <c r="DQ63" s="436"/>
      <c r="DR63" s="436"/>
      <c r="DS63" s="436"/>
      <c r="DT63" s="436"/>
      <c r="DU63" s="436"/>
      <c r="DV63" s="436"/>
      <c r="DW63" s="436"/>
      <c r="DX63" s="436"/>
      <c r="DY63" s="436"/>
      <c r="DZ63" s="436"/>
      <c r="EA63" s="436"/>
      <c r="EB63" s="436"/>
      <c r="EC63" s="451"/>
      <c r="ED63" s="451"/>
      <c r="EE63" s="436"/>
      <c r="EF63" s="436"/>
      <c r="EG63" s="436"/>
      <c r="EH63" s="436"/>
      <c r="EI63" s="436"/>
      <c r="EJ63" s="436"/>
      <c r="EK63" s="436"/>
      <c r="EL63" s="436"/>
      <c r="EM63" s="436"/>
      <c r="EN63" s="436"/>
      <c r="EO63" s="436"/>
      <c r="EP63" s="436"/>
      <c r="EQ63" s="436"/>
      <c r="ER63" s="436"/>
      <c r="ES63" s="436"/>
      <c r="ET63" s="436"/>
      <c r="EU63" s="436"/>
      <c r="EV63" s="436"/>
      <c r="EW63" s="436"/>
      <c r="EX63" s="436"/>
      <c r="EY63" s="436"/>
      <c r="EZ63" s="436"/>
      <c r="FA63" s="436"/>
      <c r="FB63" s="436"/>
      <c r="FC63" s="451"/>
      <c r="FD63" s="451"/>
      <c r="FE63" s="436"/>
      <c r="FF63" s="436"/>
      <c r="FG63" s="436"/>
      <c r="FH63" s="436"/>
      <c r="FI63" s="436"/>
      <c r="FJ63" s="436"/>
      <c r="FK63" s="436"/>
      <c r="FL63" s="436"/>
      <c r="FM63" s="436"/>
      <c r="FN63" s="436"/>
      <c r="FO63" s="436"/>
      <c r="FP63" s="436"/>
      <c r="FQ63" s="436"/>
      <c r="FR63" s="436"/>
      <c r="FS63" s="436"/>
      <c r="FT63" s="436"/>
      <c r="FU63" s="436"/>
      <c r="FV63" s="436"/>
      <c r="FW63" s="436"/>
      <c r="FX63" s="436"/>
      <c r="FY63" s="436"/>
      <c r="FZ63" s="436"/>
      <c r="GA63" s="436"/>
      <c r="GB63" s="436"/>
      <c r="GC63" s="451"/>
      <c r="GD63" s="451"/>
      <c r="GE63" s="436"/>
      <c r="GF63" s="436"/>
      <c r="GG63" s="436"/>
      <c r="GH63" s="436"/>
      <c r="GI63" s="436"/>
      <c r="GJ63" s="436"/>
      <c r="GK63" s="436"/>
      <c r="GL63" s="436"/>
      <c r="GM63" s="436"/>
      <c r="GN63" s="436"/>
      <c r="GO63" s="436"/>
      <c r="GP63" s="436"/>
      <c r="GQ63" s="436"/>
      <c r="GR63" s="436"/>
      <c r="GS63" s="436"/>
      <c r="GT63" s="436"/>
      <c r="GU63" s="436"/>
      <c r="GV63" s="436"/>
      <c r="GW63" s="436"/>
      <c r="GX63" s="436"/>
      <c r="GY63" s="436"/>
      <c r="GZ63" s="436"/>
      <c r="HA63" s="436"/>
      <c r="HB63" s="436"/>
      <c r="HC63" s="451"/>
      <c r="HD63" s="451"/>
      <c r="HE63" s="451"/>
      <c r="HF63" s="451"/>
      <c r="HH63" s="448"/>
      <c r="HI63" s="449"/>
      <c r="HJ63" s="448"/>
    </row>
    <row r="64" spans="2:218" x14ac:dyDescent="0.2">
      <c r="B64" s="313" t="s">
        <v>621</v>
      </c>
      <c r="C64" s="322">
        <v>120000000</v>
      </c>
      <c r="D64" s="447">
        <v>0</v>
      </c>
      <c r="E64" s="322"/>
      <c r="F64" s="322"/>
      <c r="G64" s="322"/>
      <c r="H64" s="322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  <c r="AA64" s="322"/>
      <c r="AB64" s="322"/>
      <c r="AC64" s="322">
        <f t="shared" ref="AC64:AD67" si="59">E64+G64+I64+K64+M64+O64+Q64+S64+U64+W64+Y64+AA64</f>
        <v>0</v>
      </c>
      <c r="AD64" s="322">
        <f t="shared" si="59"/>
        <v>0</v>
      </c>
      <c r="AE64" s="322"/>
      <c r="AF64" s="322"/>
      <c r="AG64" s="322"/>
      <c r="AH64" s="322"/>
      <c r="AI64" s="322"/>
      <c r="AJ64" s="322"/>
      <c r="AK64" s="322"/>
      <c r="AL64" s="322"/>
      <c r="AM64" s="322"/>
      <c r="AN64" s="322"/>
      <c r="AO64" s="322"/>
      <c r="AP64" s="322"/>
      <c r="AQ64" s="322"/>
      <c r="AR64" s="322"/>
      <c r="AS64" s="322"/>
      <c r="AT64" s="322"/>
      <c r="AU64" s="322"/>
      <c r="AV64" s="322"/>
      <c r="AW64" s="322"/>
      <c r="AX64" s="322"/>
      <c r="AY64" s="322">
        <v>1</v>
      </c>
      <c r="AZ64" s="322">
        <f>C64*AY64</f>
        <v>120000000</v>
      </c>
      <c r="BA64" s="322"/>
      <c r="BB64" s="322"/>
      <c r="BC64" s="322">
        <f t="shared" ref="BC64:BD67" si="60">AE64+AG64+AI64+AK64+AM64+AO64+AQ64+AS64+AU64+AW64+AY64+BA64</f>
        <v>1</v>
      </c>
      <c r="BD64" s="322">
        <f t="shared" si="60"/>
        <v>120000000</v>
      </c>
      <c r="BE64" s="322"/>
      <c r="BF64" s="322"/>
      <c r="BG64" s="322"/>
      <c r="BH64" s="322"/>
      <c r="BI64" s="322"/>
      <c r="BJ64" s="322"/>
      <c r="BK64" s="322"/>
      <c r="BL64" s="322"/>
      <c r="BM64" s="322"/>
      <c r="BN64" s="322"/>
      <c r="BO64" s="322"/>
      <c r="BP64" s="322"/>
      <c r="BQ64" s="322"/>
      <c r="BR64" s="322"/>
      <c r="BS64" s="322"/>
      <c r="BT64" s="322"/>
      <c r="BU64" s="322"/>
      <c r="BV64" s="322"/>
      <c r="BW64" s="322"/>
      <c r="BX64" s="322"/>
      <c r="BY64" s="322"/>
      <c r="BZ64" s="322"/>
      <c r="CA64" s="322"/>
      <c r="CB64" s="322">
        <f>$C64*CA64</f>
        <v>0</v>
      </c>
      <c r="CC64" s="322">
        <f t="shared" ref="CC64:CD67" si="61">BE64+BG64+BI64+BK64+BM64+BO64+BQ64+BS64+BU64+BW64+BY64+CA64</f>
        <v>0</v>
      </c>
      <c r="CD64" s="322">
        <f t="shared" si="61"/>
        <v>0</v>
      </c>
      <c r="CE64" s="322"/>
      <c r="CF64" s="322"/>
      <c r="CG64" s="322"/>
      <c r="CH64" s="322"/>
      <c r="CI64" s="322"/>
      <c r="CJ64" s="322"/>
      <c r="CK64" s="322"/>
      <c r="CL64" s="322"/>
      <c r="CM64" s="322"/>
      <c r="CN64" s="322"/>
      <c r="CO64" s="322"/>
      <c r="CP64" s="322"/>
      <c r="CQ64" s="322"/>
      <c r="CR64" s="322"/>
      <c r="CS64" s="322"/>
      <c r="CT64" s="322"/>
      <c r="CU64" s="322"/>
      <c r="CV64" s="322"/>
      <c r="CW64" s="322"/>
      <c r="CX64" s="322"/>
      <c r="CY64" s="322"/>
      <c r="CZ64" s="322"/>
      <c r="DA64" s="322"/>
      <c r="DB64" s="322">
        <f>$C64*DA64</f>
        <v>0</v>
      </c>
      <c r="DC64" s="322">
        <f t="shared" ref="DC64:DD67" si="62">CE64+CG64+CI64+CK64+CM64+CO64+CQ64+CS64+CU64+CW64+CY64+DA64</f>
        <v>0</v>
      </c>
      <c r="DD64" s="322">
        <f t="shared" si="62"/>
        <v>0</v>
      </c>
      <c r="DE64" s="436"/>
      <c r="DF64" s="436"/>
      <c r="DG64" s="436"/>
      <c r="DH64" s="436"/>
      <c r="DI64" s="436"/>
      <c r="DJ64" s="436"/>
      <c r="DK64" s="436"/>
      <c r="DL64" s="436"/>
      <c r="DM64" s="436"/>
      <c r="DN64" s="436"/>
      <c r="DO64" s="436"/>
      <c r="DP64" s="322">
        <f>$C64*DO64</f>
        <v>0</v>
      </c>
      <c r="DQ64" s="436"/>
      <c r="DR64" s="436"/>
      <c r="DS64" s="436"/>
      <c r="DT64" s="436"/>
      <c r="DU64" s="436"/>
      <c r="DV64" s="436"/>
      <c r="DW64" s="436"/>
      <c r="DX64" s="436"/>
      <c r="DY64" s="436"/>
      <c r="DZ64" s="436"/>
      <c r="EA64" s="436"/>
      <c r="EB64" s="436"/>
      <c r="EC64" s="322">
        <f t="shared" ref="EC64:ED67" si="63">DE64+DG64+DI64+DK64+DM64+DO64+DQ64+DS64+DU64+DW64+DY64+EA64</f>
        <v>0</v>
      </c>
      <c r="ED64" s="322">
        <f t="shared" si="63"/>
        <v>0</v>
      </c>
      <c r="EE64" s="436"/>
      <c r="EF64" s="436"/>
      <c r="EG64" s="436"/>
      <c r="EH64" s="436"/>
      <c r="EI64" s="436"/>
      <c r="EJ64" s="436"/>
      <c r="EK64" s="436"/>
      <c r="EL64" s="436"/>
      <c r="EM64" s="436"/>
      <c r="EN64" s="436"/>
      <c r="EO64" s="436"/>
      <c r="EP64" s="322">
        <f>$C64*EO64</f>
        <v>0</v>
      </c>
      <c r="EQ64" s="436"/>
      <c r="ER64" s="436"/>
      <c r="ES64" s="436"/>
      <c r="ET64" s="436"/>
      <c r="EU64" s="436"/>
      <c r="EV64" s="436"/>
      <c r="EW64" s="436"/>
      <c r="EX64" s="436"/>
      <c r="EY64" s="436"/>
      <c r="EZ64" s="436"/>
      <c r="FA64" s="436"/>
      <c r="FB64" s="436"/>
      <c r="FC64" s="322">
        <f t="shared" ref="FC64:FD67" si="64">EE64+EG64+EI64+EK64+EM64+EO64+EQ64+ES64+EU64+EW64+EY64+FA64</f>
        <v>0</v>
      </c>
      <c r="FD64" s="322">
        <f t="shared" si="64"/>
        <v>0</v>
      </c>
      <c r="FE64" s="436"/>
      <c r="FF64" s="436"/>
      <c r="FG64" s="436"/>
      <c r="FH64" s="436"/>
      <c r="FI64" s="436"/>
      <c r="FJ64" s="436"/>
      <c r="FK64" s="436"/>
      <c r="FL64" s="436"/>
      <c r="FM64" s="436"/>
      <c r="FN64" s="436"/>
      <c r="FO64" s="436"/>
      <c r="FP64" s="322">
        <f>$C64*FO64</f>
        <v>0</v>
      </c>
      <c r="FQ64" s="436"/>
      <c r="FR64" s="436"/>
      <c r="FS64" s="436"/>
      <c r="FT64" s="436"/>
      <c r="FU64" s="436"/>
      <c r="FV64" s="436"/>
      <c r="FW64" s="436"/>
      <c r="FX64" s="436"/>
      <c r="FY64" s="436"/>
      <c r="FZ64" s="436"/>
      <c r="GA64" s="436"/>
      <c r="GB64" s="436"/>
      <c r="GC64" s="322">
        <f t="shared" ref="GC64:GD67" si="65">FE64+FG64+FI64+FK64+FM64+FO64+FQ64+FS64+FU64+FW64+FY64+GA64</f>
        <v>0</v>
      </c>
      <c r="GD64" s="322">
        <f t="shared" si="65"/>
        <v>0</v>
      </c>
      <c r="GE64" s="436"/>
      <c r="GF64" s="436"/>
      <c r="GG64" s="436"/>
      <c r="GH64" s="436"/>
      <c r="GI64" s="436"/>
      <c r="GJ64" s="436"/>
      <c r="GK64" s="436"/>
      <c r="GL64" s="436"/>
      <c r="GM64" s="436"/>
      <c r="GN64" s="436"/>
      <c r="GO64" s="436"/>
      <c r="GP64" s="322">
        <f>$C64*GO64</f>
        <v>0</v>
      </c>
      <c r="GQ64" s="436"/>
      <c r="GR64" s="436"/>
      <c r="GS64" s="436"/>
      <c r="GT64" s="436"/>
      <c r="GU64" s="436"/>
      <c r="GV64" s="436"/>
      <c r="GW64" s="436"/>
      <c r="GX64" s="436"/>
      <c r="GY64" s="436"/>
      <c r="GZ64" s="436"/>
      <c r="HA64" s="436"/>
      <c r="HB64" s="436"/>
      <c r="HC64" s="322">
        <f t="shared" ref="HC64:HD67" si="66">GE64+GG64+GI64+GK64+GM64+GO64+GQ64+GS64+GU64+GW64+GY64+HA64</f>
        <v>0</v>
      </c>
      <c r="HD64" s="322">
        <f t="shared" si="66"/>
        <v>0</v>
      </c>
      <c r="HE64" s="322">
        <f t="shared" ref="HE64:HF67" si="67">AC64+BC64+CC64+DC64+EC64+FC64+GC64+HC64</f>
        <v>1</v>
      </c>
      <c r="HF64" s="322">
        <f t="shared" si="67"/>
        <v>120000000</v>
      </c>
      <c r="HH64" s="448"/>
      <c r="HI64" s="449"/>
      <c r="HJ64" s="448"/>
    </row>
    <row r="65" spans="1:218" x14ac:dyDescent="0.2">
      <c r="B65" s="313" t="s">
        <v>436</v>
      </c>
      <c r="C65" s="322">
        <v>300000000</v>
      </c>
      <c r="D65" s="447"/>
      <c r="E65" s="322"/>
      <c r="F65" s="322"/>
      <c r="G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  <c r="AA65" s="322"/>
      <c r="AB65" s="322"/>
      <c r="AC65" s="322">
        <f t="shared" si="59"/>
        <v>0</v>
      </c>
      <c r="AD65" s="322">
        <f t="shared" si="59"/>
        <v>0</v>
      </c>
      <c r="AE65" s="322"/>
      <c r="AF65" s="322"/>
      <c r="AG65" s="322"/>
      <c r="AH65" s="322"/>
      <c r="AI65" s="322"/>
      <c r="AJ65" s="322"/>
      <c r="AK65" s="322"/>
      <c r="AL65" s="322"/>
      <c r="AM65" s="322"/>
      <c r="AN65" s="322"/>
      <c r="AO65" s="322"/>
      <c r="AP65" s="322">
        <f>$C65*AO65</f>
        <v>0</v>
      </c>
      <c r="AQ65" s="322"/>
      <c r="AR65" s="322"/>
      <c r="AS65" s="322"/>
      <c r="AT65" s="322"/>
      <c r="AU65" s="322"/>
      <c r="AV65" s="322"/>
      <c r="AW65" s="322"/>
      <c r="AX65" s="322"/>
      <c r="AY65" s="322"/>
      <c r="AZ65" s="322"/>
      <c r="BA65" s="322"/>
      <c r="BB65" s="322">
        <f>$C65*BA65</f>
        <v>0</v>
      </c>
      <c r="BC65" s="322">
        <f t="shared" si="60"/>
        <v>0</v>
      </c>
      <c r="BD65" s="322">
        <f t="shared" si="60"/>
        <v>0</v>
      </c>
      <c r="BE65" s="322"/>
      <c r="BF65" s="322"/>
      <c r="BG65" s="322"/>
      <c r="BH65" s="322"/>
      <c r="BI65" s="322"/>
      <c r="BJ65" s="322">
        <f>$C65*BI65</f>
        <v>0</v>
      </c>
      <c r="BK65" s="322"/>
      <c r="BL65" s="322"/>
      <c r="BM65" s="322"/>
      <c r="BN65" s="322"/>
      <c r="BO65" s="322"/>
      <c r="BP65" s="322">
        <f>$C65*BO65</f>
        <v>0</v>
      </c>
      <c r="BQ65" s="322"/>
      <c r="BR65" s="322"/>
      <c r="BS65" s="322"/>
      <c r="BT65" s="322"/>
      <c r="BU65" s="322"/>
      <c r="BV65" s="322"/>
      <c r="BW65" s="322"/>
      <c r="BX65" s="322"/>
      <c r="BY65" s="322"/>
      <c r="BZ65" s="322"/>
      <c r="CA65" s="322"/>
      <c r="CB65" s="322"/>
      <c r="CC65" s="322">
        <f t="shared" si="61"/>
        <v>0</v>
      </c>
      <c r="CD65" s="322">
        <f t="shared" si="61"/>
        <v>0</v>
      </c>
      <c r="CE65" s="322"/>
      <c r="CF65" s="322"/>
      <c r="CG65" s="322"/>
      <c r="CH65" s="322"/>
      <c r="CI65" s="322"/>
      <c r="CJ65" s="322"/>
      <c r="CK65" s="322"/>
      <c r="CL65" s="322"/>
      <c r="CM65" s="322"/>
      <c r="CN65" s="322"/>
      <c r="CO65" s="322"/>
      <c r="CP65" s="322">
        <f>$C65*CO65</f>
        <v>0</v>
      </c>
      <c r="CQ65" s="322"/>
      <c r="CR65" s="322"/>
      <c r="CS65" s="322"/>
      <c r="CT65" s="322"/>
      <c r="CU65" s="322"/>
      <c r="CV65" s="322"/>
      <c r="CW65" s="322"/>
      <c r="CX65" s="322"/>
      <c r="CY65" s="322"/>
      <c r="CZ65" s="322"/>
      <c r="DA65" s="322"/>
      <c r="DB65" s="322"/>
      <c r="DC65" s="322">
        <f t="shared" si="62"/>
        <v>0</v>
      </c>
      <c r="DD65" s="322">
        <f t="shared" si="62"/>
        <v>0</v>
      </c>
      <c r="DE65" s="436"/>
      <c r="DF65" s="436"/>
      <c r="DG65" s="436"/>
      <c r="DH65" s="436"/>
      <c r="DI65" s="436"/>
      <c r="DJ65" s="436"/>
      <c r="DK65" s="436"/>
      <c r="DL65" s="436"/>
      <c r="DM65" s="436"/>
      <c r="DN65" s="436"/>
      <c r="DO65" s="436"/>
      <c r="DP65" s="436"/>
      <c r="DQ65" s="436"/>
      <c r="DR65" s="436"/>
      <c r="DS65" s="436"/>
      <c r="DT65" s="436"/>
      <c r="DU65" s="436"/>
      <c r="DV65" s="436"/>
      <c r="DW65" s="436"/>
      <c r="DX65" s="436"/>
      <c r="DY65" s="436"/>
      <c r="DZ65" s="436"/>
      <c r="EA65" s="436"/>
      <c r="EB65" s="436"/>
      <c r="EC65" s="322">
        <f t="shared" si="63"/>
        <v>0</v>
      </c>
      <c r="ED65" s="322">
        <f t="shared" si="63"/>
        <v>0</v>
      </c>
      <c r="EE65" s="436"/>
      <c r="EF65" s="436"/>
      <c r="EG65" s="436"/>
      <c r="EH65" s="436"/>
      <c r="EI65" s="436"/>
      <c r="EJ65" s="436"/>
      <c r="EK65" s="436"/>
      <c r="EL65" s="436"/>
      <c r="EM65" s="436"/>
      <c r="EN65" s="436"/>
      <c r="EO65" s="436"/>
      <c r="EP65" s="436"/>
      <c r="EQ65" s="436"/>
      <c r="ER65" s="436"/>
      <c r="ES65" s="436"/>
      <c r="ET65" s="436"/>
      <c r="EU65" s="436"/>
      <c r="EV65" s="436"/>
      <c r="EW65" s="436"/>
      <c r="EX65" s="436"/>
      <c r="EY65" s="436"/>
      <c r="EZ65" s="436"/>
      <c r="FA65" s="436"/>
      <c r="FB65" s="436"/>
      <c r="FC65" s="322">
        <f t="shared" si="64"/>
        <v>0</v>
      </c>
      <c r="FD65" s="322">
        <f t="shared" si="64"/>
        <v>0</v>
      </c>
      <c r="FE65" s="436"/>
      <c r="FF65" s="436"/>
      <c r="FG65" s="436"/>
      <c r="FH65" s="436"/>
      <c r="FI65" s="436"/>
      <c r="FJ65" s="436"/>
      <c r="FK65" s="436"/>
      <c r="FL65" s="436"/>
      <c r="FM65" s="436"/>
      <c r="FN65" s="436"/>
      <c r="FO65" s="436"/>
      <c r="FP65" s="436"/>
      <c r="FQ65" s="436"/>
      <c r="FR65" s="436"/>
      <c r="FS65" s="436"/>
      <c r="FT65" s="436"/>
      <c r="FU65" s="436"/>
      <c r="FV65" s="436"/>
      <c r="FW65" s="436"/>
      <c r="FX65" s="436"/>
      <c r="FY65" s="436"/>
      <c r="FZ65" s="436"/>
      <c r="GA65" s="436"/>
      <c r="GB65" s="436"/>
      <c r="GC65" s="322">
        <f t="shared" si="65"/>
        <v>0</v>
      </c>
      <c r="GD65" s="322">
        <f t="shared" si="65"/>
        <v>0</v>
      </c>
      <c r="GE65" s="436"/>
      <c r="GF65" s="436"/>
      <c r="GG65" s="436"/>
      <c r="GH65" s="436"/>
      <c r="GI65" s="436"/>
      <c r="GJ65" s="436"/>
      <c r="GK65" s="436"/>
      <c r="GL65" s="436"/>
      <c r="GM65" s="436"/>
      <c r="GN65" s="436"/>
      <c r="GO65" s="436"/>
      <c r="GP65" s="436"/>
      <c r="GQ65" s="436"/>
      <c r="GR65" s="436"/>
      <c r="GS65" s="436"/>
      <c r="GT65" s="436"/>
      <c r="GU65" s="436"/>
      <c r="GV65" s="436"/>
      <c r="GW65" s="436"/>
      <c r="GX65" s="436"/>
      <c r="GY65" s="436"/>
      <c r="GZ65" s="436"/>
      <c r="HA65" s="436"/>
      <c r="HB65" s="436"/>
      <c r="HC65" s="322">
        <f t="shared" si="66"/>
        <v>0</v>
      </c>
      <c r="HD65" s="322">
        <f t="shared" si="66"/>
        <v>0</v>
      </c>
      <c r="HE65" s="322">
        <f t="shared" si="67"/>
        <v>0</v>
      </c>
      <c r="HF65" s="322">
        <f t="shared" si="67"/>
        <v>0</v>
      </c>
      <c r="HH65" s="448"/>
      <c r="HI65" s="449"/>
      <c r="HJ65" s="448"/>
    </row>
    <row r="66" spans="1:218" x14ac:dyDescent="0.2">
      <c r="B66" s="313" t="s">
        <v>437</v>
      </c>
      <c r="C66" s="322">
        <v>180000000</v>
      </c>
      <c r="D66" s="447"/>
      <c r="E66" s="322"/>
      <c r="F66" s="322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456"/>
      <c r="T66" s="322"/>
      <c r="U66" s="322"/>
      <c r="V66" s="322"/>
      <c r="W66" s="322"/>
      <c r="X66" s="322"/>
      <c r="Y66" s="322"/>
      <c r="Z66" s="322"/>
      <c r="AA66" s="322"/>
      <c r="AB66" s="322"/>
      <c r="AC66" s="456">
        <f t="shared" si="59"/>
        <v>0</v>
      </c>
      <c r="AD66" s="322">
        <f t="shared" si="59"/>
        <v>0</v>
      </c>
      <c r="AE66" s="322"/>
      <c r="AF66" s="322"/>
      <c r="AG66" s="322"/>
      <c r="AH66" s="322"/>
      <c r="AI66" s="322"/>
      <c r="AJ66" s="322"/>
      <c r="AK66" s="322"/>
      <c r="AL66" s="322"/>
      <c r="AM66" s="322"/>
      <c r="AN66" s="322"/>
      <c r="AO66" s="456"/>
      <c r="AP66" s="322"/>
      <c r="AQ66" s="322"/>
      <c r="AR66" s="322"/>
      <c r="AS66" s="456"/>
      <c r="AT66" s="322"/>
      <c r="AU66" s="322"/>
      <c r="AV66" s="322"/>
      <c r="AW66" s="322"/>
      <c r="AX66" s="322"/>
      <c r="AY66" s="322"/>
      <c r="AZ66" s="322"/>
      <c r="BA66" s="456"/>
      <c r="BB66" s="322"/>
      <c r="BC66" s="322">
        <f t="shared" si="60"/>
        <v>0</v>
      </c>
      <c r="BD66" s="322">
        <f t="shared" si="60"/>
        <v>0</v>
      </c>
      <c r="BE66" s="322"/>
      <c r="BF66" s="322"/>
      <c r="BG66" s="322"/>
      <c r="BH66" s="322"/>
      <c r="BI66" s="322"/>
      <c r="BJ66" s="322"/>
      <c r="BK66" s="322"/>
      <c r="BL66" s="322"/>
      <c r="BM66" s="322"/>
      <c r="BN66" s="322"/>
      <c r="BO66" s="322"/>
      <c r="BP66" s="322">
        <f>$C66*BO66</f>
        <v>0</v>
      </c>
      <c r="BQ66" s="322"/>
      <c r="BR66" s="322"/>
      <c r="BS66" s="322"/>
      <c r="BT66" s="322"/>
      <c r="BU66" s="322"/>
      <c r="BV66" s="322"/>
      <c r="BW66" s="322"/>
      <c r="BX66" s="322"/>
      <c r="BY66" s="322"/>
      <c r="BZ66" s="322"/>
      <c r="CA66" s="322"/>
      <c r="CB66" s="322">
        <f>$C66*CA66</f>
        <v>0</v>
      </c>
      <c r="CC66" s="322">
        <f t="shared" si="61"/>
        <v>0</v>
      </c>
      <c r="CD66" s="322">
        <f t="shared" si="61"/>
        <v>0</v>
      </c>
      <c r="CE66" s="322"/>
      <c r="CF66" s="322"/>
      <c r="CG66" s="322"/>
      <c r="CH66" s="322"/>
      <c r="CI66" s="322"/>
      <c r="CJ66" s="322"/>
      <c r="CK66" s="322"/>
      <c r="CL66" s="322"/>
      <c r="CM66" s="322"/>
      <c r="CN66" s="322"/>
      <c r="CO66" s="322"/>
      <c r="CP66" s="322">
        <f>$C66*CO66</f>
        <v>0</v>
      </c>
      <c r="CQ66" s="322"/>
      <c r="CR66" s="322"/>
      <c r="CS66" s="322"/>
      <c r="CT66" s="322"/>
      <c r="CU66" s="322"/>
      <c r="CV66" s="322"/>
      <c r="CW66" s="322"/>
      <c r="CX66" s="322"/>
      <c r="CY66" s="322"/>
      <c r="CZ66" s="322"/>
      <c r="DA66" s="322"/>
      <c r="DB66" s="322">
        <f>$C66*DA66</f>
        <v>0</v>
      </c>
      <c r="DC66" s="322">
        <f t="shared" si="62"/>
        <v>0</v>
      </c>
      <c r="DD66" s="322">
        <f t="shared" si="62"/>
        <v>0</v>
      </c>
      <c r="DE66" s="436"/>
      <c r="DF66" s="436"/>
      <c r="DG66" s="436"/>
      <c r="DH66" s="436"/>
      <c r="DI66" s="436"/>
      <c r="DJ66" s="436"/>
      <c r="DK66" s="436"/>
      <c r="DL66" s="436"/>
      <c r="DM66" s="436"/>
      <c r="DN66" s="436"/>
      <c r="DO66" s="436"/>
      <c r="DP66" s="436"/>
      <c r="DQ66" s="436"/>
      <c r="DR66" s="436"/>
      <c r="DS66" s="436"/>
      <c r="DT66" s="436"/>
      <c r="DU66" s="436"/>
      <c r="DV66" s="436"/>
      <c r="DW66" s="436"/>
      <c r="DX66" s="436"/>
      <c r="DY66" s="436"/>
      <c r="DZ66" s="436"/>
      <c r="EA66" s="436"/>
      <c r="EB66" s="436"/>
      <c r="EC66" s="322">
        <f t="shared" si="63"/>
        <v>0</v>
      </c>
      <c r="ED66" s="322">
        <f t="shared" si="63"/>
        <v>0</v>
      </c>
      <c r="EE66" s="436"/>
      <c r="EF66" s="436"/>
      <c r="EG66" s="436"/>
      <c r="EH66" s="436"/>
      <c r="EI66" s="436"/>
      <c r="EJ66" s="436"/>
      <c r="EK66" s="436"/>
      <c r="EL66" s="436"/>
      <c r="EM66" s="436"/>
      <c r="EN66" s="436"/>
      <c r="EO66" s="436"/>
      <c r="EP66" s="436"/>
      <c r="EQ66" s="436"/>
      <c r="ER66" s="436"/>
      <c r="ES66" s="436"/>
      <c r="ET66" s="436"/>
      <c r="EU66" s="436"/>
      <c r="EV66" s="436"/>
      <c r="EW66" s="436"/>
      <c r="EX66" s="436"/>
      <c r="EY66" s="436"/>
      <c r="EZ66" s="436"/>
      <c r="FA66" s="436"/>
      <c r="FB66" s="436"/>
      <c r="FC66" s="322">
        <f t="shared" si="64"/>
        <v>0</v>
      </c>
      <c r="FD66" s="322">
        <f t="shared" si="64"/>
        <v>0</v>
      </c>
      <c r="FE66" s="436"/>
      <c r="FF66" s="436"/>
      <c r="FG66" s="436"/>
      <c r="FH66" s="436"/>
      <c r="FI66" s="436"/>
      <c r="FJ66" s="436"/>
      <c r="FK66" s="436"/>
      <c r="FL66" s="436"/>
      <c r="FM66" s="436"/>
      <c r="FN66" s="436"/>
      <c r="FO66" s="436"/>
      <c r="FP66" s="436"/>
      <c r="FQ66" s="436"/>
      <c r="FR66" s="436"/>
      <c r="FS66" s="436"/>
      <c r="FT66" s="436"/>
      <c r="FU66" s="436"/>
      <c r="FV66" s="436"/>
      <c r="FW66" s="436"/>
      <c r="FX66" s="436"/>
      <c r="FY66" s="436"/>
      <c r="FZ66" s="436"/>
      <c r="GA66" s="436"/>
      <c r="GB66" s="436"/>
      <c r="GC66" s="322">
        <f t="shared" si="65"/>
        <v>0</v>
      </c>
      <c r="GD66" s="322">
        <f t="shared" si="65"/>
        <v>0</v>
      </c>
      <c r="GE66" s="436"/>
      <c r="GF66" s="436"/>
      <c r="GG66" s="436"/>
      <c r="GH66" s="436"/>
      <c r="GI66" s="436"/>
      <c r="GJ66" s="436"/>
      <c r="GK66" s="436"/>
      <c r="GL66" s="436"/>
      <c r="GM66" s="436"/>
      <c r="GN66" s="436"/>
      <c r="GO66" s="436"/>
      <c r="GP66" s="436"/>
      <c r="GQ66" s="436"/>
      <c r="GR66" s="436"/>
      <c r="GS66" s="436"/>
      <c r="GT66" s="436"/>
      <c r="GU66" s="436"/>
      <c r="GV66" s="436"/>
      <c r="GW66" s="436"/>
      <c r="GX66" s="436"/>
      <c r="GY66" s="436"/>
      <c r="GZ66" s="436"/>
      <c r="HA66" s="436"/>
      <c r="HB66" s="436"/>
      <c r="HC66" s="322">
        <f t="shared" si="66"/>
        <v>0</v>
      </c>
      <c r="HD66" s="322">
        <f t="shared" si="66"/>
        <v>0</v>
      </c>
      <c r="HE66" s="322">
        <f t="shared" si="67"/>
        <v>0</v>
      </c>
      <c r="HF66" s="322">
        <f t="shared" si="67"/>
        <v>0</v>
      </c>
      <c r="HH66" s="448"/>
      <c r="HI66" s="449"/>
      <c r="HJ66" s="448"/>
    </row>
    <row r="67" spans="1:218" x14ac:dyDescent="0.2">
      <c r="B67" s="313" t="s">
        <v>438</v>
      </c>
      <c r="C67" s="322">
        <v>36000000</v>
      </c>
      <c r="D67" s="447">
        <v>0</v>
      </c>
      <c r="E67" s="322"/>
      <c r="F67" s="322"/>
      <c r="G67" s="322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  <c r="AA67" s="322"/>
      <c r="AB67" s="322"/>
      <c r="AC67" s="322">
        <f t="shared" si="59"/>
        <v>0</v>
      </c>
      <c r="AD67" s="322">
        <f t="shared" si="59"/>
        <v>0</v>
      </c>
      <c r="AE67" s="322"/>
      <c r="AF67" s="322"/>
      <c r="AG67" s="322"/>
      <c r="AH67" s="322"/>
      <c r="AI67" s="322"/>
      <c r="AJ67" s="322"/>
      <c r="AK67" s="322"/>
      <c r="AL67" s="322"/>
      <c r="AM67" s="322"/>
      <c r="AN67" s="322"/>
      <c r="AO67" s="322"/>
      <c r="AP67" s="322"/>
      <c r="AQ67" s="322"/>
      <c r="AR67" s="322"/>
      <c r="AS67" s="322"/>
      <c r="AT67" s="322"/>
      <c r="AU67" s="322"/>
      <c r="AV67" s="322"/>
      <c r="AW67" s="322"/>
      <c r="AX67" s="322"/>
      <c r="AY67" s="322"/>
      <c r="AZ67" s="322"/>
      <c r="BA67" s="322"/>
      <c r="BB67" s="457">
        <f t="shared" ref="AF67:CQ68" si="68">SUM(BB63:BB66)</f>
        <v>0</v>
      </c>
      <c r="BC67" s="322">
        <f t="shared" si="60"/>
        <v>0</v>
      </c>
      <c r="BD67" s="322">
        <f t="shared" si="60"/>
        <v>0</v>
      </c>
      <c r="BE67" s="322"/>
      <c r="BF67" s="322"/>
      <c r="BG67" s="322"/>
      <c r="BH67" s="322"/>
      <c r="BI67" s="322"/>
      <c r="BJ67" s="322"/>
      <c r="BK67" s="322"/>
      <c r="BL67" s="322"/>
      <c r="BM67" s="322"/>
      <c r="BN67" s="322"/>
      <c r="BO67" s="322"/>
      <c r="BP67" s="322">
        <f>$C67*BO67</f>
        <v>0</v>
      </c>
      <c r="BQ67" s="322"/>
      <c r="BR67" s="322"/>
      <c r="BS67" s="322"/>
      <c r="BT67" s="322"/>
      <c r="BU67" s="322"/>
      <c r="BV67" s="322"/>
      <c r="BW67" s="322"/>
      <c r="BX67" s="322"/>
      <c r="BY67" s="322"/>
      <c r="BZ67" s="322"/>
      <c r="CA67" s="322"/>
      <c r="CB67" s="322"/>
      <c r="CC67" s="322">
        <f t="shared" si="61"/>
        <v>0</v>
      </c>
      <c r="CD67" s="322">
        <f t="shared" si="61"/>
        <v>0</v>
      </c>
      <c r="CE67" s="322"/>
      <c r="CF67" s="322"/>
      <c r="CG67" s="322"/>
      <c r="CH67" s="322"/>
      <c r="CI67" s="322"/>
      <c r="CJ67" s="322"/>
      <c r="CK67" s="322"/>
      <c r="CL67" s="322"/>
      <c r="CM67" s="322"/>
      <c r="CN67" s="322"/>
      <c r="CO67" s="322"/>
      <c r="CP67" s="322">
        <f>$C67*CO67</f>
        <v>0</v>
      </c>
      <c r="CQ67" s="322"/>
      <c r="CR67" s="322"/>
      <c r="CS67" s="322"/>
      <c r="CT67" s="322"/>
      <c r="CU67" s="322"/>
      <c r="CV67" s="322"/>
      <c r="CW67" s="322"/>
      <c r="CX67" s="322"/>
      <c r="CY67" s="322"/>
      <c r="CZ67" s="322"/>
      <c r="DA67" s="322"/>
      <c r="DB67" s="322"/>
      <c r="DC67" s="322">
        <f t="shared" si="62"/>
        <v>0</v>
      </c>
      <c r="DD67" s="322">
        <f t="shared" si="62"/>
        <v>0</v>
      </c>
      <c r="DE67" s="436"/>
      <c r="DF67" s="436"/>
      <c r="DG67" s="436"/>
      <c r="DH67" s="436"/>
      <c r="DI67" s="436"/>
      <c r="DJ67" s="436"/>
      <c r="DK67" s="436"/>
      <c r="DL67" s="436"/>
      <c r="DM67" s="436"/>
      <c r="DN67" s="436"/>
      <c r="DO67" s="436"/>
      <c r="DP67" s="322">
        <f>$C67*DO67</f>
        <v>0</v>
      </c>
      <c r="DQ67" s="436"/>
      <c r="DR67" s="436"/>
      <c r="DS67" s="436"/>
      <c r="DT67" s="436"/>
      <c r="DU67" s="436"/>
      <c r="DV67" s="436"/>
      <c r="DW67" s="436"/>
      <c r="DX67" s="436"/>
      <c r="DY67" s="436"/>
      <c r="DZ67" s="436"/>
      <c r="EA67" s="436"/>
      <c r="EB67" s="436"/>
      <c r="EC67" s="322">
        <f t="shared" si="63"/>
        <v>0</v>
      </c>
      <c r="ED67" s="322">
        <f t="shared" si="63"/>
        <v>0</v>
      </c>
      <c r="EE67" s="436"/>
      <c r="EF67" s="436"/>
      <c r="EG67" s="436"/>
      <c r="EH67" s="436"/>
      <c r="EI67" s="436"/>
      <c r="EJ67" s="436"/>
      <c r="EK67" s="436"/>
      <c r="EL67" s="436"/>
      <c r="EM67" s="436"/>
      <c r="EN67" s="436"/>
      <c r="EO67" s="436"/>
      <c r="EP67" s="436">
        <f>$C$67*EO67</f>
        <v>0</v>
      </c>
      <c r="EQ67" s="436"/>
      <c r="ER67" s="436"/>
      <c r="ES67" s="436"/>
      <c r="ET67" s="436"/>
      <c r="EU67" s="436"/>
      <c r="EV67" s="436"/>
      <c r="EW67" s="436"/>
      <c r="EX67" s="436"/>
      <c r="EY67" s="436"/>
      <c r="EZ67" s="436"/>
      <c r="FA67" s="436"/>
      <c r="FB67" s="436"/>
      <c r="FC67" s="322">
        <f t="shared" si="64"/>
        <v>0</v>
      </c>
      <c r="FD67" s="322">
        <f t="shared" si="64"/>
        <v>0</v>
      </c>
      <c r="FE67" s="436"/>
      <c r="FF67" s="436"/>
      <c r="FG67" s="436"/>
      <c r="FH67" s="436"/>
      <c r="FI67" s="436"/>
      <c r="FJ67" s="436"/>
      <c r="FK67" s="436"/>
      <c r="FL67" s="436"/>
      <c r="FM67" s="436"/>
      <c r="FN67" s="436"/>
      <c r="FO67" s="436"/>
      <c r="FP67" s="436"/>
      <c r="FQ67" s="436"/>
      <c r="FR67" s="436"/>
      <c r="FS67" s="436"/>
      <c r="FT67" s="436"/>
      <c r="FU67" s="436"/>
      <c r="FV67" s="436"/>
      <c r="FW67" s="436"/>
      <c r="FX67" s="436"/>
      <c r="FY67" s="436"/>
      <c r="FZ67" s="436"/>
      <c r="GA67" s="436"/>
      <c r="GB67" s="436"/>
      <c r="GC67" s="322">
        <f t="shared" si="65"/>
        <v>0</v>
      </c>
      <c r="GD67" s="322">
        <f t="shared" si="65"/>
        <v>0</v>
      </c>
      <c r="GE67" s="436"/>
      <c r="GF67" s="436"/>
      <c r="GG67" s="436"/>
      <c r="GH67" s="436"/>
      <c r="GI67" s="436"/>
      <c r="GJ67" s="436"/>
      <c r="GK67" s="436"/>
      <c r="GL67" s="436"/>
      <c r="GM67" s="436"/>
      <c r="GN67" s="436"/>
      <c r="GO67" s="436"/>
      <c r="GP67" s="436"/>
      <c r="GQ67" s="436"/>
      <c r="GR67" s="436"/>
      <c r="GS67" s="436"/>
      <c r="GT67" s="436"/>
      <c r="GU67" s="436"/>
      <c r="GV67" s="436"/>
      <c r="GW67" s="436"/>
      <c r="GX67" s="436"/>
      <c r="GY67" s="436"/>
      <c r="GZ67" s="436"/>
      <c r="HA67" s="436"/>
      <c r="HB67" s="436"/>
      <c r="HC67" s="322">
        <f t="shared" si="66"/>
        <v>0</v>
      </c>
      <c r="HD67" s="322">
        <f t="shared" si="66"/>
        <v>0</v>
      </c>
      <c r="HE67" s="322">
        <f t="shared" si="67"/>
        <v>0</v>
      </c>
      <c r="HF67" s="322">
        <f t="shared" si="67"/>
        <v>0</v>
      </c>
      <c r="HH67" s="448"/>
      <c r="HI67" s="449"/>
      <c r="HJ67" s="448"/>
    </row>
    <row r="68" spans="1:218" x14ac:dyDescent="0.2">
      <c r="B68" s="311" t="s">
        <v>439</v>
      </c>
      <c r="C68" s="322">
        <v>0</v>
      </c>
      <c r="D68" s="293"/>
      <c r="E68" s="457"/>
      <c r="F68" s="457"/>
      <c r="G68" s="457"/>
      <c r="H68" s="457"/>
      <c r="I68" s="457"/>
      <c r="J68" s="457"/>
      <c r="K68" s="457"/>
      <c r="L68" s="457"/>
      <c r="M68" s="457"/>
      <c r="N68" s="457"/>
      <c r="O68" s="457"/>
      <c r="P68" s="457"/>
      <c r="Q68" s="457"/>
      <c r="R68" s="457"/>
      <c r="S68" s="457"/>
      <c r="T68" s="457"/>
      <c r="U68" s="457"/>
      <c r="V68" s="457"/>
      <c r="W68" s="457"/>
      <c r="X68" s="457"/>
      <c r="Y68" s="457"/>
      <c r="Z68" s="457"/>
      <c r="AA68" s="457"/>
      <c r="AB68" s="457"/>
      <c r="AC68" s="457"/>
      <c r="AD68" s="457"/>
      <c r="AE68" s="457">
        <f>SUM(AE64:AE67)</f>
        <v>0</v>
      </c>
      <c r="AF68" s="457">
        <f t="shared" si="68"/>
        <v>0</v>
      </c>
      <c r="AG68" s="457">
        <f t="shared" si="68"/>
        <v>0</v>
      </c>
      <c r="AH68" s="457">
        <f t="shared" si="68"/>
        <v>0</v>
      </c>
      <c r="AI68" s="457">
        <f t="shared" si="68"/>
        <v>0</v>
      </c>
      <c r="AJ68" s="457">
        <f t="shared" si="68"/>
        <v>0</v>
      </c>
      <c r="AK68" s="457">
        <f t="shared" si="68"/>
        <v>0</v>
      </c>
      <c r="AL68" s="457">
        <f t="shared" si="68"/>
        <v>0</v>
      </c>
      <c r="AM68" s="457">
        <f t="shared" si="68"/>
        <v>0</v>
      </c>
      <c r="AN68" s="457">
        <f t="shared" si="68"/>
        <v>0</v>
      </c>
      <c r="AO68" s="457">
        <f t="shared" si="68"/>
        <v>0</v>
      </c>
      <c r="AP68" s="457">
        <f t="shared" si="68"/>
        <v>0</v>
      </c>
      <c r="AQ68" s="457">
        <f t="shared" si="68"/>
        <v>0</v>
      </c>
      <c r="AR68" s="457">
        <f t="shared" si="68"/>
        <v>0</v>
      </c>
      <c r="AS68" s="457">
        <f t="shared" si="68"/>
        <v>0</v>
      </c>
      <c r="AT68" s="457">
        <f t="shared" si="68"/>
        <v>0</v>
      </c>
      <c r="AU68" s="457">
        <f t="shared" si="68"/>
        <v>0</v>
      </c>
      <c r="AV68" s="457">
        <f t="shared" si="68"/>
        <v>0</v>
      </c>
      <c r="AW68" s="457">
        <f t="shared" si="68"/>
        <v>0</v>
      </c>
      <c r="AX68" s="457">
        <f t="shared" si="68"/>
        <v>0</v>
      </c>
      <c r="AY68" s="457">
        <f t="shared" si="68"/>
        <v>1</v>
      </c>
      <c r="AZ68" s="457">
        <f t="shared" si="68"/>
        <v>120000000</v>
      </c>
      <c r="BA68" s="457">
        <f t="shared" si="68"/>
        <v>0</v>
      </c>
      <c r="BB68" s="457">
        <f t="shared" si="68"/>
        <v>0</v>
      </c>
      <c r="BC68" s="457">
        <f t="shared" si="68"/>
        <v>1</v>
      </c>
      <c r="BD68" s="457">
        <f t="shared" si="68"/>
        <v>120000000</v>
      </c>
      <c r="BE68" s="457">
        <f t="shared" si="68"/>
        <v>0</v>
      </c>
      <c r="BF68" s="457">
        <f t="shared" si="68"/>
        <v>0</v>
      </c>
      <c r="BG68" s="457">
        <f t="shared" si="68"/>
        <v>0</v>
      </c>
      <c r="BH68" s="457">
        <f t="shared" si="68"/>
        <v>0</v>
      </c>
      <c r="BI68" s="457">
        <f t="shared" si="68"/>
        <v>0</v>
      </c>
      <c r="BJ68" s="457">
        <f t="shared" si="68"/>
        <v>0</v>
      </c>
      <c r="BK68" s="457">
        <f t="shared" si="68"/>
        <v>0</v>
      </c>
      <c r="BL68" s="457">
        <f t="shared" si="68"/>
        <v>0</v>
      </c>
      <c r="BM68" s="457">
        <f t="shared" si="68"/>
        <v>0</v>
      </c>
      <c r="BN68" s="457">
        <f t="shared" si="68"/>
        <v>0</v>
      </c>
      <c r="BO68" s="457">
        <f t="shared" si="68"/>
        <v>0</v>
      </c>
      <c r="BP68" s="457">
        <f t="shared" si="68"/>
        <v>0</v>
      </c>
      <c r="BQ68" s="457">
        <f t="shared" si="68"/>
        <v>0</v>
      </c>
      <c r="BR68" s="457">
        <f t="shared" si="68"/>
        <v>0</v>
      </c>
      <c r="BS68" s="457">
        <f t="shared" si="68"/>
        <v>0</v>
      </c>
      <c r="BT68" s="457">
        <f t="shared" si="68"/>
        <v>0</v>
      </c>
      <c r="BU68" s="457">
        <f t="shared" si="68"/>
        <v>0</v>
      </c>
      <c r="BV68" s="457">
        <f t="shared" si="68"/>
        <v>0</v>
      </c>
      <c r="BW68" s="457">
        <f t="shared" si="68"/>
        <v>0</v>
      </c>
      <c r="BX68" s="457">
        <f t="shared" si="68"/>
        <v>0</v>
      </c>
      <c r="BY68" s="457">
        <f t="shared" si="68"/>
        <v>0</v>
      </c>
      <c r="BZ68" s="457">
        <f t="shared" si="68"/>
        <v>0</v>
      </c>
      <c r="CA68" s="457">
        <f t="shared" si="68"/>
        <v>0</v>
      </c>
      <c r="CB68" s="457">
        <f t="shared" si="68"/>
        <v>0</v>
      </c>
      <c r="CC68" s="457">
        <f t="shared" si="68"/>
        <v>0</v>
      </c>
      <c r="CD68" s="457">
        <f t="shared" si="68"/>
        <v>0</v>
      </c>
      <c r="CE68" s="457">
        <f t="shared" si="68"/>
        <v>0</v>
      </c>
      <c r="CF68" s="457">
        <f t="shared" si="68"/>
        <v>0</v>
      </c>
      <c r="CG68" s="457">
        <f t="shared" si="68"/>
        <v>0</v>
      </c>
      <c r="CH68" s="457">
        <f t="shared" si="68"/>
        <v>0</v>
      </c>
      <c r="CI68" s="457">
        <f t="shared" si="68"/>
        <v>0</v>
      </c>
      <c r="CJ68" s="457">
        <f t="shared" si="68"/>
        <v>0</v>
      </c>
      <c r="CK68" s="457">
        <f t="shared" si="68"/>
        <v>0</v>
      </c>
      <c r="CL68" s="457">
        <f t="shared" si="68"/>
        <v>0</v>
      </c>
      <c r="CM68" s="457">
        <f t="shared" si="68"/>
        <v>0</v>
      </c>
      <c r="CN68" s="457">
        <f t="shared" si="68"/>
        <v>0</v>
      </c>
      <c r="CO68" s="457">
        <f t="shared" si="68"/>
        <v>0</v>
      </c>
      <c r="CP68" s="457">
        <f t="shared" si="68"/>
        <v>0</v>
      </c>
      <c r="CQ68" s="457">
        <f t="shared" si="68"/>
        <v>0</v>
      </c>
      <c r="CR68" s="457">
        <f t="shared" ref="CR68:FC68" si="69">SUM(CR64:CR67)</f>
        <v>0</v>
      </c>
      <c r="CS68" s="457">
        <f t="shared" si="69"/>
        <v>0</v>
      </c>
      <c r="CT68" s="457">
        <f t="shared" si="69"/>
        <v>0</v>
      </c>
      <c r="CU68" s="457">
        <f t="shared" si="69"/>
        <v>0</v>
      </c>
      <c r="CV68" s="457">
        <f t="shared" si="69"/>
        <v>0</v>
      </c>
      <c r="CW68" s="457">
        <f t="shared" si="69"/>
        <v>0</v>
      </c>
      <c r="CX68" s="457">
        <f t="shared" si="69"/>
        <v>0</v>
      </c>
      <c r="CY68" s="457">
        <f t="shared" si="69"/>
        <v>0</v>
      </c>
      <c r="CZ68" s="457">
        <f t="shared" si="69"/>
        <v>0</v>
      </c>
      <c r="DA68" s="457">
        <f t="shared" si="69"/>
        <v>0</v>
      </c>
      <c r="DB68" s="457">
        <f t="shared" si="69"/>
        <v>0</v>
      </c>
      <c r="DC68" s="457">
        <f t="shared" si="69"/>
        <v>0</v>
      </c>
      <c r="DD68" s="457">
        <f t="shared" si="69"/>
        <v>0</v>
      </c>
      <c r="DE68" s="457">
        <f t="shared" si="69"/>
        <v>0</v>
      </c>
      <c r="DF68" s="457">
        <f t="shared" si="69"/>
        <v>0</v>
      </c>
      <c r="DG68" s="457">
        <f t="shared" si="69"/>
        <v>0</v>
      </c>
      <c r="DH68" s="457">
        <f t="shared" si="69"/>
        <v>0</v>
      </c>
      <c r="DI68" s="457">
        <f t="shared" si="69"/>
        <v>0</v>
      </c>
      <c r="DJ68" s="457">
        <f t="shared" si="69"/>
        <v>0</v>
      </c>
      <c r="DK68" s="457">
        <f t="shared" si="69"/>
        <v>0</v>
      </c>
      <c r="DL68" s="457">
        <f t="shared" si="69"/>
        <v>0</v>
      </c>
      <c r="DM68" s="457">
        <f t="shared" si="69"/>
        <v>0</v>
      </c>
      <c r="DN68" s="457">
        <f t="shared" si="69"/>
        <v>0</v>
      </c>
      <c r="DO68" s="457">
        <f t="shared" si="69"/>
        <v>0</v>
      </c>
      <c r="DP68" s="457">
        <f t="shared" si="69"/>
        <v>0</v>
      </c>
      <c r="DQ68" s="457">
        <f t="shared" si="69"/>
        <v>0</v>
      </c>
      <c r="DR68" s="457">
        <f t="shared" si="69"/>
        <v>0</v>
      </c>
      <c r="DS68" s="457">
        <f t="shared" si="69"/>
        <v>0</v>
      </c>
      <c r="DT68" s="457">
        <f t="shared" si="69"/>
        <v>0</v>
      </c>
      <c r="DU68" s="457">
        <f t="shared" si="69"/>
        <v>0</v>
      </c>
      <c r="DV68" s="457">
        <f t="shared" si="69"/>
        <v>0</v>
      </c>
      <c r="DW68" s="457">
        <f t="shared" si="69"/>
        <v>0</v>
      </c>
      <c r="DX68" s="457">
        <f t="shared" si="69"/>
        <v>0</v>
      </c>
      <c r="DY68" s="457">
        <f t="shared" si="69"/>
        <v>0</v>
      </c>
      <c r="DZ68" s="457">
        <f t="shared" si="69"/>
        <v>0</v>
      </c>
      <c r="EA68" s="457">
        <f t="shared" si="69"/>
        <v>0</v>
      </c>
      <c r="EB68" s="457">
        <f t="shared" si="69"/>
        <v>0</v>
      </c>
      <c r="EC68" s="457">
        <f t="shared" si="69"/>
        <v>0</v>
      </c>
      <c r="ED68" s="457">
        <f t="shared" si="69"/>
        <v>0</v>
      </c>
      <c r="EE68" s="457">
        <f t="shared" si="69"/>
        <v>0</v>
      </c>
      <c r="EF68" s="457">
        <f t="shared" si="69"/>
        <v>0</v>
      </c>
      <c r="EG68" s="457">
        <f t="shared" si="69"/>
        <v>0</v>
      </c>
      <c r="EH68" s="457">
        <f t="shared" si="69"/>
        <v>0</v>
      </c>
      <c r="EI68" s="457">
        <f t="shared" si="69"/>
        <v>0</v>
      </c>
      <c r="EJ68" s="457">
        <f t="shared" si="69"/>
        <v>0</v>
      </c>
      <c r="EK68" s="457">
        <f t="shared" si="69"/>
        <v>0</v>
      </c>
      <c r="EL68" s="457">
        <f t="shared" si="69"/>
        <v>0</v>
      </c>
      <c r="EM68" s="457">
        <f t="shared" si="69"/>
        <v>0</v>
      </c>
      <c r="EN68" s="457">
        <f t="shared" si="69"/>
        <v>0</v>
      </c>
      <c r="EO68" s="457">
        <f t="shared" si="69"/>
        <v>0</v>
      </c>
      <c r="EP68" s="457">
        <f t="shared" si="69"/>
        <v>0</v>
      </c>
      <c r="EQ68" s="457">
        <f t="shared" si="69"/>
        <v>0</v>
      </c>
      <c r="ER68" s="457">
        <f t="shared" si="69"/>
        <v>0</v>
      </c>
      <c r="ES68" s="457">
        <f t="shared" si="69"/>
        <v>0</v>
      </c>
      <c r="ET68" s="457">
        <f t="shared" si="69"/>
        <v>0</v>
      </c>
      <c r="EU68" s="457">
        <f t="shared" si="69"/>
        <v>0</v>
      </c>
      <c r="EV68" s="457">
        <f t="shared" si="69"/>
        <v>0</v>
      </c>
      <c r="EW68" s="457">
        <f t="shared" si="69"/>
        <v>0</v>
      </c>
      <c r="EX68" s="457">
        <f t="shared" si="69"/>
        <v>0</v>
      </c>
      <c r="EY68" s="457">
        <f t="shared" si="69"/>
        <v>0</v>
      </c>
      <c r="EZ68" s="457">
        <f t="shared" si="69"/>
        <v>0</v>
      </c>
      <c r="FA68" s="457">
        <f t="shared" si="69"/>
        <v>0</v>
      </c>
      <c r="FB68" s="457">
        <f t="shared" si="69"/>
        <v>0</v>
      </c>
      <c r="FC68" s="457">
        <f t="shared" si="69"/>
        <v>0</v>
      </c>
      <c r="FD68" s="457">
        <f>SUM(FD64:FD67)</f>
        <v>0</v>
      </c>
      <c r="FE68" s="457">
        <f t="shared" ref="FE68:GC68" si="70">SUM(FE64:FE67)</f>
        <v>0</v>
      </c>
      <c r="FF68" s="457">
        <f t="shared" si="70"/>
        <v>0</v>
      </c>
      <c r="FG68" s="457">
        <f t="shared" si="70"/>
        <v>0</v>
      </c>
      <c r="FH68" s="457">
        <f t="shared" si="70"/>
        <v>0</v>
      </c>
      <c r="FI68" s="457">
        <f t="shared" si="70"/>
        <v>0</v>
      </c>
      <c r="FJ68" s="457">
        <f t="shared" si="70"/>
        <v>0</v>
      </c>
      <c r="FK68" s="457">
        <f t="shared" si="70"/>
        <v>0</v>
      </c>
      <c r="FL68" s="457">
        <f t="shared" si="70"/>
        <v>0</v>
      </c>
      <c r="FM68" s="457">
        <f t="shared" si="70"/>
        <v>0</v>
      </c>
      <c r="FN68" s="457">
        <f t="shared" si="70"/>
        <v>0</v>
      </c>
      <c r="FO68" s="457">
        <f t="shared" si="70"/>
        <v>0</v>
      </c>
      <c r="FP68" s="457">
        <f t="shared" si="70"/>
        <v>0</v>
      </c>
      <c r="FQ68" s="457">
        <f t="shared" si="70"/>
        <v>0</v>
      </c>
      <c r="FR68" s="457">
        <f t="shared" si="70"/>
        <v>0</v>
      </c>
      <c r="FS68" s="457">
        <f t="shared" si="70"/>
        <v>0</v>
      </c>
      <c r="FT68" s="457">
        <f t="shared" si="70"/>
        <v>0</v>
      </c>
      <c r="FU68" s="457">
        <f t="shared" si="70"/>
        <v>0</v>
      </c>
      <c r="FV68" s="457">
        <f t="shared" si="70"/>
        <v>0</v>
      </c>
      <c r="FW68" s="457">
        <f t="shared" si="70"/>
        <v>0</v>
      </c>
      <c r="FX68" s="457">
        <f t="shared" si="70"/>
        <v>0</v>
      </c>
      <c r="FY68" s="457">
        <f t="shared" si="70"/>
        <v>0</v>
      </c>
      <c r="FZ68" s="457">
        <f t="shared" si="70"/>
        <v>0</v>
      </c>
      <c r="GA68" s="457">
        <f t="shared" si="70"/>
        <v>0</v>
      </c>
      <c r="GB68" s="457">
        <f t="shared" si="70"/>
        <v>0</v>
      </c>
      <c r="GC68" s="457">
        <f t="shared" si="70"/>
        <v>0</v>
      </c>
      <c r="GD68" s="457">
        <f>SUM(GD64:GD67)</f>
        <v>0</v>
      </c>
      <c r="GE68" s="457">
        <f t="shared" ref="GE68:HC68" si="71">SUM(GE64:GE67)</f>
        <v>0</v>
      </c>
      <c r="GF68" s="457">
        <f t="shared" si="71"/>
        <v>0</v>
      </c>
      <c r="GG68" s="457">
        <f t="shared" si="71"/>
        <v>0</v>
      </c>
      <c r="GH68" s="457">
        <f t="shared" si="71"/>
        <v>0</v>
      </c>
      <c r="GI68" s="457">
        <f t="shared" si="71"/>
        <v>0</v>
      </c>
      <c r="GJ68" s="457">
        <f t="shared" si="71"/>
        <v>0</v>
      </c>
      <c r="GK68" s="457">
        <f t="shared" si="71"/>
        <v>0</v>
      </c>
      <c r="GL68" s="457">
        <f t="shared" si="71"/>
        <v>0</v>
      </c>
      <c r="GM68" s="457">
        <f t="shared" si="71"/>
        <v>0</v>
      </c>
      <c r="GN68" s="457">
        <f t="shared" si="71"/>
        <v>0</v>
      </c>
      <c r="GO68" s="457">
        <f t="shared" si="71"/>
        <v>0</v>
      </c>
      <c r="GP68" s="457">
        <f t="shared" si="71"/>
        <v>0</v>
      </c>
      <c r="GQ68" s="457">
        <f t="shared" si="71"/>
        <v>0</v>
      </c>
      <c r="GR68" s="457">
        <f t="shared" si="71"/>
        <v>0</v>
      </c>
      <c r="GS68" s="457">
        <f t="shared" si="71"/>
        <v>0</v>
      </c>
      <c r="GT68" s="457">
        <f t="shared" si="71"/>
        <v>0</v>
      </c>
      <c r="GU68" s="457">
        <f t="shared" si="71"/>
        <v>0</v>
      </c>
      <c r="GV68" s="457">
        <f t="shared" si="71"/>
        <v>0</v>
      </c>
      <c r="GW68" s="457">
        <f t="shared" si="71"/>
        <v>0</v>
      </c>
      <c r="GX68" s="457">
        <f t="shared" si="71"/>
        <v>0</v>
      </c>
      <c r="GY68" s="457">
        <f t="shared" si="71"/>
        <v>0</v>
      </c>
      <c r="GZ68" s="457">
        <f t="shared" si="71"/>
        <v>0</v>
      </c>
      <c r="HA68" s="457">
        <f t="shared" si="71"/>
        <v>0</v>
      </c>
      <c r="HB68" s="457">
        <f t="shared" si="71"/>
        <v>0</v>
      </c>
      <c r="HC68" s="457">
        <f t="shared" si="71"/>
        <v>0</v>
      </c>
      <c r="HD68" s="457">
        <f>SUM(HD64:HD67)</f>
        <v>0</v>
      </c>
      <c r="HE68" s="457">
        <f>SUM(HE64:HE67)</f>
        <v>1</v>
      </c>
      <c r="HF68" s="457">
        <f>SUM(HF64:HF67)</f>
        <v>120000000</v>
      </c>
      <c r="HH68" s="448"/>
      <c r="HI68" s="449"/>
      <c r="HJ68" s="448"/>
    </row>
    <row r="69" spans="1:218" x14ac:dyDescent="0.2">
      <c r="B69" s="313" t="s">
        <v>440</v>
      </c>
      <c r="C69" s="322">
        <v>1920000000</v>
      </c>
      <c r="D69" s="328"/>
      <c r="E69" s="320"/>
      <c r="F69" s="320"/>
      <c r="G69" s="320"/>
      <c r="H69" s="320"/>
      <c r="I69" s="320"/>
      <c r="J69" s="320"/>
      <c r="K69" s="320"/>
      <c r="L69" s="320"/>
      <c r="M69" s="320"/>
      <c r="N69" s="320"/>
      <c r="O69" s="320"/>
      <c r="P69" s="320"/>
      <c r="Q69" s="320"/>
      <c r="R69" s="320"/>
      <c r="S69" s="320"/>
      <c r="T69" s="320"/>
      <c r="U69" s="320"/>
      <c r="V69" s="320"/>
      <c r="W69" s="320"/>
      <c r="X69" s="320"/>
      <c r="Y69" s="320"/>
      <c r="Z69" s="322"/>
      <c r="AA69" s="320"/>
      <c r="AB69" s="320"/>
      <c r="AC69" s="322">
        <f t="shared" ref="AC69:AD74" si="72">E69+G69+I69+K69+M69+O69+Q69+S69+U69+W69+Y69+AA69</f>
        <v>0</v>
      </c>
      <c r="AD69" s="322">
        <f t="shared" si="72"/>
        <v>0</v>
      </c>
      <c r="AE69" s="320"/>
      <c r="AF69" s="320"/>
      <c r="AG69" s="320"/>
      <c r="AH69" s="320"/>
      <c r="AI69" s="320"/>
      <c r="AJ69" s="320"/>
      <c r="AK69" s="320"/>
      <c r="AL69" s="320"/>
      <c r="AM69" s="320"/>
      <c r="AN69" s="320"/>
      <c r="AO69" s="322"/>
      <c r="AP69" s="322"/>
      <c r="AQ69" s="322"/>
      <c r="AR69" s="322"/>
      <c r="AS69" s="322"/>
      <c r="AT69" s="322"/>
      <c r="AU69" s="322"/>
      <c r="AV69" s="322"/>
      <c r="AW69" s="322"/>
      <c r="AX69" s="322"/>
      <c r="AY69" s="322"/>
      <c r="AZ69" s="322"/>
      <c r="BA69" s="322"/>
      <c r="BB69" s="322"/>
      <c r="BC69" s="322">
        <f t="shared" ref="BC69:BD74" si="73">AE69+AG69+AI69+AK69+AM69+AO69+AQ69+AS69+AU69+AW69+AY69+BA69</f>
        <v>0</v>
      </c>
      <c r="BD69" s="322">
        <f t="shared" si="73"/>
        <v>0</v>
      </c>
      <c r="BE69" s="322"/>
      <c r="BF69" s="322"/>
      <c r="BG69" s="322"/>
      <c r="BH69" s="322"/>
      <c r="BI69" s="322"/>
      <c r="BJ69" s="322"/>
      <c r="BK69" s="322"/>
      <c r="BL69" s="322"/>
      <c r="BM69" s="322"/>
      <c r="BN69" s="322"/>
      <c r="BO69" s="322"/>
      <c r="BP69" s="322"/>
      <c r="BQ69" s="322"/>
      <c r="BR69" s="322"/>
      <c r="BS69" s="322"/>
      <c r="BT69" s="322"/>
      <c r="BU69" s="322"/>
      <c r="BV69" s="322"/>
      <c r="BW69" s="322"/>
      <c r="BX69" s="322"/>
      <c r="BY69" s="322"/>
      <c r="BZ69" s="322"/>
      <c r="CA69" s="322"/>
      <c r="CB69" s="322"/>
      <c r="CC69" s="322">
        <f t="shared" ref="CC69:CD74" si="74">BE69+BG69+BI69+BK69+BM69+BO69+BQ69+BS69+BU69+BW69+BY69+CA69</f>
        <v>0</v>
      </c>
      <c r="CD69" s="322">
        <f t="shared" si="74"/>
        <v>0</v>
      </c>
      <c r="CE69" s="322"/>
      <c r="CF69" s="322"/>
      <c r="CG69" s="322"/>
      <c r="CH69" s="322"/>
      <c r="CI69" s="322"/>
      <c r="CJ69" s="322"/>
      <c r="CK69" s="322"/>
      <c r="CL69" s="322"/>
      <c r="CM69" s="322"/>
      <c r="CN69" s="322"/>
      <c r="CO69" s="322"/>
      <c r="CP69" s="322"/>
      <c r="CQ69" s="322"/>
      <c r="CR69" s="322"/>
      <c r="CS69" s="322"/>
      <c r="CT69" s="322"/>
      <c r="CU69" s="322"/>
      <c r="CV69" s="322"/>
      <c r="CW69" s="322"/>
      <c r="CX69" s="322"/>
      <c r="CY69" s="322"/>
      <c r="CZ69" s="322"/>
      <c r="DA69" s="322"/>
      <c r="DB69" s="322"/>
      <c r="DC69" s="322">
        <f t="shared" ref="DC69:DD74" si="75">CE69+CG69+CI69+CK69+CM69+CO69+CQ69+CS69+CU69+CW69+CY69+DA69</f>
        <v>0</v>
      </c>
      <c r="DD69" s="322">
        <f t="shared" si="75"/>
        <v>0</v>
      </c>
      <c r="DE69" s="436"/>
      <c r="DF69" s="436"/>
      <c r="DG69" s="436"/>
      <c r="DH69" s="322">
        <f>$C69*DG69</f>
        <v>0</v>
      </c>
      <c r="DI69" s="436"/>
      <c r="DJ69" s="436"/>
      <c r="DK69" s="436"/>
      <c r="DL69" s="436"/>
      <c r="DM69" s="436"/>
      <c r="DN69" s="436"/>
      <c r="DO69" s="329"/>
      <c r="DP69" s="329"/>
      <c r="DQ69" s="329"/>
      <c r="DR69" s="329"/>
      <c r="DS69" s="329"/>
      <c r="DT69" s="329"/>
      <c r="DU69" s="329"/>
      <c r="DV69" s="329"/>
      <c r="DW69" s="329"/>
      <c r="DX69" s="329"/>
      <c r="DY69" s="329"/>
      <c r="DZ69" s="329"/>
      <c r="EA69" s="329"/>
      <c r="EB69" s="329"/>
      <c r="EC69" s="322">
        <f t="shared" ref="EC69:ED74" si="76">DE69+DG69+DI69+DK69+DM69+DO69+DQ69+DS69+DU69+DW69+DY69+EA69</f>
        <v>0</v>
      </c>
      <c r="ED69" s="322">
        <f t="shared" si="76"/>
        <v>0</v>
      </c>
      <c r="EE69" s="329"/>
      <c r="EF69" s="329"/>
      <c r="EG69" s="329"/>
      <c r="EH69" s="329"/>
      <c r="EI69" s="436"/>
      <c r="EJ69" s="322">
        <f>$C69*EI69</f>
        <v>0</v>
      </c>
      <c r="EK69" s="329"/>
      <c r="EL69" s="329"/>
      <c r="EM69" s="329"/>
      <c r="EN69" s="329"/>
      <c r="EO69" s="329"/>
      <c r="EP69" s="329"/>
      <c r="EQ69" s="329"/>
      <c r="ER69" s="329"/>
      <c r="ES69" s="329"/>
      <c r="ET69" s="329"/>
      <c r="EU69" s="329"/>
      <c r="EV69" s="329"/>
      <c r="EW69" s="329"/>
      <c r="EX69" s="329"/>
      <c r="EY69" s="329"/>
      <c r="EZ69" s="329"/>
      <c r="FA69" s="329"/>
      <c r="FB69" s="329"/>
      <c r="FC69" s="322">
        <f t="shared" ref="FC69:FD74" si="77">EE69+EG69+EI69+EK69+EM69+EO69+EQ69+ES69+EU69+EW69+EY69+FA69</f>
        <v>0</v>
      </c>
      <c r="FD69" s="322">
        <f t="shared" si="77"/>
        <v>0</v>
      </c>
      <c r="FE69" s="329"/>
      <c r="FF69" s="329"/>
      <c r="FG69" s="329"/>
      <c r="FH69" s="329"/>
      <c r="FI69" s="329"/>
      <c r="FJ69" s="329"/>
      <c r="FK69" s="329"/>
      <c r="FL69" s="329"/>
      <c r="FM69" s="329"/>
      <c r="FN69" s="329"/>
      <c r="FO69" s="329"/>
      <c r="FP69" s="329"/>
      <c r="FQ69" s="329"/>
      <c r="FR69" s="329"/>
      <c r="FS69" s="329"/>
      <c r="FT69" s="329"/>
      <c r="FU69" s="329"/>
      <c r="FV69" s="329"/>
      <c r="FW69" s="329"/>
      <c r="FX69" s="329"/>
      <c r="FY69" s="329"/>
      <c r="FZ69" s="329"/>
      <c r="GA69" s="329"/>
      <c r="GB69" s="329"/>
      <c r="GC69" s="322">
        <f t="shared" ref="GC69:GC74" si="78">FE69+FG69+FI69+FK69+FM69+FO69+FQ69+FS69+FU69+FW69+FY69+GA69</f>
        <v>0</v>
      </c>
      <c r="GD69" s="322">
        <f t="shared" ref="GD69:GD74" si="79">FF69+FH69+FJ69+FL69+FN69+FP69+FR69+FT69+FV69+FX69+FZ69+GB69</f>
        <v>0</v>
      </c>
      <c r="GE69" s="329"/>
      <c r="GF69" s="329"/>
      <c r="GG69" s="329"/>
      <c r="GH69" s="329"/>
      <c r="GI69" s="329"/>
      <c r="GJ69" s="329"/>
      <c r="GK69" s="329"/>
      <c r="GL69" s="329"/>
      <c r="GM69" s="329"/>
      <c r="GN69" s="329"/>
      <c r="GO69" s="329"/>
      <c r="GP69" s="329"/>
      <c r="GQ69" s="329"/>
      <c r="GR69" s="329"/>
      <c r="GS69" s="329"/>
      <c r="GT69" s="329"/>
      <c r="GU69" s="329"/>
      <c r="GV69" s="329"/>
      <c r="GW69" s="329"/>
      <c r="GX69" s="329"/>
      <c r="GY69" s="329"/>
      <c r="GZ69" s="329"/>
      <c r="HA69" s="329"/>
      <c r="HB69" s="329"/>
      <c r="HC69" s="322">
        <f t="shared" ref="HC69:HD74" si="80">GE69+GG69+GI69+GK69+GM69+GO69+GQ69+GS69+GU69+GW69+GY69+HA69</f>
        <v>0</v>
      </c>
      <c r="HD69" s="322">
        <f t="shared" si="80"/>
        <v>0</v>
      </c>
      <c r="HE69" s="322">
        <f t="shared" ref="HE69:HE74" si="81">AC69+BC69+CC69+DC69+EC69+FC69+GC69+HC69</f>
        <v>0</v>
      </c>
      <c r="HF69" s="322">
        <f t="shared" ref="HF69:HF74" si="82">AD69+BD69+CD69+DD69+ED69+FD69+GD69+HD69</f>
        <v>0</v>
      </c>
      <c r="HH69" s="448"/>
      <c r="HI69" s="449"/>
      <c r="HJ69" s="448"/>
    </row>
    <row r="70" spans="1:218" x14ac:dyDescent="0.2">
      <c r="B70" s="313" t="s">
        <v>441</v>
      </c>
      <c r="C70" s="322">
        <v>1800000000</v>
      </c>
      <c r="D70" s="328"/>
      <c r="E70" s="320"/>
      <c r="F70" s="320"/>
      <c r="G70" s="320"/>
      <c r="H70" s="320"/>
      <c r="I70" s="320"/>
      <c r="J70" s="320"/>
      <c r="K70" s="320"/>
      <c r="L70" s="320"/>
      <c r="M70" s="320"/>
      <c r="N70" s="320"/>
      <c r="O70" s="320"/>
      <c r="P70" s="320"/>
      <c r="Q70" s="320"/>
      <c r="R70" s="320"/>
      <c r="S70" s="320"/>
      <c r="T70" s="320"/>
      <c r="U70" s="320"/>
      <c r="V70" s="320"/>
      <c r="W70" s="320"/>
      <c r="X70" s="322"/>
      <c r="Y70" s="320"/>
      <c r="Z70" s="322"/>
      <c r="AA70" s="320"/>
      <c r="AB70" s="320"/>
      <c r="AC70" s="322">
        <f t="shared" si="72"/>
        <v>0</v>
      </c>
      <c r="AD70" s="322">
        <f t="shared" si="72"/>
        <v>0</v>
      </c>
      <c r="AE70" s="320"/>
      <c r="AF70" s="320"/>
      <c r="AG70" s="320"/>
      <c r="AH70" s="320"/>
      <c r="AI70" s="320"/>
      <c r="AJ70" s="320"/>
      <c r="AK70" s="320"/>
      <c r="AL70" s="320"/>
      <c r="AM70" s="320"/>
      <c r="AN70" s="320"/>
      <c r="AO70" s="322"/>
      <c r="AP70" s="322"/>
      <c r="AQ70" s="322"/>
      <c r="AR70" s="322"/>
      <c r="AS70" s="322"/>
      <c r="AT70" s="322"/>
      <c r="AU70" s="322"/>
      <c r="AV70" s="322"/>
      <c r="AW70" s="320"/>
      <c r="AX70" s="322"/>
      <c r="AY70" s="320"/>
      <c r="AZ70" s="322"/>
      <c r="BA70" s="322"/>
      <c r="BB70" s="322"/>
      <c r="BC70" s="322">
        <f t="shared" si="73"/>
        <v>0</v>
      </c>
      <c r="BD70" s="322">
        <f t="shared" si="73"/>
        <v>0</v>
      </c>
      <c r="BE70" s="322"/>
      <c r="BF70" s="322"/>
      <c r="BG70" s="322"/>
      <c r="BH70" s="322"/>
      <c r="BI70" s="322"/>
      <c r="BJ70" s="322"/>
      <c r="BK70" s="322"/>
      <c r="BL70" s="322"/>
      <c r="BM70" s="322"/>
      <c r="BN70" s="322"/>
      <c r="BO70" s="322"/>
      <c r="BP70" s="322"/>
      <c r="BQ70" s="322"/>
      <c r="BR70" s="322"/>
      <c r="BS70" s="322"/>
      <c r="BT70" s="322"/>
      <c r="BU70" s="322"/>
      <c r="BV70" s="322"/>
      <c r="BW70" s="322"/>
      <c r="BX70" s="322"/>
      <c r="BY70" s="322"/>
      <c r="BZ70" s="322"/>
      <c r="CA70" s="322"/>
      <c r="CB70" s="322"/>
      <c r="CC70" s="322">
        <f t="shared" si="74"/>
        <v>0</v>
      </c>
      <c r="CD70" s="322">
        <f t="shared" si="74"/>
        <v>0</v>
      </c>
      <c r="CE70" s="322"/>
      <c r="CF70" s="322"/>
      <c r="CG70" s="322"/>
      <c r="CH70" s="322"/>
      <c r="CI70" s="322"/>
      <c r="CJ70" s="322"/>
      <c r="CK70" s="322"/>
      <c r="CL70" s="322"/>
      <c r="CM70" s="322"/>
      <c r="CN70" s="322"/>
      <c r="CO70" s="322"/>
      <c r="CP70" s="322"/>
      <c r="CQ70" s="322"/>
      <c r="CR70" s="322"/>
      <c r="CS70" s="322"/>
      <c r="CT70" s="322"/>
      <c r="CU70" s="322"/>
      <c r="CV70" s="322"/>
      <c r="CW70" s="322"/>
      <c r="CX70" s="322"/>
      <c r="CY70" s="322"/>
      <c r="CZ70" s="322"/>
      <c r="DA70" s="322"/>
      <c r="DB70" s="322"/>
      <c r="DC70" s="322">
        <f t="shared" si="75"/>
        <v>0</v>
      </c>
      <c r="DD70" s="322">
        <f t="shared" si="75"/>
        <v>0</v>
      </c>
      <c r="DE70" s="436"/>
      <c r="DF70" s="436"/>
      <c r="DG70" s="436"/>
      <c r="DH70" s="436"/>
      <c r="DI70" s="329"/>
      <c r="DJ70" s="322">
        <f>$C70*DI70</f>
        <v>0</v>
      </c>
      <c r="DK70" s="436"/>
      <c r="DL70" s="436"/>
      <c r="DM70" s="436"/>
      <c r="DN70" s="436"/>
      <c r="DO70" s="329"/>
      <c r="DP70" s="329"/>
      <c r="DQ70" s="329"/>
      <c r="DR70" s="329"/>
      <c r="DS70" s="329"/>
      <c r="DT70" s="329"/>
      <c r="DU70" s="329"/>
      <c r="DV70" s="329"/>
      <c r="DW70" s="329"/>
      <c r="DX70" s="329"/>
      <c r="DY70" s="329"/>
      <c r="DZ70" s="329"/>
      <c r="EA70" s="329"/>
      <c r="EB70" s="329"/>
      <c r="EC70" s="322">
        <f t="shared" si="76"/>
        <v>0</v>
      </c>
      <c r="ED70" s="322">
        <f t="shared" si="76"/>
        <v>0</v>
      </c>
      <c r="EE70" s="329"/>
      <c r="EF70" s="329"/>
      <c r="EG70" s="329"/>
      <c r="EH70" s="329"/>
      <c r="EI70" s="329"/>
      <c r="EJ70" s="329"/>
      <c r="EK70" s="329"/>
      <c r="EL70" s="329"/>
      <c r="EM70" s="329"/>
      <c r="EN70" s="329"/>
      <c r="EO70" s="329"/>
      <c r="EP70" s="329"/>
      <c r="EQ70" s="329"/>
      <c r="ER70" s="329"/>
      <c r="ES70" s="329"/>
      <c r="ET70" s="329"/>
      <c r="EU70" s="329"/>
      <c r="EV70" s="329"/>
      <c r="EW70" s="329"/>
      <c r="EX70" s="329"/>
      <c r="EY70" s="329"/>
      <c r="EZ70" s="329"/>
      <c r="FA70" s="329"/>
      <c r="FB70" s="329"/>
      <c r="FC70" s="322">
        <f t="shared" si="77"/>
        <v>0</v>
      </c>
      <c r="FD70" s="322">
        <f t="shared" si="77"/>
        <v>0</v>
      </c>
      <c r="FE70" s="329"/>
      <c r="FF70" s="329"/>
      <c r="FG70" s="329"/>
      <c r="FH70" s="329"/>
      <c r="FI70" s="329"/>
      <c r="FJ70" s="329"/>
      <c r="FK70" s="329"/>
      <c r="FL70" s="329"/>
      <c r="FM70" s="329"/>
      <c r="FN70" s="329"/>
      <c r="FO70" s="329"/>
      <c r="FP70" s="329"/>
      <c r="FQ70" s="329"/>
      <c r="FR70" s="329"/>
      <c r="FS70" s="329"/>
      <c r="FT70" s="329"/>
      <c r="FU70" s="329"/>
      <c r="FV70" s="329"/>
      <c r="FW70" s="329"/>
      <c r="FX70" s="329"/>
      <c r="FY70" s="329"/>
      <c r="FZ70" s="329"/>
      <c r="GA70" s="329"/>
      <c r="GB70" s="329"/>
      <c r="GC70" s="322">
        <f t="shared" si="78"/>
        <v>0</v>
      </c>
      <c r="GD70" s="322">
        <f t="shared" si="79"/>
        <v>0</v>
      </c>
      <c r="GE70" s="329"/>
      <c r="GF70" s="329"/>
      <c r="GG70" s="329"/>
      <c r="GH70" s="329"/>
      <c r="GI70" s="329"/>
      <c r="GJ70" s="329"/>
      <c r="GK70" s="329"/>
      <c r="GL70" s="329"/>
      <c r="GM70" s="329"/>
      <c r="GN70" s="329"/>
      <c r="GO70" s="329"/>
      <c r="GP70" s="329"/>
      <c r="GQ70" s="329"/>
      <c r="GR70" s="329"/>
      <c r="GS70" s="329"/>
      <c r="GT70" s="329"/>
      <c r="GU70" s="329"/>
      <c r="GV70" s="329"/>
      <c r="GW70" s="329"/>
      <c r="GX70" s="329"/>
      <c r="GY70" s="329"/>
      <c r="GZ70" s="329"/>
      <c r="HA70" s="329"/>
      <c r="HB70" s="329"/>
      <c r="HC70" s="322">
        <f t="shared" si="80"/>
        <v>0</v>
      </c>
      <c r="HD70" s="322">
        <f t="shared" si="80"/>
        <v>0</v>
      </c>
      <c r="HE70" s="322">
        <f t="shared" si="81"/>
        <v>0</v>
      </c>
      <c r="HF70" s="322">
        <f t="shared" si="82"/>
        <v>0</v>
      </c>
      <c r="HH70" s="448"/>
      <c r="HI70" s="449"/>
      <c r="HJ70" s="448"/>
    </row>
    <row r="71" spans="1:218" x14ac:dyDescent="0.2">
      <c r="B71" s="313" t="s">
        <v>442</v>
      </c>
      <c r="C71" s="322">
        <v>2160000000</v>
      </c>
      <c r="D71" s="328">
        <v>0</v>
      </c>
      <c r="E71" s="320"/>
      <c r="F71" s="320"/>
      <c r="G71" s="320"/>
      <c r="H71" s="320"/>
      <c r="I71" s="320"/>
      <c r="J71" s="320"/>
      <c r="K71" s="320"/>
      <c r="L71" s="320"/>
      <c r="M71" s="320"/>
      <c r="N71" s="320"/>
      <c r="O71" s="320"/>
      <c r="P71" s="320"/>
      <c r="Q71" s="320"/>
      <c r="R71" s="320"/>
      <c r="S71" s="320"/>
      <c r="T71" s="320"/>
      <c r="U71" s="320"/>
      <c r="V71" s="320"/>
      <c r="W71" s="320"/>
      <c r="X71" s="320"/>
      <c r="Y71" s="320"/>
      <c r="Z71" s="320"/>
      <c r="AA71" s="320"/>
      <c r="AB71" s="320"/>
      <c r="AC71" s="322">
        <f t="shared" si="72"/>
        <v>0</v>
      </c>
      <c r="AD71" s="322">
        <f t="shared" si="72"/>
        <v>0</v>
      </c>
      <c r="AE71" s="320"/>
      <c r="AF71" s="320"/>
      <c r="AG71" s="320"/>
      <c r="AH71" s="320"/>
      <c r="AI71" s="320"/>
      <c r="AJ71" s="320"/>
      <c r="AK71" s="320"/>
      <c r="AL71" s="320"/>
      <c r="AM71" s="320"/>
      <c r="AN71" s="320"/>
      <c r="AO71" s="322"/>
      <c r="AP71" s="322"/>
      <c r="AQ71" s="322"/>
      <c r="AR71" s="322"/>
      <c r="AS71" s="322"/>
      <c r="AT71" s="322"/>
      <c r="AU71" s="322"/>
      <c r="AV71" s="322"/>
      <c r="AW71" s="320"/>
      <c r="AX71" s="320"/>
      <c r="AY71" s="320"/>
      <c r="AZ71" s="320"/>
      <c r="BA71" s="322"/>
      <c r="BB71" s="322"/>
      <c r="BC71" s="322">
        <f t="shared" si="73"/>
        <v>0</v>
      </c>
      <c r="BD71" s="322">
        <f t="shared" si="73"/>
        <v>0</v>
      </c>
      <c r="BE71" s="322"/>
      <c r="BF71" s="322"/>
      <c r="BG71" s="322"/>
      <c r="BH71" s="322"/>
      <c r="BI71" s="322"/>
      <c r="BJ71" s="322"/>
      <c r="BK71" s="322"/>
      <c r="BL71" s="322"/>
      <c r="BM71" s="322"/>
      <c r="BN71" s="322"/>
      <c r="BO71" s="322"/>
      <c r="BP71" s="322"/>
      <c r="BQ71" s="322"/>
      <c r="BR71" s="322"/>
      <c r="BS71" s="322"/>
      <c r="BT71" s="322"/>
      <c r="BU71" s="322"/>
      <c r="BV71" s="322"/>
      <c r="BW71" s="322"/>
      <c r="BX71" s="322"/>
      <c r="BY71" s="322"/>
      <c r="BZ71" s="322"/>
      <c r="CA71" s="322"/>
      <c r="CB71" s="322"/>
      <c r="CC71" s="322">
        <f t="shared" si="74"/>
        <v>0</v>
      </c>
      <c r="CD71" s="322">
        <f t="shared" si="74"/>
        <v>0</v>
      </c>
      <c r="CE71" s="322"/>
      <c r="CF71" s="322"/>
      <c r="CG71" s="322"/>
      <c r="CH71" s="322"/>
      <c r="CI71" s="322"/>
      <c r="CJ71" s="322"/>
      <c r="CK71" s="322"/>
      <c r="CL71" s="322"/>
      <c r="CM71" s="322"/>
      <c r="CN71" s="322"/>
      <c r="CO71" s="322"/>
      <c r="CP71" s="322"/>
      <c r="CQ71" s="322"/>
      <c r="CR71" s="322"/>
      <c r="CS71" s="322"/>
      <c r="CT71" s="322"/>
      <c r="CU71" s="322"/>
      <c r="CV71" s="322"/>
      <c r="CW71" s="322"/>
      <c r="CX71" s="322"/>
      <c r="CY71" s="322"/>
      <c r="CZ71" s="322"/>
      <c r="DA71" s="322"/>
      <c r="DB71" s="322"/>
      <c r="DC71" s="322">
        <f t="shared" si="75"/>
        <v>0</v>
      </c>
      <c r="DD71" s="322">
        <f t="shared" si="75"/>
        <v>0</v>
      </c>
      <c r="DE71" s="436"/>
      <c r="DF71" s="436"/>
      <c r="DG71" s="436"/>
      <c r="DH71" s="436"/>
      <c r="DI71" s="436"/>
      <c r="DJ71" s="436"/>
      <c r="DK71" s="436"/>
      <c r="DL71" s="436"/>
      <c r="DM71" s="436"/>
      <c r="DN71" s="436"/>
      <c r="DO71" s="329"/>
      <c r="DP71" s="329"/>
      <c r="DQ71" s="329"/>
      <c r="DR71" s="329"/>
      <c r="DS71" s="329"/>
      <c r="DT71" s="329"/>
      <c r="DU71" s="329"/>
      <c r="DV71" s="329"/>
      <c r="DW71" s="329"/>
      <c r="DX71" s="329"/>
      <c r="DY71" s="329"/>
      <c r="DZ71" s="329"/>
      <c r="EA71" s="329"/>
      <c r="EB71" s="329"/>
      <c r="EC71" s="322">
        <f t="shared" si="76"/>
        <v>0</v>
      </c>
      <c r="ED71" s="322">
        <f t="shared" si="76"/>
        <v>0</v>
      </c>
      <c r="EE71" s="329"/>
      <c r="EF71" s="329"/>
      <c r="EG71" s="329"/>
      <c r="EH71" s="329"/>
      <c r="EI71" s="329"/>
      <c r="EJ71" s="329"/>
      <c r="EK71" s="329"/>
      <c r="EL71" s="329"/>
      <c r="EM71" s="329"/>
      <c r="EN71" s="329"/>
      <c r="EO71" s="329"/>
      <c r="EP71" s="329"/>
      <c r="EQ71" s="329"/>
      <c r="ER71" s="329"/>
      <c r="ES71" s="329"/>
      <c r="ET71" s="329"/>
      <c r="EU71" s="329"/>
      <c r="EV71" s="329"/>
      <c r="EW71" s="329"/>
      <c r="EX71" s="329"/>
      <c r="EY71" s="329"/>
      <c r="EZ71" s="329"/>
      <c r="FA71" s="329"/>
      <c r="FB71" s="329"/>
      <c r="FC71" s="322">
        <f t="shared" si="77"/>
        <v>0</v>
      </c>
      <c r="FD71" s="322">
        <f t="shared" si="77"/>
        <v>0</v>
      </c>
      <c r="FE71" s="329"/>
      <c r="FF71" s="329"/>
      <c r="FG71" s="329"/>
      <c r="FH71" s="329"/>
      <c r="FI71" s="329"/>
      <c r="FJ71" s="329"/>
      <c r="FK71" s="329"/>
      <c r="FL71" s="329"/>
      <c r="FM71" s="329"/>
      <c r="FN71" s="329"/>
      <c r="FO71" s="329"/>
      <c r="FP71" s="329"/>
      <c r="FQ71" s="329"/>
      <c r="FR71" s="329"/>
      <c r="FS71" s="329"/>
      <c r="FT71" s="329"/>
      <c r="FU71" s="329"/>
      <c r="FV71" s="329"/>
      <c r="FW71" s="329"/>
      <c r="FX71" s="329"/>
      <c r="FY71" s="329"/>
      <c r="FZ71" s="329"/>
      <c r="GA71" s="329"/>
      <c r="GB71" s="329"/>
      <c r="GC71" s="322">
        <f t="shared" si="78"/>
        <v>0</v>
      </c>
      <c r="GD71" s="322">
        <f t="shared" si="79"/>
        <v>0</v>
      </c>
      <c r="GE71" s="329"/>
      <c r="GF71" s="329"/>
      <c r="GG71" s="329"/>
      <c r="GH71" s="329"/>
      <c r="GI71" s="329"/>
      <c r="GJ71" s="329"/>
      <c r="GK71" s="329"/>
      <c r="GL71" s="329"/>
      <c r="GM71" s="329"/>
      <c r="GN71" s="329"/>
      <c r="GO71" s="329"/>
      <c r="GP71" s="329"/>
      <c r="GQ71" s="329"/>
      <c r="GR71" s="329"/>
      <c r="GS71" s="329"/>
      <c r="GT71" s="329"/>
      <c r="GU71" s="329"/>
      <c r="GV71" s="329"/>
      <c r="GW71" s="329"/>
      <c r="GX71" s="329"/>
      <c r="GY71" s="329"/>
      <c r="GZ71" s="329"/>
      <c r="HA71" s="329"/>
      <c r="HB71" s="329"/>
      <c r="HC71" s="322">
        <f t="shared" si="80"/>
        <v>0</v>
      </c>
      <c r="HD71" s="322">
        <f t="shared" si="80"/>
        <v>0</v>
      </c>
      <c r="HE71" s="322">
        <f t="shared" si="81"/>
        <v>0</v>
      </c>
      <c r="HF71" s="322">
        <f t="shared" si="82"/>
        <v>0</v>
      </c>
      <c r="HH71" s="448"/>
      <c r="HI71" s="449"/>
      <c r="HJ71" s="448"/>
    </row>
    <row r="72" spans="1:218" x14ac:dyDescent="0.2">
      <c r="B72" s="313" t="s">
        <v>443</v>
      </c>
      <c r="C72" s="322">
        <v>540000000</v>
      </c>
      <c r="D72" s="328">
        <v>0</v>
      </c>
      <c r="E72" s="320"/>
      <c r="F72" s="320"/>
      <c r="G72" s="320"/>
      <c r="H72" s="320"/>
      <c r="I72" s="320"/>
      <c r="J72" s="320"/>
      <c r="K72" s="320"/>
      <c r="L72" s="320"/>
      <c r="M72" s="320"/>
      <c r="N72" s="322"/>
      <c r="O72" s="320"/>
      <c r="P72" s="320"/>
      <c r="Q72" s="320"/>
      <c r="R72" s="320"/>
      <c r="S72" s="320"/>
      <c r="T72" s="320"/>
      <c r="U72" s="320"/>
      <c r="V72" s="320"/>
      <c r="W72" s="320"/>
      <c r="X72" s="322"/>
      <c r="Y72" s="320"/>
      <c r="Z72" s="322"/>
      <c r="AA72" s="320"/>
      <c r="AB72" s="320"/>
      <c r="AC72" s="322">
        <f t="shared" si="72"/>
        <v>0</v>
      </c>
      <c r="AD72" s="322">
        <f t="shared" si="72"/>
        <v>0</v>
      </c>
      <c r="AE72" s="320"/>
      <c r="AF72" s="320"/>
      <c r="AG72" s="320"/>
      <c r="AH72" s="320"/>
      <c r="AI72" s="320"/>
      <c r="AJ72" s="322"/>
      <c r="AK72" s="320"/>
      <c r="AL72" s="320"/>
      <c r="AM72" s="320"/>
      <c r="AN72" s="320"/>
      <c r="AO72" s="322"/>
      <c r="AP72" s="322"/>
      <c r="AQ72" s="320"/>
      <c r="AR72" s="322">
        <f>$C72*AQ72</f>
        <v>0</v>
      </c>
      <c r="AS72" s="322"/>
      <c r="AT72" s="322"/>
      <c r="AU72" s="322"/>
      <c r="AV72" s="322"/>
      <c r="AW72" s="320"/>
      <c r="AX72" s="322"/>
      <c r="AY72" s="322"/>
      <c r="AZ72" s="322">
        <f>$C72*AY72</f>
        <v>0</v>
      </c>
      <c r="BA72" s="322"/>
      <c r="BB72" s="322"/>
      <c r="BC72" s="322">
        <f t="shared" si="73"/>
        <v>0</v>
      </c>
      <c r="BD72" s="322">
        <f t="shared" si="73"/>
        <v>0</v>
      </c>
      <c r="BE72" s="322"/>
      <c r="BF72" s="322"/>
      <c r="BG72" s="322"/>
      <c r="BH72" s="322"/>
      <c r="BI72" s="322"/>
      <c r="BJ72" s="322"/>
      <c r="BK72" s="322"/>
      <c r="BL72" s="322"/>
      <c r="BM72" s="322"/>
      <c r="BN72" s="322"/>
      <c r="BO72" s="322"/>
      <c r="BP72" s="322"/>
      <c r="BQ72" s="322"/>
      <c r="BR72" s="322"/>
      <c r="BS72" s="322"/>
      <c r="BT72" s="322"/>
      <c r="BU72" s="322"/>
      <c r="BV72" s="322"/>
      <c r="BW72" s="322"/>
      <c r="BX72" s="322"/>
      <c r="BY72" s="322"/>
      <c r="BZ72" s="322"/>
      <c r="CA72" s="322"/>
      <c r="CB72" s="322"/>
      <c r="CC72" s="322">
        <f t="shared" si="74"/>
        <v>0</v>
      </c>
      <c r="CD72" s="322">
        <f t="shared" si="74"/>
        <v>0</v>
      </c>
      <c r="CE72" s="322"/>
      <c r="CF72" s="322"/>
      <c r="CG72" s="322"/>
      <c r="CH72" s="322"/>
      <c r="CI72" s="322"/>
      <c r="CJ72" s="322"/>
      <c r="CK72" s="322"/>
      <c r="CL72" s="322"/>
      <c r="CM72" s="322"/>
      <c r="CN72" s="322"/>
      <c r="CO72" s="322"/>
      <c r="CP72" s="322"/>
      <c r="CQ72" s="322"/>
      <c r="CR72" s="322">
        <f>$C72*CQ72</f>
        <v>0</v>
      </c>
      <c r="CS72" s="322"/>
      <c r="CT72" s="322"/>
      <c r="CU72" s="322"/>
      <c r="CV72" s="322"/>
      <c r="CW72" s="322"/>
      <c r="CX72" s="322"/>
      <c r="CY72" s="322"/>
      <c r="CZ72" s="322">
        <f>$C72*CY72</f>
        <v>0</v>
      </c>
      <c r="DA72" s="322"/>
      <c r="DB72" s="322"/>
      <c r="DC72" s="322">
        <f t="shared" si="75"/>
        <v>0</v>
      </c>
      <c r="DD72" s="322">
        <f t="shared" si="75"/>
        <v>0</v>
      </c>
      <c r="DE72" s="436"/>
      <c r="DF72" s="436"/>
      <c r="DG72" s="436"/>
      <c r="DH72" s="436"/>
      <c r="DI72" s="436"/>
      <c r="DJ72" s="436"/>
      <c r="DK72" s="436"/>
      <c r="DL72" s="436"/>
      <c r="DM72" s="436"/>
      <c r="DN72" s="322">
        <f>$C72*DM72</f>
        <v>0</v>
      </c>
      <c r="DO72" s="329"/>
      <c r="DP72" s="329"/>
      <c r="DQ72" s="329"/>
      <c r="DR72" s="329"/>
      <c r="DS72" s="329"/>
      <c r="DT72" s="329"/>
      <c r="DU72" s="329"/>
      <c r="DV72" s="329"/>
      <c r="DW72" s="329"/>
      <c r="DX72" s="329"/>
      <c r="DY72" s="436"/>
      <c r="DZ72" s="436"/>
      <c r="EA72" s="329"/>
      <c r="EB72" s="329"/>
      <c r="EC72" s="322">
        <f t="shared" si="76"/>
        <v>0</v>
      </c>
      <c r="ED72" s="322">
        <f t="shared" si="76"/>
        <v>0</v>
      </c>
      <c r="EE72" s="329"/>
      <c r="EF72" s="329"/>
      <c r="EG72" s="329"/>
      <c r="EH72" s="329"/>
      <c r="EI72" s="329"/>
      <c r="EJ72" s="329"/>
      <c r="EK72" s="329"/>
      <c r="EL72" s="329"/>
      <c r="EM72" s="436"/>
      <c r="EN72" s="322">
        <f>$C72*EM72</f>
        <v>0</v>
      </c>
      <c r="EO72" s="329"/>
      <c r="EP72" s="329"/>
      <c r="EQ72" s="329"/>
      <c r="ER72" s="329"/>
      <c r="ES72" s="329"/>
      <c r="ET72" s="329"/>
      <c r="EU72" s="329"/>
      <c r="EV72" s="329"/>
      <c r="EW72" s="329"/>
      <c r="EX72" s="329"/>
      <c r="EY72" s="329"/>
      <c r="EZ72" s="329"/>
      <c r="FA72" s="329"/>
      <c r="FB72" s="329"/>
      <c r="FC72" s="322">
        <f t="shared" si="77"/>
        <v>0</v>
      </c>
      <c r="FD72" s="322">
        <f t="shared" si="77"/>
        <v>0</v>
      </c>
      <c r="FE72" s="329"/>
      <c r="FF72" s="329"/>
      <c r="FG72" s="329"/>
      <c r="FH72" s="329"/>
      <c r="FI72" s="329"/>
      <c r="FJ72" s="329"/>
      <c r="FK72" s="329"/>
      <c r="FL72" s="329"/>
      <c r="FM72" s="329"/>
      <c r="FN72" s="329"/>
      <c r="FO72" s="329"/>
      <c r="FP72" s="329"/>
      <c r="FQ72" s="329"/>
      <c r="FR72" s="329"/>
      <c r="FS72" s="329"/>
      <c r="FT72" s="329"/>
      <c r="FU72" s="329"/>
      <c r="FV72" s="329"/>
      <c r="FW72" s="329"/>
      <c r="FX72" s="329"/>
      <c r="FY72" s="329"/>
      <c r="FZ72" s="329"/>
      <c r="GA72" s="329"/>
      <c r="GB72" s="329"/>
      <c r="GC72" s="322">
        <f t="shared" si="78"/>
        <v>0</v>
      </c>
      <c r="GD72" s="322">
        <f t="shared" si="79"/>
        <v>0</v>
      </c>
      <c r="GE72" s="329"/>
      <c r="GF72" s="329"/>
      <c r="GG72" s="329"/>
      <c r="GH72" s="329"/>
      <c r="GI72" s="329"/>
      <c r="GJ72" s="329"/>
      <c r="GK72" s="329"/>
      <c r="GL72" s="329"/>
      <c r="GM72" s="329"/>
      <c r="GN72" s="329"/>
      <c r="GO72" s="329"/>
      <c r="GP72" s="329"/>
      <c r="GQ72" s="329"/>
      <c r="GR72" s="329"/>
      <c r="GS72" s="329"/>
      <c r="GT72" s="329"/>
      <c r="GU72" s="329"/>
      <c r="GV72" s="329"/>
      <c r="GW72" s="329"/>
      <c r="GX72" s="329"/>
      <c r="GY72" s="329"/>
      <c r="GZ72" s="329"/>
      <c r="HA72" s="329"/>
      <c r="HB72" s="329"/>
      <c r="HC72" s="322">
        <f t="shared" si="80"/>
        <v>0</v>
      </c>
      <c r="HD72" s="322">
        <f t="shared" si="80"/>
        <v>0</v>
      </c>
      <c r="HE72" s="322">
        <f t="shared" si="81"/>
        <v>0</v>
      </c>
      <c r="HF72" s="322">
        <f t="shared" si="82"/>
        <v>0</v>
      </c>
      <c r="HH72" s="448"/>
      <c r="HI72" s="449"/>
      <c r="HJ72" s="448"/>
    </row>
    <row r="73" spans="1:218" x14ac:dyDescent="0.2">
      <c r="B73" s="313" t="s">
        <v>444</v>
      </c>
      <c r="C73" s="322">
        <v>1320000000</v>
      </c>
      <c r="D73" s="328"/>
      <c r="E73" s="320"/>
      <c r="F73" s="320"/>
      <c r="G73" s="320"/>
      <c r="H73" s="320"/>
      <c r="I73" s="320"/>
      <c r="J73" s="320"/>
      <c r="K73" s="320"/>
      <c r="L73" s="320"/>
      <c r="M73" s="320"/>
      <c r="N73" s="320"/>
      <c r="O73" s="320"/>
      <c r="P73" s="320"/>
      <c r="Q73" s="320"/>
      <c r="R73" s="320"/>
      <c r="S73" s="320"/>
      <c r="T73" s="320"/>
      <c r="U73" s="320"/>
      <c r="V73" s="320"/>
      <c r="W73" s="320"/>
      <c r="X73" s="322"/>
      <c r="Y73" s="320"/>
      <c r="Z73" s="322"/>
      <c r="AA73" s="320"/>
      <c r="AB73" s="320"/>
      <c r="AC73" s="322">
        <f t="shared" si="72"/>
        <v>0</v>
      </c>
      <c r="AD73" s="322">
        <f t="shared" si="72"/>
        <v>0</v>
      </c>
      <c r="AE73" s="320"/>
      <c r="AF73" s="320"/>
      <c r="AG73" s="320"/>
      <c r="AH73" s="320"/>
      <c r="AI73" s="320"/>
      <c r="AJ73" s="320"/>
      <c r="AK73" s="320"/>
      <c r="AL73" s="320"/>
      <c r="AM73" s="320"/>
      <c r="AN73" s="320"/>
      <c r="AO73" s="322"/>
      <c r="AP73" s="322"/>
      <c r="AQ73" s="322"/>
      <c r="AR73" s="322"/>
      <c r="AS73" s="322"/>
      <c r="AT73" s="322"/>
      <c r="AU73" s="322"/>
      <c r="AV73" s="322"/>
      <c r="AW73" s="320"/>
      <c r="AX73" s="322"/>
      <c r="AY73" s="320"/>
      <c r="AZ73" s="322"/>
      <c r="BA73" s="322"/>
      <c r="BB73" s="322"/>
      <c r="BC73" s="322">
        <f t="shared" si="73"/>
        <v>0</v>
      </c>
      <c r="BD73" s="322">
        <f t="shared" si="73"/>
        <v>0</v>
      </c>
      <c r="BE73" s="322"/>
      <c r="BF73" s="322"/>
      <c r="BG73" s="322"/>
      <c r="BH73" s="322"/>
      <c r="BI73" s="322"/>
      <c r="BJ73" s="322"/>
      <c r="BK73" s="322"/>
      <c r="BL73" s="322"/>
      <c r="BM73" s="322"/>
      <c r="BN73" s="322"/>
      <c r="BO73" s="322"/>
      <c r="BP73" s="322"/>
      <c r="BQ73" s="322"/>
      <c r="BR73" s="322"/>
      <c r="BS73" s="322"/>
      <c r="BT73" s="322"/>
      <c r="BU73" s="322"/>
      <c r="BV73" s="322"/>
      <c r="BW73" s="322"/>
      <c r="BX73" s="322"/>
      <c r="BY73" s="322"/>
      <c r="BZ73" s="322"/>
      <c r="CA73" s="322"/>
      <c r="CB73" s="322"/>
      <c r="CC73" s="322">
        <f t="shared" si="74"/>
        <v>0</v>
      </c>
      <c r="CD73" s="322">
        <f t="shared" si="74"/>
        <v>0</v>
      </c>
      <c r="CE73" s="322"/>
      <c r="CF73" s="322"/>
      <c r="CG73" s="322"/>
      <c r="CH73" s="322"/>
      <c r="CI73" s="322"/>
      <c r="CJ73" s="322"/>
      <c r="CK73" s="322"/>
      <c r="CL73" s="322"/>
      <c r="CM73" s="322"/>
      <c r="CN73" s="322"/>
      <c r="CO73" s="322"/>
      <c r="CP73" s="322"/>
      <c r="CQ73" s="322"/>
      <c r="CR73" s="322"/>
      <c r="CS73" s="322"/>
      <c r="CT73" s="322"/>
      <c r="CU73" s="322"/>
      <c r="CV73" s="322"/>
      <c r="CW73" s="322"/>
      <c r="CX73" s="322"/>
      <c r="CY73" s="322"/>
      <c r="CZ73" s="322"/>
      <c r="DA73" s="322"/>
      <c r="DB73" s="322"/>
      <c r="DC73" s="322">
        <f t="shared" si="75"/>
        <v>0</v>
      </c>
      <c r="DD73" s="322">
        <f t="shared" si="75"/>
        <v>0</v>
      </c>
      <c r="DE73" s="436"/>
      <c r="DF73" s="436"/>
      <c r="DG73" s="436"/>
      <c r="DH73" s="436"/>
      <c r="DI73" s="329"/>
      <c r="DJ73" s="322">
        <f>$C73*DI73</f>
        <v>0</v>
      </c>
      <c r="DK73" s="436"/>
      <c r="DL73" s="436"/>
      <c r="DM73" s="436"/>
      <c r="DN73" s="436"/>
      <c r="DO73" s="329"/>
      <c r="DP73" s="329"/>
      <c r="DQ73" s="329"/>
      <c r="DR73" s="329"/>
      <c r="DS73" s="329"/>
      <c r="DT73" s="329"/>
      <c r="DU73" s="329"/>
      <c r="DV73" s="329"/>
      <c r="DW73" s="329"/>
      <c r="DX73" s="329"/>
      <c r="DY73" s="329"/>
      <c r="DZ73" s="329"/>
      <c r="EA73" s="329"/>
      <c r="EB73" s="329"/>
      <c r="EC73" s="322">
        <f t="shared" si="76"/>
        <v>0</v>
      </c>
      <c r="ED73" s="322">
        <f t="shared" si="76"/>
        <v>0</v>
      </c>
      <c r="EE73" s="329"/>
      <c r="EF73" s="329"/>
      <c r="EG73" s="329"/>
      <c r="EH73" s="329"/>
      <c r="EI73" s="329"/>
      <c r="EJ73" s="329"/>
      <c r="EK73" s="329"/>
      <c r="EL73" s="329"/>
      <c r="EM73" s="329"/>
      <c r="EN73" s="329"/>
      <c r="EO73" s="329"/>
      <c r="EP73" s="329"/>
      <c r="EQ73" s="329"/>
      <c r="ER73" s="329"/>
      <c r="ES73" s="329"/>
      <c r="ET73" s="329"/>
      <c r="EU73" s="329"/>
      <c r="EV73" s="329"/>
      <c r="EW73" s="329"/>
      <c r="EX73" s="329"/>
      <c r="EY73" s="329"/>
      <c r="EZ73" s="329"/>
      <c r="FA73" s="329"/>
      <c r="FB73" s="329"/>
      <c r="FC73" s="322">
        <f t="shared" si="77"/>
        <v>0</v>
      </c>
      <c r="FD73" s="322">
        <f t="shared" si="77"/>
        <v>0</v>
      </c>
      <c r="FE73" s="329"/>
      <c r="FF73" s="329"/>
      <c r="FG73" s="329"/>
      <c r="FH73" s="329"/>
      <c r="FI73" s="329"/>
      <c r="FJ73" s="329"/>
      <c r="FK73" s="329"/>
      <c r="FL73" s="329"/>
      <c r="FM73" s="329"/>
      <c r="FN73" s="329"/>
      <c r="FO73" s="329"/>
      <c r="FP73" s="329"/>
      <c r="FQ73" s="329"/>
      <c r="FR73" s="329"/>
      <c r="FS73" s="329"/>
      <c r="FT73" s="329"/>
      <c r="FU73" s="329"/>
      <c r="FV73" s="329"/>
      <c r="FW73" s="329"/>
      <c r="FX73" s="329"/>
      <c r="FY73" s="329"/>
      <c r="FZ73" s="329"/>
      <c r="GA73" s="329"/>
      <c r="GB73" s="329"/>
      <c r="GC73" s="322">
        <f t="shared" si="78"/>
        <v>0</v>
      </c>
      <c r="GD73" s="322">
        <f t="shared" si="79"/>
        <v>0</v>
      </c>
      <c r="GE73" s="329"/>
      <c r="GF73" s="329"/>
      <c r="GG73" s="329"/>
      <c r="GH73" s="329"/>
      <c r="GI73" s="329"/>
      <c r="GJ73" s="329"/>
      <c r="GK73" s="329"/>
      <c r="GL73" s="329"/>
      <c r="GM73" s="329"/>
      <c r="GN73" s="329"/>
      <c r="GO73" s="329"/>
      <c r="GP73" s="329"/>
      <c r="GQ73" s="329"/>
      <c r="GR73" s="329"/>
      <c r="GS73" s="329"/>
      <c r="GT73" s="329"/>
      <c r="GU73" s="329"/>
      <c r="GV73" s="329"/>
      <c r="GW73" s="329"/>
      <c r="GX73" s="329"/>
      <c r="GY73" s="329"/>
      <c r="GZ73" s="329"/>
      <c r="HA73" s="329"/>
      <c r="HB73" s="329"/>
      <c r="HC73" s="322">
        <f t="shared" si="80"/>
        <v>0</v>
      </c>
      <c r="HD73" s="322">
        <f t="shared" si="80"/>
        <v>0</v>
      </c>
      <c r="HE73" s="322">
        <f t="shared" si="81"/>
        <v>0</v>
      </c>
      <c r="HF73" s="322">
        <f t="shared" si="82"/>
        <v>0</v>
      </c>
      <c r="HH73" s="448"/>
      <c r="HI73" s="449"/>
      <c r="HJ73" s="448"/>
    </row>
    <row r="74" spans="1:218" x14ac:dyDescent="0.2">
      <c r="B74" s="313" t="s">
        <v>445</v>
      </c>
      <c r="C74" s="322">
        <v>1500000000</v>
      </c>
      <c r="D74" s="328">
        <v>0</v>
      </c>
      <c r="E74" s="320"/>
      <c r="F74" s="320"/>
      <c r="G74" s="320"/>
      <c r="H74" s="320"/>
      <c r="I74" s="320"/>
      <c r="J74" s="320"/>
      <c r="K74" s="320"/>
      <c r="L74" s="320"/>
      <c r="M74" s="320"/>
      <c r="N74" s="320"/>
      <c r="O74" s="320"/>
      <c r="P74" s="320"/>
      <c r="Q74" s="320"/>
      <c r="R74" s="320"/>
      <c r="S74" s="320"/>
      <c r="T74" s="320"/>
      <c r="U74" s="320"/>
      <c r="V74" s="320"/>
      <c r="W74" s="320"/>
      <c r="X74" s="322"/>
      <c r="Y74" s="320"/>
      <c r="Z74" s="322"/>
      <c r="AA74" s="320"/>
      <c r="AB74" s="320"/>
      <c r="AC74" s="322">
        <f t="shared" si="72"/>
        <v>0</v>
      </c>
      <c r="AD74" s="322">
        <f t="shared" si="72"/>
        <v>0</v>
      </c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  <c r="AO74" s="322"/>
      <c r="AP74" s="322"/>
      <c r="AQ74" s="322"/>
      <c r="AR74" s="322"/>
      <c r="AS74" s="322"/>
      <c r="AT74" s="322"/>
      <c r="AU74" s="322"/>
      <c r="AV74" s="322"/>
      <c r="AW74" s="320"/>
      <c r="AX74" s="322"/>
      <c r="AY74" s="320"/>
      <c r="AZ74" s="322"/>
      <c r="BA74" s="322"/>
      <c r="BB74" s="322"/>
      <c r="BC74" s="322">
        <f t="shared" si="73"/>
        <v>0</v>
      </c>
      <c r="BD74" s="322">
        <f t="shared" si="73"/>
        <v>0</v>
      </c>
      <c r="BE74" s="322"/>
      <c r="BF74" s="322"/>
      <c r="BG74" s="322"/>
      <c r="BH74" s="322"/>
      <c r="BI74" s="322"/>
      <c r="BJ74" s="322"/>
      <c r="BK74" s="322"/>
      <c r="BL74" s="322"/>
      <c r="BM74" s="322"/>
      <c r="BN74" s="322"/>
      <c r="BO74" s="322"/>
      <c r="BP74" s="322"/>
      <c r="BQ74" s="322"/>
      <c r="BR74" s="322"/>
      <c r="BS74" s="322"/>
      <c r="BT74" s="322"/>
      <c r="BU74" s="322"/>
      <c r="BV74" s="322"/>
      <c r="BW74" s="322"/>
      <c r="BX74" s="322"/>
      <c r="BY74" s="322"/>
      <c r="BZ74" s="322"/>
      <c r="CA74" s="322"/>
      <c r="CB74" s="322"/>
      <c r="CC74" s="322">
        <f t="shared" si="74"/>
        <v>0</v>
      </c>
      <c r="CD74" s="322">
        <f t="shared" si="74"/>
        <v>0</v>
      </c>
      <c r="CE74" s="322"/>
      <c r="CF74" s="322"/>
      <c r="CG74" s="322"/>
      <c r="CH74" s="322"/>
      <c r="CI74" s="322"/>
      <c r="CJ74" s="322"/>
      <c r="CK74" s="322"/>
      <c r="CL74" s="322"/>
      <c r="CM74" s="322"/>
      <c r="CN74" s="322"/>
      <c r="CO74" s="322"/>
      <c r="CP74" s="322"/>
      <c r="CQ74" s="322"/>
      <c r="CR74" s="322"/>
      <c r="CS74" s="322"/>
      <c r="CT74" s="322"/>
      <c r="CU74" s="322"/>
      <c r="CV74" s="322"/>
      <c r="CW74" s="322"/>
      <c r="CX74" s="322"/>
      <c r="CY74" s="322"/>
      <c r="CZ74" s="322"/>
      <c r="DA74" s="322"/>
      <c r="DB74" s="322"/>
      <c r="DC74" s="322">
        <f t="shared" si="75"/>
        <v>0</v>
      </c>
      <c r="DD74" s="322">
        <f t="shared" si="75"/>
        <v>0</v>
      </c>
      <c r="DE74" s="436"/>
      <c r="DF74" s="436"/>
      <c r="DG74" s="436"/>
      <c r="DH74" s="436"/>
      <c r="DI74" s="329"/>
      <c r="DJ74" s="322">
        <f>$C74*DI74</f>
        <v>0</v>
      </c>
      <c r="DK74" s="436"/>
      <c r="DL74" s="436"/>
      <c r="DM74" s="436"/>
      <c r="DN74" s="436"/>
      <c r="DO74" s="329"/>
      <c r="DP74" s="329"/>
      <c r="DQ74" s="329"/>
      <c r="DR74" s="329"/>
      <c r="DS74" s="329"/>
      <c r="DT74" s="329"/>
      <c r="DU74" s="329"/>
      <c r="DV74" s="329"/>
      <c r="DW74" s="329"/>
      <c r="DX74" s="329"/>
      <c r="DY74" s="329"/>
      <c r="DZ74" s="329"/>
      <c r="EA74" s="329"/>
      <c r="EB74" s="329"/>
      <c r="EC74" s="322">
        <f t="shared" si="76"/>
        <v>0</v>
      </c>
      <c r="ED74" s="322">
        <f t="shared" si="76"/>
        <v>0</v>
      </c>
      <c r="EE74" s="329"/>
      <c r="EF74" s="329"/>
      <c r="EG74" s="329"/>
      <c r="EH74" s="329"/>
      <c r="EI74" s="329"/>
      <c r="EJ74" s="329"/>
      <c r="EK74" s="329"/>
      <c r="EL74" s="329"/>
      <c r="EM74" s="329"/>
      <c r="EN74" s="329"/>
      <c r="EO74" s="329"/>
      <c r="EP74" s="329"/>
      <c r="EQ74" s="329"/>
      <c r="ER74" s="329"/>
      <c r="ES74" s="329"/>
      <c r="ET74" s="329"/>
      <c r="EU74" s="329"/>
      <c r="EV74" s="329"/>
      <c r="EW74" s="329"/>
      <c r="EX74" s="329"/>
      <c r="EY74" s="329"/>
      <c r="EZ74" s="329"/>
      <c r="FA74" s="329"/>
      <c r="FB74" s="329"/>
      <c r="FC74" s="322">
        <f t="shared" si="77"/>
        <v>0</v>
      </c>
      <c r="FD74" s="322">
        <f t="shared" si="77"/>
        <v>0</v>
      </c>
      <c r="FE74" s="329"/>
      <c r="FF74" s="329"/>
      <c r="FG74" s="329"/>
      <c r="FH74" s="329"/>
      <c r="FI74" s="329"/>
      <c r="FJ74" s="329"/>
      <c r="FK74" s="329"/>
      <c r="FL74" s="329"/>
      <c r="FM74" s="329"/>
      <c r="FN74" s="329"/>
      <c r="FO74" s="329"/>
      <c r="FP74" s="329"/>
      <c r="FQ74" s="329"/>
      <c r="FR74" s="329"/>
      <c r="FS74" s="329"/>
      <c r="FT74" s="329"/>
      <c r="FU74" s="329"/>
      <c r="FV74" s="329"/>
      <c r="FW74" s="329"/>
      <c r="FX74" s="329"/>
      <c r="FY74" s="329"/>
      <c r="FZ74" s="329"/>
      <c r="GA74" s="329"/>
      <c r="GB74" s="329"/>
      <c r="GC74" s="322">
        <f t="shared" si="78"/>
        <v>0</v>
      </c>
      <c r="GD74" s="322">
        <f t="shared" si="79"/>
        <v>0</v>
      </c>
      <c r="GE74" s="329"/>
      <c r="GF74" s="329"/>
      <c r="GG74" s="329"/>
      <c r="GH74" s="329"/>
      <c r="GI74" s="329"/>
      <c r="GJ74" s="329"/>
      <c r="GK74" s="329"/>
      <c r="GL74" s="329"/>
      <c r="GM74" s="329"/>
      <c r="GN74" s="329"/>
      <c r="GO74" s="329"/>
      <c r="GP74" s="329"/>
      <c r="GQ74" s="329"/>
      <c r="GR74" s="329"/>
      <c r="GS74" s="329"/>
      <c r="GT74" s="329"/>
      <c r="GU74" s="329"/>
      <c r="GV74" s="329"/>
      <c r="GW74" s="329"/>
      <c r="GX74" s="329"/>
      <c r="GY74" s="329"/>
      <c r="GZ74" s="329"/>
      <c r="HA74" s="329"/>
      <c r="HB74" s="329"/>
      <c r="HC74" s="322">
        <f t="shared" si="80"/>
        <v>0</v>
      </c>
      <c r="HD74" s="322">
        <f t="shared" si="80"/>
        <v>0</v>
      </c>
      <c r="HE74" s="322">
        <f t="shared" si="81"/>
        <v>0</v>
      </c>
      <c r="HF74" s="322">
        <f t="shared" si="82"/>
        <v>0</v>
      </c>
      <c r="HH74" s="448"/>
      <c r="HI74" s="449"/>
      <c r="HJ74" s="448"/>
    </row>
    <row r="75" spans="1:218" x14ac:dyDescent="0.2">
      <c r="A75" s="319"/>
      <c r="B75" s="311" t="s">
        <v>446</v>
      </c>
      <c r="C75" s="322">
        <v>0</v>
      </c>
      <c r="D75" s="294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262"/>
      <c r="AA75" s="262"/>
      <c r="AB75" s="262"/>
      <c r="AC75" s="457"/>
      <c r="AD75" s="457"/>
      <c r="AE75" s="262">
        <f>SUM(AE69:AE74)</f>
        <v>0</v>
      </c>
      <c r="AF75" s="262">
        <f t="shared" ref="AF75:CQ75" si="83">SUM(AF69:AF74)</f>
        <v>0</v>
      </c>
      <c r="AG75" s="262">
        <f t="shared" si="83"/>
        <v>0</v>
      </c>
      <c r="AH75" s="262">
        <f t="shared" si="83"/>
        <v>0</v>
      </c>
      <c r="AI75" s="262">
        <f t="shared" si="83"/>
        <v>0</v>
      </c>
      <c r="AJ75" s="262">
        <f t="shared" si="83"/>
        <v>0</v>
      </c>
      <c r="AK75" s="262">
        <f t="shared" si="83"/>
        <v>0</v>
      </c>
      <c r="AL75" s="262">
        <f t="shared" si="83"/>
        <v>0</v>
      </c>
      <c r="AM75" s="262">
        <f t="shared" si="83"/>
        <v>0</v>
      </c>
      <c r="AN75" s="262">
        <f t="shared" si="83"/>
        <v>0</v>
      </c>
      <c r="AO75" s="262">
        <f t="shared" si="83"/>
        <v>0</v>
      </c>
      <c r="AP75" s="262">
        <f t="shared" si="83"/>
        <v>0</v>
      </c>
      <c r="AQ75" s="262">
        <f t="shared" si="83"/>
        <v>0</v>
      </c>
      <c r="AR75" s="262">
        <f t="shared" si="83"/>
        <v>0</v>
      </c>
      <c r="AS75" s="262">
        <f t="shared" si="83"/>
        <v>0</v>
      </c>
      <c r="AT75" s="262">
        <f t="shared" si="83"/>
        <v>0</v>
      </c>
      <c r="AU75" s="262">
        <f t="shared" si="83"/>
        <v>0</v>
      </c>
      <c r="AV75" s="262">
        <f t="shared" si="83"/>
        <v>0</v>
      </c>
      <c r="AW75" s="262">
        <f t="shared" si="83"/>
        <v>0</v>
      </c>
      <c r="AX75" s="262">
        <f t="shared" si="83"/>
        <v>0</v>
      </c>
      <c r="AY75" s="262">
        <f t="shared" si="83"/>
        <v>0</v>
      </c>
      <c r="AZ75" s="262">
        <f t="shared" si="83"/>
        <v>0</v>
      </c>
      <c r="BA75" s="262">
        <f t="shared" si="83"/>
        <v>0</v>
      </c>
      <c r="BB75" s="262">
        <f t="shared" si="83"/>
        <v>0</v>
      </c>
      <c r="BC75" s="262">
        <f t="shared" si="83"/>
        <v>0</v>
      </c>
      <c r="BD75" s="262">
        <f t="shared" si="83"/>
        <v>0</v>
      </c>
      <c r="BE75" s="262">
        <f t="shared" si="83"/>
        <v>0</v>
      </c>
      <c r="BF75" s="262">
        <f t="shared" si="83"/>
        <v>0</v>
      </c>
      <c r="BG75" s="262">
        <f t="shared" si="83"/>
        <v>0</v>
      </c>
      <c r="BH75" s="262">
        <f t="shared" si="83"/>
        <v>0</v>
      </c>
      <c r="BI75" s="262">
        <f t="shared" si="83"/>
        <v>0</v>
      </c>
      <c r="BJ75" s="262">
        <f t="shared" si="83"/>
        <v>0</v>
      </c>
      <c r="BK75" s="262">
        <f t="shared" si="83"/>
        <v>0</v>
      </c>
      <c r="BL75" s="262">
        <f t="shared" si="83"/>
        <v>0</v>
      </c>
      <c r="BM75" s="262">
        <f t="shared" si="83"/>
        <v>0</v>
      </c>
      <c r="BN75" s="262">
        <f t="shared" si="83"/>
        <v>0</v>
      </c>
      <c r="BO75" s="262">
        <f t="shared" si="83"/>
        <v>0</v>
      </c>
      <c r="BP75" s="262">
        <f t="shared" si="83"/>
        <v>0</v>
      </c>
      <c r="BQ75" s="262">
        <f t="shared" si="83"/>
        <v>0</v>
      </c>
      <c r="BR75" s="262">
        <f t="shared" si="83"/>
        <v>0</v>
      </c>
      <c r="BS75" s="262">
        <f t="shared" si="83"/>
        <v>0</v>
      </c>
      <c r="BT75" s="262">
        <f t="shared" si="83"/>
        <v>0</v>
      </c>
      <c r="BU75" s="262">
        <f t="shared" si="83"/>
        <v>0</v>
      </c>
      <c r="BV75" s="262">
        <f t="shared" si="83"/>
        <v>0</v>
      </c>
      <c r="BW75" s="262">
        <f t="shared" si="83"/>
        <v>0</v>
      </c>
      <c r="BX75" s="262">
        <f t="shared" si="83"/>
        <v>0</v>
      </c>
      <c r="BY75" s="262">
        <f t="shared" si="83"/>
        <v>0</v>
      </c>
      <c r="BZ75" s="262">
        <f t="shared" si="83"/>
        <v>0</v>
      </c>
      <c r="CA75" s="262">
        <f t="shared" si="83"/>
        <v>0</v>
      </c>
      <c r="CB75" s="262">
        <f t="shared" si="83"/>
        <v>0</v>
      </c>
      <c r="CC75" s="262">
        <f t="shared" si="83"/>
        <v>0</v>
      </c>
      <c r="CD75" s="262">
        <f t="shared" si="83"/>
        <v>0</v>
      </c>
      <c r="CE75" s="262">
        <f t="shared" si="83"/>
        <v>0</v>
      </c>
      <c r="CF75" s="262">
        <f t="shared" si="83"/>
        <v>0</v>
      </c>
      <c r="CG75" s="262">
        <f t="shared" si="83"/>
        <v>0</v>
      </c>
      <c r="CH75" s="262">
        <f t="shared" si="83"/>
        <v>0</v>
      </c>
      <c r="CI75" s="262">
        <f t="shared" si="83"/>
        <v>0</v>
      </c>
      <c r="CJ75" s="262">
        <f t="shared" si="83"/>
        <v>0</v>
      </c>
      <c r="CK75" s="262">
        <f t="shared" si="83"/>
        <v>0</v>
      </c>
      <c r="CL75" s="262">
        <f t="shared" si="83"/>
        <v>0</v>
      </c>
      <c r="CM75" s="262">
        <f t="shared" si="83"/>
        <v>0</v>
      </c>
      <c r="CN75" s="262">
        <f t="shared" si="83"/>
        <v>0</v>
      </c>
      <c r="CO75" s="262">
        <f t="shared" si="83"/>
        <v>0</v>
      </c>
      <c r="CP75" s="262">
        <f t="shared" si="83"/>
        <v>0</v>
      </c>
      <c r="CQ75" s="262">
        <f t="shared" si="83"/>
        <v>0</v>
      </c>
      <c r="CR75" s="262">
        <f t="shared" ref="CR75:FC75" si="84">SUM(CR69:CR74)</f>
        <v>0</v>
      </c>
      <c r="CS75" s="262">
        <f t="shared" si="84"/>
        <v>0</v>
      </c>
      <c r="CT75" s="262">
        <f t="shared" si="84"/>
        <v>0</v>
      </c>
      <c r="CU75" s="262">
        <f t="shared" si="84"/>
        <v>0</v>
      </c>
      <c r="CV75" s="262">
        <f t="shared" si="84"/>
        <v>0</v>
      </c>
      <c r="CW75" s="262">
        <f t="shared" si="84"/>
        <v>0</v>
      </c>
      <c r="CX75" s="262">
        <f t="shared" si="84"/>
        <v>0</v>
      </c>
      <c r="CY75" s="262">
        <f t="shared" si="84"/>
        <v>0</v>
      </c>
      <c r="CZ75" s="262">
        <f t="shared" si="84"/>
        <v>0</v>
      </c>
      <c r="DA75" s="262">
        <f t="shared" si="84"/>
        <v>0</v>
      </c>
      <c r="DB75" s="262">
        <f t="shared" si="84"/>
        <v>0</v>
      </c>
      <c r="DC75" s="262">
        <f t="shared" si="84"/>
        <v>0</v>
      </c>
      <c r="DD75" s="262">
        <f t="shared" si="84"/>
        <v>0</v>
      </c>
      <c r="DE75" s="262">
        <f t="shared" si="84"/>
        <v>0</v>
      </c>
      <c r="DF75" s="262">
        <f t="shared" si="84"/>
        <v>0</v>
      </c>
      <c r="DG75" s="262">
        <f t="shared" si="84"/>
        <v>0</v>
      </c>
      <c r="DH75" s="262">
        <f t="shared" si="84"/>
        <v>0</v>
      </c>
      <c r="DI75" s="262">
        <f t="shared" si="84"/>
        <v>0</v>
      </c>
      <c r="DJ75" s="262">
        <f t="shared" si="84"/>
        <v>0</v>
      </c>
      <c r="DK75" s="262">
        <f t="shared" si="84"/>
        <v>0</v>
      </c>
      <c r="DL75" s="262">
        <f t="shared" si="84"/>
        <v>0</v>
      </c>
      <c r="DM75" s="262">
        <f t="shared" si="84"/>
        <v>0</v>
      </c>
      <c r="DN75" s="262">
        <f t="shared" si="84"/>
        <v>0</v>
      </c>
      <c r="DO75" s="262">
        <f t="shared" si="84"/>
        <v>0</v>
      </c>
      <c r="DP75" s="262">
        <f t="shared" si="84"/>
        <v>0</v>
      </c>
      <c r="DQ75" s="262">
        <f t="shared" si="84"/>
        <v>0</v>
      </c>
      <c r="DR75" s="262">
        <f t="shared" si="84"/>
        <v>0</v>
      </c>
      <c r="DS75" s="262">
        <f t="shared" si="84"/>
        <v>0</v>
      </c>
      <c r="DT75" s="262">
        <f t="shared" si="84"/>
        <v>0</v>
      </c>
      <c r="DU75" s="262">
        <f t="shared" si="84"/>
        <v>0</v>
      </c>
      <c r="DV75" s="262">
        <f t="shared" si="84"/>
        <v>0</v>
      </c>
      <c r="DW75" s="262">
        <f t="shared" si="84"/>
        <v>0</v>
      </c>
      <c r="DX75" s="262">
        <f t="shared" si="84"/>
        <v>0</v>
      </c>
      <c r="DY75" s="262">
        <f t="shared" si="84"/>
        <v>0</v>
      </c>
      <c r="DZ75" s="262">
        <f t="shared" si="84"/>
        <v>0</v>
      </c>
      <c r="EA75" s="262">
        <f t="shared" si="84"/>
        <v>0</v>
      </c>
      <c r="EB75" s="262">
        <f t="shared" si="84"/>
        <v>0</v>
      </c>
      <c r="EC75" s="262">
        <f t="shared" si="84"/>
        <v>0</v>
      </c>
      <c r="ED75" s="262">
        <f t="shared" si="84"/>
        <v>0</v>
      </c>
      <c r="EE75" s="262">
        <f t="shared" si="84"/>
        <v>0</v>
      </c>
      <c r="EF75" s="262">
        <f t="shared" si="84"/>
        <v>0</v>
      </c>
      <c r="EG75" s="262">
        <f t="shared" si="84"/>
        <v>0</v>
      </c>
      <c r="EH75" s="262">
        <f t="shared" si="84"/>
        <v>0</v>
      </c>
      <c r="EI75" s="262">
        <f t="shared" si="84"/>
        <v>0</v>
      </c>
      <c r="EJ75" s="262">
        <f t="shared" si="84"/>
        <v>0</v>
      </c>
      <c r="EK75" s="262">
        <f t="shared" si="84"/>
        <v>0</v>
      </c>
      <c r="EL75" s="262">
        <f t="shared" si="84"/>
        <v>0</v>
      </c>
      <c r="EM75" s="262">
        <f t="shared" si="84"/>
        <v>0</v>
      </c>
      <c r="EN75" s="262">
        <f t="shared" si="84"/>
        <v>0</v>
      </c>
      <c r="EO75" s="262">
        <f t="shared" si="84"/>
        <v>0</v>
      </c>
      <c r="EP75" s="262">
        <f t="shared" si="84"/>
        <v>0</v>
      </c>
      <c r="EQ75" s="262">
        <f t="shared" si="84"/>
        <v>0</v>
      </c>
      <c r="ER75" s="262">
        <f t="shared" si="84"/>
        <v>0</v>
      </c>
      <c r="ES75" s="262">
        <f t="shared" si="84"/>
        <v>0</v>
      </c>
      <c r="ET75" s="262">
        <f t="shared" si="84"/>
        <v>0</v>
      </c>
      <c r="EU75" s="262">
        <f t="shared" si="84"/>
        <v>0</v>
      </c>
      <c r="EV75" s="262">
        <f t="shared" si="84"/>
        <v>0</v>
      </c>
      <c r="EW75" s="262">
        <f t="shared" si="84"/>
        <v>0</v>
      </c>
      <c r="EX75" s="262">
        <f t="shared" si="84"/>
        <v>0</v>
      </c>
      <c r="EY75" s="262">
        <f t="shared" si="84"/>
        <v>0</v>
      </c>
      <c r="EZ75" s="262">
        <f t="shared" si="84"/>
        <v>0</v>
      </c>
      <c r="FA75" s="262">
        <f t="shared" si="84"/>
        <v>0</v>
      </c>
      <c r="FB75" s="262">
        <f t="shared" si="84"/>
        <v>0</v>
      </c>
      <c r="FC75" s="262">
        <f t="shared" si="84"/>
        <v>0</v>
      </c>
      <c r="FD75" s="262">
        <f>SUM(FD69:FD74)</f>
        <v>0</v>
      </c>
      <c r="FE75" s="262">
        <f t="shared" ref="FE75:GC75" si="85">SUM(FE69:FE74)</f>
        <v>0</v>
      </c>
      <c r="FF75" s="262">
        <f t="shared" si="85"/>
        <v>0</v>
      </c>
      <c r="FG75" s="262">
        <f t="shared" si="85"/>
        <v>0</v>
      </c>
      <c r="FH75" s="262">
        <f t="shared" si="85"/>
        <v>0</v>
      </c>
      <c r="FI75" s="262">
        <f t="shared" si="85"/>
        <v>0</v>
      </c>
      <c r="FJ75" s="262">
        <f t="shared" si="85"/>
        <v>0</v>
      </c>
      <c r="FK75" s="262">
        <f t="shared" si="85"/>
        <v>0</v>
      </c>
      <c r="FL75" s="262">
        <f t="shared" si="85"/>
        <v>0</v>
      </c>
      <c r="FM75" s="262">
        <f t="shared" si="85"/>
        <v>0</v>
      </c>
      <c r="FN75" s="262">
        <f t="shared" si="85"/>
        <v>0</v>
      </c>
      <c r="FO75" s="262">
        <f t="shared" si="85"/>
        <v>0</v>
      </c>
      <c r="FP75" s="262">
        <f t="shared" si="85"/>
        <v>0</v>
      </c>
      <c r="FQ75" s="262">
        <f t="shared" si="85"/>
        <v>0</v>
      </c>
      <c r="FR75" s="262">
        <f t="shared" si="85"/>
        <v>0</v>
      </c>
      <c r="FS75" s="262">
        <f t="shared" si="85"/>
        <v>0</v>
      </c>
      <c r="FT75" s="262">
        <f t="shared" si="85"/>
        <v>0</v>
      </c>
      <c r="FU75" s="262">
        <f t="shared" si="85"/>
        <v>0</v>
      </c>
      <c r="FV75" s="262">
        <f t="shared" si="85"/>
        <v>0</v>
      </c>
      <c r="FW75" s="262">
        <f t="shared" si="85"/>
        <v>0</v>
      </c>
      <c r="FX75" s="262">
        <f t="shared" si="85"/>
        <v>0</v>
      </c>
      <c r="FY75" s="262">
        <f t="shared" si="85"/>
        <v>0</v>
      </c>
      <c r="FZ75" s="262">
        <f t="shared" si="85"/>
        <v>0</v>
      </c>
      <c r="GA75" s="262">
        <f t="shared" si="85"/>
        <v>0</v>
      </c>
      <c r="GB75" s="262">
        <f t="shared" si="85"/>
        <v>0</v>
      </c>
      <c r="GC75" s="262">
        <f t="shared" si="85"/>
        <v>0</v>
      </c>
      <c r="GD75" s="262">
        <f>SUM(GD69:GD74)</f>
        <v>0</v>
      </c>
      <c r="GE75" s="262">
        <f t="shared" ref="GE75:HC75" si="86">SUM(GE69:GE74)</f>
        <v>0</v>
      </c>
      <c r="GF75" s="262">
        <f t="shared" si="86"/>
        <v>0</v>
      </c>
      <c r="GG75" s="262">
        <f t="shared" si="86"/>
        <v>0</v>
      </c>
      <c r="GH75" s="262">
        <f t="shared" si="86"/>
        <v>0</v>
      </c>
      <c r="GI75" s="262">
        <f t="shared" si="86"/>
        <v>0</v>
      </c>
      <c r="GJ75" s="262">
        <f t="shared" si="86"/>
        <v>0</v>
      </c>
      <c r="GK75" s="262">
        <f t="shared" si="86"/>
        <v>0</v>
      </c>
      <c r="GL75" s="262">
        <f t="shared" si="86"/>
        <v>0</v>
      </c>
      <c r="GM75" s="262">
        <f t="shared" si="86"/>
        <v>0</v>
      </c>
      <c r="GN75" s="262">
        <f t="shared" si="86"/>
        <v>0</v>
      </c>
      <c r="GO75" s="262">
        <f t="shared" si="86"/>
        <v>0</v>
      </c>
      <c r="GP75" s="262">
        <f t="shared" si="86"/>
        <v>0</v>
      </c>
      <c r="GQ75" s="262">
        <f t="shared" si="86"/>
        <v>0</v>
      </c>
      <c r="GR75" s="262">
        <f t="shared" si="86"/>
        <v>0</v>
      </c>
      <c r="GS75" s="262">
        <f t="shared" si="86"/>
        <v>0</v>
      </c>
      <c r="GT75" s="262">
        <f t="shared" si="86"/>
        <v>0</v>
      </c>
      <c r="GU75" s="262">
        <f t="shared" si="86"/>
        <v>0</v>
      </c>
      <c r="GV75" s="262">
        <f t="shared" si="86"/>
        <v>0</v>
      </c>
      <c r="GW75" s="262">
        <f t="shared" si="86"/>
        <v>0</v>
      </c>
      <c r="GX75" s="262">
        <f t="shared" si="86"/>
        <v>0</v>
      </c>
      <c r="GY75" s="262">
        <f t="shared" si="86"/>
        <v>0</v>
      </c>
      <c r="GZ75" s="262">
        <f t="shared" si="86"/>
        <v>0</v>
      </c>
      <c r="HA75" s="262">
        <f t="shared" si="86"/>
        <v>0</v>
      </c>
      <c r="HB75" s="262">
        <f t="shared" si="86"/>
        <v>0</v>
      </c>
      <c r="HC75" s="262">
        <f t="shared" si="86"/>
        <v>0</v>
      </c>
      <c r="HD75" s="262">
        <f>SUM(HD69:HD74)</f>
        <v>0</v>
      </c>
      <c r="HE75" s="262">
        <f>SUM(HE69:HE74)</f>
        <v>0</v>
      </c>
      <c r="HF75" s="262">
        <f>SUM(HF69:HF74)</f>
        <v>0</v>
      </c>
      <c r="HH75" s="448"/>
      <c r="HI75" s="449"/>
      <c r="HJ75" s="448"/>
    </row>
    <row r="76" spans="1:218" x14ac:dyDescent="0.2">
      <c r="B76" s="313" t="s">
        <v>447</v>
      </c>
      <c r="C76" s="322">
        <v>540000000</v>
      </c>
      <c r="D76" s="328"/>
      <c r="E76" s="320"/>
      <c r="F76" s="320"/>
      <c r="G76" s="320"/>
      <c r="H76" s="322"/>
      <c r="I76" s="320"/>
      <c r="J76" s="320"/>
      <c r="K76" s="320"/>
      <c r="L76" s="320"/>
      <c r="M76" s="320"/>
      <c r="N76" s="320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  <c r="AA76" s="320"/>
      <c r="AB76" s="322"/>
      <c r="AC76" s="322">
        <f>E76+G76+I76+K76+M76+O76+Q76+S76+U76+W76+Y76+AA76</f>
        <v>0</v>
      </c>
      <c r="AD76" s="322">
        <f>F76+H76+J76+L76+N76+P76+R76+T76+V76+X76+Z76+AB76</f>
        <v>0</v>
      </c>
      <c r="AE76" s="320"/>
      <c r="AF76" s="320"/>
      <c r="AG76" s="320"/>
      <c r="AH76" s="320"/>
      <c r="AI76" s="320"/>
      <c r="AJ76" s="320"/>
      <c r="AK76" s="320"/>
      <c r="AL76" s="320"/>
      <c r="AM76" s="320"/>
      <c r="AN76" s="320"/>
      <c r="AO76" s="320"/>
      <c r="AP76" s="322"/>
      <c r="AQ76" s="322"/>
      <c r="AR76" s="322"/>
      <c r="AS76" s="322"/>
      <c r="AT76" s="322"/>
      <c r="AU76" s="322"/>
      <c r="AV76" s="322"/>
      <c r="AW76" s="322"/>
      <c r="AX76" s="322"/>
      <c r="AY76" s="322"/>
      <c r="AZ76" s="322"/>
      <c r="BA76" s="322"/>
      <c r="BB76" s="322"/>
      <c r="BC76" s="322">
        <f>AE76+AG76+AI76+AK76+AM76+AO76+AQ76+AS76+AU76+AW76+AY76+BA76</f>
        <v>0</v>
      </c>
      <c r="BD76" s="322">
        <f>AF76+AH76+AJ76+AL76+AN76+AP76+AR76+AT76+AV76+AX76+AZ76+BB76</f>
        <v>0</v>
      </c>
      <c r="BE76" s="322"/>
      <c r="BF76" s="322"/>
      <c r="BG76" s="322"/>
      <c r="BH76" s="322"/>
      <c r="BI76" s="322"/>
      <c r="BJ76" s="322"/>
      <c r="BK76" s="322"/>
      <c r="BL76" s="322"/>
      <c r="BM76" s="322"/>
      <c r="BN76" s="322"/>
      <c r="BO76" s="322"/>
      <c r="BP76" s="322"/>
      <c r="BQ76" s="322"/>
      <c r="BR76" s="322"/>
      <c r="BS76" s="322"/>
      <c r="BT76" s="322"/>
      <c r="BU76" s="322"/>
      <c r="BV76" s="322"/>
      <c r="BW76" s="322"/>
      <c r="BX76" s="322"/>
      <c r="BY76" s="322"/>
      <c r="BZ76" s="322"/>
      <c r="CA76" s="322"/>
      <c r="CB76" s="322"/>
      <c r="CC76" s="322">
        <f t="shared" ref="CC76:CD84" si="87">BE76+BG76+BI76+BK76+BM76+BO76+BQ76+BS76+BU76+BW76+BY76+CA76</f>
        <v>0</v>
      </c>
      <c r="CD76" s="322">
        <f t="shared" si="87"/>
        <v>0</v>
      </c>
      <c r="CE76" s="322"/>
      <c r="CF76" s="322"/>
      <c r="CG76" s="322"/>
      <c r="CH76" s="322"/>
      <c r="CI76" s="322"/>
      <c r="CJ76" s="322"/>
      <c r="CK76" s="322"/>
      <c r="CL76" s="322"/>
      <c r="CM76" s="322"/>
      <c r="CN76" s="322"/>
      <c r="CO76" s="322"/>
      <c r="CP76" s="322"/>
      <c r="CQ76" s="322"/>
      <c r="CR76" s="322"/>
      <c r="CS76" s="322"/>
      <c r="CT76" s="322"/>
      <c r="CU76" s="322"/>
      <c r="CV76" s="322"/>
      <c r="CW76" s="322"/>
      <c r="CX76" s="322"/>
      <c r="CY76" s="322"/>
      <c r="CZ76" s="322"/>
      <c r="DA76" s="322"/>
      <c r="DB76" s="322"/>
      <c r="DC76" s="322">
        <f t="shared" ref="DC76:DD84" si="88">CE76+CG76+CI76+CK76+CM76+CO76+CQ76+CS76+CU76+CW76+CY76+DA76</f>
        <v>0</v>
      </c>
      <c r="DD76" s="322">
        <f t="shared" si="88"/>
        <v>0</v>
      </c>
      <c r="DE76" s="436"/>
      <c r="DF76" s="436"/>
      <c r="DG76" s="436"/>
      <c r="DH76" s="436"/>
      <c r="DI76" s="436"/>
      <c r="DJ76" s="436"/>
      <c r="DK76" s="436"/>
      <c r="DL76" s="436"/>
      <c r="DM76" s="436"/>
      <c r="DN76" s="436"/>
      <c r="DO76" s="329"/>
      <c r="DP76" s="436">
        <f>$C$76*DO76</f>
        <v>0</v>
      </c>
      <c r="DQ76" s="329"/>
      <c r="DR76" s="329"/>
      <c r="DS76" s="329"/>
      <c r="DT76" s="329"/>
      <c r="DU76" s="329"/>
      <c r="DV76" s="329"/>
      <c r="DW76" s="329"/>
      <c r="DX76" s="329"/>
      <c r="DY76" s="329"/>
      <c r="DZ76" s="329"/>
      <c r="EA76" s="329"/>
      <c r="EB76" s="329"/>
      <c r="EC76" s="322">
        <f t="shared" ref="EC76:ED84" si="89">DE76+DG76+DI76+DK76+DM76+DO76+DQ76+DS76+DU76+DW76+DY76+EA76</f>
        <v>0</v>
      </c>
      <c r="ED76" s="322">
        <f t="shared" si="89"/>
        <v>0</v>
      </c>
      <c r="EE76" s="329"/>
      <c r="EF76" s="329"/>
      <c r="EG76" s="329"/>
      <c r="EH76" s="329"/>
      <c r="EI76" s="329"/>
      <c r="EJ76" s="329"/>
      <c r="EK76" s="329"/>
      <c r="EL76" s="329"/>
      <c r="EM76" s="329"/>
      <c r="EN76" s="329"/>
      <c r="EO76" s="329"/>
      <c r="EP76" s="329"/>
      <c r="EQ76" s="329"/>
      <c r="ER76" s="329"/>
      <c r="ES76" s="329"/>
      <c r="ET76" s="329"/>
      <c r="EU76" s="329"/>
      <c r="EV76" s="329"/>
      <c r="EW76" s="329"/>
      <c r="EX76" s="329"/>
      <c r="EY76" s="329"/>
      <c r="EZ76" s="329"/>
      <c r="FA76" s="329"/>
      <c r="FB76" s="329"/>
      <c r="FC76" s="322">
        <f t="shared" ref="FC76:FD84" si="90">EE76+EG76+EI76+EK76+EM76+EO76+EQ76+ES76+EU76+EW76+EY76+FA76</f>
        <v>0</v>
      </c>
      <c r="FD76" s="322">
        <f t="shared" si="90"/>
        <v>0</v>
      </c>
      <c r="FE76" s="329"/>
      <c r="FF76" s="329"/>
      <c r="FG76" s="329"/>
      <c r="FH76" s="329"/>
      <c r="FI76" s="329"/>
      <c r="FJ76" s="329"/>
      <c r="FK76" s="329"/>
      <c r="FL76" s="329"/>
      <c r="FM76" s="329"/>
      <c r="FN76" s="329"/>
      <c r="FO76" s="329"/>
      <c r="FP76" s="329"/>
      <c r="FQ76" s="329"/>
      <c r="FR76" s="329"/>
      <c r="FS76" s="329"/>
      <c r="FT76" s="329"/>
      <c r="FU76" s="329"/>
      <c r="FV76" s="329"/>
      <c r="FW76" s="329"/>
      <c r="FX76" s="329"/>
      <c r="FY76" s="329"/>
      <c r="FZ76" s="329"/>
      <c r="GA76" s="329"/>
      <c r="GB76" s="329"/>
      <c r="GC76" s="322">
        <f t="shared" ref="GC76:GC84" si="91">FE76+FG76+FI76+FK76+FM76+FO76+FQ76+FS76+FU76+FW76+FY76+GA76</f>
        <v>0</v>
      </c>
      <c r="GD76" s="322">
        <f t="shared" ref="GD76:GD84" si="92">FF76+FH76+FJ76+FL76+FN76+FP76+FR76+FT76+FV76+FX76+FZ76+GB76</f>
        <v>0</v>
      </c>
      <c r="GE76" s="329"/>
      <c r="GF76" s="329"/>
      <c r="GG76" s="329"/>
      <c r="GH76" s="329"/>
      <c r="GI76" s="329"/>
      <c r="GJ76" s="329"/>
      <c r="GK76" s="329"/>
      <c r="GL76" s="329"/>
      <c r="GM76" s="329"/>
      <c r="GN76" s="329"/>
      <c r="GO76" s="329"/>
      <c r="GP76" s="329"/>
      <c r="GQ76" s="329"/>
      <c r="GR76" s="329"/>
      <c r="GS76" s="329"/>
      <c r="GT76" s="329"/>
      <c r="GU76" s="329"/>
      <c r="GV76" s="329"/>
      <c r="GW76" s="329"/>
      <c r="GX76" s="329"/>
      <c r="GY76" s="329"/>
      <c r="GZ76" s="329"/>
      <c r="HA76" s="329"/>
      <c r="HB76" s="329"/>
      <c r="HC76" s="322">
        <f t="shared" ref="HC76:HD84" si="93">GE76+GG76+GI76+GK76+GM76+GO76+GQ76+GS76+GU76+GW76+GY76+HA76</f>
        <v>0</v>
      </c>
      <c r="HD76" s="322">
        <f t="shared" si="93"/>
        <v>0</v>
      </c>
      <c r="HE76" s="322">
        <f t="shared" ref="HE76:HE84" si="94">AC76+BC76+CC76+DC76+EC76+FC76+GC76+HC76</f>
        <v>0</v>
      </c>
      <c r="HF76" s="322">
        <f t="shared" ref="HF76:HF84" si="95">AD76+BD76+CD76+DD76+ED76+FD76+GD76+HD76</f>
        <v>0</v>
      </c>
      <c r="HH76" s="448"/>
      <c r="HI76" s="449"/>
      <c r="HJ76" s="448"/>
    </row>
    <row r="77" spans="1:218" x14ac:dyDescent="0.2">
      <c r="B77" s="313" t="s">
        <v>448</v>
      </c>
      <c r="C77" s="322">
        <v>450000000</v>
      </c>
      <c r="D77" s="328"/>
      <c r="E77" s="320"/>
      <c r="F77" s="322"/>
      <c r="G77" s="320"/>
      <c r="H77" s="322"/>
      <c r="I77" s="320"/>
      <c r="J77" s="320"/>
      <c r="K77" s="320"/>
      <c r="L77" s="320"/>
      <c r="M77" s="320"/>
      <c r="N77" s="320"/>
      <c r="O77" s="320"/>
      <c r="P77" s="320"/>
      <c r="Q77" s="320"/>
      <c r="R77" s="320"/>
      <c r="S77" s="320"/>
      <c r="T77" s="320"/>
      <c r="U77" s="320"/>
      <c r="V77" s="320"/>
      <c r="W77" s="320"/>
      <c r="X77" s="320"/>
      <c r="Y77" s="320"/>
      <c r="Z77" s="320"/>
      <c r="AA77" s="320"/>
      <c r="AB77" s="320"/>
      <c r="AC77" s="322">
        <f t="shared" ref="AC77:AD84" si="96">E77+G77+I77+K77+M77+O77+Q77+S77+U77+W77+Y77+AA77</f>
        <v>0</v>
      </c>
      <c r="AD77" s="322">
        <f t="shared" si="96"/>
        <v>0</v>
      </c>
      <c r="AE77" s="320"/>
      <c r="AF77" s="320"/>
      <c r="AG77" s="320"/>
      <c r="AH77" s="322">
        <f>$C77*AG77</f>
        <v>0</v>
      </c>
      <c r="AI77" s="320"/>
      <c r="AJ77" s="320"/>
      <c r="AK77" s="320"/>
      <c r="AL77" s="320"/>
      <c r="AM77" s="320"/>
      <c r="AN77" s="320"/>
      <c r="AO77" s="322"/>
      <c r="AP77" s="322"/>
      <c r="AQ77" s="322"/>
      <c r="AR77" s="322"/>
      <c r="AS77" s="322"/>
      <c r="AT77" s="322"/>
      <c r="AU77" s="322"/>
      <c r="AV77" s="322"/>
      <c r="AW77" s="322"/>
      <c r="AX77" s="322"/>
      <c r="AY77" s="322"/>
      <c r="AZ77" s="322"/>
      <c r="BA77" s="322"/>
      <c r="BB77" s="322"/>
      <c r="BC77" s="322">
        <f t="shared" ref="BC77:BD84" si="97">AE77+AG77+AI77+AK77+AM77+AO77+AQ77+AS77+AU77+AW77+AY77+BA77</f>
        <v>0</v>
      </c>
      <c r="BD77" s="322">
        <f t="shared" si="97"/>
        <v>0</v>
      </c>
      <c r="BE77" s="322"/>
      <c r="BF77" s="322"/>
      <c r="BG77" s="322"/>
      <c r="BH77" s="322"/>
      <c r="BI77" s="322"/>
      <c r="BJ77" s="322"/>
      <c r="BK77" s="322"/>
      <c r="BL77" s="322"/>
      <c r="BM77" s="322"/>
      <c r="BN77" s="322"/>
      <c r="BO77" s="320"/>
      <c r="BP77" s="322"/>
      <c r="BQ77" s="322"/>
      <c r="BR77" s="322"/>
      <c r="BS77" s="322"/>
      <c r="BT77" s="322"/>
      <c r="BU77" s="322"/>
      <c r="BV77" s="322"/>
      <c r="BW77" s="322"/>
      <c r="BX77" s="322"/>
      <c r="BY77" s="322"/>
      <c r="BZ77" s="322"/>
      <c r="CA77" s="322"/>
      <c r="CB77" s="322"/>
      <c r="CC77" s="322">
        <f t="shared" si="87"/>
        <v>0</v>
      </c>
      <c r="CD77" s="322">
        <f t="shared" si="87"/>
        <v>0</v>
      </c>
      <c r="CE77" s="322"/>
      <c r="CF77" s="322"/>
      <c r="CG77" s="322"/>
      <c r="CH77" s="322"/>
      <c r="CI77" s="322"/>
      <c r="CJ77" s="322"/>
      <c r="CK77" s="322"/>
      <c r="CL77" s="322"/>
      <c r="CM77" s="322"/>
      <c r="CN77" s="322"/>
      <c r="CO77" s="320"/>
      <c r="CP77" s="322"/>
      <c r="CQ77" s="322"/>
      <c r="CR77" s="322"/>
      <c r="CS77" s="322"/>
      <c r="CT77" s="322"/>
      <c r="CU77" s="322"/>
      <c r="CV77" s="322"/>
      <c r="CW77" s="322"/>
      <c r="CX77" s="322"/>
      <c r="CY77" s="322"/>
      <c r="CZ77" s="322"/>
      <c r="DA77" s="322"/>
      <c r="DB77" s="322"/>
      <c r="DC77" s="322">
        <f t="shared" si="88"/>
        <v>0</v>
      </c>
      <c r="DD77" s="322">
        <f t="shared" si="88"/>
        <v>0</v>
      </c>
      <c r="DE77" s="436"/>
      <c r="DF77" s="436"/>
      <c r="DG77" s="436"/>
      <c r="DH77" s="436"/>
      <c r="DI77" s="436"/>
      <c r="DJ77" s="436"/>
      <c r="DK77" s="436"/>
      <c r="DL77" s="436"/>
      <c r="DM77" s="436"/>
      <c r="DN77" s="436"/>
      <c r="DO77" s="329"/>
      <c r="DP77" s="322">
        <f>$C77*DO77</f>
        <v>0</v>
      </c>
      <c r="DQ77" s="329"/>
      <c r="DR77" s="329"/>
      <c r="DS77" s="329"/>
      <c r="DT77" s="329"/>
      <c r="DU77" s="329"/>
      <c r="DV77" s="329"/>
      <c r="DW77" s="329"/>
      <c r="DX77" s="329"/>
      <c r="DY77" s="329"/>
      <c r="DZ77" s="329"/>
      <c r="EA77" s="329"/>
      <c r="EB77" s="329"/>
      <c r="EC77" s="322">
        <f t="shared" si="89"/>
        <v>0</v>
      </c>
      <c r="ED77" s="322">
        <f t="shared" si="89"/>
        <v>0</v>
      </c>
      <c r="EE77" s="329"/>
      <c r="EF77" s="329"/>
      <c r="EG77" s="329"/>
      <c r="EH77" s="329"/>
      <c r="EI77" s="329"/>
      <c r="EJ77" s="329"/>
      <c r="EK77" s="329"/>
      <c r="EL77" s="329"/>
      <c r="EM77" s="329"/>
      <c r="EN77" s="329"/>
      <c r="EO77" s="329"/>
      <c r="EP77" s="329"/>
      <c r="EQ77" s="329"/>
      <c r="ER77" s="329"/>
      <c r="ES77" s="329"/>
      <c r="ET77" s="329"/>
      <c r="EU77" s="329"/>
      <c r="EV77" s="329"/>
      <c r="EW77" s="329"/>
      <c r="EX77" s="329"/>
      <c r="EY77" s="329"/>
      <c r="EZ77" s="329"/>
      <c r="FA77" s="329"/>
      <c r="FB77" s="329"/>
      <c r="FC77" s="322">
        <f t="shared" si="90"/>
        <v>0</v>
      </c>
      <c r="FD77" s="322">
        <f t="shared" si="90"/>
        <v>0</v>
      </c>
      <c r="FE77" s="329"/>
      <c r="FF77" s="329"/>
      <c r="FG77" s="329"/>
      <c r="FH77" s="329"/>
      <c r="FI77" s="329"/>
      <c r="FJ77" s="329"/>
      <c r="FK77" s="329"/>
      <c r="FL77" s="329"/>
      <c r="FM77" s="329"/>
      <c r="FN77" s="329"/>
      <c r="FO77" s="329"/>
      <c r="FP77" s="329"/>
      <c r="FQ77" s="329"/>
      <c r="FR77" s="329"/>
      <c r="FS77" s="329"/>
      <c r="FT77" s="329"/>
      <c r="FU77" s="329"/>
      <c r="FV77" s="329"/>
      <c r="FW77" s="329"/>
      <c r="FX77" s="329"/>
      <c r="FY77" s="329"/>
      <c r="FZ77" s="329"/>
      <c r="GA77" s="329"/>
      <c r="GB77" s="329"/>
      <c r="GC77" s="322">
        <f t="shared" si="91"/>
        <v>0</v>
      </c>
      <c r="GD77" s="322">
        <f t="shared" si="92"/>
        <v>0</v>
      </c>
      <c r="GE77" s="329"/>
      <c r="GF77" s="329"/>
      <c r="GG77" s="329"/>
      <c r="GH77" s="329"/>
      <c r="GI77" s="329"/>
      <c r="GJ77" s="329"/>
      <c r="GK77" s="329"/>
      <c r="GL77" s="329"/>
      <c r="GM77" s="329"/>
      <c r="GN77" s="329"/>
      <c r="GO77" s="329"/>
      <c r="GP77" s="329"/>
      <c r="GQ77" s="329"/>
      <c r="GR77" s="329"/>
      <c r="GS77" s="329"/>
      <c r="GT77" s="329"/>
      <c r="GU77" s="329"/>
      <c r="GV77" s="329"/>
      <c r="GW77" s="329"/>
      <c r="GX77" s="329"/>
      <c r="GY77" s="329"/>
      <c r="GZ77" s="329"/>
      <c r="HA77" s="329"/>
      <c r="HB77" s="329"/>
      <c r="HC77" s="322">
        <f t="shared" si="93"/>
        <v>0</v>
      </c>
      <c r="HD77" s="322">
        <f t="shared" si="93"/>
        <v>0</v>
      </c>
      <c r="HE77" s="322">
        <f t="shared" si="94"/>
        <v>0</v>
      </c>
      <c r="HF77" s="322">
        <f t="shared" si="95"/>
        <v>0</v>
      </c>
      <c r="HH77" s="448"/>
      <c r="HI77" s="449"/>
      <c r="HJ77" s="448"/>
    </row>
    <row r="78" spans="1:218" x14ac:dyDescent="0.2">
      <c r="B78" s="313" t="s">
        <v>449</v>
      </c>
      <c r="C78" s="322">
        <v>660000000</v>
      </c>
      <c r="D78" s="328"/>
      <c r="E78" s="320"/>
      <c r="F78" s="320"/>
      <c r="G78" s="320"/>
      <c r="H78" s="320"/>
      <c r="I78" s="320"/>
      <c r="J78" s="320"/>
      <c r="K78" s="320"/>
      <c r="L78" s="320"/>
      <c r="M78" s="320"/>
      <c r="N78" s="320"/>
      <c r="O78" s="320"/>
      <c r="P78" s="320"/>
      <c r="Q78" s="320"/>
      <c r="R78" s="320"/>
      <c r="S78" s="320"/>
      <c r="T78" s="320"/>
      <c r="U78" s="320"/>
      <c r="V78" s="320"/>
      <c r="W78" s="320"/>
      <c r="X78" s="320"/>
      <c r="Y78" s="320"/>
      <c r="Z78" s="320"/>
      <c r="AA78" s="320"/>
      <c r="AB78" s="320"/>
      <c r="AC78" s="322">
        <f t="shared" si="96"/>
        <v>0</v>
      </c>
      <c r="AD78" s="322">
        <f t="shared" si="96"/>
        <v>0</v>
      </c>
      <c r="AE78" s="320"/>
      <c r="AF78" s="320"/>
      <c r="AG78" s="320"/>
      <c r="AH78" s="320"/>
      <c r="AI78" s="320"/>
      <c r="AJ78" s="320"/>
      <c r="AK78" s="320"/>
      <c r="AL78" s="320"/>
      <c r="AM78" s="320"/>
      <c r="AN78" s="320"/>
      <c r="AO78" s="322"/>
      <c r="AP78" s="322"/>
      <c r="AQ78" s="322"/>
      <c r="AR78" s="322"/>
      <c r="AS78" s="322"/>
      <c r="AT78" s="322"/>
      <c r="AU78" s="322"/>
      <c r="AV78" s="322"/>
      <c r="AW78" s="322"/>
      <c r="AX78" s="322"/>
      <c r="AY78" s="322"/>
      <c r="AZ78" s="322"/>
      <c r="BA78" s="322"/>
      <c r="BB78" s="322"/>
      <c r="BC78" s="322">
        <f t="shared" si="97"/>
        <v>0</v>
      </c>
      <c r="BD78" s="322">
        <f t="shared" si="97"/>
        <v>0</v>
      </c>
      <c r="BE78" s="322"/>
      <c r="BF78" s="322"/>
      <c r="BG78" s="322"/>
      <c r="BH78" s="322"/>
      <c r="BI78" s="322"/>
      <c r="BJ78" s="322"/>
      <c r="BK78" s="322"/>
      <c r="BL78" s="322"/>
      <c r="BM78" s="322"/>
      <c r="BN78" s="322"/>
      <c r="BO78" s="322"/>
      <c r="BP78" s="322"/>
      <c r="BQ78" s="322"/>
      <c r="BR78" s="322"/>
      <c r="BS78" s="322"/>
      <c r="BT78" s="322"/>
      <c r="BU78" s="322"/>
      <c r="BV78" s="322"/>
      <c r="BW78" s="322"/>
      <c r="BX78" s="322"/>
      <c r="BY78" s="322"/>
      <c r="BZ78" s="322"/>
      <c r="CA78" s="322"/>
      <c r="CB78" s="322"/>
      <c r="CC78" s="322">
        <f t="shared" si="87"/>
        <v>0</v>
      </c>
      <c r="CD78" s="322">
        <f t="shared" si="87"/>
        <v>0</v>
      </c>
      <c r="CE78" s="322"/>
      <c r="CF78" s="322"/>
      <c r="CG78" s="322"/>
      <c r="CH78" s="322"/>
      <c r="CI78" s="322"/>
      <c r="CJ78" s="322"/>
      <c r="CK78" s="322"/>
      <c r="CL78" s="322"/>
      <c r="CM78" s="322"/>
      <c r="CN78" s="322"/>
      <c r="CO78" s="322"/>
      <c r="CP78" s="322"/>
      <c r="CQ78" s="322"/>
      <c r="CR78" s="322"/>
      <c r="CS78" s="322"/>
      <c r="CT78" s="322"/>
      <c r="CU78" s="322"/>
      <c r="CV78" s="322"/>
      <c r="CW78" s="322"/>
      <c r="CX78" s="322"/>
      <c r="CY78" s="322"/>
      <c r="CZ78" s="322"/>
      <c r="DA78" s="322"/>
      <c r="DB78" s="322"/>
      <c r="DC78" s="322">
        <f t="shared" si="88"/>
        <v>0</v>
      </c>
      <c r="DD78" s="322">
        <f t="shared" si="88"/>
        <v>0</v>
      </c>
      <c r="DE78" s="436"/>
      <c r="DF78" s="436"/>
      <c r="DG78" s="436"/>
      <c r="DH78" s="436"/>
      <c r="DI78" s="436"/>
      <c r="DJ78" s="436"/>
      <c r="DK78" s="436"/>
      <c r="DL78" s="436"/>
      <c r="DM78" s="436"/>
      <c r="DN78" s="436"/>
      <c r="DO78" s="329"/>
      <c r="DP78" s="329"/>
      <c r="DQ78" s="329"/>
      <c r="DR78" s="329"/>
      <c r="DS78" s="329"/>
      <c r="DT78" s="329"/>
      <c r="DU78" s="329"/>
      <c r="DV78" s="329"/>
      <c r="DW78" s="329"/>
      <c r="DX78" s="329"/>
      <c r="DY78" s="329"/>
      <c r="DZ78" s="329"/>
      <c r="EA78" s="329"/>
      <c r="EB78" s="329"/>
      <c r="EC78" s="322">
        <f t="shared" si="89"/>
        <v>0</v>
      </c>
      <c r="ED78" s="322">
        <f t="shared" si="89"/>
        <v>0</v>
      </c>
      <c r="EE78" s="329"/>
      <c r="EF78" s="329"/>
      <c r="EG78" s="329"/>
      <c r="EH78" s="329"/>
      <c r="EI78" s="329"/>
      <c r="EJ78" s="329"/>
      <c r="EK78" s="329"/>
      <c r="EL78" s="329"/>
      <c r="EM78" s="329"/>
      <c r="EN78" s="329"/>
      <c r="EO78" s="329"/>
      <c r="EP78" s="322">
        <f>$C78*EO78</f>
        <v>0</v>
      </c>
      <c r="EQ78" s="329"/>
      <c r="ER78" s="329"/>
      <c r="ES78" s="329"/>
      <c r="ET78" s="329"/>
      <c r="EU78" s="329"/>
      <c r="EV78" s="329"/>
      <c r="EW78" s="329"/>
      <c r="EX78" s="329"/>
      <c r="EY78" s="329"/>
      <c r="EZ78" s="329"/>
      <c r="FA78" s="329"/>
      <c r="FB78" s="436"/>
      <c r="FC78" s="322">
        <f t="shared" si="90"/>
        <v>0</v>
      </c>
      <c r="FD78" s="322">
        <f t="shared" si="90"/>
        <v>0</v>
      </c>
      <c r="FE78" s="329"/>
      <c r="FF78" s="329"/>
      <c r="FG78" s="329"/>
      <c r="FH78" s="329"/>
      <c r="FI78" s="329"/>
      <c r="FJ78" s="329"/>
      <c r="FK78" s="329"/>
      <c r="FL78" s="329"/>
      <c r="FM78" s="329"/>
      <c r="FN78" s="329"/>
      <c r="FO78" s="329"/>
      <c r="FP78" s="322">
        <f>$C78*FO78</f>
        <v>0</v>
      </c>
      <c r="FQ78" s="329"/>
      <c r="FR78" s="329"/>
      <c r="FS78" s="329"/>
      <c r="FT78" s="329"/>
      <c r="FU78" s="329"/>
      <c r="FV78" s="329"/>
      <c r="FW78" s="329"/>
      <c r="FX78" s="329"/>
      <c r="FY78" s="329"/>
      <c r="FZ78" s="329"/>
      <c r="GB78" s="436"/>
      <c r="GC78" s="322">
        <f t="shared" si="91"/>
        <v>0</v>
      </c>
      <c r="GD78" s="322">
        <f t="shared" si="92"/>
        <v>0</v>
      </c>
      <c r="GE78" s="329"/>
      <c r="GF78" s="329"/>
      <c r="GG78" s="329"/>
      <c r="GH78" s="329"/>
      <c r="GI78" s="329"/>
      <c r="GJ78" s="329"/>
      <c r="GK78" s="329"/>
      <c r="GL78" s="329"/>
      <c r="GM78" s="329"/>
      <c r="GN78" s="329"/>
      <c r="GO78" s="329"/>
      <c r="GP78" s="322">
        <f>$C78*GO78</f>
        <v>0</v>
      </c>
      <c r="GQ78" s="329"/>
      <c r="GR78" s="329"/>
      <c r="GS78" s="329"/>
      <c r="GT78" s="329"/>
      <c r="GU78" s="329"/>
      <c r="GV78" s="329"/>
      <c r="GW78" s="329"/>
      <c r="GX78" s="329"/>
      <c r="GY78" s="329"/>
      <c r="GZ78" s="329"/>
      <c r="HA78" s="329"/>
      <c r="HB78" s="329"/>
      <c r="HC78" s="322">
        <f t="shared" si="93"/>
        <v>0</v>
      </c>
      <c r="HD78" s="322">
        <f t="shared" si="93"/>
        <v>0</v>
      </c>
      <c r="HE78" s="322">
        <f t="shared" si="94"/>
        <v>0</v>
      </c>
      <c r="HF78" s="322">
        <f t="shared" si="95"/>
        <v>0</v>
      </c>
      <c r="HH78" s="448"/>
      <c r="HI78" s="449"/>
      <c r="HJ78" s="448"/>
    </row>
    <row r="79" spans="1:218" x14ac:dyDescent="0.2">
      <c r="B79" s="313" t="s">
        <v>450</v>
      </c>
      <c r="C79" s="322">
        <v>450000000</v>
      </c>
      <c r="D79" s="328">
        <v>0</v>
      </c>
      <c r="E79" s="320"/>
      <c r="F79" s="320"/>
      <c r="G79" s="320"/>
      <c r="H79" s="320"/>
      <c r="I79" s="320"/>
      <c r="J79" s="320"/>
      <c r="K79" s="320"/>
      <c r="L79" s="320"/>
      <c r="M79" s="320"/>
      <c r="N79" s="320"/>
      <c r="O79" s="320"/>
      <c r="P79" s="320"/>
      <c r="Q79" s="320"/>
      <c r="R79" s="320"/>
      <c r="S79" s="320"/>
      <c r="T79" s="320"/>
      <c r="U79" s="320"/>
      <c r="V79" s="320"/>
      <c r="W79" s="320"/>
      <c r="X79" s="320"/>
      <c r="Y79" s="320"/>
      <c r="Z79" s="320"/>
      <c r="AA79" s="320"/>
      <c r="AB79" s="320"/>
      <c r="AC79" s="322">
        <f t="shared" si="96"/>
        <v>0</v>
      </c>
      <c r="AD79" s="322">
        <f t="shared" si="96"/>
        <v>0</v>
      </c>
      <c r="AE79" s="320"/>
      <c r="AF79" s="320"/>
      <c r="AG79" s="320"/>
      <c r="AH79" s="320"/>
      <c r="AI79" s="320"/>
      <c r="AJ79" s="320"/>
      <c r="AK79" s="320"/>
      <c r="AL79" s="320"/>
      <c r="AM79" s="320"/>
      <c r="AN79" s="320"/>
      <c r="AO79" s="322"/>
      <c r="AP79" s="322"/>
      <c r="AQ79" s="322"/>
      <c r="AR79" s="322"/>
      <c r="AS79" s="322"/>
      <c r="AT79" s="322"/>
      <c r="AU79" s="322"/>
      <c r="AV79" s="322"/>
      <c r="AW79" s="322"/>
      <c r="AX79" s="322"/>
      <c r="AY79" s="322"/>
      <c r="AZ79" s="322"/>
      <c r="BA79" s="322"/>
      <c r="BB79" s="322"/>
      <c r="BC79" s="322">
        <f t="shared" si="97"/>
        <v>0</v>
      </c>
      <c r="BD79" s="322">
        <f t="shared" si="97"/>
        <v>0</v>
      </c>
      <c r="BE79" s="322"/>
      <c r="BF79" s="322"/>
      <c r="BG79" s="322"/>
      <c r="BH79" s="322"/>
      <c r="BI79" s="322"/>
      <c r="BJ79" s="322"/>
      <c r="BK79" s="322"/>
      <c r="BL79" s="322"/>
      <c r="BM79" s="322"/>
      <c r="BN79" s="322"/>
      <c r="BO79" s="322"/>
      <c r="BP79" s="322">
        <f>$C79*BO79</f>
        <v>0</v>
      </c>
      <c r="BQ79" s="322"/>
      <c r="BR79" s="322"/>
      <c r="BS79" s="322"/>
      <c r="BT79" s="322"/>
      <c r="BU79" s="322"/>
      <c r="BV79" s="322"/>
      <c r="BW79" s="322"/>
      <c r="BX79" s="322"/>
      <c r="BY79" s="322"/>
      <c r="BZ79" s="322"/>
      <c r="CA79" s="322"/>
      <c r="CB79" s="322">
        <f>$C79*CA79</f>
        <v>0</v>
      </c>
      <c r="CC79" s="322">
        <f t="shared" si="87"/>
        <v>0</v>
      </c>
      <c r="CD79" s="322">
        <f t="shared" si="87"/>
        <v>0</v>
      </c>
      <c r="CE79" s="322"/>
      <c r="CF79" s="322"/>
      <c r="CG79" s="322"/>
      <c r="CH79" s="322"/>
      <c r="CI79" s="322"/>
      <c r="CJ79" s="322"/>
      <c r="CK79" s="322"/>
      <c r="CL79" s="322"/>
      <c r="CM79" s="322"/>
      <c r="CN79" s="322"/>
      <c r="CO79" s="322"/>
      <c r="CP79" s="322">
        <f>$C79*CO79</f>
        <v>0</v>
      </c>
      <c r="CQ79" s="322"/>
      <c r="CR79" s="322"/>
      <c r="CS79" s="322"/>
      <c r="CT79" s="322"/>
      <c r="CU79" s="322"/>
      <c r="CV79" s="322"/>
      <c r="CW79" s="322"/>
      <c r="CX79" s="322"/>
      <c r="CY79" s="322"/>
      <c r="CZ79" s="322"/>
      <c r="DA79" s="322"/>
      <c r="DB79" s="322">
        <f>$C79*DA79</f>
        <v>0</v>
      </c>
      <c r="DC79" s="322">
        <f t="shared" si="88"/>
        <v>0</v>
      </c>
      <c r="DD79" s="322">
        <f t="shared" si="88"/>
        <v>0</v>
      </c>
      <c r="DE79" s="436"/>
      <c r="DF79" s="436"/>
      <c r="DG79" s="436"/>
      <c r="DH79" s="436"/>
      <c r="DI79" s="436"/>
      <c r="DJ79" s="436"/>
      <c r="DK79" s="436"/>
      <c r="DL79" s="436"/>
      <c r="DM79" s="436"/>
      <c r="DN79" s="436"/>
      <c r="DO79" s="436"/>
      <c r="DP79" s="322">
        <f>$C79*DO79</f>
        <v>0</v>
      </c>
      <c r="DQ79" s="329"/>
      <c r="DR79" s="329"/>
      <c r="DS79" s="329"/>
      <c r="DT79" s="329"/>
      <c r="DU79" s="329"/>
      <c r="DV79" s="329"/>
      <c r="DW79" s="329"/>
      <c r="DX79" s="329"/>
      <c r="DY79" s="329"/>
      <c r="DZ79" s="329"/>
      <c r="EA79" s="436"/>
      <c r="EB79" s="322">
        <f>$C79*EA79</f>
        <v>0</v>
      </c>
      <c r="EC79" s="322">
        <f t="shared" si="89"/>
        <v>0</v>
      </c>
      <c r="ED79" s="322">
        <f t="shared" si="89"/>
        <v>0</v>
      </c>
      <c r="EE79" s="329"/>
      <c r="EF79" s="329"/>
      <c r="EG79" s="329"/>
      <c r="EH79" s="329"/>
      <c r="EI79" s="329"/>
      <c r="EJ79" s="329"/>
      <c r="EK79" s="329"/>
      <c r="EL79" s="329"/>
      <c r="EM79" s="329"/>
      <c r="EN79" s="329"/>
      <c r="EO79" s="436"/>
      <c r="EP79" s="322">
        <f>$C79*EO79</f>
        <v>0</v>
      </c>
      <c r="EQ79" s="329"/>
      <c r="ER79" s="329"/>
      <c r="ES79" s="329"/>
      <c r="ET79" s="329"/>
      <c r="EU79" s="329"/>
      <c r="EV79" s="329"/>
      <c r="EW79" s="329"/>
      <c r="EX79" s="329"/>
      <c r="EY79" s="329"/>
      <c r="EZ79" s="329"/>
      <c r="FA79" s="436"/>
      <c r="FB79" s="322">
        <f>$C79*FA79</f>
        <v>0</v>
      </c>
      <c r="FC79" s="322">
        <f t="shared" si="90"/>
        <v>0</v>
      </c>
      <c r="FD79" s="322">
        <f t="shared" si="90"/>
        <v>0</v>
      </c>
      <c r="FE79" s="329"/>
      <c r="FF79" s="329"/>
      <c r="FG79" s="329"/>
      <c r="FH79" s="329"/>
      <c r="FI79" s="329"/>
      <c r="FJ79" s="329"/>
      <c r="FK79" s="329"/>
      <c r="FL79" s="329"/>
      <c r="FM79" s="329"/>
      <c r="FN79" s="329"/>
      <c r="FO79" s="436"/>
      <c r="FP79" s="322">
        <f>$C79*FO79</f>
        <v>0</v>
      </c>
      <c r="FQ79" s="329"/>
      <c r="FR79" s="329"/>
      <c r="FS79" s="329"/>
      <c r="FT79" s="329"/>
      <c r="FU79" s="329"/>
      <c r="FV79" s="329"/>
      <c r="FW79" s="329"/>
      <c r="FX79" s="329"/>
      <c r="FY79" s="329"/>
      <c r="FZ79" s="329"/>
      <c r="GA79" s="436"/>
      <c r="GB79" s="322">
        <f>$C79*GA79</f>
        <v>0</v>
      </c>
      <c r="GC79" s="322">
        <f t="shared" si="91"/>
        <v>0</v>
      </c>
      <c r="GD79" s="322">
        <f t="shared" si="92"/>
        <v>0</v>
      </c>
      <c r="GE79" s="329"/>
      <c r="GF79" s="329"/>
      <c r="GG79" s="329"/>
      <c r="GH79" s="329"/>
      <c r="GI79" s="329"/>
      <c r="GJ79" s="329"/>
      <c r="GK79" s="329"/>
      <c r="GL79" s="329"/>
      <c r="GM79" s="329"/>
      <c r="GN79" s="329"/>
      <c r="GO79" s="436"/>
      <c r="GP79" s="322">
        <f>$C79*GO79</f>
        <v>0</v>
      </c>
      <c r="GQ79" s="329"/>
      <c r="GR79" s="329"/>
      <c r="GS79" s="329"/>
      <c r="GT79" s="329"/>
      <c r="GU79" s="329"/>
      <c r="GV79" s="329"/>
      <c r="GW79" s="329"/>
      <c r="GX79" s="329"/>
      <c r="GY79" s="329"/>
      <c r="GZ79" s="329"/>
      <c r="HA79" s="436"/>
      <c r="HB79" s="322">
        <f>$C79*HA79</f>
        <v>0</v>
      </c>
      <c r="HC79" s="322">
        <f t="shared" si="93"/>
        <v>0</v>
      </c>
      <c r="HD79" s="322">
        <f t="shared" si="93"/>
        <v>0</v>
      </c>
      <c r="HE79" s="322">
        <f t="shared" si="94"/>
        <v>0</v>
      </c>
      <c r="HF79" s="322">
        <f t="shared" si="95"/>
        <v>0</v>
      </c>
      <c r="HH79" s="448"/>
      <c r="HI79" s="449"/>
      <c r="HJ79" s="448"/>
    </row>
    <row r="80" spans="1:218" x14ac:dyDescent="0.2">
      <c r="B80" s="313" t="s">
        <v>451</v>
      </c>
      <c r="C80" s="322">
        <v>30000000</v>
      </c>
      <c r="D80" s="328">
        <v>0</v>
      </c>
      <c r="E80" s="320"/>
      <c r="F80" s="320"/>
      <c r="G80" s="320"/>
      <c r="H80" s="320"/>
      <c r="I80" s="320"/>
      <c r="J80" s="320"/>
      <c r="K80" s="320"/>
      <c r="L80" s="320"/>
      <c r="M80" s="320"/>
      <c r="N80" s="320"/>
      <c r="O80" s="320"/>
      <c r="P80" s="322"/>
      <c r="Q80" s="320"/>
      <c r="R80" s="320"/>
      <c r="S80" s="320"/>
      <c r="T80" s="320"/>
      <c r="U80" s="320"/>
      <c r="V80" s="320"/>
      <c r="W80" s="320"/>
      <c r="X80" s="322"/>
      <c r="Y80" s="320"/>
      <c r="Z80" s="320"/>
      <c r="AA80" s="320"/>
      <c r="AB80" s="322"/>
      <c r="AC80" s="322">
        <f t="shared" si="96"/>
        <v>0</v>
      </c>
      <c r="AD80" s="322">
        <f t="shared" si="96"/>
        <v>0</v>
      </c>
      <c r="AE80" s="320"/>
      <c r="AF80" s="320"/>
      <c r="AG80" s="320"/>
      <c r="AH80" s="320"/>
      <c r="AI80" s="320"/>
      <c r="AJ80" s="320"/>
      <c r="AK80" s="320"/>
      <c r="AL80" s="320"/>
      <c r="AM80" s="320"/>
      <c r="AN80" s="320"/>
      <c r="AO80" s="322"/>
      <c r="AP80" s="322">
        <f>$C80*AO80</f>
        <v>0</v>
      </c>
      <c r="AQ80" s="322"/>
      <c r="AR80" s="322"/>
      <c r="AS80" s="322"/>
      <c r="AT80" s="322"/>
      <c r="AU80" s="322"/>
      <c r="AV80" s="322"/>
      <c r="AW80" s="322"/>
      <c r="AX80" s="322"/>
      <c r="AY80" s="322"/>
      <c r="AZ80" s="322"/>
      <c r="BA80" s="322"/>
      <c r="BB80" s="322">
        <f>$C80*BA80</f>
        <v>0</v>
      </c>
      <c r="BC80" s="322">
        <f t="shared" si="97"/>
        <v>0</v>
      </c>
      <c r="BD80" s="322">
        <f t="shared" si="97"/>
        <v>0</v>
      </c>
      <c r="BE80" s="322"/>
      <c r="BF80" s="322"/>
      <c r="BG80" s="322"/>
      <c r="BH80" s="322"/>
      <c r="BI80" s="322"/>
      <c r="BJ80" s="322"/>
      <c r="BK80" s="322"/>
      <c r="BL80" s="322"/>
      <c r="BM80" s="322"/>
      <c r="BN80" s="322"/>
      <c r="BO80" s="322"/>
      <c r="BP80" s="322">
        <f>$C80*BO80</f>
        <v>0</v>
      </c>
      <c r="BQ80" s="322"/>
      <c r="BR80" s="322"/>
      <c r="BS80" s="322"/>
      <c r="BT80" s="322"/>
      <c r="BU80" s="322"/>
      <c r="BV80" s="322"/>
      <c r="BW80" s="322"/>
      <c r="BX80" s="322"/>
      <c r="BY80" s="322"/>
      <c r="BZ80" s="322"/>
      <c r="CA80" s="322"/>
      <c r="CB80" s="322">
        <f>$C80*CA80</f>
        <v>0</v>
      </c>
      <c r="CC80" s="322">
        <f t="shared" si="87"/>
        <v>0</v>
      </c>
      <c r="CD80" s="322">
        <f t="shared" si="87"/>
        <v>0</v>
      </c>
      <c r="CE80" s="322"/>
      <c r="CF80" s="322"/>
      <c r="CG80" s="322"/>
      <c r="CH80" s="322"/>
      <c r="CI80" s="322"/>
      <c r="CJ80" s="322"/>
      <c r="CK80" s="322"/>
      <c r="CL80" s="322"/>
      <c r="CM80" s="322"/>
      <c r="CN80" s="322"/>
      <c r="CO80" s="322"/>
      <c r="CP80" s="322">
        <f>$C80*CO80</f>
        <v>0</v>
      </c>
      <c r="CQ80" s="322"/>
      <c r="CR80" s="322"/>
      <c r="CS80" s="322"/>
      <c r="CT80" s="322"/>
      <c r="CU80" s="322"/>
      <c r="CV80" s="322"/>
      <c r="CW80" s="322"/>
      <c r="CX80" s="322"/>
      <c r="CY80" s="322"/>
      <c r="CZ80" s="322"/>
      <c r="DA80" s="322"/>
      <c r="DB80" s="322">
        <f>$C80*DA80</f>
        <v>0</v>
      </c>
      <c r="DC80" s="322">
        <f t="shared" si="88"/>
        <v>0</v>
      </c>
      <c r="DD80" s="322">
        <f t="shared" si="88"/>
        <v>0</v>
      </c>
      <c r="DE80" s="436"/>
      <c r="DF80" s="436"/>
      <c r="DG80" s="436"/>
      <c r="DH80" s="436"/>
      <c r="DI80" s="436"/>
      <c r="DJ80" s="436"/>
      <c r="DK80" s="436"/>
      <c r="DL80" s="436"/>
      <c r="DM80" s="436"/>
      <c r="DN80" s="436"/>
      <c r="DO80" s="436"/>
      <c r="DP80" s="322">
        <f>$C80*DO80</f>
        <v>0</v>
      </c>
      <c r="DQ80" s="329"/>
      <c r="DR80" s="329"/>
      <c r="DS80" s="329"/>
      <c r="DT80" s="329"/>
      <c r="DU80" s="329"/>
      <c r="DV80" s="329"/>
      <c r="DW80" s="329"/>
      <c r="DX80" s="329"/>
      <c r="DY80" s="329"/>
      <c r="DZ80" s="329"/>
      <c r="EA80" s="436"/>
      <c r="EB80" s="322">
        <f>$C80*EA80</f>
        <v>0</v>
      </c>
      <c r="EC80" s="322">
        <f t="shared" si="89"/>
        <v>0</v>
      </c>
      <c r="ED80" s="322">
        <f t="shared" si="89"/>
        <v>0</v>
      </c>
      <c r="EE80" s="329"/>
      <c r="EF80" s="329"/>
      <c r="EG80" s="329"/>
      <c r="EH80" s="329"/>
      <c r="EI80" s="329"/>
      <c r="EJ80" s="329"/>
      <c r="EK80" s="329"/>
      <c r="EL80" s="329"/>
      <c r="EM80" s="329"/>
      <c r="EN80" s="329"/>
      <c r="EO80" s="436"/>
      <c r="EP80" s="436"/>
      <c r="EQ80" s="329"/>
      <c r="ER80" s="329"/>
      <c r="ES80" s="329"/>
      <c r="ET80" s="329"/>
      <c r="EU80" s="329"/>
      <c r="EV80" s="329"/>
      <c r="EW80" s="329"/>
      <c r="EX80" s="329"/>
      <c r="EY80" s="329"/>
      <c r="EZ80" s="329"/>
      <c r="FA80" s="329"/>
      <c r="FB80" s="329"/>
      <c r="FC80" s="322">
        <f t="shared" si="90"/>
        <v>0</v>
      </c>
      <c r="FD80" s="322">
        <f t="shared" si="90"/>
        <v>0</v>
      </c>
      <c r="FE80" s="329"/>
      <c r="FF80" s="329"/>
      <c r="FG80" s="329"/>
      <c r="FH80" s="329"/>
      <c r="FI80" s="329"/>
      <c r="FJ80" s="329"/>
      <c r="FK80" s="329"/>
      <c r="FL80" s="329"/>
      <c r="FM80" s="329"/>
      <c r="FN80" s="329"/>
      <c r="FO80" s="329"/>
      <c r="FP80" s="329"/>
      <c r="FQ80" s="329"/>
      <c r="FR80" s="329"/>
      <c r="FS80" s="329"/>
      <c r="FT80" s="329"/>
      <c r="FU80" s="329"/>
      <c r="FV80" s="329"/>
      <c r="FW80" s="329"/>
      <c r="FX80" s="329"/>
      <c r="FY80" s="329"/>
      <c r="FZ80" s="329"/>
      <c r="GA80" s="329"/>
      <c r="GB80" s="329"/>
      <c r="GC80" s="322">
        <f t="shared" si="91"/>
        <v>0</v>
      </c>
      <c r="GD80" s="322">
        <f t="shared" si="92"/>
        <v>0</v>
      </c>
      <c r="GE80" s="329"/>
      <c r="GF80" s="329"/>
      <c r="GG80" s="329"/>
      <c r="GH80" s="329"/>
      <c r="GI80" s="329"/>
      <c r="GJ80" s="329"/>
      <c r="GK80" s="329"/>
      <c r="GL80" s="329"/>
      <c r="GM80" s="329"/>
      <c r="GN80" s="329"/>
      <c r="GO80" s="329"/>
      <c r="GP80" s="329"/>
      <c r="GQ80" s="329"/>
      <c r="GR80" s="329"/>
      <c r="GS80" s="329"/>
      <c r="GT80" s="329"/>
      <c r="GU80" s="329"/>
      <c r="GV80" s="329"/>
      <c r="GW80" s="329"/>
      <c r="GX80" s="329"/>
      <c r="GY80" s="329"/>
      <c r="GZ80" s="329"/>
      <c r="HA80" s="329"/>
      <c r="HB80" s="329"/>
      <c r="HC80" s="322">
        <f t="shared" si="93"/>
        <v>0</v>
      </c>
      <c r="HD80" s="322">
        <f t="shared" si="93"/>
        <v>0</v>
      </c>
      <c r="HE80" s="322">
        <f t="shared" si="94"/>
        <v>0</v>
      </c>
      <c r="HF80" s="322">
        <f t="shared" si="95"/>
        <v>0</v>
      </c>
      <c r="HH80" s="448"/>
      <c r="HI80" s="449"/>
      <c r="HJ80" s="448"/>
    </row>
    <row r="81" spans="2:218" x14ac:dyDescent="0.2">
      <c r="B81" s="313" t="s">
        <v>452</v>
      </c>
      <c r="C81" s="322">
        <v>360000000</v>
      </c>
      <c r="D81" s="328"/>
      <c r="E81" s="320"/>
      <c r="F81" s="320"/>
      <c r="G81" s="320"/>
      <c r="H81" s="320"/>
      <c r="I81" s="320"/>
      <c r="J81" s="320"/>
      <c r="K81" s="320"/>
      <c r="L81" s="320"/>
      <c r="M81" s="320"/>
      <c r="N81" s="320"/>
      <c r="O81" s="320"/>
      <c r="P81" s="320"/>
      <c r="Q81" s="320"/>
      <c r="R81" s="320"/>
      <c r="S81" s="320"/>
      <c r="T81" s="320"/>
      <c r="U81" s="320"/>
      <c r="V81" s="320"/>
      <c r="W81" s="320"/>
      <c r="X81" s="320"/>
      <c r="Y81" s="320"/>
      <c r="Z81" s="320"/>
      <c r="AA81" s="320"/>
      <c r="AB81" s="322"/>
      <c r="AC81" s="322">
        <f t="shared" si="96"/>
        <v>0</v>
      </c>
      <c r="AD81" s="322">
        <f t="shared" si="96"/>
        <v>0</v>
      </c>
      <c r="AE81" s="320"/>
      <c r="AF81" s="320"/>
      <c r="AG81" s="320"/>
      <c r="AH81" s="320"/>
      <c r="AI81" s="320"/>
      <c r="AJ81" s="320"/>
      <c r="AK81" s="320"/>
      <c r="AL81" s="320"/>
      <c r="AM81" s="320"/>
      <c r="AN81" s="320"/>
      <c r="AO81" s="322"/>
      <c r="AP81" s="322"/>
      <c r="AQ81" s="322"/>
      <c r="AR81" s="322"/>
      <c r="AS81" s="322"/>
      <c r="AT81" s="322"/>
      <c r="AU81" s="322"/>
      <c r="AV81" s="322"/>
      <c r="AW81" s="322"/>
      <c r="AX81" s="322"/>
      <c r="AY81" s="322"/>
      <c r="AZ81" s="322"/>
      <c r="BA81" s="322"/>
      <c r="BB81" s="322"/>
      <c r="BC81" s="322">
        <f t="shared" si="97"/>
        <v>0</v>
      </c>
      <c r="BD81" s="322">
        <f t="shared" si="97"/>
        <v>0</v>
      </c>
      <c r="BE81" s="322"/>
      <c r="BF81" s="322"/>
      <c r="BG81" s="322"/>
      <c r="BH81" s="322"/>
      <c r="BI81" s="322"/>
      <c r="BJ81" s="322"/>
      <c r="BK81" s="322"/>
      <c r="BL81" s="322"/>
      <c r="BM81" s="322"/>
      <c r="BN81" s="322"/>
      <c r="BO81" s="322"/>
      <c r="BP81" s="322"/>
      <c r="BQ81" s="322"/>
      <c r="BR81" s="322"/>
      <c r="BS81" s="322"/>
      <c r="BT81" s="322"/>
      <c r="BU81" s="322"/>
      <c r="BV81" s="322"/>
      <c r="BW81" s="322"/>
      <c r="BX81" s="322"/>
      <c r="BY81" s="322"/>
      <c r="BZ81" s="322"/>
      <c r="CA81" s="322"/>
      <c r="CB81" s="322"/>
      <c r="CC81" s="322">
        <f t="shared" si="87"/>
        <v>0</v>
      </c>
      <c r="CD81" s="322">
        <f t="shared" si="87"/>
        <v>0</v>
      </c>
      <c r="CE81" s="322"/>
      <c r="CF81" s="322"/>
      <c r="CG81" s="322"/>
      <c r="CH81" s="322"/>
      <c r="CI81" s="322"/>
      <c r="CJ81" s="322"/>
      <c r="CK81" s="322"/>
      <c r="CL81" s="322"/>
      <c r="CM81" s="322"/>
      <c r="CN81" s="322"/>
      <c r="CO81" s="322"/>
      <c r="CP81" s="322"/>
      <c r="CQ81" s="322"/>
      <c r="CR81" s="322"/>
      <c r="CS81" s="322"/>
      <c r="CT81" s="322"/>
      <c r="CU81" s="322"/>
      <c r="CV81" s="322"/>
      <c r="CW81" s="322"/>
      <c r="CX81" s="322"/>
      <c r="CY81" s="322"/>
      <c r="CZ81" s="322"/>
      <c r="DA81" s="322"/>
      <c r="DB81" s="322"/>
      <c r="DC81" s="322">
        <f t="shared" si="88"/>
        <v>0</v>
      </c>
      <c r="DD81" s="322">
        <f t="shared" si="88"/>
        <v>0</v>
      </c>
      <c r="DE81" s="436"/>
      <c r="DF81" s="436"/>
      <c r="DG81" s="436"/>
      <c r="DH81" s="436"/>
      <c r="DI81" s="436"/>
      <c r="DJ81" s="436"/>
      <c r="DK81" s="436"/>
      <c r="DL81" s="436"/>
      <c r="DM81" s="436"/>
      <c r="DN81" s="436"/>
      <c r="DO81" s="329"/>
      <c r="DP81" s="329"/>
      <c r="DQ81" s="329"/>
      <c r="DR81" s="329"/>
      <c r="DS81" s="329"/>
      <c r="DT81" s="329"/>
      <c r="DU81" s="329"/>
      <c r="DV81" s="329"/>
      <c r="DW81" s="329"/>
      <c r="DX81" s="329"/>
      <c r="DY81" s="329"/>
      <c r="DZ81" s="329"/>
      <c r="EA81" s="436"/>
      <c r="EB81" s="322">
        <f>$C81*EA81</f>
        <v>0</v>
      </c>
      <c r="EC81" s="322">
        <f t="shared" si="89"/>
        <v>0</v>
      </c>
      <c r="ED81" s="322">
        <f t="shared" si="89"/>
        <v>0</v>
      </c>
      <c r="EE81" s="329"/>
      <c r="EF81" s="329"/>
      <c r="EG81" s="329"/>
      <c r="EH81" s="329"/>
      <c r="EI81" s="329"/>
      <c r="EJ81" s="329"/>
      <c r="EK81" s="329"/>
      <c r="EL81" s="329"/>
      <c r="EM81" s="329"/>
      <c r="EN81" s="329"/>
      <c r="EO81" s="329"/>
      <c r="EP81" s="329"/>
      <c r="EQ81" s="329"/>
      <c r="ER81" s="329"/>
      <c r="ES81" s="329"/>
      <c r="ET81" s="329"/>
      <c r="EU81" s="329"/>
      <c r="EV81" s="329"/>
      <c r="EW81" s="329"/>
      <c r="EX81" s="329"/>
      <c r="EY81" s="329"/>
      <c r="EZ81" s="329"/>
      <c r="FA81" s="436"/>
      <c r="FB81" s="322">
        <f>$C81*FA81</f>
        <v>0</v>
      </c>
      <c r="FC81" s="322">
        <f t="shared" si="90"/>
        <v>0</v>
      </c>
      <c r="FD81" s="322">
        <f t="shared" si="90"/>
        <v>0</v>
      </c>
      <c r="FE81" s="329"/>
      <c r="FF81" s="329"/>
      <c r="FG81" s="329"/>
      <c r="FH81" s="329"/>
      <c r="FI81" s="329"/>
      <c r="FJ81" s="329"/>
      <c r="FK81" s="329"/>
      <c r="FL81" s="329"/>
      <c r="FM81" s="329"/>
      <c r="FN81" s="329"/>
      <c r="FO81" s="329"/>
      <c r="FP81" s="329"/>
      <c r="FQ81" s="329"/>
      <c r="FR81" s="329"/>
      <c r="FS81" s="329"/>
      <c r="FT81" s="329"/>
      <c r="FU81" s="329"/>
      <c r="FV81" s="329"/>
      <c r="FW81" s="329"/>
      <c r="FX81" s="329"/>
      <c r="FY81" s="329"/>
      <c r="FZ81" s="329"/>
      <c r="GA81" s="329"/>
      <c r="GB81" s="329"/>
      <c r="GC81" s="322">
        <f t="shared" si="91"/>
        <v>0</v>
      </c>
      <c r="GD81" s="322">
        <f t="shared" si="92"/>
        <v>0</v>
      </c>
      <c r="GE81" s="329"/>
      <c r="GF81" s="329"/>
      <c r="GG81" s="329"/>
      <c r="GH81" s="329"/>
      <c r="GI81" s="329"/>
      <c r="GJ81" s="329"/>
      <c r="GK81" s="329"/>
      <c r="GL81" s="329"/>
      <c r="GM81" s="329"/>
      <c r="GN81" s="329"/>
      <c r="GO81" s="329"/>
      <c r="GP81" s="329"/>
      <c r="GQ81" s="329"/>
      <c r="GR81" s="329"/>
      <c r="GS81" s="329"/>
      <c r="GT81" s="329"/>
      <c r="GU81" s="329"/>
      <c r="GV81" s="329"/>
      <c r="GW81" s="329"/>
      <c r="GX81" s="329"/>
      <c r="GY81" s="329"/>
      <c r="GZ81" s="329"/>
      <c r="HA81" s="329"/>
      <c r="HB81" s="329"/>
      <c r="HC81" s="322">
        <f t="shared" si="93"/>
        <v>0</v>
      </c>
      <c r="HD81" s="322">
        <f t="shared" si="93"/>
        <v>0</v>
      </c>
      <c r="HE81" s="322">
        <f t="shared" si="94"/>
        <v>0</v>
      </c>
      <c r="HF81" s="322">
        <f t="shared" si="95"/>
        <v>0</v>
      </c>
      <c r="HH81" s="448"/>
      <c r="HI81" s="449"/>
      <c r="HJ81" s="448"/>
    </row>
    <row r="82" spans="2:218" x14ac:dyDescent="0.2">
      <c r="B82" s="313" t="s">
        <v>453</v>
      </c>
      <c r="C82" s="322">
        <v>360000000</v>
      </c>
      <c r="D82" s="328"/>
      <c r="E82" s="320"/>
      <c r="F82" s="320"/>
      <c r="G82" s="320"/>
      <c r="H82" s="322"/>
      <c r="I82" s="320"/>
      <c r="J82" s="320"/>
      <c r="K82" s="320"/>
      <c r="L82" s="320"/>
      <c r="M82" s="320"/>
      <c r="N82" s="320"/>
      <c r="O82" s="320"/>
      <c r="P82" s="320"/>
      <c r="Q82" s="320"/>
      <c r="R82" s="320"/>
      <c r="S82" s="320"/>
      <c r="T82" s="320"/>
      <c r="U82" s="320"/>
      <c r="V82" s="320"/>
      <c r="W82" s="320"/>
      <c r="X82" s="320"/>
      <c r="Y82" s="320"/>
      <c r="Z82" s="320"/>
      <c r="AA82" s="320"/>
      <c r="AB82" s="322"/>
      <c r="AC82" s="322">
        <f t="shared" si="96"/>
        <v>0</v>
      </c>
      <c r="AD82" s="322">
        <f t="shared" si="96"/>
        <v>0</v>
      </c>
      <c r="AE82" s="320"/>
      <c r="AF82" s="322"/>
      <c r="AG82" s="320"/>
      <c r="AH82" s="320"/>
      <c r="AI82" s="320"/>
      <c r="AJ82" s="320"/>
      <c r="AK82" s="320"/>
      <c r="AL82" s="320"/>
      <c r="AM82" s="320"/>
      <c r="AN82" s="320"/>
      <c r="AO82" s="322"/>
      <c r="AP82" s="322"/>
      <c r="AQ82" s="322"/>
      <c r="AR82" s="322"/>
      <c r="AS82" s="322"/>
      <c r="AT82" s="322"/>
      <c r="AU82" s="322"/>
      <c r="AV82" s="322"/>
      <c r="AW82" s="322"/>
      <c r="AX82" s="322"/>
      <c r="AY82" s="322"/>
      <c r="AZ82" s="322"/>
      <c r="BA82" s="320"/>
      <c r="BB82" s="322">
        <f>$C82*BA82</f>
        <v>0</v>
      </c>
      <c r="BC82" s="322">
        <f t="shared" si="97"/>
        <v>0</v>
      </c>
      <c r="BD82" s="322">
        <f t="shared" si="97"/>
        <v>0</v>
      </c>
      <c r="BE82" s="322"/>
      <c r="BF82" s="322"/>
      <c r="BG82" s="322"/>
      <c r="BH82" s="322"/>
      <c r="BI82" s="322"/>
      <c r="BJ82" s="322"/>
      <c r="BK82" s="322"/>
      <c r="BL82" s="322"/>
      <c r="BM82" s="322"/>
      <c r="BN82" s="322"/>
      <c r="BO82" s="322"/>
      <c r="BP82" s="322"/>
      <c r="BQ82" s="322"/>
      <c r="BR82" s="322"/>
      <c r="BS82" s="322"/>
      <c r="BT82" s="322"/>
      <c r="BU82" s="322"/>
      <c r="BV82" s="322"/>
      <c r="BW82" s="322"/>
      <c r="BX82" s="322"/>
      <c r="BY82" s="322"/>
      <c r="BZ82" s="322"/>
      <c r="CA82" s="322"/>
      <c r="CB82" s="322"/>
      <c r="CC82" s="322">
        <f t="shared" si="87"/>
        <v>0</v>
      </c>
      <c r="CD82" s="322">
        <f t="shared" si="87"/>
        <v>0</v>
      </c>
      <c r="CE82" s="322"/>
      <c r="CF82" s="322"/>
      <c r="CG82" s="322"/>
      <c r="CH82" s="322"/>
      <c r="CI82" s="322"/>
      <c r="CJ82" s="322"/>
      <c r="CK82" s="322"/>
      <c r="CL82" s="322"/>
      <c r="CM82" s="322"/>
      <c r="CN82" s="322"/>
      <c r="CO82" s="322"/>
      <c r="CP82" s="322"/>
      <c r="CQ82" s="322"/>
      <c r="CR82" s="322"/>
      <c r="CS82" s="322"/>
      <c r="CT82" s="322"/>
      <c r="CU82" s="322"/>
      <c r="CV82" s="322"/>
      <c r="CW82" s="322"/>
      <c r="CX82" s="322"/>
      <c r="CY82" s="322"/>
      <c r="CZ82" s="322"/>
      <c r="DA82" s="322"/>
      <c r="DB82" s="322"/>
      <c r="DC82" s="322">
        <f t="shared" si="88"/>
        <v>0</v>
      </c>
      <c r="DD82" s="322">
        <f t="shared" si="88"/>
        <v>0</v>
      </c>
      <c r="DE82" s="436"/>
      <c r="DF82" s="436"/>
      <c r="DG82" s="436"/>
      <c r="DH82" s="436"/>
      <c r="DI82" s="436"/>
      <c r="DJ82" s="436"/>
      <c r="DK82" s="436"/>
      <c r="DL82" s="436"/>
      <c r="DM82" s="436"/>
      <c r="DN82" s="436"/>
      <c r="DO82" s="329"/>
      <c r="DP82" s="329"/>
      <c r="DQ82" s="329"/>
      <c r="DR82" s="329"/>
      <c r="DS82" s="329"/>
      <c r="DT82" s="329"/>
      <c r="DU82" s="329"/>
      <c r="DV82" s="329"/>
      <c r="DW82" s="329"/>
      <c r="DX82" s="329"/>
      <c r="DY82" s="329"/>
      <c r="DZ82" s="329"/>
      <c r="EA82" s="329"/>
      <c r="EB82" s="329"/>
      <c r="EC82" s="322">
        <f t="shared" si="89"/>
        <v>0</v>
      </c>
      <c r="ED82" s="322">
        <f t="shared" si="89"/>
        <v>0</v>
      </c>
      <c r="EE82" s="329"/>
      <c r="EF82" s="329"/>
      <c r="EG82" s="329"/>
      <c r="EH82" s="329"/>
      <c r="EI82" s="329"/>
      <c r="EJ82" s="329"/>
      <c r="EK82" s="329"/>
      <c r="EL82" s="329"/>
      <c r="EM82" s="329"/>
      <c r="EN82" s="329"/>
      <c r="EO82" s="329"/>
      <c r="EP82" s="329"/>
      <c r="EQ82" s="329"/>
      <c r="ER82" s="329"/>
      <c r="ES82" s="329"/>
      <c r="ET82" s="329"/>
      <c r="EU82" s="329"/>
      <c r="EV82" s="329"/>
      <c r="EW82" s="329"/>
      <c r="EX82" s="329"/>
      <c r="EY82" s="329"/>
      <c r="EZ82" s="329"/>
      <c r="FA82" s="329"/>
      <c r="FB82" s="329"/>
      <c r="FC82" s="322">
        <f t="shared" si="90"/>
        <v>0</v>
      </c>
      <c r="FD82" s="322">
        <f t="shared" si="90"/>
        <v>0</v>
      </c>
      <c r="FE82" s="329"/>
      <c r="FF82" s="329"/>
      <c r="FG82" s="329"/>
      <c r="FH82" s="329"/>
      <c r="FI82" s="329"/>
      <c r="FJ82" s="329"/>
      <c r="FK82" s="329"/>
      <c r="FL82" s="329"/>
      <c r="FM82" s="329"/>
      <c r="FN82" s="329"/>
      <c r="FO82" s="329"/>
      <c r="FP82" s="329"/>
      <c r="FQ82" s="329"/>
      <c r="FR82" s="329"/>
      <c r="FS82" s="329"/>
      <c r="FT82" s="329"/>
      <c r="FU82" s="329"/>
      <c r="FV82" s="329"/>
      <c r="FW82" s="329"/>
      <c r="FX82" s="329"/>
      <c r="FY82" s="329"/>
      <c r="FZ82" s="329"/>
      <c r="GA82" s="329"/>
      <c r="GB82" s="329"/>
      <c r="GC82" s="322">
        <f t="shared" si="91"/>
        <v>0</v>
      </c>
      <c r="GD82" s="322">
        <f t="shared" si="92"/>
        <v>0</v>
      </c>
      <c r="GE82" s="329"/>
      <c r="GF82" s="329"/>
      <c r="GG82" s="329"/>
      <c r="GH82" s="329"/>
      <c r="GI82" s="329"/>
      <c r="GJ82" s="329"/>
      <c r="GK82" s="329"/>
      <c r="GL82" s="329"/>
      <c r="GM82" s="329"/>
      <c r="GN82" s="329"/>
      <c r="GO82" s="329"/>
      <c r="GP82" s="329"/>
      <c r="GQ82" s="329"/>
      <c r="GR82" s="329"/>
      <c r="GS82" s="329"/>
      <c r="GT82" s="329"/>
      <c r="GU82" s="329"/>
      <c r="GV82" s="329"/>
      <c r="GW82" s="329"/>
      <c r="GX82" s="329"/>
      <c r="GY82" s="329"/>
      <c r="GZ82" s="329"/>
      <c r="HA82" s="329"/>
      <c r="HB82" s="329"/>
      <c r="HC82" s="322">
        <f t="shared" si="93"/>
        <v>0</v>
      </c>
      <c r="HD82" s="322">
        <f t="shared" si="93"/>
        <v>0</v>
      </c>
      <c r="HE82" s="322">
        <f t="shared" si="94"/>
        <v>0</v>
      </c>
      <c r="HF82" s="322">
        <f t="shared" si="95"/>
        <v>0</v>
      </c>
      <c r="HH82" s="448"/>
      <c r="HI82" s="449"/>
      <c r="HJ82" s="448"/>
    </row>
    <row r="83" spans="2:218" x14ac:dyDescent="0.2">
      <c r="B83" s="313" t="s">
        <v>454</v>
      </c>
      <c r="C83" s="322">
        <v>270000000</v>
      </c>
      <c r="D83" s="328"/>
      <c r="E83" s="320"/>
      <c r="F83" s="320"/>
      <c r="G83" s="320"/>
      <c r="H83" s="320"/>
      <c r="I83" s="320"/>
      <c r="J83" s="320"/>
      <c r="K83" s="320"/>
      <c r="L83" s="320"/>
      <c r="M83" s="320"/>
      <c r="N83" s="320"/>
      <c r="O83" s="320"/>
      <c r="P83" s="320"/>
      <c r="Q83" s="320"/>
      <c r="R83" s="320"/>
      <c r="S83" s="320"/>
      <c r="T83" s="320"/>
      <c r="U83" s="320"/>
      <c r="V83" s="320"/>
      <c r="W83" s="320"/>
      <c r="X83" s="320"/>
      <c r="Y83" s="320"/>
      <c r="Z83" s="320"/>
      <c r="AA83" s="320"/>
      <c r="AB83" s="322"/>
      <c r="AC83" s="322">
        <f t="shared" si="96"/>
        <v>0</v>
      </c>
      <c r="AD83" s="322">
        <f t="shared" si="96"/>
        <v>0</v>
      </c>
      <c r="AE83" s="320"/>
      <c r="AF83" s="320"/>
      <c r="AG83" s="320"/>
      <c r="AH83" s="320"/>
      <c r="AI83" s="320"/>
      <c r="AJ83" s="320"/>
      <c r="AK83" s="320"/>
      <c r="AL83" s="320"/>
      <c r="AM83" s="320"/>
      <c r="AN83" s="320"/>
      <c r="AO83" s="320"/>
      <c r="AP83" s="322">
        <f>$C83*AO83</f>
        <v>0</v>
      </c>
      <c r="AQ83" s="322"/>
      <c r="AR83" s="322"/>
      <c r="AS83" s="322"/>
      <c r="AT83" s="322"/>
      <c r="AU83" s="322"/>
      <c r="AV83" s="322"/>
      <c r="AW83" s="322"/>
      <c r="AX83" s="322"/>
      <c r="AY83" s="322"/>
      <c r="AZ83" s="322"/>
      <c r="BA83" s="322"/>
      <c r="BB83" s="322"/>
      <c r="BC83" s="322">
        <f t="shared" si="97"/>
        <v>0</v>
      </c>
      <c r="BD83" s="322">
        <f t="shared" si="97"/>
        <v>0</v>
      </c>
      <c r="BE83" s="322"/>
      <c r="BF83" s="322"/>
      <c r="BG83" s="322"/>
      <c r="BH83" s="322"/>
      <c r="BI83" s="322"/>
      <c r="BJ83" s="322"/>
      <c r="BK83" s="322"/>
      <c r="BL83" s="322"/>
      <c r="BM83" s="322"/>
      <c r="BN83" s="322"/>
      <c r="BO83" s="322"/>
      <c r="BP83" s="322"/>
      <c r="BQ83" s="322"/>
      <c r="BR83" s="322"/>
      <c r="BS83" s="322"/>
      <c r="BT83" s="322"/>
      <c r="BU83" s="322"/>
      <c r="BV83" s="322"/>
      <c r="BW83" s="322"/>
      <c r="BX83" s="322"/>
      <c r="BY83" s="322"/>
      <c r="BZ83" s="322"/>
      <c r="CA83" s="322"/>
      <c r="CB83" s="322"/>
      <c r="CC83" s="322">
        <f t="shared" si="87"/>
        <v>0</v>
      </c>
      <c r="CD83" s="322">
        <f t="shared" si="87"/>
        <v>0</v>
      </c>
      <c r="CE83" s="322"/>
      <c r="CF83" s="322"/>
      <c r="CG83" s="322"/>
      <c r="CH83" s="322"/>
      <c r="CI83" s="322"/>
      <c r="CJ83" s="322"/>
      <c r="CK83" s="322"/>
      <c r="CL83" s="322"/>
      <c r="CM83" s="322"/>
      <c r="CN83" s="322"/>
      <c r="CO83" s="322"/>
      <c r="CP83" s="322"/>
      <c r="CQ83" s="322"/>
      <c r="CR83" s="322"/>
      <c r="CS83" s="322"/>
      <c r="CT83" s="322"/>
      <c r="CU83" s="322"/>
      <c r="CV83" s="322"/>
      <c r="CW83" s="322"/>
      <c r="CX83" s="322"/>
      <c r="CY83" s="322"/>
      <c r="CZ83" s="322"/>
      <c r="DA83" s="322"/>
      <c r="DB83" s="322"/>
      <c r="DC83" s="322">
        <f t="shared" si="88"/>
        <v>0</v>
      </c>
      <c r="DD83" s="322">
        <f t="shared" si="88"/>
        <v>0</v>
      </c>
      <c r="DE83" s="436"/>
      <c r="DF83" s="436"/>
      <c r="DG83" s="436"/>
      <c r="DH83" s="436"/>
      <c r="DI83" s="436"/>
      <c r="DJ83" s="436"/>
      <c r="DK83" s="436"/>
      <c r="DL83" s="436"/>
      <c r="DM83" s="436"/>
      <c r="DN83" s="436"/>
      <c r="DO83" s="329"/>
      <c r="DP83" s="329"/>
      <c r="DQ83" s="329"/>
      <c r="DR83" s="329"/>
      <c r="DS83" s="329"/>
      <c r="DT83" s="329"/>
      <c r="DU83" s="329"/>
      <c r="DV83" s="329"/>
      <c r="DW83" s="329"/>
      <c r="DX83" s="329"/>
      <c r="DY83" s="329"/>
      <c r="DZ83" s="329"/>
      <c r="EA83" s="329"/>
      <c r="EB83" s="329"/>
      <c r="EC83" s="322">
        <f t="shared" si="89"/>
        <v>0</v>
      </c>
      <c r="ED83" s="322">
        <f t="shared" si="89"/>
        <v>0</v>
      </c>
      <c r="EE83" s="329"/>
      <c r="EF83" s="329"/>
      <c r="EG83" s="329"/>
      <c r="EH83" s="329"/>
      <c r="EI83" s="329"/>
      <c r="EJ83" s="329"/>
      <c r="EK83" s="329"/>
      <c r="EL83" s="329"/>
      <c r="EM83" s="329"/>
      <c r="EN83" s="329"/>
      <c r="EO83" s="329"/>
      <c r="EP83" s="329"/>
      <c r="EQ83" s="329"/>
      <c r="ER83" s="329"/>
      <c r="ES83" s="329"/>
      <c r="ET83" s="329"/>
      <c r="EU83" s="329"/>
      <c r="EV83" s="329"/>
      <c r="EW83" s="329"/>
      <c r="EX83" s="329"/>
      <c r="EY83" s="329"/>
      <c r="EZ83" s="329"/>
      <c r="FA83" s="329"/>
      <c r="FB83" s="329"/>
      <c r="FC83" s="322">
        <f t="shared" si="90"/>
        <v>0</v>
      </c>
      <c r="FD83" s="322">
        <f t="shared" si="90"/>
        <v>0</v>
      </c>
      <c r="FE83" s="329"/>
      <c r="FF83" s="329"/>
      <c r="FG83" s="329"/>
      <c r="FH83" s="329"/>
      <c r="FI83" s="329"/>
      <c r="FJ83" s="329"/>
      <c r="FK83" s="329"/>
      <c r="FL83" s="329"/>
      <c r="FM83" s="329"/>
      <c r="FN83" s="329"/>
      <c r="FO83" s="329"/>
      <c r="FP83" s="329"/>
      <c r="FQ83" s="329"/>
      <c r="FR83" s="329"/>
      <c r="FS83" s="329"/>
      <c r="FT83" s="329"/>
      <c r="FU83" s="329"/>
      <c r="FV83" s="329"/>
      <c r="FW83" s="329"/>
      <c r="FX83" s="329"/>
      <c r="FY83" s="329"/>
      <c r="FZ83" s="329"/>
      <c r="GA83" s="329"/>
      <c r="GB83" s="329"/>
      <c r="GC83" s="322">
        <f t="shared" si="91"/>
        <v>0</v>
      </c>
      <c r="GD83" s="322">
        <f t="shared" si="92"/>
        <v>0</v>
      </c>
      <c r="GE83" s="329"/>
      <c r="GF83" s="329"/>
      <c r="GG83" s="329"/>
      <c r="GH83" s="329"/>
      <c r="GI83" s="329"/>
      <c r="GJ83" s="329"/>
      <c r="GK83" s="329"/>
      <c r="GL83" s="329"/>
      <c r="GM83" s="329"/>
      <c r="GN83" s="329"/>
      <c r="GO83" s="329"/>
      <c r="GP83" s="329"/>
      <c r="GQ83" s="329"/>
      <c r="GR83" s="329"/>
      <c r="GS83" s="329"/>
      <c r="GT83" s="329"/>
      <c r="GU83" s="329"/>
      <c r="GV83" s="329"/>
      <c r="GW83" s="329"/>
      <c r="GX83" s="329"/>
      <c r="GY83" s="329"/>
      <c r="GZ83" s="329"/>
      <c r="HA83" s="329"/>
      <c r="HB83" s="329"/>
      <c r="HC83" s="322">
        <f t="shared" si="93"/>
        <v>0</v>
      </c>
      <c r="HD83" s="322">
        <f t="shared" si="93"/>
        <v>0</v>
      </c>
      <c r="HE83" s="322">
        <f t="shared" si="94"/>
        <v>0</v>
      </c>
      <c r="HF83" s="322">
        <f t="shared" si="95"/>
        <v>0</v>
      </c>
      <c r="HH83" s="448"/>
      <c r="HI83" s="449"/>
      <c r="HJ83" s="448"/>
    </row>
    <row r="84" spans="2:218" x14ac:dyDescent="0.2">
      <c r="B84" s="313" t="s">
        <v>455</v>
      </c>
      <c r="C84" s="322">
        <f>330000000+(2*27000000)+(1*20000000)</f>
        <v>404000000</v>
      </c>
      <c r="D84" s="328"/>
      <c r="E84" s="320"/>
      <c r="F84" s="320"/>
      <c r="G84" s="320"/>
      <c r="H84" s="320"/>
      <c r="I84" s="320"/>
      <c r="J84" s="322"/>
      <c r="K84" s="320"/>
      <c r="L84" s="320"/>
      <c r="M84" s="320"/>
      <c r="N84" s="320"/>
      <c r="O84" s="320"/>
      <c r="P84" s="320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22">
        <f t="shared" si="96"/>
        <v>0</v>
      </c>
      <c r="AD84" s="322">
        <f t="shared" si="96"/>
        <v>0</v>
      </c>
      <c r="AE84" s="320"/>
      <c r="AF84" s="320"/>
      <c r="AG84" s="320"/>
      <c r="AH84" s="320"/>
      <c r="AI84" s="320"/>
      <c r="AJ84" s="320"/>
      <c r="AK84" s="320"/>
      <c r="AL84" s="320"/>
      <c r="AM84" s="320"/>
      <c r="AN84" s="320"/>
      <c r="AO84" s="320"/>
      <c r="AP84" s="322">
        <f>$C84*AO84</f>
        <v>0</v>
      </c>
      <c r="AQ84" s="322"/>
      <c r="AR84" s="322"/>
      <c r="AS84" s="322"/>
      <c r="AT84" s="322"/>
      <c r="AU84" s="322"/>
      <c r="AV84" s="322"/>
      <c r="AW84" s="322"/>
      <c r="AX84" s="322"/>
      <c r="AY84" s="322"/>
      <c r="AZ84" s="322"/>
      <c r="BA84" s="322"/>
      <c r="BB84" s="322"/>
      <c r="BC84" s="322">
        <f t="shared" si="97"/>
        <v>0</v>
      </c>
      <c r="BD84" s="322">
        <f t="shared" si="97"/>
        <v>0</v>
      </c>
      <c r="BE84" s="322"/>
      <c r="BF84" s="322"/>
      <c r="BG84" s="322"/>
      <c r="BH84" s="322"/>
      <c r="BI84" s="322"/>
      <c r="BJ84" s="322"/>
      <c r="BK84" s="322"/>
      <c r="BL84" s="322"/>
      <c r="BM84" s="322"/>
      <c r="BN84" s="322"/>
      <c r="BO84" s="322"/>
      <c r="BP84" s="322"/>
      <c r="BQ84" s="322"/>
      <c r="BR84" s="322"/>
      <c r="BS84" s="322"/>
      <c r="BT84" s="322"/>
      <c r="BU84" s="322"/>
      <c r="BV84" s="322"/>
      <c r="BW84" s="322"/>
      <c r="BX84" s="322"/>
      <c r="BY84" s="322"/>
      <c r="BZ84" s="322"/>
      <c r="CA84" s="322"/>
      <c r="CB84" s="322"/>
      <c r="CC84" s="322">
        <f t="shared" si="87"/>
        <v>0</v>
      </c>
      <c r="CD84" s="322">
        <f t="shared" si="87"/>
        <v>0</v>
      </c>
      <c r="CE84" s="322"/>
      <c r="CF84" s="322"/>
      <c r="CG84" s="322"/>
      <c r="CH84" s="322"/>
      <c r="CI84" s="322"/>
      <c r="CJ84" s="322"/>
      <c r="CK84" s="322"/>
      <c r="CL84" s="322"/>
      <c r="CM84" s="322"/>
      <c r="CN84" s="322"/>
      <c r="CO84" s="322"/>
      <c r="CP84" s="322"/>
      <c r="CQ84" s="322"/>
      <c r="CR84" s="322"/>
      <c r="CS84" s="322"/>
      <c r="CT84" s="322"/>
      <c r="CU84" s="322"/>
      <c r="CV84" s="322"/>
      <c r="CW84" s="322"/>
      <c r="CX84" s="322"/>
      <c r="CY84" s="322"/>
      <c r="CZ84" s="322"/>
      <c r="DA84" s="322"/>
      <c r="DB84" s="322"/>
      <c r="DC84" s="322">
        <f t="shared" si="88"/>
        <v>0</v>
      </c>
      <c r="DD84" s="322">
        <f t="shared" si="88"/>
        <v>0</v>
      </c>
      <c r="DE84" s="436"/>
      <c r="DF84" s="436"/>
      <c r="DG84" s="436"/>
      <c r="DH84" s="436"/>
      <c r="DI84" s="436"/>
      <c r="DJ84" s="436"/>
      <c r="DK84" s="436"/>
      <c r="DL84" s="436"/>
      <c r="DM84" s="436"/>
      <c r="DN84" s="436"/>
      <c r="DO84" s="329"/>
      <c r="DP84" s="329"/>
      <c r="DQ84" s="329"/>
      <c r="DR84" s="329"/>
      <c r="DS84" s="329"/>
      <c r="DT84" s="329"/>
      <c r="DU84" s="329"/>
      <c r="DV84" s="329"/>
      <c r="DW84" s="329"/>
      <c r="DX84" s="329"/>
      <c r="DY84" s="329"/>
      <c r="DZ84" s="329"/>
      <c r="EA84" s="329"/>
      <c r="EB84" s="329"/>
      <c r="EC84" s="322">
        <f t="shared" si="89"/>
        <v>0</v>
      </c>
      <c r="ED84" s="322">
        <f t="shared" si="89"/>
        <v>0</v>
      </c>
      <c r="EE84" s="329"/>
      <c r="EF84" s="329"/>
      <c r="EG84" s="329"/>
      <c r="EH84" s="329"/>
      <c r="EI84" s="329"/>
      <c r="EJ84" s="329"/>
      <c r="EK84" s="329"/>
      <c r="EL84" s="329"/>
      <c r="EM84" s="329"/>
      <c r="EN84" s="329"/>
      <c r="EO84" s="329"/>
      <c r="EP84" s="329"/>
      <c r="EQ84" s="329"/>
      <c r="ER84" s="329"/>
      <c r="ES84" s="329"/>
      <c r="ET84" s="329"/>
      <c r="EU84" s="329"/>
      <c r="EV84" s="329"/>
      <c r="EW84" s="329"/>
      <c r="EX84" s="329"/>
      <c r="EY84" s="329"/>
      <c r="EZ84" s="329"/>
      <c r="FA84" s="329"/>
      <c r="FB84" s="329"/>
      <c r="FC84" s="322">
        <f t="shared" si="90"/>
        <v>0</v>
      </c>
      <c r="FD84" s="322">
        <f t="shared" si="90"/>
        <v>0</v>
      </c>
      <c r="FE84" s="329"/>
      <c r="FF84" s="329"/>
      <c r="FG84" s="329"/>
      <c r="FH84" s="329"/>
      <c r="FI84" s="329"/>
      <c r="FJ84" s="329"/>
      <c r="FK84" s="329"/>
      <c r="FL84" s="329"/>
      <c r="FM84" s="329"/>
      <c r="FN84" s="329"/>
      <c r="FO84" s="329"/>
      <c r="FP84" s="329"/>
      <c r="FQ84" s="329"/>
      <c r="FR84" s="329"/>
      <c r="FS84" s="329"/>
      <c r="FT84" s="329"/>
      <c r="FU84" s="329"/>
      <c r="FV84" s="329"/>
      <c r="FW84" s="329"/>
      <c r="FX84" s="329"/>
      <c r="FY84" s="329"/>
      <c r="FZ84" s="329"/>
      <c r="GA84" s="329"/>
      <c r="GB84" s="329"/>
      <c r="GC84" s="322">
        <f t="shared" si="91"/>
        <v>0</v>
      </c>
      <c r="GD84" s="322">
        <f t="shared" si="92"/>
        <v>0</v>
      </c>
      <c r="GE84" s="329"/>
      <c r="GF84" s="329"/>
      <c r="GG84" s="329"/>
      <c r="GH84" s="329"/>
      <c r="GI84" s="329"/>
      <c r="GJ84" s="329"/>
      <c r="GK84" s="329"/>
      <c r="GL84" s="329"/>
      <c r="GM84" s="329"/>
      <c r="GN84" s="329"/>
      <c r="GO84" s="329"/>
      <c r="GP84" s="329"/>
      <c r="GQ84" s="329"/>
      <c r="GR84" s="329"/>
      <c r="GS84" s="329"/>
      <c r="GT84" s="329"/>
      <c r="GU84" s="329"/>
      <c r="GV84" s="329"/>
      <c r="GW84" s="329"/>
      <c r="GX84" s="329"/>
      <c r="GY84" s="329"/>
      <c r="GZ84" s="329"/>
      <c r="HA84" s="329"/>
      <c r="HB84" s="329"/>
      <c r="HC84" s="322">
        <f t="shared" si="93"/>
        <v>0</v>
      </c>
      <c r="HD84" s="322">
        <f t="shared" si="93"/>
        <v>0</v>
      </c>
      <c r="HE84" s="322">
        <f t="shared" si="94"/>
        <v>0</v>
      </c>
      <c r="HF84" s="322">
        <f t="shared" si="95"/>
        <v>0</v>
      </c>
      <c r="HH84" s="448"/>
      <c r="HI84" s="449"/>
      <c r="HJ84" s="448"/>
    </row>
    <row r="85" spans="2:218" x14ac:dyDescent="0.2">
      <c r="B85" s="260" t="s">
        <v>456</v>
      </c>
      <c r="C85" s="322">
        <v>0</v>
      </c>
      <c r="D85" s="293"/>
      <c r="E85" s="457"/>
      <c r="F85" s="457"/>
      <c r="G85" s="457"/>
      <c r="H85" s="457"/>
      <c r="I85" s="457"/>
      <c r="J85" s="457"/>
      <c r="K85" s="457"/>
      <c r="L85" s="457"/>
      <c r="M85" s="457"/>
      <c r="N85" s="457"/>
      <c r="O85" s="457"/>
      <c r="P85" s="457"/>
      <c r="Q85" s="457"/>
      <c r="R85" s="457"/>
      <c r="S85" s="457"/>
      <c r="T85" s="457"/>
      <c r="U85" s="457"/>
      <c r="V85" s="457"/>
      <c r="W85" s="457"/>
      <c r="X85" s="457"/>
      <c r="Y85" s="457"/>
      <c r="Z85" s="457"/>
      <c r="AA85" s="457"/>
      <c r="AB85" s="457"/>
      <c r="AC85" s="457"/>
      <c r="AD85" s="457"/>
      <c r="AE85" s="457">
        <f>SUM(AE76:AE84)</f>
        <v>0</v>
      </c>
      <c r="AF85" s="457">
        <f t="shared" ref="AF85:CQ85" si="98">SUM(AF76:AF84)</f>
        <v>0</v>
      </c>
      <c r="AG85" s="457">
        <f t="shared" si="98"/>
        <v>0</v>
      </c>
      <c r="AH85" s="457">
        <f t="shared" si="98"/>
        <v>0</v>
      </c>
      <c r="AI85" s="457">
        <f t="shared" si="98"/>
        <v>0</v>
      </c>
      <c r="AJ85" s="457">
        <f t="shared" si="98"/>
        <v>0</v>
      </c>
      <c r="AK85" s="457">
        <f t="shared" si="98"/>
        <v>0</v>
      </c>
      <c r="AL85" s="457">
        <f t="shared" si="98"/>
        <v>0</v>
      </c>
      <c r="AM85" s="457">
        <f t="shared" si="98"/>
        <v>0</v>
      </c>
      <c r="AN85" s="457">
        <f t="shared" si="98"/>
        <v>0</v>
      </c>
      <c r="AO85" s="457">
        <f t="shared" si="98"/>
        <v>0</v>
      </c>
      <c r="AP85" s="457">
        <f t="shared" si="98"/>
        <v>0</v>
      </c>
      <c r="AQ85" s="457">
        <f t="shared" si="98"/>
        <v>0</v>
      </c>
      <c r="AR85" s="457">
        <f t="shared" si="98"/>
        <v>0</v>
      </c>
      <c r="AS85" s="457">
        <f t="shared" si="98"/>
        <v>0</v>
      </c>
      <c r="AT85" s="457">
        <f t="shared" si="98"/>
        <v>0</v>
      </c>
      <c r="AU85" s="457">
        <f t="shared" si="98"/>
        <v>0</v>
      </c>
      <c r="AV85" s="457">
        <f t="shared" si="98"/>
        <v>0</v>
      </c>
      <c r="AW85" s="457">
        <f t="shared" si="98"/>
        <v>0</v>
      </c>
      <c r="AX85" s="457">
        <f t="shared" si="98"/>
        <v>0</v>
      </c>
      <c r="AY85" s="457">
        <f t="shared" si="98"/>
        <v>0</v>
      </c>
      <c r="AZ85" s="457">
        <f t="shared" si="98"/>
        <v>0</v>
      </c>
      <c r="BA85" s="457">
        <f t="shared" si="98"/>
        <v>0</v>
      </c>
      <c r="BB85" s="457">
        <f t="shared" si="98"/>
        <v>0</v>
      </c>
      <c r="BC85" s="457">
        <f t="shared" si="98"/>
        <v>0</v>
      </c>
      <c r="BD85" s="457">
        <f t="shared" si="98"/>
        <v>0</v>
      </c>
      <c r="BE85" s="457">
        <f t="shared" si="98"/>
        <v>0</v>
      </c>
      <c r="BF85" s="457">
        <f t="shared" si="98"/>
        <v>0</v>
      </c>
      <c r="BG85" s="457">
        <f t="shared" si="98"/>
        <v>0</v>
      </c>
      <c r="BH85" s="457">
        <f t="shared" si="98"/>
        <v>0</v>
      </c>
      <c r="BI85" s="457">
        <f t="shared" si="98"/>
        <v>0</v>
      </c>
      <c r="BJ85" s="457">
        <f t="shared" si="98"/>
        <v>0</v>
      </c>
      <c r="BK85" s="457">
        <f t="shared" si="98"/>
        <v>0</v>
      </c>
      <c r="BL85" s="457">
        <f t="shared" si="98"/>
        <v>0</v>
      </c>
      <c r="BM85" s="457">
        <f t="shared" si="98"/>
        <v>0</v>
      </c>
      <c r="BN85" s="457">
        <f t="shared" si="98"/>
        <v>0</v>
      </c>
      <c r="BO85" s="457">
        <f t="shared" si="98"/>
        <v>0</v>
      </c>
      <c r="BP85" s="457">
        <f t="shared" si="98"/>
        <v>0</v>
      </c>
      <c r="BQ85" s="457">
        <f t="shared" si="98"/>
        <v>0</v>
      </c>
      <c r="BR85" s="457">
        <f t="shared" si="98"/>
        <v>0</v>
      </c>
      <c r="BS85" s="457">
        <f t="shared" si="98"/>
        <v>0</v>
      </c>
      <c r="BT85" s="457">
        <f t="shared" si="98"/>
        <v>0</v>
      </c>
      <c r="BU85" s="457">
        <f t="shared" si="98"/>
        <v>0</v>
      </c>
      <c r="BV85" s="457">
        <f t="shared" si="98"/>
        <v>0</v>
      </c>
      <c r="BW85" s="457">
        <f t="shared" si="98"/>
        <v>0</v>
      </c>
      <c r="BX85" s="457">
        <f t="shared" si="98"/>
        <v>0</v>
      </c>
      <c r="BY85" s="457">
        <f t="shared" si="98"/>
        <v>0</v>
      </c>
      <c r="BZ85" s="457">
        <f t="shared" si="98"/>
        <v>0</v>
      </c>
      <c r="CA85" s="457">
        <f t="shared" si="98"/>
        <v>0</v>
      </c>
      <c r="CB85" s="457">
        <f t="shared" si="98"/>
        <v>0</v>
      </c>
      <c r="CC85" s="457">
        <f t="shared" si="98"/>
        <v>0</v>
      </c>
      <c r="CD85" s="457">
        <f t="shared" si="98"/>
        <v>0</v>
      </c>
      <c r="CE85" s="457">
        <f t="shared" si="98"/>
        <v>0</v>
      </c>
      <c r="CF85" s="457">
        <f t="shared" si="98"/>
        <v>0</v>
      </c>
      <c r="CG85" s="457">
        <f t="shared" si="98"/>
        <v>0</v>
      </c>
      <c r="CH85" s="457">
        <f t="shared" si="98"/>
        <v>0</v>
      </c>
      <c r="CI85" s="457">
        <f t="shared" si="98"/>
        <v>0</v>
      </c>
      <c r="CJ85" s="457">
        <f t="shared" si="98"/>
        <v>0</v>
      </c>
      <c r="CK85" s="457">
        <f t="shared" si="98"/>
        <v>0</v>
      </c>
      <c r="CL85" s="457">
        <f t="shared" si="98"/>
        <v>0</v>
      </c>
      <c r="CM85" s="457">
        <f t="shared" si="98"/>
        <v>0</v>
      </c>
      <c r="CN85" s="457">
        <f t="shared" si="98"/>
        <v>0</v>
      </c>
      <c r="CO85" s="457">
        <f t="shared" si="98"/>
        <v>0</v>
      </c>
      <c r="CP85" s="457">
        <f t="shared" si="98"/>
        <v>0</v>
      </c>
      <c r="CQ85" s="457">
        <f t="shared" si="98"/>
        <v>0</v>
      </c>
      <c r="CR85" s="457">
        <f t="shared" ref="CR85:FC85" si="99">SUM(CR76:CR84)</f>
        <v>0</v>
      </c>
      <c r="CS85" s="457">
        <f t="shared" si="99"/>
        <v>0</v>
      </c>
      <c r="CT85" s="457">
        <f t="shared" si="99"/>
        <v>0</v>
      </c>
      <c r="CU85" s="457">
        <f t="shared" si="99"/>
        <v>0</v>
      </c>
      <c r="CV85" s="457">
        <f t="shared" si="99"/>
        <v>0</v>
      </c>
      <c r="CW85" s="457">
        <f t="shared" si="99"/>
        <v>0</v>
      </c>
      <c r="CX85" s="457">
        <f t="shared" si="99"/>
        <v>0</v>
      </c>
      <c r="CY85" s="457">
        <f t="shared" si="99"/>
        <v>0</v>
      </c>
      <c r="CZ85" s="457">
        <f t="shared" si="99"/>
        <v>0</v>
      </c>
      <c r="DA85" s="457">
        <f t="shared" si="99"/>
        <v>0</v>
      </c>
      <c r="DB85" s="457">
        <f t="shared" si="99"/>
        <v>0</v>
      </c>
      <c r="DC85" s="457">
        <f t="shared" si="99"/>
        <v>0</v>
      </c>
      <c r="DD85" s="457">
        <f t="shared" si="99"/>
        <v>0</v>
      </c>
      <c r="DE85" s="457">
        <f t="shared" si="99"/>
        <v>0</v>
      </c>
      <c r="DF85" s="457">
        <f t="shared" si="99"/>
        <v>0</v>
      </c>
      <c r="DG85" s="457">
        <f t="shared" si="99"/>
        <v>0</v>
      </c>
      <c r="DH85" s="457">
        <f t="shared" si="99"/>
        <v>0</v>
      </c>
      <c r="DI85" s="457">
        <f t="shared" si="99"/>
        <v>0</v>
      </c>
      <c r="DJ85" s="457">
        <f t="shared" si="99"/>
        <v>0</v>
      </c>
      <c r="DK85" s="457">
        <f t="shared" si="99"/>
        <v>0</v>
      </c>
      <c r="DL85" s="457">
        <f t="shared" si="99"/>
        <v>0</v>
      </c>
      <c r="DM85" s="457">
        <f t="shared" si="99"/>
        <v>0</v>
      </c>
      <c r="DN85" s="457">
        <f t="shared" si="99"/>
        <v>0</v>
      </c>
      <c r="DO85" s="457">
        <f t="shared" si="99"/>
        <v>0</v>
      </c>
      <c r="DP85" s="457">
        <f t="shared" si="99"/>
        <v>0</v>
      </c>
      <c r="DQ85" s="457">
        <f t="shared" si="99"/>
        <v>0</v>
      </c>
      <c r="DR85" s="457">
        <f t="shared" si="99"/>
        <v>0</v>
      </c>
      <c r="DS85" s="457">
        <f t="shared" si="99"/>
        <v>0</v>
      </c>
      <c r="DT85" s="457">
        <f t="shared" si="99"/>
        <v>0</v>
      </c>
      <c r="DU85" s="457">
        <f t="shared" si="99"/>
        <v>0</v>
      </c>
      <c r="DV85" s="457">
        <f t="shared" si="99"/>
        <v>0</v>
      </c>
      <c r="DW85" s="457">
        <f t="shared" si="99"/>
        <v>0</v>
      </c>
      <c r="DX85" s="457">
        <f t="shared" si="99"/>
        <v>0</v>
      </c>
      <c r="DY85" s="457">
        <f t="shared" si="99"/>
        <v>0</v>
      </c>
      <c r="DZ85" s="457">
        <f t="shared" si="99"/>
        <v>0</v>
      </c>
      <c r="EA85" s="457">
        <f t="shared" si="99"/>
        <v>0</v>
      </c>
      <c r="EB85" s="457">
        <f t="shared" si="99"/>
        <v>0</v>
      </c>
      <c r="EC85" s="457">
        <f t="shared" si="99"/>
        <v>0</v>
      </c>
      <c r="ED85" s="457">
        <f t="shared" si="99"/>
        <v>0</v>
      </c>
      <c r="EE85" s="457">
        <f t="shared" si="99"/>
        <v>0</v>
      </c>
      <c r="EF85" s="457">
        <f t="shared" si="99"/>
        <v>0</v>
      </c>
      <c r="EG85" s="457">
        <f t="shared" si="99"/>
        <v>0</v>
      </c>
      <c r="EH85" s="457">
        <f t="shared" si="99"/>
        <v>0</v>
      </c>
      <c r="EI85" s="457">
        <f t="shared" si="99"/>
        <v>0</v>
      </c>
      <c r="EJ85" s="457">
        <f t="shared" si="99"/>
        <v>0</v>
      </c>
      <c r="EK85" s="457">
        <f t="shared" si="99"/>
        <v>0</v>
      </c>
      <c r="EL85" s="457">
        <f t="shared" si="99"/>
        <v>0</v>
      </c>
      <c r="EM85" s="457">
        <f t="shared" si="99"/>
        <v>0</v>
      </c>
      <c r="EN85" s="457">
        <f t="shared" si="99"/>
        <v>0</v>
      </c>
      <c r="EO85" s="457">
        <f t="shared" si="99"/>
        <v>0</v>
      </c>
      <c r="EP85" s="457">
        <f t="shared" si="99"/>
        <v>0</v>
      </c>
      <c r="EQ85" s="457">
        <f t="shared" si="99"/>
        <v>0</v>
      </c>
      <c r="ER85" s="457">
        <f t="shared" si="99"/>
        <v>0</v>
      </c>
      <c r="ES85" s="457">
        <f t="shared" si="99"/>
        <v>0</v>
      </c>
      <c r="ET85" s="457">
        <f t="shared" si="99"/>
        <v>0</v>
      </c>
      <c r="EU85" s="457">
        <f t="shared" si="99"/>
        <v>0</v>
      </c>
      <c r="EV85" s="457">
        <f t="shared" si="99"/>
        <v>0</v>
      </c>
      <c r="EW85" s="457">
        <f t="shared" si="99"/>
        <v>0</v>
      </c>
      <c r="EX85" s="457">
        <f t="shared" si="99"/>
        <v>0</v>
      </c>
      <c r="EY85" s="457">
        <f t="shared" si="99"/>
        <v>0</v>
      </c>
      <c r="EZ85" s="457">
        <f t="shared" si="99"/>
        <v>0</v>
      </c>
      <c r="FA85" s="457">
        <f t="shared" si="99"/>
        <v>0</v>
      </c>
      <c r="FB85" s="457">
        <f t="shared" si="99"/>
        <v>0</v>
      </c>
      <c r="FC85" s="457">
        <f t="shared" si="99"/>
        <v>0</v>
      </c>
      <c r="FD85" s="457">
        <f>SUM(FD76:FD84)</f>
        <v>0</v>
      </c>
      <c r="FE85" s="457">
        <f t="shared" ref="FE85:GC85" si="100">SUM(FE76:FE84)</f>
        <v>0</v>
      </c>
      <c r="FF85" s="457">
        <f t="shared" si="100"/>
        <v>0</v>
      </c>
      <c r="FG85" s="457">
        <f t="shared" si="100"/>
        <v>0</v>
      </c>
      <c r="FH85" s="457">
        <f t="shared" si="100"/>
        <v>0</v>
      </c>
      <c r="FI85" s="457">
        <f t="shared" si="100"/>
        <v>0</v>
      </c>
      <c r="FJ85" s="457">
        <f t="shared" si="100"/>
        <v>0</v>
      </c>
      <c r="FK85" s="457">
        <f t="shared" si="100"/>
        <v>0</v>
      </c>
      <c r="FL85" s="457">
        <f t="shared" si="100"/>
        <v>0</v>
      </c>
      <c r="FM85" s="457">
        <f t="shared" si="100"/>
        <v>0</v>
      </c>
      <c r="FN85" s="457">
        <f t="shared" si="100"/>
        <v>0</v>
      </c>
      <c r="FO85" s="457">
        <f t="shared" si="100"/>
        <v>0</v>
      </c>
      <c r="FP85" s="457">
        <f t="shared" si="100"/>
        <v>0</v>
      </c>
      <c r="FQ85" s="457">
        <f t="shared" si="100"/>
        <v>0</v>
      </c>
      <c r="FR85" s="457">
        <f t="shared" si="100"/>
        <v>0</v>
      </c>
      <c r="FS85" s="457">
        <f t="shared" si="100"/>
        <v>0</v>
      </c>
      <c r="FT85" s="457">
        <f t="shared" si="100"/>
        <v>0</v>
      </c>
      <c r="FU85" s="457">
        <f t="shared" si="100"/>
        <v>0</v>
      </c>
      <c r="FV85" s="457">
        <f t="shared" si="100"/>
        <v>0</v>
      </c>
      <c r="FW85" s="457">
        <f t="shared" si="100"/>
        <v>0</v>
      </c>
      <c r="FX85" s="457">
        <f t="shared" si="100"/>
        <v>0</v>
      </c>
      <c r="FY85" s="457">
        <f t="shared" si="100"/>
        <v>0</v>
      </c>
      <c r="FZ85" s="457">
        <f t="shared" si="100"/>
        <v>0</v>
      </c>
      <c r="GA85" s="457">
        <f t="shared" si="100"/>
        <v>0</v>
      </c>
      <c r="GB85" s="457">
        <f t="shared" si="100"/>
        <v>0</v>
      </c>
      <c r="GC85" s="457">
        <f t="shared" si="100"/>
        <v>0</v>
      </c>
      <c r="GD85" s="457">
        <f>SUM(GD76:GD84)</f>
        <v>0</v>
      </c>
      <c r="GE85" s="457">
        <f t="shared" ref="GE85:HC85" si="101">SUM(GE76:GE84)</f>
        <v>0</v>
      </c>
      <c r="GF85" s="457">
        <f t="shared" si="101"/>
        <v>0</v>
      </c>
      <c r="GG85" s="457">
        <f t="shared" si="101"/>
        <v>0</v>
      </c>
      <c r="GH85" s="457">
        <f t="shared" si="101"/>
        <v>0</v>
      </c>
      <c r="GI85" s="457">
        <f t="shared" si="101"/>
        <v>0</v>
      </c>
      <c r="GJ85" s="457">
        <f t="shared" si="101"/>
        <v>0</v>
      </c>
      <c r="GK85" s="457">
        <f t="shared" si="101"/>
        <v>0</v>
      </c>
      <c r="GL85" s="457">
        <f t="shared" si="101"/>
        <v>0</v>
      </c>
      <c r="GM85" s="457">
        <f t="shared" si="101"/>
        <v>0</v>
      </c>
      <c r="GN85" s="457">
        <f t="shared" si="101"/>
        <v>0</v>
      </c>
      <c r="GO85" s="457">
        <f t="shared" si="101"/>
        <v>0</v>
      </c>
      <c r="GP85" s="457">
        <f t="shared" si="101"/>
        <v>0</v>
      </c>
      <c r="GQ85" s="457">
        <f t="shared" si="101"/>
        <v>0</v>
      </c>
      <c r="GR85" s="457">
        <f t="shared" si="101"/>
        <v>0</v>
      </c>
      <c r="GS85" s="457">
        <f t="shared" si="101"/>
        <v>0</v>
      </c>
      <c r="GT85" s="457">
        <f t="shared" si="101"/>
        <v>0</v>
      </c>
      <c r="GU85" s="457">
        <f t="shared" si="101"/>
        <v>0</v>
      </c>
      <c r="GV85" s="457">
        <f t="shared" si="101"/>
        <v>0</v>
      </c>
      <c r="GW85" s="457">
        <f t="shared" si="101"/>
        <v>0</v>
      </c>
      <c r="GX85" s="457">
        <f t="shared" si="101"/>
        <v>0</v>
      </c>
      <c r="GY85" s="457">
        <f t="shared" si="101"/>
        <v>0</v>
      </c>
      <c r="GZ85" s="457">
        <f t="shared" si="101"/>
        <v>0</v>
      </c>
      <c r="HA85" s="457">
        <f t="shared" si="101"/>
        <v>0</v>
      </c>
      <c r="HB85" s="457">
        <f t="shared" si="101"/>
        <v>0</v>
      </c>
      <c r="HC85" s="457">
        <f t="shared" si="101"/>
        <v>0</v>
      </c>
      <c r="HD85" s="457">
        <f>SUM(HD76:HD84)</f>
        <v>0</v>
      </c>
      <c r="HE85" s="457">
        <f>SUM(HE76:HE84)</f>
        <v>0</v>
      </c>
      <c r="HF85" s="457">
        <f>SUM(HF76:HF84)</f>
        <v>0</v>
      </c>
      <c r="HH85" s="448"/>
      <c r="HI85" s="449"/>
      <c r="HJ85" s="448"/>
    </row>
    <row r="86" spans="2:218" x14ac:dyDescent="0.2">
      <c r="B86" s="311" t="s">
        <v>457</v>
      </c>
      <c r="C86" s="322">
        <v>0</v>
      </c>
      <c r="D86" s="327"/>
      <c r="E86" s="322"/>
      <c r="F86" s="322"/>
      <c r="G86" s="322"/>
      <c r="H86" s="322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2"/>
      <c r="W86" s="322"/>
      <c r="X86" s="322"/>
      <c r="Y86" s="322"/>
      <c r="Z86" s="322"/>
      <c r="AA86" s="322"/>
      <c r="AB86" s="322"/>
      <c r="AC86" s="322"/>
      <c r="AD86" s="322"/>
      <c r="AE86" s="322"/>
      <c r="AF86" s="322"/>
      <c r="AG86" s="322"/>
      <c r="AH86" s="322"/>
      <c r="AI86" s="322"/>
      <c r="AJ86" s="322"/>
      <c r="AK86" s="322"/>
      <c r="AL86" s="322"/>
      <c r="AM86" s="322"/>
      <c r="AN86" s="322"/>
      <c r="AO86" s="322"/>
      <c r="AP86" s="322"/>
      <c r="AQ86" s="322"/>
      <c r="AR86" s="322"/>
      <c r="AS86" s="322"/>
      <c r="AT86" s="322"/>
      <c r="AU86" s="322"/>
      <c r="AV86" s="322"/>
      <c r="AW86" s="322"/>
      <c r="AX86" s="322"/>
      <c r="AY86" s="322"/>
      <c r="AZ86" s="322"/>
      <c r="BA86" s="322"/>
      <c r="BB86" s="322"/>
      <c r="BC86" s="322"/>
      <c r="BD86" s="322"/>
      <c r="BE86" s="322"/>
      <c r="BF86" s="322"/>
      <c r="BG86" s="322"/>
      <c r="BH86" s="322"/>
      <c r="BI86" s="322"/>
      <c r="BJ86" s="322"/>
      <c r="BK86" s="322"/>
      <c r="BL86" s="322"/>
      <c r="BM86" s="322"/>
      <c r="BN86" s="322"/>
      <c r="BO86" s="322"/>
      <c r="BP86" s="322"/>
      <c r="BQ86" s="322"/>
      <c r="BR86" s="322"/>
      <c r="BS86" s="322"/>
      <c r="BT86" s="322"/>
      <c r="BU86" s="322"/>
      <c r="BV86" s="322"/>
      <c r="BW86" s="322"/>
      <c r="BX86" s="322"/>
      <c r="BY86" s="322"/>
      <c r="BZ86" s="322"/>
      <c r="CA86" s="322"/>
      <c r="CB86" s="322"/>
      <c r="CC86" s="322"/>
      <c r="CD86" s="322"/>
      <c r="CE86" s="436"/>
      <c r="CF86" s="436"/>
      <c r="CG86" s="436"/>
      <c r="CH86" s="436"/>
      <c r="CI86" s="436"/>
      <c r="CJ86" s="436"/>
      <c r="CK86" s="436"/>
      <c r="CL86" s="436"/>
      <c r="CM86" s="436"/>
      <c r="CN86" s="436"/>
      <c r="CO86" s="436"/>
      <c r="CP86" s="436"/>
      <c r="CQ86" s="436"/>
      <c r="CR86" s="436"/>
      <c r="CS86" s="436"/>
      <c r="CT86" s="436"/>
      <c r="CU86" s="436"/>
      <c r="CV86" s="436"/>
      <c r="CW86" s="436"/>
      <c r="CX86" s="436"/>
      <c r="CY86" s="436"/>
      <c r="CZ86" s="436"/>
      <c r="DA86" s="436"/>
      <c r="DB86" s="436"/>
      <c r="DC86" s="322"/>
      <c r="DD86" s="322"/>
      <c r="DE86" s="436"/>
      <c r="DF86" s="436"/>
      <c r="DG86" s="436"/>
      <c r="DH86" s="436"/>
      <c r="DI86" s="436"/>
      <c r="DJ86" s="436"/>
      <c r="DK86" s="436"/>
      <c r="DL86" s="436"/>
      <c r="DM86" s="436"/>
      <c r="DN86" s="436"/>
      <c r="DO86" s="436"/>
      <c r="DP86" s="436"/>
      <c r="DQ86" s="436"/>
      <c r="DR86" s="436"/>
      <c r="DS86" s="436"/>
      <c r="DT86" s="436"/>
      <c r="DU86" s="436"/>
      <c r="DV86" s="436"/>
      <c r="DW86" s="436"/>
      <c r="DX86" s="436"/>
      <c r="DY86" s="436"/>
      <c r="DZ86" s="436"/>
      <c r="EA86" s="436"/>
      <c r="EB86" s="436"/>
      <c r="EC86" s="322"/>
      <c r="ED86" s="322"/>
      <c r="EE86" s="436"/>
      <c r="EF86" s="436"/>
      <c r="EG86" s="436"/>
      <c r="EH86" s="436"/>
      <c r="EI86" s="436"/>
      <c r="EJ86" s="436"/>
      <c r="EK86" s="436"/>
      <c r="EL86" s="436"/>
      <c r="EM86" s="436"/>
      <c r="EN86" s="436"/>
      <c r="EO86" s="436"/>
      <c r="EP86" s="436"/>
      <c r="EQ86" s="436"/>
      <c r="ER86" s="436"/>
      <c r="ES86" s="436"/>
      <c r="ET86" s="436"/>
      <c r="EU86" s="436"/>
      <c r="EV86" s="436"/>
      <c r="EW86" s="436"/>
      <c r="EX86" s="436"/>
      <c r="EY86" s="436"/>
      <c r="EZ86" s="436"/>
      <c r="FA86" s="436"/>
      <c r="FB86" s="436"/>
      <c r="FC86" s="322"/>
      <c r="FD86" s="322"/>
      <c r="FE86" s="436"/>
      <c r="FF86" s="436"/>
      <c r="FG86" s="436"/>
      <c r="FH86" s="436"/>
      <c r="FI86" s="436"/>
      <c r="FJ86" s="436"/>
      <c r="FK86" s="436"/>
      <c r="FL86" s="436"/>
      <c r="FM86" s="436"/>
      <c r="FN86" s="436"/>
      <c r="FO86" s="436"/>
      <c r="FP86" s="436"/>
      <c r="FQ86" s="436"/>
      <c r="FR86" s="436"/>
      <c r="FS86" s="436"/>
      <c r="FT86" s="436"/>
      <c r="FU86" s="436"/>
      <c r="FV86" s="436"/>
      <c r="FW86" s="436"/>
      <c r="FX86" s="436"/>
      <c r="FY86" s="436"/>
      <c r="FZ86" s="436"/>
      <c r="GA86" s="436"/>
      <c r="GB86" s="436"/>
      <c r="GC86" s="322"/>
      <c r="GD86" s="322"/>
      <c r="GE86" s="436"/>
      <c r="GF86" s="436"/>
      <c r="GG86" s="436"/>
      <c r="GH86" s="436"/>
      <c r="GI86" s="436"/>
      <c r="GJ86" s="436"/>
      <c r="GK86" s="436"/>
      <c r="GL86" s="436"/>
      <c r="GM86" s="436"/>
      <c r="GN86" s="436"/>
      <c r="GO86" s="436"/>
      <c r="GP86" s="436"/>
      <c r="GQ86" s="436"/>
      <c r="GR86" s="436"/>
      <c r="GS86" s="436"/>
      <c r="GT86" s="436"/>
      <c r="GU86" s="436"/>
      <c r="GV86" s="436"/>
      <c r="GW86" s="436"/>
      <c r="GX86" s="436"/>
      <c r="GY86" s="436"/>
      <c r="GZ86" s="436"/>
      <c r="HA86" s="436"/>
      <c r="HB86" s="436"/>
      <c r="HC86" s="322"/>
      <c r="HD86" s="322"/>
      <c r="HE86" s="322"/>
      <c r="HF86" s="322"/>
      <c r="HH86" s="448"/>
      <c r="HI86" s="449"/>
      <c r="HJ86" s="448"/>
    </row>
    <row r="87" spans="2:218" x14ac:dyDescent="0.2">
      <c r="B87" s="313" t="s">
        <v>458</v>
      </c>
      <c r="C87" s="322">
        <v>9000000</v>
      </c>
      <c r="D87" s="447">
        <v>0</v>
      </c>
      <c r="E87" s="322"/>
      <c r="F87" s="322"/>
      <c r="G87" s="322"/>
      <c r="H87" s="322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  <c r="AA87" s="322"/>
      <c r="AB87" s="322"/>
      <c r="AC87" s="322">
        <f t="shared" ref="AC87:AD91" si="102">E87+G87+I87+K87+M87+O87+Q87+S87+U87+W87+Y87+AA87</f>
        <v>0</v>
      </c>
      <c r="AD87" s="322">
        <f t="shared" si="102"/>
        <v>0</v>
      </c>
      <c r="AE87" s="322"/>
      <c r="AF87" s="322"/>
      <c r="AG87" s="322"/>
      <c r="AH87" s="322"/>
      <c r="AI87" s="322"/>
      <c r="AJ87" s="322"/>
      <c r="AK87" s="322"/>
      <c r="AL87" s="322"/>
      <c r="AM87" s="322"/>
      <c r="AN87" s="322"/>
      <c r="AO87" s="322"/>
      <c r="AP87" s="322"/>
      <c r="AQ87" s="322"/>
      <c r="AR87" s="322"/>
      <c r="AS87" s="322"/>
      <c r="AT87" s="322"/>
      <c r="AU87" s="322"/>
      <c r="AV87" s="322"/>
      <c r="AW87" s="322"/>
      <c r="AX87" s="322"/>
      <c r="AY87" s="322"/>
      <c r="AZ87" s="322"/>
      <c r="BA87" s="322"/>
      <c r="BB87" s="322"/>
      <c r="BC87" s="322">
        <f t="shared" ref="BC87:BD91" si="103">AE87+AG87+AI87+AK87+AM87+AO87+AQ87+AS87+AU87+AW87+AY87+BA87</f>
        <v>0</v>
      </c>
      <c r="BD87" s="322">
        <f t="shared" si="103"/>
        <v>0</v>
      </c>
      <c r="BE87" s="322"/>
      <c r="BF87" s="322">
        <f>$C87*BE87</f>
        <v>0</v>
      </c>
      <c r="BG87" s="322"/>
      <c r="BH87" s="322"/>
      <c r="BI87" s="322"/>
      <c r="BJ87" s="322"/>
      <c r="BK87" s="322"/>
      <c r="BL87" s="322"/>
      <c r="BM87" s="322"/>
      <c r="BN87" s="322">
        <f>$C87*BM87</f>
        <v>0</v>
      </c>
      <c r="BO87" s="322"/>
      <c r="BP87" s="322"/>
      <c r="BQ87" s="322"/>
      <c r="BR87" s="322"/>
      <c r="BS87" s="322"/>
      <c r="BT87" s="322"/>
      <c r="BU87" s="322"/>
      <c r="BV87" s="322">
        <f>$C87*BU87</f>
        <v>0</v>
      </c>
      <c r="BW87" s="322"/>
      <c r="BX87" s="322"/>
      <c r="BY87" s="322"/>
      <c r="BZ87" s="322"/>
      <c r="CA87" s="322"/>
      <c r="CB87" s="322"/>
      <c r="CC87" s="322">
        <f t="shared" ref="CC87:CD91" si="104">BE87+BG87+BI87+BK87+BM87+BO87+BQ87+BS87+BU87+BW87+BY87+CA87</f>
        <v>0</v>
      </c>
      <c r="CD87" s="322">
        <f t="shared" si="104"/>
        <v>0</v>
      </c>
      <c r="CE87" s="322"/>
      <c r="CF87" s="322">
        <f>$C87*CE87</f>
        <v>0</v>
      </c>
      <c r="CG87" s="322"/>
      <c r="CH87" s="322"/>
      <c r="CI87" s="322"/>
      <c r="CJ87" s="322"/>
      <c r="CK87" s="322"/>
      <c r="CL87" s="322"/>
      <c r="CM87" s="322"/>
      <c r="CN87" s="322">
        <f>$C87*CM87</f>
        <v>0</v>
      </c>
      <c r="CO87" s="322"/>
      <c r="CP87" s="322"/>
      <c r="CQ87" s="322"/>
      <c r="CR87" s="322"/>
      <c r="CS87" s="322"/>
      <c r="CT87" s="322"/>
      <c r="CU87" s="322"/>
      <c r="CV87" s="322">
        <f>$C87*CU87</f>
        <v>0</v>
      </c>
      <c r="CW87" s="322"/>
      <c r="CX87" s="322"/>
      <c r="CY87" s="322"/>
      <c r="CZ87" s="322"/>
      <c r="DA87" s="322"/>
      <c r="DB87" s="322"/>
      <c r="DC87" s="322">
        <f t="shared" ref="DC87:DD91" si="105">CE87+CG87+CI87+CK87+CM87+CO87+CQ87+CS87+CU87+CW87+CY87+DA87</f>
        <v>0</v>
      </c>
      <c r="DD87" s="322">
        <f t="shared" si="105"/>
        <v>0</v>
      </c>
      <c r="DE87" s="436"/>
      <c r="DF87" s="322">
        <f>$C87*DE87</f>
        <v>0</v>
      </c>
      <c r="DG87" s="436"/>
      <c r="DH87" s="436"/>
      <c r="DI87" s="436"/>
      <c r="DJ87" s="436"/>
      <c r="DK87" s="436"/>
      <c r="DL87" s="436"/>
      <c r="DM87" s="436"/>
      <c r="DN87" s="322">
        <f>$C87*DM87</f>
        <v>0</v>
      </c>
      <c r="DO87" s="436"/>
      <c r="DP87" s="436"/>
      <c r="DQ87" s="436"/>
      <c r="DR87" s="436"/>
      <c r="DS87" s="436"/>
      <c r="DT87" s="436"/>
      <c r="DU87" s="436"/>
      <c r="DV87" s="322">
        <f>$C87*DU87</f>
        <v>0</v>
      </c>
      <c r="DW87" s="436"/>
      <c r="DX87" s="436"/>
      <c r="DY87" s="436"/>
      <c r="DZ87" s="436"/>
      <c r="EA87" s="436"/>
      <c r="EB87" s="436"/>
      <c r="EC87" s="322">
        <f t="shared" ref="EC87:ED91" si="106">DE87+DG87+DI87+DK87+DM87+DO87+DQ87+DS87+DU87+DW87+DY87+EA87</f>
        <v>0</v>
      </c>
      <c r="ED87" s="322">
        <f t="shared" si="106"/>
        <v>0</v>
      </c>
      <c r="EE87" s="436"/>
      <c r="EF87" s="322">
        <f>$C87*EE87</f>
        <v>0</v>
      </c>
      <c r="EG87" s="436"/>
      <c r="EH87" s="436"/>
      <c r="EI87" s="436"/>
      <c r="EJ87" s="436"/>
      <c r="EK87" s="436"/>
      <c r="EL87" s="436"/>
      <c r="EM87" s="436"/>
      <c r="EN87" s="322">
        <f>$C87*EM87</f>
        <v>0</v>
      </c>
      <c r="EO87" s="436"/>
      <c r="EP87" s="436"/>
      <c r="EQ87" s="436"/>
      <c r="ER87" s="436"/>
      <c r="ES87" s="436"/>
      <c r="ET87" s="436"/>
      <c r="EU87" s="436"/>
      <c r="EV87" s="322">
        <f>$C87*EU87</f>
        <v>0</v>
      </c>
      <c r="EW87" s="436"/>
      <c r="EX87" s="436"/>
      <c r="EY87" s="436"/>
      <c r="EZ87" s="436"/>
      <c r="FA87" s="436"/>
      <c r="FB87" s="436"/>
      <c r="FC87" s="322">
        <f t="shared" ref="FC87:FD91" si="107">EE87+EG87+EI87+EK87+EM87+EO87+EQ87+ES87+EU87+EW87+EY87+FA87</f>
        <v>0</v>
      </c>
      <c r="FD87" s="322">
        <f t="shared" si="107"/>
        <v>0</v>
      </c>
      <c r="FE87" s="436"/>
      <c r="FF87" s="436"/>
      <c r="FG87" s="436"/>
      <c r="FH87" s="436"/>
      <c r="FI87" s="436"/>
      <c r="FJ87" s="436"/>
      <c r="FK87" s="436"/>
      <c r="FL87" s="436"/>
      <c r="FM87" s="436"/>
      <c r="FN87" s="436"/>
      <c r="FO87" s="436"/>
      <c r="FP87" s="436"/>
      <c r="FQ87" s="436"/>
      <c r="FR87" s="436"/>
      <c r="FS87" s="436"/>
      <c r="FT87" s="436"/>
      <c r="FU87" s="436"/>
      <c r="FV87" s="436"/>
      <c r="FW87" s="436"/>
      <c r="FX87" s="436"/>
      <c r="FY87" s="436"/>
      <c r="FZ87" s="436"/>
      <c r="GA87" s="436"/>
      <c r="GB87" s="436"/>
      <c r="GC87" s="322">
        <f t="shared" ref="GC87:GD91" si="108">FE87+FG87+FI87+FK87+FM87+FO87+FQ87+FS87+FU87+FW87+FY87+GA87</f>
        <v>0</v>
      </c>
      <c r="GD87" s="322">
        <f t="shared" si="108"/>
        <v>0</v>
      </c>
      <c r="GE87" s="436"/>
      <c r="GF87" s="436"/>
      <c r="GG87" s="436"/>
      <c r="GH87" s="436"/>
      <c r="GI87" s="436"/>
      <c r="GJ87" s="436"/>
      <c r="GK87" s="436"/>
      <c r="GL87" s="436"/>
      <c r="GM87" s="436"/>
      <c r="GN87" s="436"/>
      <c r="GO87" s="436"/>
      <c r="GP87" s="436"/>
      <c r="GQ87" s="436"/>
      <c r="GR87" s="436"/>
      <c r="GS87" s="436"/>
      <c r="GT87" s="436"/>
      <c r="GU87" s="436"/>
      <c r="GV87" s="436"/>
      <c r="GW87" s="436"/>
      <c r="GX87" s="436"/>
      <c r="GY87" s="436"/>
      <c r="GZ87" s="436"/>
      <c r="HA87" s="436"/>
      <c r="HB87" s="436"/>
      <c r="HC87" s="322">
        <f t="shared" ref="HC87:HD91" si="109">GE87+GG87+GI87+GK87+GM87+GO87+GQ87+GS87+GU87+GW87+GY87+HA87</f>
        <v>0</v>
      </c>
      <c r="HD87" s="322">
        <f t="shared" si="109"/>
        <v>0</v>
      </c>
      <c r="HE87" s="322">
        <f t="shared" ref="HE87:HF91" si="110">AC87+BC87+CC87+DC87+EC87+FC87+GC87+HC87</f>
        <v>0</v>
      </c>
      <c r="HF87" s="322">
        <f t="shared" si="110"/>
        <v>0</v>
      </c>
      <c r="HH87" s="448"/>
      <c r="HI87" s="449"/>
      <c r="HJ87" s="448"/>
    </row>
    <row r="88" spans="2:218" x14ac:dyDescent="0.2">
      <c r="B88" s="313" t="s">
        <v>459</v>
      </c>
      <c r="C88" s="322">
        <v>840000</v>
      </c>
      <c r="D88" s="447">
        <v>0</v>
      </c>
      <c r="E88" s="322"/>
      <c r="F88" s="322"/>
      <c r="G88" s="322"/>
      <c r="H88" s="322"/>
      <c r="I88" s="322"/>
      <c r="J88" s="322"/>
      <c r="K88" s="322"/>
      <c r="L88" s="322"/>
      <c r="M88" s="322"/>
      <c r="N88" s="322"/>
      <c r="O88" s="322"/>
      <c r="P88" s="322"/>
      <c r="Q88" s="322"/>
      <c r="R88" s="322"/>
      <c r="S88" s="322"/>
      <c r="T88" s="322"/>
      <c r="U88" s="322"/>
      <c r="V88" s="322"/>
      <c r="W88" s="322"/>
      <c r="X88" s="322"/>
      <c r="Y88" s="322"/>
      <c r="Z88" s="322"/>
      <c r="AA88" s="322"/>
      <c r="AB88" s="322"/>
      <c r="AC88" s="322">
        <f t="shared" si="102"/>
        <v>0</v>
      </c>
      <c r="AD88" s="322">
        <f t="shared" si="102"/>
        <v>0</v>
      </c>
      <c r="AE88" s="322"/>
      <c r="AF88" s="322"/>
      <c r="AG88" s="322"/>
      <c r="AH88" s="322"/>
      <c r="AI88" s="322"/>
      <c r="AJ88" s="322"/>
      <c r="AK88" s="322"/>
      <c r="AL88" s="322"/>
      <c r="AM88" s="322"/>
      <c r="AN88" s="322"/>
      <c r="AO88" s="322"/>
      <c r="AP88" s="322"/>
      <c r="AQ88" s="322"/>
      <c r="AR88" s="322"/>
      <c r="AS88" s="322"/>
      <c r="AT88" s="322"/>
      <c r="AU88" s="322"/>
      <c r="AV88" s="322"/>
      <c r="AW88" s="322"/>
      <c r="AX88" s="322"/>
      <c r="AY88" s="322"/>
      <c r="AZ88" s="322"/>
      <c r="BA88" s="322"/>
      <c r="BB88" s="322"/>
      <c r="BC88" s="322">
        <f t="shared" si="103"/>
        <v>0</v>
      </c>
      <c r="BD88" s="322">
        <f t="shared" si="103"/>
        <v>0</v>
      </c>
      <c r="BE88" s="322"/>
      <c r="BF88" s="322">
        <f>$C88*BE88</f>
        <v>0</v>
      </c>
      <c r="BG88" s="322"/>
      <c r="BH88" s="322"/>
      <c r="BI88" s="322"/>
      <c r="BJ88" s="322"/>
      <c r="BK88" s="322"/>
      <c r="BL88" s="322"/>
      <c r="BM88" s="322"/>
      <c r="BN88" s="322">
        <f>$C88*BM88</f>
        <v>0</v>
      </c>
      <c r="BO88" s="322"/>
      <c r="BP88" s="322"/>
      <c r="BQ88" s="322"/>
      <c r="BR88" s="322"/>
      <c r="BS88" s="322"/>
      <c r="BT88" s="322"/>
      <c r="BU88" s="322"/>
      <c r="BV88" s="322">
        <f>$C88*BU88</f>
        <v>0</v>
      </c>
      <c r="BW88" s="322"/>
      <c r="BX88" s="322"/>
      <c r="BY88" s="322"/>
      <c r="BZ88" s="322"/>
      <c r="CA88" s="322"/>
      <c r="CB88" s="322"/>
      <c r="CC88" s="322">
        <f t="shared" si="104"/>
        <v>0</v>
      </c>
      <c r="CD88" s="322">
        <f t="shared" si="104"/>
        <v>0</v>
      </c>
      <c r="CE88" s="322"/>
      <c r="CF88" s="322">
        <f>$C88*CE88</f>
        <v>0</v>
      </c>
      <c r="CG88" s="322"/>
      <c r="CH88" s="322"/>
      <c r="CI88" s="322"/>
      <c r="CJ88" s="322"/>
      <c r="CK88" s="322"/>
      <c r="CL88" s="322"/>
      <c r="CM88" s="322"/>
      <c r="CN88" s="322">
        <f>$C88*CM88</f>
        <v>0</v>
      </c>
      <c r="CO88" s="322"/>
      <c r="CP88" s="322"/>
      <c r="CQ88" s="322"/>
      <c r="CR88" s="322"/>
      <c r="CS88" s="322"/>
      <c r="CT88" s="322"/>
      <c r="CU88" s="322"/>
      <c r="CV88" s="322">
        <f>$C88*CU88</f>
        <v>0</v>
      </c>
      <c r="CW88" s="322"/>
      <c r="CX88" s="322"/>
      <c r="CY88" s="322"/>
      <c r="CZ88" s="322"/>
      <c r="DA88" s="322"/>
      <c r="DB88" s="322"/>
      <c r="DC88" s="322">
        <f t="shared" si="105"/>
        <v>0</v>
      </c>
      <c r="DD88" s="322">
        <f t="shared" si="105"/>
        <v>0</v>
      </c>
      <c r="DE88" s="436"/>
      <c r="DF88" s="322">
        <f>$C88*DE88</f>
        <v>0</v>
      </c>
      <c r="DG88" s="436"/>
      <c r="DH88" s="436"/>
      <c r="DI88" s="436"/>
      <c r="DJ88" s="436"/>
      <c r="DK88" s="436"/>
      <c r="DL88" s="436"/>
      <c r="DM88" s="436"/>
      <c r="DN88" s="322">
        <f>$C88*DM88</f>
        <v>0</v>
      </c>
      <c r="DO88" s="436"/>
      <c r="DP88" s="436"/>
      <c r="DQ88" s="436"/>
      <c r="DR88" s="436"/>
      <c r="DS88" s="436"/>
      <c r="DT88" s="436"/>
      <c r="DU88" s="436"/>
      <c r="DV88" s="322">
        <f>$C88*DU88</f>
        <v>0</v>
      </c>
      <c r="DW88" s="436"/>
      <c r="DX88" s="436"/>
      <c r="DY88" s="436"/>
      <c r="DZ88" s="436"/>
      <c r="EA88" s="436"/>
      <c r="EB88" s="436"/>
      <c r="EC88" s="322">
        <f t="shared" si="106"/>
        <v>0</v>
      </c>
      <c r="ED88" s="322">
        <f t="shared" si="106"/>
        <v>0</v>
      </c>
      <c r="EE88" s="436"/>
      <c r="EF88" s="322">
        <f>$C88*EE88</f>
        <v>0</v>
      </c>
      <c r="EG88" s="436"/>
      <c r="EH88" s="436"/>
      <c r="EI88" s="436"/>
      <c r="EJ88" s="436"/>
      <c r="EK88" s="436"/>
      <c r="EL88" s="436"/>
      <c r="EM88" s="436"/>
      <c r="EN88" s="322">
        <f>$C88*EM88</f>
        <v>0</v>
      </c>
      <c r="EO88" s="436"/>
      <c r="EP88" s="436"/>
      <c r="EQ88" s="436"/>
      <c r="ER88" s="436"/>
      <c r="ES88" s="436"/>
      <c r="ET88" s="436"/>
      <c r="EU88" s="436"/>
      <c r="EV88" s="436"/>
      <c r="EW88" s="436"/>
      <c r="EX88" s="436"/>
      <c r="EY88" s="436"/>
      <c r="EZ88" s="436"/>
      <c r="FA88" s="436"/>
      <c r="FB88" s="436"/>
      <c r="FC88" s="322">
        <f t="shared" si="107"/>
        <v>0</v>
      </c>
      <c r="FD88" s="322">
        <f t="shared" si="107"/>
        <v>0</v>
      </c>
      <c r="FE88" s="436"/>
      <c r="FF88" s="436"/>
      <c r="FG88" s="436"/>
      <c r="FH88" s="436"/>
      <c r="FI88" s="436"/>
      <c r="FJ88" s="436"/>
      <c r="FK88" s="436"/>
      <c r="FL88" s="436"/>
      <c r="FM88" s="436"/>
      <c r="FN88" s="436"/>
      <c r="FO88" s="436"/>
      <c r="FP88" s="436"/>
      <c r="FQ88" s="436"/>
      <c r="FR88" s="436"/>
      <c r="FS88" s="436"/>
      <c r="FT88" s="436"/>
      <c r="FU88" s="436"/>
      <c r="FV88" s="436"/>
      <c r="FW88" s="436"/>
      <c r="FX88" s="436"/>
      <c r="FY88" s="436"/>
      <c r="FZ88" s="436"/>
      <c r="GA88" s="436"/>
      <c r="GB88" s="436"/>
      <c r="GC88" s="322">
        <f t="shared" si="108"/>
        <v>0</v>
      </c>
      <c r="GD88" s="322">
        <f t="shared" si="108"/>
        <v>0</v>
      </c>
      <c r="GE88" s="436"/>
      <c r="GF88" s="436"/>
      <c r="GG88" s="436"/>
      <c r="GH88" s="436"/>
      <c r="GI88" s="436"/>
      <c r="GJ88" s="436"/>
      <c r="GK88" s="436"/>
      <c r="GL88" s="436"/>
      <c r="GM88" s="436"/>
      <c r="GN88" s="436"/>
      <c r="GO88" s="436"/>
      <c r="GP88" s="436"/>
      <c r="GQ88" s="436"/>
      <c r="GR88" s="436"/>
      <c r="GS88" s="436"/>
      <c r="GT88" s="436"/>
      <c r="GU88" s="436"/>
      <c r="GV88" s="436"/>
      <c r="GW88" s="436"/>
      <c r="GX88" s="436"/>
      <c r="GY88" s="436"/>
      <c r="GZ88" s="436"/>
      <c r="HA88" s="436"/>
      <c r="HB88" s="436"/>
      <c r="HC88" s="322">
        <f t="shared" si="109"/>
        <v>0</v>
      </c>
      <c r="HD88" s="322">
        <f t="shared" si="109"/>
        <v>0</v>
      </c>
      <c r="HE88" s="322">
        <f t="shared" si="110"/>
        <v>0</v>
      </c>
      <c r="HF88" s="322">
        <f t="shared" si="110"/>
        <v>0</v>
      </c>
      <c r="HH88" s="448"/>
      <c r="HI88" s="449"/>
      <c r="HJ88" s="448"/>
    </row>
    <row r="89" spans="2:218" x14ac:dyDescent="0.2">
      <c r="B89" s="313" t="s">
        <v>460</v>
      </c>
      <c r="C89" s="322">
        <v>24000000</v>
      </c>
      <c r="D89" s="447"/>
      <c r="E89" s="322"/>
      <c r="F89" s="322"/>
      <c r="G89" s="322"/>
      <c r="H89" s="322"/>
      <c r="I89" s="322"/>
      <c r="J89" s="322"/>
      <c r="K89" s="322"/>
      <c r="L89" s="322"/>
      <c r="M89" s="322"/>
      <c r="N89" s="322"/>
      <c r="O89" s="322"/>
      <c r="P89" s="322"/>
      <c r="Q89" s="322"/>
      <c r="R89" s="322"/>
      <c r="S89" s="322"/>
      <c r="T89" s="322"/>
      <c r="U89" s="322"/>
      <c r="V89" s="322"/>
      <c r="W89" s="322"/>
      <c r="X89" s="322"/>
      <c r="Y89" s="322"/>
      <c r="Z89" s="322"/>
      <c r="AA89" s="322"/>
      <c r="AB89" s="322"/>
      <c r="AC89" s="322">
        <f t="shared" si="102"/>
        <v>0</v>
      </c>
      <c r="AD89" s="322">
        <f t="shared" si="102"/>
        <v>0</v>
      </c>
      <c r="AE89" s="322"/>
      <c r="AF89" s="322"/>
      <c r="AG89" s="322"/>
      <c r="AH89" s="322"/>
      <c r="AI89" s="322"/>
      <c r="AJ89" s="322"/>
      <c r="AK89" s="322"/>
      <c r="AL89" s="322"/>
      <c r="AM89" s="322"/>
      <c r="AN89" s="322"/>
      <c r="AO89" s="322"/>
      <c r="AP89" s="322"/>
      <c r="AQ89" s="322"/>
      <c r="AR89" s="322"/>
      <c r="AS89" s="322"/>
      <c r="AT89" s="322"/>
      <c r="AU89" s="322"/>
      <c r="AV89" s="322"/>
      <c r="AW89" s="322"/>
      <c r="AX89" s="322"/>
      <c r="AY89" s="322"/>
      <c r="AZ89" s="322"/>
      <c r="BA89" s="322"/>
      <c r="BB89" s="322"/>
      <c r="BC89" s="322">
        <f t="shared" si="103"/>
        <v>0</v>
      </c>
      <c r="BD89" s="322">
        <f t="shared" si="103"/>
        <v>0</v>
      </c>
      <c r="BE89" s="322"/>
      <c r="BF89" s="322"/>
      <c r="BG89" s="322"/>
      <c r="BH89" s="322"/>
      <c r="BI89" s="322"/>
      <c r="BJ89" s="322"/>
      <c r="BK89" s="322"/>
      <c r="BL89" s="322"/>
      <c r="BM89" s="322"/>
      <c r="BN89" s="322">
        <f>$C89*BM89</f>
        <v>0</v>
      </c>
      <c r="BO89" s="322"/>
      <c r="BP89" s="322"/>
      <c r="BQ89" s="322"/>
      <c r="BR89" s="322"/>
      <c r="BS89" s="322"/>
      <c r="BT89" s="322"/>
      <c r="BU89" s="322"/>
      <c r="BV89" s="322">
        <f>$C89*BU89</f>
        <v>0</v>
      </c>
      <c r="BW89" s="322"/>
      <c r="BX89" s="322"/>
      <c r="BY89" s="322"/>
      <c r="BZ89" s="322"/>
      <c r="CA89" s="322"/>
      <c r="CB89" s="322"/>
      <c r="CC89" s="322">
        <f t="shared" si="104"/>
        <v>0</v>
      </c>
      <c r="CD89" s="322">
        <f t="shared" si="104"/>
        <v>0</v>
      </c>
      <c r="CE89" s="322"/>
      <c r="CF89" s="322"/>
      <c r="CG89" s="322"/>
      <c r="CH89" s="322"/>
      <c r="CI89" s="322"/>
      <c r="CJ89" s="322"/>
      <c r="CK89" s="322"/>
      <c r="CL89" s="322"/>
      <c r="CM89" s="322"/>
      <c r="CN89" s="322">
        <f>$C89*CM89</f>
        <v>0</v>
      </c>
      <c r="CO89" s="322"/>
      <c r="CP89" s="322"/>
      <c r="CQ89" s="322"/>
      <c r="CR89" s="322"/>
      <c r="CS89" s="322"/>
      <c r="CT89" s="322"/>
      <c r="CU89" s="322"/>
      <c r="CV89" s="322">
        <f>$C89*CU89</f>
        <v>0</v>
      </c>
      <c r="CW89" s="322"/>
      <c r="CX89" s="322"/>
      <c r="CY89" s="322"/>
      <c r="CZ89" s="322"/>
      <c r="DA89" s="322"/>
      <c r="DB89" s="322"/>
      <c r="DC89" s="322">
        <f t="shared" si="105"/>
        <v>0</v>
      </c>
      <c r="DD89" s="322">
        <f t="shared" si="105"/>
        <v>0</v>
      </c>
      <c r="DE89" s="436"/>
      <c r="DF89" s="436"/>
      <c r="DG89" s="436"/>
      <c r="DH89" s="436"/>
      <c r="DI89" s="436"/>
      <c r="DJ89" s="436"/>
      <c r="DK89" s="436"/>
      <c r="DL89" s="436"/>
      <c r="DM89" s="436"/>
      <c r="DN89" s="322">
        <f>$C89*DM89</f>
        <v>0</v>
      </c>
      <c r="DO89" s="436"/>
      <c r="DP89" s="436"/>
      <c r="DQ89" s="436"/>
      <c r="DR89" s="436"/>
      <c r="DS89" s="436"/>
      <c r="DT89" s="436"/>
      <c r="DU89" s="436"/>
      <c r="DV89" s="322">
        <f>$C89*DU89</f>
        <v>0</v>
      </c>
      <c r="DW89" s="436"/>
      <c r="DX89" s="436"/>
      <c r="DY89" s="436"/>
      <c r="DZ89" s="436"/>
      <c r="EA89" s="436"/>
      <c r="EB89" s="436"/>
      <c r="EC89" s="322">
        <f t="shared" si="106"/>
        <v>0</v>
      </c>
      <c r="ED89" s="322">
        <f t="shared" si="106"/>
        <v>0</v>
      </c>
      <c r="EE89" s="436"/>
      <c r="EF89" s="436"/>
      <c r="EG89" s="436"/>
      <c r="EH89" s="436"/>
      <c r="EI89" s="436"/>
      <c r="EJ89" s="436"/>
      <c r="EK89" s="436"/>
      <c r="EL89" s="436"/>
      <c r="EM89" s="436"/>
      <c r="EN89" s="436"/>
      <c r="EO89" s="436"/>
      <c r="EP89" s="436"/>
      <c r="EQ89" s="436"/>
      <c r="ER89" s="436"/>
      <c r="ES89" s="436"/>
      <c r="ET89" s="436"/>
      <c r="EU89" s="436"/>
      <c r="EV89" s="436"/>
      <c r="EW89" s="436"/>
      <c r="EX89" s="436"/>
      <c r="EY89" s="436"/>
      <c r="EZ89" s="436"/>
      <c r="FA89" s="436"/>
      <c r="FB89" s="436"/>
      <c r="FC89" s="322">
        <f t="shared" si="107"/>
        <v>0</v>
      </c>
      <c r="FD89" s="322">
        <f t="shared" si="107"/>
        <v>0</v>
      </c>
      <c r="FE89" s="436"/>
      <c r="FF89" s="436"/>
      <c r="FG89" s="436"/>
      <c r="FH89" s="436"/>
      <c r="FI89" s="436"/>
      <c r="FJ89" s="436"/>
      <c r="FK89" s="436"/>
      <c r="FL89" s="436"/>
      <c r="FM89" s="436"/>
      <c r="FN89" s="436"/>
      <c r="FO89" s="436"/>
      <c r="FP89" s="436"/>
      <c r="FQ89" s="436"/>
      <c r="FR89" s="436"/>
      <c r="FS89" s="436"/>
      <c r="FT89" s="436"/>
      <c r="FU89" s="436"/>
      <c r="FV89" s="436"/>
      <c r="FW89" s="436"/>
      <c r="FX89" s="436"/>
      <c r="FY89" s="436"/>
      <c r="FZ89" s="436"/>
      <c r="GA89" s="436"/>
      <c r="GB89" s="436"/>
      <c r="GC89" s="322">
        <f t="shared" si="108"/>
        <v>0</v>
      </c>
      <c r="GD89" s="322">
        <f t="shared" si="108"/>
        <v>0</v>
      </c>
      <c r="GE89" s="436"/>
      <c r="GF89" s="436"/>
      <c r="GG89" s="436"/>
      <c r="GH89" s="436"/>
      <c r="GI89" s="436"/>
      <c r="GJ89" s="436"/>
      <c r="GK89" s="436"/>
      <c r="GL89" s="436"/>
      <c r="GM89" s="436"/>
      <c r="GN89" s="436"/>
      <c r="GO89" s="436"/>
      <c r="GP89" s="436"/>
      <c r="GQ89" s="436"/>
      <c r="GR89" s="436"/>
      <c r="GS89" s="436"/>
      <c r="GT89" s="436"/>
      <c r="GU89" s="436"/>
      <c r="GV89" s="436"/>
      <c r="GW89" s="436"/>
      <c r="GX89" s="436"/>
      <c r="GY89" s="436"/>
      <c r="GZ89" s="436"/>
      <c r="HA89" s="436"/>
      <c r="HB89" s="436"/>
      <c r="HC89" s="322">
        <f t="shared" si="109"/>
        <v>0</v>
      </c>
      <c r="HD89" s="322">
        <f t="shared" si="109"/>
        <v>0</v>
      </c>
      <c r="HE89" s="322">
        <f t="shared" si="110"/>
        <v>0</v>
      </c>
      <c r="HF89" s="322">
        <f t="shared" si="110"/>
        <v>0</v>
      </c>
      <c r="HH89" s="448"/>
      <c r="HI89" s="449"/>
      <c r="HJ89" s="448"/>
    </row>
    <row r="90" spans="2:218" x14ac:dyDescent="0.2">
      <c r="B90" s="313" t="s">
        <v>461</v>
      </c>
      <c r="C90" s="322">
        <v>4200000</v>
      </c>
      <c r="D90" s="447"/>
      <c r="E90" s="322"/>
      <c r="F90" s="322"/>
      <c r="G90" s="322"/>
      <c r="H90" s="322"/>
      <c r="I90" s="322"/>
      <c r="J90" s="322"/>
      <c r="K90" s="322"/>
      <c r="L90" s="322"/>
      <c r="M90" s="322"/>
      <c r="N90" s="322"/>
      <c r="O90" s="322"/>
      <c r="P90" s="322"/>
      <c r="Q90" s="322"/>
      <c r="R90" s="322"/>
      <c r="S90" s="322"/>
      <c r="T90" s="322"/>
      <c r="U90" s="322"/>
      <c r="V90" s="322"/>
      <c r="W90" s="322"/>
      <c r="X90" s="322"/>
      <c r="Y90" s="322"/>
      <c r="Z90" s="322"/>
      <c r="AA90" s="322"/>
      <c r="AB90" s="322"/>
      <c r="AC90" s="322">
        <f t="shared" si="102"/>
        <v>0</v>
      </c>
      <c r="AD90" s="322">
        <f t="shared" si="102"/>
        <v>0</v>
      </c>
      <c r="AE90" s="322"/>
      <c r="AF90" s="322"/>
      <c r="AG90" s="322"/>
      <c r="AH90" s="322"/>
      <c r="AI90" s="322"/>
      <c r="AJ90" s="322"/>
      <c r="AK90" s="322"/>
      <c r="AL90" s="322"/>
      <c r="AM90" s="322"/>
      <c r="AN90" s="322"/>
      <c r="AO90" s="322"/>
      <c r="AP90" s="322"/>
      <c r="AQ90" s="322"/>
      <c r="AR90" s="322"/>
      <c r="AS90" s="322"/>
      <c r="AT90" s="322"/>
      <c r="AU90" s="322"/>
      <c r="AV90" s="322"/>
      <c r="AW90" s="322"/>
      <c r="AX90" s="322"/>
      <c r="AY90" s="322"/>
      <c r="AZ90" s="322"/>
      <c r="BA90" s="322"/>
      <c r="BB90" s="322"/>
      <c r="BC90" s="322">
        <f t="shared" si="103"/>
        <v>0</v>
      </c>
      <c r="BD90" s="322">
        <f t="shared" si="103"/>
        <v>0</v>
      </c>
      <c r="BE90" s="322"/>
      <c r="BF90" s="322">
        <f>$C90*BE90</f>
        <v>0</v>
      </c>
      <c r="BG90" s="322"/>
      <c r="BH90" s="322"/>
      <c r="BI90" s="322"/>
      <c r="BJ90" s="322"/>
      <c r="BK90" s="322"/>
      <c r="BL90" s="322"/>
      <c r="BM90" s="322"/>
      <c r="BN90" s="322">
        <f>$C90*BM90</f>
        <v>0</v>
      </c>
      <c r="BO90" s="322"/>
      <c r="BP90" s="322"/>
      <c r="BQ90" s="322"/>
      <c r="BR90" s="322"/>
      <c r="BS90" s="322"/>
      <c r="BT90" s="322"/>
      <c r="BU90" s="322"/>
      <c r="BV90" s="322">
        <f>$C90*BU90</f>
        <v>0</v>
      </c>
      <c r="BW90" s="322"/>
      <c r="BX90" s="322"/>
      <c r="BY90" s="322"/>
      <c r="BZ90" s="322"/>
      <c r="CA90" s="322"/>
      <c r="CB90" s="322"/>
      <c r="CC90" s="322">
        <f t="shared" si="104"/>
        <v>0</v>
      </c>
      <c r="CD90" s="322">
        <f t="shared" si="104"/>
        <v>0</v>
      </c>
      <c r="CE90" s="322"/>
      <c r="CF90" s="322">
        <f>$C90*CE90</f>
        <v>0</v>
      </c>
      <c r="CG90" s="322"/>
      <c r="CH90" s="322"/>
      <c r="CI90" s="322"/>
      <c r="CJ90" s="322"/>
      <c r="CK90" s="322"/>
      <c r="CL90" s="322"/>
      <c r="CM90" s="322"/>
      <c r="CN90" s="322">
        <f>$C90*CM90</f>
        <v>0</v>
      </c>
      <c r="CO90" s="322"/>
      <c r="CP90" s="322"/>
      <c r="CQ90" s="322"/>
      <c r="CR90" s="322"/>
      <c r="CS90" s="322"/>
      <c r="CT90" s="322"/>
      <c r="CU90" s="322"/>
      <c r="CV90" s="322"/>
      <c r="CW90" s="322"/>
      <c r="CX90" s="322"/>
      <c r="CY90" s="322"/>
      <c r="CZ90" s="322"/>
      <c r="DA90" s="322"/>
      <c r="DB90" s="322"/>
      <c r="DC90" s="322">
        <f t="shared" si="105"/>
        <v>0</v>
      </c>
      <c r="DD90" s="322">
        <f t="shared" si="105"/>
        <v>0</v>
      </c>
      <c r="DE90" s="436"/>
      <c r="DF90" s="322">
        <f>$C90*DE90</f>
        <v>0</v>
      </c>
      <c r="DG90" s="436"/>
      <c r="DH90" s="436"/>
      <c r="DI90" s="436"/>
      <c r="DJ90" s="436"/>
      <c r="DK90" s="436"/>
      <c r="DL90" s="436"/>
      <c r="DM90" s="436"/>
      <c r="DN90" s="322">
        <f>$C90*DM90</f>
        <v>0</v>
      </c>
      <c r="DO90" s="436"/>
      <c r="DP90" s="436"/>
      <c r="DQ90" s="436"/>
      <c r="DR90" s="436"/>
      <c r="DS90" s="436"/>
      <c r="DT90" s="436"/>
      <c r="DU90" s="436"/>
      <c r="DV90" s="436"/>
      <c r="DW90" s="436"/>
      <c r="DX90" s="436"/>
      <c r="DY90" s="436"/>
      <c r="DZ90" s="436"/>
      <c r="EA90" s="436"/>
      <c r="EB90" s="436"/>
      <c r="EC90" s="322">
        <f t="shared" si="106"/>
        <v>0</v>
      </c>
      <c r="ED90" s="322">
        <f t="shared" si="106"/>
        <v>0</v>
      </c>
      <c r="EE90" s="436"/>
      <c r="EF90" s="436"/>
      <c r="EG90" s="436"/>
      <c r="EH90" s="436"/>
      <c r="EI90" s="436"/>
      <c r="EJ90" s="436"/>
      <c r="EK90" s="436"/>
      <c r="EL90" s="436"/>
      <c r="EM90" s="436"/>
      <c r="EN90" s="436"/>
      <c r="EO90" s="436"/>
      <c r="EP90" s="436"/>
      <c r="EQ90" s="436"/>
      <c r="ER90" s="436"/>
      <c r="ES90" s="436"/>
      <c r="ET90" s="436"/>
      <c r="EU90" s="436"/>
      <c r="EV90" s="436"/>
      <c r="EW90" s="436"/>
      <c r="EX90" s="436"/>
      <c r="EY90" s="436"/>
      <c r="EZ90" s="436"/>
      <c r="FA90" s="436"/>
      <c r="FB90" s="436"/>
      <c r="FC90" s="322">
        <f t="shared" si="107"/>
        <v>0</v>
      </c>
      <c r="FD90" s="322">
        <f t="shared" si="107"/>
        <v>0</v>
      </c>
      <c r="FE90" s="436"/>
      <c r="FF90" s="436"/>
      <c r="FG90" s="436"/>
      <c r="FH90" s="436"/>
      <c r="FI90" s="436"/>
      <c r="FJ90" s="436"/>
      <c r="FK90" s="436"/>
      <c r="FL90" s="436"/>
      <c r="FM90" s="436"/>
      <c r="FN90" s="436"/>
      <c r="FO90" s="436"/>
      <c r="FP90" s="436"/>
      <c r="FQ90" s="436"/>
      <c r="FR90" s="436"/>
      <c r="FS90" s="436"/>
      <c r="FT90" s="436"/>
      <c r="FU90" s="436"/>
      <c r="FV90" s="436"/>
      <c r="FW90" s="436"/>
      <c r="FX90" s="436"/>
      <c r="FY90" s="436"/>
      <c r="FZ90" s="436"/>
      <c r="GA90" s="436"/>
      <c r="GB90" s="436"/>
      <c r="GC90" s="322">
        <f t="shared" si="108"/>
        <v>0</v>
      </c>
      <c r="GD90" s="322">
        <f t="shared" si="108"/>
        <v>0</v>
      </c>
      <c r="GE90" s="436"/>
      <c r="GF90" s="436"/>
      <c r="GG90" s="436"/>
      <c r="GH90" s="436"/>
      <c r="GI90" s="436"/>
      <c r="GJ90" s="436"/>
      <c r="GK90" s="436"/>
      <c r="GL90" s="436"/>
      <c r="GM90" s="436"/>
      <c r="GN90" s="436"/>
      <c r="GO90" s="436"/>
      <c r="GP90" s="436"/>
      <c r="GQ90" s="436"/>
      <c r="GR90" s="436"/>
      <c r="GS90" s="436"/>
      <c r="GT90" s="436"/>
      <c r="GU90" s="436"/>
      <c r="GV90" s="436"/>
      <c r="GW90" s="436"/>
      <c r="GX90" s="436"/>
      <c r="GY90" s="436"/>
      <c r="GZ90" s="436"/>
      <c r="HA90" s="436"/>
      <c r="HB90" s="436"/>
      <c r="HC90" s="322">
        <f t="shared" si="109"/>
        <v>0</v>
      </c>
      <c r="HD90" s="322">
        <f t="shared" si="109"/>
        <v>0</v>
      </c>
      <c r="HE90" s="322">
        <f t="shared" si="110"/>
        <v>0</v>
      </c>
      <c r="HF90" s="322">
        <f t="shared" si="110"/>
        <v>0</v>
      </c>
      <c r="HH90" s="448"/>
      <c r="HI90" s="449"/>
      <c r="HJ90" s="448"/>
    </row>
    <row r="91" spans="2:218" x14ac:dyDescent="0.2">
      <c r="B91" s="313" t="s">
        <v>462</v>
      </c>
      <c r="C91" s="322">
        <v>12000000</v>
      </c>
      <c r="D91" s="447">
        <v>0</v>
      </c>
      <c r="E91" s="322"/>
      <c r="F91" s="322"/>
      <c r="G91" s="322"/>
      <c r="H91" s="322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  <c r="AA91" s="322"/>
      <c r="AB91" s="322"/>
      <c r="AC91" s="322">
        <f t="shared" si="102"/>
        <v>0</v>
      </c>
      <c r="AD91" s="322">
        <f t="shared" si="102"/>
        <v>0</v>
      </c>
      <c r="AE91" s="322"/>
      <c r="AF91" s="322"/>
      <c r="AG91" s="322"/>
      <c r="AH91" s="322"/>
      <c r="AI91" s="322"/>
      <c r="AJ91" s="322"/>
      <c r="AK91" s="322"/>
      <c r="AL91" s="322"/>
      <c r="AM91" s="322"/>
      <c r="AN91" s="322">
        <f>$C$91*AM91</f>
        <v>0</v>
      </c>
      <c r="AO91" s="322"/>
      <c r="AP91" s="322"/>
      <c r="AQ91" s="322"/>
      <c r="AR91" s="322"/>
      <c r="AS91" s="322"/>
      <c r="AT91" s="322"/>
      <c r="AU91" s="322"/>
      <c r="AV91" s="322"/>
      <c r="AW91" s="322"/>
      <c r="AX91" s="322"/>
      <c r="AY91" s="322"/>
      <c r="AZ91" s="322"/>
      <c r="BA91" s="322"/>
      <c r="BB91" s="322"/>
      <c r="BC91" s="322">
        <f t="shared" si="103"/>
        <v>0</v>
      </c>
      <c r="BD91" s="322">
        <f t="shared" si="103"/>
        <v>0</v>
      </c>
      <c r="BE91" s="322"/>
      <c r="BF91" s="322"/>
      <c r="BG91" s="322"/>
      <c r="BH91" s="322"/>
      <c r="BI91" s="322"/>
      <c r="BJ91" s="322"/>
      <c r="BK91" s="322"/>
      <c r="BL91" s="322"/>
      <c r="BM91" s="322"/>
      <c r="BN91" s="322">
        <f>$C$91*BM91</f>
        <v>0</v>
      </c>
      <c r="BO91" s="322"/>
      <c r="BP91" s="322"/>
      <c r="BQ91" s="322"/>
      <c r="BR91" s="322"/>
      <c r="BS91" s="322"/>
      <c r="BT91" s="322"/>
      <c r="BU91" s="322"/>
      <c r="BV91" s="322"/>
      <c r="BW91" s="322"/>
      <c r="BX91" s="322"/>
      <c r="BY91" s="322"/>
      <c r="BZ91" s="322"/>
      <c r="CA91" s="322"/>
      <c r="CB91" s="322"/>
      <c r="CC91" s="322">
        <f t="shared" si="104"/>
        <v>0</v>
      </c>
      <c r="CD91" s="322">
        <f t="shared" si="104"/>
        <v>0</v>
      </c>
      <c r="CE91" s="322"/>
      <c r="CF91" s="322"/>
      <c r="CG91" s="322"/>
      <c r="CH91" s="322"/>
      <c r="CI91" s="322"/>
      <c r="CJ91" s="322"/>
      <c r="CK91" s="322"/>
      <c r="CL91" s="322"/>
      <c r="CM91" s="322"/>
      <c r="CN91" s="322">
        <f>$C91*CM91</f>
        <v>0</v>
      </c>
      <c r="CO91" s="322"/>
      <c r="CP91" s="322"/>
      <c r="CQ91" s="322"/>
      <c r="CR91" s="322"/>
      <c r="CS91" s="322"/>
      <c r="CT91" s="322"/>
      <c r="CU91" s="322"/>
      <c r="CV91" s="322"/>
      <c r="CW91" s="322"/>
      <c r="CX91" s="322"/>
      <c r="CY91" s="322"/>
      <c r="CZ91" s="322"/>
      <c r="DA91" s="322"/>
      <c r="DB91" s="322"/>
      <c r="DC91" s="322">
        <f t="shared" si="105"/>
        <v>0</v>
      </c>
      <c r="DD91" s="322">
        <f t="shared" si="105"/>
        <v>0</v>
      </c>
      <c r="DE91" s="436"/>
      <c r="DF91" s="436"/>
      <c r="DG91" s="436"/>
      <c r="DH91" s="436"/>
      <c r="DI91" s="436"/>
      <c r="DJ91" s="436"/>
      <c r="DK91" s="436"/>
      <c r="DL91" s="436"/>
      <c r="DM91" s="436"/>
      <c r="DN91" s="436"/>
      <c r="DO91" s="436"/>
      <c r="DP91" s="436"/>
      <c r="DQ91" s="436"/>
      <c r="DR91" s="436"/>
      <c r="DS91" s="436"/>
      <c r="DT91" s="436"/>
      <c r="DU91" s="436"/>
      <c r="DV91" s="436"/>
      <c r="DW91" s="436"/>
      <c r="DX91" s="436"/>
      <c r="DY91" s="436"/>
      <c r="DZ91" s="436"/>
      <c r="EA91" s="436"/>
      <c r="EB91" s="436"/>
      <c r="EC91" s="322">
        <f t="shared" si="106"/>
        <v>0</v>
      </c>
      <c r="ED91" s="322">
        <f t="shared" si="106"/>
        <v>0</v>
      </c>
      <c r="EE91" s="436"/>
      <c r="EF91" s="436"/>
      <c r="EG91" s="436"/>
      <c r="EH91" s="436"/>
      <c r="EI91" s="436"/>
      <c r="EJ91" s="436"/>
      <c r="EK91" s="436"/>
      <c r="EL91" s="436"/>
      <c r="EM91" s="436"/>
      <c r="EN91" s="436"/>
      <c r="EO91" s="436"/>
      <c r="EP91" s="436"/>
      <c r="EQ91" s="436"/>
      <c r="ER91" s="436"/>
      <c r="ES91" s="436"/>
      <c r="ET91" s="436"/>
      <c r="EU91" s="436"/>
      <c r="EV91" s="436"/>
      <c r="EW91" s="436"/>
      <c r="EX91" s="436"/>
      <c r="EY91" s="436"/>
      <c r="EZ91" s="436"/>
      <c r="FA91" s="436"/>
      <c r="FB91" s="436"/>
      <c r="FC91" s="322">
        <f t="shared" si="107"/>
        <v>0</v>
      </c>
      <c r="FD91" s="322">
        <f t="shared" si="107"/>
        <v>0</v>
      </c>
      <c r="FE91" s="436"/>
      <c r="FF91" s="436"/>
      <c r="FG91" s="436"/>
      <c r="FH91" s="436"/>
      <c r="FI91" s="436"/>
      <c r="FJ91" s="436"/>
      <c r="FK91" s="436"/>
      <c r="FL91" s="436"/>
      <c r="FM91" s="436"/>
      <c r="FN91" s="436"/>
      <c r="FO91" s="436"/>
      <c r="FP91" s="436"/>
      <c r="FQ91" s="436"/>
      <c r="FR91" s="436"/>
      <c r="FS91" s="436"/>
      <c r="FT91" s="436"/>
      <c r="FU91" s="436"/>
      <c r="FV91" s="436"/>
      <c r="FW91" s="436"/>
      <c r="FX91" s="436"/>
      <c r="FY91" s="436"/>
      <c r="FZ91" s="436"/>
      <c r="GA91" s="436"/>
      <c r="GB91" s="436"/>
      <c r="GC91" s="322">
        <f t="shared" si="108"/>
        <v>0</v>
      </c>
      <c r="GD91" s="322">
        <f t="shared" si="108"/>
        <v>0</v>
      </c>
      <c r="GE91" s="436"/>
      <c r="GF91" s="436"/>
      <c r="GG91" s="436"/>
      <c r="GH91" s="436"/>
      <c r="GI91" s="436"/>
      <c r="GJ91" s="436"/>
      <c r="GK91" s="436"/>
      <c r="GL91" s="436"/>
      <c r="GM91" s="436"/>
      <c r="GN91" s="436"/>
      <c r="GO91" s="436"/>
      <c r="GP91" s="436"/>
      <c r="GQ91" s="436"/>
      <c r="GR91" s="436"/>
      <c r="GS91" s="436"/>
      <c r="GT91" s="436"/>
      <c r="GU91" s="436"/>
      <c r="GV91" s="436"/>
      <c r="GW91" s="436"/>
      <c r="GX91" s="436"/>
      <c r="GY91" s="436"/>
      <c r="GZ91" s="436"/>
      <c r="HA91" s="436"/>
      <c r="HB91" s="436"/>
      <c r="HC91" s="322">
        <f t="shared" si="109"/>
        <v>0</v>
      </c>
      <c r="HD91" s="322">
        <f t="shared" si="109"/>
        <v>0</v>
      </c>
      <c r="HE91" s="322">
        <f t="shared" si="110"/>
        <v>0</v>
      </c>
      <c r="HF91" s="322">
        <f t="shared" si="110"/>
        <v>0</v>
      </c>
      <c r="HH91" s="448"/>
      <c r="HI91" s="449"/>
      <c r="HJ91" s="448"/>
    </row>
    <row r="92" spans="2:218" x14ac:dyDescent="0.2">
      <c r="B92" s="311" t="s">
        <v>463</v>
      </c>
      <c r="C92" s="322">
        <v>0</v>
      </c>
      <c r="D92" s="455"/>
      <c r="E92" s="452"/>
      <c r="F92" s="452"/>
      <c r="G92" s="452"/>
      <c r="H92" s="452"/>
      <c r="I92" s="452"/>
      <c r="J92" s="452"/>
      <c r="K92" s="452"/>
      <c r="L92" s="452"/>
      <c r="M92" s="452"/>
      <c r="N92" s="452"/>
      <c r="O92" s="452"/>
      <c r="P92" s="452"/>
      <c r="Q92" s="452"/>
      <c r="R92" s="452"/>
      <c r="S92" s="452"/>
      <c r="T92" s="452"/>
      <c r="U92" s="452"/>
      <c r="V92" s="452"/>
      <c r="W92" s="452"/>
      <c r="X92" s="452"/>
      <c r="Y92" s="452"/>
      <c r="Z92" s="452"/>
      <c r="AA92" s="452"/>
      <c r="AB92" s="452"/>
      <c r="AC92" s="452"/>
      <c r="AD92" s="452"/>
      <c r="AE92" s="452">
        <f>SUM(AE87:AE91)</f>
        <v>0</v>
      </c>
      <c r="AF92" s="452">
        <f t="shared" ref="AF92:CQ92" si="111">SUM(AF87:AF91)</f>
        <v>0</v>
      </c>
      <c r="AG92" s="452">
        <f t="shared" si="111"/>
        <v>0</v>
      </c>
      <c r="AH92" s="452">
        <f t="shared" si="111"/>
        <v>0</v>
      </c>
      <c r="AI92" s="452">
        <f t="shared" si="111"/>
        <v>0</v>
      </c>
      <c r="AJ92" s="452">
        <f t="shared" si="111"/>
        <v>0</v>
      </c>
      <c r="AK92" s="452">
        <f t="shared" si="111"/>
        <v>0</v>
      </c>
      <c r="AL92" s="452">
        <f t="shared" si="111"/>
        <v>0</v>
      </c>
      <c r="AM92" s="452">
        <f t="shared" si="111"/>
        <v>0</v>
      </c>
      <c r="AN92" s="452">
        <f t="shared" si="111"/>
        <v>0</v>
      </c>
      <c r="AO92" s="452">
        <f t="shared" si="111"/>
        <v>0</v>
      </c>
      <c r="AP92" s="452">
        <f t="shared" si="111"/>
        <v>0</v>
      </c>
      <c r="AQ92" s="452">
        <f t="shared" si="111"/>
        <v>0</v>
      </c>
      <c r="AR92" s="452">
        <f t="shared" si="111"/>
        <v>0</v>
      </c>
      <c r="AS92" s="452">
        <f t="shared" si="111"/>
        <v>0</v>
      </c>
      <c r="AT92" s="452">
        <f t="shared" si="111"/>
        <v>0</v>
      </c>
      <c r="AU92" s="452">
        <f t="shared" si="111"/>
        <v>0</v>
      </c>
      <c r="AV92" s="452">
        <f t="shared" si="111"/>
        <v>0</v>
      </c>
      <c r="AW92" s="452">
        <f t="shared" si="111"/>
        <v>0</v>
      </c>
      <c r="AX92" s="452">
        <f t="shared" si="111"/>
        <v>0</v>
      </c>
      <c r="AY92" s="452">
        <f t="shared" si="111"/>
        <v>0</v>
      </c>
      <c r="AZ92" s="452">
        <f t="shared" si="111"/>
        <v>0</v>
      </c>
      <c r="BA92" s="452">
        <f t="shared" si="111"/>
        <v>0</v>
      </c>
      <c r="BB92" s="452">
        <f t="shared" si="111"/>
        <v>0</v>
      </c>
      <c r="BC92" s="452">
        <f t="shared" si="111"/>
        <v>0</v>
      </c>
      <c r="BD92" s="452">
        <f t="shared" si="111"/>
        <v>0</v>
      </c>
      <c r="BE92" s="452">
        <f t="shared" si="111"/>
        <v>0</v>
      </c>
      <c r="BF92" s="452">
        <f t="shared" si="111"/>
        <v>0</v>
      </c>
      <c r="BG92" s="452">
        <f t="shared" si="111"/>
        <v>0</v>
      </c>
      <c r="BH92" s="452">
        <f t="shared" si="111"/>
        <v>0</v>
      </c>
      <c r="BI92" s="452">
        <f t="shared" si="111"/>
        <v>0</v>
      </c>
      <c r="BJ92" s="452">
        <f t="shared" si="111"/>
        <v>0</v>
      </c>
      <c r="BK92" s="452">
        <f t="shared" si="111"/>
        <v>0</v>
      </c>
      <c r="BL92" s="452">
        <f t="shared" si="111"/>
        <v>0</v>
      </c>
      <c r="BM92" s="452">
        <f t="shared" si="111"/>
        <v>0</v>
      </c>
      <c r="BN92" s="452">
        <f t="shared" si="111"/>
        <v>0</v>
      </c>
      <c r="BO92" s="452">
        <f t="shared" si="111"/>
        <v>0</v>
      </c>
      <c r="BP92" s="452">
        <f t="shared" si="111"/>
        <v>0</v>
      </c>
      <c r="BQ92" s="452">
        <f t="shared" si="111"/>
        <v>0</v>
      </c>
      <c r="BR92" s="452">
        <f t="shared" si="111"/>
        <v>0</v>
      </c>
      <c r="BS92" s="452">
        <f t="shared" si="111"/>
        <v>0</v>
      </c>
      <c r="BT92" s="452">
        <f t="shared" si="111"/>
        <v>0</v>
      </c>
      <c r="BU92" s="452">
        <f t="shared" si="111"/>
        <v>0</v>
      </c>
      <c r="BV92" s="452">
        <f t="shared" si="111"/>
        <v>0</v>
      </c>
      <c r="BW92" s="452">
        <f t="shared" si="111"/>
        <v>0</v>
      </c>
      <c r="BX92" s="452">
        <f t="shared" si="111"/>
        <v>0</v>
      </c>
      <c r="BY92" s="452">
        <f t="shared" si="111"/>
        <v>0</v>
      </c>
      <c r="BZ92" s="452">
        <f t="shared" si="111"/>
        <v>0</v>
      </c>
      <c r="CA92" s="452">
        <f t="shared" si="111"/>
        <v>0</v>
      </c>
      <c r="CB92" s="452">
        <f t="shared" si="111"/>
        <v>0</v>
      </c>
      <c r="CC92" s="452">
        <f t="shared" si="111"/>
        <v>0</v>
      </c>
      <c r="CD92" s="452">
        <f t="shared" si="111"/>
        <v>0</v>
      </c>
      <c r="CE92" s="452">
        <f t="shared" si="111"/>
        <v>0</v>
      </c>
      <c r="CF92" s="452">
        <f t="shared" si="111"/>
        <v>0</v>
      </c>
      <c r="CG92" s="452">
        <f t="shared" si="111"/>
        <v>0</v>
      </c>
      <c r="CH92" s="452">
        <f t="shared" si="111"/>
        <v>0</v>
      </c>
      <c r="CI92" s="452">
        <f t="shared" si="111"/>
        <v>0</v>
      </c>
      <c r="CJ92" s="452">
        <f t="shared" si="111"/>
        <v>0</v>
      </c>
      <c r="CK92" s="452">
        <f t="shared" si="111"/>
        <v>0</v>
      </c>
      <c r="CL92" s="452">
        <f t="shared" si="111"/>
        <v>0</v>
      </c>
      <c r="CM92" s="452">
        <f t="shared" si="111"/>
        <v>0</v>
      </c>
      <c r="CN92" s="452">
        <f t="shared" si="111"/>
        <v>0</v>
      </c>
      <c r="CO92" s="452">
        <f t="shared" si="111"/>
        <v>0</v>
      </c>
      <c r="CP92" s="452">
        <f t="shared" si="111"/>
        <v>0</v>
      </c>
      <c r="CQ92" s="452">
        <f t="shared" si="111"/>
        <v>0</v>
      </c>
      <c r="CR92" s="452">
        <f t="shared" ref="CR92:FC92" si="112">SUM(CR87:CR91)</f>
        <v>0</v>
      </c>
      <c r="CS92" s="452">
        <f t="shared" si="112"/>
        <v>0</v>
      </c>
      <c r="CT92" s="452">
        <f t="shared" si="112"/>
        <v>0</v>
      </c>
      <c r="CU92" s="452">
        <f t="shared" si="112"/>
        <v>0</v>
      </c>
      <c r="CV92" s="452">
        <f t="shared" si="112"/>
        <v>0</v>
      </c>
      <c r="CW92" s="452">
        <f t="shared" si="112"/>
        <v>0</v>
      </c>
      <c r="CX92" s="452">
        <f t="shared" si="112"/>
        <v>0</v>
      </c>
      <c r="CY92" s="452">
        <f t="shared" si="112"/>
        <v>0</v>
      </c>
      <c r="CZ92" s="452">
        <f t="shared" si="112"/>
        <v>0</v>
      </c>
      <c r="DA92" s="452">
        <f t="shared" si="112"/>
        <v>0</v>
      </c>
      <c r="DB92" s="452">
        <f t="shared" si="112"/>
        <v>0</v>
      </c>
      <c r="DC92" s="452">
        <f t="shared" si="112"/>
        <v>0</v>
      </c>
      <c r="DD92" s="452">
        <f t="shared" si="112"/>
        <v>0</v>
      </c>
      <c r="DE92" s="452">
        <f t="shared" si="112"/>
        <v>0</v>
      </c>
      <c r="DF92" s="452">
        <f t="shared" si="112"/>
        <v>0</v>
      </c>
      <c r="DG92" s="452">
        <f t="shared" si="112"/>
        <v>0</v>
      </c>
      <c r="DH92" s="452">
        <f t="shared" si="112"/>
        <v>0</v>
      </c>
      <c r="DI92" s="452">
        <f t="shared" si="112"/>
        <v>0</v>
      </c>
      <c r="DJ92" s="452">
        <f t="shared" si="112"/>
        <v>0</v>
      </c>
      <c r="DK92" s="452">
        <f t="shared" si="112"/>
        <v>0</v>
      </c>
      <c r="DL92" s="452">
        <f t="shared" si="112"/>
        <v>0</v>
      </c>
      <c r="DM92" s="452">
        <f t="shared" si="112"/>
        <v>0</v>
      </c>
      <c r="DN92" s="452">
        <f t="shared" si="112"/>
        <v>0</v>
      </c>
      <c r="DO92" s="452">
        <f t="shared" si="112"/>
        <v>0</v>
      </c>
      <c r="DP92" s="452">
        <f t="shared" si="112"/>
        <v>0</v>
      </c>
      <c r="DQ92" s="452">
        <f t="shared" si="112"/>
        <v>0</v>
      </c>
      <c r="DR92" s="452">
        <f t="shared" si="112"/>
        <v>0</v>
      </c>
      <c r="DS92" s="452">
        <f t="shared" si="112"/>
        <v>0</v>
      </c>
      <c r="DT92" s="452">
        <f t="shared" si="112"/>
        <v>0</v>
      </c>
      <c r="DU92" s="452">
        <f t="shared" si="112"/>
        <v>0</v>
      </c>
      <c r="DV92" s="452">
        <f t="shared" si="112"/>
        <v>0</v>
      </c>
      <c r="DW92" s="452">
        <f t="shared" si="112"/>
        <v>0</v>
      </c>
      <c r="DX92" s="452">
        <f t="shared" si="112"/>
        <v>0</v>
      </c>
      <c r="DY92" s="452">
        <f t="shared" si="112"/>
        <v>0</v>
      </c>
      <c r="DZ92" s="452">
        <f t="shared" si="112"/>
        <v>0</v>
      </c>
      <c r="EA92" s="452">
        <f t="shared" si="112"/>
        <v>0</v>
      </c>
      <c r="EB92" s="452">
        <f t="shared" si="112"/>
        <v>0</v>
      </c>
      <c r="EC92" s="452">
        <f t="shared" si="112"/>
        <v>0</v>
      </c>
      <c r="ED92" s="452">
        <f t="shared" si="112"/>
        <v>0</v>
      </c>
      <c r="EE92" s="452">
        <f t="shared" si="112"/>
        <v>0</v>
      </c>
      <c r="EF92" s="452">
        <f t="shared" si="112"/>
        <v>0</v>
      </c>
      <c r="EG92" s="452">
        <f t="shared" si="112"/>
        <v>0</v>
      </c>
      <c r="EH92" s="452">
        <f t="shared" si="112"/>
        <v>0</v>
      </c>
      <c r="EI92" s="452">
        <f t="shared" si="112"/>
        <v>0</v>
      </c>
      <c r="EJ92" s="452">
        <f t="shared" si="112"/>
        <v>0</v>
      </c>
      <c r="EK92" s="452">
        <f t="shared" si="112"/>
        <v>0</v>
      </c>
      <c r="EL92" s="452">
        <f t="shared" si="112"/>
        <v>0</v>
      </c>
      <c r="EM92" s="452">
        <f t="shared" si="112"/>
        <v>0</v>
      </c>
      <c r="EN92" s="452">
        <f t="shared" si="112"/>
        <v>0</v>
      </c>
      <c r="EO92" s="452">
        <f t="shared" si="112"/>
        <v>0</v>
      </c>
      <c r="EP92" s="452">
        <f t="shared" si="112"/>
        <v>0</v>
      </c>
      <c r="EQ92" s="452">
        <f t="shared" si="112"/>
        <v>0</v>
      </c>
      <c r="ER92" s="452">
        <f t="shared" si="112"/>
        <v>0</v>
      </c>
      <c r="ES92" s="452">
        <f t="shared" si="112"/>
        <v>0</v>
      </c>
      <c r="ET92" s="452">
        <f t="shared" si="112"/>
        <v>0</v>
      </c>
      <c r="EU92" s="452">
        <f t="shared" si="112"/>
        <v>0</v>
      </c>
      <c r="EV92" s="452">
        <f t="shared" si="112"/>
        <v>0</v>
      </c>
      <c r="EW92" s="452">
        <f t="shared" si="112"/>
        <v>0</v>
      </c>
      <c r="EX92" s="452">
        <f t="shared" si="112"/>
        <v>0</v>
      </c>
      <c r="EY92" s="452">
        <f t="shared" si="112"/>
        <v>0</v>
      </c>
      <c r="EZ92" s="452">
        <f t="shared" si="112"/>
        <v>0</v>
      </c>
      <c r="FA92" s="452">
        <f t="shared" si="112"/>
        <v>0</v>
      </c>
      <c r="FB92" s="452">
        <f t="shared" si="112"/>
        <v>0</v>
      </c>
      <c r="FC92" s="452">
        <f t="shared" si="112"/>
        <v>0</v>
      </c>
      <c r="FD92" s="452">
        <f>SUM(FD87:FD91)</f>
        <v>0</v>
      </c>
      <c r="FE92" s="452">
        <f t="shared" ref="FE92:GC92" si="113">SUM(FE87:FE91)</f>
        <v>0</v>
      </c>
      <c r="FF92" s="452">
        <f t="shared" si="113"/>
        <v>0</v>
      </c>
      <c r="FG92" s="452">
        <f t="shared" si="113"/>
        <v>0</v>
      </c>
      <c r="FH92" s="452">
        <f t="shared" si="113"/>
        <v>0</v>
      </c>
      <c r="FI92" s="452">
        <f t="shared" si="113"/>
        <v>0</v>
      </c>
      <c r="FJ92" s="452">
        <f t="shared" si="113"/>
        <v>0</v>
      </c>
      <c r="FK92" s="452">
        <f t="shared" si="113"/>
        <v>0</v>
      </c>
      <c r="FL92" s="452">
        <f t="shared" si="113"/>
        <v>0</v>
      </c>
      <c r="FM92" s="452">
        <f t="shared" si="113"/>
        <v>0</v>
      </c>
      <c r="FN92" s="452">
        <f t="shared" si="113"/>
        <v>0</v>
      </c>
      <c r="FO92" s="452">
        <f t="shared" si="113"/>
        <v>0</v>
      </c>
      <c r="FP92" s="452">
        <f t="shared" si="113"/>
        <v>0</v>
      </c>
      <c r="FQ92" s="452">
        <f t="shared" si="113"/>
        <v>0</v>
      </c>
      <c r="FR92" s="452">
        <f t="shared" si="113"/>
        <v>0</v>
      </c>
      <c r="FS92" s="452">
        <f t="shared" si="113"/>
        <v>0</v>
      </c>
      <c r="FT92" s="452">
        <f t="shared" si="113"/>
        <v>0</v>
      </c>
      <c r="FU92" s="452">
        <f t="shared" si="113"/>
        <v>0</v>
      </c>
      <c r="FV92" s="452">
        <f t="shared" si="113"/>
        <v>0</v>
      </c>
      <c r="FW92" s="452">
        <f t="shared" si="113"/>
        <v>0</v>
      </c>
      <c r="FX92" s="452">
        <f t="shared" si="113"/>
        <v>0</v>
      </c>
      <c r="FY92" s="452">
        <f t="shared" si="113"/>
        <v>0</v>
      </c>
      <c r="FZ92" s="452">
        <f t="shared" si="113"/>
        <v>0</v>
      </c>
      <c r="GA92" s="452">
        <f t="shared" si="113"/>
        <v>0</v>
      </c>
      <c r="GB92" s="452">
        <f t="shared" si="113"/>
        <v>0</v>
      </c>
      <c r="GC92" s="452">
        <f t="shared" si="113"/>
        <v>0</v>
      </c>
      <c r="GD92" s="452">
        <f>SUM(GD87:GD91)</f>
        <v>0</v>
      </c>
      <c r="GE92" s="452">
        <f t="shared" ref="GE92:HC92" si="114">SUM(GE87:GE91)</f>
        <v>0</v>
      </c>
      <c r="GF92" s="452">
        <f t="shared" si="114"/>
        <v>0</v>
      </c>
      <c r="GG92" s="452">
        <f t="shared" si="114"/>
        <v>0</v>
      </c>
      <c r="GH92" s="452">
        <f t="shared" si="114"/>
        <v>0</v>
      </c>
      <c r="GI92" s="452">
        <f t="shared" si="114"/>
        <v>0</v>
      </c>
      <c r="GJ92" s="452">
        <f t="shared" si="114"/>
        <v>0</v>
      </c>
      <c r="GK92" s="452">
        <f t="shared" si="114"/>
        <v>0</v>
      </c>
      <c r="GL92" s="452">
        <f t="shared" si="114"/>
        <v>0</v>
      </c>
      <c r="GM92" s="452">
        <f t="shared" si="114"/>
        <v>0</v>
      </c>
      <c r="GN92" s="452">
        <f t="shared" si="114"/>
        <v>0</v>
      </c>
      <c r="GO92" s="452">
        <f t="shared" si="114"/>
        <v>0</v>
      </c>
      <c r="GP92" s="452">
        <f t="shared" si="114"/>
        <v>0</v>
      </c>
      <c r="GQ92" s="452">
        <f t="shared" si="114"/>
        <v>0</v>
      </c>
      <c r="GR92" s="452">
        <f t="shared" si="114"/>
        <v>0</v>
      </c>
      <c r="GS92" s="452">
        <f t="shared" si="114"/>
        <v>0</v>
      </c>
      <c r="GT92" s="452">
        <f t="shared" si="114"/>
        <v>0</v>
      </c>
      <c r="GU92" s="452">
        <f t="shared" si="114"/>
        <v>0</v>
      </c>
      <c r="GV92" s="452">
        <f t="shared" si="114"/>
        <v>0</v>
      </c>
      <c r="GW92" s="452">
        <f t="shared" si="114"/>
        <v>0</v>
      </c>
      <c r="GX92" s="452">
        <f t="shared" si="114"/>
        <v>0</v>
      </c>
      <c r="GY92" s="452">
        <f t="shared" si="114"/>
        <v>0</v>
      </c>
      <c r="GZ92" s="452">
        <f t="shared" si="114"/>
        <v>0</v>
      </c>
      <c r="HA92" s="452">
        <f t="shared" si="114"/>
        <v>0</v>
      </c>
      <c r="HB92" s="452">
        <f t="shared" si="114"/>
        <v>0</v>
      </c>
      <c r="HC92" s="452">
        <f t="shared" si="114"/>
        <v>0</v>
      </c>
      <c r="HD92" s="452">
        <f>SUM(HD87:HD91)</f>
        <v>0</v>
      </c>
      <c r="HE92" s="452">
        <f>SUM(HE87:HE91)</f>
        <v>0</v>
      </c>
      <c r="HF92" s="452">
        <f>SUM(HF87:HF91)</f>
        <v>0</v>
      </c>
      <c r="HH92" s="448"/>
      <c r="HI92" s="449"/>
      <c r="HJ92" s="448"/>
    </row>
    <row r="93" spans="2:218" x14ac:dyDescent="0.2">
      <c r="B93" s="313" t="s">
        <v>413</v>
      </c>
      <c r="C93" s="322">
        <v>34194000</v>
      </c>
      <c r="D93" s="328"/>
      <c r="E93" s="320"/>
      <c r="F93" s="320"/>
      <c r="G93" s="320"/>
      <c r="H93" s="320"/>
      <c r="I93" s="320"/>
      <c r="J93" s="320"/>
      <c r="K93" s="320"/>
      <c r="L93" s="320"/>
      <c r="M93" s="320"/>
      <c r="N93" s="320"/>
      <c r="O93" s="320"/>
      <c r="P93" s="320"/>
      <c r="Q93" s="320"/>
      <c r="R93" s="320"/>
      <c r="S93" s="320"/>
      <c r="T93" s="320"/>
      <c r="U93" s="320"/>
      <c r="V93" s="320"/>
      <c r="W93" s="320"/>
      <c r="X93" s="320"/>
      <c r="Y93" s="320"/>
      <c r="Z93" s="320"/>
      <c r="AA93" s="320"/>
      <c r="AB93" s="320"/>
      <c r="AC93" s="322">
        <f>E93+G93+I93+K93+M93+O93+Q93+S93+U93+W93+Y93+AA93</f>
        <v>0</v>
      </c>
      <c r="AD93" s="322">
        <f>F93+H93+J93+L93+N93+P93+R93+T93+V93+X93+Z93+AB93</f>
        <v>0</v>
      </c>
      <c r="AE93" s="320"/>
      <c r="AF93" s="320"/>
      <c r="AG93" s="320"/>
      <c r="AH93" s="320"/>
      <c r="AI93" s="320"/>
      <c r="AJ93" s="320"/>
      <c r="AK93" s="320"/>
      <c r="AL93" s="320"/>
      <c r="AM93" s="320"/>
      <c r="AN93" s="320"/>
      <c r="AO93" s="322"/>
      <c r="AP93" s="322"/>
      <c r="AQ93" s="322"/>
      <c r="AR93" s="322"/>
      <c r="AS93" s="322"/>
      <c r="AT93" s="322"/>
      <c r="AU93" s="322"/>
      <c r="AV93" s="322"/>
      <c r="AW93" s="322"/>
      <c r="AX93" s="322"/>
      <c r="AY93" s="322"/>
      <c r="AZ93" s="322"/>
      <c r="BA93" s="322"/>
      <c r="BB93" s="322"/>
      <c r="BC93" s="322">
        <f>AE93+AG93+AI93+AK93+AM93+AO93+AQ93+AS93+AU93+AW93+AY93+BA93</f>
        <v>0</v>
      </c>
      <c r="BD93" s="322">
        <f>AF93+AH93+AJ93+AL93+AN93+AP93+AR93+AT93+AV93+AX93+AZ93+BB93</f>
        <v>0</v>
      </c>
      <c r="BE93" s="322"/>
      <c r="BF93" s="322"/>
      <c r="BG93" s="322"/>
      <c r="BH93" s="322"/>
      <c r="BI93" s="322"/>
      <c r="BJ93" s="322"/>
      <c r="BK93" s="322"/>
      <c r="BL93" s="322"/>
      <c r="BM93" s="322"/>
      <c r="BN93" s="322"/>
      <c r="BO93" s="322"/>
      <c r="BP93" s="322"/>
      <c r="BQ93" s="322"/>
      <c r="BR93" s="322"/>
      <c r="BS93" s="322"/>
      <c r="BT93" s="322"/>
      <c r="BU93" s="322"/>
      <c r="BV93" s="322"/>
      <c r="BW93" s="322"/>
      <c r="BX93" s="322"/>
      <c r="BY93" s="322"/>
      <c r="BZ93" s="322"/>
      <c r="CA93" s="322"/>
      <c r="CB93" s="322"/>
      <c r="CC93" s="322">
        <f t="shared" ref="CC93:CD103" si="115">BE93+BG93+BI93+BK93+BM93+BO93+BQ93+BS93+BU93+BW93+BY93+CA93</f>
        <v>0</v>
      </c>
      <c r="CD93" s="322">
        <f t="shared" si="115"/>
        <v>0</v>
      </c>
      <c r="CE93" s="322"/>
      <c r="CF93" s="322"/>
      <c r="CG93" s="322"/>
      <c r="CH93" s="322"/>
      <c r="CI93" s="322"/>
      <c r="CJ93" s="322"/>
      <c r="CK93" s="322"/>
      <c r="CL93" s="322"/>
      <c r="CM93" s="322"/>
      <c r="CN93" s="322"/>
      <c r="CO93" s="322"/>
      <c r="CP93" s="322"/>
      <c r="CQ93" s="322"/>
      <c r="CR93" s="322"/>
      <c r="CS93" s="322"/>
      <c r="CT93" s="322"/>
      <c r="CU93" s="322"/>
      <c r="CV93" s="322"/>
      <c r="CW93" s="322"/>
      <c r="CX93" s="322"/>
      <c r="CY93" s="322"/>
      <c r="CZ93" s="322"/>
      <c r="DA93" s="322"/>
      <c r="DB93" s="322"/>
      <c r="DC93" s="322">
        <f t="shared" ref="DC93:DD103" si="116">CE93+CG93+CI93+CK93+CM93+CO93+CQ93+CS93+CU93+CW93+CY93+DA93</f>
        <v>0</v>
      </c>
      <c r="DD93" s="322">
        <f t="shared" si="116"/>
        <v>0</v>
      </c>
      <c r="DE93" s="436"/>
      <c r="DF93" s="436"/>
      <c r="DG93" s="436"/>
      <c r="DH93" s="436"/>
      <c r="DI93" s="436"/>
      <c r="DJ93" s="436"/>
      <c r="DK93" s="436"/>
      <c r="DL93" s="436"/>
      <c r="DM93" s="436"/>
      <c r="DN93" s="436"/>
      <c r="DO93" s="329"/>
      <c r="DP93" s="329"/>
      <c r="DQ93" s="329"/>
      <c r="DR93" s="329"/>
      <c r="DS93" s="329"/>
      <c r="DT93" s="329"/>
      <c r="DU93" s="329"/>
      <c r="DV93" s="329"/>
      <c r="DW93" s="329"/>
      <c r="DX93" s="329"/>
      <c r="DY93" s="329"/>
      <c r="DZ93" s="329"/>
      <c r="EA93" s="329"/>
      <c r="EB93" s="329"/>
      <c r="EC93" s="322">
        <f t="shared" ref="EC93:ED103" si="117">DE93+DG93+DI93+DK93+DM93+DO93+DQ93+DS93+DU93+DW93+DY93+EA93</f>
        <v>0</v>
      </c>
      <c r="ED93" s="322">
        <f t="shared" si="117"/>
        <v>0</v>
      </c>
      <c r="EE93" s="329"/>
      <c r="EF93" s="329"/>
      <c r="EG93" s="329"/>
      <c r="EH93" s="329"/>
      <c r="EI93" s="329"/>
      <c r="EJ93" s="329"/>
      <c r="EK93" s="329"/>
      <c r="EL93" s="329"/>
      <c r="EM93" s="329"/>
      <c r="EN93" s="329"/>
      <c r="EO93" s="329"/>
      <c r="EP93" s="329"/>
      <c r="EQ93" s="329"/>
      <c r="ER93" s="329"/>
      <c r="ES93" s="329"/>
      <c r="ET93" s="329"/>
      <c r="EU93" s="329"/>
      <c r="EV93" s="329"/>
      <c r="EW93" s="329"/>
      <c r="EX93" s="329"/>
      <c r="EY93" s="329"/>
      <c r="EZ93" s="329"/>
      <c r="FA93" s="329"/>
      <c r="FB93" s="329"/>
      <c r="FC93" s="322">
        <f t="shared" ref="FC93:FD103" si="118">EE93+EG93+EI93+EK93+EM93+EO93+EQ93+ES93+EU93+EW93+EY93+FA93</f>
        <v>0</v>
      </c>
      <c r="FD93" s="322">
        <f t="shared" si="118"/>
        <v>0</v>
      </c>
      <c r="FE93" s="329"/>
      <c r="FF93" s="329"/>
      <c r="FG93" s="329"/>
      <c r="FH93" s="329"/>
      <c r="FI93" s="329"/>
      <c r="FJ93" s="329"/>
      <c r="FK93" s="436"/>
      <c r="FL93" s="322">
        <f>$C93*FK93</f>
        <v>0</v>
      </c>
      <c r="FM93" s="436"/>
      <c r="FN93" s="436"/>
      <c r="FO93" s="436"/>
      <c r="FP93" s="436"/>
      <c r="FQ93" s="436"/>
      <c r="FR93" s="436"/>
      <c r="FS93" s="436"/>
      <c r="FT93" s="436"/>
      <c r="FU93" s="436"/>
      <c r="FV93" s="436"/>
      <c r="FW93" s="436"/>
      <c r="FX93" s="436"/>
      <c r="FY93" s="436"/>
      <c r="FZ93" s="436"/>
      <c r="GA93" s="436"/>
      <c r="GB93" s="436"/>
      <c r="GC93" s="322">
        <f t="shared" ref="GC93:GC103" si="119">FE93+FG93+FI93+FK93+FM93+FO93+FQ93+FS93+FU93+FW93+FY93+GA93</f>
        <v>0</v>
      </c>
      <c r="GD93" s="322">
        <f t="shared" ref="GD93:GD100" si="120">FF93+FH93+FJ93+FL93+FN93+FP93+FR93+FT93+FV93+FX93+FZ93+GB93</f>
        <v>0</v>
      </c>
      <c r="GE93" s="329"/>
      <c r="GF93" s="329"/>
      <c r="GG93" s="329"/>
      <c r="GH93" s="329"/>
      <c r="GI93" s="329"/>
      <c r="GJ93" s="329"/>
      <c r="GK93" s="436"/>
      <c r="GL93" s="322">
        <f>$C93*GK93</f>
        <v>0</v>
      </c>
      <c r="GM93" s="436"/>
      <c r="GN93" s="436"/>
      <c r="GO93" s="436"/>
      <c r="GP93" s="436"/>
      <c r="GQ93" s="436"/>
      <c r="GR93" s="436"/>
      <c r="GS93" s="436"/>
      <c r="GT93" s="436"/>
      <c r="GU93" s="436"/>
      <c r="GV93" s="436"/>
      <c r="GW93" s="436"/>
      <c r="GX93" s="436"/>
      <c r="GY93" s="436"/>
      <c r="GZ93" s="436"/>
      <c r="HA93" s="436"/>
      <c r="HB93" s="436"/>
      <c r="HC93" s="322">
        <f t="shared" ref="HC93:HD103" si="121">GE93+GG93+GI93+GK93+GM93+GO93+GQ93+GS93+GU93+GW93+GY93+HA93</f>
        <v>0</v>
      </c>
      <c r="HD93" s="322">
        <f t="shared" si="121"/>
        <v>0</v>
      </c>
      <c r="HE93" s="322">
        <f t="shared" ref="HE93:HE100" si="122">AC93+BC93+CC93+DC93+EC93+FC93+GC93+HC93</f>
        <v>0</v>
      </c>
      <c r="HF93" s="322">
        <f t="shared" ref="HF93:HF100" si="123">AD93+BD93+CD93+DD93+ED93+FD93+GD93+HD93</f>
        <v>0</v>
      </c>
      <c r="HH93" s="448"/>
      <c r="HI93" s="449"/>
      <c r="HJ93" s="448"/>
    </row>
    <row r="94" spans="2:218" x14ac:dyDescent="0.2">
      <c r="B94" s="313" t="s">
        <v>414</v>
      </c>
      <c r="C94" s="322">
        <v>30414000</v>
      </c>
      <c r="D94" s="328"/>
      <c r="E94" s="320"/>
      <c r="F94" s="320"/>
      <c r="G94" s="320"/>
      <c r="H94" s="320"/>
      <c r="I94" s="320"/>
      <c r="J94" s="320"/>
      <c r="K94" s="320"/>
      <c r="L94" s="320"/>
      <c r="M94" s="320"/>
      <c r="N94" s="320"/>
      <c r="O94" s="320"/>
      <c r="P94" s="320"/>
      <c r="Q94" s="320"/>
      <c r="R94" s="320"/>
      <c r="S94" s="320"/>
      <c r="T94" s="320"/>
      <c r="U94" s="320"/>
      <c r="V94" s="320"/>
      <c r="W94" s="320"/>
      <c r="X94" s="320"/>
      <c r="Y94" s="320"/>
      <c r="Z94" s="320"/>
      <c r="AA94" s="320"/>
      <c r="AB94" s="320"/>
      <c r="AC94" s="322">
        <f t="shared" ref="AC94:AD103" si="124">E94+G94+I94+K94+M94+O94+Q94+S94+U94+W94+Y94+AA94</f>
        <v>0</v>
      </c>
      <c r="AD94" s="322">
        <f t="shared" si="124"/>
        <v>0</v>
      </c>
      <c r="AE94" s="320"/>
      <c r="AF94" s="320"/>
      <c r="AG94" s="320"/>
      <c r="AH94" s="320"/>
      <c r="AI94" s="320"/>
      <c r="AJ94" s="320"/>
      <c r="AK94" s="320"/>
      <c r="AL94" s="320"/>
      <c r="AM94" s="320"/>
      <c r="AN94" s="320"/>
      <c r="AO94" s="322"/>
      <c r="AP94" s="322"/>
      <c r="AQ94" s="322"/>
      <c r="AR94" s="322"/>
      <c r="AS94" s="322"/>
      <c r="AT94" s="322"/>
      <c r="AU94" s="322"/>
      <c r="AV94" s="322"/>
      <c r="AW94" s="322"/>
      <c r="AX94" s="322"/>
      <c r="AY94" s="322"/>
      <c r="AZ94" s="322"/>
      <c r="BA94" s="322"/>
      <c r="BB94" s="322"/>
      <c r="BC94" s="322">
        <f t="shared" ref="BC94:BD103" si="125">AE94+AG94+AI94+AK94+AM94+AO94+AQ94+AS94+AU94+AW94+AY94+BA94</f>
        <v>0</v>
      </c>
      <c r="BD94" s="322">
        <f t="shared" si="125"/>
        <v>0</v>
      </c>
      <c r="BE94" s="322"/>
      <c r="BF94" s="322"/>
      <c r="BG94" s="322"/>
      <c r="BH94" s="322"/>
      <c r="BI94" s="322"/>
      <c r="BJ94" s="322"/>
      <c r="BK94" s="322"/>
      <c r="BL94" s="322"/>
      <c r="BM94" s="322"/>
      <c r="BN94" s="322"/>
      <c r="BO94" s="322"/>
      <c r="BP94" s="322"/>
      <c r="BQ94" s="322"/>
      <c r="BR94" s="322"/>
      <c r="BS94" s="322"/>
      <c r="BT94" s="322"/>
      <c r="BU94" s="322"/>
      <c r="BV94" s="322"/>
      <c r="BW94" s="322"/>
      <c r="BX94" s="322"/>
      <c r="BY94" s="322"/>
      <c r="BZ94" s="322"/>
      <c r="CA94" s="322"/>
      <c r="CB94" s="322"/>
      <c r="CC94" s="322">
        <f t="shared" si="115"/>
        <v>0</v>
      </c>
      <c r="CD94" s="322">
        <f t="shared" si="115"/>
        <v>0</v>
      </c>
      <c r="CE94" s="322"/>
      <c r="CF94" s="322"/>
      <c r="CG94" s="322"/>
      <c r="CH94" s="322"/>
      <c r="CI94" s="322"/>
      <c r="CJ94" s="322"/>
      <c r="CK94" s="322"/>
      <c r="CL94" s="322"/>
      <c r="CM94" s="322"/>
      <c r="CN94" s="322"/>
      <c r="CO94" s="322"/>
      <c r="CP94" s="322"/>
      <c r="CQ94" s="322"/>
      <c r="CR94" s="322"/>
      <c r="CS94" s="322"/>
      <c r="CT94" s="322"/>
      <c r="CU94" s="322"/>
      <c r="CV94" s="322"/>
      <c r="CW94" s="322"/>
      <c r="CX94" s="322"/>
      <c r="CY94" s="322"/>
      <c r="CZ94" s="322"/>
      <c r="DA94" s="322"/>
      <c r="DB94" s="322"/>
      <c r="DC94" s="322">
        <f t="shared" si="116"/>
        <v>0</v>
      </c>
      <c r="DD94" s="322">
        <f t="shared" si="116"/>
        <v>0</v>
      </c>
      <c r="DE94" s="436"/>
      <c r="DF94" s="436"/>
      <c r="DG94" s="436"/>
      <c r="DH94" s="436"/>
      <c r="DI94" s="436"/>
      <c r="DJ94" s="436"/>
      <c r="DK94" s="436"/>
      <c r="DL94" s="436"/>
      <c r="DM94" s="436"/>
      <c r="DN94" s="436"/>
      <c r="DO94" s="329"/>
      <c r="DP94" s="329"/>
      <c r="DQ94" s="329"/>
      <c r="DR94" s="329"/>
      <c r="DS94" s="329"/>
      <c r="DT94" s="329"/>
      <c r="DU94" s="329"/>
      <c r="DV94" s="329"/>
      <c r="DW94" s="329"/>
      <c r="DX94" s="329"/>
      <c r="DY94" s="329"/>
      <c r="DZ94" s="329"/>
      <c r="EA94" s="329"/>
      <c r="EB94" s="329"/>
      <c r="EC94" s="322">
        <f t="shared" si="117"/>
        <v>0</v>
      </c>
      <c r="ED94" s="322">
        <f t="shared" si="117"/>
        <v>0</v>
      </c>
      <c r="EE94" s="329"/>
      <c r="EF94" s="329"/>
      <c r="EG94" s="329"/>
      <c r="EH94" s="329"/>
      <c r="EI94" s="329"/>
      <c r="EJ94" s="329"/>
      <c r="EK94" s="436"/>
      <c r="EL94" s="322">
        <f>$C94*EK94</f>
        <v>0</v>
      </c>
      <c r="EM94" s="436"/>
      <c r="EN94" s="436"/>
      <c r="EO94" s="436"/>
      <c r="EP94" s="436"/>
      <c r="EQ94" s="436"/>
      <c r="ER94" s="436"/>
      <c r="ES94" s="436"/>
      <c r="ET94" s="436"/>
      <c r="EU94" s="436"/>
      <c r="EV94" s="436"/>
      <c r="EW94" s="436"/>
      <c r="EX94" s="436"/>
      <c r="EY94" s="436"/>
      <c r="EZ94" s="436"/>
      <c r="FA94" s="436"/>
      <c r="FB94" s="436"/>
      <c r="FC94" s="322">
        <f t="shared" si="118"/>
        <v>0</v>
      </c>
      <c r="FD94" s="322">
        <f t="shared" si="118"/>
        <v>0</v>
      </c>
      <c r="FE94" s="329"/>
      <c r="FF94" s="329"/>
      <c r="FG94" s="329"/>
      <c r="FH94" s="329"/>
      <c r="FI94" s="329"/>
      <c r="FJ94" s="329"/>
      <c r="FK94" s="436"/>
      <c r="FL94" s="322">
        <f>$C94*FK94</f>
        <v>0</v>
      </c>
      <c r="FM94" s="436"/>
      <c r="FN94" s="436"/>
      <c r="FO94" s="436"/>
      <c r="FP94" s="436"/>
      <c r="FQ94" s="436"/>
      <c r="FR94" s="436"/>
      <c r="FS94" s="436"/>
      <c r="FT94" s="436"/>
      <c r="FU94" s="436"/>
      <c r="FV94" s="436"/>
      <c r="FW94" s="436"/>
      <c r="FX94" s="436"/>
      <c r="FY94" s="436"/>
      <c r="FZ94" s="436"/>
      <c r="GA94" s="436"/>
      <c r="GB94" s="436"/>
      <c r="GC94" s="322">
        <f t="shared" si="119"/>
        <v>0</v>
      </c>
      <c r="GD94" s="322">
        <f t="shared" si="120"/>
        <v>0</v>
      </c>
      <c r="GE94" s="329"/>
      <c r="GF94" s="329"/>
      <c r="GG94" s="329"/>
      <c r="GH94" s="329"/>
      <c r="GI94" s="329"/>
      <c r="GJ94" s="329"/>
      <c r="GK94" s="436"/>
      <c r="GL94" s="322">
        <f>$C94*GK94</f>
        <v>0</v>
      </c>
      <c r="GM94" s="436"/>
      <c r="GN94" s="436"/>
      <c r="GO94" s="436"/>
      <c r="GP94" s="436"/>
      <c r="GQ94" s="436"/>
      <c r="GR94" s="436"/>
      <c r="GS94" s="436"/>
      <c r="GT94" s="436"/>
      <c r="GU94" s="436"/>
      <c r="GV94" s="436"/>
      <c r="GW94" s="436"/>
      <c r="GX94" s="436"/>
      <c r="GY94" s="436"/>
      <c r="GZ94" s="436"/>
      <c r="HA94" s="436"/>
      <c r="HB94" s="436"/>
      <c r="HC94" s="322">
        <f t="shared" si="121"/>
        <v>0</v>
      </c>
      <c r="HD94" s="322">
        <f t="shared" si="121"/>
        <v>0</v>
      </c>
      <c r="HE94" s="322">
        <f t="shared" si="122"/>
        <v>0</v>
      </c>
      <c r="HF94" s="322">
        <f t="shared" si="123"/>
        <v>0</v>
      </c>
      <c r="HH94" s="448"/>
      <c r="HI94" s="449"/>
      <c r="HJ94" s="448"/>
    </row>
    <row r="95" spans="2:218" x14ac:dyDescent="0.2">
      <c r="B95" s="313" t="s">
        <v>415</v>
      </c>
      <c r="C95" s="322">
        <v>23760000</v>
      </c>
      <c r="D95" s="328"/>
      <c r="E95" s="320"/>
      <c r="F95" s="320"/>
      <c r="G95" s="320"/>
      <c r="H95" s="320"/>
      <c r="I95" s="320"/>
      <c r="J95" s="320"/>
      <c r="K95" s="320"/>
      <c r="L95" s="320"/>
      <c r="M95" s="320"/>
      <c r="N95" s="320"/>
      <c r="O95" s="320"/>
      <c r="P95" s="320"/>
      <c r="Q95" s="320"/>
      <c r="R95" s="320"/>
      <c r="S95" s="320"/>
      <c r="T95" s="320"/>
      <c r="U95" s="320"/>
      <c r="V95" s="320"/>
      <c r="W95" s="320"/>
      <c r="X95" s="320"/>
      <c r="Y95" s="320"/>
      <c r="Z95" s="320"/>
      <c r="AA95" s="320"/>
      <c r="AB95" s="320"/>
      <c r="AC95" s="322">
        <f t="shared" si="124"/>
        <v>0</v>
      </c>
      <c r="AD95" s="322">
        <f t="shared" si="124"/>
        <v>0</v>
      </c>
      <c r="AE95" s="320"/>
      <c r="AF95" s="320"/>
      <c r="AG95" s="320"/>
      <c r="AH95" s="320"/>
      <c r="AI95" s="320"/>
      <c r="AJ95" s="320"/>
      <c r="AK95" s="320"/>
      <c r="AL95" s="320"/>
      <c r="AM95" s="320"/>
      <c r="AN95" s="320"/>
      <c r="AO95" s="322"/>
      <c r="AP95" s="322"/>
      <c r="AQ95" s="322"/>
      <c r="AR95" s="322"/>
      <c r="AS95" s="322"/>
      <c r="AT95" s="322"/>
      <c r="AU95" s="322"/>
      <c r="AV95" s="322"/>
      <c r="AW95" s="322"/>
      <c r="AX95" s="322"/>
      <c r="AY95" s="322"/>
      <c r="AZ95" s="322"/>
      <c r="BA95" s="322"/>
      <c r="BB95" s="322"/>
      <c r="BC95" s="322">
        <f t="shared" si="125"/>
        <v>0</v>
      </c>
      <c r="BD95" s="322">
        <f t="shared" si="125"/>
        <v>0</v>
      </c>
      <c r="BE95" s="322"/>
      <c r="BF95" s="322"/>
      <c r="BG95" s="322"/>
      <c r="BH95" s="322"/>
      <c r="BI95" s="322"/>
      <c r="BJ95" s="322"/>
      <c r="BK95" s="322"/>
      <c r="BL95" s="322"/>
      <c r="BM95" s="322"/>
      <c r="BN95" s="322"/>
      <c r="BO95" s="322"/>
      <c r="BP95" s="322"/>
      <c r="BQ95" s="322"/>
      <c r="BR95" s="322"/>
      <c r="BS95" s="322"/>
      <c r="BT95" s="322"/>
      <c r="BU95" s="322"/>
      <c r="BV95" s="322"/>
      <c r="BW95" s="322"/>
      <c r="BX95" s="322"/>
      <c r="BY95" s="322"/>
      <c r="BZ95" s="322"/>
      <c r="CA95" s="322"/>
      <c r="CB95" s="322"/>
      <c r="CC95" s="322">
        <f t="shared" si="115"/>
        <v>0</v>
      </c>
      <c r="CD95" s="322">
        <f t="shared" si="115"/>
        <v>0</v>
      </c>
      <c r="CE95" s="322"/>
      <c r="CF95" s="322"/>
      <c r="CG95" s="322"/>
      <c r="CH95" s="322"/>
      <c r="CI95" s="322"/>
      <c r="CJ95" s="322"/>
      <c r="CK95" s="322"/>
      <c r="CL95" s="322"/>
      <c r="CM95" s="322"/>
      <c r="CN95" s="322"/>
      <c r="CO95" s="322"/>
      <c r="CP95" s="322"/>
      <c r="CQ95" s="322"/>
      <c r="CR95" s="322"/>
      <c r="CS95" s="322"/>
      <c r="CT95" s="322"/>
      <c r="CU95" s="322"/>
      <c r="CV95" s="322"/>
      <c r="CW95" s="322"/>
      <c r="CX95" s="322"/>
      <c r="CY95" s="322"/>
      <c r="CZ95" s="322"/>
      <c r="DA95" s="322"/>
      <c r="DB95" s="322"/>
      <c r="DC95" s="322">
        <f t="shared" si="116"/>
        <v>0</v>
      </c>
      <c r="DD95" s="322">
        <f t="shared" si="116"/>
        <v>0</v>
      </c>
      <c r="DE95" s="436"/>
      <c r="DF95" s="436"/>
      <c r="DG95" s="436"/>
      <c r="DH95" s="436"/>
      <c r="DI95" s="436"/>
      <c r="DJ95" s="436"/>
      <c r="DK95" s="436"/>
      <c r="DL95" s="436"/>
      <c r="DM95" s="436"/>
      <c r="DN95" s="436"/>
      <c r="DO95" s="329"/>
      <c r="DP95" s="329"/>
      <c r="DQ95" s="329"/>
      <c r="DR95" s="329"/>
      <c r="DS95" s="329"/>
      <c r="DT95" s="329"/>
      <c r="DU95" s="329"/>
      <c r="DV95" s="329"/>
      <c r="DW95" s="329"/>
      <c r="DX95" s="329"/>
      <c r="DY95" s="329"/>
      <c r="DZ95" s="329"/>
      <c r="EA95" s="329"/>
      <c r="EB95" s="329"/>
      <c r="EC95" s="322">
        <f t="shared" si="117"/>
        <v>0</v>
      </c>
      <c r="ED95" s="322">
        <f t="shared" si="117"/>
        <v>0</v>
      </c>
      <c r="EE95" s="329"/>
      <c r="EF95" s="329"/>
      <c r="EG95" s="329"/>
      <c r="EH95" s="329"/>
      <c r="EI95" s="329"/>
      <c r="EJ95" s="329"/>
      <c r="EK95" s="436"/>
      <c r="EL95" s="322">
        <f>$C95*EK95</f>
        <v>0</v>
      </c>
      <c r="EM95" s="436"/>
      <c r="EN95" s="436"/>
      <c r="EO95" s="436"/>
      <c r="EP95" s="436"/>
      <c r="EQ95" s="436"/>
      <c r="ER95" s="436"/>
      <c r="ES95" s="436"/>
      <c r="ET95" s="436"/>
      <c r="EU95" s="436"/>
      <c r="EV95" s="436"/>
      <c r="EW95" s="436"/>
      <c r="EX95" s="436"/>
      <c r="EY95" s="436"/>
      <c r="EZ95" s="436"/>
      <c r="FA95" s="436"/>
      <c r="FB95" s="436"/>
      <c r="FC95" s="322">
        <f t="shared" si="118"/>
        <v>0</v>
      </c>
      <c r="FD95" s="322">
        <f t="shared" si="118"/>
        <v>0</v>
      </c>
      <c r="FE95" s="329"/>
      <c r="FF95" s="329"/>
      <c r="FG95" s="329"/>
      <c r="FH95" s="329"/>
      <c r="FI95" s="329"/>
      <c r="FJ95" s="329"/>
      <c r="FK95" s="436"/>
      <c r="FL95" s="322">
        <f>$C95*FK95</f>
        <v>0</v>
      </c>
      <c r="FM95" s="436"/>
      <c r="FN95" s="436"/>
      <c r="FO95" s="436"/>
      <c r="FP95" s="436"/>
      <c r="FQ95" s="436"/>
      <c r="FR95" s="436"/>
      <c r="FS95" s="436"/>
      <c r="FT95" s="436"/>
      <c r="FU95" s="436"/>
      <c r="FV95" s="436"/>
      <c r="FW95" s="436"/>
      <c r="FX95" s="436"/>
      <c r="FY95" s="436"/>
      <c r="FZ95" s="436"/>
      <c r="GA95" s="436"/>
      <c r="GB95" s="436"/>
      <c r="GC95" s="322">
        <f t="shared" si="119"/>
        <v>0</v>
      </c>
      <c r="GD95" s="322">
        <f t="shared" si="120"/>
        <v>0</v>
      </c>
      <c r="GE95" s="329"/>
      <c r="GF95" s="329"/>
      <c r="GG95" s="329"/>
      <c r="GH95" s="329"/>
      <c r="GI95" s="329"/>
      <c r="GJ95" s="329"/>
      <c r="GK95" s="436"/>
      <c r="GL95" s="322">
        <f>$C95*GK95</f>
        <v>0</v>
      </c>
      <c r="GM95" s="436"/>
      <c r="GN95" s="436"/>
      <c r="GO95" s="436"/>
      <c r="GP95" s="436"/>
      <c r="GQ95" s="436"/>
      <c r="GR95" s="436"/>
      <c r="GS95" s="436"/>
      <c r="GT95" s="436"/>
      <c r="GU95" s="436"/>
      <c r="GV95" s="436"/>
      <c r="GW95" s="436"/>
      <c r="GX95" s="436"/>
      <c r="GY95" s="436"/>
      <c r="GZ95" s="436"/>
      <c r="HA95" s="436"/>
      <c r="HB95" s="436"/>
      <c r="HC95" s="322">
        <f t="shared" si="121"/>
        <v>0</v>
      </c>
      <c r="HD95" s="322">
        <f t="shared" si="121"/>
        <v>0</v>
      </c>
      <c r="HE95" s="322">
        <f t="shared" si="122"/>
        <v>0</v>
      </c>
      <c r="HF95" s="322">
        <f t="shared" si="123"/>
        <v>0</v>
      </c>
      <c r="HH95" s="448"/>
      <c r="HI95" s="449"/>
      <c r="HJ95" s="448"/>
    </row>
    <row r="96" spans="2:218" x14ac:dyDescent="0.2">
      <c r="B96" s="313" t="s">
        <v>416</v>
      </c>
      <c r="C96" s="322">
        <v>23760000</v>
      </c>
      <c r="D96" s="328"/>
      <c r="E96" s="320"/>
      <c r="F96" s="320"/>
      <c r="G96" s="320"/>
      <c r="H96" s="320"/>
      <c r="I96" s="320"/>
      <c r="J96" s="320"/>
      <c r="K96" s="320"/>
      <c r="L96" s="320"/>
      <c r="M96" s="320"/>
      <c r="N96" s="320"/>
      <c r="O96" s="320"/>
      <c r="P96" s="320"/>
      <c r="Q96" s="320"/>
      <c r="R96" s="320"/>
      <c r="S96" s="320"/>
      <c r="T96" s="320"/>
      <c r="U96" s="320"/>
      <c r="V96" s="320"/>
      <c r="W96" s="320"/>
      <c r="X96" s="320"/>
      <c r="Y96" s="320"/>
      <c r="Z96" s="320"/>
      <c r="AA96" s="320"/>
      <c r="AB96" s="320"/>
      <c r="AC96" s="322">
        <f t="shared" si="124"/>
        <v>0</v>
      </c>
      <c r="AD96" s="322">
        <f t="shared" si="124"/>
        <v>0</v>
      </c>
      <c r="AE96" s="320"/>
      <c r="AF96" s="320"/>
      <c r="AG96" s="320"/>
      <c r="AH96" s="320"/>
      <c r="AI96" s="320"/>
      <c r="AJ96" s="320"/>
      <c r="AK96" s="320"/>
      <c r="AL96" s="320"/>
      <c r="AM96" s="320"/>
      <c r="AN96" s="320"/>
      <c r="AO96" s="322"/>
      <c r="AP96" s="322"/>
      <c r="AQ96" s="322"/>
      <c r="AR96" s="322"/>
      <c r="AS96" s="322"/>
      <c r="AT96" s="322"/>
      <c r="AU96" s="322"/>
      <c r="AV96" s="322"/>
      <c r="AW96" s="322"/>
      <c r="AX96" s="322"/>
      <c r="AY96" s="322"/>
      <c r="AZ96" s="322"/>
      <c r="BA96" s="322"/>
      <c r="BB96" s="322"/>
      <c r="BC96" s="322">
        <f t="shared" si="125"/>
        <v>0</v>
      </c>
      <c r="BD96" s="322">
        <f t="shared" si="125"/>
        <v>0</v>
      </c>
      <c r="BE96" s="322"/>
      <c r="BF96" s="322"/>
      <c r="BG96" s="322"/>
      <c r="BH96" s="322"/>
      <c r="BI96" s="322"/>
      <c r="BJ96" s="322"/>
      <c r="BK96" s="322"/>
      <c r="BL96" s="322"/>
      <c r="BM96" s="322"/>
      <c r="BN96" s="322"/>
      <c r="BO96" s="322"/>
      <c r="BP96" s="322"/>
      <c r="BQ96" s="322"/>
      <c r="BR96" s="322"/>
      <c r="BS96" s="322"/>
      <c r="BT96" s="322"/>
      <c r="BU96" s="322"/>
      <c r="BV96" s="322"/>
      <c r="BW96" s="322"/>
      <c r="BX96" s="322"/>
      <c r="BY96" s="322"/>
      <c r="BZ96" s="322"/>
      <c r="CA96" s="322"/>
      <c r="CB96" s="322"/>
      <c r="CC96" s="322">
        <f t="shared" si="115"/>
        <v>0</v>
      </c>
      <c r="CD96" s="322">
        <f t="shared" si="115"/>
        <v>0</v>
      </c>
      <c r="CE96" s="322"/>
      <c r="CF96" s="322"/>
      <c r="CG96" s="322"/>
      <c r="CH96" s="322"/>
      <c r="CI96" s="322"/>
      <c r="CJ96" s="322"/>
      <c r="CK96" s="322"/>
      <c r="CL96" s="322"/>
      <c r="CM96" s="322"/>
      <c r="CN96" s="322"/>
      <c r="CO96" s="322"/>
      <c r="CP96" s="322"/>
      <c r="CQ96" s="322"/>
      <c r="CR96" s="322"/>
      <c r="CS96" s="322"/>
      <c r="CT96" s="322"/>
      <c r="CU96" s="322"/>
      <c r="CV96" s="322"/>
      <c r="CW96" s="322"/>
      <c r="CX96" s="322"/>
      <c r="CY96" s="322"/>
      <c r="CZ96" s="322"/>
      <c r="DA96" s="322"/>
      <c r="DB96" s="322"/>
      <c r="DC96" s="322">
        <f t="shared" si="116"/>
        <v>0</v>
      </c>
      <c r="DD96" s="322">
        <f t="shared" si="116"/>
        <v>0</v>
      </c>
      <c r="DE96" s="436"/>
      <c r="DF96" s="436"/>
      <c r="DG96" s="436"/>
      <c r="DH96" s="436"/>
      <c r="DI96" s="436"/>
      <c r="DJ96" s="436"/>
      <c r="DK96" s="436"/>
      <c r="DL96" s="436"/>
      <c r="DM96" s="436"/>
      <c r="DN96" s="436"/>
      <c r="DO96" s="329"/>
      <c r="DP96" s="329"/>
      <c r="DQ96" s="329"/>
      <c r="DR96" s="329"/>
      <c r="DS96" s="329"/>
      <c r="DT96" s="329"/>
      <c r="DU96" s="329"/>
      <c r="DV96" s="329"/>
      <c r="DW96" s="329"/>
      <c r="DX96" s="329"/>
      <c r="DY96" s="329"/>
      <c r="DZ96" s="329"/>
      <c r="EA96" s="329"/>
      <c r="EB96" s="329"/>
      <c r="EC96" s="322">
        <f t="shared" si="117"/>
        <v>0</v>
      </c>
      <c r="ED96" s="322">
        <f t="shared" si="117"/>
        <v>0</v>
      </c>
      <c r="EE96" s="329"/>
      <c r="EF96" s="329"/>
      <c r="EG96" s="329"/>
      <c r="EH96" s="329"/>
      <c r="EI96" s="329"/>
      <c r="EJ96" s="329"/>
      <c r="EK96" s="436"/>
      <c r="EL96" s="436"/>
      <c r="EM96" s="436"/>
      <c r="EN96" s="436"/>
      <c r="EO96" s="436"/>
      <c r="EP96" s="436"/>
      <c r="EQ96" s="436"/>
      <c r="ER96" s="436"/>
      <c r="ES96" s="436"/>
      <c r="ET96" s="436"/>
      <c r="EU96" s="436"/>
      <c r="EV96" s="436"/>
      <c r="EW96" s="436"/>
      <c r="EX96" s="436"/>
      <c r="EY96" s="436"/>
      <c r="EZ96" s="436"/>
      <c r="FA96" s="436"/>
      <c r="FB96" s="436"/>
      <c r="FC96" s="322">
        <f t="shared" si="118"/>
        <v>0</v>
      </c>
      <c r="FD96" s="322">
        <f t="shared" si="118"/>
        <v>0</v>
      </c>
      <c r="FE96" s="329"/>
      <c r="FF96" s="329"/>
      <c r="FG96" s="329"/>
      <c r="FH96" s="329"/>
      <c r="FI96" s="329"/>
      <c r="FJ96" s="329"/>
      <c r="FK96" s="436"/>
      <c r="FL96" s="436"/>
      <c r="FM96" s="436"/>
      <c r="FN96" s="436"/>
      <c r="FO96" s="436"/>
      <c r="FP96" s="436"/>
      <c r="FQ96" s="436"/>
      <c r="FR96" s="436"/>
      <c r="FS96" s="436"/>
      <c r="FT96" s="322">
        <f>$C96*FS96</f>
        <v>0</v>
      </c>
      <c r="FU96" s="436"/>
      <c r="FV96" s="436"/>
      <c r="FW96" s="436"/>
      <c r="FX96" s="436"/>
      <c r="FY96" s="436"/>
      <c r="FZ96" s="436"/>
      <c r="GA96" s="436"/>
      <c r="GB96" s="436"/>
      <c r="GC96" s="322">
        <f t="shared" si="119"/>
        <v>0</v>
      </c>
      <c r="GD96" s="322">
        <f t="shared" si="120"/>
        <v>0</v>
      </c>
      <c r="GE96" s="329"/>
      <c r="GF96" s="329"/>
      <c r="GG96" s="329"/>
      <c r="GH96" s="329"/>
      <c r="GI96" s="329"/>
      <c r="GJ96" s="329"/>
      <c r="GK96" s="436"/>
      <c r="GL96" s="436"/>
      <c r="GM96" s="436"/>
      <c r="GN96" s="436"/>
      <c r="GO96" s="436"/>
      <c r="GP96" s="436"/>
      <c r="GQ96" s="436"/>
      <c r="GR96" s="436"/>
      <c r="GS96" s="436"/>
      <c r="GT96" s="322">
        <f>$C96*GS96</f>
        <v>0</v>
      </c>
      <c r="GU96" s="436"/>
      <c r="GV96" s="436"/>
      <c r="GW96" s="436"/>
      <c r="GX96" s="436"/>
      <c r="GY96" s="436"/>
      <c r="GZ96" s="436"/>
      <c r="HA96" s="436"/>
      <c r="HB96" s="436"/>
      <c r="HC96" s="322">
        <f t="shared" si="121"/>
        <v>0</v>
      </c>
      <c r="HD96" s="322">
        <f t="shared" si="121"/>
        <v>0</v>
      </c>
      <c r="HE96" s="322">
        <f t="shared" si="122"/>
        <v>0</v>
      </c>
      <c r="HF96" s="322">
        <f t="shared" si="123"/>
        <v>0</v>
      </c>
      <c r="HH96" s="448"/>
      <c r="HI96" s="449"/>
      <c r="HJ96" s="448"/>
    </row>
    <row r="97" spans="1:218" x14ac:dyDescent="0.2">
      <c r="B97" s="313" t="s">
        <v>417</v>
      </c>
      <c r="C97" s="322">
        <v>19650000</v>
      </c>
      <c r="D97" s="328">
        <v>0</v>
      </c>
      <c r="E97" s="320"/>
      <c r="F97" s="320"/>
      <c r="G97" s="320"/>
      <c r="H97" s="320"/>
      <c r="I97" s="320"/>
      <c r="J97" s="320"/>
      <c r="K97" s="320"/>
      <c r="L97" s="320"/>
      <c r="M97" s="320"/>
      <c r="N97" s="320"/>
      <c r="O97" s="320"/>
      <c r="P97" s="320"/>
      <c r="Q97" s="320"/>
      <c r="R97" s="320"/>
      <c r="S97" s="320"/>
      <c r="T97" s="320"/>
      <c r="U97" s="320"/>
      <c r="V97" s="320"/>
      <c r="W97" s="320"/>
      <c r="X97" s="320"/>
      <c r="Y97" s="320"/>
      <c r="Z97" s="320"/>
      <c r="AA97" s="320"/>
      <c r="AB97" s="320"/>
      <c r="AC97" s="322">
        <f t="shared" si="124"/>
        <v>0</v>
      </c>
      <c r="AD97" s="322">
        <f t="shared" si="124"/>
        <v>0</v>
      </c>
      <c r="AE97" s="320"/>
      <c r="AF97" s="320"/>
      <c r="AG97" s="320"/>
      <c r="AH97" s="320"/>
      <c r="AI97" s="320"/>
      <c r="AJ97" s="320"/>
      <c r="AK97" s="322"/>
      <c r="AL97" s="322">
        <f>$C97*AK97</f>
        <v>0</v>
      </c>
      <c r="AM97" s="322"/>
      <c r="AN97" s="322"/>
      <c r="AO97" s="322"/>
      <c r="AP97" s="322"/>
      <c r="AQ97" s="322"/>
      <c r="AR97" s="322"/>
      <c r="AS97" s="322"/>
      <c r="AT97" s="322">
        <f>$C97*AS97</f>
        <v>0</v>
      </c>
      <c r="AU97" s="322"/>
      <c r="AV97" s="322"/>
      <c r="AW97" s="322"/>
      <c r="AX97" s="322"/>
      <c r="AY97" s="322"/>
      <c r="AZ97" s="322"/>
      <c r="BA97" s="322"/>
      <c r="BB97" s="322"/>
      <c r="BC97" s="322">
        <f t="shared" si="125"/>
        <v>0</v>
      </c>
      <c r="BD97" s="322">
        <f t="shared" si="125"/>
        <v>0</v>
      </c>
      <c r="BE97" s="322"/>
      <c r="BF97" s="322"/>
      <c r="BG97" s="322"/>
      <c r="BH97" s="322"/>
      <c r="BI97" s="322"/>
      <c r="BJ97" s="322"/>
      <c r="BK97" s="322"/>
      <c r="BL97" s="322">
        <f>$C97*BK97</f>
        <v>0</v>
      </c>
      <c r="BM97" s="322"/>
      <c r="BN97" s="322"/>
      <c r="BO97" s="322"/>
      <c r="BP97" s="322"/>
      <c r="BQ97" s="322"/>
      <c r="BR97" s="322"/>
      <c r="BS97" s="322"/>
      <c r="BT97" s="322">
        <f>$C97*BS97</f>
        <v>0</v>
      </c>
      <c r="BU97" s="322"/>
      <c r="BV97" s="322"/>
      <c r="BW97" s="322"/>
      <c r="BX97" s="322"/>
      <c r="BY97" s="322"/>
      <c r="BZ97" s="322"/>
      <c r="CA97" s="322"/>
      <c r="CB97" s="322"/>
      <c r="CC97" s="322">
        <f t="shared" si="115"/>
        <v>0</v>
      </c>
      <c r="CD97" s="322">
        <f t="shared" si="115"/>
        <v>0</v>
      </c>
      <c r="CE97" s="322"/>
      <c r="CF97" s="322"/>
      <c r="CG97" s="322"/>
      <c r="CH97" s="322"/>
      <c r="CI97" s="322"/>
      <c r="CJ97" s="322"/>
      <c r="CK97" s="322"/>
      <c r="CL97" s="322">
        <f>$C97*CK97</f>
        <v>0</v>
      </c>
      <c r="CM97" s="322"/>
      <c r="CN97" s="322"/>
      <c r="CO97" s="322"/>
      <c r="CP97" s="322"/>
      <c r="CQ97" s="322"/>
      <c r="CR97" s="322"/>
      <c r="CS97" s="322"/>
      <c r="CT97" s="322">
        <f>$C97*CS97</f>
        <v>0</v>
      </c>
      <c r="CU97" s="322"/>
      <c r="CV97" s="322"/>
      <c r="CW97" s="322"/>
      <c r="CX97" s="322"/>
      <c r="CY97" s="322"/>
      <c r="CZ97" s="322"/>
      <c r="DA97" s="322"/>
      <c r="DB97" s="322"/>
      <c r="DC97" s="322">
        <f t="shared" si="116"/>
        <v>0</v>
      </c>
      <c r="DD97" s="322">
        <f t="shared" si="116"/>
        <v>0</v>
      </c>
      <c r="DE97" s="436"/>
      <c r="DF97" s="436"/>
      <c r="DG97" s="436"/>
      <c r="DH97" s="436"/>
      <c r="DI97" s="436"/>
      <c r="DJ97" s="436"/>
      <c r="DK97" s="436"/>
      <c r="DL97" s="436"/>
      <c r="DM97" s="436"/>
      <c r="DN97" s="436"/>
      <c r="DO97" s="329"/>
      <c r="DP97" s="329"/>
      <c r="DQ97" s="329"/>
      <c r="DR97" s="329"/>
      <c r="DS97" s="329"/>
      <c r="DT97" s="322">
        <f>$C97*DS97</f>
        <v>0</v>
      </c>
      <c r="DU97" s="329"/>
      <c r="DV97" s="329"/>
      <c r="DW97" s="329"/>
      <c r="DX97" s="329"/>
      <c r="DY97" s="329"/>
      <c r="DZ97" s="329"/>
      <c r="EA97" s="329"/>
      <c r="EB97" s="322">
        <f>$C97*EA97</f>
        <v>0</v>
      </c>
      <c r="EC97" s="322">
        <f t="shared" si="117"/>
        <v>0</v>
      </c>
      <c r="ED97" s="322">
        <f t="shared" si="117"/>
        <v>0</v>
      </c>
      <c r="EE97" s="329"/>
      <c r="EF97" s="329"/>
      <c r="EG97" s="329"/>
      <c r="EH97" s="329"/>
      <c r="EI97" s="329"/>
      <c r="EJ97" s="329"/>
      <c r="EK97" s="436"/>
      <c r="EL97" s="322">
        <f>$C97*EK97</f>
        <v>0</v>
      </c>
      <c r="EM97" s="436"/>
      <c r="EN97" s="436"/>
      <c r="EO97" s="436"/>
      <c r="EP97" s="436"/>
      <c r="EQ97" s="436"/>
      <c r="ER97" s="436"/>
      <c r="ES97" s="436"/>
      <c r="ET97" s="322">
        <f>$C97*ES97</f>
        <v>0</v>
      </c>
      <c r="EU97" s="436"/>
      <c r="EV97" s="436"/>
      <c r="EW97" s="436"/>
      <c r="EX97" s="436"/>
      <c r="EY97" s="436"/>
      <c r="EZ97" s="436"/>
      <c r="FA97" s="436"/>
      <c r="FB97" s="322">
        <f>$C97*FA97</f>
        <v>0</v>
      </c>
      <c r="FC97" s="322">
        <f t="shared" si="118"/>
        <v>0</v>
      </c>
      <c r="FD97" s="322">
        <f t="shared" si="118"/>
        <v>0</v>
      </c>
      <c r="FE97" s="329"/>
      <c r="FF97" s="329"/>
      <c r="FG97" s="329"/>
      <c r="FH97" s="329"/>
      <c r="FI97" s="329"/>
      <c r="FJ97" s="329"/>
      <c r="FK97" s="436"/>
      <c r="FL97" s="322">
        <f>$C97*FK97</f>
        <v>0</v>
      </c>
      <c r="FM97" s="436"/>
      <c r="FN97" s="436"/>
      <c r="FO97" s="436"/>
      <c r="FP97" s="436"/>
      <c r="FQ97" s="436"/>
      <c r="FR97" s="436"/>
      <c r="FS97" s="436"/>
      <c r="FT97" s="322">
        <f>$C97*FS97</f>
        <v>0</v>
      </c>
      <c r="FU97" s="436"/>
      <c r="FV97" s="436"/>
      <c r="FW97" s="436"/>
      <c r="FX97" s="436"/>
      <c r="FY97" s="436"/>
      <c r="FZ97" s="436"/>
      <c r="GA97" s="436"/>
      <c r="GB97" s="322">
        <f>$C97*GA97</f>
        <v>0</v>
      </c>
      <c r="GC97" s="322">
        <f t="shared" si="119"/>
        <v>0</v>
      </c>
      <c r="GD97" s="322">
        <f t="shared" si="120"/>
        <v>0</v>
      </c>
      <c r="GE97" s="329"/>
      <c r="GF97" s="329"/>
      <c r="GG97" s="329"/>
      <c r="GH97" s="329"/>
      <c r="GI97" s="329"/>
      <c r="GJ97" s="329"/>
      <c r="GK97" s="436"/>
      <c r="GL97" s="322">
        <f>$C97*GK97</f>
        <v>0</v>
      </c>
      <c r="GM97" s="436"/>
      <c r="GN97" s="436"/>
      <c r="GO97" s="436"/>
      <c r="GP97" s="436"/>
      <c r="GQ97" s="436"/>
      <c r="GR97" s="436"/>
      <c r="GS97" s="436"/>
      <c r="GT97" s="322">
        <f>$C97*GS97</f>
        <v>0</v>
      </c>
      <c r="GU97" s="436"/>
      <c r="GV97" s="436"/>
      <c r="GW97" s="436"/>
      <c r="GX97" s="436"/>
      <c r="GY97" s="436"/>
      <c r="GZ97" s="436"/>
      <c r="HA97" s="436"/>
      <c r="HB97" s="436"/>
      <c r="HC97" s="322">
        <f t="shared" si="121"/>
        <v>0</v>
      </c>
      <c r="HD97" s="322">
        <f t="shared" si="121"/>
        <v>0</v>
      </c>
      <c r="HE97" s="322">
        <f t="shared" si="122"/>
        <v>0</v>
      </c>
      <c r="HF97" s="322">
        <f t="shared" si="123"/>
        <v>0</v>
      </c>
      <c r="HH97" s="448"/>
      <c r="HI97" s="449"/>
      <c r="HJ97" s="448"/>
    </row>
    <row r="98" spans="1:218" x14ac:dyDescent="0.2">
      <c r="B98" s="313" t="s">
        <v>418</v>
      </c>
      <c r="C98" s="322">
        <v>19650000</v>
      </c>
      <c r="D98" s="328"/>
      <c r="E98" s="320"/>
      <c r="F98" s="320"/>
      <c r="G98" s="320"/>
      <c r="H98" s="320"/>
      <c r="I98" s="320"/>
      <c r="J98" s="320"/>
      <c r="K98" s="320"/>
      <c r="L98" s="320"/>
      <c r="M98" s="320"/>
      <c r="N98" s="320"/>
      <c r="O98" s="320"/>
      <c r="P98" s="320"/>
      <c r="Q98" s="320"/>
      <c r="R98" s="320"/>
      <c r="S98" s="320"/>
      <c r="T98" s="320"/>
      <c r="U98" s="320"/>
      <c r="V98" s="320"/>
      <c r="W98" s="320"/>
      <c r="X98" s="320"/>
      <c r="Y98" s="320"/>
      <c r="Z98" s="320"/>
      <c r="AA98" s="320"/>
      <c r="AB98" s="320"/>
      <c r="AC98" s="322">
        <f t="shared" si="124"/>
        <v>0</v>
      </c>
      <c r="AD98" s="322">
        <f t="shared" si="124"/>
        <v>0</v>
      </c>
      <c r="AE98" s="320"/>
      <c r="AF98" s="320"/>
      <c r="AG98" s="320"/>
      <c r="AH98" s="320"/>
      <c r="AI98" s="320"/>
      <c r="AJ98" s="320"/>
      <c r="AK98" s="320"/>
      <c r="AL98" s="320"/>
      <c r="AM98" s="320"/>
      <c r="AN98" s="320"/>
      <c r="AO98" s="322"/>
      <c r="AP98" s="322"/>
      <c r="AQ98" s="322"/>
      <c r="AR98" s="322"/>
      <c r="AS98" s="322"/>
      <c r="AT98" s="322"/>
      <c r="AU98" s="322"/>
      <c r="AV98" s="322"/>
      <c r="AW98" s="322"/>
      <c r="AX98" s="322"/>
      <c r="AY98" s="322"/>
      <c r="AZ98" s="322"/>
      <c r="BA98" s="322"/>
      <c r="BB98" s="322"/>
      <c r="BC98" s="322">
        <f t="shared" si="125"/>
        <v>0</v>
      </c>
      <c r="BD98" s="322">
        <f t="shared" si="125"/>
        <v>0</v>
      </c>
      <c r="BE98" s="322"/>
      <c r="BF98" s="322"/>
      <c r="BG98" s="322"/>
      <c r="BH98" s="322"/>
      <c r="BI98" s="322"/>
      <c r="BJ98" s="322"/>
      <c r="BK98" s="322"/>
      <c r="BL98" s="322"/>
      <c r="BM98" s="322"/>
      <c r="BN98" s="322"/>
      <c r="BO98" s="322"/>
      <c r="BP98" s="322"/>
      <c r="BQ98" s="322"/>
      <c r="BR98" s="322"/>
      <c r="BS98" s="322"/>
      <c r="BT98" s="322"/>
      <c r="BU98" s="322"/>
      <c r="BV98" s="322"/>
      <c r="BW98" s="322"/>
      <c r="BX98" s="322"/>
      <c r="BY98" s="322"/>
      <c r="BZ98" s="322"/>
      <c r="CA98" s="322"/>
      <c r="CB98" s="322"/>
      <c r="CC98" s="322">
        <f t="shared" si="115"/>
        <v>0</v>
      </c>
      <c r="CD98" s="322">
        <f t="shared" si="115"/>
        <v>0</v>
      </c>
      <c r="CE98" s="322"/>
      <c r="CF98" s="322"/>
      <c r="CG98" s="322"/>
      <c r="CH98" s="322"/>
      <c r="CI98" s="322"/>
      <c r="CJ98" s="322"/>
      <c r="CK98" s="322"/>
      <c r="CL98" s="322"/>
      <c r="CM98" s="322"/>
      <c r="CN98" s="322"/>
      <c r="CO98" s="322"/>
      <c r="CP98" s="322"/>
      <c r="CQ98" s="322"/>
      <c r="CR98" s="322"/>
      <c r="CS98" s="322"/>
      <c r="CT98" s="322"/>
      <c r="CU98" s="322"/>
      <c r="CV98" s="322"/>
      <c r="CW98" s="322"/>
      <c r="CX98" s="322"/>
      <c r="CY98" s="322"/>
      <c r="CZ98" s="322"/>
      <c r="DA98" s="322"/>
      <c r="DB98" s="322"/>
      <c r="DC98" s="322">
        <f t="shared" si="116"/>
        <v>0</v>
      </c>
      <c r="DD98" s="322">
        <f t="shared" si="116"/>
        <v>0</v>
      </c>
      <c r="DE98" s="436"/>
      <c r="DF98" s="436"/>
      <c r="DG98" s="436"/>
      <c r="DH98" s="436"/>
      <c r="DI98" s="436"/>
      <c r="DJ98" s="436"/>
      <c r="DK98" s="436"/>
      <c r="DL98" s="436"/>
      <c r="DM98" s="436"/>
      <c r="DN98" s="436"/>
      <c r="DO98" s="329"/>
      <c r="DP98" s="329"/>
      <c r="DQ98" s="329"/>
      <c r="DR98" s="329"/>
      <c r="DS98" s="329"/>
      <c r="DT98" s="329"/>
      <c r="DU98" s="329"/>
      <c r="DV98" s="329"/>
      <c r="DW98" s="329"/>
      <c r="DX98" s="329"/>
      <c r="DY98" s="329"/>
      <c r="DZ98" s="329"/>
      <c r="EA98" s="329"/>
      <c r="EB98" s="329"/>
      <c r="EC98" s="322">
        <f t="shared" si="117"/>
        <v>0</v>
      </c>
      <c r="ED98" s="322">
        <f t="shared" si="117"/>
        <v>0</v>
      </c>
      <c r="EE98" s="329"/>
      <c r="EF98" s="329"/>
      <c r="EG98" s="329"/>
      <c r="EH98" s="329"/>
      <c r="EI98" s="329"/>
      <c r="EJ98" s="329"/>
      <c r="EK98" s="436"/>
      <c r="EL98" s="436"/>
      <c r="EM98" s="436"/>
      <c r="EN98" s="436"/>
      <c r="EO98" s="436"/>
      <c r="EP98" s="436"/>
      <c r="EQ98" s="436"/>
      <c r="ER98" s="436"/>
      <c r="ES98" s="436"/>
      <c r="ET98" s="436"/>
      <c r="EU98" s="436"/>
      <c r="EV98" s="436"/>
      <c r="EW98" s="436"/>
      <c r="EX98" s="436"/>
      <c r="EY98" s="436"/>
      <c r="EZ98" s="436"/>
      <c r="FA98" s="436"/>
      <c r="FB98" s="322">
        <f>$C98*FA98</f>
        <v>0</v>
      </c>
      <c r="FC98" s="322">
        <f t="shared" si="118"/>
        <v>0</v>
      </c>
      <c r="FD98" s="322">
        <f t="shared" si="118"/>
        <v>0</v>
      </c>
      <c r="FE98" s="329"/>
      <c r="FF98" s="329"/>
      <c r="FG98" s="329"/>
      <c r="FH98" s="329"/>
      <c r="FI98" s="329"/>
      <c r="FJ98" s="329"/>
      <c r="FK98" s="436"/>
      <c r="FL98" s="436"/>
      <c r="FM98" s="436"/>
      <c r="FN98" s="436"/>
      <c r="FO98" s="436"/>
      <c r="FP98" s="436"/>
      <c r="FQ98" s="436"/>
      <c r="FR98" s="436"/>
      <c r="FS98" s="436"/>
      <c r="FT98" s="436"/>
      <c r="FU98" s="436"/>
      <c r="FV98" s="436"/>
      <c r="FW98" s="436"/>
      <c r="FX98" s="436"/>
      <c r="FY98" s="436"/>
      <c r="FZ98" s="436"/>
      <c r="GA98" s="436"/>
      <c r="GB98" s="436"/>
      <c r="GC98" s="322">
        <f t="shared" si="119"/>
        <v>0</v>
      </c>
      <c r="GD98" s="322">
        <f t="shared" si="120"/>
        <v>0</v>
      </c>
      <c r="GE98" s="329"/>
      <c r="GF98" s="329"/>
      <c r="GG98" s="329"/>
      <c r="GH98" s="329"/>
      <c r="GI98" s="329"/>
      <c r="GJ98" s="329"/>
      <c r="GK98" s="436"/>
      <c r="GL98" s="436"/>
      <c r="GM98" s="436"/>
      <c r="GN98" s="436"/>
      <c r="GO98" s="436"/>
      <c r="GP98" s="436"/>
      <c r="GQ98" s="436"/>
      <c r="GR98" s="436"/>
      <c r="GS98" s="436"/>
      <c r="GT98" s="436"/>
      <c r="GU98" s="436"/>
      <c r="GV98" s="436"/>
      <c r="GW98" s="436"/>
      <c r="GX98" s="436"/>
      <c r="GY98" s="436"/>
      <c r="GZ98" s="436"/>
      <c r="HA98" s="436"/>
      <c r="HB98" s="436"/>
      <c r="HC98" s="322">
        <f t="shared" si="121"/>
        <v>0</v>
      </c>
      <c r="HD98" s="322">
        <f t="shared" si="121"/>
        <v>0</v>
      </c>
      <c r="HE98" s="322">
        <f t="shared" si="122"/>
        <v>0</v>
      </c>
      <c r="HF98" s="322">
        <f t="shared" si="123"/>
        <v>0</v>
      </c>
      <c r="HH98" s="448"/>
      <c r="HI98" s="449"/>
      <c r="HJ98" s="448"/>
    </row>
    <row r="99" spans="1:218" x14ac:dyDescent="0.2">
      <c r="B99" s="313" t="s">
        <v>464</v>
      </c>
      <c r="C99" s="322">
        <v>6000000</v>
      </c>
      <c r="D99" s="328">
        <v>0</v>
      </c>
      <c r="E99" s="320"/>
      <c r="F99" s="320"/>
      <c r="G99" s="320"/>
      <c r="H99" s="320"/>
      <c r="I99" s="320"/>
      <c r="J99" s="320"/>
      <c r="K99" s="320"/>
      <c r="L99" s="320"/>
      <c r="M99" s="320"/>
      <c r="N99" s="320"/>
      <c r="O99" s="320"/>
      <c r="P99" s="320"/>
      <c r="Q99" s="320"/>
      <c r="R99" s="320"/>
      <c r="S99" s="322"/>
      <c r="T99" s="322"/>
      <c r="U99" s="322"/>
      <c r="V99" s="322"/>
      <c r="W99" s="322"/>
      <c r="X99" s="322"/>
      <c r="Y99" s="322"/>
      <c r="Z99" s="322"/>
      <c r="AA99" s="322"/>
      <c r="AB99" s="322"/>
      <c r="AC99" s="322">
        <f t="shared" si="124"/>
        <v>0</v>
      </c>
      <c r="AD99" s="322">
        <f t="shared" si="124"/>
        <v>0</v>
      </c>
      <c r="AE99" s="322"/>
      <c r="AF99" s="322"/>
      <c r="AG99" s="320"/>
      <c r="AH99" s="320"/>
      <c r="AI99" s="320"/>
      <c r="AJ99" s="320"/>
      <c r="AK99" s="322"/>
      <c r="AL99" s="322">
        <f>$C99*AK99</f>
        <v>0</v>
      </c>
      <c r="AM99" s="320"/>
      <c r="AN99" s="320"/>
      <c r="AO99" s="322"/>
      <c r="AP99" s="322"/>
      <c r="AQ99" s="322"/>
      <c r="AR99" s="322"/>
      <c r="AS99" s="322"/>
      <c r="AT99" s="322">
        <f>$C99*AS99</f>
        <v>0</v>
      </c>
      <c r="AU99" s="322"/>
      <c r="AV99" s="322"/>
      <c r="AW99" s="322"/>
      <c r="AX99" s="322"/>
      <c r="AY99" s="322"/>
      <c r="AZ99" s="322"/>
      <c r="BA99" s="322"/>
      <c r="BB99" s="322">
        <f>$C99*BA99</f>
        <v>0</v>
      </c>
      <c r="BC99" s="322">
        <f t="shared" si="125"/>
        <v>0</v>
      </c>
      <c r="BD99" s="322">
        <f t="shared" si="125"/>
        <v>0</v>
      </c>
      <c r="BE99" s="322"/>
      <c r="BF99" s="322">
        <f>$C99*BE99</f>
        <v>0</v>
      </c>
      <c r="BG99" s="322"/>
      <c r="BH99" s="322"/>
      <c r="BI99" s="322"/>
      <c r="BJ99" s="322"/>
      <c r="BK99" s="322"/>
      <c r="BL99" s="322">
        <f>$C99*BK99</f>
        <v>0</v>
      </c>
      <c r="BM99" s="320"/>
      <c r="BN99" s="320"/>
      <c r="BO99" s="322"/>
      <c r="BP99" s="322"/>
      <c r="BQ99" s="322"/>
      <c r="BR99" s="322"/>
      <c r="BS99" s="322"/>
      <c r="BT99" s="322">
        <f>$C99*BS99</f>
        <v>0</v>
      </c>
      <c r="BU99" s="322"/>
      <c r="BV99" s="322"/>
      <c r="BW99" s="322"/>
      <c r="BX99" s="322"/>
      <c r="BY99" s="322"/>
      <c r="BZ99" s="322"/>
      <c r="CA99" s="322"/>
      <c r="CB99" s="322">
        <f>$C99*CA99</f>
        <v>0</v>
      </c>
      <c r="CC99" s="322">
        <f t="shared" si="115"/>
        <v>0</v>
      </c>
      <c r="CD99" s="322">
        <f t="shared" si="115"/>
        <v>0</v>
      </c>
      <c r="CE99" s="322"/>
      <c r="CF99" s="322"/>
      <c r="CG99" s="322"/>
      <c r="CH99" s="322"/>
      <c r="CI99" s="322"/>
      <c r="CJ99" s="322"/>
      <c r="CK99" s="322"/>
      <c r="CL99" s="322">
        <f>$C99*CK99</f>
        <v>0</v>
      </c>
      <c r="CM99" s="320"/>
      <c r="CN99" s="320"/>
      <c r="CO99" s="322"/>
      <c r="CP99" s="322"/>
      <c r="CQ99" s="322"/>
      <c r="CR99" s="322"/>
      <c r="CS99" s="322"/>
      <c r="CT99" s="322">
        <f>$C99*CS99</f>
        <v>0</v>
      </c>
      <c r="CU99" s="322"/>
      <c r="CV99" s="322"/>
      <c r="CW99" s="322"/>
      <c r="CX99" s="322"/>
      <c r="CY99" s="322"/>
      <c r="CZ99" s="322"/>
      <c r="DA99" s="322"/>
      <c r="DB99" s="322">
        <f>$C99*DA99</f>
        <v>0</v>
      </c>
      <c r="DC99" s="322">
        <f t="shared" si="116"/>
        <v>0</v>
      </c>
      <c r="DD99" s="322">
        <f>CF99+CH99+CJ99+CL99+CN99+CP99+CR99+CT99+CV99+CX99+CZ99+DB99</f>
        <v>0</v>
      </c>
      <c r="DE99" s="436"/>
      <c r="DF99" s="436"/>
      <c r="DG99" s="436"/>
      <c r="DH99" s="436"/>
      <c r="DI99" s="436"/>
      <c r="DJ99" s="436"/>
      <c r="DK99" s="436"/>
      <c r="DL99" s="322">
        <f>$C99*DK99</f>
        <v>0</v>
      </c>
      <c r="DM99" s="329"/>
      <c r="DN99" s="329"/>
      <c r="DO99" s="436"/>
      <c r="DP99" s="436"/>
      <c r="DQ99" s="436"/>
      <c r="DR99" s="436"/>
      <c r="DS99" s="436"/>
      <c r="DT99" s="322">
        <f>$C99*DS99</f>
        <v>0</v>
      </c>
      <c r="DU99" s="436"/>
      <c r="DV99" s="436"/>
      <c r="DW99" s="436"/>
      <c r="DX99" s="436"/>
      <c r="DY99" s="436"/>
      <c r="DZ99" s="436"/>
      <c r="EA99" s="436"/>
      <c r="EB99" s="322">
        <f>$C99*EA99</f>
        <v>0</v>
      </c>
      <c r="EC99" s="322">
        <f t="shared" si="117"/>
        <v>0</v>
      </c>
      <c r="ED99" s="322">
        <f t="shared" si="117"/>
        <v>0</v>
      </c>
      <c r="EE99" s="329"/>
      <c r="EF99" s="329"/>
      <c r="EG99" s="329"/>
      <c r="EH99" s="329"/>
      <c r="EI99" s="329"/>
      <c r="EJ99" s="329"/>
      <c r="EK99" s="436"/>
      <c r="EL99" s="322">
        <f>$C99*EK99</f>
        <v>0</v>
      </c>
      <c r="EM99" s="329"/>
      <c r="EN99" s="329"/>
      <c r="EO99" s="436"/>
      <c r="EP99" s="436"/>
      <c r="EQ99" s="436"/>
      <c r="ER99" s="436"/>
      <c r="ES99" s="436"/>
      <c r="ET99" s="322">
        <f>$C99*ES99</f>
        <v>0</v>
      </c>
      <c r="EU99" s="436"/>
      <c r="EV99" s="436"/>
      <c r="EW99" s="436"/>
      <c r="EX99" s="436"/>
      <c r="EY99" s="436"/>
      <c r="EZ99" s="436"/>
      <c r="FA99" s="436"/>
      <c r="FB99" s="322">
        <f>$C99*FA99</f>
        <v>0</v>
      </c>
      <c r="FC99" s="322">
        <f t="shared" si="118"/>
        <v>0</v>
      </c>
      <c r="FD99" s="322">
        <f t="shared" si="118"/>
        <v>0</v>
      </c>
      <c r="FE99" s="329"/>
      <c r="FF99" s="329"/>
      <c r="FG99" s="329"/>
      <c r="FH99" s="329"/>
      <c r="FI99" s="329"/>
      <c r="FJ99" s="329"/>
      <c r="FK99" s="436"/>
      <c r="FL99" s="322">
        <f>$C99*FK99</f>
        <v>0</v>
      </c>
      <c r="FM99" s="329"/>
      <c r="FN99" s="329"/>
      <c r="FO99" s="436"/>
      <c r="FP99" s="436"/>
      <c r="FQ99" s="436"/>
      <c r="FR99" s="436"/>
      <c r="FS99" s="436"/>
      <c r="FT99" s="322">
        <f>$C99*FS99</f>
        <v>0</v>
      </c>
      <c r="FU99" s="436"/>
      <c r="FV99" s="436"/>
      <c r="FW99" s="436"/>
      <c r="FX99" s="436"/>
      <c r="FY99" s="436"/>
      <c r="FZ99" s="436"/>
      <c r="GA99" s="436"/>
      <c r="GB99" s="322">
        <f>$C99*GA99</f>
        <v>0</v>
      </c>
      <c r="GC99" s="322">
        <f t="shared" si="119"/>
        <v>0</v>
      </c>
      <c r="GD99" s="322">
        <f t="shared" si="120"/>
        <v>0</v>
      </c>
      <c r="GE99" s="329"/>
      <c r="GF99" s="329"/>
      <c r="GG99" s="329"/>
      <c r="GH99" s="329"/>
      <c r="GI99" s="329"/>
      <c r="GJ99" s="329"/>
      <c r="GK99" s="436"/>
      <c r="GL99" s="322">
        <f>$C99*GK99</f>
        <v>0</v>
      </c>
      <c r="GM99" s="329"/>
      <c r="GN99" s="329"/>
      <c r="GO99" s="436"/>
      <c r="GP99" s="436"/>
      <c r="GQ99" s="436"/>
      <c r="GR99" s="436"/>
      <c r="GS99" s="436"/>
      <c r="GT99" s="322">
        <f>$C99*GS99</f>
        <v>0</v>
      </c>
      <c r="GU99" s="436"/>
      <c r="GV99" s="436"/>
      <c r="GW99" s="436"/>
      <c r="GX99" s="436"/>
      <c r="GY99" s="436"/>
      <c r="GZ99" s="436"/>
      <c r="HA99" s="436"/>
      <c r="HB99" s="322">
        <f>$C99*HA99</f>
        <v>0</v>
      </c>
      <c r="HC99" s="322">
        <f t="shared" si="121"/>
        <v>0</v>
      </c>
      <c r="HD99" s="322">
        <f t="shared" si="121"/>
        <v>0</v>
      </c>
      <c r="HE99" s="322">
        <f t="shared" si="122"/>
        <v>0</v>
      </c>
      <c r="HF99" s="322">
        <f t="shared" si="123"/>
        <v>0</v>
      </c>
      <c r="HH99" s="448"/>
      <c r="HI99" s="449"/>
      <c r="HJ99" s="448"/>
    </row>
    <row r="100" spans="1:218" x14ac:dyDescent="0.2">
      <c r="B100" s="313" t="s">
        <v>465</v>
      </c>
      <c r="C100" s="322">
        <v>90000000</v>
      </c>
      <c r="D100" s="328"/>
      <c r="E100" s="320"/>
      <c r="F100" s="320"/>
      <c r="G100" s="320"/>
      <c r="H100" s="320"/>
      <c r="I100" s="320"/>
      <c r="J100" s="320"/>
      <c r="K100" s="320"/>
      <c r="L100" s="320"/>
      <c r="M100" s="320"/>
      <c r="N100" s="320"/>
      <c r="O100" s="320"/>
      <c r="P100" s="320"/>
      <c r="Q100" s="320"/>
      <c r="R100" s="320"/>
      <c r="S100" s="320"/>
      <c r="T100" s="320"/>
      <c r="U100" s="320"/>
      <c r="V100" s="320"/>
      <c r="W100" s="320"/>
      <c r="X100" s="320"/>
      <c r="Y100" s="320"/>
      <c r="Z100" s="320"/>
      <c r="AA100" s="320"/>
      <c r="AB100" s="320"/>
      <c r="AC100" s="322">
        <f t="shared" si="124"/>
        <v>0</v>
      </c>
      <c r="AD100" s="322">
        <f t="shared" si="124"/>
        <v>0</v>
      </c>
      <c r="AE100" s="320"/>
      <c r="AF100" s="320"/>
      <c r="AG100" s="320"/>
      <c r="AH100" s="320"/>
      <c r="AI100" s="320"/>
      <c r="AJ100" s="320"/>
      <c r="AK100" s="320"/>
      <c r="AL100" s="320"/>
      <c r="AM100" s="320"/>
      <c r="AN100" s="320"/>
      <c r="AO100" s="322"/>
      <c r="AP100" s="322"/>
      <c r="AQ100" s="322"/>
      <c r="AR100" s="322"/>
      <c r="AS100" s="322"/>
      <c r="AT100" s="322"/>
      <c r="AU100" s="322"/>
      <c r="AV100" s="322"/>
      <c r="AW100" s="322"/>
      <c r="AX100" s="322"/>
      <c r="AY100" s="322"/>
      <c r="AZ100" s="322"/>
      <c r="BA100" s="322"/>
      <c r="BB100" s="322"/>
      <c r="BC100" s="322">
        <f t="shared" si="125"/>
        <v>0</v>
      </c>
      <c r="BD100" s="322">
        <f t="shared" si="125"/>
        <v>0</v>
      </c>
      <c r="BE100" s="322"/>
      <c r="BF100" s="322"/>
      <c r="BG100" s="322"/>
      <c r="BH100" s="322"/>
      <c r="BI100" s="322"/>
      <c r="BJ100" s="322"/>
      <c r="BK100" s="322"/>
      <c r="BL100" s="322"/>
      <c r="BM100" s="322"/>
      <c r="BN100" s="322"/>
      <c r="BO100" s="322"/>
      <c r="BP100" s="322"/>
      <c r="BQ100" s="322"/>
      <c r="BR100" s="322"/>
      <c r="BS100" s="322"/>
      <c r="BT100" s="322"/>
      <c r="BU100" s="322"/>
      <c r="BV100" s="322"/>
      <c r="BW100" s="322"/>
      <c r="BX100" s="322"/>
      <c r="BY100" s="322"/>
      <c r="BZ100" s="322"/>
      <c r="CA100" s="322"/>
      <c r="CB100" s="322"/>
      <c r="CC100" s="322">
        <f t="shared" si="115"/>
        <v>0</v>
      </c>
      <c r="CD100" s="322">
        <f t="shared" si="115"/>
        <v>0</v>
      </c>
      <c r="CE100" s="322"/>
      <c r="CF100" s="322"/>
      <c r="CG100" s="322"/>
      <c r="CH100" s="322"/>
      <c r="CI100" s="322"/>
      <c r="CJ100" s="322"/>
      <c r="CK100" s="322"/>
      <c r="CL100" s="322"/>
      <c r="CM100" s="322"/>
      <c r="CN100" s="322"/>
      <c r="CO100" s="322"/>
      <c r="CP100" s="322"/>
      <c r="CQ100" s="322"/>
      <c r="CR100" s="322"/>
      <c r="CS100" s="322"/>
      <c r="CT100" s="322"/>
      <c r="CU100" s="322"/>
      <c r="CV100" s="322"/>
      <c r="CW100" s="322"/>
      <c r="CX100" s="322"/>
      <c r="CY100" s="322"/>
      <c r="CZ100" s="322"/>
      <c r="DA100" s="322"/>
      <c r="DB100" s="322"/>
      <c r="DC100" s="322">
        <f t="shared" si="116"/>
        <v>0</v>
      </c>
      <c r="DD100" s="322">
        <f t="shared" si="116"/>
        <v>0</v>
      </c>
      <c r="DE100" s="436"/>
      <c r="DF100" s="436"/>
      <c r="DG100" s="436"/>
      <c r="DH100" s="436"/>
      <c r="DI100" s="436"/>
      <c r="DJ100" s="436"/>
      <c r="DK100" s="436"/>
      <c r="DL100" s="436"/>
      <c r="DM100" s="436"/>
      <c r="DN100" s="436"/>
      <c r="DO100" s="329"/>
      <c r="DP100" s="329"/>
      <c r="DQ100" s="329"/>
      <c r="DR100" s="329"/>
      <c r="DS100" s="329"/>
      <c r="DT100" s="329"/>
      <c r="DU100" s="329"/>
      <c r="DV100" s="329"/>
      <c r="DW100" s="329"/>
      <c r="DX100" s="329"/>
      <c r="DY100" s="329"/>
      <c r="DZ100" s="329"/>
      <c r="EA100" s="329"/>
      <c r="EB100" s="329"/>
      <c r="EC100" s="322">
        <f t="shared" si="117"/>
        <v>0</v>
      </c>
      <c r="ED100" s="322">
        <f t="shared" si="117"/>
        <v>0</v>
      </c>
      <c r="EE100" s="329"/>
      <c r="EF100" s="329"/>
      <c r="EG100" s="329"/>
      <c r="EH100" s="329"/>
      <c r="EI100" s="329"/>
      <c r="EJ100" s="329"/>
      <c r="EK100" s="329"/>
      <c r="EL100" s="329"/>
      <c r="EM100" s="329"/>
      <c r="EN100" s="329"/>
      <c r="EO100" s="329"/>
      <c r="EP100" s="329"/>
      <c r="EQ100" s="329"/>
      <c r="ER100" s="329"/>
      <c r="ES100" s="329"/>
      <c r="ET100" s="329"/>
      <c r="EU100" s="329"/>
      <c r="EV100" s="329"/>
      <c r="EW100" s="329"/>
      <c r="EX100" s="329"/>
      <c r="EY100" s="329"/>
      <c r="EZ100" s="329"/>
      <c r="FA100" s="436"/>
      <c r="FB100" s="322">
        <f>$C100*FA100</f>
        <v>0</v>
      </c>
      <c r="FC100" s="322">
        <f t="shared" si="118"/>
        <v>0</v>
      </c>
      <c r="FD100" s="322">
        <f t="shared" si="118"/>
        <v>0</v>
      </c>
      <c r="FE100" s="329"/>
      <c r="FF100" s="329"/>
      <c r="FG100" s="329"/>
      <c r="FH100" s="329"/>
      <c r="FI100" s="329"/>
      <c r="FJ100" s="329"/>
      <c r="FK100" s="329"/>
      <c r="FL100" s="329"/>
      <c r="FM100" s="329"/>
      <c r="FN100" s="329"/>
      <c r="FO100" s="329"/>
      <c r="FP100" s="329"/>
      <c r="FQ100" s="329"/>
      <c r="FR100" s="329"/>
      <c r="FS100" s="329"/>
      <c r="FT100" s="329"/>
      <c r="FU100" s="329"/>
      <c r="FV100" s="329"/>
      <c r="FW100" s="329"/>
      <c r="FX100" s="329"/>
      <c r="FY100" s="329"/>
      <c r="FZ100" s="329"/>
      <c r="GA100" s="329"/>
      <c r="GB100" s="329"/>
      <c r="GC100" s="322">
        <f t="shared" si="119"/>
        <v>0</v>
      </c>
      <c r="GD100" s="322">
        <f t="shared" si="120"/>
        <v>0</v>
      </c>
      <c r="GE100" s="329"/>
      <c r="GF100" s="329"/>
      <c r="GG100" s="329"/>
      <c r="GH100" s="329"/>
      <c r="GI100" s="329"/>
      <c r="GJ100" s="329"/>
      <c r="GK100" s="329"/>
      <c r="GL100" s="329"/>
      <c r="GM100" s="329"/>
      <c r="GN100" s="329"/>
      <c r="GO100" s="329"/>
      <c r="GP100" s="329"/>
      <c r="GQ100" s="329"/>
      <c r="GR100" s="329"/>
      <c r="GS100" s="329"/>
      <c r="GT100" s="329"/>
      <c r="GU100" s="329"/>
      <c r="GV100" s="329"/>
      <c r="GW100" s="329"/>
      <c r="GX100" s="329"/>
      <c r="GY100" s="329"/>
      <c r="GZ100" s="329"/>
      <c r="HA100" s="329"/>
      <c r="HB100" s="329"/>
      <c r="HC100" s="322">
        <f t="shared" si="121"/>
        <v>0</v>
      </c>
      <c r="HD100" s="322">
        <f t="shared" si="121"/>
        <v>0</v>
      </c>
      <c r="HE100" s="322">
        <f t="shared" si="122"/>
        <v>0</v>
      </c>
      <c r="HF100" s="322">
        <f t="shared" si="123"/>
        <v>0</v>
      </c>
      <c r="HH100" s="448"/>
      <c r="HI100" s="449"/>
      <c r="HJ100" s="448"/>
    </row>
    <row r="101" spans="1:218" x14ac:dyDescent="0.2">
      <c r="B101" s="260" t="s">
        <v>466</v>
      </c>
      <c r="C101" s="312"/>
      <c r="D101" s="293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  <c r="AA101" s="261"/>
      <c r="AB101" s="261"/>
      <c r="AC101" s="261">
        <f t="shared" si="124"/>
        <v>0</v>
      </c>
      <c r="AD101" s="261">
        <f t="shared" si="124"/>
        <v>0</v>
      </c>
      <c r="AE101" s="261">
        <f>SUM(AE93:AE100)</f>
        <v>0</v>
      </c>
      <c r="AF101" s="261">
        <f t="shared" ref="AF101:BB101" si="126">SUM(AF93:AF100)</f>
        <v>0</v>
      </c>
      <c r="AG101" s="261">
        <f t="shared" si="126"/>
        <v>0</v>
      </c>
      <c r="AH101" s="261">
        <f t="shared" si="126"/>
        <v>0</v>
      </c>
      <c r="AI101" s="261">
        <f t="shared" si="126"/>
        <v>0</v>
      </c>
      <c r="AJ101" s="261">
        <f t="shared" si="126"/>
        <v>0</v>
      </c>
      <c r="AK101" s="261">
        <f t="shared" si="126"/>
        <v>0</v>
      </c>
      <c r="AL101" s="261">
        <f t="shared" si="126"/>
        <v>0</v>
      </c>
      <c r="AM101" s="261">
        <f t="shared" si="126"/>
        <v>0</v>
      </c>
      <c r="AN101" s="261">
        <f t="shared" si="126"/>
        <v>0</v>
      </c>
      <c r="AO101" s="261">
        <f t="shared" si="126"/>
        <v>0</v>
      </c>
      <c r="AP101" s="261">
        <f t="shared" si="126"/>
        <v>0</v>
      </c>
      <c r="AQ101" s="261">
        <f t="shared" si="126"/>
        <v>0</v>
      </c>
      <c r="AR101" s="261">
        <f t="shared" si="126"/>
        <v>0</v>
      </c>
      <c r="AS101" s="261">
        <f t="shared" si="126"/>
        <v>0</v>
      </c>
      <c r="AT101" s="261">
        <f t="shared" si="126"/>
        <v>0</v>
      </c>
      <c r="AU101" s="261">
        <f t="shared" si="126"/>
        <v>0</v>
      </c>
      <c r="AV101" s="261">
        <f t="shared" si="126"/>
        <v>0</v>
      </c>
      <c r="AW101" s="261">
        <f t="shared" si="126"/>
        <v>0</v>
      </c>
      <c r="AX101" s="261">
        <f t="shared" si="126"/>
        <v>0</v>
      </c>
      <c r="AY101" s="261">
        <f t="shared" si="126"/>
        <v>0</v>
      </c>
      <c r="AZ101" s="261">
        <f t="shared" si="126"/>
        <v>0</v>
      </c>
      <c r="BA101" s="261">
        <f t="shared" si="126"/>
        <v>0</v>
      </c>
      <c r="BB101" s="261">
        <f t="shared" si="126"/>
        <v>0</v>
      </c>
      <c r="BC101" s="261">
        <f t="shared" si="125"/>
        <v>0</v>
      </c>
      <c r="BD101" s="261">
        <f t="shared" si="125"/>
        <v>0</v>
      </c>
      <c r="BE101" s="261">
        <f>SUM(BE93:BE100)</f>
        <v>0</v>
      </c>
      <c r="BF101" s="261">
        <f t="shared" ref="BF101:CB101" si="127">SUM(BF93:BF100)</f>
        <v>0</v>
      </c>
      <c r="BG101" s="261">
        <f t="shared" si="127"/>
        <v>0</v>
      </c>
      <c r="BH101" s="261">
        <f t="shared" si="127"/>
        <v>0</v>
      </c>
      <c r="BI101" s="261">
        <f t="shared" si="127"/>
        <v>0</v>
      </c>
      <c r="BJ101" s="261">
        <f t="shared" si="127"/>
        <v>0</v>
      </c>
      <c r="BK101" s="261">
        <f t="shared" si="127"/>
        <v>0</v>
      </c>
      <c r="BL101" s="261">
        <f t="shared" si="127"/>
        <v>0</v>
      </c>
      <c r="BM101" s="261">
        <f t="shared" si="127"/>
        <v>0</v>
      </c>
      <c r="BN101" s="261">
        <f t="shared" si="127"/>
        <v>0</v>
      </c>
      <c r="BO101" s="261">
        <f t="shared" si="127"/>
        <v>0</v>
      </c>
      <c r="BP101" s="261">
        <f t="shared" si="127"/>
        <v>0</v>
      </c>
      <c r="BQ101" s="261">
        <f t="shared" si="127"/>
        <v>0</v>
      </c>
      <c r="BR101" s="261">
        <f t="shared" si="127"/>
        <v>0</v>
      </c>
      <c r="BS101" s="261">
        <f t="shared" si="127"/>
        <v>0</v>
      </c>
      <c r="BT101" s="261">
        <f t="shared" si="127"/>
        <v>0</v>
      </c>
      <c r="BU101" s="261">
        <f t="shared" si="127"/>
        <v>0</v>
      </c>
      <c r="BV101" s="261">
        <f t="shared" si="127"/>
        <v>0</v>
      </c>
      <c r="BW101" s="261">
        <f t="shared" si="127"/>
        <v>0</v>
      </c>
      <c r="BX101" s="261">
        <f t="shared" si="127"/>
        <v>0</v>
      </c>
      <c r="BY101" s="261">
        <f t="shared" si="127"/>
        <v>0</v>
      </c>
      <c r="BZ101" s="261">
        <f t="shared" si="127"/>
        <v>0</v>
      </c>
      <c r="CA101" s="261">
        <f t="shared" si="127"/>
        <v>0</v>
      </c>
      <c r="CB101" s="261">
        <f t="shared" si="127"/>
        <v>0</v>
      </c>
      <c r="CC101" s="261">
        <f t="shared" si="115"/>
        <v>0</v>
      </c>
      <c r="CD101" s="261">
        <f t="shared" si="115"/>
        <v>0</v>
      </c>
      <c r="CE101" s="261">
        <f t="shared" ref="CE101:DB101" si="128">SUM(CE93:CE100)</f>
        <v>0</v>
      </c>
      <c r="CF101" s="261">
        <f t="shared" si="128"/>
        <v>0</v>
      </c>
      <c r="CG101" s="261">
        <f t="shared" si="128"/>
        <v>0</v>
      </c>
      <c r="CH101" s="261">
        <f t="shared" si="128"/>
        <v>0</v>
      </c>
      <c r="CI101" s="261">
        <f t="shared" si="128"/>
        <v>0</v>
      </c>
      <c r="CJ101" s="261">
        <f t="shared" si="128"/>
        <v>0</v>
      </c>
      <c r="CK101" s="261">
        <f t="shared" si="128"/>
        <v>0</v>
      </c>
      <c r="CL101" s="261">
        <f t="shared" si="128"/>
        <v>0</v>
      </c>
      <c r="CM101" s="261">
        <f t="shared" si="128"/>
        <v>0</v>
      </c>
      <c r="CN101" s="261">
        <f t="shared" si="128"/>
        <v>0</v>
      </c>
      <c r="CO101" s="261">
        <f t="shared" si="128"/>
        <v>0</v>
      </c>
      <c r="CP101" s="261">
        <f t="shared" si="128"/>
        <v>0</v>
      </c>
      <c r="CQ101" s="261">
        <f t="shared" si="128"/>
        <v>0</v>
      </c>
      <c r="CR101" s="261">
        <f t="shared" si="128"/>
        <v>0</v>
      </c>
      <c r="CS101" s="261">
        <f t="shared" si="128"/>
        <v>0</v>
      </c>
      <c r="CT101" s="261">
        <f t="shared" si="128"/>
        <v>0</v>
      </c>
      <c r="CU101" s="261">
        <f t="shared" si="128"/>
        <v>0</v>
      </c>
      <c r="CV101" s="261">
        <f t="shared" si="128"/>
        <v>0</v>
      </c>
      <c r="CW101" s="261">
        <f t="shared" si="128"/>
        <v>0</v>
      </c>
      <c r="CX101" s="261">
        <f t="shared" si="128"/>
        <v>0</v>
      </c>
      <c r="CY101" s="261">
        <f t="shared" si="128"/>
        <v>0</v>
      </c>
      <c r="CZ101" s="261">
        <f t="shared" si="128"/>
        <v>0</v>
      </c>
      <c r="DA101" s="261">
        <f t="shared" si="128"/>
        <v>0</v>
      </c>
      <c r="DB101" s="261">
        <f t="shared" si="128"/>
        <v>0</v>
      </c>
      <c r="DC101" s="261">
        <f t="shared" si="116"/>
        <v>0</v>
      </c>
      <c r="DD101" s="261">
        <f t="shared" ref="DD101:EB101" si="129">SUM(DD93:DD100)</f>
        <v>0</v>
      </c>
      <c r="DE101" s="261">
        <f t="shared" si="129"/>
        <v>0</v>
      </c>
      <c r="DF101" s="261">
        <f t="shared" si="129"/>
        <v>0</v>
      </c>
      <c r="DG101" s="261">
        <f t="shared" si="129"/>
        <v>0</v>
      </c>
      <c r="DH101" s="261">
        <f t="shared" si="129"/>
        <v>0</v>
      </c>
      <c r="DI101" s="261">
        <f t="shared" si="129"/>
        <v>0</v>
      </c>
      <c r="DJ101" s="261">
        <f t="shared" si="129"/>
        <v>0</v>
      </c>
      <c r="DK101" s="261">
        <f t="shared" si="129"/>
        <v>0</v>
      </c>
      <c r="DL101" s="261">
        <f t="shared" si="129"/>
        <v>0</v>
      </c>
      <c r="DM101" s="261">
        <f t="shared" si="129"/>
        <v>0</v>
      </c>
      <c r="DN101" s="261">
        <f t="shared" si="129"/>
        <v>0</v>
      </c>
      <c r="DO101" s="261">
        <f t="shared" si="129"/>
        <v>0</v>
      </c>
      <c r="DP101" s="261">
        <f t="shared" si="129"/>
        <v>0</v>
      </c>
      <c r="DQ101" s="261">
        <f t="shared" si="129"/>
        <v>0</v>
      </c>
      <c r="DR101" s="261">
        <f t="shared" si="129"/>
        <v>0</v>
      </c>
      <c r="DS101" s="261">
        <f t="shared" si="129"/>
        <v>0</v>
      </c>
      <c r="DT101" s="261">
        <f t="shared" si="129"/>
        <v>0</v>
      </c>
      <c r="DU101" s="261">
        <f t="shared" si="129"/>
        <v>0</v>
      </c>
      <c r="DV101" s="261">
        <f t="shared" si="129"/>
        <v>0</v>
      </c>
      <c r="DW101" s="261">
        <f t="shared" si="129"/>
        <v>0</v>
      </c>
      <c r="DX101" s="261">
        <f t="shared" si="129"/>
        <v>0</v>
      </c>
      <c r="DY101" s="261">
        <f t="shared" si="129"/>
        <v>0</v>
      </c>
      <c r="DZ101" s="261">
        <f t="shared" si="129"/>
        <v>0</v>
      </c>
      <c r="EA101" s="261">
        <f t="shared" si="129"/>
        <v>0</v>
      </c>
      <c r="EB101" s="261">
        <f t="shared" si="129"/>
        <v>0</v>
      </c>
      <c r="EC101" s="261">
        <f t="shared" si="117"/>
        <v>0</v>
      </c>
      <c r="ED101" s="261">
        <f t="shared" si="117"/>
        <v>0</v>
      </c>
      <c r="EE101" s="261">
        <f t="shared" ref="EE101:FB101" si="130">SUM(EE93:EE100)</f>
        <v>0</v>
      </c>
      <c r="EF101" s="261">
        <f t="shared" si="130"/>
        <v>0</v>
      </c>
      <c r="EG101" s="261">
        <f t="shared" si="130"/>
        <v>0</v>
      </c>
      <c r="EH101" s="261">
        <f t="shared" si="130"/>
        <v>0</v>
      </c>
      <c r="EI101" s="261">
        <f t="shared" si="130"/>
        <v>0</v>
      </c>
      <c r="EJ101" s="261">
        <f t="shared" si="130"/>
        <v>0</v>
      </c>
      <c r="EK101" s="261">
        <f t="shared" si="130"/>
        <v>0</v>
      </c>
      <c r="EL101" s="261">
        <f t="shared" si="130"/>
        <v>0</v>
      </c>
      <c r="EM101" s="261">
        <f t="shared" si="130"/>
        <v>0</v>
      </c>
      <c r="EN101" s="261">
        <f t="shared" si="130"/>
        <v>0</v>
      </c>
      <c r="EO101" s="261">
        <f t="shared" si="130"/>
        <v>0</v>
      </c>
      <c r="EP101" s="261">
        <f t="shared" si="130"/>
        <v>0</v>
      </c>
      <c r="EQ101" s="261">
        <f t="shared" si="130"/>
        <v>0</v>
      </c>
      <c r="ER101" s="261">
        <f t="shared" si="130"/>
        <v>0</v>
      </c>
      <c r="ES101" s="261">
        <f t="shared" si="130"/>
        <v>0</v>
      </c>
      <c r="ET101" s="261">
        <f t="shared" si="130"/>
        <v>0</v>
      </c>
      <c r="EU101" s="261">
        <f t="shared" si="130"/>
        <v>0</v>
      </c>
      <c r="EV101" s="261">
        <f t="shared" si="130"/>
        <v>0</v>
      </c>
      <c r="EW101" s="261">
        <f t="shared" si="130"/>
        <v>0</v>
      </c>
      <c r="EX101" s="261">
        <f t="shared" si="130"/>
        <v>0</v>
      </c>
      <c r="EY101" s="261">
        <f t="shared" si="130"/>
        <v>0</v>
      </c>
      <c r="EZ101" s="261">
        <f t="shared" si="130"/>
        <v>0</v>
      </c>
      <c r="FA101" s="261">
        <f t="shared" si="130"/>
        <v>0</v>
      </c>
      <c r="FB101" s="261">
        <f t="shared" si="130"/>
        <v>0</v>
      </c>
      <c r="FC101" s="261">
        <f t="shared" si="118"/>
        <v>0</v>
      </c>
      <c r="FD101" s="261">
        <f>SUM(FD93:FD100)</f>
        <v>0</v>
      </c>
      <c r="FE101" s="261">
        <f t="shared" ref="FE101:GB101" si="131">SUM(FE93:FE100)</f>
        <v>0</v>
      </c>
      <c r="FF101" s="261">
        <f t="shared" si="131"/>
        <v>0</v>
      </c>
      <c r="FG101" s="261">
        <f t="shared" si="131"/>
        <v>0</v>
      </c>
      <c r="FH101" s="261">
        <f t="shared" si="131"/>
        <v>0</v>
      </c>
      <c r="FI101" s="261">
        <f t="shared" si="131"/>
        <v>0</v>
      </c>
      <c r="FJ101" s="261">
        <f t="shared" si="131"/>
        <v>0</v>
      </c>
      <c r="FK101" s="261">
        <f t="shared" si="131"/>
        <v>0</v>
      </c>
      <c r="FL101" s="261">
        <f t="shared" si="131"/>
        <v>0</v>
      </c>
      <c r="FM101" s="261">
        <f t="shared" si="131"/>
        <v>0</v>
      </c>
      <c r="FN101" s="261">
        <f t="shared" si="131"/>
        <v>0</v>
      </c>
      <c r="FO101" s="261">
        <f t="shared" si="131"/>
        <v>0</v>
      </c>
      <c r="FP101" s="261">
        <f t="shared" si="131"/>
        <v>0</v>
      </c>
      <c r="FQ101" s="261">
        <f t="shared" si="131"/>
        <v>0</v>
      </c>
      <c r="FR101" s="261">
        <f t="shared" si="131"/>
        <v>0</v>
      </c>
      <c r="FS101" s="261">
        <f t="shared" si="131"/>
        <v>0</v>
      </c>
      <c r="FT101" s="261">
        <f t="shared" si="131"/>
        <v>0</v>
      </c>
      <c r="FU101" s="261">
        <f t="shared" si="131"/>
        <v>0</v>
      </c>
      <c r="FV101" s="261">
        <f t="shared" si="131"/>
        <v>0</v>
      </c>
      <c r="FW101" s="261">
        <f t="shared" si="131"/>
        <v>0</v>
      </c>
      <c r="FX101" s="261">
        <f t="shared" si="131"/>
        <v>0</v>
      </c>
      <c r="FY101" s="261">
        <f t="shared" si="131"/>
        <v>0</v>
      </c>
      <c r="FZ101" s="261">
        <f t="shared" si="131"/>
        <v>0</v>
      </c>
      <c r="GA101" s="261">
        <f t="shared" si="131"/>
        <v>0</v>
      </c>
      <c r="GB101" s="261">
        <f t="shared" si="131"/>
        <v>0</v>
      </c>
      <c r="GC101" s="261">
        <f t="shared" si="119"/>
        <v>0</v>
      </c>
      <c r="GD101" s="261">
        <f>SUM(GD93:GD100)</f>
        <v>0</v>
      </c>
      <c r="GE101" s="261">
        <f t="shared" ref="GE101:HB101" si="132">SUM(GE93:GE100)</f>
        <v>0</v>
      </c>
      <c r="GF101" s="261">
        <f t="shared" si="132"/>
        <v>0</v>
      </c>
      <c r="GG101" s="261">
        <f t="shared" si="132"/>
        <v>0</v>
      </c>
      <c r="GH101" s="261">
        <f t="shared" si="132"/>
        <v>0</v>
      </c>
      <c r="GI101" s="261">
        <f t="shared" si="132"/>
        <v>0</v>
      </c>
      <c r="GJ101" s="261">
        <f t="shared" si="132"/>
        <v>0</v>
      </c>
      <c r="GK101" s="261">
        <f t="shared" si="132"/>
        <v>0</v>
      </c>
      <c r="GL101" s="261">
        <f t="shared" si="132"/>
        <v>0</v>
      </c>
      <c r="GM101" s="261">
        <f t="shared" si="132"/>
        <v>0</v>
      </c>
      <c r="GN101" s="261">
        <f t="shared" si="132"/>
        <v>0</v>
      </c>
      <c r="GO101" s="261">
        <f t="shared" si="132"/>
        <v>0</v>
      </c>
      <c r="GP101" s="261">
        <f t="shared" si="132"/>
        <v>0</v>
      </c>
      <c r="GQ101" s="261">
        <f t="shared" si="132"/>
        <v>0</v>
      </c>
      <c r="GR101" s="261">
        <f t="shared" si="132"/>
        <v>0</v>
      </c>
      <c r="GS101" s="261">
        <f t="shared" si="132"/>
        <v>0</v>
      </c>
      <c r="GT101" s="261">
        <f t="shared" si="132"/>
        <v>0</v>
      </c>
      <c r="GU101" s="261">
        <f t="shared" si="132"/>
        <v>0</v>
      </c>
      <c r="GV101" s="261">
        <f t="shared" si="132"/>
        <v>0</v>
      </c>
      <c r="GW101" s="261">
        <f t="shared" si="132"/>
        <v>0</v>
      </c>
      <c r="GX101" s="261">
        <f t="shared" si="132"/>
        <v>0</v>
      </c>
      <c r="GY101" s="261">
        <f t="shared" si="132"/>
        <v>0</v>
      </c>
      <c r="GZ101" s="261">
        <f t="shared" si="132"/>
        <v>0</v>
      </c>
      <c r="HA101" s="261">
        <f t="shared" si="132"/>
        <v>0</v>
      </c>
      <c r="HB101" s="261">
        <f t="shared" si="132"/>
        <v>0</v>
      </c>
      <c r="HC101" s="261">
        <f t="shared" si="121"/>
        <v>0</v>
      </c>
      <c r="HD101" s="261">
        <f>SUM(HD93:HD100)</f>
        <v>0</v>
      </c>
      <c r="HE101" s="261">
        <f>SUM(HE93:HE100)</f>
        <v>0</v>
      </c>
      <c r="HF101" s="295">
        <f>AD101+BD101+CD101+DD101+ED101+FD101+GD101+HD101</f>
        <v>0</v>
      </c>
    </row>
    <row r="102" spans="1:218" x14ac:dyDescent="0.2">
      <c r="B102" s="311" t="s">
        <v>467</v>
      </c>
      <c r="C102" s="312">
        <v>10000000000</v>
      </c>
      <c r="D102" s="330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  <c r="Z102" s="312"/>
      <c r="AA102" s="312"/>
      <c r="AB102" s="312"/>
      <c r="AC102" s="312">
        <f t="shared" si="124"/>
        <v>0</v>
      </c>
      <c r="AD102" s="312">
        <f t="shared" si="124"/>
        <v>0</v>
      </c>
      <c r="AE102" s="312"/>
      <c r="AF102" s="312"/>
      <c r="AG102" s="312"/>
      <c r="AH102" s="312"/>
      <c r="AI102" s="312"/>
      <c r="AJ102" s="312"/>
      <c r="AK102" s="312"/>
      <c r="AL102" s="312"/>
      <c r="AM102" s="312"/>
      <c r="AN102" s="312"/>
      <c r="AO102" s="312"/>
      <c r="AP102" s="312"/>
      <c r="AQ102" s="312"/>
      <c r="AR102" s="312"/>
      <c r="AS102" s="312"/>
      <c r="AT102" s="312"/>
      <c r="AU102" s="314"/>
      <c r="AV102" s="312">
        <f>$C$102*AU102</f>
        <v>0</v>
      </c>
      <c r="AW102" s="314"/>
      <c r="AX102" s="312">
        <f>$C$102*AW102</f>
        <v>0</v>
      </c>
      <c r="AY102" s="314"/>
      <c r="AZ102" s="312">
        <f>$C$102*AY102</f>
        <v>0</v>
      </c>
      <c r="BA102" s="314"/>
      <c r="BB102" s="312">
        <f>$C$102*BA102</f>
        <v>0</v>
      </c>
      <c r="BC102" s="312">
        <f t="shared" si="125"/>
        <v>0</v>
      </c>
      <c r="BD102" s="312">
        <f t="shared" si="125"/>
        <v>0</v>
      </c>
      <c r="BE102" s="312"/>
      <c r="BF102" s="312"/>
      <c r="BG102" s="312"/>
      <c r="BH102" s="312"/>
      <c r="BI102" s="312"/>
      <c r="BJ102" s="312"/>
      <c r="BK102" s="312"/>
      <c r="BL102" s="312"/>
      <c r="BM102" s="312"/>
      <c r="BN102" s="312"/>
      <c r="BO102" s="312"/>
      <c r="BP102" s="312"/>
      <c r="BQ102" s="312"/>
      <c r="BR102" s="312"/>
      <c r="BS102" s="312"/>
      <c r="BT102" s="312"/>
      <c r="BU102" s="312"/>
      <c r="BV102" s="312"/>
      <c r="BW102" s="312"/>
      <c r="BX102" s="312"/>
      <c r="BY102" s="312"/>
      <c r="BZ102" s="312"/>
      <c r="CA102" s="312"/>
      <c r="CB102" s="312"/>
      <c r="CC102" s="312">
        <f t="shared" si="115"/>
        <v>0</v>
      </c>
      <c r="CD102" s="312">
        <f t="shared" si="115"/>
        <v>0</v>
      </c>
      <c r="CE102" s="312"/>
      <c r="CF102" s="312"/>
      <c r="CG102" s="312"/>
      <c r="CH102" s="312"/>
      <c r="CI102" s="312"/>
      <c r="CJ102" s="312"/>
      <c r="CK102" s="312"/>
      <c r="CL102" s="312"/>
      <c r="CM102" s="312"/>
      <c r="CN102" s="312"/>
      <c r="CO102" s="312"/>
      <c r="CP102" s="312"/>
      <c r="CQ102" s="312"/>
      <c r="CR102" s="312"/>
      <c r="CS102" s="312"/>
      <c r="CT102" s="312"/>
      <c r="CU102" s="312"/>
      <c r="CV102" s="312"/>
      <c r="CW102" s="312"/>
      <c r="CX102" s="312"/>
      <c r="CY102" s="312"/>
      <c r="CZ102" s="312"/>
      <c r="DA102" s="312"/>
      <c r="DB102" s="312"/>
      <c r="DC102" s="312">
        <f t="shared" si="116"/>
        <v>0</v>
      </c>
      <c r="DD102" s="312">
        <f t="shared" si="116"/>
        <v>0</v>
      </c>
      <c r="DE102" s="312"/>
      <c r="DF102" s="312"/>
      <c r="DG102" s="312"/>
      <c r="DH102" s="312"/>
      <c r="DI102" s="312"/>
      <c r="DJ102" s="312"/>
      <c r="DK102" s="312"/>
      <c r="DL102" s="312"/>
      <c r="DM102" s="312"/>
      <c r="DN102" s="312"/>
      <c r="DO102" s="312"/>
      <c r="DP102" s="312"/>
      <c r="DQ102" s="312"/>
      <c r="DR102" s="312"/>
      <c r="DS102" s="312"/>
      <c r="DT102" s="312"/>
      <c r="DU102" s="312"/>
      <c r="DV102" s="312"/>
      <c r="DW102" s="312"/>
      <c r="DX102" s="312"/>
      <c r="DY102" s="312"/>
      <c r="DZ102" s="312"/>
      <c r="EA102" s="312"/>
      <c r="EB102" s="312"/>
      <c r="EC102" s="312">
        <f t="shared" si="117"/>
        <v>0</v>
      </c>
      <c r="ED102" s="312">
        <f t="shared" si="117"/>
        <v>0</v>
      </c>
      <c r="EE102" s="312"/>
      <c r="EF102" s="312"/>
      <c r="EG102" s="312"/>
      <c r="EH102" s="312"/>
      <c r="EI102" s="312"/>
      <c r="EJ102" s="312"/>
      <c r="EK102" s="312"/>
      <c r="EL102" s="312"/>
      <c r="EM102" s="312"/>
      <c r="EN102" s="312"/>
      <c r="EO102" s="312"/>
      <c r="EP102" s="312"/>
      <c r="EQ102" s="312"/>
      <c r="ER102" s="312"/>
      <c r="ES102" s="312"/>
      <c r="ET102" s="312"/>
      <c r="EU102" s="312"/>
      <c r="EV102" s="312"/>
      <c r="EW102" s="312"/>
      <c r="EX102" s="312"/>
      <c r="EY102" s="312"/>
      <c r="EZ102" s="312"/>
      <c r="FA102" s="312"/>
      <c r="FB102" s="312"/>
      <c r="FC102" s="312">
        <f t="shared" si="118"/>
        <v>0</v>
      </c>
      <c r="FD102" s="312">
        <f t="shared" si="118"/>
        <v>0</v>
      </c>
      <c r="FE102" s="312"/>
      <c r="FF102" s="312"/>
      <c r="FG102" s="312"/>
      <c r="FH102" s="312"/>
      <c r="FI102" s="312"/>
      <c r="FJ102" s="312"/>
      <c r="FK102" s="312"/>
      <c r="FL102" s="312"/>
      <c r="FM102" s="312"/>
      <c r="FN102" s="312"/>
      <c r="FO102" s="312"/>
      <c r="FP102" s="312"/>
      <c r="FQ102" s="312"/>
      <c r="FR102" s="312"/>
      <c r="FS102" s="312"/>
      <c r="FT102" s="312"/>
      <c r="FU102" s="312"/>
      <c r="FV102" s="312"/>
      <c r="FW102" s="312"/>
      <c r="FX102" s="312"/>
      <c r="FY102" s="312"/>
      <c r="FZ102" s="312"/>
      <c r="GA102" s="312"/>
      <c r="GB102" s="312"/>
      <c r="GC102" s="312">
        <f t="shared" si="119"/>
        <v>0</v>
      </c>
      <c r="GD102" s="312">
        <f>FF102+FH102+FJ102+FL102+FN102+FP102+FR102+FT102+FV102+FX102+FZ102+GB102</f>
        <v>0</v>
      </c>
      <c r="GE102" s="312"/>
      <c r="GF102" s="312"/>
      <c r="GG102" s="312"/>
      <c r="GH102" s="312"/>
      <c r="GI102" s="312"/>
      <c r="GJ102" s="312"/>
      <c r="GK102" s="312"/>
      <c r="GL102" s="312"/>
      <c r="GM102" s="312"/>
      <c r="GN102" s="312"/>
      <c r="GO102" s="312"/>
      <c r="GP102" s="312"/>
      <c r="GQ102" s="312"/>
      <c r="GR102" s="312"/>
      <c r="GS102" s="312"/>
      <c r="GT102" s="312"/>
      <c r="GU102" s="312"/>
      <c r="GV102" s="312"/>
      <c r="GW102" s="312"/>
      <c r="GX102" s="312"/>
      <c r="GY102" s="312"/>
      <c r="GZ102" s="312"/>
      <c r="HA102" s="312"/>
      <c r="HB102" s="312"/>
      <c r="HC102" s="312">
        <f t="shared" si="121"/>
        <v>0</v>
      </c>
      <c r="HD102" s="312">
        <f>GF102+GH102+GJ102+GL102+GN102+GP102+GR102+GT102+GV102+GX102+GZ102+HB102</f>
        <v>0</v>
      </c>
      <c r="HE102" s="312">
        <f>AC102+BC102+CC102+DC102+EC102+FC102+GC102+HC102</f>
        <v>0</v>
      </c>
      <c r="HF102" s="312">
        <f>AD102+BD102+CD102+DD102+ED102+FD102+GD102+HD102</f>
        <v>0</v>
      </c>
    </row>
    <row r="103" spans="1:218" x14ac:dyDescent="0.2">
      <c r="B103" s="311" t="s">
        <v>509</v>
      </c>
      <c r="C103" s="312">
        <f>205000000+2500000+5000000</f>
        <v>212500000</v>
      </c>
      <c r="D103" s="327">
        <v>0</v>
      </c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  <c r="Z103" s="312"/>
      <c r="AA103" s="312"/>
      <c r="AB103" s="312"/>
      <c r="AC103" s="312">
        <f t="shared" si="124"/>
        <v>0</v>
      </c>
      <c r="AD103" s="312">
        <f t="shared" si="124"/>
        <v>0</v>
      </c>
      <c r="AE103" s="312"/>
      <c r="AF103" s="312"/>
      <c r="AG103" s="312"/>
      <c r="AH103" s="312"/>
      <c r="AI103" s="312"/>
      <c r="AJ103" s="312"/>
      <c r="AK103" s="312"/>
      <c r="AL103" s="312"/>
      <c r="AM103" s="312"/>
      <c r="AN103" s="312"/>
      <c r="AO103" s="312"/>
      <c r="AP103" s="312"/>
      <c r="AQ103" s="312"/>
      <c r="AR103" s="312"/>
      <c r="AS103" s="312"/>
      <c r="AT103" s="312"/>
      <c r="AU103" s="312"/>
      <c r="AV103" s="312">
        <f>$C$103*AU103</f>
        <v>0</v>
      </c>
      <c r="AW103" s="312"/>
      <c r="AX103" s="312"/>
      <c r="AY103" s="312"/>
      <c r="AZ103" s="312"/>
      <c r="BA103" s="312"/>
      <c r="BB103" s="312"/>
      <c r="BC103" s="312">
        <f t="shared" si="125"/>
        <v>0</v>
      </c>
      <c r="BD103" s="312">
        <f t="shared" si="125"/>
        <v>0</v>
      </c>
      <c r="BE103" s="312"/>
      <c r="BF103" s="312"/>
      <c r="BG103" s="312"/>
      <c r="BH103" s="312"/>
      <c r="BI103" s="312"/>
      <c r="BJ103" s="312"/>
      <c r="BK103" s="312"/>
      <c r="BL103" s="312"/>
      <c r="BM103" s="312"/>
      <c r="BN103" s="312"/>
      <c r="BO103" s="312"/>
      <c r="BP103" s="312"/>
      <c r="BQ103" s="312"/>
      <c r="BR103" s="312"/>
      <c r="BS103" s="312"/>
      <c r="BT103" s="312"/>
      <c r="BU103" s="312"/>
      <c r="BV103" s="312"/>
      <c r="BW103" s="312"/>
      <c r="BX103" s="312"/>
      <c r="BY103" s="312"/>
      <c r="BZ103" s="312"/>
      <c r="CA103" s="312"/>
      <c r="CB103" s="312"/>
      <c r="CC103" s="312">
        <f t="shared" si="115"/>
        <v>0</v>
      </c>
      <c r="CD103" s="312">
        <f t="shared" si="115"/>
        <v>0</v>
      </c>
      <c r="CE103" s="312"/>
      <c r="CF103" s="312"/>
      <c r="CG103" s="312"/>
      <c r="CH103" s="312"/>
      <c r="CI103" s="312"/>
      <c r="CJ103" s="312"/>
      <c r="CK103" s="312"/>
      <c r="CL103" s="312"/>
      <c r="CM103" s="312"/>
      <c r="CN103" s="312"/>
      <c r="CO103" s="312"/>
      <c r="CP103" s="312"/>
      <c r="CQ103" s="312"/>
      <c r="CR103" s="312"/>
      <c r="CS103" s="312"/>
      <c r="CT103" s="312"/>
      <c r="CU103" s="312"/>
      <c r="CV103" s="312"/>
      <c r="CW103" s="312"/>
      <c r="CX103" s="312"/>
      <c r="CY103" s="312"/>
      <c r="CZ103" s="312"/>
      <c r="DA103" s="312"/>
      <c r="DB103" s="312"/>
      <c r="DC103" s="312">
        <f t="shared" si="116"/>
        <v>0</v>
      </c>
      <c r="DD103" s="312">
        <f t="shared" si="116"/>
        <v>0</v>
      </c>
      <c r="DE103" s="312"/>
      <c r="DF103" s="312"/>
      <c r="DG103" s="312"/>
      <c r="DH103" s="312"/>
      <c r="DI103" s="312"/>
      <c r="DJ103" s="312"/>
      <c r="DK103" s="312"/>
      <c r="DL103" s="312"/>
      <c r="DM103" s="312"/>
      <c r="DN103" s="312"/>
      <c r="DO103" s="312"/>
      <c r="DP103" s="312"/>
      <c r="DQ103" s="312"/>
      <c r="DR103" s="312"/>
      <c r="DS103" s="312"/>
      <c r="DT103" s="312"/>
      <c r="DU103" s="312"/>
      <c r="DV103" s="312"/>
      <c r="DW103" s="312"/>
      <c r="DX103" s="312"/>
      <c r="DY103" s="312"/>
      <c r="DZ103" s="312"/>
      <c r="EA103" s="312"/>
      <c r="EB103" s="312"/>
      <c r="EC103" s="312">
        <f t="shared" si="117"/>
        <v>0</v>
      </c>
      <c r="ED103" s="312">
        <f t="shared" si="117"/>
        <v>0</v>
      </c>
      <c r="EE103" s="312"/>
      <c r="EF103" s="312"/>
      <c r="EG103" s="312"/>
      <c r="EH103" s="312"/>
      <c r="EI103" s="312"/>
      <c r="EJ103" s="312"/>
      <c r="EK103" s="312"/>
      <c r="EL103" s="312"/>
      <c r="EM103" s="312"/>
      <c r="EN103" s="312"/>
      <c r="EO103" s="312"/>
      <c r="EP103" s="312"/>
      <c r="EQ103" s="312"/>
      <c r="ER103" s="312"/>
      <c r="ES103" s="312"/>
      <c r="ET103" s="312"/>
      <c r="EU103" s="312"/>
      <c r="EV103" s="312"/>
      <c r="EW103" s="312"/>
      <c r="EX103" s="312"/>
      <c r="EY103" s="312"/>
      <c r="EZ103" s="312"/>
      <c r="FA103" s="312"/>
      <c r="FB103" s="312"/>
      <c r="FC103" s="312">
        <f t="shared" si="118"/>
        <v>0</v>
      </c>
      <c r="FD103" s="312">
        <f t="shared" si="118"/>
        <v>0</v>
      </c>
      <c r="FE103" s="312"/>
      <c r="FF103" s="312"/>
      <c r="FG103" s="312"/>
      <c r="FH103" s="312"/>
      <c r="FI103" s="312"/>
      <c r="FJ103" s="312"/>
      <c r="FK103" s="312"/>
      <c r="FL103" s="312"/>
      <c r="FM103" s="312"/>
      <c r="FN103" s="312"/>
      <c r="FO103" s="312"/>
      <c r="FP103" s="312"/>
      <c r="FQ103" s="312"/>
      <c r="FR103" s="312"/>
      <c r="FS103" s="312"/>
      <c r="FT103" s="312"/>
      <c r="FU103" s="312"/>
      <c r="FV103" s="312"/>
      <c r="FW103" s="312"/>
      <c r="FX103" s="312"/>
      <c r="FY103" s="312"/>
      <c r="FZ103" s="312"/>
      <c r="GA103" s="312"/>
      <c r="GB103" s="312"/>
      <c r="GC103" s="312">
        <f t="shared" si="119"/>
        <v>0</v>
      </c>
      <c r="GD103" s="312">
        <f>FF103+FH103+FJ103+FL103+FN103+FP103+FR103+FT103+FV103+FX103+FZ103+GB103</f>
        <v>0</v>
      </c>
      <c r="GE103" s="312"/>
      <c r="GF103" s="312"/>
      <c r="GG103" s="312"/>
      <c r="GH103" s="312"/>
      <c r="GI103" s="312"/>
      <c r="GJ103" s="312"/>
      <c r="GK103" s="312"/>
      <c r="GL103" s="312"/>
      <c r="GM103" s="312"/>
      <c r="GN103" s="312"/>
      <c r="GO103" s="312"/>
      <c r="GP103" s="312"/>
      <c r="GQ103" s="312"/>
      <c r="GR103" s="312"/>
      <c r="GS103" s="312"/>
      <c r="GT103" s="312"/>
      <c r="GU103" s="312"/>
      <c r="GV103" s="312"/>
      <c r="GW103" s="312"/>
      <c r="GX103" s="312"/>
      <c r="GY103" s="312"/>
      <c r="GZ103" s="312"/>
      <c r="HA103" s="312"/>
      <c r="HB103" s="312"/>
      <c r="HC103" s="312">
        <f t="shared" si="121"/>
        <v>0</v>
      </c>
      <c r="HD103" s="312">
        <f>GF103+GH103+GJ103+GL103+GN103+GP103+GR103+GT103+GV103+GX103+GZ103+HB103</f>
        <v>0</v>
      </c>
      <c r="HE103" s="312">
        <f>AC103+BC103+CC103+DC103+EC103+FC103+GC103+HC103</f>
        <v>0</v>
      </c>
      <c r="HF103" s="312">
        <f>AD103+BD103+CD103+DD103+ED103+FD103+GD103+HD103</f>
        <v>0</v>
      </c>
    </row>
    <row r="104" spans="1:218" x14ac:dyDescent="0.2">
      <c r="B104" s="313"/>
      <c r="C104" s="312"/>
      <c r="D104" s="293"/>
      <c r="E104" s="261"/>
      <c r="F104" s="261"/>
      <c r="G104" s="261"/>
      <c r="H104" s="261"/>
      <c r="I104" s="261"/>
      <c r="J104" s="261"/>
      <c r="K104" s="261"/>
      <c r="L104" s="261"/>
      <c r="M104" s="261"/>
      <c r="N104" s="261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  <c r="AA104" s="261"/>
      <c r="AB104" s="261"/>
      <c r="AC104" s="261"/>
      <c r="AD104" s="261"/>
      <c r="AE104" s="261">
        <f t="shared" ref="AE104:CP104" si="133">SUM(AE102:AE103)</f>
        <v>0</v>
      </c>
      <c r="AF104" s="261">
        <f t="shared" si="133"/>
        <v>0</v>
      </c>
      <c r="AG104" s="261">
        <f t="shared" si="133"/>
        <v>0</v>
      </c>
      <c r="AH104" s="261">
        <f t="shared" si="133"/>
        <v>0</v>
      </c>
      <c r="AI104" s="261">
        <f t="shared" si="133"/>
        <v>0</v>
      </c>
      <c r="AJ104" s="261">
        <f t="shared" si="133"/>
        <v>0</v>
      </c>
      <c r="AK104" s="261">
        <f t="shared" si="133"/>
        <v>0</v>
      </c>
      <c r="AL104" s="261">
        <f t="shared" si="133"/>
        <v>0</v>
      </c>
      <c r="AM104" s="261">
        <f t="shared" si="133"/>
        <v>0</v>
      </c>
      <c r="AN104" s="261">
        <f t="shared" si="133"/>
        <v>0</v>
      </c>
      <c r="AO104" s="261">
        <f t="shared" si="133"/>
        <v>0</v>
      </c>
      <c r="AP104" s="261">
        <f t="shared" si="133"/>
        <v>0</v>
      </c>
      <c r="AQ104" s="261">
        <f t="shared" si="133"/>
        <v>0</v>
      </c>
      <c r="AR104" s="261">
        <f t="shared" si="133"/>
        <v>0</v>
      </c>
      <c r="AS104" s="261">
        <f t="shared" si="133"/>
        <v>0</v>
      </c>
      <c r="AT104" s="261">
        <f t="shared" si="133"/>
        <v>0</v>
      </c>
      <c r="AU104" s="261">
        <f t="shared" si="133"/>
        <v>0</v>
      </c>
      <c r="AV104" s="261">
        <f t="shared" si="133"/>
        <v>0</v>
      </c>
      <c r="AW104" s="261">
        <f t="shared" si="133"/>
        <v>0</v>
      </c>
      <c r="AX104" s="261">
        <f t="shared" si="133"/>
        <v>0</v>
      </c>
      <c r="AY104" s="261">
        <f t="shared" si="133"/>
        <v>0</v>
      </c>
      <c r="AZ104" s="261">
        <f t="shared" si="133"/>
        <v>0</v>
      </c>
      <c r="BA104" s="261">
        <f t="shared" si="133"/>
        <v>0</v>
      </c>
      <c r="BB104" s="261">
        <f t="shared" si="133"/>
        <v>0</v>
      </c>
      <c r="BC104" s="261">
        <f t="shared" si="133"/>
        <v>0</v>
      </c>
      <c r="BD104" s="261">
        <f t="shared" si="133"/>
        <v>0</v>
      </c>
      <c r="BE104" s="261">
        <f t="shared" si="133"/>
        <v>0</v>
      </c>
      <c r="BF104" s="261">
        <f t="shared" si="133"/>
        <v>0</v>
      </c>
      <c r="BG104" s="261">
        <f t="shared" si="133"/>
        <v>0</v>
      </c>
      <c r="BH104" s="261">
        <f t="shared" si="133"/>
        <v>0</v>
      </c>
      <c r="BI104" s="261">
        <f t="shared" si="133"/>
        <v>0</v>
      </c>
      <c r="BJ104" s="261">
        <f t="shared" si="133"/>
        <v>0</v>
      </c>
      <c r="BK104" s="261">
        <f t="shared" si="133"/>
        <v>0</v>
      </c>
      <c r="BL104" s="261">
        <f t="shared" si="133"/>
        <v>0</v>
      </c>
      <c r="BM104" s="261">
        <f t="shared" si="133"/>
        <v>0</v>
      </c>
      <c r="BN104" s="261">
        <f t="shared" si="133"/>
        <v>0</v>
      </c>
      <c r="BO104" s="261">
        <f t="shared" si="133"/>
        <v>0</v>
      </c>
      <c r="BP104" s="261">
        <f t="shared" si="133"/>
        <v>0</v>
      </c>
      <c r="BQ104" s="261">
        <f t="shared" si="133"/>
        <v>0</v>
      </c>
      <c r="BR104" s="261">
        <f t="shared" si="133"/>
        <v>0</v>
      </c>
      <c r="BS104" s="261">
        <f t="shared" si="133"/>
        <v>0</v>
      </c>
      <c r="BT104" s="261">
        <f t="shared" si="133"/>
        <v>0</v>
      </c>
      <c r="BU104" s="261">
        <f t="shared" si="133"/>
        <v>0</v>
      </c>
      <c r="BV104" s="261">
        <f t="shared" si="133"/>
        <v>0</v>
      </c>
      <c r="BW104" s="261">
        <f t="shared" si="133"/>
        <v>0</v>
      </c>
      <c r="BX104" s="261">
        <f t="shared" si="133"/>
        <v>0</v>
      </c>
      <c r="BY104" s="261">
        <f t="shared" si="133"/>
        <v>0</v>
      </c>
      <c r="BZ104" s="261">
        <f t="shared" si="133"/>
        <v>0</v>
      </c>
      <c r="CA104" s="261">
        <f t="shared" si="133"/>
        <v>0</v>
      </c>
      <c r="CB104" s="261">
        <f t="shared" si="133"/>
        <v>0</v>
      </c>
      <c r="CC104" s="261">
        <f t="shared" si="133"/>
        <v>0</v>
      </c>
      <c r="CD104" s="261">
        <f t="shared" si="133"/>
        <v>0</v>
      </c>
      <c r="CE104" s="261">
        <f t="shared" si="133"/>
        <v>0</v>
      </c>
      <c r="CF104" s="261">
        <f t="shared" si="133"/>
        <v>0</v>
      </c>
      <c r="CG104" s="261">
        <f t="shared" si="133"/>
        <v>0</v>
      </c>
      <c r="CH104" s="261">
        <f t="shared" si="133"/>
        <v>0</v>
      </c>
      <c r="CI104" s="261">
        <f t="shared" si="133"/>
        <v>0</v>
      </c>
      <c r="CJ104" s="261">
        <f t="shared" si="133"/>
        <v>0</v>
      </c>
      <c r="CK104" s="261">
        <f t="shared" si="133"/>
        <v>0</v>
      </c>
      <c r="CL104" s="261">
        <f t="shared" si="133"/>
        <v>0</v>
      </c>
      <c r="CM104" s="261">
        <f t="shared" si="133"/>
        <v>0</v>
      </c>
      <c r="CN104" s="261">
        <f t="shared" si="133"/>
        <v>0</v>
      </c>
      <c r="CO104" s="261">
        <f t="shared" si="133"/>
        <v>0</v>
      </c>
      <c r="CP104" s="261">
        <f t="shared" si="133"/>
        <v>0</v>
      </c>
      <c r="CQ104" s="261">
        <f t="shared" ref="CQ104:FB104" si="134">SUM(CQ102:CQ103)</f>
        <v>0</v>
      </c>
      <c r="CR104" s="261">
        <f t="shared" si="134"/>
        <v>0</v>
      </c>
      <c r="CS104" s="261">
        <f t="shared" si="134"/>
        <v>0</v>
      </c>
      <c r="CT104" s="261">
        <f t="shared" si="134"/>
        <v>0</v>
      </c>
      <c r="CU104" s="261">
        <f t="shared" si="134"/>
        <v>0</v>
      </c>
      <c r="CV104" s="261">
        <f t="shared" si="134"/>
        <v>0</v>
      </c>
      <c r="CW104" s="261">
        <f t="shared" si="134"/>
        <v>0</v>
      </c>
      <c r="CX104" s="261">
        <f t="shared" si="134"/>
        <v>0</v>
      </c>
      <c r="CY104" s="261">
        <f t="shared" si="134"/>
        <v>0</v>
      </c>
      <c r="CZ104" s="261">
        <f t="shared" si="134"/>
        <v>0</v>
      </c>
      <c r="DA104" s="261">
        <f t="shared" si="134"/>
        <v>0</v>
      </c>
      <c r="DB104" s="261">
        <f t="shared" si="134"/>
        <v>0</v>
      </c>
      <c r="DC104" s="261">
        <f t="shared" si="134"/>
        <v>0</v>
      </c>
      <c r="DD104" s="261">
        <f t="shared" si="134"/>
        <v>0</v>
      </c>
      <c r="DE104" s="261">
        <f t="shared" si="134"/>
        <v>0</v>
      </c>
      <c r="DF104" s="261">
        <f t="shared" si="134"/>
        <v>0</v>
      </c>
      <c r="DG104" s="261">
        <f t="shared" si="134"/>
        <v>0</v>
      </c>
      <c r="DH104" s="261">
        <f t="shared" si="134"/>
        <v>0</v>
      </c>
      <c r="DI104" s="261">
        <f t="shared" si="134"/>
        <v>0</v>
      </c>
      <c r="DJ104" s="261">
        <f t="shared" si="134"/>
        <v>0</v>
      </c>
      <c r="DK104" s="261">
        <f t="shared" si="134"/>
        <v>0</v>
      </c>
      <c r="DL104" s="261">
        <f t="shared" si="134"/>
        <v>0</v>
      </c>
      <c r="DM104" s="261">
        <f t="shared" si="134"/>
        <v>0</v>
      </c>
      <c r="DN104" s="261">
        <f t="shared" si="134"/>
        <v>0</v>
      </c>
      <c r="DO104" s="261">
        <f t="shared" si="134"/>
        <v>0</v>
      </c>
      <c r="DP104" s="261">
        <f t="shared" si="134"/>
        <v>0</v>
      </c>
      <c r="DQ104" s="261">
        <f t="shared" si="134"/>
        <v>0</v>
      </c>
      <c r="DR104" s="261">
        <f t="shared" si="134"/>
        <v>0</v>
      </c>
      <c r="DS104" s="261">
        <f t="shared" si="134"/>
        <v>0</v>
      </c>
      <c r="DT104" s="261">
        <f t="shared" si="134"/>
        <v>0</v>
      </c>
      <c r="DU104" s="261">
        <f t="shared" si="134"/>
        <v>0</v>
      </c>
      <c r="DV104" s="261">
        <f t="shared" si="134"/>
        <v>0</v>
      </c>
      <c r="DW104" s="261">
        <f t="shared" si="134"/>
        <v>0</v>
      </c>
      <c r="DX104" s="261">
        <f t="shared" si="134"/>
        <v>0</v>
      </c>
      <c r="DY104" s="261">
        <f t="shared" si="134"/>
        <v>0</v>
      </c>
      <c r="DZ104" s="261">
        <f t="shared" si="134"/>
        <v>0</v>
      </c>
      <c r="EA104" s="261">
        <f t="shared" si="134"/>
        <v>0</v>
      </c>
      <c r="EB104" s="261">
        <f t="shared" si="134"/>
        <v>0</v>
      </c>
      <c r="EC104" s="261">
        <f t="shared" si="134"/>
        <v>0</v>
      </c>
      <c r="ED104" s="261">
        <f t="shared" si="134"/>
        <v>0</v>
      </c>
      <c r="EE104" s="261">
        <f t="shared" si="134"/>
        <v>0</v>
      </c>
      <c r="EF104" s="261">
        <f t="shared" si="134"/>
        <v>0</v>
      </c>
      <c r="EG104" s="261">
        <f t="shared" si="134"/>
        <v>0</v>
      </c>
      <c r="EH104" s="261">
        <f t="shared" si="134"/>
        <v>0</v>
      </c>
      <c r="EI104" s="261">
        <f t="shared" si="134"/>
        <v>0</v>
      </c>
      <c r="EJ104" s="261">
        <f t="shared" si="134"/>
        <v>0</v>
      </c>
      <c r="EK104" s="261">
        <f t="shared" si="134"/>
        <v>0</v>
      </c>
      <c r="EL104" s="261">
        <f t="shared" si="134"/>
        <v>0</v>
      </c>
      <c r="EM104" s="261">
        <f t="shared" si="134"/>
        <v>0</v>
      </c>
      <c r="EN104" s="261">
        <f t="shared" si="134"/>
        <v>0</v>
      </c>
      <c r="EO104" s="261">
        <f t="shared" si="134"/>
        <v>0</v>
      </c>
      <c r="EP104" s="261">
        <f t="shared" si="134"/>
        <v>0</v>
      </c>
      <c r="EQ104" s="261">
        <f t="shared" si="134"/>
        <v>0</v>
      </c>
      <c r="ER104" s="261">
        <f t="shared" si="134"/>
        <v>0</v>
      </c>
      <c r="ES104" s="261">
        <f t="shared" si="134"/>
        <v>0</v>
      </c>
      <c r="ET104" s="261">
        <f t="shared" si="134"/>
        <v>0</v>
      </c>
      <c r="EU104" s="261">
        <f t="shared" si="134"/>
        <v>0</v>
      </c>
      <c r="EV104" s="261">
        <f t="shared" si="134"/>
        <v>0</v>
      </c>
      <c r="EW104" s="261">
        <f t="shared" si="134"/>
        <v>0</v>
      </c>
      <c r="EX104" s="261">
        <f t="shared" si="134"/>
        <v>0</v>
      </c>
      <c r="EY104" s="261">
        <f t="shared" si="134"/>
        <v>0</v>
      </c>
      <c r="EZ104" s="261">
        <f t="shared" si="134"/>
        <v>0</v>
      </c>
      <c r="FA104" s="261">
        <f t="shared" si="134"/>
        <v>0</v>
      </c>
      <c r="FB104" s="261">
        <f t="shared" si="134"/>
        <v>0</v>
      </c>
      <c r="FC104" s="261">
        <f>SUM(FC102:FC103)</f>
        <v>0</v>
      </c>
      <c r="FD104" s="261">
        <f>SUM(FD102:FD103)</f>
        <v>0</v>
      </c>
      <c r="FE104" s="261">
        <f t="shared" ref="FE104:GB104" si="135">SUM(FE102:FE103)</f>
        <v>0</v>
      </c>
      <c r="FF104" s="261">
        <f t="shared" si="135"/>
        <v>0</v>
      </c>
      <c r="FG104" s="261">
        <f t="shared" si="135"/>
        <v>0</v>
      </c>
      <c r="FH104" s="261">
        <f t="shared" si="135"/>
        <v>0</v>
      </c>
      <c r="FI104" s="261">
        <f t="shared" si="135"/>
        <v>0</v>
      </c>
      <c r="FJ104" s="261">
        <f t="shared" si="135"/>
        <v>0</v>
      </c>
      <c r="FK104" s="261">
        <f t="shared" si="135"/>
        <v>0</v>
      </c>
      <c r="FL104" s="261">
        <f t="shared" si="135"/>
        <v>0</v>
      </c>
      <c r="FM104" s="261">
        <f t="shared" si="135"/>
        <v>0</v>
      </c>
      <c r="FN104" s="261">
        <f t="shared" si="135"/>
        <v>0</v>
      </c>
      <c r="FO104" s="261">
        <f t="shared" si="135"/>
        <v>0</v>
      </c>
      <c r="FP104" s="261">
        <f t="shared" si="135"/>
        <v>0</v>
      </c>
      <c r="FQ104" s="261">
        <f t="shared" si="135"/>
        <v>0</v>
      </c>
      <c r="FR104" s="261">
        <f t="shared" si="135"/>
        <v>0</v>
      </c>
      <c r="FS104" s="261">
        <f t="shared" si="135"/>
        <v>0</v>
      </c>
      <c r="FT104" s="261">
        <f t="shared" si="135"/>
        <v>0</v>
      </c>
      <c r="FU104" s="261">
        <f t="shared" si="135"/>
        <v>0</v>
      </c>
      <c r="FV104" s="261">
        <f t="shared" si="135"/>
        <v>0</v>
      </c>
      <c r="FW104" s="261">
        <f t="shared" si="135"/>
        <v>0</v>
      </c>
      <c r="FX104" s="261">
        <f t="shared" si="135"/>
        <v>0</v>
      </c>
      <c r="FY104" s="261">
        <f t="shared" si="135"/>
        <v>0</v>
      </c>
      <c r="FZ104" s="261">
        <f t="shared" si="135"/>
        <v>0</v>
      </c>
      <c r="GA104" s="261">
        <f t="shared" si="135"/>
        <v>0</v>
      </c>
      <c r="GB104" s="261">
        <f t="shared" si="135"/>
        <v>0</v>
      </c>
      <c r="GC104" s="261">
        <f>SUM(GC102:GC103)</f>
        <v>0</v>
      </c>
      <c r="GD104" s="261">
        <f>SUM(GD102:GD103)</f>
        <v>0</v>
      </c>
      <c r="GE104" s="261">
        <f t="shared" ref="GE104:HB104" si="136">SUM(GE102:GE103)</f>
        <v>0</v>
      </c>
      <c r="GF104" s="261">
        <f t="shared" si="136"/>
        <v>0</v>
      </c>
      <c r="GG104" s="261">
        <f t="shared" si="136"/>
        <v>0</v>
      </c>
      <c r="GH104" s="261">
        <f t="shared" si="136"/>
        <v>0</v>
      </c>
      <c r="GI104" s="261">
        <f t="shared" si="136"/>
        <v>0</v>
      </c>
      <c r="GJ104" s="261">
        <f t="shared" si="136"/>
        <v>0</v>
      </c>
      <c r="GK104" s="261">
        <f t="shared" si="136"/>
        <v>0</v>
      </c>
      <c r="GL104" s="261">
        <f t="shared" si="136"/>
        <v>0</v>
      </c>
      <c r="GM104" s="261">
        <f t="shared" si="136"/>
        <v>0</v>
      </c>
      <c r="GN104" s="261">
        <f t="shared" si="136"/>
        <v>0</v>
      </c>
      <c r="GO104" s="261">
        <f t="shared" si="136"/>
        <v>0</v>
      </c>
      <c r="GP104" s="261">
        <f t="shared" si="136"/>
        <v>0</v>
      </c>
      <c r="GQ104" s="261">
        <f t="shared" si="136"/>
        <v>0</v>
      </c>
      <c r="GR104" s="261">
        <f t="shared" si="136"/>
        <v>0</v>
      </c>
      <c r="GS104" s="261">
        <f t="shared" si="136"/>
        <v>0</v>
      </c>
      <c r="GT104" s="261">
        <f t="shared" si="136"/>
        <v>0</v>
      </c>
      <c r="GU104" s="261">
        <f t="shared" si="136"/>
        <v>0</v>
      </c>
      <c r="GV104" s="261">
        <f t="shared" si="136"/>
        <v>0</v>
      </c>
      <c r="GW104" s="261">
        <f t="shared" si="136"/>
        <v>0</v>
      </c>
      <c r="GX104" s="261">
        <f t="shared" si="136"/>
        <v>0</v>
      </c>
      <c r="GY104" s="261">
        <f t="shared" si="136"/>
        <v>0</v>
      </c>
      <c r="GZ104" s="261">
        <f t="shared" si="136"/>
        <v>0</v>
      </c>
      <c r="HA104" s="261">
        <f t="shared" si="136"/>
        <v>0</v>
      </c>
      <c r="HB104" s="261">
        <f t="shared" si="136"/>
        <v>0</v>
      </c>
      <c r="HC104" s="261">
        <f>SUM(HC102:HC103)</f>
        <v>0</v>
      </c>
      <c r="HD104" s="261">
        <f>SUM(HD102:HD103)</f>
        <v>0</v>
      </c>
      <c r="HE104" s="261">
        <f>SUM(HE102:HE103)</f>
        <v>0</v>
      </c>
      <c r="HF104" s="261">
        <f>SUM(HF102:HF103)</f>
        <v>0</v>
      </c>
      <c r="HH104" s="263">
        <f>HF105/D34</f>
        <v>10834285.714285715</v>
      </c>
    </row>
    <row r="105" spans="1:218" x14ac:dyDescent="0.2">
      <c r="B105" s="268" t="s">
        <v>468</v>
      </c>
      <c r="C105" s="269">
        <f>SUM(C38:C104)</f>
        <v>74062174659.199997</v>
      </c>
      <c r="D105" s="331"/>
      <c r="E105" s="332"/>
      <c r="F105" s="269">
        <f>SUM(F38:F104)</f>
        <v>0</v>
      </c>
      <c r="G105" s="332"/>
      <c r="H105" s="269">
        <f>SUM(H38:H104)</f>
        <v>0</v>
      </c>
      <c r="I105" s="332"/>
      <c r="J105" s="269">
        <f>SUM(J38:J104)</f>
        <v>0</v>
      </c>
      <c r="K105" s="332"/>
      <c r="L105" s="269">
        <f>SUM(L38:L104)</f>
        <v>0</v>
      </c>
      <c r="M105" s="332"/>
      <c r="N105" s="269">
        <f>SUM(N38:N104)</f>
        <v>0</v>
      </c>
      <c r="O105" s="332"/>
      <c r="P105" s="269">
        <f>SUM(P38:P104)</f>
        <v>0</v>
      </c>
      <c r="Q105" s="332"/>
      <c r="R105" s="269">
        <f>SUM(R38:R104)</f>
        <v>0</v>
      </c>
      <c r="S105" s="332"/>
      <c r="T105" s="269">
        <f>SUM(T38:T104)</f>
        <v>0</v>
      </c>
      <c r="U105" s="332"/>
      <c r="V105" s="269">
        <f>SUM(V38:V104)</f>
        <v>0</v>
      </c>
      <c r="W105" s="332"/>
      <c r="X105" s="269">
        <f>SUM(X38:X104)</f>
        <v>0</v>
      </c>
      <c r="Y105" s="332"/>
      <c r="Z105" s="269">
        <f>SUM(Z38:Z104)</f>
        <v>0</v>
      </c>
      <c r="AA105" s="332"/>
      <c r="AB105" s="269">
        <f>SUM(AB38:AB104)</f>
        <v>0</v>
      </c>
      <c r="AC105" s="332"/>
      <c r="AD105" s="269">
        <f>SUM(AD38:AD104)</f>
        <v>0</v>
      </c>
      <c r="AE105" s="332"/>
      <c r="AF105" s="269">
        <f>AF101+AF92+AF85+AF75+AF68+AF62+AF47+AF102</f>
        <v>0</v>
      </c>
      <c r="AG105" s="269">
        <f t="shared" ref="AG105:CR105" si="137">AG101+AG92+AG85+AG75+AG68+AG62+AG47+AG102</f>
        <v>0</v>
      </c>
      <c r="AH105" s="269">
        <f t="shared" si="137"/>
        <v>0</v>
      </c>
      <c r="AI105" s="269">
        <f t="shared" si="137"/>
        <v>0</v>
      </c>
      <c r="AJ105" s="269">
        <f t="shared" si="137"/>
        <v>0</v>
      </c>
      <c r="AK105" s="269">
        <f t="shared" si="137"/>
        <v>0</v>
      </c>
      <c r="AL105" s="269">
        <f t="shared" si="137"/>
        <v>0</v>
      </c>
      <c r="AM105" s="269">
        <f t="shared" si="137"/>
        <v>0</v>
      </c>
      <c r="AN105" s="269">
        <f t="shared" si="137"/>
        <v>0</v>
      </c>
      <c r="AO105" s="269">
        <f t="shared" si="137"/>
        <v>0</v>
      </c>
      <c r="AP105" s="269">
        <f t="shared" si="137"/>
        <v>0</v>
      </c>
      <c r="AQ105" s="269">
        <f t="shared" si="137"/>
        <v>0</v>
      </c>
      <c r="AR105" s="269">
        <f t="shared" si="137"/>
        <v>0</v>
      </c>
      <c r="AS105" s="269">
        <f t="shared" si="137"/>
        <v>0</v>
      </c>
      <c r="AT105" s="269">
        <f t="shared" si="137"/>
        <v>0</v>
      </c>
      <c r="AU105" s="269">
        <f t="shared" si="137"/>
        <v>0</v>
      </c>
      <c r="AV105" s="269">
        <f t="shared" si="137"/>
        <v>0</v>
      </c>
      <c r="AW105" s="269">
        <f t="shared" si="137"/>
        <v>0</v>
      </c>
      <c r="AX105" s="269">
        <f t="shared" si="137"/>
        <v>0</v>
      </c>
      <c r="AY105" s="269">
        <f t="shared" si="137"/>
        <v>7</v>
      </c>
      <c r="AZ105" s="269">
        <f t="shared" si="137"/>
        <v>3792000000</v>
      </c>
      <c r="BA105" s="269">
        <f t="shared" si="137"/>
        <v>0</v>
      </c>
      <c r="BB105" s="269">
        <f t="shared" si="137"/>
        <v>0</v>
      </c>
      <c r="BC105" s="269">
        <f t="shared" si="137"/>
        <v>7</v>
      </c>
      <c r="BD105" s="269">
        <f t="shared" si="137"/>
        <v>3792000000</v>
      </c>
      <c r="BE105" s="269">
        <f t="shared" si="137"/>
        <v>0</v>
      </c>
      <c r="BF105" s="269">
        <f t="shared" si="137"/>
        <v>0</v>
      </c>
      <c r="BG105" s="269">
        <f t="shared" si="137"/>
        <v>0</v>
      </c>
      <c r="BH105" s="269">
        <f t="shared" si="137"/>
        <v>0</v>
      </c>
      <c r="BI105" s="269">
        <f t="shared" si="137"/>
        <v>0</v>
      </c>
      <c r="BJ105" s="269">
        <f t="shared" si="137"/>
        <v>0</v>
      </c>
      <c r="BK105" s="269">
        <f t="shared" si="137"/>
        <v>0</v>
      </c>
      <c r="BL105" s="269">
        <f t="shared" si="137"/>
        <v>0</v>
      </c>
      <c r="BM105" s="269">
        <f t="shared" si="137"/>
        <v>0</v>
      </c>
      <c r="BN105" s="269">
        <f t="shared" si="137"/>
        <v>0</v>
      </c>
      <c r="BO105" s="269">
        <f t="shared" si="137"/>
        <v>0</v>
      </c>
      <c r="BP105" s="269">
        <f t="shared" si="137"/>
        <v>0</v>
      </c>
      <c r="BQ105" s="269">
        <f t="shared" si="137"/>
        <v>0</v>
      </c>
      <c r="BR105" s="269">
        <f t="shared" si="137"/>
        <v>0</v>
      </c>
      <c r="BS105" s="269">
        <f t="shared" si="137"/>
        <v>0</v>
      </c>
      <c r="BT105" s="269">
        <f t="shared" si="137"/>
        <v>0</v>
      </c>
      <c r="BU105" s="269">
        <f t="shared" si="137"/>
        <v>0</v>
      </c>
      <c r="BV105" s="269">
        <f t="shared" si="137"/>
        <v>0</v>
      </c>
      <c r="BW105" s="269">
        <f t="shared" si="137"/>
        <v>0</v>
      </c>
      <c r="BX105" s="269">
        <f t="shared" si="137"/>
        <v>0</v>
      </c>
      <c r="BY105" s="269">
        <f t="shared" si="137"/>
        <v>0</v>
      </c>
      <c r="BZ105" s="269">
        <f t="shared" si="137"/>
        <v>0</v>
      </c>
      <c r="CA105" s="269">
        <f t="shared" si="137"/>
        <v>0</v>
      </c>
      <c r="CB105" s="269">
        <f t="shared" si="137"/>
        <v>0</v>
      </c>
      <c r="CC105" s="269">
        <f t="shared" si="137"/>
        <v>0</v>
      </c>
      <c r="CD105" s="269">
        <f t="shared" si="137"/>
        <v>0</v>
      </c>
      <c r="CE105" s="269">
        <f t="shared" si="137"/>
        <v>0</v>
      </c>
      <c r="CF105" s="269">
        <f t="shared" si="137"/>
        <v>0</v>
      </c>
      <c r="CG105" s="269">
        <f t="shared" si="137"/>
        <v>0</v>
      </c>
      <c r="CH105" s="269">
        <f t="shared" si="137"/>
        <v>0</v>
      </c>
      <c r="CI105" s="269">
        <f t="shared" si="137"/>
        <v>0</v>
      </c>
      <c r="CJ105" s="269">
        <f t="shared" si="137"/>
        <v>0</v>
      </c>
      <c r="CK105" s="269">
        <f t="shared" si="137"/>
        <v>0</v>
      </c>
      <c r="CL105" s="269">
        <f t="shared" si="137"/>
        <v>0</v>
      </c>
      <c r="CM105" s="269">
        <f t="shared" si="137"/>
        <v>0</v>
      </c>
      <c r="CN105" s="269">
        <f t="shared" si="137"/>
        <v>0</v>
      </c>
      <c r="CO105" s="269">
        <f t="shared" si="137"/>
        <v>0</v>
      </c>
      <c r="CP105" s="269">
        <f t="shared" si="137"/>
        <v>0</v>
      </c>
      <c r="CQ105" s="269">
        <f t="shared" si="137"/>
        <v>0</v>
      </c>
      <c r="CR105" s="269">
        <f t="shared" si="137"/>
        <v>0</v>
      </c>
      <c r="CS105" s="269">
        <f t="shared" ref="CS105:FD105" si="138">CS101+CS92+CS85+CS75+CS68+CS62+CS47+CS102</f>
        <v>0</v>
      </c>
      <c r="CT105" s="269">
        <f t="shared" si="138"/>
        <v>0</v>
      </c>
      <c r="CU105" s="269">
        <f t="shared" si="138"/>
        <v>0</v>
      </c>
      <c r="CV105" s="269">
        <f t="shared" si="138"/>
        <v>0</v>
      </c>
      <c r="CW105" s="269">
        <f t="shared" si="138"/>
        <v>0</v>
      </c>
      <c r="CX105" s="269">
        <f t="shared" si="138"/>
        <v>0</v>
      </c>
      <c r="CY105" s="269">
        <f t="shared" si="138"/>
        <v>0</v>
      </c>
      <c r="CZ105" s="269">
        <f t="shared" si="138"/>
        <v>0</v>
      </c>
      <c r="DA105" s="269">
        <f t="shared" si="138"/>
        <v>0</v>
      </c>
      <c r="DB105" s="269">
        <f t="shared" si="138"/>
        <v>0</v>
      </c>
      <c r="DC105" s="269">
        <f t="shared" si="138"/>
        <v>0</v>
      </c>
      <c r="DD105" s="269">
        <f t="shared" si="138"/>
        <v>0</v>
      </c>
      <c r="DE105" s="269">
        <f t="shared" si="138"/>
        <v>0</v>
      </c>
      <c r="DF105" s="269">
        <f t="shared" si="138"/>
        <v>0</v>
      </c>
      <c r="DG105" s="269">
        <f t="shared" si="138"/>
        <v>0</v>
      </c>
      <c r="DH105" s="269">
        <f t="shared" si="138"/>
        <v>0</v>
      </c>
      <c r="DI105" s="269">
        <f t="shared" si="138"/>
        <v>0</v>
      </c>
      <c r="DJ105" s="269">
        <f t="shared" si="138"/>
        <v>0</v>
      </c>
      <c r="DK105" s="269">
        <f t="shared" si="138"/>
        <v>0</v>
      </c>
      <c r="DL105" s="269">
        <f t="shared" si="138"/>
        <v>0</v>
      </c>
      <c r="DM105" s="269">
        <f t="shared" si="138"/>
        <v>0</v>
      </c>
      <c r="DN105" s="269">
        <f t="shared" si="138"/>
        <v>0</v>
      </c>
      <c r="DO105" s="269">
        <f t="shared" si="138"/>
        <v>0</v>
      </c>
      <c r="DP105" s="269">
        <f t="shared" si="138"/>
        <v>0</v>
      </c>
      <c r="DQ105" s="269">
        <f t="shared" si="138"/>
        <v>0</v>
      </c>
      <c r="DR105" s="269">
        <f t="shared" si="138"/>
        <v>0</v>
      </c>
      <c r="DS105" s="269">
        <f t="shared" si="138"/>
        <v>0</v>
      </c>
      <c r="DT105" s="269">
        <f t="shared" si="138"/>
        <v>0</v>
      </c>
      <c r="DU105" s="269">
        <f t="shared" si="138"/>
        <v>0</v>
      </c>
      <c r="DV105" s="269">
        <f t="shared" si="138"/>
        <v>0</v>
      </c>
      <c r="DW105" s="269">
        <f t="shared" si="138"/>
        <v>0</v>
      </c>
      <c r="DX105" s="269">
        <f t="shared" si="138"/>
        <v>0</v>
      </c>
      <c r="DY105" s="269">
        <f t="shared" si="138"/>
        <v>0</v>
      </c>
      <c r="DZ105" s="269">
        <f t="shared" si="138"/>
        <v>0</v>
      </c>
      <c r="EA105" s="269">
        <f t="shared" si="138"/>
        <v>0</v>
      </c>
      <c r="EB105" s="269">
        <f t="shared" si="138"/>
        <v>0</v>
      </c>
      <c r="EC105" s="269">
        <f t="shared" si="138"/>
        <v>0</v>
      </c>
      <c r="ED105" s="269">
        <f t="shared" si="138"/>
        <v>0</v>
      </c>
      <c r="EE105" s="269">
        <f t="shared" si="138"/>
        <v>0</v>
      </c>
      <c r="EF105" s="269">
        <f t="shared" si="138"/>
        <v>0</v>
      </c>
      <c r="EG105" s="269">
        <f t="shared" si="138"/>
        <v>0</v>
      </c>
      <c r="EH105" s="269">
        <f t="shared" si="138"/>
        <v>0</v>
      </c>
      <c r="EI105" s="269">
        <f t="shared" si="138"/>
        <v>0</v>
      </c>
      <c r="EJ105" s="269">
        <f t="shared" si="138"/>
        <v>0</v>
      </c>
      <c r="EK105" s="269">
        <f t="shared" si="138"/>
        <v>0</v>
      </c>
      <c r="EL105" s="269">
        <f t="shared" si="138"/>
        <v>0</v>
      </c>
      <c r="EM105" s="269">
        <f t="shared" si="138"/>
        <v>0</v>
      </c>
      <c r="EN105" s="269">
        <f t="shared" si="138"/>
        <v>0</v>
      </c>
      <c r="EO105" s="269">
        <f t="shared" si="138"/>
        <v>0</v>
      </c>
      <c r="EP105" s="269">
        <f t="shared" si="138"/>
        <v>0</v>
      </c>
      <c r="EQ105" s="269">
        <f t="shared" si="138"/>
        <v>0</v>
      </c>
      <c r="ER105" s="269">
        <f t="shared" si="138"/>
        <v>0</v>
      </c>
      <c r="ES105" s="269">
        <f t="shared" si="138"/>
        <v>0</v>
      </c>
      <c r="ET105" s="269">
        <f t="shared" si="138"/>
        <v>0</v>
      </c>
      <c r="EU105" s="269">
        <f t="shared" si="138"/>
        <v>0</v>
      </c>
      <c r="EV105" s="269">
        <f t="shared" si="138"/>
        <v>0</v>
      </c>
      <c r="EW105" s="269">
        <f t="shared" si="138"/>
        <v>0</v>
      </c>
      <c r="EX105" s="269">
        <f t="shared" si="138"/>
        <v>0</v>
      </c>
      <c r="EY105" s="269">
        <f t="shared" si="138"/>
        <v>0</v>
      </c>
      <c r="EZ105" s="269">
        <f t="shared" si="138"/>
        <v>0</v>
      </c>
      <c r="FA105" s="269">
        <f t="shared" si="138"/>
        <v>0</v>
      </c>
      <c r="FB105" s="269">
        <f t="shared" si="138"/>
        <v>0</v>
      </c>
      <c r="FC105" s="269">
        <f t="shared" si="138"/>
        <v>0</v>
      </c>
      <c r="FD105" s="269">
        <f t="shared" si="138"/>
        <v>0</v>
      </c>
      <c r="FE105" s="269">
        <f t="shared" ref="FE105:HD105" si="139">FE101+FE92+FE85+FE75+FE68+FE62+FE47+FE102</f>
        <v>0</v>
      </c>
      <c r="FF105" s="269">
        <f t="shared" si="139"/>
        <v>0</v>
      </c>
      <c r="FG105" s="269">
        <f t="shared" si="139"/>
        <v>0</v>
      </c>
      <c r="FH105" s="269">
        <f t="shared" si="139"/>
        <v>0</v>
      </c>
      <c r="FI105" s="269">
        <f t="shared" si="139"/>
        <v>0</v>
      </c>
      <c r="FJ105" s="269">
        <f t="shared" si="139"/>
        <v>0</v>
      </c>
      <c r="FK105" s="269">
        <f t="shared" si="139"/>
        <v>0</v>
      </c>
      <c r="FL105" s="269">
        <f t="shared" si="139"/>
        <v>0</v>
      </c>
      <c r="FM105" s="269">
        <f t="shared" si="139"/>
        <v>0</v>
      </c>
      <c r="FN105" s="269">
        <f t="shared" si="139"/>
        <v>0</v>
      </c>
      <c r="FO105" s="269">
        <f t="shared" si="139"/>
        <v>0</v>
      </c>
      <c r="FP105" s="269">
        <f t="shared" si="139"/>
        <v>0</v>
      </c>
      <c r="FQ105" s="269">
        <f t="shared" si="139"/>
        <v>0</v>
      </c>
      <c r="FR105" s="269">
        <f t="shared" si="139"/>
        <v>0</v>
      </c>
      <c r="FS105" s="269">
        <f t="shared" si="139"/>
        <v>0</v>
      </c>
      <c r="FT105" s="269">
        <f t="shared" si="139"/>
        <v>0</v>
      </c>
      <c r="FU105" s="269">
        <f t="shared" si="139"/>
        <v>0</v>
      </c>
      <c r="FV105" s="269">
        <f t="shared" si="139"/>
        <v>0</v>
      </c>
      <c r="FW105" s="269">
        <f t="shared" si="139"/>
        <v>0</v>
      </c>
      <c r="FX105" s="269">
        <f t="shared" si="139"/>
        <v>0</v>
      </c>
      <c r="FY105" s="269">
        <f t="shared" si="139"/>
        <v>0</v>
      </c>
      <c r="FZ105" s="269">
        <f t="shared" si="139"/>
        <v>0</v>
      </c>
      <c r="GA105" s="269">
        <f t="shared" si="139"/>
        <v>0</v>
      </c>
      <c r="GB105" s="269">
        <f t="shared" si="139"/>
        <v>0</v>
      </c>
      <c r="GC105" s="269">
        <f t="shared" si="139"/>
        <v>0</v>
      </c>
      <c r="GD105" s="269">
        <f t="shared" si="139"/>
        <v>0</v>
      </c>
      <c r="GE105" s="269">
        <f t="shared" si="139"/>
        <v>0</v>
      </c>
      <c r="GF105" s="269">
        <f t="shared" si="139"/>
        <v>0</v>
      </c>
      <c r="GG105" s="269">
        <f t="shared" si="139"/>
        <v>0</v>
      </c>
      <c r="GH105" s="269">
        <f t="shared" si="139"/>
        <v>0</v>
      </c>
      <c r="GI105" s="269">
        <f t="shared" si="139"/>
        <v>0</v>
      </c>
      <c r="GJ105" s="269">
        <f t="shared" si="139"/>
        <v>0</v>
      </c>
      <c r="GK105" s="269">
        <f t="shared" si="139"/>
        <v>0</v>
      </c>
      <c r="GL105" s="269">
        <f t="shared" si="139"/>
        <v>0</v>
      </c>
      <c r="GM105" s="269">
        <f t="shared" si="139"/>
        <v>0</v>
      </c>
      <c r="GN105" s="269">
        <f t="shared" si="139"/>
        <v>0</v>
      </c>
      <c r="GO105" s="269">
        <f t="shared" si="139"/>
        <v>0</v>
      </c>
      <c r="GP105" s="269">
        <f t="shared" si="139"/>
        <v>0</v>
      </c>
      <c r="GQ105" s="269">
        <f t="shared" si="139"/>
        <v>0</v>
      </c>
      <c r="GR105" s="269">
        <f t="shared" si="139"/>
        <v>0</v>
      </c>
      <c r="GS105" s="269">
        <f t="shared" si="139"/>
        <v>0</v>
      </c>
      <c r="GT105" s="269">
        <f t="shared" si="139"/>
        <v>0</v>
      </c>
      <c r="GU105" s="269">
        <f t="shared" si="139"/>
        <v>0</v>
      </c>
      <c r="GV105" s="269">
        <f t="shared" si="139"/>
        <v>0</v>
      </c>
      <c r="GW105" s="269">
        <f t="shared" si="139"/>
        <v>0</v>
      </c>
      <c r="GX105" s="269">
        <f t="shared" si="139"/>
        <v>0</v>
      </c>
      <c r="GY105" s="269">
        <f t="shared" si="139"/>
        <v>0</v>
      </c>
      <c r="GZ105" s="269">
        <f t="shared" si="139"/>
        <v>0</v>
      </c>
      <c r="HA105" s="269">
        <f t="shared" si="139"/>
        <v>0</v>
      </c>
      <c r="HB105" s="269">
        <f t="shared" si="139"/>
        <v>0</v>
      </c>
      <c r="HC105" s="269">
        <f t="shared" si="139"/>
        <v>0</v>
      </c>
      <c r="HD105" s="269">
        <f t="shared" si="139"/>
        <v>0</v>
      </c>
      <c r="HE105" s="269">
        <f>HE101+HE92+HE85+HE75+HE68+HE62+HE47+HE102</f>
        <v>7</v>
      </c>
      <c r="HF105" s="269">
        <f>HF101+HF92+HF85+HF75+HF68+HF62+HF47+HF102</f>
        <v>3792000000</v>
      </c>
      <c r="HH105" s="267">
        <f>HF105/D35</f>
        <v>10834285.714285715</v>
      </c>
    </row>
    <row r="106" spans="1:218" x14ac:dyDescent="0.2">
      <c r="A106" s="323"/>
      <c r="B106" s="311"/>
      <c r="C106" s="327"/>
      <c r="D106" s="327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  <c r="Z106" s="312"/>
      <c r="AA106" s="312"/>
      <c r="AB106" s="312"/>
      <c r="AC106" s="312"/>
      <c r="AD106" s="312"/>
      <c r="AE106" s="312"/>
      <c r="AF106" s="312"/>
      <c r="AG106" s="312"/>
      <c r="AH106" s="312"/>
      <c r="AI106" s="312"/>
      <c r="AJ106" s="312"/>
      <c r="AK106" s="312"/>
      <c r="AL106" s="312"/>
      <c r="AM106" s="312"/>
      <c r="AN106" s="312"/>
      <c r="AO106" s="312"/>
      <c r="AP106" s="312"/>
      <c r="AQ106" s="312"/>
      <c r="AR106" s="312"/>
      <c r="AS106" s="312"/>
      <c r="AT106" s="312"/>
      <c r="AU106" s="312"/>
      <c r="AV106" s="312"/>
      <c r="AW106" s="312"/>
      <c r="AX106" s="312"/>
      <c r="AY106" s="312"/>
      <c r="AZ106" s="312"/>
      <c r="BA106" s="312"/>
      <c r="BB106" s="312"/>
      <c r="BC106" s="312"/>
      <c r="BD106" s="312"/>
      <c r="BE106" s="312"/>
      <c r="BF106" s="312"/>
      <c r="BG106" s="312"/>
      <c r="BH106" s="312"/>
      <c r="BI106" s="312"/>
      <c r="BJ106" s="312"/>
      <c r="BK106" s="312"/>
      <c r="BL106" s="312"/>
      <c r="BM106" s="312"/>
      <c r="BN106" s="312"/>
      <c r="BO106" s="312"/>
      <c r="BP106" s="312"/>
      <c r="BQ106" s="312"/>
      <c r="BR106" s="312"/>
      <c r="BS106" s="312"/>
      <c r="BT106" s="312"/>
      <c r="BU106" s="312"/>
      <c r="BV106" s="312"/>
      <c r="BW106" s="312"/>
      <c r="BX106" s="312"/>
      <c r="BY106" s="312"/>
      <c r="BZ106" s="312"/>
      <c r="CA106" s="312"/>
      <c r="CB106" s="312"/>
      <c r="CC106" s="312"/>
      <c r="CD106" s="312"/>
      <c r="CE106" s="312"/>
      <c r="CF106" s="312"/>
      <c r="CG106" s="312"/>
      <c r="CH106" s="312"/>
      <c r="CI106" s="312"/>
      <c r="CJ106" s="312"/>
      <c r="CK106" s="312"/>
      <c r="CL106" s="312"/>
      <c r="CM106" s="312"/>
      <c r="CN106" s="312"/>
      <c r="CO106" s="312"/>
      <c r="CP106" s="312"/>
      <c r="CQ106" s="312"/>
      <c r="CR106" s="312"/>
      <c r="CS106" s="312"/>
      <c r="CT106" s="312"/>
      <c r="CU106" s="312"/>
      <c r="CV106" s="312"/>
      <c r="CW106" s="312"/>
      <c r="CX106" s="312"/>
      <c r="CY106" s="312"/>
      <c r="CZ106" s="312"/>
      <c r="DA106" s="312"/>
      <c r="DB106" s="312"/>
      <c r="DC106" s="312"/>
      <c r="DD106" s="312"/>
      <c r="DE106" s="312"/>
      <c r="DF106" s="312"/>
      <c r="DG106" s="312"/>
      <c r="DH106" s="312"/>
      <c r="DI106" s="312"/>
      <c r="DJ106" s="312"/>
      <c r="DK106" s="312"/>
      <c r="DL106" s="312"/>
      <c r="DM106" s="312"/>
      <c r="DN106" s="312"/>
      <c r="DO106" s="312"/>
      <c r="DP106" s="312"/>
      <c r="DQ106" s="312"/>
      <c r="DR106" s="312"/>
      <c r="DS106" s="312"/>
      <c r="DT106" s="312"/>
      <c r="DU106" s="312"/>
      <c r="DV106" s="312"/>
      <c r="DW106" s="312"/>
      <c r="DX106" s="312"/>
      <c r="DY106" s="312"/>
      <c r="DZ106" s="312"/>
      <c r="EA106" s="312"/>
      <c r="EB106" s="312"/>
      <c r="EC106" s="312"/>
      <c r="ED106" s="312"/>
      <c r="EE106" s="312"/>
      <c r="EF106" s="312"/>
      <c r="EG106" s="312"/>
      <c r="EH106" s="312"/>
      <c r="EI106" s="312"/>
      <c r="EJ106" s="312"/>
      <c r="EK106" s="312"/>
      <c r="EL106" s="312"/>
      <c r="EM106" s="312"/>
      <c r="EN106" s="312"/>
      <c r="EO106" s="312"/>
      <c r="EP106" s="312"/>
      <c r="EQ106" s="312"/>
      <c r="ER106" s="312"/>
      <c r="ES106" s="312"/>
      <c r="ET106" s="312"/>
      <c r="EU106" s="312"/>
      <c r="EV106" s="312"/>
      <c r="EW106" s="312"/>
      <c r="EX106" s="312"/>
      <c r="EY106" s="312"/>
      <c r="EZ106" s="312"/>
      <c r="FA106" s="312"/>
      <c r="FB106" s="312"/>
      <c r="FC106" s="312"/>
      <c r="FD106" s="312"/>
      <c r="FE106" s="312"/>
      <c r="FF106" s="312"/>
      <c r="FG106" s="312"/>
      <c r="FH106" s="312"/>
      <c r="FI106" s="312"/>
      <c r="FJ106" s="312"/>
      <c r="FK106" s="312"/>
      <c r="FL106" s="312"/>
      <c r="FM106" s="312"/>
      <c r="FN106" s="312"/>
      <c r="FO106" s="312"/>
      <c r="FP106" s="312"/>
      <c r="FQ106" s="312"/>
      <c r="FR106" s="312"/>
      <c r="FS106" s="312"/>
      <c r="FT106" s="312"/>
      <c r="FU106" s="312"/>
      <c r="FV106" s="312"/>
      <c r="FW106" s="312"/>
      <c r="FX106" s="312"/>
      <c r="FY106" s="312"/>
      <c r="FZ106" s="312"/>
      <c r="GA106" s="312"/>
      <c r="GB106" s="312"/>
      <c r="GC106" s="312"/>
      <c r="GD106" s="312"/>
      <c r="GE106" s="312"/>
      <c r="GF106" s="312"/>
      <c r="GG106" s="312"/>
      <c r="GH106" s="312"/>
      <c r="GI106" s="312"/>
      <c r="GJ106" s="312"/>
      <c r="GK106" s="312"/>
      <c r="GL106" s="312"/>
      <c r="GM106" s="312"/>
      <c r="GN106" s="312"/>
      <c r="GO106" s="312"/>
      <c r="GP106" s="312"/>
      <c r="GQ106" s="312"/>
      <c r="GR106" s="312"/>
      <c r="GS106" s="312"/>
      <c r="GT106" s="312"/>
      <c r="GU106" s="312"/>
      <c r="GV106" s="312"/>
      <c r="GW106" s="312"/>
      <c r="GX106" s="312"/>
      <c r="GY106" s="312"/>
      <c r="GZ106" s="312"/>
      <c r="HA106" s="312"/>
      <c r="HB106" s="312"/>
      <c r="HC106" s="312"/>
      <c r="HD106" s="312"/>
      <c r="HE106" s="312"/>
      <c r="HF106" s="312"/>
      <c r="HH106" s="263">
        <f>HF107/D34</f>
        <v>10834285.714285715</v>
      </c>
    </row>
    <row r="107" spans="1:218" ht="13.5" thickBot="1" x14ac:dyDescent="0.25">
      <c r="A107" s="264"/>
      <c r="B107" s="270" t="s">
        <v>469</v>
      </c>
      <c r="C107" s="273"/>
      <c r="D107" s="273"/>
      <c r="E107" s="271"/>
      <c r="F107" s="271">
        <f>F31+F105</f>
        <v>0</v>
      </c>
      <c r="G107" s="271"/>
      <c r="H107" s="271">
        <f>H31+H105</f>
        <v>0</v>
      </c>
      <c r="I107" s="271"/>
      <c r="J107" s="271">
        <f>J31+J105</f>
        <v>0</v>
      </c>
      <c r="K107" s="271"/>
      <c r="L107" s="271">
        <f>L31+L105</f>
        <v>0</v>
      </c>
      <c r="M107" s="271"/>
      <c r="N107" s="271">
        <f>N31+N105</f>
        <v>0</v>
      </c>
      <c r="O107" s="271"/>
      <c r="P107" s="271">
        <f>P31+P105</f>
        <v>0</v>
      </c>
      <c r="Q107" s="271"/>
      <c r="R107" s="271">
        <f>R31+R105</f>
        <v>0</v>
      </c>
      <c r="S107" s="271"/>
      <c r="T107" s="271">
        <f>T31+T105</f>
        <v>0</v>
      </c>
      <c r="U107" s="271"/>
      <c r="V107" s="271">
        <f>V31+V105</f>
        <v>0</v>
      </c>
      <c r="W107" s="271"/>
      <c r="X107" s="271">
        <f>X31+X105</f>
        <v>0</v>
      </c>
      <c r="Y107" s="271"/>
      <c r="Z107" s="271">
        <f>Z31+Z105</f>
        <v>0</v>
      </c>
      <c r="AA107" s="271"/>
      <c r="AB107" s="271">
        <f>AB31+AB105</f>
        <v>0</v>
      </c>
      <c r="AC107" s="271"/>
      <c r="AD107" s="271">
        <f>AD31+AD105</f>
        <v>0</v>
      </c>
      <c r="AE107" s="271"/>
      <c r="AF107" s="271">
        <f>AF104+AF101+AF92+AF85+AF75+AF68+AF62+AF47</f>
        <v>0</v>
      </c>
      <c r="AG107" s="271">
        <f t="shared" ref="AG107:CR107" si="140">AG104+AG101+AG92+AG85+AG75+AG68+AG62+AG47</f>
        <v>0</v>
      </c>
      <c r="AH107" s="271">
        <f t="shared" si="140"/>
        <v>0</v>
      </c>
      <c r="AI107" s="271">
        <f t="shared" si="140"/>
        <v>0</v>
      </c>
      <c r="AJ107" s="271">
        <f t="shared" si="140"/>
        <v>0</v>
      </c>
      <c r="AK107" s="271">
        <f t="shared" si="140"/>
        <v>0</v>
      </c>
      <c r="AL107" s="271">
        <f t="shared" si="140"/>
        <v>0</v>
      </c>
      <c r="AM107" s="271">
        <f t="shared" si="140"/>
        <v>0</v>
      </c>
      <c r="AN107" s="271">
        <f t="shared" si="140"/>
        <v>0</v>
      </c>
      <c r="AO107" s="271">
        <f t="shared" si="140"/>
        <v>0</v>
      </c>
      <c r="AP107" s="271">
        <f t="shared" si="140"/>
        <v>0</v>
      </c>
      <c r="AQ107" s="271">
        <f t="shared" si="140"/>
        <v>0</v>
      </c>
      <c r="AR107" s="271">
        <f t="shared" si="140"/>
        <v>0</v>
      </c>
      <c r="AS107" s="271">
        <f t="shared" si="140"/>
        <v>0</v>
      </c>
      <c r="AT107" s="271">
        <f t="shared" si="140"/>
        <v>0</v>
      </c>
      <c r="AU107" s="271">
        <f t="shared" si="140"/>
        <v>0</v>
      </c>
      <c r="AV107" s="271">
        <f t="shared" si="140"/>
        <v>0</v>
      </c>
      <c r="AW107" s="271">
        <f t="shared" si="140"/>
        <v>0</v>
      </c>
      <c r="AX107" s="271">
        <f t="shared" si="140"/>
        <v>0</v>
      </c>
      <c r="AY107" s="271">
        <f t="shared" si="140"/>
        <v>7</v>
      </c>
      <c r="AZ107" s="271">
        <f t="shared" si="140"/>
        <v>3792000000</v>
      </c>
      <c r="BA107" s="271">
        <f t="shared" si="140"/>
        <v>0</v>
      </c>
      <c r="BB107" s="271">
        <f t="shared" si="140"/>
        <v>0</v>
      </c>
      <c r="BC107" s="271">
        <f t="shared" si="140"/>
        <v>7</v>
      </c>
      <c r="BD107" s="271">
        <f t="shared" si="140"/>
        <v>3792000000</v>
      </c>
      <c r="BE107" s="271">
        <f t="shared" si="140"/>
        <v>0</v>
      </c>
      <c r="BF107" s="271">
        <f t="shared" si="140"/>
        <v>0</v>
      </c>
      <c r="BG107" s="271">
        <f t="shared" si="140"/>
        <v>0</v>
      </c>
      <c r="BH107" s="271">
        <f t="shared" si="140"/>
        <v>0</v>
      </c>
      <c r="BI107" s="271">
        <f t="shared" si="140"/>
        <v>0</v>
      </c>
      <c r="BJ107" s="271">
        <f t="shared" si="140"/>
        <v>0</v>
      </c>
      <c r="BK107" s="271">
        <f t="shared" si="140"/>
        <v>0</v>
      </c>
      <c r="BL107" s="271">
        <f t="shared" si="140"/>
        <v>0</v>
      </c>
      <c r="BM107" s="271">
        <f t="shared" si="140"/>
        <v>0</v>
      </c>
      <c r="BN107" s="271">
        <f t="shared" si="140"/>
        <v>0</v>
      </c>
      <c r="BO107" s="271">
        <f t="shared" si="140"/>
        <v>0</v>
      </c>
      <c r="BP107" s="271">
        <f t="shared" si="140"/>
        <v>0</v>
      </c>
      <c r="BQ107" s="271">
        <f t="shared" si="140"/>
        <v>0</v>
      </c>
      <c r="BR107" s="271">
        <f t="shared" si="140"/>
        <v>0</v>
      </c>
      <c r="BS107" s="271">
        <f t="shared" si="140"/>
        <v>0</v>
      </c>
      <c r="BT107" s="271">
        <f t="shared" si="140"/>
        <v>0</v>
      </c>
      <c r="BU107" s="271">
        <f t="shared" si="140"/>
        <v>0</v>
      </c>
      <c r="BV107" s="271">
        <f t="shared" si="140"/>
        <v>0</v>
      </c>
      <c r="BW107" s="271">
        <f t="shared" si="140"/>
        <v>0</v>
      </c>
      <c r="BX107" s="271">
        <f t="shared" si="140"/>
        <v>0</v>
      </c>
      <c r="BY107" s="271">
        <f t="shared" si="140"/>
        <v>0</v>
      </c>
      <c r="BZ107" s="271">
        <f t="shared" si="140"/>
        <v>0</v>
      </c>
      <c r="CA107" s="271">
        <f t="shared" si="140"/>
        <v>0</v>
      </c>
      <c r="CB107" s="271">
        <f t="shared" si="140"/>
        <v>0</v>
      </c>
      <c r="CC107" s="271">
        <f t="shared" si="140"/>
        <v>0</v>
      </c>
      <c r="CD107" s="271">
        <f t="shared" si="140"/>
        <v>0</v>
      </c>
      <c r="CE107" s="271">
        <f t="shared" si="140"/>
        <v>0</v>
      </c>
      <c r="CF107" s="271">
        <f t="shared" si="140"/>
        <v>0</v>
      </c>
      <c r="CG107" s="271">
        <f t="shared" si="140"/>
        <v>0</v>
      </c>
      <c r="CH107" s="271">
        <f t="shared" si="140"/>
        <v>0</v>
      </c>
      <c r="CI107" s="271">
        <f t="shared" si="140"/>
        <v>0</v>
      </c>
      <c r="CJ107" s="271">
        <f t="shared" si="140"/>
        <v>0</v>
      </c>
      <c r="CK107" s="271">
        <f t="shared" si="140"/>
        <v>0</v>
      </c>
      <c r="CL107" s="271">
        <f t="shared" si="140"/>
        <v>0</v>
      </c>
      <c r="CM107" s="271">
        <f t="shared" si="140"/>
        <v>0</v>
      </c>
      <c r="CN107" s="271">
        <f t="shared" si="140"/>
        <v>0</v>
      </c>
      <c r="CO107" s="271">
        <f t="shared" si="140"/>
        <v>0</v>
      </c>
      <c r="CP107" s="271">
        <f t="shared" si="140"/>
        <v>0</v>
      </c>
      <c r="CQ107" s="271">
        <f t="shared" si="140"/>
        <v>0</v>
      </c>
      <c r="CR107" s="271">
        <f t="shared" si="140"/>
        <v>0</v>
      </c>
      <c r="CS107" s="271">
        <f t="shared" ref="CS107:FD107" si="141">CS104+CS101+CS92+CS85+CS75+CS68+CS62+CS47</f>
        <v>0</v>
      </c>
      <c r="CT107" s="271">
        <f t="shared" si="141"/>
        <v>0</v>
      </c>
      <c r="CU107" s="271">
        <f t="shared" si="141"/>
        <v>0</v>
      </c>
      <c r="CV107" s="271">
        <f t="shared" si="141"/>
        <v>0</v>
      </c>
      <c r="CW107" s="271">
        <f t="shared" si="141"/>
        <v>0</v>
      </c>
      <c r="CX107" s="271">
        <f t="shared" si="141"/>
        <v>0</v>
      </c>
      <c r="CY107" s="271">
        <f t="shared" si="141"/>
        <v>0</v>
      </c>
      <c r="CZ107" s="271">
        <f t="shared" si="141"/>
        <v>0</v>
      </c>
      <c r="DA107" s="271">
        <f t="shared" si="141"/>
        <v>0</v>
      </c>
      <c r="DB107" s="271">
        <f t="shared" si="141"/>
        <v>0</v>
      </c>
      <c r="DC107" s="271">
        <f t="shared" si="141"/>
        <v>0</v>
      </c>
      <c r="DD107" s="271">
        <f t="shared" si="141"/>
        <v>0</v>
      </c>
      <c r="DE107" s="271">
        <f t="shared" si="141"/>
        <v>0</v>
      </c>
      <c r="DF107" s="271">
        <f t="shared" si="141"/>
        <v>0</v>
      </c>
      <c r="DG107" s="271">
        <f t="shared" si="141"/>
        <v>0</v>
      </c>
      <c r="DH107" s="271">
        <f t="shared" si="141"/>
        <v>0</v>
      </c>
      <c r="DI107" s="271">
        <f t="shared" si="141"/>
        <v>0</v>
      </c>
      <c r="DJ107" s="271">
        <f t="shared" si="141"/>
        <v>0</v>
      </c>
      <c r="DK107" s="271">
        <f t="shared" si="141"/>
        <v>0</v>
      </c>
      <c r="DL107" s="271">
        <f t="shared" si="141"/>
        <v>0</v>
      </c>
      <c r="DM107" s="271">
        <f t="shared" si="141"/>
        <v>0</v>
      </c>
      <c r="DN107" s="271">
        <f t="shared" si="141"/>
        <v>0</v>
      </c>
      <c r="DO107" s="271">
        <f t="shared" si="141"/>
        <v>0</v>
      </c>
      <c r="DP107" s="271">
        <f t="shared" si="141"/>
        <v>0</v>
      </c>
      <c r="DQ107" s="271">
        <f t="shared" si="141"/>
        <v>0</v>
      </c>
      <c r="DR107" s="271">
        <f t="shared" si="141"/>
        <v>0</v>
      </c>
      <c r="DS107" s="271">
        <f t="shared" si="141"/>
        <v>0</v>
      </c>
      <c r="DT107" s="271">
        <f t="shared" si="141"/>
        <v>0</v>
      </c>
      <c r="DU107" s="271">
        <f t="shared" si="141"/>
        <v>0</v>
      </c>
      <c r="DV107" s="271">
        <f t="shared" si="141"/>
        <v>0</v>
      </c>
      <c r="DW107" s="271">
        <f t="shared" si="141"/>
        <v>0</v>
      </c>
      <c r="DX107" s="271">
        <f t="shared" si="141"/>
        <v>0</v>
      </c>
      <c r="DY107" s="271">
        <f t="shared" si="141"/>
        <v>0</v>
      </c>
      <c r="DZ107" s="271">
        <f t="shared" si="141"/>
        <v>0</v>
      </c>
      <c r="EA107" s="271">
        <f t="shared" si="141"/>
        <v>0</v>
      </c>
      <c r="EB107" s="271">
        <f t="shared" si="141"/>
        <v>0</v>
      </c>
      <c r="EC107" s="271">
        <f t="shared" si="141"/>
        <v>0</v>
      </c>
      <c r="ED107" s="271">
        <f t="shared" si="141"/>
        <v>0</v>
      </c>
      <c r="EE107" s="271">
        <f t="shared" si="141"/>
        <v>0</v>
      </c>
      <c r="EF107" s="271">
        <f t="shared" si="141"/>
        <v>0</v>
      </c>
      <c r="EG107" s="271">
        <f t="shared" si="141"/>
        <v>0</v>
      </c>
      <c r="EH107" s="271">
        <f t="shared" si="141"/>
        <v>0</v>
      </c>
      <c r="EI107" s="271">
        <f t="shared" si="141"/>
        <v>0</v>
      </c>
      <c r="EJ107" s="271">
        <f t="shared" si="141"/>
        <v>0</v>
      </c>
      <c r="EK107" s="271">
        <f t="shared" si="141"/>
        <v>0</v>
      </c>
      <c r="EL107" s="271">
        <f t="shared" si="141"/>
        <v>0</v>
      </c>
      <c r="EM107" s="271">
        <f t="shared" si="141"/>
        <v>0</v>
      </c>
      <c r="EN107" s="271">
        <f t="shared" si="141"/>
        <v>0</v>
      </c>
      <c r="EO107" s="271">
        <f t="shared" si="141"/>
        <v>0</v>
      </c>
      <c r="EP107" s="271">
        <f t="shared" si="141"/>
        <v>0</v>
      </c>
      <c r="EQ107" s="271">
        <f t="shared" si="141"/>
        <v>0</v>
      </c>
      <c r="ER107" s="271">
        <f t="shared" si="141"/>
        <v>0</v>
      </c>
      <c r="ES107" s="271">
        <f t="shared" si="141"/>
        <v>0</v>
      </c>
      <c r="ET107" s="271">
        <f t="shared" si="141"/>
        <v>0</v>
      </c>
      <c r="EU107" s="271">
        <f t="shared" si="141"/>
        <v>0</v>
      </c>
      <c r="EV107" s="271">
        <f t="shared" si="141"/>
        <v>0</v>
      </c>
      <c r="EW107" s="271">
        <f t="shared" si="141"/>
        <v>0</v>
      </c>
      <c r="EX107" s="271">
        <f t="shared" si="141"/>
        <v>0</v>
      </c>
      <c r="EY107" s="271">
        <f t="shared" si="141"/>
        <v>0</v>
      </c>
      <c r="EZ107" s="271">
        <f t="shared" si="141"/>
        <v>0</v>
      </c>
      <c r="FA107" s="271">
        <f t="shared" si="141"/>
        <v>0</v>
      </c>
      <c r="FB107" s="271">
        <f t="shared" si="141"/>
        <v>0</v>
      </c>
      <c r="FC107" s="271">
        <f t="shared" si="141"/>
        <v>0</v>
      </c>
      <c r="FD107" s="271">
        <f t="shared" si="141"/>
        <v>0</v>
      </c>
      <c r="FE107" s="271">
        <f t="shared" ref="FE107:HD107" si="142">FE104+FE101+FE92+FE85+FE75+FE68+FE62+FE47</f>
        <v>0</v>
      </c>
      <c r="FF107" s="271">
        <f t="shared" si="142"/>
        <v>0</v>
      </c>
      <c r="FG107" s="271">
        <f t="shared" si="142"/>
        <v>0</v>
      </c>
      <c r="FH107" s="271">
        <f t="shared" si="142"/>
        <v>0</v>
      </c>
      <c r="FI107" s="271">
        <f t="shared" si="142"/>
        <v>0</v>
      </c>
      <c r="FJ107" s="271">
        <f t="shared" si="142"/>
        <v>0</v>
      </c>
      <c r="FK107" s="271">
        <f t="shared" si="142"/>
        <v>0</v>
      </c>
      <c r="FL107" s="271">
        <f t="shared" si="142"/>
        <v>0</v>
      </c>
      <c r="FM107" s="271">
        <f t="shared" si="142"/>
        <v>0</v>
      </c>
      <c r="FN107" s="271">
        <f t="shared" si="142"/>
        <v>0</v>
      </c>
      <c r="FO107" s="271">
        <f t="shared" si="142"/>
        <v>0</v>
      </c>
      <c r="FP107" s="271">
        <f t="shared" si="142"/>
        <v>0</v>
      </c>
      <c r="FQ107" s="271">
        <f t="shared" si="142"/>
        <v>0</v>
      </c>
      <c r="FR107" s="271">
        <f t="shared" si="142"/>
        <v>0</v>
      </c>
      <c r="FS107" s="271">
        <f t="shared" si="142"/>
        <v>0</v>
      </c>
      <c r="FT107" s="271">
        <f t="shared" si="142"/>
        <v>0</v>
      </c>
      <c r="FU107" s="271">
        <f t="shared" si="142"/>
        <v>0</v>
      </c>
      <c r="FV107" s="271">
        <f t="shared" si="142"/>
        <v>0</v>
      </c>
      <c r="FW107" s="271">
        <f t="shared" si="142"/>
        <v>0</v>
      </c>
      <c r="FX107" s="271">
        <f t="shared" si="142"/>
        <v>0</v>
      </c>
      <c r="FY107" s="271">
        <f t="shared" si="142"/>
        <v>0</v>
      </c>
      <c r="FZ107" s="271">
        <f t="shared" si="142"/>
        <v>0</v>
      </c>
      <c r="GA107" s="271">
        <f t="shared" si="142"/>
        <v>0</v>
      </c>
      <c r="GB107" s="271">
        <f t="shared" si="142"/>
        <v>0</v>
      </c>
      <c r="GC107" s="271">
        <f t="shared" si="142"/>
        <v>0</v>
      </c>
      <c r="GD107" s="271">
        <f t="shared" si="142"/>
        <v>0</v>
      </c>
      <c r="GE107" s="271">
        <f t="shared" si="142"/>
        <v>0</v>
      </c>
      <c r="GF107" s="271">
        <f t="shared" si="142"/>
        <v>0</v>
      </c>
      <c r="GG107" s="271">
        <f t="shared" si="142"/>
        <v>0</v>
      </c>
      <c r="GH107" s="271">
        <f t="shared" si="142"/>
        <v>0</v>
      </c>
      <c r="GI107" s="271">
        <f t="shared" si="142"/>
        <v>0</v>
      </c>
      <c r="GJ107" s="271">
        <f t="shared" si="142"/>
        <v>0</v>
      </c>
      <c r="GK107" s="271">
        <f t="shared" si="142"/>
        <v>0</v>
      </c>
      <c r="GL107" s="271">
        <f t="shared" si="142"/>
        <v>0</v>
      </c>
      <c r="GM107" s="271">
        <f t="shared" si="142"/>
        <v>0</v>
      </c>
      <c r="GN107" s="271">
        <f t="shared" si="142"/>
        <v>0</v>
      </c>
      <c r="GO107" s="271">
        <f t="shared" si="142"/>
        <v>0</v>
      </c>
      <c r="GP107" s="271">
        <f t="shared" si="142"/>
        <v>0</v>
      </c>
      <c r="GQ107" s="271">
        <f t="shared" si="142"/>
        <v>0</v>
      </c>
      <c r="GR107" s="271">
        <f t="shared" si="142"/>
        <v>0</v>
      </c>
      <c r="GS107" s="271">
        <f t="shared" si="142"/>
        <v>0</v>
      </c>
      <c r="GT107" s="271">
        <f t="shared" si="142"/>
        <v>0</v>
      </c>
      <c r="GU107" s="271">
        <f t="shared" si="142"/>
        <v>0</v>
      </c>
      <c r="GV107" s="271">
        <f t="shared" si="142"/>
        <v>0</v>
      </c>
      <c r="GW107" s="271">
        <f t="shared" si="142"/>
        <v>0</v>
      </c>
      <c r="GX107" s="271">
        <f t="shared" si="142"/>
        <v>0</v>
      </c>
      <c r="GY107" s="271">
        <f t="shared" si="142"/>
        <v>0</v>
      </c>
      <c r="GZ107" s="271">
        <f t="shared" si="142"/>
        <v>0</v>
      </c>
      <c r="HA107" s="271">
        <f t="shared" si="142"/>
        <v>0</v>
      </c>
      <c r="HB107" s="271">
        <f t="shared" si="142"/>
        <v>0</v>
      </c>
      <c r="HC107" s="271">
        <f t="shared" si="142"/>
        <v>0</v>
      </c>
      <c r="HD107" s="271">
        <f t="shared" si="142"/>
        <v>0</v>
      </c>
      <c r="HE107" s="271">
        <f>HE104+HE101+HE92+HE85+HE75+HE68+HE62+HE47</f>
        <v>7</v>
      </c>
      <c r="HF107" s="271">
        <f>HF104+HF101+HF92+HF85+HF75+HF68+HF62+HF47</f>
        <v>3792000000</v>
      </c>
      <c r="HH107" s="267">
        <f>HF107/D35</f>
        <v>10834285.714285715</v>
      </c>
    </row>
    <row r="108" spans="1:218" ht="13.5" thickTop="1" x14ac:dyDescent="0.2"/>
    <row r="109" spans="1:218" x14ac:dyDescent="0.2">
      <c r="B109" s="309" t="s">
        <v>470</v>
      </c>
      <c r="HF109" s="333">
        <f>HF107/D34</f>
        <v>10834285.714285715</v>
      </c>
    </row>
    <row r="110" spans="1:218" x14ac:dyDescent="0.2">
      <c r="B110" s="309" t="s">
        <v>471</v>
      </c>
      <c r="HF110" s="333">
        <f>HF107/D35</f>
        <v>10834285.714285715</v>
      </c>
    </row>
    <row r="124" spans="3:3" x14ac:dyDescent="0.2">
      <c r="C124" s="334">
        <v>76700</v>
      </c>
    </row>
    <row r="125" spans="3:3" x14ac:dyDescent="0.2">
      <c r="C125" s="334">
        <v>4453400</v>
      </c>
    </row>
    <row r="126" spans="3:3" x14ac:dyDescent="0.2">
      <c r="C126" s="334">
        <v>1781700</v>
      </c>
    </row>
    <row r="127" spans="3:3" x14ac:dyDescent="0.2">
      <c r="C127" s="334">
        <v>336800</v>
      </c>
    </row>
    <row r="128" spans="3:3" x14ac:dyDescent="0.2">
      <c r="C128" s="333">
        <f>SUM(C124:C127)</f>
        <v>6648600</v>
      </c>
    </row>
    <row r="129" spans="3:3" x14ac:dyDescent="0.2">
      <c r="C129" s="335"/>
    </row>
    <row r="130" spans="3:3" x14ac:dyDescent="0.2">
      <c r="C130" s="335"/>
    </row>
    <row r="131" spans="3:3" ht="13.5" thickBot="1" x14ac:dyDescent="0.25">
      <c r="C131" s="272">
        <f>ROUND(C124,-4)</f>
        <v>80000</v>
      </c>
    </row>
    <row r="132" spans="3:3" ht="14.25" thickTop="1" thickBot="1" x14ac:dyDescent="0.25">
      <c r="C132" s="272">
        <f>ROUND(C125,-4)</f>
        <v>4450000</v>
      </c>
    </row>
    <row r="133" spans="3:3" ht="14.25" thickTop="1" thickBot="1" x14ac:dyDescent="0.25">
      <c r="C133" s="272">
        <f>ROUND(C126,-4)</f>
        <v>1780000</v>
      </c>
    </row>
    <row r="134" spans="3:3" ht="14.25" thickTop="1" thickBot="1" x14ac:dyDescent="0.25">
      <c r="C134" s="272">
        <f>ROUND(C127,-4)</f>
        <v>340000</v>
      </c>
    </row>
    <row r="135" spans="3:3" ht="13.5" thickTop="1" x14ac:dyDescent="0.2">
      <c r="C135" s="335">
        <f>SUM(C131:C134)</f>
        <v>6650000</v>
      </c>
    </row>
  </sheetData>
  <mergeCells count="116">
    <mergeCell ref="GW6:GX6"/>
    <mergeCell ref="GY6:GZ6"/>
    <mergeCell ref="HA6:HB6"/>
    <mergeCell ref="HC6:HD6"/>
    <mergeCell ref="GE5:HD5"/>
    <mergeCell ref="GE6:GF6"/>
    <mergeCell ref="GG6:GH6"/>
    <mergeCell ref="GI6:GJ6"/>
    <mergeCell ref="GK6:GL6"/>
    <mergeCell ref="GM6:GN6"/>
    <mergeCell ref="GO6:GP6"/>
    <mergeCell ref="GQ6:GR6"/>
    <mergeCell ref="GS6:GT6"/>
    <mergeCell ref="GU6:GV6"/>
    <mergeCell ref="FW6:FX6"/>
    <mergeCell ref="FY6:FZ6"/>
    <mergeCell ref="GA6:GB6"/>
    <mergeCell ref="GC6:GD6"/>
    <mergeCell ref="FE5:GD5"/>
    <mergeCell ref="FE6:FF6"/>
    <mergeCell ref="FG6:FH6"/>
    <mergeCell ref="FI6:FJ6"/>
    <mergeCell ref="FK6:FL6"/>
    <mergeCell ref="FM6:FN6"/>
    <mergeCell ref="B5:B7"/>
    <mergeCell ref="E5:AD5"/>
    <mergeCell ref="AE5:BD5"/>
    <mergeCell ref="BE5:CD5"/>
    <mergeCell ref="CE5:DD5"/>
    <mergeCell ref="DE5:ED5"/>
    <mergeCell ref="C6:C7"/>
    <mergeCell ref="D6:D7"/>
    <mergeCell ref="E6:F6"/>
    <mergeCell ref="G6:H6"/>
    <mergeCell ref="I6:J6"/>
    <mergeCell ref="K6:L6"/>
    <mergeCell ref="M6:N6"/>
    <mergeCell ref="O6:P6"/>
    <mergeCell ref="Y6:Z6"/>
    <mergeCell ref="AA6:AB6"/>
    <mergeCell ref="Q6:R6"/>
    <mergeCell ref="S6:T6"/>
    <mergeCell ref="U6:V6"/>
    <mergeCell ref="W6:X6"/>
    <mergeCell ref="AC6:AD6"/>
    <mergeCell ref="AE6:AF6"/>
    <mergeCell ref="BM6:BN6"/>
    <mergeCell ref="BO6:BP6"/>
    <mergeCell ref="EE5:FD5"/>
    <mergeCell ref="HE5:HF6"/>
    <mergeCell ref="AG6:AH6"/>
    <mergeCell ref="AI6:AJ6"/>
    <mergeCell ref="AK6:AL6"/>
    <mergeCell ref="AM6:AN6"/>
    <mergeCell ref="FO6:FP6"/>
    <mergeCell ref="FQ6:FR6"/>
    <mergeCell ref="FS6:FT6"/>
    <mergeCell ref="FU6:FV6"/>
    <mergeCell ref="AS6:AT6"/>
    <mergeCell ref="AU6:AV6"/>
    <mergeCell ref="AO6:AP6"/>
    <mergeCell ref="AQ6:AR6"/>
    <mergeCell ref="AW6:AX6"/>
    <mergeCell ref="AY6:AZ6"/>
    <mergeCell ref="BE6:BF6"/>
    <mergeCell ref="BG6:BH6"/>
    <mergeCell ref="BA6:BB6"/>
    <mergeCell ref="BC6:BD6"/>
    <mergeCell ref="BI6:BJ6"/>
    <mergeCell ref="BK6:BL6"/>
    <mergeCell ref="BQ6:BR6"/>
    <mergeCell ref="BS6:BT6"/>
    <mergeCell ref="BU6:BV6"/>
    <mergeCell ref="BW6:BX6"/>
    <mergeCell ref="CC6:CD6"/>
    <mergeCell ref="CE6:CF6"/>
    <mergeCell ref="BY6:BZ6"/>
    <mergeCell ref="CA6:CB6"/>
    <mergeCell ref="CG6:CH6"/>
    <mergeCell ref="CI6:CJ6"/>
    <mergeCell ref="CO6:CP6"/>
    <mergeCell ref="CQ6:CR6"/>
    <mergeCell ref="CK6:CL6"/>
    <mergeCell ref="CM6:CN6"/>
    <mergeCell ref="CS6:CT6"/>
    <mergeCell ref="CU6:CV6"/>
    <mergeCell ref="DA6:DB6"/>
    <mergeCell ref="DC6:DD6"/>
    <mergeCell ref="CW6:CX6"/>
    <mergeCell ref="CY6:CZ6"/>
    <mergeCell ref="DU6:DV6"/>
    <mergeCell ref="DW6:DX6"/>
    <mergeCell ref="EC6:ED6"/>
    <mergeCell ref="EE6:EF6"/>
    <mergeCell ref="EK6:EL6"/>
    <mergeCell ref="EM6:EN6"/>
    <mergeCell ref="EG6:EH6"/>
    <mergeCell ref="EI6:EJ6"/>
    <mergeCell ref="DE6:DF6"/>
    <mergeCell ref="DG6:DH6"/>
    <mergeCell ref="DM6:DN6"/>
    <mergeCell ref="DO6:DP6"/>
    <mergeCell ref="DI6:DJ6"/>
    <mergeCell ref="DK6:DL6"/>
    <mergeCell ref="DQ6:DR6"/>
    <mergeCell ref="DS6:DT6"/>
    <mergeCell ref="DY6:DZ6"/>
    <mergeCell ref="FA6:FB6"/>
    <mergeCell ref="FC6:FD6"/>
    <mergeCell ref="EO6:EP6"/>
    <mergeCell ref="EQ6:ER6"/>
    <mergeCell ref="ES6:ET6"/>
    <mergeCell ref="EU6:EV6"/>
    <mergeCell ref="EW6:EX6"/>
    <mergeCell ref="EY6:EZ6"/>
    <mergeCell ref="EA6:EB6"/>
  </mergeCells>
  <pageMargins left="0.75" right="0.75" top="0.73" bottom="0.73" header="0.5" footer="0.5"/>
  <pageSetup paperSize="9" scale="35" orientation="landscape" r:id="rId1"/>
  <headerFooter alignWithMargins="0">
    <oddHeader>&amp;A</oddHeader>
    <oddFooter>Page &amp;P of &amp;N</oddFooter>
  </headerFooter>
  <rowBreaks count="1" manualBreakCount="1">
    <brk id="107" max="16383" man="1"/>
  </rowBreaks>
  <colBreaks count="1" manualBreakCount="1">
    <brk id="30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Y44"/>
  <sheetViews>
    <sheetView zoomScale="160" zoomScaleNormal="160" workbookViewId="0">
      <pane xSplit="1" ySplit="6" topLeftCell="B7" activePane="bottomRight" state="frozen"/>
      <selection activeCell="C40" sqref="C40"/>
      <selection pane="topRight" activeCell="C40" sqref="C40"/>
      <selection pane="bottomLeft" activeCell="C40" sqref="C40"/>
      <selection pane="bottomRight" activeCell="G11" sqref="G11"/>
    </sheetView>
  </sheetViews>
  <sheetFormatPr defaultColWidth="8.6640625" defaultRowHeight="11.25" x14ac:dyDescent="0.2"/>
  <cols>
    <col min="1" max="1" width="22" bestFit="1" customWidth="1"/>
    <col min="3" max="3" width="14" bestFit="1" customWidth="1"/>
    <col min="5" max="5" width="14.1640625" bestFit="1" customWidth="1"/>
    <col min="7" max="7" width="15" bestFit="1" customWidth="1"/>
    <col min="9" max="9" width="14.5" bestFit="1" customWidth="1"/>
    <col min="11" max="11" width="16.1640625" bestFit="1" customWidth="1"/>
    <col min="12" max="12" width="9.5" bestFit="1" customWidth="1"/>
    <col min="13" max="13" width="14" bestFit="1" customWidth="1"/>
    <col min="14" max="14" width="9.5" bestFit="1" customWidth="1"/>
    <col min="15" max="15" width="14" bestFit="1" customWidth="1"/>
    <col min="16" max="16" width="9.5" bestFit="1" customWidth="1"/>
    <col min="17" max="17" width="15" bestFit="1" customWidth="1"/>
    <col min="18" max="18" width="9.5" bestFit="1" customWidth="1"/>
    <col min="19" max="19" width="14" bestFit="1" customWidth="1"/>
    <col min="20" max="20" width="9.5" bestFit="1" customWidth="1"/>
    <col min="21" max="21" width="15" bestFit="1" customWidth="1"/>
    <col min="23" max="23" width="14" bestFit="1" customWidth="1"/>
    <col min="25" max="25" width="14" bestFit="1" customWidth="1"/>
    <col min="27" max="27" width="15" bestFit="1" customWidth="1"/>
    <col min="29" max="29" width="14" bestFit="1" customWidth="1"/>
    <col min="31" max="31" width="15" bestFit="1" customWidth="1"/>
    <col min="33" max="33" width="14" bestFit="1" customWidth="1"/>
    <col min="35" max="35" width="16.6640625" bestFit="1" customWidth="1"/>
    <col min="37" max="37" width="16.6640625" bestFit="1" customWidth="1"/>
    <col min="39" max="39" width="16.6640625" bestFit="1" customWidth="1"/>
    <col min="41" max="41" width="15" bestFit="1" customWidth="1"/>
    <col min="43" max="43" width="13.5" bestFit="1" customWidth="1"/>
    <col min="45" max="45" width="16.6640625" bestFit="1" customWidth="1"/>
    <col min="47" max="47" width="16.6640625" bestFit="1" customWidth="1"/>
    <col min="49" max="49" width="16.6640625" bestFit="1" customWidth="1"/>
    <col min="51" max="51" width="16.6640625" bestFit="1" customWidth="1"/>
    <col min="52" max="54" width="9.1640625" customWidth="1"/>
    <col min="55" max="55" width="11" bestFit="1" customWidth="1"/>
    <col min="56" max="56" width="9.1640625" customWidth="1"/>
    <col min="57" max="57" width="11" bestFit="1" customWidth="1"/>
    <col min="58" max="58" width="9.1640625" customWidth="1"/>
    <col min="59" max="59" width="13.5" bestFit="1" customWidth="1"/>
    <col min="60" max="60" width="9.1640625" customWidth="1"/>
    <col min="61" max="61" width="16" bestFit="1" customWidth="1"/>
    <col min="62" max="70" width="9.1640625" customWidth="1"/>
    <col min="71" max="71" width="16" bestFit="1" customWidth="1"/>
    <col min="72" max="72" width="15" customWidth="1"/>
    <col min="73" max="75" width="23" customWidth="1"/>
    <col min="76" max="76" width="2" customWidth="1"/>
    <col min="77" max="77" width="16" bestFit="1" customWidth="1"/>
  </cols>
  <sheetData>
    <row r="1" spans="1:77" ht="15" x14ac:dyDescent="0.25">
      <c r="A1" s="274"/>
      <c r="B1" s="645">
        <v>2026</v>
      </c>
      <c r="C1" s="645"/>
      <c r="D1" s="645"/>
      <c r="E1" s="645"/>
      <c r="F1" s="645"/>
      <c r="G1" s="645"/>
      <c r="H1" s="645"/>
      <c r="I1" s="645"/>
      <c r="J1" s="615" t="s">
        <v>42</v>
      </c>
      <c r="K1" s="615"/>
      <c r="L1" s="645">
        <v>2027</v>
      </c>
      <c r="M1" s="645"/>
      <c r="N1" s="645"/>
      <c r="O1" s="645"/>
      <c r="P1" s="645"/>
      <c r="Q1" s="645"/>
      <c r="R1" s="645"/>
      <c r="S1" s="645"/>
      <c r="T1" s="615" t="s">
        <v>42</v>
      </c>
      <c r="U1" s="615"/>
      <c r="V1" s="645">
        <v>2028</v>
      </c>
      <c r="W1" s="645"/>
      <c r="X1" s="645"/>
      <c r="Y1" s="645"/>
      <c r="Z1" s="645"/>
      <c r="AA1" s="645"/>
      <c r="AB1" s="645"/>
      <c r="AC1" s="645"/>
      <c r="AD1" s="615" t="s">
        <v>42</v>
      </c>
      <c r="AE1" s="615"/>
      <c r="AF1" s="645">
        <v>2029</v>
      </c>
      <c r="AG1" s="645"/>
      <c r="AH1" s="645"/>
      <c r="AI1" s="645"/>
      <c r="AJ1" s="645"/>
      <c r="AK1" s="645"/>
      <c r="AL1" s="645"/>
      <c r="AM1" s="645"/>
      <c r="AN1" s="615" t="s">
        <v>42</v>
      </c>
      <c r="AO1" s="615"/>
      <c r="AP1" s="645">
        <v>2030</v>
      </c>
      <c r="AQ1" s="645"/>
      <c r="AR1" s="645"/>
      <c r="AS1" s="645"/>
      <c r="AT1" s="645"/>
      <c r="AU1" s="645"/>
      <c r="AV1" s="645"/>
      <c r="AW1" s="645"/>
      <c r="AX1" s="615" t="s">
        <v>42</v>
      </c>
      <c r="AY1" s="615"/>
      <c r="AZ1" s="645">
        <v>2031</v>
      </c>
      <c r="BA1" s="645"/>
      <c r="BB1" s="645"/>
      <c r="BC1" s="645"/>
      <c r="BD1" s="645"/>
      <c r="BE1" s="645"/>
      <c r="BF1" s="645"/>
      <c r="BG1" s="645"/>
      <c r="BH1" s="615" t="s">
        <v>42</v>
      </c>
      <c r="BI1" s="615"/>
      <c r="BJ1" s="645">
        <v>2032</v>
      </c>
      <c r="BK1" s="645"/>
      <c r="BL1" s="645"/>
      <c r="BM1" s="645"/>
      <c r="BN1" s="645"/>
      <c r="BO1" s="645"/>
      <c r="BP1" s="645"/>
      <c r="BQ1" s="645"/>
      <c r="BR1" s="615" t="s">
        <v>42</v>
      </c>
      <c r="BS1" s="615"/>
      <c r="BU1" s="646" t="s">
        <v>489</v>
      </c>
      <c r="BV1" s="646"/>
      <c r="BW1" s="646"/>
    </row>
    <row r="2" spans="1:77" ht="12.75" customHeight="1" x14ac:dyDescent="0.2">
      <c r="A2" s="274"/>
      <c r="B2" s="615" t="s">
        <v>513</v>
      </c>
      <c r="C2" s="615"/>
      <c r="D2" s="615" t="s">
        <v>514</v>
      </c>
      <c r="E2" s="615"/>
      <c r="F2" s="615" t="s">
        <v>515</v>
      </c>
      <c r="G2" s="615"/>
      <c r="H2" s="615"/>
      <c r="I2" s="615"/>
      <c r="J2" s="615"/>
      <c r="K2" s="615"/>
      <c r="L2" s="615" t="s">
        <v>513</v>
      </c>
      <c r="M2" s="615"/>
      <c r="N2" s="615" t="s">
        <v>514</v>
      </c>
      <c r="O2" s="615"/>
      <c r="P2" s="615" t="s">
        <v>515</v>
      </c>
      <c r="Q2" s="615"/>
      <c r="R2" s="615"/>
      <c r="S2" s="615"/>
      <c r="T2" s="615"/>
      <c r="U2" s="615"/>
      <c r="V2" s="615" t="s">
        <v>513</v>
      </c>
      <c r="W2" s="615"/>
      <c r="X2" s="615" t="s">
        <v>514</v>
      </c>
      <c r="Y2" s="615"/>
      <c r="Z2" s="615" t="s">
        <v>515</v>
      </c>
      <c r="AA2" s="615"/>
      <c r="AB2" s="615"/>
      <c r="AC2" s="615"/>
      <c r="AD2" s="615"/>
      <c r="AE2" s="615"/>
      <c r="AF2" s="615" t="s">
        <v>513</v>
      </c>
      <c r="AG2" s="615"/>
      <c r="AH2" s="615" t="s">
        <v>514</v>
      </c>
      <c r="AI2" s="615"/>
      <c r="AJ2" s="615" t="s">
        <v>515</v>
      </c>
      <c r="AK2" s="615"/>
      <c r="AL2" s="615"/>
      <c r="AM2" s="615"/>
      <c r="AN2" s="615"/>
      <c r="AO2" s="615"/>
      <c r="AP2" s="615" t="s">
        <v>513</v>
      </c>
      <c r="AQ2" s="615"/>
      <c r="AR2" s="615" t="s">
        <v>514</v>
      </c>
      <c r="AS2" s="615"/>
      <c r="AT2" s="615" t="s">
        <v>515</v>
      </c>
      <c r="AU2" s="615"/>
      <c r="AV2" s="615"/>
      <c r="AW2" s="615"/>
      <c r="AX2" s="615"/>
      <c r="AY2" s="615"/>
      <c r="AZ2" s="615" t="s">
        <v>513</v>
      </c>
      <c r="BA2" s="615"/>
      <c r="BB2" s="615" t="s">
        <v>514</v>
      </c>
      <c r="BC2" s="615"/>
      <c r="BD2" s="615" t="s">
        <v>515</v>
      </c>
      <c r="BE2" s="615"/>
      <c r="BF2" s="615"/>
      <c r="BG2" s="615"/>
      <c r="BH2" s="615"/>
      <c r="BI2" s="615"/>
      <c r="BJ2" s="615" t="s">
        <v>513</v>
      </c>
      <c r="BK2" s="615"/>
      <c r="BL2" s="615" t="s">
        <v>514</v>
      </c>
      <c r="BM2" s="615"/>
      <c r="BN2" s="615" t="s">
        <v>515</v>
      </c>
      <c r="BO2" s="615"/>
      <c r="BP2" s="615"/>
      <c r="BQ2" s="615"/>
      <c r="BR2" s="615"/>
      <c r="BS2" s="615"/>
      <c r="BU2" s="646"/>
      <c r="BV2" s="646"/>
      <c r="BW2" s="646"/>
    </row>
    <row r="3" spans="1:77" ht="12.75" x14ac:dyDescent="0.2">
      <c r="A3" s="274"/>
      <c r="B3" s="275" t="s">
        <v>355</v>
      </c>
      <c r="C3" s="275" t="s">
        <v>369</v>
      </c>
      <c r="D3" s="275" t="s">
        <v>355</v>
      </c>
      <c r="E3" s="275" t="s">
        <v>369</v>
      </c>
      <c r="F3" s="275" t="s">
        <v>355</v>
      </c>
      <c r="G3" s="275" t="s">
        <v>369</v>
      </c>
      <c r="H3" s="275" t="s">
        <v>355</v>
      </c>
      <c r="I3" s="275" t="s">
        <v>369</v>
      </c>
      <c r="J3" s="275" t="s">
        <v>355</v>
      </c>
      <c r="K3" s="275" t="s">
        <v>369</v>
      </c>
      <c r="L3" s="275" t="s">
        <v>355</v>
      </c>
      <c r="M3" s="275" t="s">
        <v>369</v>
      </c>
      <c r="N3" s="275" t="s">
        <v>355</v>
      </c>
      <c r="O3" s="275" t="s">
        <v>369</v>
      </c>
      <c r="P3" s="275" t="s">
        <v>355</v>
      </c>
      <c r="Q3" s="275" t="s">
        <v>369</v>
      </c>
      <c r="R3" s="275" t="s">
        <v>355</v>
      </c>
      <c r="S3" s="275" t="s">
        <v>369</v>
      </c>
      <c r="T3" s="275" t="s">
        <v>355</v>
      </c>
      <c r="U3" s="275" t="s">
        <v>369</v>
      </c>
      <c r="V3" s="275" t="s">
        <v>355</v>
      </c>
      <c r="W3" s="275" t="s">
        <v>369</v>
      </c>
      <c r="X3" s="275" t="s">
        <v>355</v>
      </c>
      <c r="Y3" s="275" t="s">
        <v>369</v>
      </c>
      <c r="Z3" s="275" t="s">
        <v>355</v>
      </c>
      <c r="AA3" s="275" t="s">
        <v>369</v>
      </c>
      <c r="AB3" s="275" t="s">
        <v>355</v>
      </c>
      <c r="AC3" s="275" t="s">
        <v>369</v>
      </c>
      <c r="AD3" s="275" t="s">
        <v>355</v>
      </c>
      <c r="AE3" s="275" t="s">
        <v>369</v>
      </c>
      <c r="AF3" s="275" t="s">
        <v>355</v>
      </c>
      <c r="AG3" s="275" t="s">
        <v>369</v>
      </c>
      <c r="AH3" s="275" t="s">
        <v>355</v>
      </c>
      <c r="AI3" s="275" t="s">
        <v>369</v>
      </c>
      <c r="AJ3" s="275" t="s">
        <v>355</v>
      </c>
      <c r="AK3" s="275" t="s">
        <v>369</v>
      </c>
      <c r="AL3" s="275" t="s">
        <v>355</v>
      </c>
      <c r="AM3" s="275" t="s">
        <v>369</v>
      </c>
      <c r="AN3" s="275" t="s">
        <v>355</v>
      </c>
      <c r="AO3" s="275" t="s">
        <v>369</v>
      </c>
      <c r="AP3" s="275" t="s">
        <v>355</v>
      </c>
      <c r="AQ3" s="275" t="s">
        <v>369</v>
      </c>
      <c r="AR3" s="275" t="s">
        <v>355</v>
      </c>
      <c r="AS3" s="275" t="s">
        <v>369</v>
      </c>
      <c r="AT3" s="275" t="s">
        <v>355</v>
      </c>
      <c r="AU3" s="275" t="s">
        <v>369</v>
      </c>
      <c r="AV3" s="275" t="s">
        <v>355</v>
      </c>
      <c r="AW3" s="275" t="s">
        <v>369</v>
      </c>
      <c r="AX3" s="275" t="s">
        <v>355</v>
      </c>
      <c r="AY3" s="275" t="s">
        <v>369</v>
      </c>
      <c r="AZ3" s="275" t="s">
        <v>355</v>
      </c>
      <c r="BA3" s="275" t="s">
        <v>369</v>
      </c>
      <c r="BB3" s="275" t="s">
        <v>355</v>
      </c>
      <c r="BC3" s="275" t="s">
        <v>369</v>
      </c>
      <c r="BD3" s="275" t="s">
        <v>355</v>
      </c>
      <c r="BE3" s="275" t="s">
        <v>369</v>
      </c>
      <c r="BF3" s="275" t="s">
        <v>355</v>
      </c>
      <c r="BG3" s="275" t="s">
        <v>369</v>
      </c>
      <c r="BH3" s="275" t="s">
        <v>355</v>
      </c>
      <c r="BI3" s="275" t="s">
        <v>369</v>
      </c>
      <c r="BJ3" s="275" t="s">
        <v>355</v>
      </c>
      <c r="BK3" s="275" t="s">
        <v>369</v>
      </c>
      <c r="BL3" s="275" t="s">
        <v>355</v>
      </c>
      <c r="BM3" s="275" t="s">
        <v>369</v>
      </c>
      <c r="BN3" s="275" t="s">
        <v>355</v>
      </c>
      <c r="BO3" s="275" t="s">
        <v>369</v>
      </c>
      <c r="BP3" s="275" t="s">
        <v>355</v>
      </c>
      <c r="BQ3" s="275" t="s">
        <v>369</v>
      </c>
      <c r="BR3" s="275" t="s">
        <v>355</v>
      </c>
      <c r="BS3" s="275" t="s">
        <v>369</v>
      </c>
      <c r="BU3" s="308" t="s">
        <v>506</v>
      </c>
      <c r="BV3" s="306" t="s">
        <v>486</v>
      </c>
      <c r="BW3" s="306" t="s">
        <v>487</v>
      </c>
    </row>
    <row r="4" spans="1:77" hidden="1" x14ac:dyDescent="0.2">
      <c r="A4" s="274"/>
      <c r="B4" s="274"/>
      <c r="C4" s="276">
        <f>SUM('Non Tanaman'!AF40:AF46)</f>
        <v>0</v>
      </c>
      <c r="D4" s="274"/>
      <c r="E4" s="274">
        <f>SUM('Non Tanaman'!AL40:AL46)</f>
        <v>0</v>
      </c>
      <c r="F4" s="274"/>
      <c r="G4" s="274">
        <f>SUM('Non Tanaman'!AR40:AR46)</f>
        <v>0</v>
      </c>
      <c r="H4" s="274"/>
      <c r="I4" s="274">
        <f>SUM('Non Tanaman'!AX40:AX46)</f>
        <v>0</v>
      </c>
      <c r="J4" s="274"/>
      <c r="K4" s="277">
        <f>C4+E4+G4+I4</f>
        <v>0</v>
      </c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  <c r="AD4" s="274"/>
      <c r="AE4" s="274"/>
      <c r="AF4" s="274"/>
      <c r="AG4" s="274"/>
      <c r="AH4" s="274"/>
      <c r="AI4" s="274"/>
      <c r="AJ4" s="274"/>
      <c r="AK4" s="274"/>
      <c r="AL4" s="274"/>
      <c r="AM4" s="274"/>
      <c r="AN4" s="274"/>
      <c r="AO4" s="274"/>
      <c r="AP4" s="274"/>
      <c r="AQ4" s="274"/>
      <c r="AR4" s="274"/>
      <c r="AS4" s="274"/>
      <c r="AT4" s="274"/>
      <c r="AU4" s="274"/>
      <c r="AV4" s="274"/>
      <c r="AW4" s="274"/>
      <c r="AX4" s="274"/>
      <c r="AY4" s="274"/>
      <c r="AZ4" s="274"/>
      <c r="BA4" s="274"/>
      <c r="BB4" s="274"/>
      <c r="BC4" s="274"/>
      <c r="BD4" s="274"/>
      <c r="BE4" s="274"/>
      <c r="BF4" s="274"/>
      <c r="BG4" s="274"/>
      <c r="BH4" s="274"/>
      <c r="BI4" s="274"/>
      <c r="BJ4" s="274"/>
      <c r="BK4" s="274"/>
      <c r="BL4" s="274"/>
      <c r="BM4" s="274"/>
      <c r="BN4" s="274"/>
      <c r="BO4" s="274"/>
      <c r="BP4" s="274"/>
      <c r="BQ4" s="274"/>
      <c r="BR4" s="274"/>
      <c r="BS4" s="274"/>
    </row>
    <row r="5" spans="1:77" hidden="1" x14ac:dyDescent="0.2">
      <c r="A5" s="274"/>
      <c r="B5" s="274"/>
      <c r="C5" s="276">
        <f>SUM('Non Tanaman'!AH40:AH46)</f>
        <v>0</v>
      </c>
      <c r="D5" s="274"/>
      <c r="E5" s="274">
        <f>SUM('Non Tanaman'!AN40:AN46)</f>
        <v>0</v>
      </c>
      <c r="F5" s="274"/>
      <c r="G5" s="274">
        <f>SUM('Non Tanaman'!AT40:AT46)</f>
        <v>0</v>
      </c>
      <c r="H5" s="274"/>
      <c r="I5" s="274">
        <f>SUM('Non Tanaman'!AZ40:AZ46)</f>
        <v>3200000000</v>
      </c>
      <c r="J5" s="274"/>
      <c r="K5" s="277">
        <f t="shared" ref="J5:K31" si="0">C5+E5+G5+I5</f>
        <v>3200000000</v>
      </c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274"/>
      <c r="AC5" s="274"/>
      <c r="AD5" s="274"/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4"/>
      <c r="AQ5" s="274"/>
      <c r="AR5" s="274"/>
      <c r="AS5" s="274"/>
      <c r="AT5" s="274"/>
      <c r="AU5" s="274"/>
      <c r="AV5" s="274"/>
      <c r="AW5" s="274"/>
      <c r="AX5" s="274"/>
      <c r="AY5" s="274"/>
      <c r="AZ5" s="274"/>
      <c r="BA5" s="274"/>
      <c r="BB5" s="274"/>
      <c r="BC5" s="274"/>
      <c r="BD5" s="274"/>
      <c r="BE5" s="274"/>
      <c r="BF5" s="274"/>
      <c r="BG5" s="274"/>
      <c r="BH5" s="274"/>
      <c r="BI5" s="274"/>
      <c r="BJ5" s="274"/>
      <c r="BK5" s="274"/>
      <c r="BL5" s="274"/>
      <c r="BM5" s="274"/>
      <c r="BN5" s="274"/>
      <c r="BO5" s="274"/>
      <c r="BP5" s="274"/>
      <c r="BQ5" s="274"/>
      <c r="BR5" s="274"/>
      <c r="BS5" s="274"/>
    </row>
    <row r="6" spans="1:77" hidden="1" x14ac:dyDescent="0.2">
      <c r="A6" s="274"/>
      <c r="B6" s="274"/>
      <c r="C6" s="276">
        <f>SUM('Non Tanaman'!AJ40:AJ46)</f>
        <v>0</v>
      </c>
      <c r="D6" s="274"/>
      <c r="E6" s="274">
        <f>SUM('Non Tanaman'!AP40:AP46)</f>
        <v>0</v>
      </c>
      <c r="F6" s="274"/>
      <c r="G6" s="274">
        <f>SUM('Non Tanaman'!AV40:AV46)</f>
        <v>0</v>
      </c>
      <c r="H6" s="274"/>
      <c r="I6" s="274">
        <f>SUM('Non Tanaman'!BB40:BB46)</f>
        <v>0</v>
      </c>
      <c r="J6" s="274"/>
      <c r="K6" s="277">
        <f t="shared" si="0"/>
        <v>0</v>
      </c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  <c r="AB6" s="274"/>
      <c r="AC6" s="274"/>
      <c r="AD6" s="274"/>
      <c r="AE6" s="274"/>
      <c r="AF6" s="274"/>
      <c r="AG6" s="274"/>
      <c r="AH6" s="274"/>
      <c r="AI6" s="274"/>
      <c r="AJ6" s="274"/>
      <c r="AK6" s="274"/>
      <c r="AL6" s="274"/>
      <c r="AM6" s="274"/>
      <c r="AN6" s="274"/>
      <c r="AO6" s="274"/>
      <c r="AP6" s="274"/>
      <c r="AQ6" s="274"/>
      <c r="AR6" s="274"/>
      <c r="AS6" s="274"/>
      <c r="AT6" s="274"/>
      <c r="AU6" s="274"/>
      <c r="AV6" s="274"/>
      <c r="AW6" s="274"/>
      <c r="AX6" s="274"/>
      <c r="AY6" s="274"/>
      <c r="AZ6" s="274"/>
      <c r="BA6" s="274"/>
      <c r="BB6" s="274"/>
      <c r="BC6" s="274"/>
      <c r="BD6" s="274"/>
      <c r="BE6" s="274"/>
      <c r="BF6" s="274"/>
      <c r="BG6" s="274"/>
      <c r="BH6" s="274"/>
      <c r="BI6" s="274"/>
      <c r="BJ6" s="274"/>
      <c r="BK6" s="274"/>
      <c r="BL6" s="274"/>
      <c r="BM6" s="274"/>
      <c r="BN6" s="274"/>
      <c r="BO6" s="274"/>
      <c r="BP6" s="274"/>
      <c r="BQ6" s="274"/>
      <c r="BR6" s="274"/>
      <c r="BS6" s="274"/>
    </row>
    <row r="7" spans="1:77" x14ac:dyDescent="0.2">
      <c r="A7" s="274" t="s">
        <v>472</v>
      </c>
      <c r="B7" s="276">
        <f>'Non Tanaman'!AE47+'Non Tanaman'!AG47+'Non Tanaman'!AI47+'Non Tanaman'!AK47</f>
        <v>0</v>
      </c>
      <c r="C7" s="276">
        <f>'Non Tanaman'!AF47+'Non Tanaman'!AH47+'Non Tanaman'!AJ47+'Non Tanaman'!AL47</f>
        <v>0</v>
      </c>
      <c r="D7" s="276">
        <f>+'Non Tanaman'!AM47+'Non Tanaman'!AO47+'Non Tanaman'!AQ47+'Non Tanaman'!AS47</f>
        <v>0</v>
      </c>
      <c r="E7" s="276">
        <f>+'Non Tanaman'!AN47+'Non Tanaman'!AP47+'Non Tanaman'!AR47+'Non Tanaman'!AT47</f>
        <v>0</v>
      </c>
      <c r="F7" s="276">
        <f>'Non Tanaman'!AU47+'Non Tanaman'!AW47+'Non Tanaman'!AY47+'Non Tanaman'!BA47</f>
        <v>4</v>
      </c>
      <c r="G7" s="276">
        <f>'Non Tanaman'!AV47+'Non Tanaman'!AX47+'Non Tanaman'!AZ47+'Non Tanaman'!BB47</f>
        <v>3200000000</v>
      </c>
      <c r="H7" s="276"/>
      <c r="I7" s="276"/>
      <c r="J7" s="276">
        <f t="shared" si="0"/>
        <v>4</v>
      </c>
      <c r="K7" s="276">
        <f t="shared" si="0"/>
        <v>3200000000</v>
      </c>
      <c r="L7" s="276">
        <f>'Non Tanaman'!BE47+'Non Tanaman'!BG47+'Non Tanaman'!BI47+'Non Tanaman'!BK47</f>
        <v>0</v>
      </c>
      <c r="M7" s="276">
        <f>'Non Tanaman'!BF47+'Non Tanaman'!BH47+'Non Tanaman'!BJ47+'Non Tanaman'!BL47</f>
        <v>0</v>
      </c>
      <c r="N7" s="276">
        <f>+'Non Tanaman'!BM47+'Non Tanaman'!BO47+'Non Tanaman'!BQ47+'Non Tanaman'!BS47</f>
        <v>0</v>
      </c>
      <c r="O7" s="276">
        <f>+'Non Tanaman'!BN47+'Non Tanaman'!BP47+'Non Tanaman'!BR47+'Non Tanaman'!BT47</f>
        <v>0</v>
      </c>
      <c r="P7" s="276">
        <f>'Non Tanaman'!BU47+'Non Tanaman'!BW47+'Non Tanaman'!BY47+'Non Tanaman'!CA47</f>
        <v>0</v>
      </c>
      <c r="Q7" s="276">
        <f>'Non Tanaman'!BV47+'Non Tanaman'!BX47+'Non Tanaman'!BZ47+'Non Tanaman'!CB47</f>
        <v>0</v>
      </c>
      <c r="R7" s="276"/>
      <c r="S7" s="276"/>
      <c r="T7" s="276">
        <f>R7+P7+N7+L7</f>
        <v>0</v>
      </c>
      <c r="U7" s="276">
        <f>S7+Q7+O7+M7</f>
        <v>0</v>
      </c>
      <c r="V7" s="276">
        <f>'Non Tanaman'!CE47+'Non Tanaman'!CG47+'Non Tanaman'!CI47+'Non Tanaman'!CK47</f>
        <v>0</v>
      </c>
      <c r="W7" s="276">
        <f>'Non Tanaman'!CF47+'Non Tanaman'!CH47+'Non Tanaman'!CJ47+'Non Tanaman'!CL47</f>
        <v>0</v>
      </c>
      <c r="X7" s="276">
        <f>+'Non Tanaman'!CM47+'Non Tanaman'!CO47+'Non Tanaman'!CQ47+'Non Tanaman'!CS47</f>
        <v>0</v>
      </c>
      <c r="Y7" s="276">
        <f>+'Non Tanaman'!CN47+'Non Tanaman'!CP47+'Non Tanaman'!CR47+'Non Tanaman'!CT47</f>
        <v>0</v>
      </c>
      <c r="Z7" s="276">
        <f>'Non Tanaman'!CU47+'Non Tanaman'!CW47+'Non Tanaman'!CY47+'Non Tanaman'!DA47</f>
        <v>0</v>
      </c>
      <c r="AA7" s="276">
        <f>'Non Tanaman'!CV47+'Non Tanaman'!CX47+'Non Tanaman'!CZ47+'Non Tanaman'!DB47</f>
        <v>0</v>
      </c>
      <c r="AB7" s="276"/>
      <c r="AC7" s="276"/>
      <c r="AD7" s="276">
        <f>AB7+Z7+X7+V7</f>
        <v>0</v>
      </c>
      <c r="AE7" s="276">
        <f>AC7+AA7+Y7+W7</f>
        <v>0</v>
      </c>
      <c r="AF7" s="305">
        <f>'Non Tanaman'!DE47+'Non Tanaman'!DG47+'Non Tanaman'!DI47+'Non Tanaman'!DK47</f>
        <v>0</v>
      </c>
      <c r="AG7" s="305">
        <f>'Non Tanaman'!DF47+'Non Tanaman'!DH47+'Non Tanaman'!DJ47+'Non Tanaman'!DL47</f>
        <v>0</v>
      </c>
      <c r="AH7" s="305">
        <f>'Non Tanaman'!DM47+'Non Tanaman'!DO47+'Non Tanaman'!DQ47+'Non Tanaman'!DS47</f>
        <v>0</v>
      </c>
      <c r="AI7" s="305">
        <f>'Non Tanaman'!DN47+'Non Tanaman'!DP47+'Non Tanaman'!DR47+'Non Tanaman'!DT47</f>
        <v>0</v>
      </c>
      <c r="AJ7" s="305">
        <f>'Non Tanaman'!DU47+'Non Tanaman'!DW47+'Non Tanaman'!DY47+'Non Tanaman'!EA47</f>
        <v>0</v>
      </c>
      <c r="AK7" s="305">
        <f>'Non Tanaman'!DV47+'Non Tanaman'!DX47+'Non Tanaman'!DZ47+'Non Tanaman'!EB47</f>
        <v>0</v>
      </c>
      <c r="AL7" s="305"/>
      <c r="AM7" s="305"/>
      <c r="AN7" s="276">
        <f>AL7+AJ7+AH7+AF7</f>
        <v>0</v>
      </c>
      <c r="AO7" s="276">
        <f>AM7+AK7+AI7+AG7</f>
        <v>0</v>
      </c>
      <c r="AP7" s="305">
        <f>'Non Tanaman'!EE47+'Non Tanaman'!EG47+'Non Tanaman'!EI47</f>
        <v>0</v>
      </c>
      <c r="AQ7" s="305">
        <f>'Non Tanaman'!EF47+'Non Tanaman'!EH47+'Non Tanaman'!EJ47</f>
        <v>0</v>
      </c>
      <c r="AR7" s="305">
        <f>'Non Tanaman'!EK47+'Non Tanaman'!EM47+'Non Tanaman'!EO47</f>
        <v>0</v>
      </c>
      <c r="AS7" s="305">
        <f>'Non Tanaman'!EL47+'Non Tanaman'!EN47+'Non Tanaman'!EP47</f>
        <v>0</v>
      </c>
      <c r="AT7" s="305">
        <f>'Non Tanaman'!EQ47+'Non Tanaman'!ES47+'Non Tanaman'!EU47</f>
        <v>0</v>
      </c>
      <c r="AU7" s="305">
        <f>'Non Tanaman'!ER47+'Non Tanaman'!ET47+'Non Tanaman'!EV47</f>
        <v>0</v>
      </c>
      <c r="AV7" s="305">
        <f>'Non Tanaman'!EW47+'Non Tanaman'!EY47+'Non Tanaman'!FA47</f>
        <v>0</v>
      </c>
      <c r="AW7" s="305">
        <f>'Non Tanaman'!EX47+'Non Tanaman'!EZ47+'Non Tanaman'!FB47</f>
        <v>0</v>
      </c>
      <c r="AX7" s="276">
        <f>AV7+AT7+AR7+AP7</f>
        <v>0</v>
      </c>
      <c r="AY7" s="276">
        <f>AW7+AU7+AS7+AQ7</f>
        <v>0</v>
      </c>
      <c r="AZ7" s="274">
        <f>'Non Tanaman'!FE47+'Non Tanaman'!FG47+'Non Tanaman'!FI47</f>
        <v>0</v>
      </c>
      <c r="BA7" s="274">
        <f>'Non Tanaman'!FF47+'Non Tanaman'!FH47+'Non Tanaman'!FJ47</f>
        <v>0</v>
      </c>
      <c r="BB7" s="274">
        <f>'Non Tanaman'!FK47+'Non Tanaman'!FM47+'Non Tanaman'!FO47</f>
        <v>0</v>
      </c>
      <c r="BC7" s="274">
        <f>'Non Tanaman'!FL47+'Non Tanaman'!FN47+'Non Tanaman'!FP47</f>
        <v>0</v>
      </c>
      <c r="BD7" s="274">
        <f>'Non Tanaman'!FQ47+'Non Tanaman'!FS47+'Non Tanaman'!FU47</f>
        <v>0</v>
      </c>
      <c r="BE7" s="274">
        <f>'Non Tanaman'!FR47+'Non Tanaman'!FT47+'Non Tanaman'!FV47</f>
        <v>0</v>
      </c>
      <c r="BF7" s="274">
        <f>'Non Tanaman'!FW47+'Non Tanaman'!FY47+'Non Tanaman'!GA47</f>
        <v>0</v>
      </c>
      <c r="BG7" s="276">
        <f>'Non Tanaman'!FX47+'Non Tanaman'!FZ47+'Non Tanaman'!GB47</f>
        <v>0</v>
      </c>
      <c r="BH7" s="276">
        <f>BF7+BD7+BB7+AZ7</f>
        <v>0</v>
      </c>
      <c r="BI7" s="276">
        <f>BG7+BE7+BC7+BA7</f>
        <v>0</v>
      </c>
      <c r="BJ7" s="274">
        <f>'Non Tanaman'!GF47+'Non Tanaman'!GH47+'Non Tanaman'!GJ47</f>
        <v>0</v>
      </c>
      <c r="BK7" s="274">
        <f>'Non Tanaman'!GG47+'Non Tanaman'!GI47+'Non Tanaman'!GK47</f>
        <v>0</v>
      </c>
      <c r="BL7" s="274">
        <f>'Non Tanaman'!GL47+'Non Tanaman'!GN47+'Non Tanaman'!GP47</f>
        <v>0</v>
      </c>
      <c r="BM7" s="274">
        <f>'Non Tanaman'!GM47+'Non Tanaman'!GO47+'Non Tanaman'!GQ47</f>
        <v>0</v>
      </c>
      <c r="BN7" s="274">
        <f>'Non Tanaman'!GV47+'Non Tanaman'!GT47+'Non Tanaman'!GR47</f>
        <v>0</v>
      </c>
      <c r="BO7" s="274">
        <f>'Non Tanaman'!GW47+'Non Tanaman'!GU47+'Non Tanaman'!GS47</f>
        <v>0</v>
      </c>
      <c r="BP7" s="274">
        <f>'Non Tanaman'!GX47+'Non Tanaman'!GZ47+'Non Tanaman'!HB47</f>
        <v>0</v>
      </c>
      <c r="BQ7" s="274">
        <f>'Non Tanaman'!GY47+'Non Tanaman'!HA47+'Non Tanaman'!HC47</f>
        <v>0</v>
      </c>
      <c r="BR7" s="276">
        <f>BP7+BN7+BL7+BJ7</f>
        <v>0</v>
      </c>
      <c r="BS7" s="276">
        <f>BQ7+BO7+BM7+BK7</f>
        <v>0</v>
      </c>
      <c r="BU7" s="3">
        <f>AY7+AO7+AE7+U7+K7+BI7</f>
        <v>3200000000</v>
      </c>
      <c r="BV7" s="244">
        <f>'Non Tanaman'!HF47</f>
        <v>3200000000</v>
      </c>
      <c r="BW7" s="435">
        <f>'RKP 08'!BO78</f>
        <v>3200000000</v>
      </c>
      <c r="BY7" s="145">
        <f>BW7-BV7</f>
        <v>0</v>
      </c>
    </row>
    <row r="8" spans="1:77" hidden="1" x14ac:dyDescent="0.2">
      <c r="A8" s="274"/>
      <c r="B8" s="276"/>
      <c r="C8" s="276"/>
      <c r="D8" s="276"/>
      <c r="E8" s="276"/>
      <c r="F8" s="276"/>
      <c r="G8" s="276"/>
      <c r="H8" s="276"/>
      <c r="I8" s="276"/>
      <c r="J8" s="276">
        <f t="shared" si="0"/>
        <v>0</v>
      </c>
      <c r="K8" s="276">
        <f t="shared" si="0"/>
        <v>0</v>
      </c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4"/>
      <c r="AG8" s="274"/>
      <c r="AH8" s="274"/>
      <c r="AI8" s="274"/>
      <c r="AJ8" s="274"/>
      <c r="AK8" s="274"/>
      <c r="AL8" s="274"/>
      <c r="AM8" s="274"/>
      <c r="AN8" s="276"/>
      <c r="AO8" s="276"/>
      <c r="AP8" s="305"/>
      <c r="AQ8" s="305"/>
      <c r="AR8" s="305"/>
      <c r="AS8" s="305"/>
      <c r="AT8" s="305"/>
      <c r="AU8" s="305"/>
      <c r="AV8" s="305"/>
      <c r="AW8" s="305"/>
      <c r="AX8" s="276"/>
      <c r="AY8" s="276"/>
      <c r="AZ8" s="274"/>
      <c r="BA8" s="274"/>
      <c r="BB8" s="274"/>
      <c r="BC8" s="274"/>
      <c r="BD8" s="274"/>
      <c r="BE8" s="274"/>
      <c r="BF8" s="274"/>
      <c r="BG8" s="274"/>
      <c r="BH8" s="276"/>
      <c r="BI8" s="276"/>
      <c r="BJ8" s="274"/>
      <c r="BK8" s="274"/>
      <c r="BL8" s="274"/>
      <c r="BM8" s="274"/>
      <c r="BN8" s="274"/>
      <c r="BO8" s="274"/>
      <c r="BP8" s="274"/>
      <c r="BQ8" s="274"/>
      <c r="BR8" s="276"/>
      <c r="BS8" s="276"/>
      <c r="BV8" s="244"/>
      <c r="BW8" s="435">
        <f>'RKP 08'!BE79</f>
        <v>472000000</v>
      </c>
    </row>
    <row r="9" spans="1:77" hidden="1" x14ac:dyDescent="0.2">
      <c r="A9" s="274"/>
      <c r="B9" s="276"/>
      <c r="C9" s="276"/>
      <c r="D9" s="276"/>
      <c r="E9" s="276"/>
      <c r="F9" s="276"/>
      <c r="G9" s="276"/>
      <c r="H9" s="276"/>
      <c r="I9" s="276"/>
      <c r="J9" s="276">
        <f t="shared" si="0"/>
        <v>0</v>
      </c>
      <c r="K9" s="276">
        <f t="shared" si="0"/>
        <v>0</v>
      </c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4"/>
      <c r="AG9" s="274"/>
      <c r="AH9" s="274"/>
      <c r="AI9" s="274"/>
      <c r="AJ9" s="274"/>
      <c r="AK9" s="274"/>
      <c r="AL9" s="274"/>
      <c r="AM9" s="274"/>
      <c r="AN9" s="276"/>
      <c r="AO9" s="276"/>
      <c r="AP9" s="305"/>
      <c r="AQ9" s="305"/>
      <c r="AR9" s="305"/>
      <c r="AS9" s="305"/>
      <c r="AT9" s="305"/>
      <c r="AU9" s="305"/>
      <c r="AV9" s="305"/>
      <c r="AW9" s="305"/>
      <c r="AX9" s="276"/>
      <c r="AY9" s="276"/>
      <c r="AZ9" s="274"/>
      <c r="BA9" s="274"/>
      <c r="BB9" s="274"/>
      <c r="BC9" s="274"/>
      <c r="BD9" s="274"/>
      <c r="BE9" s="274"/>
      <c r="BF9" s="274"/>
      <c r="BG9" s="274"/>
      <c r="BH9" s="276"/>
      <c r="BI9" s="276"/>
      <c r="BJ9" s="274"/>
      <c r="BK9" s="274"/>
      <c r="BL9" s="274"/>
      <c r="BM9" s="274"/>
      <c r="BN9" s="274"/>
      <c r="BO9" s="274"/>
      <c r="BP9" s="274"/>
      <c r="BQ9" s="274"/>
      <c r="BR9" s="276"/>
      <c r="BS9" s="276"/>
      <c r="BV9" s="244"/>
      <c r="BW9" s="435">
        <f>'RKP 08'!BE80</f>
        <v>120000000</v>
      </c>
    </row>
    <row r="10" spans="1:77" hidden="1" x14ac:dyDescent="0.2">
      <c r="A10" s="274"/>
      <c r="B10" s="276"/>
      <c r="C10" s="276"/>
      <c r="D10" s="276"/>
      <c r="E10" s="276"/>
      <c r="F10" s="276"/>
      <c r="G10" s="276"/>
      <c r="H10" s="276"/>
      <c r="I10" s="276"/>
      <c r="J10" s="276">
        <f t="shared" si="0"/>
        <v>0</v>
      </c>
      <c r="K10" s="276">
        <f t="shared" si="0"/>
        <v>0</v>
      </c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4"/>
      <c r="AG10" s="274"/>
      <c r="AH10" s="274"/>
      <c r="AI10" s="274"/>
      <c r="AJ10" s="274"/>
      <c r="AK10" s="274"/>
      <c r="AL10" s="274"/>
      <c r="AM10" s="274"/>
      <c r="AN10" s="276"/>
      <c r="AO10" s="276"/>
      <c r="AP10" s="305"/>
      <c r="AQ10" s="305"/>
      <c r="AR10" s="305"/>
      <c r="AS10" s="305"/>
      <c r="AT10" s="305"/>
      <c r="AU10" s="305"/>
      <c r="AV10" s="305"/>
      <c r="AW10" s="305"/>
      <c r="AX10" s="276"/>
      <c r="AY10" s="276"/>
      <c r="AZ10" s="274"/>
      <c r="BA10" s="274"/>
      <c r="BB10" s="274"/>
      <c r="BC10" s="274"/>
      <c r="BD10" s="274"/>
      <c r="BE10" s="274"/>
      <c r="BF10" s="274"/>
      <c r="BG10" s="274"/>
      <c r="BH10" s="276"/>
      <c r="BI10" s="276"/>
      <c r="BJ10" s="274"/>
      <c r="BK10" s="274"/>
      <c r="BL10" s="274"/>
      <c r="BM10" s="274"/>
      <c r="BN10" s="274"/>
      <c r="BO10" s="274"/>
      <c r="BP10" s="274"/>
      <c r="BQ10" s="274"/>
      <c r="BR10" s="276"/>
      <c r="BS10" s="276"/>
      <c r="BV10" s="244"/>
      <c r="BW10" s="435">
        <f>'RKP 08'!BE81</f>
        <v>0</v>
      </c>
    </row>
    <row r="11" spans="1:77" x14ac:dyDescent="0.2">
      <c r="A11" s="274" t="s">
        <v>473</v>
      </c>
      <c r="B11" s="276">
        <f>'Non Tanaman'!AE62+'Non Tanaman'!AG62+'Non Tanaman'!AI62+'Non Tanaman'!AK62</f>
        <v>0</v>
      </c>
      <c r="C11" s="276">
        <f>'Non Tanaman'!AF62+'Non Tanaman'!AH62+'Non Tanaman'!AJ62+'Non Tanaman'!AL62</f>
        <v>0</v>
      </c>
      <c r="D11" s="276">
        <f>+'Non Tanaman'!AM62+'Non Tanaman'!AO62+'Non Tanaman'!AQ62+'Non Tanaman'!AS62</f>
        <v>0</v>
      </c>
      <c r="E11" s="276">
        <f>+'Non Tanaman'!AN62+'Non Tanaman'!AP62+'Non Tanaman'!AR62+'Non Tanaman'!AT62</f>
        <v>0</v>
      </c>
      <c r="F11" s="276">
        <f>'Non Tanaman'!AU62+'Non Tanaman'!AW62+'Non Tanaman'!AY62+'Non Tanaman'!BA62+'Non Tanaman'!AU103+'Non Tanaman'!AW103+'Non Tanaman'!AY103+'Non Tanaman'!BA103</f>
        <v>2</v>
      </c>
      <c r="G11" s="276">
        <f>'Non Tanaman'!AV62+'Non Tanaman'!AX62+'Non Tanaman'!AZ62+'Non Tanaman'!BB62+'Non Tanaman'!AV103+'Non Tanaman'!AX103+'Non Tanaman'!AZ103+'Non Tanaman'!BB103</f>
        <v>472000000</v>
      </c>
      <c r="H11" s="276"/>
      <c r="I11" s="276"/>
      <c r="J11" s="276">
        <f t="shared" si="0"/>
        <v>2</v>
      </c>
      <c r="K11" s="276">
        <f t="shared" si="0"/>
        <v>472000000</v>
      </c>
      <c r="L11" s="276">
        <f>'Non Tanaman'!BE62+'Non Tanaman'!BG62+'Non Tanaman'!BI62+'Non Tanaman'!BK62</f>
        <v>0</v>
      </c>
      <c r="M11" s="276">
        <f>'Non Tanaman'!BF62+'Non Tanaman'!BH62+'Non Tanaman'!BJ62+'Non Tanaman'!BL62</f>
        <v>0</v>
      </c>
      <c r="N11" s="276">
        <f>+'Non Tanaman'!BM62+'Non Tanaman'!BO62+'Non Tanaman'!BQ62+'Non Tanaman'!BS62</f>
        <v>0</v>
      </c>
      <c r="O11" s="276">
        <f>+'Non Tanaman'!BN62+'Non Tanaman'!BP62+'Non Tanaman'!BR62+'Non Tanaman'!BT62</f>
        <v>0</v>
      </c>
      <c r="P11" s="276">
        <f>'Non Tanaman'!BU62+'Non Tanaman'!BW62+'Non Tanaman'!BY62+'Non Tanaman'!CA62</f>
        <v>0</v>
      </c>
      <c r="Q11" s="276">
        <f>'Non Tanaman'!BV62+'Non Tanaman'!BX62+'Non Tanaman'!BZ62+'Non Tanaman'!CB62</f>
        <v>0</v>
      </c>
      <c r="R11" s="276"/>
      <c r="S11" s="276"/>
      <c r="T11" s="276">
        <f t="shared" ref="T11:T35" si="1">R11+P11+N11+L11</f>
        <v>0</v>
      </c>
      <c r="U11" s="276">
        <f t="shared" ref="U11:U35" si="2">S11+Q11+O11+M11</f>
        <v>0</v>
      </c>
      <c r="V11" s="276">
        <f>'Non Tanaman'!CE62+'Non Tanaman'!CG62+'Non Tanaman'!CI62+'Non Tanaman'!CK62</f>
        <v>0</v>
      </c>
      <c r="W11" s="276">
        <f>'Non Tanaman'!CF62+'Non Tanaman'!CH62+'Non Tanaman'!CJ62+'Non Tanaman'!CL62</f>
        <v>0</v>
      </c>
      <c r="X11" s="276">
        <f>+'Non Tanaman'!CM62+'Non Tanaman'!CO62+'Non Tanaman'!CQ62+'Non Tanaman'!CS62</f>
        <v>0</v>
      </c>
      <c r="Y11" s="276">
        <f>+'Non Tanaman'!CN62+'Non Tanaman'!CP62+'Non Tanaman'!CR62+'Non Tanaman'!CT62</f>
        <v>0</v>
      </c>
      <c r="Z11" s="276">
        <f>'Non Tanaman'!CU62+'Non Tanaman'!CW62+'Non Tanaman'!CY62+'Non Tanaman'!DA62</f>
        <v>0</v>
      </c>
      <c r="AA11" s="276">
        <f>'Non Tanaman'!CV62+'Non Tanaman'!CX62+'Non Tanaman'!CZ62+'Non Tanaman'!DB62</f>
        <v>0</v>
      </c>
      <c r="AB11" s="276"/>
      <c r="AC11" s="276"/>
      <c r="AD11" s="276">
        <f t="shared" ref="AD11:AD35" si="3">AB11+Z11+X11+V11</f>
        <v>0</v>
      </c>
      <c r="AE11" s="276">
        <f t="shared" ref="AE11:AE35" si="4">AC11+AA11+Y11+W11</f>
        <v>0</v>
      </c>
      <c r="AF11" s="305">
        <f>'Non Tanaman'!DE62+'Non Tanaman'!DG62+'Non Tanaman'!DI62+'Non Tanaman'!DK62</f>
        <v>0</v>
      </c>
      <c r="AG11" s="305">
        <f>'Non Tanaman'!DF62+'Non Tanaman'!DH62+'Non Tanaman'!DJ62+'Non Tanaman'!DL62</f>
        <v>0</v>
      </c>
      <c r="AH11" s="305">
        <f>'Non Tanaman'!DM62+'Non Tanaman'!DO62+'Non Tanaman'!DQ62+'Non Tanaman'!DS62</f>
        <v>0</v>
      </c>
      <c r="AI11" s="305">
        <f>'Non Tanaman'!DN62+'Non Tanaman'!DP62+'Non Tanaman'!DR62+'Non Tanaman'!DT62</f>
        <v>0</v>
      </c>
      <c r="AJ11" s="305">
        <f>'Non Tanaman'!DU62+'Non Tanaman'!DW62+'Non Tanaman'!DY62+'Non Tanaman'!EA62</f>
        <v>0</v>
      </c>
      <c r="AK11" s="305">
        <f>'Non Tanaman'!DV62+'Non Tanaman'!DX62+'Non Tanaman'!DZ62+'Non Tanaman'!EB62</f>
        <v>0</v>
      </c>
      <c r="AL11" s="305"/>
      <c r="AM11" s="305"/>
      <c r="AN11" s="276">
        <f t="shared" ref="AN11:AO31" si="5">AL11+AJ11+AH11+AF11</f>
        <v>0</v>
      </c>
      <c r="AO11" s="276">
        <f t="shared" si="5"/>
        <v>0</v>
      </c>
      <c r="AP11" s="305">
        <f>'Non Tanaman'!EE62+'Non Tanaman'!EG62+'Non Tanaman'!EI62</f>
        <v>0</v>
      </c>
      <c r="AQ11" s="305">
        <f>'Non Tanaman'!EF62+'Non Tanaman'!EH62+'Non Tanaman'!EJ62</f>
        <v>0</v>
      </c>
      <c r="AR11" s="305">
        <f>'Non Tanaman'!EK62+'Non Tanaman'!EM62+'Non Tanaman'!EO62</f>
        <v>0</v>
      </c>
      <c r="AS11" s="305">
        <f>'Non Tanaman'!EL62+'Non Tanaman'!EN62+'Non Tanaman'!EP62</f>
        <v>0</v>
      </c>
      <c r="AT11" s="305">
        <f>'Non Tanaman'!EQ62+'Non Tanaman'!ES62+'Non Tanaman'!EU62</f>
        <v>0</v>
      </c>
      <c r="AU11" s="305">
        <f>'Non Tanaman'!ER62+'Non Tanaman'!ET62+'Non Tanaman'!EV62</f>
        <v>0</v>
      </c>
      <c r="AV11" s="305">
        <f>'Non Tanaman'!EW62+'Non Tanaman'!EY62+'Non Tanaman'!FA62</f>
        <v>0</v>
      </c>
      <c r="AW11" s="305">
        <f>'Non Tanaman'!EX62+'Non Tanaman'!EZ62+'Non Tanaman'!FB62</f>
        <v>0</v>
      </c>
      <c r="AX11" s="276">
        <f t="shared" ref="AX11:AX31" si="6">AV11+AT11+AR11+AP11</f>
        <v>0</v>
      </c>
      <c r="AY11" s="276">
        <f t="shared" ref="AY11:AY31" si="7">AW11+AU11+AS11+AQ11</f>
        <v>0</v>
      </c>
      <c r="AZ11" s="274">
        <f>'Non Tanaman'!FE62+'Non Tanaman'!FG62+'Non Tanaman'!FI62</f>
        <v>0</v>
      </c>
      <c r="BA11" s="274">
        <f>'Non Tanaman'!FF62+'Non Tanaman'!FH62+'Non Tanaman'!FJ62</f>
        <v>0</v>
      </c>
      <c r="BB11" s="274">
        <f>'Non Tanaman'!FK62+'Non Tanaman'!FM62+'Non Tanaman'!FO62</f>
        <v>0</v>
      </c>
      <c r="BC11" s="274">
        <f>'Non Tanaman'!FL62+'Non Tanaman'!FN62+'Non Tanaman'!FP62</f>
        <v>0</v>
      </c>
      <c r="BD11" s="274">
        <f>'Non Tanaman'!FQ62+'Non Tanaman'!FS62+'Non Tanaman'!FU62</f>
        <v>0</v>
      </c>
      <c r="BE11" s="274">
        <f>'Non Tanaman'!FR62+'Non Tanaman'!FT62+'Non Tanaman'!FV62</f>
        <v>0</v>
      </c>
      <c r="BF11" s="274">
        <f>'Non Tanaman'!FW62+'Non Tanaman'!FY62+'Non Tanaman'!GA62</f>
        <v>0</v>
      </c>
      <c r="BG11" s="274">
        <f>'Non Tanaman'!FX62+'Non Tanaman'!FZ62+'Non Tanaman'!GB62</f>
        <v>0</v>
      </c>
      <c r="BH11" s="276">
        <f t="shared" ref="BH11:BH31" si="8">BF11+BD11+BB11+AZ11</f>
        <v>0</v>
      </c>
      <c r="BI11" s="276">
        <f t="shared" ref="BI11:BI31" si="9">BG11+BE11+BC11+BA11</f>
        <v>0</v>
      </c>
      <c r="BJ11" s="274">
        <f>'Non Tanaman'!GF62+'Non Tanaman'!GH62+'Non Tanaman'!GJ62</f>
        <v>0</v>
      </c>
      <c r="BK11" s="274">
        <f>'Non Tanaman'!GG62+'Non Tanaman'!GI62+'Non Tanaman'!GK62</f>
        <v>0</v>
      </c>
      <c r="BL11" s="274">
        <f>'Non Tanaman'!GL62+'Non Tanaman'!GN62+'Non Tanaman'!GP62</f>
        <v>0</v>
      </c>
      <c r="BM11" s="274">
        <f>'Non Tanaman'!GM62+'Non Tanaman'!GO62+'Non Tanaman'!GQ62</f>
        <v>0</v>
      </c>
      <c r="BN11" s="274">
        <f>'Non Tanaman'!GV62+'Non Tanaman'!GT62+'Non Tanaman'!GR62</f>
        <v>0</v>
      </c>
      <c r="BO11" s="274">
        <f>'Non Tanaman'!GW62+'Non Tanaman'!GU62+'Non Tanaman'!GS62</f>
        <v>0</v>
      </c>
      <c r="BP11" s="274">
        <f>'Non Tanaman'!GX62+'Non Tanaman'!GZ62+'Non Tanaman'!HB62</f>
        <v>0</v>
      </c>
      <c r="BQ11" s="274">
        <f>'Non Tanaman'!GY62+'Non Tanaman'!HA62+'Non Tanaman'!HC62</f>
        <v>0</v>
      </c>
      <c r="BR11" s="276">
        <f t="shared" ref="BR11:BS31" si="10">BP11+BN11+BL11+BJ11</f>
        <v>0</v>
      </c>
      <c r="BS11" s="276">
        <f t="shared" si="10"/>
        <v>0</v>
      </c>
      <c r="BU11" s="3">
        <f t="shared" ref="BU11:BU37" si="11">AY11+AO11+AE11+U11+K11+BI11</f>
        <v>472000000</v>
      </c>
      <c r="BV11" s="244">
        <f>'Non Tanaman'!HF62+'Non Tanaman'!HF103</f>
        <v>472000000</v>
      </c>
      <c r="BW11" s="435">
        <f>'RKP 08'!BO79</f>
        <v>472000000</v>
      </c>
      <c r="BY11" s="145">
        <f t="shared" ref="BY11:BY35" si="12">BW11-BV11</f>
        <v>0</v>
      </c>
    </row>
    <row r="12" spans="1:77" hidden="1" x14ac:dyDescent="0.2">
      <c r="A12" s="274"/>
      <c r="B12" s="276"/>
      <c r="C12" s="276"/>
      <c r="D12" s="276"/>
      <c r="E12" s="276"/>
      <c r="F12" s="276"/>
      <c r="G12" s="276"/>
      <c r="H12" s="276"/>
      <c r="I12" s="276"/>
      <c r="J12" s="276">
        <f t="shared" si="0"/>
        <v>0</v>
      </c>
      <c r="K12" s="276">
        <f t="shared" si="0"/>
        <v>0</v>
      </c>
      <c r="L12" s="276"/>
      <c r="M12" s="276"/>
      <c r="N12" s="276"/>
      <c r="O12" s="276"/>
      <c r="P12" s="276"/>
      <c r="Q12" s="276"/>
      <c r="R12" s="276"/>
      <c r="S12" s="276"/>
      <c r="T12" s="276">
        <f t="shared" si="1"/>
        <v>0</v>
      </c>
      <c r="U12" s="276">
        <f t="shared" si="2"/>
        <v>0</v>
      </c>
      <c r="V12" s="276"/>
      <c r="W12" s="276"/>
      <c r="X12" s="276"/>
      <c r="Y12" s="276"/>
      <c r="Z12" s="276"/>
      <c r="AA12" s="276"/>
      <c r="AB12" s="276"/>
      <c r="AC12" s="276"/>
      <c r="AD12" s="276">
        <f t="shared" si="3"/>
        <v>0</v>
      </c>
      <c r="AE12" s="276">
        <f t="shared" si="4"/>
        <v>0</v>
      </c>
      <c r="AF12" s="274"/>
      <c r="AG12" s="274"/>
      <c r="AH12" s="274"/>
      <c r="AI12" s="274"/>
      <c r="AJ12" s="274"/>
      <c r="AK12" s="274"/>
      <c r="AL12" s="274"/>
      <c r="AM12" s="274"/>
      <c r="AN12" s="276">
        <f t="shared" si="5"/>
        <v>0</v>
      </c>
      <c r="AO12" s="276">
        <f t="shared" si="5"/>
        <v>0</v>
      </c>
      <c r="AP12" s="305"/>
      <c r="AQ12" s="305"/>
      <c r="AR12" s="305"/>
      <c r="AS12" s="305"/>
      <c r="AT12" s="305"/>
      <c r="AU12" s="305"/>
      <c r="AV12" s="305"/>
      <c r="AW12" s="305"/>
      <c r="AX12" s="276">
        <f t="shared" si="6"/>
        <v>0</v>
      </c>
      <c r="AY12" s="276">
        <f t="shared" si="7"/>
        <v>0</v>
      </c>
      <c r="AZ12" s="274"/>
      <c r="BA12" s="274"/>
      <c r="BB12" s="274"/>
      <c r="BC12" s="274"/>
      <c r="BD12" s="274"/>
      <c r="BE12" s="274"/>
      <c r="BF12" s="274"/>
      <c r="BG12" s="274"/>
      <c r="BH12" s="276">
        <f t="shared" si="8"/>
        <v>0</v>
      </c>
      <c r="BI12" s="276">
        <f t="shared" si="9"/>
        <v>0</v>
      </c>
      <c r="BJ12" s="274"/>
      <c r="BK12" s="274"/>
      <c r="BL12" s="274"/>
      <c r="BM12" s="274"/>
      <c r="BN12" s="274"/>
      <c r="BO12" s="274"/>
      <c r="BP12" s="274"/>
      <c r="BQ12" s="274"/>
      <c r="BR12" s="276">
        <f t="shared" si="10"/>
        <v>0</v>
      </c>
      <c r="BS12" s="276">
        <f t="shared" si="10"/>
        <v>0</v>
      </c>
      <c r="BU12" s="3">
        <f t="shared" si="11"/>
        <v>0</v>
      </c>
      <c r="BV12" s="244"/>
      <c r="BW12" s="244">
        <f>'RKP 08'!BE83</f>
        <v>0</v>
      </c>
      <c r="BY12" s="145">
        <f t="shared" si="12"/>
        <v>0</v>
      </c>
    </row>
    <row r="13" spans="1:77" hidden="1" x14ac:dyDescent="0.2">
      <c r="A13" s="274"/>
      <c r="B13" s="276"/>
      <c r="C13" s="276"/>
      <c r="D13" s="276"/>
      <c r="E13" s="276"/>
      <c r="F13" s="276"/>
      <c r="G13" s="276"/>
      <c r="H13" s="276"/>
      <c r="I13" s="276"/>
      <c r="J13" s="276">
        <f t="shared" si="0"/>
        <v>0</v>
      </c>
      <c r="K13" s="276">
        <f t="shared" si="0"/>
        <v>0</v>
      </c>
      <c r="L13" s="276"/>
      <c r="M13" s="276"/>
      <c r="N13" s="276"/>
      <c r="O13" s="276"/>
      <c r="P13" s="276"/>
      <c r="Q13" s="276"/>
      <c r="R13" s="276"/>
      <c r="S13" s="276"/>
      <c r="T13" s="276">
        <f t="shared" si="1"/>
        <v>0</v>
      </c>
      <c r="U13" s="276">
        <f t="shared" si="2"/>
        <v>0</v>
      </c>
      <c r="V13" s="276"/>
      <c r="W13" s="276"/>
      <c r="X13" s="276"/>
      <c r="Y13" s="276"/>
      <c r="Z13" s="276"/>
      <c r="AA13" s="276"/>
      <c r="AB13" s="276"/>
      <c r="AC13" s="276"/>
      <c r="AD13" s="276">
        <f t="shared" si="3"/>
        <v>0</v>
      </c>
      <c r="AE13" s="276">
        <f t="shared" si="4"/>
        <v>0</v>
      </c>
      <c r="AF13" s="274"/>
      <c r="AG13" s="274"/>
      <c r="AH13" s="274"/>
      <c r="AI13" s="274"/>
      <c r="AJ13" s="274"/>
      <c r="AK13" s="274"/>
      <c r="AL13" s="274"/>
      <c r="AM13" s="274"/>
      <c r="AN13" s="276">
        <f t="shared" si="5"/>
        <v>0</v>
      </c>
      <c r="AO13" s="276">
        <f t="shared" si="5"/>
        <v>0</v>
      </c>
      <c r="AP13" s="305"/>
      <c r="AQ13" s="305"/>
      <c r="AR13" s="305"/>
      <c r="AS13" s="305"/>
      <c r="AT13" s="305"/>
      <c r="AU13" s="305"/>
      <c r="AV13" s="305"/>
      <c r="AW13" s="305"/>
      <c r="AX13" s="276">
        <f t="shared" si="6"/>
        <v>0</v>
      </c>
      <c r="AY13" s="276">
        <f t="shared" si="7"/>
        <v>0</v>
      </c>
      <c r="AZ13" s="274"/>
      <c r="BA13" s="274"/>
      <c r="BB13" s="274"/>
      <c r="BC13" s="274"/>
      <c r="BD13" s="274"/>
      <c r="BE13" s="274"/>
      <c r="BF13" s="274"/>
      <c r="BG13" s="274"/>
      <c r="BH13" s="276">
        <f t="shared" si="8"/>
        <v>0</v>
      </c>
      <c r="BI13" s="276">
        <f t="shared" si="9"/>
        <v>0</v>
      </c>
      <c r="BJ13" s="274"/>
      <c r="BK13" s="274"/>
      <c r="BL13" s="274"/>
      <c r="BM13" s="274"/>
      <c r="BN13" s="274"/>
      <c r="BO13" s="274"/>
      <c r="BP13" s="274"/>
      <c r="BQ13" s="274"/>
      <c r="BR13" s="276">
        <f t="shared" si="10"/>
        <v>0</v>
      </c>
      <c r="BS13" s="276">
        <f t="shared" si="10"/>
        <v>0</v>
      </c>
      <c r="BU13" s="3">
        <f t="shared" si="11"/>
        <v>0</v>
      </c>
      <c r="BV13" s="244"/>
      <c r="BW13" s="244">
        <f>'RKP 08'!BE84</f>
        <v>0</v>
      </c>
      <c r="BY13" s="145">
        <f t="shared" si="12"/>
        <v>0</v>
      </c>
    </row>
    <row r="14" spans="1:77" hidden="1" x14ac:dyDescent="0.2">
      <c r="A14" s="274"/>
      <c r="B14" s="276"/>
      <c r="C14" s="276"/>
      <c r="D14" s="276"/>
      <c r="E14" s="276"/>
      <c r="F14" s="276"/>
      <c r="G14" s="276"/>
      <c r="H14" s="276"/>
      <c r="I14" s="276"/>
      <c r="J14" s="276">
        <f t="shared" si="0"/>
        <v>0</v>
      </c>
      <c r="K14" s="276">
        <f t="shared" si="0"/>
        <v>0</v>
      </c>
      <c r="L14" s="276"/>
      <c r="M14" s="276"/>
      <c r="N14" s="276"/>
      <c r="O14" s="276"/>
      <c r="P14" s="276"/>
      <c r="Q14" s="276"/>
      <c r="R14" s="276"/>
      <c r="S14" s="276"/>
      <c r="T14" s="276">
        <f t="shared" si="1"/>
        <v>0</v>
      </c>
      <c r="U14" s="276">
        <f t="shared" si="2"/>
        <v>0</v>
      </c>
      <c r="V14" s="276"/>
      <c r="W14" s="276"/>
      <c r="X14" s="276"/>
      <c r="Y14" s="276"/>
      <c r="Z14" s="276"/>
      <c r="AA14" s="276"/>
      <c r="AB14" s="276"/>
      <c r="AC14" s="276"/>
      <c r="AD14" s="276">
        <f t="shared" si="3"/>
        <v>0</v>
      </c>
      <c r="AE14" s="276">
        <f t="shared" si="4"/>
        <v>0</v>
      </c>
      <c r="AF14" s="274"/>
      <c r="AG14" s="274"/>
      <c r="AH14" s="274"/>
      <c r="AI14" s="274"/>
      <c r="AJ14" s="274"/>
      <c r="AK14" s="274"/>
      <c r="AL14" s="274"/>
      <c r="AM14" s="274"/>
      <c r="AN14" s="276">
        <f t="shared" si="5"/>
        <v>0</v>
      </c>
      <c r="AO14" s="276">
        <f t="shared" si="5"/>
        <v>0</v>
      </c>
      <c r="AP14" s="305"/>
      <c r="AQ14" s="305"/>
      <c r="AR14" s="305"/>
      <c r="AS14" s="305"/>
      <c r="AT14" s="305"/>
      <c r="AU14" s="305"/>
      <c r="AV14" s="305"/>
      <c r="AW14" s="305"/>
      <c r="AX14" s="276">
        <f t="shared" si="6"/>
        <v>0</v>
      </c>
      <c r="AY14" s="276">
        <f t="shared" si="7"/>
        <v>0</v>
      </c>
      <c r="AZ14" s="274"/>
      <c r="BA14" s="274"/>
      <c r="BB14" s="274"/>
      <c r="BC14" s="274"/>
      <c r="BD14" s="274"/>
      <c r="BE14" s="274"/>
      <c r="BF14" s="274"/>
      <c r="BG14" s="274"/>
      <c r="BH14" s="276">
        <f t="shared" si="8"/>
        <v>0</v>
      </c>
      <c r="BI14" s="276">
        <f t="shared" si="9"/>
        <v>0</v>
      </c>
      <c r="BJ14" s="274"/>
      <c r="BK14" s="274"/>
      <c r="BL14" s="274"/>
      <c r="BM14" s="274"/>
      <c r="BN14" s="274"/>
      <c r="BO14" s="274"/>
      <c r="BP14" s="274"/>
      <c r="BQ14" s="274"/>
      <c r="BR14" s="276">
        <f t="shared" si="10"/>
        <v>0</v>
      </c>
      <c r="BS14" s="276">
        <f t="shared" si="10"/>
        <v>0</v>
      </c>
      <c r="BU14" s="3">
        <f t="shared" si="11"/>
        <v>0</v>
      </c>
      <c r="BV14" s="244"/>
      <c r="BW14" s="244">
        <f>'RKP 08'!BE85</f>
        <v>0</v>
      </c>
      <c r="BY14" s="145">
        <f t="shared" si="12"/>
        <v>0</v>
      </c>
    </row>
    <row r="15" spans="1:77" x14ac:dyDescent="0.2">
      <c r="A15" s="274" t="s">
        <v>474</v>
      </c>
      <c r="B15" s="276">
        <f>'Non Tanaman'!AE68+'Non Tanaman'!AG68+'Non Tanaman'!AI68+'Non Tanaman'!AK68</f>
        <v>0</v>
      </c>
      <c r="C15" s="276">
        <f>'Non Tanaman'!AF68+'Non Tanaman'!AH68+'Non Tanaman'!AJ68+'Non Tanaman'!AL68</f>
        <v>0</v>
      </c>
      <c r="D15" s="276">
        <f>+'Non Tanaman'!AM68+'Non Tanaman'!AO68+'Non Tanaman'!AQ68+'Non Tanaman'!AS68</f>
        <v>0</v>
      </c>
      <c r="E15" s="276">
        <f>+'Non Tanaman'!AN68+'Non Tanaman'!AP68+'Non Tanaman'!AR68+'Non Tanaman'!AT68</f>
        <v>0</v>
      </c>
      <c r="F15" s="276">
        <f>'Non Tanaman'!AU68+'Non Tanaman'!AW68+'Non Tanaman'!AY68+'Non Tanaman'!BA68</f>
        <v>1</v>
      </c>
      <c r="G15" s="276">
        <f>'Non Tanaman'!AV68+'Non Tanaman'!AX68+'Non Tanaman'!AZ68+'Non Tanaman'!BB68</f>
        <v>120000000</v>
      </c>
      <c r="H15" s="276"/>
      <c r="I15" s="276"/>
      <c r="J15" s="276">
        <f t="shared" si="0"/>
        <v>1</v>
      </c>
      <c r="K15" s="276">
        <f t="shared" si="0"/>
        <v>120000000</v>
      </c>
      <c r="L15" s="276">
        <f>'Non Tanaman'!BE68+'Non Tanaman'!BG68+'Non Tanaman'!BI68+'Non Tanaman'!BK68</f>
        <v>0</v>
      </c>
      <c r="M15" s="276">
        <f>'Non Tanaman'!BF68+'Non Tanaman'!BH68+'Non Tanaman'!BJ68+'Non Tanaman'!BL68</f>
        <v>0</v>
      </c>
      <c r="N15" s="276">
        <f>+'Non Tanaman'!BM68+'Non Tanaman'!BO68+'Non Tanaman'!BQ68+'Non Tanaman'!BS68</f>
        <v>0</v>
      </c>
      <c r="O15" s="276">
        <f>+'Non Tanaman'!BN68+'Non Tanaman'!BP68+'Non Tanaman'!BR68+'Non Tanaman'!BT68</f>
        <v>0</v>
      </c>
      <c r="P15" s="276">
        <f>'Non Tanaman'!BU68+'Non Tanaman'!BW68+'Non Tanaman'!BY68+'Non Tanaman'!CA68</f>
        <v>0</v>
      </c>
      <c r="Q15" s="276">
        <f>'Non Tanaman'!BV68+'Non Tanaman'!BX68+'Non Tanaman'!BZ68+'Non Tanaman'!CB68</f>
        <v>0</v>
      </c>
      <c r="R15" s="276"/>
      <c r="S15" s="276"/>
      <c r="T15" s="276">
        <f t="shared" si="1"/>
        <v>0</v>
      </c>
      <c r="U15" s="276">
        <f t="shared" si="2"/>
        <v>0</v>
      </c>
      <c r="V15" s="276">
        <f>'Non Tanaman'!CE68+'Non Tanaman'!CG68+'Non Tanaman'!CI68+'Non Tanaman'!CK68</f>
        <v>0</v>
      </c>
      <c r="W15" s="276">
        <f>'Non Tanaman'!CF68+'Non Tanaman'!CH68+'Non Tanaman'!CJ68+'Non Tanaman'!CL68</f>
        <v>0</v>
      </c>
      <c r="X15" s="276">
        <f>+'Non Tanaman'!CM68+'Non Tanaman'!CO68+'Non Tanaman'!CQ68+'Non Tanaman'!CS68</f>
        <v>0</v>
      </c>
      <c r="Y15" s="276">
        <f>+'Non Tanaman'!CN68+'Non Tanaman'!CP68+'Non Tanaman'!CR68+'Non Tanaman'!CT68</f>
        <v>0</v>
      </c>
      <c r="Z15" s="276">
        <f>'Non Tanaman'!CU68+'Non Tanaman'!CW68+'Non Tanaman'!CY68+'Non Tanaman'!DA68</f>
        <v>0</v>
      </c>
      <c r="AA15" s="276">
        <f>'Non Tanaman'!CV68+'Non Tanaman'!CX68+'Non Tanaman'!CZ68+'Non Tanaman'!DB68</f>
        <v>0</v>
      </c>
      <c r="AB15" s="276"/>
      <c r="AC15" s="276"/>
      <c r="AD15" s="276">
        <f t="shared" si="3"/>
        <v>0</v>
      </c>
      <c r="AE15" s="276">
        <f t="shared" si="4"/>
        <v>0</v>
      </c>
      <c r="AF15" s="305">
        <f>'Non Tanaman'!DE68+'Non Tanaman'!DG68+'Non Tanaman'!DI68+'Non Tanaman'!DK68</f>
        <v>0</v>
      </c>
      <c r="AG15" s="305">
        <f>'Non Tanaman'!DF68+'Non Tanaman'!DH68+'Non Tanaman'!DJ68+'Non Tanaman'!DL68</f>
        <v>0</v>
      </c>
      <c r="AH15" s="305">
        <f>'Non Tanaman'!DM68+'Non Tanaman'!DO68+'Non Tanaman'!DQ68+'Non Tanaman'!DS68</f>
        <v>0</v>
      </c>
      <c r="AI15" s="305">
        <f>'Non Tanaman'!DN68+'Non Tanaman'!DP68+'Non Tanaman'!DR68+'Non Tanaman'!DT68</f>
        <v>0</v>
      </c>
      <c r="AJ15" s="305">
        <f>'Non Tanaman'!DU68+'Non Tanaman'!DW68+'Non Tanaman'!DY68+'Non Tanaman'!EA68</f>
        <v>0</v>
      </c>
      <c r="AK15" s="305">
        <f>'Non Tanaman'!DV68+'Non Tanaman'!DX68+'Non Tanaman'!DZ68+'Non Tanaman'!EB68</f>
        <v>0</v>
      </c>
      <c r="AL15" s="305"/>
      <c r="AM15" s="305"/>
      <c r="AN15" s="276">
        <f t="shared" si="5"/>
        <v>0</v>
      </c>
      <c r="AO15" s="276">
        <f t="shared" si="5"/>
        <v>0</v>
      </c>
      <c r="AP15" s="305">
        <f>'Non Tanaman'!EE68+'Non Tanaman'!EG68+'Non Tanaman'!EI68</f>
        <v>0</v>
      </c>
      <c r="AQ15" s="305">
        <f>'Non Tanaman'!EF68+'Non Tanaman'!EH68+'Non Tanaman'!EJ68</f>
        <v>0</v>
      </c>
      <c r="AR15" s="305">
        <f>'Non Tanaman'!EK68+'Non Tanaman'!EM68+'Non Tanaman'!EO68</f>
        <v>0</v>
      </c>
      <c r="AS15" s="305">
        <f>'Non Tanaman'!EL68+'Non Tanaman'!EN68+'Non Tanaman'!EP68</f>
        <v>0</v>
      </c>
      <c r="AT15" s="305">
        <f>'Non Tanaman'!EQ68+'Non Tanaman'!ES68+'Non Tanaman'!EU68</f>
        <v>0</v>
      </c>
      <c r="AU15" s="305">
        <f>'Non Tanaman'!ER68+'Non Tanaman'!ET68+'Non Tanaman'!EV68</f>
        <v>0</v>
      </c>
      <c r="AV15" s="305">
        <f>'Non Tanaman'!EW68+'Non Tanaman'!EY68+'Non Tanaman'!FA68</f>
        <v>0</v>
      </c>
      <c r="AW15" s="305">
        <f>'Non Tanaman'!EX68+'Non Tanaman'!EZ68+'Non Tanaman'!FB68</f>
        <v>0</v>
      </c>
      <c r="AX15" s="276">
        <f t="shared" si="6"/>
        <v>0</v>
      </c>
      <c r="AY15" s="276">
        <f t="shared" si="7"/>
        <v>0</v>
      </c>
      <c r="AZ15" s="274">
        <f>'Non Tanaman'!FE68+'Non Tanaman'!FG68+'Non Tanaman'!FI68</f>
        <v>0</v>
      </c>
      <c r="BA15" s="274">
        <f>'Non Tanaman'!FF68+'Non Tanaman'!FH68+'Non Tanaman'!FJ68</f>
        <v>0</v>
      </c>
      <c r="BB15" s="274">
        <f>'Non Tanaman'!FK68+'Non Tanaman'!FM68+'Non Tanaman'!FO68</f>
        <v>0</v>
      </c>
      <c r="BC15" s="274">
        <f>'Non Tanaman'!FL68+'Non Tanaman'!FN68+'Non Tanaman'!FP68</f>
        <v>0</v>
      </c>
      <c r="BD15" s="274">
        <f>'Non Tanaman'!FQ68+'Non Tanaman'!FS68+'Non Tanaman'!FU68</f>
        <v>0</v>
      </c>
      <c r="BE15" s="274">
        <f>'Non Tanaman'!FR68+'Non Tanaman'!FT68+'Non Tanaman'!FV68</f>
        <v>0</v>
      </c>
      <c r="BF15" s="274">
        <f>'Non Tanaman'!FW68+'Non Tanaman'!FY68+'Non Tanaman'!GA68</f>
        <v>0</v>
      </c>
      <c r="BG15" s="274">
        <f>'Non Tanaman'!FX68+'Non Tanaman'!FZ68+'Non Tanaman'!GB68</f>
        <v>0</v>
      </c>
      <c r="BH15" s="276">
        <f t="shared" si="8"/>
        <v>0</v>
      </c>
      <c r="BI15" s="276">
        <f t="shared" si="9"/>
        <v>0</v>
      </c>
      <c r="BJ15" s="274">
        <f>'Non Tanaman'!GF68+'Non Tanaman'!GH68+'Non Tanaman'!GJ68</f>
        <v>0</v>
      </c>
      <c r="BK15" s="274">
        <f>'Non Tanaman'!GG68+'Non Tanaman'!GI68+'Non Tanaman'!GK68</f>
        <v>0</v>
      </c>
      <c r="BL15" s="274">
        <f>'Non Tanaman'!GL68+'Non Tanaman'!GN68+'Non Tanaman'!GP68</f>
        <v>0</v>
      </c>
      <c r="BM15" s="274">
        <f>'Non Tanaman'!GM68+'Non Tanaman'!GO68+'Non Tanaman'!GQ68</f>
        <v>0</v>
      </c>
      <c r="BN15" s="274">
        <f>'Non Tanaman'!GV68+'Non Tanaman'!GT68+'Non Tanaman'!GR68</f>
        <v>0</v>
      </c>
      <c r="BO15" s="274">
        <f>'Non Tanaman'!GW68+'Non Tanaman'!GU68+'Non Tanaman'!GS68</f>
        <v>0</v>
      </c>
      <c r="BP15" s="274">
        <f>'Non Tanaman'!GX68+'Non Tanaman'!GZ68+'Non Tanaman'!HB68</f>
        <v>0</v>
      </c>
      <c r="BQ15" s="274">
        <f>'Non Tanaman'!GY68+'Non Tanaman'!HA68+'Non Tanaman'!HC68</f>
        <v>0</v>
      </c>
      <c r="BR15" s="276">
        <f t="shared" si="10"/>
        <v>0</v>
      </c>
      <c r="BS15" s="276">
        <f t="shared" si="10"/>
        <v>0</v>
      </c>
      <c r="BU15" s="3">
        <f t="shared" si="11"/>
        <v>120000000</v>
      </c>
      <c r="BV15" s="244">
        <f>'Non Tanaman'!HF68</f>
        <v>120000000</v>
      </c>
      <c r="BW15" s="244">
        <f>'RKP 08'!BO80</f>
        <v>120000000</v>
      </c>
      <c r="BY15" s="145">
        <f t="shared" si="12"/>
        <v>0</v>
      </c>
    </row>
    <row r="16" spans="1:77" hidden="1" x14ac:dyDescent="0.2">
      <c r="A16" s="274"/>
      <c r="B16" s="276">
        <f>SUM('[23]Non Tanaman'!AE$69:AE$74)</f>
        <v>0</v>
      </c>
      <c r="C16" s="276">
        <f>SUM('[23]Non Tanaman'!AF$69:AF$74)</f>
        <v>0</v>
      </c>
      <c r="D16" s="276">
        <f>SUM('[23]Non Tanaman'!AK$69:AK$74)</f>
        <v>0</v>
      </c>
      <c r="E16" s="276">
        <f>SUM('[23]Non Tanaman'!AL$69:AL$74)</f>
        <v>0</v>
      </c>
      <c r="F16" s="276">
        <f>SUM('[23]Non Tanaman'!AQ$69:AQ$74)</f>
        <v>3</v>
      </c>
      <c r="G16" s="276">
        <f>SUM('[23]Non Tanaman'!AR$69:AR$74)</f>
        <v>1620000000</v>
      </c>
      <c r="H16" s="276"/>
      <c r="I16" s="276"/>
      <c r="J16" s="276">
        <f t="shared" si="0"/>
        <v>3</v>
      </c>
      <c r="K16" s="276">
        <f t="shared" si="0"/>
        <v>1620000000</v>
      </c>
      <c r="L16" s="276"/>
      <c r="M16" s="276"/>
      <c r="N16" s="276"/>
      <c r="O16" s="276"/>
      <c r="P16" s="276"/>
      <c r="Q16" s="276"/>
      <c r="R16" s="276"/>
      <c r="S16" s="276"/>
      <c r="T16" s="276">
        <f t="shared" si="1"/>
        <v>0</v>
      </c>
      <c r="U16" s="276">
        <f t="shared" si="2"/>
        <v>0</v>
      </c>
      <c r="V16" s="276"/>
      <c r="W16" s="276"/>
      <c r="X16" s="276"/>
      <c r="Y16" s="276"/>
      <c r="Z16" s="276"/>
      <c r="AA16" s="276"/>
      <c r="AB16" s="276"/>
      <c r="AC16" s="276"/>
      <c r="AD16" s="276">
        <f t="shared" si="3"/>
        <v>0</v>
      </c>
      <c r="AE16" s="276">
        <f t="shared" si="4"/>
        <v>0</v>
      </c>
      <c r="AF16" s="274"/>
      <c r="AG16" s="274"/>
      <c r="AH16" s="274"/>
      <c r="AI16" s="274"/>
      <c r="AJ16" s="274"/>
      <c r="AK16" s="274"/>
      <c r="AL16" s="274"/>
      <c r="AM16" s="274"/>
      <c r="AN16" s="276">
        <f t="shared" si="5"/>
        <v>0</v>
      </c>
      <c r="AO16" s="276">
        <f t="shared" si="5"/>
        <v>0</v>
      </c>
      <c r="AP16" s="305"/>
      <c r="AQ16" s="305"/>
      <c r="AR16" s="305"/>
      <c r="AS16" s="305"/>
      <c r="AT16" s="305"/>
      <c r="AU16" s="305"/>
      <c r="AV16" s="305"/>
      <c r="AW16" s="305"/>
      <c r="AX16" s="276">
        <f t="shared" si="6"/>
        <v>0</v>
      </c>
      <c r="AY16" s="276">
        <f t="shared" si="7"/>
        <v>0</v>
      </c>
      <c r="AZ16" s="274"/>
      <c r="BA16" s="274"/>
      <c r="BB16" s="274"/>
      <c r="BC16" s="274"/>
      <c r="BD16" s="274"/>
      <c r="BE16" s="274"/>
      <c r="BF16" s="274"/>
      <c r="BG16" s="274"/>
      <c r="BH16" s="276">
        <f t="shared" si="8"/>
        <v>0</v>
      </c>
      <c r="BI16" s="276">
        <f t="shared" si="9"/>
        <v>0</v>
      </c>
      <c r="BJ16" s="274"/>
      <c r="BK16" s="274"/>
      <c r="BL16" s="274"/>
      <c r="BM16" s="274"/>
      <c r="BN16" s="274"/>
      <c r="BO16" s="274"/>
      <c r="BP16" s="274"/>
      <c r="BQ16" s="274"/>
      <c r="BR16" s="276">
        <f t="shared" si="10"/>
        <v>0</v>
      </c>
      <c r="BS16" s="276">
        <f t="shared" si="10"/>
        <v>0</v>
      </c>
      <c r="BU16" s="3">
        <f t="shared" si="11"/>
        <v>1620000000</v>
      </c>
      <c r="BV16" s="244"/>
      <c r="BW16" s="244">
        <f>'RKP 08'!BE87</f>
        <v>0</v>
      </c>
      <c r="BY16" s="145">
        <f t="shared" si="12"/>
        <v>0</v>
      </c>
    </row>
    <row r="17" spans="1:77" hidden="1" x14ac:dyDescent="0.2">
      <c r="A17" s="274"/>
      <c r="B17" s="276">
        <f>SUM('[23]Non Tanaman'!AG$69:AG$74)</f>
        <v>0</v>
      </c>
      <c r="C17" s="276">
        <f>SUM('[23]Non Tanaman'!AH$69:AH$74)</f>
        <v>0</v>
      </c>
      <c r="D17" s="276">
        <f>SUM('[23]Non Tanaman'!AM$69:AM$74)</f>
        <v>0</v>
      </c>
      <c r="E17" s="276">
        <f>SUM('[23]Non Tanaman'!AN$69:AN$74)</f>
        <v>0</v>
      </c>
      <c r="F17" s="276">
        <f>SUM('[23]Non Tanaman'!AS$69:AS$74)</f>
        <v>0</v>
      </c>
      <c r="G17" s="276">
        <f>SUM('[23]Non Tanaman'!AT$69:AT$74)</f>
        <v>0</v>
      </c>
      <c r="H17" s="276"/>
      <c r="I17" s="276"/>
      <c r="J17" s="276">
        <f t="shared" si="0"/>
        <v>0</v>
      </c>
      <c r="K17" s="276">
        <f t="shared" si="0"/>
        <v>0</v>
      </c>
      <c r="L17" s="276"/>
      <c r="M17" s="276"/>
      <c r="N17" s="276"/>
      <c r="O17" s="276"/>
      <c r="P17" s="276"/>
      <c r="Q17" s="276"/>
      <c r="R17" s="276"/>
      <c r="S17" s="276"/>
      <c r="T17" s="276">
        <f t="shared" si="1"/>
        <v>0</v>
      </c>
      <c r="U17" s="276">
        <f t="shared" si="2"/>
        <v>0</v>
      </c>
      <c r="V17" s="276"/>
      <c r="W17" s="276"/>
      <c r="X17" s="276"/>
      <c r="Y17" s="276"/>
      <c r="Z17" s="276"/>
      <c r="AA17" s="276"/>
      <c r="AB17" s="276"/>
      <c r="AC17" s="276"/>
      <c r="AD17" s="276">
        <f t="shared" si="3"/>
        <v>0</v>
      </c>
      <c r="AE17" s="276">
        <f t="shared" si="4"/>
        <v>0</v>
      </c>
      <c r="AF17" s="274"/>
      <c r="AG17" s="274"/>
      <c r="AH17" s="274"/>
      <c r="AI17" s="274"/>
      <c r="AJ17" s="274"/>
      <c r="AK17" s="274"/>
      <c r="AL17" s="274"/>
      <c r="AM17" s="274"/>
      <c r="AN17" s="276">
        <f t="shared" si="5"/>
        <v>0</v>
      </c>
      <c r="AO17" s="276">
        <f t="shared" si="5"/>
        <v>0</v>
      </c>
      <c r="AP17" s="305"/>
      <c r="AQ17" s="305"/>
      <c r="AR17" s="305"/>
      <c r="AS17" s="305"/>
      <c r="AT17" s="305"/>
      <c r="AU17" s="305"/>
      <c r="AV17" s="305"/>
      <c r="AW17" s="305"/>
      <c r="AX17" s="276">
        <f t="shared" si="6"/>
        <v>0</v>
      </c>
      <c r="AY17" s="276">
        <f t="shared" si="7"/>
        <v>0</v>
      </c>
      <c r="AZ17" s="274"/>
      <c r="BA17" s="274"/>
      <c r="BB17" s="274"/>
      <c r="BC17" s="274"/>
      <c r="BD17" s="274"/>
      <c r="BE17" s="274"/>
      <c r="BF17" s="274"/>
      <c r="BG17" s="274"/>
      <c r="BH17" s="276">
        <f t="shared" si="8"/>
        <v>0</v>
      </c>
      <c r="BI17" s="276">
        <f t="shared" si="9"/>
        <v>0</v>
      </c>
      <c r="BJ17" s="274"/>
      <c r="BK17" s="274"/>
      <c r="BL17" s="274"/>
      <c r="BM17" s="274"/>
      <c r="BN17" s="274"/>
      <c r="BO17" s="274"/>
      <c r="BP17" s="274"/>
      <c r="BQ17" s="274"/>
      <c r="BR17" s="276">
        <f t="shared" si="10"/>
        <v>0</v>
      </c>
      <c r="BS17" s="276">
        <f t="shared" si="10"/>
        <v>0</v>
      </c>
      <c r="BU17" s="3">
        <f t="shared" si="11"/>
        <v>0</v>
      </c>
      <c r="BV17" s="244"/>
      <c r="BW17" s="244">
        <f>'RKP 08'!BE88</f>
        <v>17500000</v>
      </c>
      <c r="BY17" s="145">
        <f t="shared" si="12"/>
        <v>17500000</v>
      </c>
    </row>
    <row r="18" spans="1:77" hidden="1" x14ac:dyDescent="0.2">
      <c r="A18" s="274"/>
      <c r="B18" s="276">
        <f>SUM('[23]Non Tanaman'!AI$69:AI$74)</f>
        <v>0</v>
      </c>
      <c r="C18" s="276">
        <f>SUM('[23]Non Tanaman'!AJ$69:AJ$74)</f>
        <v>0</v>
      </c>
      <c r="D18" s="276">
        <f>SUM('[23]Non Tanaman'!AO$69:AO$74)</f>
        <v>0</v>
      </c>
      <c r="E18" s="276">
        <f>SUM('[23]Non Tanaman'!AP$69:AP$74)</f>
        <v>0</v>
      </c>
      <c r="F18" s="276">
        <f>SUM('[23]Non Tanaman'!AU$69:AU$74)</f>
        <v>0</v>
      </c>
      <c r="G18" s="276">
        <f>SUM('[23]Non Tanaman'!AV$69:AV$74)</f>
        <v>0</v>
      </c>
      <c r="H18" s="276"/>
      <c r="I18" s="276"/>
      <c r="J18" s="276">
        <f t="shared" si="0"/>
        <v>0</v>
      </c>
      <c r="K18" s="276">
        <f t="shared" si="0"/>
        <v>0</v>
      </c>
      <c r="L18" s="276"/>
      <c r="M18" s="276"/>
      <c r="N18" s="276"/>
      <c r="O18" s="276"/>
      <c r="P18" s="276"/>
      <c r="Q18" s="276"/>
      <c r="R18" s="276"/>
      <c r="S18" s="276"/>
      <c r="T18" s="276">
        <f t="shared" si="1"/>
        <v>0</v>
      </c>
      <c r="U18" s="276">
        <f t="shared" si="2"/>
        <v>0</v>
      </c>
      <c r="V18" s="276"/>
      <c r="W18" s="276"/>
      <c r="X18" s="276"/>
      <c r="Y18" s="276"/>
      <c r="Z18" s="276"/>
      <c r="AA18" s="276"/>
      <c r="AB18" s="276"/>
      <c r="AC18" s="276"/>
      <c r="AD18" s="276">
        <f t="shared" si="3"/>
        <v>0</v>
      </c>
      <c r="AE18" s="276">
        <f t="shared" si="4"/>
        <v>0</v>
      </c>
      <c r="AF18" s="274"/>
      <c r="AG18" s="274"/>
      <c r="AH18" s="274"/>
      <c r="AI18" s="274"/>
      <c r="AJ18" s="274"/>
      <c r="AK18" s="274"/>
      <c r="AL18" s="274"/>
      <c r="AM18" s="274"/>
      <c r="AN18" s="276">
        <f t="shared" si="5"/>
        <v>0</v>
      </c>
      <c r="AO18" s="276">
        <f t="shared" si="5"/>
        <v>0</v>
      </c>
      <c r="AP18" s="305"/>
      <c r="AQ18" s="305"/>
      <c r="AR18" s="305"/>
      <c r="AS18" s="305"/>
      <c r="AT18" s="305"/>
      <c r="AU18" s="305"/>
      <c r="AV18" s="305"/>
      <c r="AW18" s="305"/>
      <c r="AX18" s="276">
        <f t="shared" si="6"/>
        <v>0</v>
      </c>
      <c r="AY18" s="276">
        <f t="shared" si="7"/>
        <v>0</v>
      </c>
      <c r="AZ18" s="274"/>
      <c r="BA18" s="274"/>
      <c r="BB18" s="274"/>
      <c r="BC18" s="274"/>
      <c r="BD18" s="274"/>
      <c r="BE18" s="274"/>
      <c r="BF18" s="274"/>
      <c r="BG18" s="274"/>
      <c r="BH18" s="276">
        <f t="shared" si="8"/>
        <v>0</v>
      </c>
      <c r="BI18" s="276">
        <f t="shared" si="9"/>
        <v>0</v>
      </c>
      <c r="BJ18" s="274"/>
      <c r="BK18" s="274"/>
      <c r="BL18" s="274"/>
      <c r="BM18" s="274"/>
      <c r="BN18" s="274"/>
      <c r="BO18" s="274"/>
      <c r="BP18" s="274"/>
      <c r="BQ18" s="274"/>
      <c r="BR18" s="276">
        <f t="shared" si="10"/>
        <v>0</v>
      </c>
      <c r="BS18" s="276">
        <f t="shared" si="10"/>
        <v>0</v>
      </c>
      <c r="BU18" s="3">
        <f t="shared" si="11"/>
        <v>0</v>
      </c>
      <c r="BV18" s="244"/>
      <c r="BW18" s="244">
        <f>'RKP 08'!BE89</f>
        <v>35000000</v>
      </c>
      <c r="BY18" s="145">
        <f t="shared" si="12"/>
        <v>35000000</v>
      </c>
    </row>
    <row r="19" spans="1:77" x14ac:dyDescent="0.2">
      <c r="A19" s="274" t="s">
        <v>475</v>
      </c>
      <c r="B19" s="276">
        <f>'Non Tanaman'!AE75+'Non Tanaman'!AG75+'Non Tanaman'!AI75+'Non Tanaman'!AK75</f>
        <v>0</v>
      </c>
      <c r="C19" s="276">
        <f>'Non Tanaman'!AF75+'Non Tanaman'!AH75+'Non Tanaman'!AJ75+'Non Tanaman'!AL75</f>
        <v>0</v>
      </c>
      <c r="D19" s="276">
        <f>+'Non Tanaman'!AM75+'Non Tanaman'!AO75+'Non Tanaman'!AQ75+'Non Tanaman'!AS75</f>
        <v>0</v>
      </c>
      <c r="E19" s="276">
        <f>+'Non Tanaman'!AN75+'Non Tanaman'!AP75+'Non Tanaman'!AR75+'Non Tanaman'!AT75</f>
        <v>0</v>
      </c>
      <c r="F19" s="276">
        <f>'Non Tanaman'!AU75+'Non Tanaman'!AW75+'Non Tanaman'!AY75+'Non Tanaman'!BA75</f>
        <v>0</v>
      </c>
      <c r="G19" s="276">
        <f>'Non Tanaman'!AV75+'Non Tanaman'!AX75+'Non Tanaman'!AZ75+'Non Tanaman'!BB75</f>
        <v>0</v>
      </c>
      <c r="H19" s="276"/>
      <c r="I19" s="276"/>
      <c r="J19" s="276">
        <f t="shared" si="0"/>
        <v>0</v>
      </c>
      <c r="K19" s="276">
        <f t="shared" si="0"/>
        <v>0</v>
      </c>
      <c r="L19" s="276">
        <f>'Non Tanaman'!BE75+'Non Tanaman'!BG75+'Non Tanaman'!BI75+'Non Tanaman'!BK75</f>
        <v>0</v>
      </c>
      <c r="M19" s="276">
        <f>'Non Tanaman'!BF75+'Non Tanaman'!BH75+'Non Tanaman'!BJ75+'Non Tanaman'!BL75</f>
        <v>0</v>
      </c>
      <c r="N19" s="276">
        <f>+'Non Tanaman'!BM75+'Non Tanaman'!BO75+'Non Tanaman'!BQ75+'Non Tanaman'!BS75</f>
        <v>0</v>
      </c>
      <c r="O19" s="276">
        <f>+'Non Tanaman'!BN75+'Non Tanaman'!BP75+'Non Tanaman'!BR75+'Non Tanaman'!BT75</f>
        <v>0</v>
      </c>
      <c r="P19" s="276">
        <f>'Non Tanaman'!BU75+'Non Tanaman'!BW75+'Non Tanaman'!BY75+'Non Tanaman'!CA75</f>
        <v>0</v>
      </c>
      <c r="Q19" s="276">
        <f>'Non Tanaman'!BV75+'Non Tanaman'!BX75+'Non Tanaman'!BZ75+'Non Tanaman'!CB75</f>
        <v>0</v>
      </c>
      <c r="R19" s="276"/>
      <c r="S19" s="276"/>
      <c r="T19" s="276">
        <f t="shared" si="1"/>
        <v>0</v>
      </c>
      <c r="U19" s="276">
        <f t="shared" si="2"/>
        <v>0</v>
      </c>
      <c r="V19" s="276">
        <f>'Non Tanaman'!CE75+'Non Tanaman'!CG75+'Non Tanaman'!CI75+'Non Tanaman'!CK75</f>
        <v>0</v>
      </c>
      <c r="W19" s="276">
        <f>'Non Tanaman'!CF75+'Non Tanaman'!CH75+'Non Tanaman'!CJ75+'Non Tanaman'!CL75</f>
        <v>0</v>
      </c>
      <c r="X19" s="276">
        <f>+'Non Tanaman'!CM75+'Non Tanaman'!CO75+'Non Tanaman'!CQ75+'Non Tanaman'!CS75</f>
        <v>0</v>
      </c>
      <c r="Y19" s="276">
        <f>+'Non Tanaman'!CN75+'Non Tanaman'!CP75+'Non Tanaman'!CR75+'Non Tanaman'!CT75</f>
        <v>0</v>
      </c>
      <c r="Z19" s="276">
        <f>'Non Tanaman'!CU75+'Non Tanaman'!CW75+'Non Tanaman'!CY75+'Non Tanaman'!DA75</f>
        <v>0</v>
      </c>
      <c r="AA19" s="276">
        <f>'Non Tanaman'!CV75+'Non Tanaman'!CX75+'Non Tanaman'!CZ75+'Non Tanaman'!DB75</f>
        <v>0</v>
      </c>
      <c r="AB19" s="276"/>
      <c r="AC19" s="276"/>
      <c r="AD19" s="276">
        <f t="shared" si="3"/>
        <v>0</v>
      </c>
      <c r="AE19" s="276">
        <f t="shared" si="4"/>
        <v>0</v>
      </c>
      <c r="AF19" s="305">
        <f>'Non Tanaman'!DE75+'Non Tanaman'!DG75+'Non Tanaman'!DI75+'Non Tanaman'!DK75</f>
        <v>0</v>
      </c>
      <c r="AG19" s="305">
        <f>'Non Tanaman'!DF75+'Non Tanaman'!DH75+'Non Tanaman'!DJ75+'Non Tanaman'!DL75</f>
        <v>0</v>
      </c>
      <c r="AH19" s="305">
        <f>'Non Tanaman'!DM75+'Non Tanaman'!DO75+'Non Tanaman'!DQ75+'Non Tanaman'!DS75</f>
        <v>0</v>
      </c>
      <c r="AI19" s="305">
        <f>'Non Tanaman'!DN75+'Non Tanaman'!DP75+'Non Tanaman'!DR75+'Non Tanaman'!DT75</f>
        <v>0</v>
      </c>
      <c r="AJ19" s="305">
        <f>'Non Tanaman'!DU75+'Non Tanaman'!DW75+'Non Tanaman'!DY75+'Non Tanaman'!EA75</f>
        <v>0</v>
      </c>
      <c r="AK19" s="305">
        <f>'Non Tanaman'!DV75+'Non Tanaman'!DX75+'Non Tanaman'!DZ75+'Non Tanaman'!EB75</f>
        <v>0</v>
      </c>
      <c r="AL19" s="305"/>
      <c r="AM19" s="305"/>
      <c r="AN19" s="276">
        <f t="shared" si="5"/>
        <v>0</v>
      </c>
      <c r="AO19" s="276">
        <f t="shared" si="5"/>
        <v>0</v>
      </c>
      <c r="AP19" s="305">
        <f>'Non Tanaman'!EE75+'Non Tanaman'!EG75+'Non Tanaman'!EI75</f>
        <v>0</v>
      </c>
      <c r="AQ19" s="305">
        <f>'Non Tanaman'!EF75+'Non Tanaman'!EH75+'Non Tanaman'!EJ75</f>
        <v>0</v>
      </c>
      <c r="AR19" s="305">
        <f>'Non Tanaman'!EK75+'Non Tanaman'!EM75+'Non Tanaman'!EO75</f>
        <v>0</v>
      </c>
      <c r="AS19" s="305">
        <f>'Non Tanaman'!EL75+'Non Tanaman'!EN75+'Non Tanaman'!EP75</f>
        <v>0</v>
      </c>
      <c r="AT19" s="305">
        <f>'Non Tanaman'!EQ75+'Non Tanaman'!ES75+'Non Tanaman'!EU75</f>
        <v>0</v>
      </c>
      <c r="AU19" s="305">
        <f>'Non Tanaman'!ER75+'Non Tanaman'!ET75+'Non Tanaman'!EV75</f>
        <v>0</v>
      </c>
      <c r="AV19" s="305">
        <f>'Non Tanaman'!EW75+'Non Tanaman'!EY75+'Non Tanaman'!FA75</f>
        <v>0</v>
      </c>
      <c r="AW19" s="305">
        <f>'Non Tanaman'!EX75+'Non Tanaman'!EZ75+'Non Tanaman'!FB75</f>
        <v>0</v>
      </c>
      <c r="AX19" s="276">
        <f t="shared" si="6"/>
        <v>0</v>
      </c>
      <c r="AY19" s="276">
        <f t="shared" si="7"/>
        <v>0</v>
      </c>
      <c r="AZ19" s="274">
        <f>'Non Tanaman'!FE75+'Non Tanaman'!FG75+'Non Tanaman'!FI75</f>
        <v>0</v>
      </c>
      <c r="BA19" s="274">
        <f>'Non Tanaman'!FF75+'Non Tanaman'!FH75+'Non Tanaman'!FJ75</f>
        <v>0</v>
      </c>
      <c r="BB19" s="274">
        <f>'Non Tanaman'!FK75+'Non Tanaman'!FM75+'Non Tanaman'!FO75</f>
        <v>0</v>
      </c>
      <c r="BC19" s="274">
        <f>'Non Tanaman'!FL75+'Non Tanaman'!FN75+'Non Tanaman'!FP75</f>
        <v>0</v>
      </c>
      <c r="BD19" s="274">
        <f>'Non Tanaman'!FQ75+'Non Tanaman'!FS75+'Non Tanaman'!FU75</f>
        <v>0</v>
      </c>
      <c r="BE19" s="274">
        <f>'Non Tanaman'!FR75+'Non Tanaman'!FT75+'Non Tanaman'!FV75</f>
        <v>0</v>
      </c>
      <c r="BF19" s="274">
        <f>'Non Tanaman'!FW75+'Non Tanaman'!FY75+'Non Tanaman'!GA75</f>
        <v>0</v>
      </c>
      <c r="BG19" s="274">
        <f>'Non Tanaman'!FX75+'Non Tanaman'!FZ75+'Non Tanaman'!GB75</f>
        <v>0</v>
      </c>
      <c r="BH19" s="276">
        <f t="shared" si="8"/>
        <v>0</v>
      </c>
      <c r="BI19" s="276">
        <f t="shared" si="9"/>
        <v>0</v>
      </c>
      <c r="BJ19" s="274">
        <f>'Non Tanaman'!GF75+'Non Tanaman'!GH75+'Non Tanaman'!GJ75</f>
        <v>0</v>
      </c>
      <c r="BK19" s="274">
        <f>'Non Tanaman'!GG75+'Non Tanaman'!GI75+'Non Tanaman'!GK75</f>
        <v>0</v>
      </c>
      <c r="BL19" s="274">
        <f>'Non Tanaman'!GL75+'Non Tanaman'!GN75+'Non Tanaman'!GP75</f>
        <v>0</v>
      </c>
      <c r="BM19" s="274">
        <f>'Non Tanaman'!GM75+'Non Tanaman'!GO75+'Non Tanaman'!GQ75</f>
        <v>0</v>
      </c>
      <c r="BN19" s="274">
        <f>'Non Tanaman'!GV75+'Non Tanaman'!GT75+'Non Tanaman'!GR75</f>
        <v>0</v>
      </c>
      <c r="BO19" s="274">
        <f>'Non Tanaman'!GW75+'Non Tanaman'!GU75+'Non Tanaman'!GS75</f>
        <v>0</v>
      </c>
      <c r="BP19" s="274">
        <f>'Non Tanaman'!GX75+'Non Tanaman'!GZ75+'Non Tanaman'!HB75</f>
        <v>0</v>
      </c>
      <c r="BQ19" s="274">
        <f>'Non Tanaman'!GY75+'Non Tanaman'!HA75+'Non Tanaman'!HC75</f>
        <v>0</v>
      </c>
      <c r="BR19" s="276">
        <f t="shared" si="10"/>
        <v>0</v>
      </c>
      <c r="BS19" s="276">
        <f t="shared" si="10"/>
        <v>0</v>
      </c>
      <c r="BU19" s="3">
        <f t="shared" si="11"/>
        <v>0</v>
      </c>
      <c r="BV19" s="244">
        <f>'Non Tanaman'!HF75</f>
        <v>0</v>
      </c>
      <c r="BW19" s="244">
        <f>'RKP 08'!BO81</f>
        <v>0</v>
      </c>
      <c r="BY19" s="145">
        <f t="shared" si="12"/>
        <v>0</v>
      </c>
    </row>
    <row r="20" spans="1:77" hidden="1" x14ac:dyDescent="0.2">
      <c r="A20" s="274"/>
      <c r="B20" s="276">
        <f>SUM('[23]Non Tanaman'!AE$76:AE$84)</f>
        <v>1</v>
      </c>
      <c r="C20" s="276">
        <f>SUM('[23]Non Tanaman'!AF$76:AF$84)</f>
        <v>360000000</v>
      </c>
      <c r="D20" s="276">
        <f>SUM('[23]Non Tanaman'!AK$76:AK$84)</f>
        <v>0</v>
      </c>
      <c r="E20" s="276">
        <f>SUM('[23]Non Tanaman'!AL$76:AL$84)</f>
        <v>0</v>
      </c>
      <c r="F20" s="276">
        <f>SUM('[23]Non Tanaman'!AQ$76:AQ$84)</f>
        <v>0</v>
      </c>
      <c r="G20" s="276">
        <f>SUM('[23]Non Tanaman'!AR$76:AR$84)</f>
        <v>0</v>
      </c>
      <c r="H20" s="276"/>
      <c r="I20" s="276"/>
      <c r="J20" s="276">
        <f t="shared" si="0"/>
        <v>1</v>
      </c>
      <c r="K20" s="276">
        <f t="shared" si="0"/>
        <v>360000000</v>
      </c>
      <c r="L20" s="276"/>
      <c r="M20" s="276"/>
      <c r="N20" s="276"/>
      <c r="O20" s="276"/>
      <c r="P20" s="276"/>
      <c r="Q20" s="276"/>
      <c r="R20" s="276"/>
      <c r="S20" s="276"/>
      <c r="T20" s="276">
        <f t="shared" si="1"/>
        <v>0</v>
      </c>
      <c r="U20" s="276">
        <f t="shared" si="2"/>
        <v>0</v>
      </c>
      <c r="V20" s="276"/>
      <c r="W20" s="276"/>
      <c r="X20" s="276"/>
      <c r="Y20" s="276"/>
      <c r="Z20" s="276"/>
      <c r="AA20" s="276"/>
      <c r="AB20" s="276"/>
      <c r="AC20" s="276"/>
      <c r="AD20" s="276">
        <f t="shared" si="3"/>
        <v>0</v>
      </c>
      <c r="AE20" s="276">
        <f t="shared" si="4"/>
        <v>0</v>
      </c>
      <c r="AF20" s="274"/>
      <c r="AG20" s="274"/>
      <c r="AH20" s="274"/>
      <c r="AI20" s="274"/>
      <c r="AJ20" s="274"/>
      <c r="AK20" s="274"/>
      <c r="AL20" s="274"/>
      <c r="AM20" s="274"/>
      <c r="AN20" s="276">
        <f t="shared" si="5"/>
        <v>0</v>
      </c>
      <c r="AO20" s="276">
        <f t="shared" si="5"/>
        <v>0</v>
      </c>
      <c r="AP20" s="305"/>
      <c r="AQ20" s="305"/>
      <c r="AR20" s="305"/>
      <c r="AS20" s="305"/>
      <c r="AT20" s="305"/>
      <c r="AU20" s="305"/>
      <c r="AV20" s="305"/>
      <c r="AW20" s="305"/>
      <c r="AX20" s="276">
        <f t="shared" si="6"/>
        <v>0</v>
      </c>
      <c r="AY20" s="276">
        <f t="shared" si="7"/>
        <v>0</v>
      </c>
      <c r="AZ20" s="274"/>
      <c r="BA20" s="274"/>
      <c r="BB20" s="274"/>
      <c r="BC20" s="274"/>
      <c r="BD20" s="274"/>
      <c r="BE20" s="274"/>
      <c r="BF20" s="274"/>
      <c r="BG20" s="274"/>
      <c r="BH20" s="276">
        <f t="shared" si="8"/>
        <v>0</v>
      </c>
      <c r="BI20" s="276">
        <f t="shared" si="9"/>
        <v>0</v>
      </c>
      <c r="BJ20" s="274"/>
      <c r="BK20" s="274"/>
      <c r="BL20" s="274"/>
      <c r="BM20" s="274"/>
      <c r="BN20" s="274"/>
      <c r="BO20" s="274"/>
      <c r="BP20" s="274"/>
      <c r="BQ20" s="274"/>
      <c r="BR20" s="276">
        <f t="shared" si="10"/>
        <v>0</v>
      </c>
      <c r="BS20" s="276">
        <f t="shared" si="10"/>
        <v>0</v>
      </c>
      <c r="BU20" s="3">
        <f t="shared" si="11"/>
        <v>360000000</v>
      </c>
      <c r="BV20" s="244"/>
      <c r="BW20" s="244">
        <f>'RKP 08'!BE91</f>
        <v>0</v>
      </c>
      <c r="BY20" s="145">
        <f t="shared" si="12"/>
        <v>0</v>
      </c>
    </row>
    <row r="21" spans="1:77" hidden="1" x14ac:dyDescent="0.2">
      <c r="A21" s="274"/>
      <c r="B21" s="276">
        <f>SUM('[23]Non Tanaman'!AG$76:AG$84)</f>
        <v>0</v>
      </c>
      <c r="C21" s="276">
        <f>SUM('[23]Non Tanaman'!AH$76:AH$84)</f>
        <v>0</v>
      </c>
      <c r="D21" s="276">
        <f>SUM('[23]Non Tanaman'!AM$76:AM$84)</f>
        <v>0</v>
      </c>
      <c r="E21" s="276">
        <f>SUM('[23]Non Tanaman'!AN$76:AN$84)</f>
        <v>0</v>
      </c>
      <c r="F21" s="276">
        <f>SUM('[23]Non Tanaman'!AS$76:AS$84)</f>
        <v>0</v>
      </c>
      <c r="G21" s="276">
        <f>SUM('[23]Non Tanaman'!AT$76:AT$84)</f>
        <v>0</v>
      </c>
      <c r="H21" s="276"/>
      <c r="I21" s="276"/>
      <c r="J21" s="276">
        <f t="shared" si="0"/>
        <v>0</v>
      </c>
      <c r="K21" s="276">
        <f t="shared" si="0"/>
        <v>0</v>
      </c>
      <c r="L21" s="276"/>
      <c r="M21" s="276"/>
      <c r="N21" s="276"/>
      <c r="O21" s="276"/>
      <c r="P21" s="276"/>
      <c r="Q21" s="276"/>
      <c r="R21" s="276"/>
      <c r="S21" s="276"/>
      <c r="T21" s="276">
        <f t="shared" si="1"/>
        <v>0</v>
      </c>
      <c r="U21" s="276">
        <f t="shared" si="2"/>
        <v>0</v>
      </c>
      <c r="V21" s="276"/>
      <c r="W21" s="276"/>
      <c r="X21" s="276"/>
      <c r="Y21" s="276"/>
      <c r="Z21" s="276"/>
      <c r="AA21" s="276"/>
      <c r="AB21" s="276"/>
      <c r="AC21" s="276"/>
      <c r="AD21" s="276">
        <f t="shared" si="3"/>
        <v>0</v>
      </c>
      <c r="AE21" s="276">
        <f t="shared" si="4"/>
        <v>0</v>
      </c>
      <c r="AF21" s="274"/>
      <c r="AG21" s="274"/>
      <c r="AH21" s="274"/>
      <c r="AI21" s="274"/>
      <c r="AJ21" s="274"/>
      <c r="AK21" s="274"/>
      <c r="AL21" s="274"/>
      <c r="AM21" s="274"/>
      <c r="AN21" s="276">
        <f t="shared" si="5"/>
        <v>0</v>
      </c>
      <c r="AO21" s="276">
        <f t="shared" si="5"/>
        <v>0</v>
      </c>
      <c r="AP21" s="305"/>
      <c r="AQ21" s="305"/>
      <c r="AR21" s="305"/>
      <c r="AS21" s="305"/>
      <c r="AT21" s="305"/>
      <c r="AU21" s="305"/>
      <c r="AV21" s="305"/>
      <c r="AW21" s="305"/>
      <c r="AX21" s="276">
        <f t="shared" si="6"/>
        <v>0</v>
      </c>
      <c r="AY21" s="276">
        <f t="shared" si="7"/>
        <v>0</v>
      </c>
      <c r="AZ21" s="274"/>
      <c r="BA21" s="274"/>
      <c r="BB21" s="274"/>
      <c r="BC21" s="274"/>
      <c r="BD21" s="274"/>
      <c r="BE21" s="274"/>
      <c r="BF21" s="274"/>
      <c r="BG21" s="274"/>
      <c r="BH21" s="276">
        <f t="shared" si="8"/>
        <v>0</v>
      </c>
      <c r="BI21" s="276">
        <f t="shared" si="9"/>
        <v>0</v>
      </c>
      <c r="BJ21" s="274"/>
      <c r="BK21" s="274"/>
      <c r="BL21" s="274"/>
      <c r="BM21" s="274"/>
      <c r="BN21" s="274"/>
      <c r="BO21" s="274"/>
      <c r="BP21" s="274"/>
      <c r="BQ21" s="274"/>
      <c r="BR21" s="276">
        <f t="shared" si="10"/>
        <v>0</v>
      </c>
      <c r="BS21" s="276">
        <f t="shared" si="10"/>
        <v>0</v>
      </c>
      <c r="BU21" s="3">
        <f t="shared" si="11"/>
        <v>0</v>
      </c>
      <c r="BV21" s="244"/>
      <c r="BW21" s="244">
        <f>'RKP 08'!BE92</f>
        <v>0</v>
      </c>
      <c r="BY21" s="145">
        <f t="shared" si="12"/>
        <v>0</v>
      </c>
    </row>
    <row r="22" spans="1:77" hidden="1" x14ac:dyDescent="0.2">
      <c r="A22" s="274"/>
      <c r="B22" s="276">
        <f>SUM('[23]Non Tanaman'!AI$76:AI$84)</f>
        <v>0</v>
      </c>
      <c r="C22" s="276">
        <f>SUM('[23]Non Tanaman'!AJ$76:AJ$84)</f>
        <v>0</v>
      </c>
      <c r="D22" s="276">
        <f>SUM('[23]Non Tanaman'!AO$76:AO$84)</f>
        <v>4</v>
      </c>
      <c r="E22" s="276">
        <f>SUM('[23]Non Tanaman'!AP$76:AP$84)</f>
        <v>660000000</v>
      </c>
      <c r="F22" s="276">
        <f>SUM('[23]Non Tanaman'!AU$76:AU$84)</f>
        <v>0</v>
      </c>
      <c r="G22" s="276">
        <f>SUM('[23]Non Tanaman'!AV$76:AV$84)</f>
        <v>0</v>
      </c>
      <c r="H22" s="276"/>
      <c r="I22" s="276"/>
      <c r="J22" s="276">
        <f t="shared" si="0"/>
        <v>4</v>
      </c>
      <c r="K22" s="276">
        <f t="shared" si="0"/>
        <v>660000000</v>
      </c>
      <c r="L22" s="276"/>
      <c r="M22" s="276"/>
      <c r="N22" s="276"/>
      <c r="O22" s="276"/>
      <c r="P22" s="276"/>
      <c r="Q22" s="276"/>
      <c r="R22" s="276"/>
      <c r="S22" s="276"/>
      <c r="T22" s="276">
        <f t="shared" si="1"/>
        <v>0</v>
      </c>
      <c r="U22" s="276">
        <f t="shared" si="2"/>
        <v>0</v>
      </c>
      <c r="V22" s="276"/>
      <c r="W22" s="276"/>
      <c r="X22" s="276"/>
      <c r="Y22" s="276"/>
      <c r="Z22" s="276"/>
      <c r="AA22" s="276"/>
      <c r="AB22" s="276"/>
      <c r="AC22" s="276"/>
      <c r="AD22" s="276">
        <f t="shared" si="3"/>
        <v>0</v>
      </c>
      <c r="AE22" s="276">
        <f t="shared" si="4"/>
        <v>0</v>
      </c>
      <c r="AF22" s="274"/>
      <c r="AG22" s="274"/>
      <c r="AH22" s="274"/>
      <c r="AI22" s="274"/>
      <c r="AJ22" s="274"/>
      <c r="AK22" s="274"/>
      <c r="AL22" s="274"/>
      <c r="AM22" s="274"/>
      <c r="AN22" s="276">
        <f t="shared" si="5"/>
        <v>0</v>
      </c>
      <c r="AO22" s="276">
        <f t="shared" si="5"/>
        <v>0</v>
      </c>
      <c r="AP22" s="305"/>
      <c r="AQ22" s="305"/>
      <c r="AR22" s="305"/>
      <c r="AS22" s="305"/>
      <c r="AT22" s="305"/>
      <c r="AU22" s="305"/>
      <c r="AV22" s="305"/>
      <c r="AW22" s="305"/>
      <c r="AX22" s="276">
        <f t="shared" si="6"/>
        <v>0</v>
      </c>
      <c r="AY22" s="276">
        <f t="shared" si="7"/>
        <v>0</v>
      </c>
      <c r="AZ22" s="274"/>
      <c r="BA22" s="274"/>
      <c r="BB22" s="274"/>
      <c r="BC22" s="274"/>
      <c r="BD22" s="274"/>
      <c r="BE22" s="274"/>
      <c r="BF22" s="274"/>
      <c r="BG22" s="274"/>
      <c r="BH22" s="276">
        <f t="shared" si="8"/>
        <v>0</v>
      </c>
      <c r="BI22" s="276">
        <f t="shared" si="9"/>
        <v>0</v>
      </c>
      <c r="BJ22" s="274"/>
      <c r="BK22" s="274"/>
      <c r="BL22" s="274"/>
      <c r="BM22" s="274"/>
      <c r="BN22" s="274"/>
      <c r="BO22" s="274"/>
      <c r="BP22" s="274"/>
      <c r="BQ22" s="274"/>
      <c r="BR22" s="276">
        <f t="shared" si="10"/>
        <v>0</v>
      </c>
      <c r="BS22" s="276">
        <f t="shared" si="10"/>
        <v>0</v>
      </c>
      <c r="BU22" s="3">
        <f t="shared" si="11"/>
        <v>660000000</v>
      </c>
      <c r="BV22" s="244"/>
      <c r="BW22" s="244">
        <f>'RKP 08'!BE93</f>
        <v>350000000</v>
      </c>
      <c r="BY22" s="145">
        <f t="shared" si="12"/>
        <v>350000000</v>
      </c>
    </row>
    <row r="23" spans="1:77" x14ac:dyDescent="0.2">
      <c r="A23" s="274" t="s">
        <v>476</v>
      </c>
      <c r="B23" s="276">
        <f>'Non Tanaman'!AE85+'Non Tanaman'!AG85+'Non Tanaman'!AI85</f>
        <v>0</v>
      </c>
      <c r="C23" s="276">
        <f>'Non Tanaman'!AF85+'Non Tanaman'!AH85+'Non Tanaman'!AJ85</f>
        <v>0</v>
      </c>
      <c r="D23" s="276">
        <f>+'Non Tanaman'!AM85+'Non Tanaman'!AO85+'Non Tanaman'!AQ85+'Non Tanaman'!AS85</f>
        <v>0</v>
      </c>
      <c r="E23" s="276">
        <f>+'Non Tanaman'!AN85+'Non Tanaman'!AP85+'Non Tanaman'!AR85+'Non Tanaman'!AT85</f>
        <v>0</v>
      </c>
      <c r="F23" s="276">
        <f>'Non Tanaman'!AU85+'Non Tanaman'!AW85+'Non Tanaman'!AY85+'Non Tanaman'!BA85</f>
        <v>0</v>
      </c>
      <c r="G23" s="276">
        <f>'Non Tanaman'!AV85+'Non Tanaman'!AX85+'Non Tanaman'!AZ85+'Non Tanaman'!BB85</f>
        <v>0</v>
      </c>
      <c r="H23" s="276"/>
      <c r="I23" s="276"/>
      <c r="J23" s="276">
        <f t="shared" si="0"/>
        <v>0</v>
      </c>
      <c r="K23" s="276">
        <f t="shared" si="0"/>
        <v>0</v>
      </c>
      <c r="L23" s="276">
        <f>'Non Tanaman'!BE85+'Non Tanaman'!BG85+'Non Tanaman'!BI85+'Non Tanaman'!BK85</f>
        <v>0</v>
      </c>
      <c r="M23" s="276">
        <f>'Non Tanaman'!BF85+'Non Tanaman'!BH85+'Non Tanaman'!BJ85+'Non Tanaman'!BL85</f>
        <v>0</v>
      </c>
      <c r="N23" s="276">
        <f>+'Non Tanaman'!BM85+'Non Tanaman'!BO85+'Non Tanaman'!BQ85+'Non Tanaman'!BS85</f>
        <v>0</v>
      </c>
      <c r="O23" s="276">
        <f>+'Non Tanaman'!BN85+'Non Tanaman'!BP85+'Non Tanaman'!BR85+'Non Tanaman'!BT85</f>
        <v>0</v>
      </c>
      <c r="P23" s="276">
        <f>'Non Tanaman'!BU85+'Non Tanaman'!BW85+'Non Tanaman'!BY85+'Non Tanaman'!CA85</f>
        <v>0</v>
      </c>
      <c r="Q23" s="276">
        <f>'Non Tanaman'!BV85+'Non Tanaman'!BX85+'Non Tanaman'!BZ85+'Non Tanaman'!CB85</f>
        <v>0</v>
      </c>
      <c r="R23" s="276"/>
      <c r="S23" s="276"/>
      <c r="T23" s="276">
        <f t="shared" si="1"/>
        <v>0</v>
      </c>
      <c r="U23" s="276">
        <f t="shared" si="2"/>
        <v>0</v>
      </c>
      <c r="V23" s="276">
        <f>'Non Tanaman'!CE85+'Non Tanaman'!CG85+'Non Tanaman'!CI85+'Non Tanaman'!CK85</f>
        <v>0</v>
      </c>
      <c r="W23" s="276">
        <f>'Non Tanaman'!CF85+'Non Tanaman'!CH85+'Non Tanaman'!CJ85+'Non Tanaman'!CL85</f>
        <v>0</v>
      </c>
      <c r="X23" s="276">
        <f>+'Non Tanaman'!CM85+'Non Tanaman'!CO85+'Non Tanaman'!CQ85+'Non Tanaman'!CS85</f>
        <v>0</v>
      </c>
      <c r="Y23" s="276">
        <f>+'Non Tanaman'!CN85+'Non Tanaman'!CP85+'Non Tanaman'!CR85+'Non Tanaman'!CT85</f>
        <v>0</v>
      </c>
      <c r="Z23" s="276">
        <f>'Non Tanaman'!CU85+'Non Tanaman'!CW85+'Non Tanaman'!CY85+'Non Tanaman'!DA85</f>
        <v>0</v>
      </c>
      <c r="AA23" s="276">
        <f>'Non Tanaman'!CV85+'Non Tanaman'!CX85+'Non Tanaman'!CZ85+'Non Tanaman'!DB85</f>
        <v>0</v>
      </c>
      <c r="AB23" s="276"/>
      <c r="AC23" s="276"/>
      <c r="AD23" s="276">
        <f t="shared" si="3"/>
        <v>0</v>
      </c>
      <c r="AE23" s="276">
        <f t="shared" si="4"/>
        <v>0</v>
      </c>
      <c r="AF23" s="305">
        <f>'Non Tanaman'!DE85+'Non Tanaman'!DG85+'Non Tanaman'!DI85+'Non Tanaman'!DK85</f>
        <v>0</v>
      </c>
      <c r="AG23" s="305">
        <f>'Non Tanaman'!DF85+'Non Tanaman'!DH85+'Non Tanaman'!DJ85+'Non Tanaman'!DL85</f>
        <v>0</v>
      </c>
      <c r="AH23" s="305">
        <f>'Non Tanaman'!DM85+'Non Tanaman'!DO85+'Non Tanaman'!DQ85+'Non Tanaman'!DS85</f>
        <v>0</v>
      </c>
      <c r="AI23" s="305">
        <f>'Non Tanaman'!DN85+'Non Tanaman'!DP85+'Non Tanaman'!DR85+'Non Tanaman'!DT85</f>
        <v>0</v>
      </c>
      <c r="AJ23" s="305">
        <f>'Non Tanaman'!DU85+'Non Tanaman'!DW85+'Non Tanaman'!DY85+'Non Tanaman'!EA85</f>
        <v>0</v>
      </c>
      <c r="AK23" s="305">
        <f>'Non Tanaman'!DV85+'Non Tanaman'!DX85+'Non Tanaman'!DZ85+'Non Tanaman'!EB85</f>
        <v>0</v>
      </c>
      <c r="AL23" s="305"/>
      <c r="AM23" s="305"/>
      <c r="AN23" s="276">
        <f t="shared" si="5"/>
        <v>0</v>
      </c>
      <c r="AO23" s="276">
        <f t="shared" si="5"/>
        <v>0</v>
      </c>
      <c r="AP23" s="305">
        <f>'Non Tanaman'!EE85+'Non Tanaman'!EG85+'Non Tanaman'!EI85</f>
        <v>0</v>
      </c>
      <c r="AQ23" s="305">
        <f>'Non Tanaman'!EF85+'Non Tanaman'!EH85+'Non Tanaman'!EJ85</f>
        <v>0</v>
      </c>
      <c r="AR23" s="305">
        <f>'Non Tanaman'!EK85+'Non Tanaman'!EM85+'Non Tanaman'!EO85</f>
        <v>0</v>
      </c>
      <c r="AS23" s="305">
        <f>'Non Tanaman'!EL85+'Non Tanaman'!EN85+'Non Tanaman'!EP85</f>
        <v>0</v>
      </c>
      <c r="AT23" s="305">
        <f>'Non Tanaman'!EQ85+'Non Tanaman'!ES85+'Non Tanaman'!EU85</f>
        <v>0</v>
      </c>
      <c r="AU23" s="305">
        <f>'Non Tanaman'!ER85+'Non Tanaman'!ET85+'Non Tanaman'!EV85</f>
        <v>0</v>
      </c>
      <c r="AV23" s="305">
        <f>'Non Tanaman'!EW85+'Non Tanaman'!EY85+'Non Tanaman'!FA85</f>
        <v>0</v>
      </c>
      <c r="AW23" s="305">
        <f>'Non Tanaman'!EX85+'Non Tanaman'!EZ85+'Non Tanaman'!FB85</f>
        <v>0</v>
      </c>
      <c r="AX23" s="276">
        <f t="shared" si="6"/>
        <v>0</v>
      </c>
      <c r="AY23" s="276">
        <f t="shared" si="7"/>
        <v>0</v>
      </c>
      <c r="AZ23" s="274">
        <f>'Non Tanaman'!FE85+'Non Tanaman'!FG85+'Non Tanaman'!FI85</f>
        <v>0</v>
      </c>
      <c r="BA23" s="274">
        <f>'Non Tanaman'!FF85+'Non Tanaman'!FH85+'Non Tanaman'!FJ85</f>
        <v>0</v>
      </c>
      <c r="BB23" s="274">
        <f>'Non Tanaman'!FK85+'Non Tanaman'!FM85+'Non Tanaman'!FO85</f>
        <v>0</v>
      </c>
      <c r="BC23" s="274">
        <f>'Non Tanaman'!FL85+'Non Tanaman'!FN85+'Non Tanaman'!FP85</f>
        <v>0</v>
      </c>
      <c r="BD23" s="274">
        <f>'Non Tanaman'!FQ85+'Non Tanaman'!FS85+'Non Tanaman'!FU85</f>
        <v>0</v>
      </c>
      <c r="BE23" s="274">
        <f>'Non Tanaman'!FR85+'Non Tanaman'!FT85+'Non Tanaman'!FV85</f>
        <v>0</v>
      </c>
      <c r="BF23" s="274">
        <f>'Non Tanaman'!FW85+'Non Tanaman'!FY85+'Non Tanaman'!GA85</f>
        <v>0</v>
      </c>
      <c r="BG23" s="274">
        <f>'Non Tanaman'!FX85+'Non Tanaman'!FZ85+'Non Tanaman'!GB85</f>
        <v>0</v>
      </c>
      <c r="BH23" s="276">
        <f t="shared" si="8"/>
        <v>0</v>
      </c>
      <c r="BI23" s="276">
        <f t="shared" si="9"/>
        <v>0</v>
      </c>
      <c r="BJ23" s="274">
        <f>'Non Tanaman'!GF85+'Non Tanaman'!GH85+'Non Tanaman'!GJ85</f>
        <v>0</v>
      </c>
      <c r="BK23" s="274">
        <f>'Non Tanaman'!GG85+'Non Tanaman'!GI85+'Non Tanaman'!GK85</f>
        <v>0</v>
      </c>
      <c r="BL23" s="274">
        <f>'Non Tanaman'!GL85+'Non Tanaman'!GN85+'Non Tanaman'!GP85</f>
        <v>0</v>
      </c>
      <c r="BM23" s="274">
        <f>'Non Tanaman'!GM85+'Non Tanaman'!GO85+'Non Tanaman'!GQ85</f>
        <v>0</v>
      </c>
      <c r="BN23" s="274">
        <f>'Non Tanaman'!GV85+'Non Tanaman'!GT85+'Non Tanaman'!GR85</f>
        <v>0</v>
      </c>
      <c r="BO23" s="274">
        <f>'Non Tanaman'!GW85+'Non Tanaman'!GU85+'Non Tanaman'!GS85</f>
        <v>0</v>
      </c>
      <c r="BP23" s="274">
        <f>'Non Tanaman'!GX85+'Non Tanaman'!GZ85+'Non Tanaman'!HB85</f>
        <v>0</v>
      </c>
      <c r="BQ23" s="274">
        <f>'Non Tanaman'!GY85+'Non Tanaman'!HA85+'Non Tanaman'!HC85</f>
        <v>0</v>
      </c>
      <c r="BR23" s="276">
        <f t="shared" si="10"/>
        <v>0</v>
      </c>
      <c r="BS23" s="276">
        <f t="shared" si="10"/>
        <v>0</v>
      </c>
      <c r="BU23" s="3">
        <f t="shared" si="11"/>
        <v>0</v>
      </c>
      <c r="BV23" s="244">
        <f>'Non Tanaman'!HF85</f>
        <v>0</v>
      </c>
      <c r="BW23" s="435">
        <f>'RKP 08'!BO82</f>
        <v>0</v>
      </c>
      <c r="BY23" s="145">
        <f t="shared" si="12"/>
        <v>0</v>
      </c>
    </row>
    <row r="24" spans="1:77" hidden="1" x14ac:dyDescent="0.2">
      <c r="A24" s="274"/>
      <c r="B24" s="276">
        <f>SUM('[23]Non Tanaman'!AE$87:AE$91)</f>
        <v>5</v>
      </c>
      <c r="C24" s="276">
        <f>SUM('[23]Non Tanaman'!AF$87:AF$91)</f>
        <v>4200000</v>
      </c>
      <c r="D24" s="276">
        <f>SUM('[23]Non Tanaman'!AK$87:AK$91)</f>
        <v>0</v>
      </c>
      <c r="E24" s="276">
        <f>SUM('[23]Non Tanaman'!AL$87:AL$91)</f>
        <v>0</v>
      </c>
      <c r="F24" s="276">
        <f>SUM('[23]Non Tanaman'!AQ$87:AQ$91)</f>
        <v>0</v>
      </c>
      <c r="G24" s="276">
        <f>SUM('[23]Non Tanaman'!AR$87:AR$91)</f>
        <v>0</v>
      </c>
      <c r="H24" s="276"/>
      <c r="I24" s="276"/>
      <c r="J24" s="276">
        <f t="shared" si="0"/>
        <v>5</v>
      </c>
      <c r="K24" s="276">
        <f t="shared" si="0"/>
        <v>4200000</v>
      </c>
      <c r="L24" s="276"/>
      <c r="M24" s="276"/>
      <c r="N24" s="276"/>
      <c r="O24" s="276"/>
      <c r="P24" s="276"/>
      <c r="Q24" s="276"/>
      <c r="R24" s="276"/>
      <c r="S24" s="276"/>
      <c r="T24" s="276">
        <f t="shared" si="1"/>
        <v>0</v>
      </c>
      <c r="U24" s="276">
        <f t="shared" si="2"/>
        <v>0</v>
      </c>
      <c r="V24" s="276"/>
      <c r="W24" s="276"/>
      <c r="X24" s="276"/>
      <c r="Y24" s="276"/>
      <c r="Z24" s="276"/>
      <c r="AA24" s="276"/>
      <c r="AB24" s="276"/>
      <c r="AC24" s="276"/>
      <c r="AD24" s="276">
        <f t="shared" si="3"/>
        <v>0</v>
      </c>
      <c r="AE24" s="276">
        <f t="shared" si="4"/>
        <v>0</v>
      </c>
      <c r="AF24" s="274"/>
      <c r="AG24" s="274"/>
      <c r="AH24" s="274"/>
      <c r="AI24" s="274"/>
      <c r="AJ24" s="274"/>
      <c r="AK24" s="274"/>
      <c r="AL24" s="274"/>
      <c r="AM24" s="274"/>
      <c r="AN24" s="276">
        <f t="shared" si="5"/>
        <v>0</v>
      </c>
      <c r="AO24" s="276">
        <f t="shared" si="5"/>
        <v>0</v>
      </c>
      <c r="AP24" s="305"/>
      <c r="AQ24" s="305"/>
      <c r="AR24" s="305"/>
      <c r="AS24" s="305"/>
      <c r="AT24" s="305"/>
      <c r="AU24" s="305"/>
      <c r="AV24" s="305"/>
      <c r="AW24" s="305"/>
      <c r="AX24" s="276">
        <f t="shared" si="6"/>
        <v>0</v>
      </c>
      <c r="AY24" s="276">
        <f t="shared" si="7"/>
        <v>0</v>
      </c>
      <c r="AZ24" s="274"/>
      <c r="BA24" s="274"/>
      <c r="BB24" s="274"/>
      <c r="BC24" s="274"/>
      <c r="BD24" s="274"/>
      <c r="BE24" s="274"/>
      <c r="BF24" s="274"/>
      <c r="BG24" s="274"/>
      <c r="BH24" s="276">
        <f t="shared" si="8"/>
        <v>0</v>
      </c>
      <c r="BI24" s="276">
        <f t="shared" si="9"/>
        <v>0</v>
      </c>
      <c r="BJ24" s="274"/>
      <c r="BK24" s="274"/>
      <c r="BL24" s="274"/>
      <c r="BM24" s="274"/>
      <c r="BN24" s="274"/>
      <c r="BO24" s="274"/>
      <c r="BP24" s="274"/>
      <c r="BQ24" s="274"/>
      <c r="BR24" s="276">
        <f t="shared" si="10"/>
        <v>0</v>
      </c>
      <c r="BS24" s="276">
        <f t="shared" si="10"/>
        <v>0</v>
      </c>
      <c r="BU24" s="3">
        <f t="shared" si="11"/>
        <v>4200000</v>
      </c>
      <c r="BV24" s="244"/>
      <c r="BW24" s="244">
        <f>'RKP 08'!BE95</f>
        <v>39758547985.232391</v>
      </c>
      <c r="BY24" s="145">
        <f t="shared" si="12"/>
        <v>39758547985.232391</v>
      </c>
    </row>
    <row r="25" spans="1:77" hidden="1" x14ac:dyDescent="0.2">
      <c r="A25" s="274"/>
      <c r="B25" s="276">
        <f>SUM('[23]Non Tanaman'!AG$87:AG$91)</f>
        <v>0</v>
      </c>
      <c r="C25" s="276">
        <f>SUM('[23]Non Tanaman'!AH$87:AH$91)</f>
        <v>0</v>
      </c>
      <c r="D25" s="276">
        <f>SUM('[23]Non Tanaman'!AM$87:AM$91)</f>
        <v>11</v>
      </c>
      <c r="E25" s="276">
        <f>SUM('[23]Non Tanaman'!AN$87:AN$91)</f>
        <v>66600000</v>
      </c>
      <c r="F25" s="276">
        <f>SUM('[23]Non Tanaman'!AS$87:AS$91)</f>
        <v>0</v>
      </c>
      <c r="G25" s="276">
        <f>SUM('[23]Non Tanaman'!AT$87:AT$91)</f>
        <v>0</v>
      </c>
      <c r="H25" s="276"/>
      <c r="I25" s="276"/>
      <c r="J25" s="276">
        <f t="shared" si="0"/>
        <v>11</v>
      </c>
      <c r="K25" s="276">
        <f t="shared" si="0"/>
        <v>66600000</v>
      </c>
      <c r="L25" s="276"/>
      <c r="M25" s="276"/>
      <c r="N25" s="276"/>
      <c r="O25" s="276"/>
      <c r="P25" s="276"/>
      <c r="Q25" s="276"/>
      <c r="R25" s="276"/>
      <c r="S25" s="276"/>
      <c r="T25" s="276">
        <f t="shared" si="1"/>
        <v>0</v>
      </c>
      <c r="U25" s="276">
        <f t="shared" si="2"/>
        <v>0</v>
      </c>
      <c r="V25" s="276"/>
      <c r="W25" s="276"/>
      <c r="X25" s="276"/>
      <c r="Y25" s="276"/>
      <c r="Z25" s="276"/>
      <c r="AA25" s="276"/>
      <c r="AB25" s="276"/>
      <c r="AC25" s="276"/>
      <c r="AD25" s="276">
        <f t="shared" si="3"/>
        <v>0</v>
      </c>
      <c r="AE25" s="276">
        <f t="shared" si="4"/>
        <v>0</v>
      </c>
      <c r="AF25" s="274"/>
      <c r="AG25" s="274"/>
      <c r="AH25" s="274"/>
      <c r="AI25" s="274"/>
      <c r="AJ25" s="274"/>
      <c r="AK25" s="274"/>
      <c r="AL25" s="274"/>
      <c r="AM25" s="274"/>
      <c r="AN25" s="276">
        <f t="shared" si="5"/>
        <v>0</v>
      </c>
      <c r="AO25" s="276">
        <f t="shared" si="5"/>
        <v>0</v>
      </c>
      <c r="AP25" s="305"/>
      <c r="AQ25" s="305"/>
      <c r="AR25" s="305"/>
      <c r="AS25" s="305"/>
      <c r="AT25" s="305"/>
      <c r="AU25" s="305"/>
      <c r="AV25" s="305"/>
      <c r="AW25" s="305"/>
      <c r="AX25" s="276">
        <f t="shared" si="6"/>
        <v>0</v>
      </c>
      <c r="AY25" s="276">
        <f t="shared" si="7"/>
        <v>0</v>
      </c>
      <c r="AZ25" s="274"/>
      <c r="BA25" s="274"/>
      <c r="BB25" s="274"/>
      <c r="BC25" s="274"/>
      <c r="BD25" s="274"/>
      <c r="BE25" s="274"/>
      <c r="BF25" s="274"/>
      <c r="BG25" s="274"/>
      <c r="BH25" s="276">
        <f t="shared" si="8"/>
        <v>0</v>
      </c>
      <c r="BI25" s="276">
        <f t="shared" si="9"/>
        <v>0</v>
      </c>
      <c r="BJ25" s="274"/>
      <c r="BK25" s="274"/>
      <c r="BL25" s="274"/>
      <c r="BM25" s="274"/>
      <c r="BN25" s="274"/>
      <c r="BO25" s="274"/>
      <c r="BP25" s="274"/>
      <c r="BQ25" s="274"/>
      <c r="BR25" s="276">
        <f t="shared" si="10"/>
        <v>0</v>
      </c>
      <c r="BS25" s="276">
        <f t="shared" si="10"/>
        <v>0</v>
      </c>
      <c r="BU25" s="3">
        <f t="shared" si="11"/>
        <v>66600000</v>
      </c>
      <c r="BV25" s="244"/>
      <c r="BW25" s="244">
        <f>'RKP 08'!BE96</f>
        <v>0</v>
      </c>
      <c r="BY25" s="145">
        <f t="shared" si="12"/>
        <v>0</v>
      </c>
    </row>
    <row r="26" spans="1:77" hidden="1" x14ac:dyDescent="0.2">
      <c r="A26" s="274"/>
      <c r="B26" s="276">
        <f>SUM('[23]Non Tanaman'!AI$87:AI$91)</f>
        <v>0</v>
      </c>
      <c r="C26" s="276">
        <f>SUM('[23]Non Tanaman'!AJ$87:AJ$91)</f>
        <v>0</v>
      </c>
      <c r="D26" s="276">
        <f>SUM('[23]Non Tanaman'!AO$87:AO$91)</f>
        <v>0</v>
      </c>
      <c r="E26" s="276">
        <f>SUM('[23]Non Tanaman'!AP$87:AP$91)</f>
        <v>0</v>
      </c>
      <c r="F26" s="276">
        <f>SUM('[23]Non Tanaman'!AU$87:AU$91)</f>
        <v>10</v>
      </c>
      <c r="G26" s="276">
        <f>SUM('[23]Non Tanaman'!AV$87:AV$91)</f>
        <v>54600000</v>
      </c>
      <c r="H26" s="276"/>
      <c r="I26" s="276"/>
      <c r="J26" s="276">
        <f t="shared" si="0"/>
        <v>10</v>
      </c>
      <c r="K26" s="276">
        <f t="shared" si="0"/>
        <v>54600000</v>
      </c>
      <c r="L26" s="276"/>
      <c r="M26" s="276"/>
      <c r="N26" s="276"/>
      <c r="O26" s="276"/>
      <c r="P26" s="276"/>
      <c r="Q26" s="276"/>
      <c r="R26" s="276"/>
      <c r="S26" s="276"/>
      <c r="T26" s="276">
        <f t="shared" si="1"/>
        <v>0</v>
      </c>
      <c r="U26" s="276">
        <f t="shared" si="2"/>
        <v>0</v>
      </c>
      <c r="V26" s="276"/>
      <c r="W26" s="276"/>
      <c r="X26" s="276"/>
      <c r="Y26" s="276"/>
      <c r="Z26" s="276"/>
      <c r="AA26" s="276"/>
      <c r="AB26" s="276"/>
      <c r="AC26" s="276"/>
      <c r="AD26" s="276">
        <f t="shared" si="3"/>
        <v>0</v>
      </c>
      <c r="AE26" s="276">
        <f t="shared" si="4"/>
        <v>0</v>
      </c>
      <c r="AF26" s="274"/>
      <c r="AG26" s="274"/>
      <c r="AH26" s="274"/>
      <c r="AI26" s="274"/>
      <c r="AJ26" s="274"/>
      <c r="AK26" s="274"/>
      <c r="AL26" s="274"/>
      <c r="AM26" s="274"/>
      <c r="AN26" s="276">
        <f t="shared" si="5"/>
        <v>0</v>
      </c>
      <c r="AO26" s="276">
        <f t="shared" si="5"/>
        <v>0</v>
      </c>
      <c r="AP26" s="305"/>
      <c r="AQ26" s="305"/>
      <c r="AR26" s="305"/>
      <c r="AS26" s="305"/>
      <c r="AT26" s="305"/>
      <c r="AU26" s="305"/>
      <c r="AV26" s="305"/>
      <c r="AW26" s="305"/>
      <c r="AX26" s="276">
        <f t="shared" si="6"/>
        <v>0</v>
      </c>
      <c r="AY26" s="276">
        <f t="shared" si="7"/>
        <v>0</v>
      </c>
      <c r="AZ26" s="274"/>
      <c r="BA26" s="274"/>
      <c r="BB26" s="274"/>
      <c r="BC26" s="274"/>
      <c r="BD26" s="274"/>
      <c r="BE26" s="274"/>
      <c r="BF26" s="274"/>
      <c r="BG26" s="274"/>
      <c r="BH26" s="276">
        <f t="shared" si="8"/>
        <v>0</v>
      </c>
      <c r="BI26" s="276">
        <f t="shared" si="9"/>
        <v>0</v>
      </c>
      <c r="BJ26" s="274"/>
      <c r="BK26" s="274"/>
      <c r="BL26" s="274"/>
      <c r="BM26" s="274"/>
      <c r="BN26" s="274"/>
      <c r="BO26" s="274"/>
      <c r="BP26" s="274"/>
      <c r="BQ26" s="274"/>
      <c r="BR26" s="276">
        <f t="shared" si="10"/>
        <v>0</v>
      </c>
      <c r="BS26" s="276">
        <f t="shared" si="10"/>
        <v>0</v>
      </c>
      <c r="BU26" s="3">
        <f t="shared" si="11"/>
        <v>54600000</v>
      </c>
      <c r="BV26" s="244"/>
      <c r="BW26" s="244">
        <f>'RKP 08'!BE97</f>
        <v>0</v>
      </c>
      <c r="BY26" s="145">
        <f t="shared" si="12"/>
        <v>0</v>
      </c>
    </row>
    <row r="27" spans="1:77" x14ac:dyDescent="0.2">
      <c r="A27" s="274" t="s">
        <v>477</v>
      </c>
      <c r="B27" s="276">
        <f>'Non Tanaman'!AE92+'Non Tanaman'!AG92+'Non Tanaman'!AI92+'Non Tanaman'!AK92</f>
        <v>0</v>
      </c>
      <c r="C27" s="276">
        <f>'Non Tanaman'!AF92+'Non Tanaman'!AH92+'Non Tanaman'!AJ92+'Non Tanaman'!AL92</f>
        <v>0</v>
      </c>
      <c r="D27" s="276">
        <f>+'Non Tanaman'!AM92+'Non Tanaman'!AO92+'Non Tanaman'!AQ92+'Non Tanaman'!AS92</f>
        <v>0</v>
      </c>
      <c r="E27" s="276">
        <f>+'Non Tanaman'!AN92+'Non Tanaman'!AP92+'Non Tanaman'!AR92+'Non Tanaman'!AT92</f>
        <v>0</v>
      </c>
      <c r="F27" s="276">
        <f>'Non Tanaman'!AU92+'Non Tanaman'!AW92+'Non Tanaman'!AY92+'Non Tanaman'!BA92</f>
        <v>0</v>
      </c>
      <c r="G27" s="276">
        <f>'Non Tanaman'!AV92+'Non Tanaman'!AX92+'Non Tanaman'!AZ92+'Non Tanaman'!BB92</f>
        <v>0</v>
      </c>
      <c r="H27" s="276"/>
      <c r="I27" s="276"/>
      <c r="J27" s="276">
        <f t="shared" si="0"/>
        <v>0</v>
      </c>
      <c r="K27" s="276">
        <f t="shared" si="0"/>
        <v>0</v>
      </c>
      <c r="L27" s="276">
        <f>'Non Tanaman'!BE92+'Non Tanaman'!BG92+'Non Tanaman'!BI92+'Non Tanaman'!BK92</f>
        <v>0</v>
      </c>
      <c r="M27" s="276">
        <f>'Non Tanaman'!BF92+'Non Tanaman'!BH92+'Non Tanaman'!BJ92+'Non Tanaman'!BL92</f>
        <v>0</v>
      </c>
      <c r="N27" s="276">
        <f>+'Non Tanaman'!BM92+'Non Tanaman'!BO92+'Non Tanaman'!BQ92+'Non Tanaman'!BS92</f>
        <v>0</v>
      </c>
      <c r="O27" s="276">
        <f>+'Non Tanaman'!BN92+'Non Tanaman'!BP92+'Non Tanaman'!BR92+'Non Tanaman'!BT92</f>
        <v>0</v>
      </c>
      <c r="P27" s="276">
        <f>'Non Tanaman'!BU92+'Non Tanaman'!BW92+'Non Tanaman'!BY92+'Non Tanaman'!CA92</f>
        <v>0</v>
      </c>
      <c r="Q27" s="276">
        <f>'Non Tanaman'!BV92+'Non Tanaman'!BX92+'Non Tanaman'!BZ92+'Non Tanaman'!CB92</f>
        <v>0</v>
      </c>
      <c r="R27" s="276"/>
      <c r="S27" s="276"/>
      <c r="T27" s="276">
        <f t="shared" si="1"/>
        <v>0</v>
      </c>
      <c r="U27" s="276">
        <f t="shared" si="2"/>
        <v>0</v>
      </c>
      <c r="V27" s="276">
        <f>'Non Tanaman'!CE92+'Non Tanaman'!CG92+'Non Tanaman'!CI92+'Non Tanaman'!CK92</f>
        <v>0</v>
      </c>
      <c r="W27" s="276">
        <f>'Non Tanaman'!CF92+'Non Tanaman'!CH92+'Non Tanaman'!CJ92+'Non Tanaman'!CL92</f>
        <v>0</v>
      </c>
      <c r="X27" s="276">
        <f>+'Non Tanaman'!CM92+'Non Tanaman'!CO92+'Non Tanaman'!CQ92+'Non Tanaman'!CS92</f>
        <v>0</v>
      </c>
      <c r="Y27" s="276">
        <f>+'Non Tanaman'!CN92+'Non Tanaman'!CP92+'Non Tanaman'!CR92+'Non Tanaman'!CT92</f>
        <v>0</v>
      </c>
      <c r="Z27" s="276">
        <f>'Non Tanaman'!CU92+'Non Tanaman'!CW92+'Non Tanaman'!CY92+'Non Tanaman'!DA92</f>
        <v>0</v>
      </c>
      <c r="AA27" s="276">
        <f>'Non Tanaman'!CV92+'Non Tanaman'!CX92+'Non Tanaman'!CZ92+'Non Tanaman'!DB92</f>
        <v>0</v>
      </c>
      <c r="AB27" s="276"/>
      <c r="AC27" s="276"/>
      <c r="AD27" s="276">
        <f t="shared" si="3"/>
        <v>0</v>
      </c>
      <c r="AE27" s="276">
        <f t="shared" si="4"/>
        <v>0</v>
      </c>
      <c r="AF27" s="305">
        <f>'Non Tanaman'!DE92+'Non Tanaman'!DG92+'Non Tanaman'!DI92+'Non Tanaman'!DK92</f>
        <v>0</v>
      </c>
      <c r="AG27" s="305">
        <f>'Non Tanaman'!DF92+'Non Tanaman'!DH92+'Non Tanaman'!DJ92+'Non Tanaman'!DL92</f>
        <v>0</v>
      </c>
      <c r="AH27" s="305">
        <f>'Non Tanaman'!DM92+'Non Tanaman'!DO92+'Non Tanaman'!DQ92+'Non Tanaman'!DS92</f>
        <v>0</v>
      </c>
      <c r="AI27" s="305">
        <f>'Non Tanaman'!DN92+'Non Tanaman'!DP92+'Non Tanaman'!DR92+'Non Tanaman'!DT92</f>
        <v>0</v>
      </c>
      <c r="AJ27" s="305">
        <f>'Non Tanaman'!DU92+'Non Tanaman'!DW92+'Non Tanaman'!DY92+'Non Tanaman'!EA92</f>
        <v>0</v>
      </c>
      <c r="AK27" s="305">
        <f>'Non Tanaman'!DV92+'Non Tanaman'!DX92+'Non Tanaman'!DZ92+'Non Tanaman'!EB92</f>
        <v>0</v>
      </c>
      <c r="AL27" s="305"/>
      <c r="AM27" s="305"/>
      <c r="AN27" s="276">
        <f t="shared" si="5"/>
        <v>0</v>
      </c>
      <c r="AO27" s="276">
        <f t="shared" si="5"/>
        <v>0</v>
      </c>
      <c r="AP27" s="305">
        <f>'Non Tanaman'!EE92+'Non Tanaman'!EG92+'Non Tanaman'!EI92</f>
        <v>0</v>
      </c>
      <c r="AQ27" s="305">
        <f>'Non Tanaman'!EF92+'Non Tanaman'!EH92+'Non Tanaman'!EJ92</f>
        <v>0</v>
      </c>
      <c r="AR27" s="305">
        <f>'Non Tanaman'!EK92+'Non Tanaman'!EM92+'Non Tanaman'!EO92</f>
        <v>0</v>
      </c>
      <c r="AS27" s="305">
        <f>'Non Tanaman'!EL92+'Non Tanaman'!EN92+'Non Tanaman'!EP92</f>
        <v>0</v>
      </c>
      <c r="AT27" s="305">
        <f>'Non Tanaman'!EQ92+'Non Tanaman'!ES92+'Non Tanaman'!EU92</f>
        <v>0</v>
      </c>
      <c r="AU27" s="305">
        <f>'Non Tanaman'!ER92+'Non Tanaman'!ET92+'Non Tanaman'!EV92</f>
        <v>0</v>
      </c>
      <c r="AV27" s="305">
        <f>'Non Tanaman'!EW92+'Non Tanaman'!EY92+'Non Tanaman'!FA92</f>
        <v>0</v>
      </c>
      <c r="AW27" s="305">
        <f>'Non Tanaman'!EX92+'Non Tanaman'!EZ92+'Non Tanaman'!FB92</f>
        <v>0</v>
      </c>
      <c r="AX27" s="276">
        <f t="shared" si="6"/>
        <v>0</v>
      </c>
      <c r="AY27" s="276">
        <f t="shared" si="7"/>
        <v>0</v>
      </c>
      <c r="AZ27" s="274">
        <f>'Non Tanaman'!FE92+'Non Tanaman'!FG92+'Non Tanaman'!FI92</f>
        <v>0</v>
      </c>
      <c r="BA27" s="274">
        <f>'Non Tanaman'!FF92+'Non Tanaman'!FH92+'Non Tanaman'!FJ92</f>
        <v>0</v>
      </c>
      <c r="BB27" s="274">
        <f>'Non Tanaman'!FK92+'Non Tanaman'!FM92+'Non Tanaman'!FO92</f>
        <v>0</v>
      </c>
      <c r="BC27" s="274">
        <f>'Non Tanaman'!FL92+'Non Tanaman'!FN92+'Non Tanaman'!FP92</f>
        <v>0</v>
      </c>
      <c r="BD27" s="274">
        <f>'Non Tanaman'!FQ92+'Non Tanaman'!FS92+'Non Tanaman'!FU92</f>
        <v>0</v>
      </c>
      <c r="BE27" s="274">
        <f>'Non Tanaman'!FR92+'Non Tanaman'!FT92+'Non Tanaman'!FV92</f>
        <v>0</v>
      </c>
      <c r="BF27" s="274">
        <f>'Non Tanaman'!FW92+'Non Tanaman'!FY92+'Non Tanaman'!GA92</f>
        <v>0</v>
      </c>
      <c r="BG27" s="274">
        <f>'Non Tanaman'!FX92+'Non Tanaman'!FZ92+'Non Tanaman'!GB92</f>
        <v>0</v>
      </c>
      <c r="BH27" s="276">
        <f t="shared" si="8"/>
        <v>0</v>
      </c>
      <c r="BI27" s="276">
        <f t="shared" si="9"/>
        <v>0</v>
      </c>
      <c r="BJ27" s="274">
        <f>'Non Tanaman'!GF92+'Non Tanaman'!GH92+'Non Tanaman'!GJ92</f>
        <v>0</v>
      </c>
      <c r="BK27" s="274">
        <f>'Non Tanaman'!GG92+'Non Tanaman'!GI92+'Non Tanaman'!GK92</f>
        <v>0</v>
      </c>
      <c r="BL27" s="274">
        <f>'Non Tanaman'!GL92+'Non Tanaman'!GN92+'Non Tanaman'!GP92</f>
        <v>0</v>
      </c>
      <c r="BM27" s="274">
        <f>'Non Tanaman'!GM92+'Non Tanaman'!GO92+'Non Tanaman'!GQ92</f>
        <v>0</v>
      </c>
      <c r="BN27" s="274">
        <f>'Non Tanaman'!GV92+'Non Tanaman'!GT92+'Non Tanaman'!GR92</f>
        <v>0</v>
      </c>
      <c r="BO27" s="274">
        <f>'Non Tanaman'!GW92+'Non Tanaman'!GU92+'Non Tanaman'!GS92</f>
        <v>0</v>
      </c>
      <c r="BP27" s="274">
        <f>'Non Tanaman'!GX92+'Non Tanaman'!GZ92+'Non Tanaman'!HB92</f>
        <v>0</v>
      </c>
      <c r="BQ27" s="274">
        <f>'Non Tanaman'!GY92+'Non Tanaman'!HA92+'Non Tanaman'!HC92</f>
        <v>0</v>
      </c>
      <c r="BR27" s="276">
        <f t="shared" si="10"/>
        <v>0</v>
      </c>
      <c r="BS27" s="276">
        <f t="shared" si="10"/>
        <v>0</v>
      </c>
      <c r="BU27" s="3">
        <f t="shared" si="11"/>
        <v>0</v>
      </c>
      <c r="BV27" s="244">
        <f>'Non Tanaman'!HF92</f>
        <v>0</v>
      </c>
      <c r="BW27" s="244">
        <f>'RKP 08'!BO83</f>
        <v>0</v>
      </c>
      <c r="BY27" s="145">
        <f t="shared" si="12"/>
        <v>0</v>
      </c>
    </row>
    <row r="28" spans="1:77" hidden="1" x14ac:dyDescent="0.2">
      <c r="A28" s="274"/>
      <c r="B28" s="276">
        <f>SUM('[23]Non Tanaman'!AE$93:AE$100)</f>
        <v>0</v>
      </c>
      <c r="C28" s="276">
        <f>SUM('[23]Non Tanaman'!AF$93:AF$100)</f>
        <v>0</v>
      </c>
      <c r="D28" s="276">
        <f>SUM('[23]Non Tanaman'!AK$93:AK$100)</f>
        <v>0</v>
      </c>
      <c r="E28" s="276">
        <f>SUM('[23]Non Tanaman'!AL$93:AL$100)</f>
        <v>0</v>
      </c>
      <c r="F28" s="276">
        <f>SUM('[23]Non Tanaman'!AQ$93:AQ$100)</f>
        <v>0</v>
      </c>
      <c r="G28" s="276">
        <f>SUM('[23]Non Tanaman'!AR$93:AR$100)</f>
        <v>0</v>
      </c>
      <c r="H28" s="276"/>
      <c r="I28" s="276"/>
      <c r="J28" s="276">
        <f t="shared" si="0"/>
        <v>0</v>
      </c>
      <c r="K28" s="276">
        <f t="shared" si="0"/>
        <v>0</v>
      </c>
      <c r="L28" s="276"/>
      <c r="M28" s="276"/>
      <c r="N28" s="276"/>
      <c r="O28" s="276"/>
      <c r="P28" s="276"/>
      <c r="Q28" s="276"/>
      <c r="R28" s="276"/>
      <c r="S28" s="276"/>
      <c r="T28" s="276">
        <f t="shared" si="1"/>
        <v>0</v>
      </c>
      <c r="U28" s="276">
        <f t="shared" si="2"/>
        <v>0</v>
      </c>
      <c r="V28" s="276"/>
      <c r="W28" s="276"/>
      <c r="X28" s="276"/>
      <c r="Y28" s="276"/>
      <c r="Z28" s="276"/>
      <c r="AA28" s="276"/>
      <c r="AB28" s="276"/>
      <c r="AC28" s="276"/>
      <c r="AD28" s="276">
        <f t="shared" si="3"/>
        <v>0</v>
      </c>
      <c r="AE28" s="276">
        <f t="shared" si="4"/>
        <v>0</v>
      </c>
      <c r="AF28" s="274"/>
      <c r="AG28" s="274"/>
      <c r="AH28" s="274"/>
      <c r="AI28" s="274"/>
      <c r="AJ28" s="274"/>
      <c r="AK28" s="274"/>
      <c r="AL28" s="274"/>
      <c r="AM28" s="274"/>
      <c r="AN28" s="276">
        <f t="shared" si="5"/>
        <v>0</v>
      </c>
      <c r="AO28" s="276">
        <f t="shared" si="5"/>
        <v>0</v>
      </c>
      <c r="AP28" s="305"/>
      <c r="AQ28" s="305"/>
      <c r="AR28" s="305"/>
      <c r="AS28" s="305"/>
      <c r="AT28" s="305"/>
      <c r="AU28" s="305"/>
      <c r="AV28" s="305"/>
      <c r="AW28" s="305"/>
      <c r="AX28" s="276">
        <f t="shared" si="6"/>
        <v>0</v>
      </c>
      <c r="AY28" s="276">
        <f t="shared" si="7"/>
        <v>0</v>
      </c>
      <c r="AZ28" s="274"/>
      <c r="BA28" s="274"/>
      <c r="BB28" s="274"/>
      <c r="BC28" s="274"/>
      <c r="BD28" s="274"/>
      <c r="BE28" s="274"/>
      <c r="BF28" s="274"/>
      <c r="BG28" s="274"/>
      <c r="BH28" s="276">
        <f t="shared" si="8"/>
        <v>0</v>
      </c>
      <c r="BI28" s="276">
        <f t="shared" si="9"/>
        <v>0</v>
      </c>
      <c r="BJ28" s="274"/>
      <c r="BK28" s="274"/>
      <c r="BL28" s="274"/>
      <c r="BM28" s="274"/>
      <c r="BN28" s="274"/>
      <c r="BO28" s="274"/>
      <c r="BP28" s="274"/>
      <c r="BQ28" s="274"/>
      <c r="BR28" s="276">
        <f t="shared" si="10"/>
        <v>0</v>
      </c>
      <c r="BS28" s="276">
        <f t="shared" si="10"/>
        <v>0</v>
      </c>
      <c r="BU28" s="3">
        <f t="shared" si="11"/>
        <v>0</v>
      </c>
      <c r="BV28" s="244"/>
      <c r="BW28" s="244">
        <f>'RKP 08'!BE99</f>
        <v>39758547985.232391</v>
      </c>
      <c r="BY28" s="145">
        <f t="shared" si="12"/>
        <v>39758547985.232391</v>
      </c>
    </row>
    <row r="29" spans="1:77" hidden="1" x14ac:dyDescent="0.2">
      <c r="A29" s="274"/>
      <c r="B29" s="276">
        <f>SUM('[23]Non Tanaman'!AG$93:AG$100)</f>
        <v>0</v>
      </c>
      <c r="C29" s="276">
        <f>SUM('[23]Non Tanaman'!AH$93:AH$100)</f>
        <v>0</v>
      </c>
      <c r="D29" s="276">
        <f>SUM('[23]Non Tanaman'!AM$93:AM$100)</f>
        <v>0</v>
      </c>
      <c r="E29" s="276">
        <f>SUM('[23]Non Tanaman'!AN$93:AN$100)</f>
        <v>0</v>
      </c>
      <c r="F29" s="276">
        <f>SUM('[23]Non Tanaman'!AS$93:AS$100)</f>
        <v>0</v>
      </c>
      <c r="G29" s="276">
        <f>SUM('[23]Non Tanaman'!AT$93:AT$100)</f>
        <v>0</v>
      </c>
      <c r="H29" s="276"/>
      <c r="I29" s="276"/>
      <c r="J29" s="276">
        <f t="shared" si="0"/>
        <v>0</v>
      </c>
      <c r="K29" s="276">
        <f t="shared" si="0"/>
        <v>0</v>
      </c>
      <c r="L29" s="276"/>
      <c r="M29" s="276"/>
      <c r="N29" s="276"/>
      <c r="O29" s="276"/>
      <c r="P29" s="276"/>
      <c r="Q29" s="276"/>
      <c r="R29" s="276"/>
      <c r="S29" s="276"/>
      <c r="T29" s="276">
        <f t="shared" si="1"/>
        <v>0</v>
      </c>
      <c r="U29" s="276">
        <f t="shared" si="2"/>
        <v>0</v>
      </c>
      <c r="V29" s="276"/>
      <c r="W29" s="276"/>
      <c r="X29" s="276"/>
      <c r="Y29" s="276"/>
      <c r="Z29" s="276"/>
      <c r="AA29" s="276"/>
      <c r="AB29" s="276"/>
      <c r="AC29" s="276"/>
      <c r="AD29" s="276">
        <f t="shared" si="3"/>
        <v>0</v>
      </c>
      <c r="AE29" s="276">
        <f t="shared" si="4"/>
        <v>0</v>
      </c>
      <c r="AF29" s="274"/>
      <c r="AG29" s="274"/>
      <c r="AH29" s="274"/>
      <c r="AI29" s="274"/>
      <c r="AJ29" s="274"/>
      <c r="AK29" s="274"/>
      <c r="AL29" s="274"/>
      <c r="AM29" s="274"/>
      <c r="AN29" s="276">
        <f t="shared" si="5"/>
        <v>0</v>
      </c>
      <c r="AO29" s="276">
        <f t="shared" si="5"/>
        <v>0</v>
      </c>
      <c r="AP29" s="305"/>
      <c r="AQ29" s="305"/>
      <c r="AR29" s="305"/>
      <c r="AS29" s="305"/>
      <c r="AT29" s="305"/>
      <c r="AU29" s="305"/>
      <c r="AV29" s="305"/>
      <c r="AW29" s="305"/>
      <c r="AX29" s="276">
        <f t="shared" si="6"/>
        <v>0</v>
      </c>
      <c r="AY29" s="276">
        <f t="shared" si="7"/>
        <v>0</v>
      </c>
      <c r="AZ29" s="274"/>
      <c r="BA29" s="274"/>
      <c r="BB29" s="274"/>
      <c r="BC29" s="274"/>
      <c r="BD29" s="274"/>
      <c r="BE29" s="274"/>
      <c r="BF29" s="274"/>
      <c r="BG29" s="274"/>
      <c r="BH29" s="276">
        <f t="shared" si="8"/>
        <v>0</v>
      </c>
      <c r="BI29" s="276">
        <f t="shared" si="9"/>
        <v>0</v>
      </c>
      <c r="BJ29" s="274"/>
      <c r="BK29" s="274"/>
      <c r="BL29" s="274"/>
      <c r="BM29" s="274"/>
      <c r="BN29" s="274"/>
      <c r="BO29" s="274"/>
      <c r="BP29" s="274"/>
      <c r="BQ29" s="274"/>
      <c r="BR29" s="276">
        <f t="shared" si="10"/>
        <v>0</v>
      </c>
      <c r="BS29" s="276">
        <f t="shared" si="10"/>
        <v>0</v>
      </c>
      <c r="BU29" s="3">
        <f t="shared" si="11"/>
        <v>0</v>
      </c>
      <c r="BV29" s="244"/>
      <c r="BW29" s="244">
        <f>'RKP 08'!BE100</f>
        <v>0</v>
      </c>
      <c r="BY29" s="145">
        <f t="shared" si="12"/>
        <v>0</v>
      </c>
    </row>
    <row r="30" spans="1:77" hidden="1" x14ac:dyDescent="0.2">
      <c r="A30" s="274"/>
      <c r="B30" s="276">
        <f>SUM('[23]Non Tanaman'!AI$93:AI$100)</f>
        <v>0</v>
      </c>
      <c r="C30" s="276">
        <f>SUM('[23]Non Tanaman'!AJ$93:AJ$100)</f>
        <v>0</v>
      </c>
      <c r="D30" s="276">
        <f>SUM('[23]Non Tanaman'!AO$93:AO$100)</f>
        <v>0</v>
      </c>
      <c r="E30" s="276">
        <f>SUM('[23]Non Tanaman'!AP$93:AP$100)</f>
        <v>0</v>
      </c>
      <c r="F30" s="276">
        <f>SUM('[23]Non Tanaman'!AU$93:AU$100)</f>
        <v>3</v>
      </c>
      <c r="G30" s="276">
        <f>SUM('[23]Non Tanaman'!AV$93:AV$100)</f>
        <v>18000000</v>
      </c>
      <c r="H30" s="276"/>
      <c r="I30" s="276"/>
      <c r="J30" s="276">
        <f t="shared" si="0"/>
        <v>3</v>
      </c>
      <c r="K30" s="276">
        <f t="shared" si="0"/>
        <v>18000000</v>
      </c>
      <c r="L30" s="276"/>
      <c r="M30" s="276"/>
      <c r="N30" s="276"/>
      <c r="O30" s="276"/>
      <c r="P30" s="276"/>
      <c r="Q30" s="276"/>
      <c r="R30" s="276"/>
      <c r="S30" s="276"/>
      <c r="T30" s="276">
        <f t="shared" si="1"/>
        <v>0</v>
      </c>
      <c r="U30" s="276">
        <f t="shared" si="2"/>
        <v>0</v>
      </c>
      <c r="V30" s="276"/>
      <c r="W30" s="276"/>
      <c r="X30" s="276"/>
      <c r="Y30" s="276"/>
      <c r="Z30" s="276"/>
      <c r="AA30" s="276"/>
      <c r="AB30" s="276"/>
      <c r="AC30" s="276"/>
      <c r="AD30" s="276">
        <f t="shared" si="3"/>
        <v>0</v>
      </c>
      <c r="AE30" s="276">
        <f t="shared" si="4"/>
        <v>0</v>
      </c>
      <c r="AF30" s="274"/>
      <c r="AG30" s="274"/>
      <c r="AH30" s="274"/>
      <c r="AI30" s="274"/>
      <c r="AJ30" s="274"/>
      <c r="AK30" s="274"/>
      <c r="AL30" s="274"/>
      <c r="AM30" s="274"/>
      <c r="AN30" s="276">
        <f t="shared" si="5"/>
        <v>0</v>
      </c>
      <c r="AO30" s="276">
        <f t="shared" si="5"/>
        <v>0</v>
      </c>
      <c r="AP30" s="305"/>
      <c r="AQ30" s="305"/>
      <c r="AR30" s="305"/>
      <c r="AS30" s="305"/>
      <c r="AT30" s="305"/>
      <c r="AU30" s="305"/>
      <c r="AV30" s="305"/>
      <c r="AW30" s="305"/>
      <c r="AX30" s="276">
        <f t="shared" si="6"/>
        <v>0</v>
      </c>
      <c r="AY30" s="276">
        <f t="shared" si="7"/>
        <v>0</v>
      </c>
      <c r="AZ30" s="274"/>
      <c r="BA30" s="274"/>
      <c r="BB30" s="274"/>
      <c r="BC30" s="274"/>
      <c r="BD30" s="274"/>
      <c r="BE30" s="274"/>
      <c r="BF30" s="274"/>
      <c r="BG30" s="274"/>
      <c r="BH30" s="276">
        <f t="shared" si="8"/>
        <v>0</v>
      </c>
      <c r="BI30" s="276">
        <f t="shared" si="9"/>
        <v>0</v>
      </c>
      <c r="BJ30" s="274"/>
      <c r="BK30" s="274"/>
      <c r="BL30" s="274"/>
      <c r="BM30" s="274"/>
      <c r="BN30" s="274"/>
      <c r="BO30" s="274"/>
      <c r="BP30" s="274"/>
      <c r="BQ30" s="274"/>
      <c r="BR30" s="276">
        <f t="shared" si="10"/>
        <v>0</v>
      </c>
      <c r="BS30" s="276">
        <f t="shared" si="10"/>
        <v>0</v>
      </c>
      <c r="BU30" s="3">
        <f t="shared" si="11"/>
        <v>18000000</v>
      </c>
      <c r="BV30" s="244"/>
      <c r="BW30" s="244">
        <f>'RKP 08'!BE109</f>
        <v>0</v>
      </c>
      <c r="BY30" s="145">
        <f t="shared" si="12"/>
        <v>0</v>
      </c>
    </row>
    <row r="31" spans="1:77" x14ac:dyDescent="0.2">
      <c r="A31" s="274" t="s">
        <v>478</v>
      </c>
      <c r="B31" s="276">
        <f>'Non Tanaman'!AE101+'Non Tanaman'!AG101+'Non Tanaman'!AI101+'Non Tanaman'!AK101</f>
        <v>0</v>
      </c>
      <c r="C31" s="276">
        <f>'Non Tanaman'!AF101+'Non Tanaman'!AH101+'Non Tanaman'!AJ101+'Non Tanaman'!AL101</f>
        <v>0</v>
      </c>
      <c r="D31" s="276">
        <f>+'Non Tanaman'!AM101+'Non Tanaman'!AO101+'Non Tanaman'!AQ101+'Non Tanaman'!AS101</f>
        <v>0</v>
      </c>
      <c r="E31" s="276">
        <f>+'Non Tanaman'!AN101+'Non Tanaman'!AP101+'Non Tanaman'!AR101+'Non Tanaman'!AT101</f>
        <v>0</v>
      </c>
      <c r="F31" s="276">
        <f>'Non Tanaman'!AU101+'Non Tanaman'!AW101+'Non Tanaman'!AY101+'Non Tanaman'!BA101</f>
        <v>0</v>
      </c>
      <c r="G31" s="276">
        <f>'Non Tanaman'!AV101+'Non Tanaman'!AX101+'Non Tanaman'!AZ101+'Non Tanaman'!BB101</f>
        <v>0</v>
      </c>
      <c r="H31" s="276"/>
      <c r="I31" s="276"/>
      <c r="J31" s="276">
        <f t="shared" si="0"/>
        <v>0</v>
      </c>
      <c r="K31" s="276">
        <f t="shared" si="0"/>
        <v>0</v>
      </c>
      <c r="L31" s="276">
        <f>'Non Tanaman'!BE101+'Non Tanaman'!BG101+'Non Tanaman'!BI101+'Non Tanaman'!BK101</f>
        <v>0</v>
      </c>
      <c r="M31" s="276">
        <f>'Non Tanaman'!BF101+'Non Tanaman'!BH101+'Non Tanaman'!BJ101+'Non Tanaman'!BL101</f>
        <v>0</v>
      </c>
      <c r="N31" s="276">
        <f>+'Non Tanaman'!BM101+'Non Tanaman'!BO101+'Non Tanaman'!BQ101+'Non Tanaman'!BS101</f>
        <v>0</v>
      </c>
      <c r="O31" s="276">
        <f>+'Non Tanaman'!BN101+'Non Tanaman'!BP101+'Non Tanaman'!BR101+'Non Tanaman'!BT101</f>
        <v>0</v>
      </c>
      <c r="P31" s="276">
        <f>'Non Tanaman'!BU101+'Non Tanaman'!BW101+'Non Tanaman'!BY101+'Non Tanaman'!CA101</f>
        <v>0</v>
      </c>
      <c r="Q31" s="276">
        <f>'Non Tanaman'!BV101+'Non Tanaman'!BX101+'Non Tanaman'!BZ101+'Non Tanaman'!CB101</f>
        <v>0</v>
      </c>
      <c r="R31" s="276"/>
      <c r="S31" s="276"/>
      <c r="T31" s="276">
        <f t="shared" si="1"/>
        <v>0</v>
      </c>
      <c r="U31" s="276">
        <f t="shared" si="2"/>
        <v>0</v>
      </c>
      <c r="V31" s="276">
        <f>'Non Tanaman'!CE101+'Non Tanaman'!CG101+'Non Tanaman'!CI101+'Non Tanaman'!CK101</f>
        <v>0</v>
      </c>
      <c r="W31" s="276">
        <f>'Non Tanaman'!CF101+'Non Tanaman'!CH101+'Non Tanaman'!CJ101+'Non Tanaman'!CL101</f>
        <v>0</v>
      </c>
      <c r="X31" s="276">
        <f>+'Non Tanaman'!CM101+'Non Tanaman'!CO101+'Non Tanaman'!CQ101+'Non Tanaman'!CS101</f>
        <v>0</v>
      </c>
      <c r="Y31" s="276">
        <f>+'Non Tanaman'!CN101+'Non Tanaman'!CP101+'Non Tanaman'!CR101+'Non Tanaman'!CT101</f>
        <v>0</v>
      </c>
      <c r="Z31" s="276">
        <f>'Non Tanaman'!CU101+'Non Tanaman'!CW101+'Non Tanaman'!CY101+'Non Tanaman'!DA101</f>
        <v>0</v>
      </c>
      <c r="AA31" s="276">
        <f>'Non Tanaman'!CV101+'Non Tanaman'!CX101+'Non Tanaman'!CZ101+'Non Tanaman'!DB101</f>
        <v>0</v>
      </c>
      <c r="AB31" s="276"/>
      <c r="AC31" s="276"/>
      <c r="AD31" s="276">
        <f t="shared" si="3"/>
        <v>0</v>
      </c>
      <c r="AE31" s="276">
        <f t="shared" si="4"/>
        <v>0</v>
      </c>
      <c r="AF31" s="305">
        <f>'Non Tanaman'!DE101+'Non Tanaman'!DG101+'Non Tanaman'!DI101+'Non Tanaman'!DK101</f>
        <v>0</v>
      </c>
      <c r="AG31" s="305">
        <f>'Non Tanaman'!DF101+'Non Tanaman'!DH101+'Non Tanaman'!DJ101+'Non Tanaman'!DL101</f>
        <v>0</v>
      </c>
      <c r="AH31" s="305">
        <f>'Non Tanaman'!DM101+'Non Tanaman'!DO101+'Non Tanaman'!DQ101+'Non Tanaman'!DS101</f>
        <v>0</v>
      </c>
      <c r="AI31" s="305">
        <f>'Non Tanaman'!DN101+'Non Tanaman'!DP101+'Non Tanaman'!DR101+'Non Tanaman'!DT101</f>
        <v>0</v>
      </c>
      <c r="AJ31" s="305">
        <f>'Non Tanaman'!DU101+'Non Tanaman'!DW101+'Non Tanaman'!DY101+'Non Tanaman'!EA101</f>
        <v>0</v>
      </c>
      <c r="AK31" s="305">
        <f>'Non Tanaman'!DV101+'Non Tanaman'!DX101+'Non Tanaman'!DZ101+'Non Tanaman'!EB101</f>
        <v>0</v>
      </c>
      <c r="AL31" s="305"/>
      <c r="AM31" s="305"/>
      <c r="AN31" s="276">
        <f t="shared" si="5"/>
        <v>0</v>
      </c>
      <c r="AO31" s="276">
        <f t="shared" si="5"/>
        <v>0</v>
      </c>
      <c r="AP31" s="305">
        <f>'Non Tanaman'!EE101+'Non Tanaman'!EG101+'Non Tanaman'!EI101</f>
        <v>0</v>
      </c>
      <c r="AQ31" s="305">
        <f>'Non Tanaman'!EF101+'Non Tanaman'!EH101+'Non Tanaman'!EJ101</f>
        <v>0</v>
      </c>
      <c r="AR31" s="305">
        <f>'Non Tanaman'!EK101+'Non Tanaman'!EM101+'Non Tanaman'!EO101</f>
        <v>0</v>
      </c>
      <c r="AS31" s="305">
        <f>'Non Tanaman'!EL101+'Non Tanaman'!EN101+'Non Tanaman'!EP101</f>
        <v>0</v>
      </c>
      <c r="AT31" s="305">
        <f>'Non Tanaman'!EQ101+'Non Tanaman'!ES101+'Non Tanaman'!EU101</f>
        <v>0</v>
      </c>
      <c r="AU31" s="305">
        <f>'Non Tanaman'!ER101+'Non Tanaman'!ET101+'Non Tanaman'!EV101</f>
        <v>0</v>
      </c>
      <c r="AV31" s="305">
        <f>'Non Tanaman'!EW101+'Non Tanaman'!EY101+'Non Tanaman'!FA101</f>
        <v>0</v>
      </c>
      <c r="AW31" s="305">
        <f>'Non Tanaman'!EX101+'Non Tanaman'!EZ101+'Non Tanaman'!FB101</f>
        <v>0</v>
      </c>
      <c r="AX31" s="276">
        <f t="shared" si="6"/>
        <v>0</v>
      </c>
      <c r="AY31" s="276">
        <f t="shared" si="7"/>
        <v>0</v>
      </c>
      <c r="AZ31" s="274">
        <f>'Non Tanaman'!FE101+'Non Tanaman'!FG101+'Non Tanaman'!FI101</f>
        <v>0</v>
      </c>
      <c r="BA31" s="274">
        <f>'Non Tanaman'!FF101+'Non Tanaman'!FH101+'Non Tanaman'!FJ101</f>
        <v>0</v>
      </c>
      <c r="BB31" s="274">
        <f>'Non Tanaman'!FK101+'Non Tanaman'!FM101+'Non Tanaman'!FO101</f>
        <v>0</v>
      </c>
      <c r="BC31" s="274">
        <f>'Non Tanaman'!FL101+'Non Tanaman'!FN101+'Non Tanaman'!FP101</f>
        <v>0</v>
      </c>
      <c r="BD31" s="274">
        <f>'Non Tanaman'!FQ101+'Non Tanaman'!FS101+'Non Tanaman'!FU101</f>
        <v>0</v>
      </c>
      <c r="BE31" s="274">
        <f>'Non Tanaman'!FR101+'Non Tanaman'!FT101+'Non Tanaman'!FV101</f>
        <v>0</v>
      </c>
      <c r="BF31" s="274">
        <f>'Non Tanaman'!FW101+'Non Tanaman'!FY101+'Non Tanaman'!GA101</f>
        <v>0</v>
      </c>
      <c r="BG31" s="274">
        <f>'Non Tanaman'!FX101+'Non Tanaman'!FZ101+'Non Tanaman'!GB101</f>
        <v>0</v>
      </c>
      <c r="BH31" s="276">
        <f t="shared" si="8"/>
        <v>0</v>
      </c>
      <c r="BI31" s="276">
        <f t="shared" si="9"/>
        <v>0</v>
      </c>
      <c r="BJ31" s="274">
        <f>'Non Tanaman'!GF101+'Non Tanaman'!GH101+'Non Tanaman'!GJ101</f>
        <v>0</v>
      </c>
      <c r="BK31" s="274">
        <f>'Non Tanaman'!GG101+'Non Tanaman'!GI101+'Non Tanaman'!GK101</f>
        <v>0</v>
      </c>
      <c r="BL31" s="274">
        <f>'Non Tanaman'!GL101+'Non Tanaman'!GN101+'Non Tanaman'!GP101</f>
        <v>0</v>
      </c>
      <c r="BM31" s="274">
        <f>'Non Tanaman'!GM101+'Non Tanaman'!GO101+'Non Tanaman'!GQ101</f>
        <v>0</v>
      </c>
      <c r="BN31" s="274">
        <f>'Non Tanaman'!GV101+'Non Tanaman'!GT101+'Non Tanaman'!GR101</f>
        <v>0</v>
      </c>
      <c r="BO31" s="274">
        <f>'Non Tanaman'!GW101+'Non Tanaman'!GU101+'Non Tanaman'!GS101</f>
        <v>0</v>
      </c>
      <c r="BP31" s="274">
        <f>'Non Tanaman'!GX101+'Non Tanaman'!GZ101+'Non Tanaman'!HB101</f>
        <v>0</v>
      </c>
      <c r="BQ31" s="274">
        <f>'Non Tanaman'!GY101+'Non Tanaman'!HA101+'Non Tanaman'!HC101</f>
        <v>0</v>
      </c>
      <c r="BR31" s="276">
        <f t="shared" si="10"/>
        <v>0</v>
      </c>
      <c r="BS31" s="276">
        <f t="shared" si="10"/>
        <v>0</v>
      </c>
      <c r="BU31" s="3">
        <f>AY31+AO31+AE31+U31+K31+BI31</f>
        <v>0</v>
      </c>
      <c r="BV31" s="434">
        <f>'Non Tanaman'!HF101</f>
        <v>0</v>
      </c>
      <c r="BW31" s="435">
        <f>'RKP 08'!BO84</f>
        <v>0</v>
      </c>
      <c r="BY31" s="145">
        <f t="shared" si="12"/>
        <v>0</v>
      </c>
    </row>
    <row r="32" spans="1:77" x14ac:dyDescent="0.2">
      <c r="A32" s="274"/>
      <c r="B32" s="276"/>
      <c r="C32" s="276"/>
      <c r="D32" s="276"/>
      <c r="E32" s="276"/>
      <c r="F32" s="276"/>
      <c r="G32" s="276"/>
      <c r="H32" s="276"/>
      <c r="I32" s="276"/>
      <c r="J32" s="276">
        <f t="shared" ref="J32:K35" si="13">B32+D32+F32+H32</f>
        <v>0</v>
      </c>
      <c r="K32" s="276">
        <f t="shared" si="13"/>
        <v>0</v>
      </c>
      <c r="L32" s="276"/>
      <c r="M32" s="276"/>
      <c r="N32" s="276"/>
      <c r="O32" s="276"/>
      <c r="P32" s="276"/>
      <c r="Q32" s="276"/>
      <c r="R32" s="276"/>
      <c r="S32" s="276"/>
      <c r="T32" s="276">
        <f t="shared" si="1"/>
        <v>0</v>
      </c>
      <c r="U32" s="276">
        <f t="shared" si="2"/>
        <v>0</v>
      </c>
      <c r="V32" s="276"/>
      <c r="W32" s="276"/>
      <c r="X32" s="276"/>
      <c r="Y32" s="276"/>
      <c r="Z32" s="276"/>
      <c r="AA32" s="276"/>
      <c r="AB32" s="276"/>
      <c r="AC32" s="276"/>
      <c r="AD32" s="276">
        <f t="shared" si="3"/>
        <v>0</v>
      </c>
      <c r="AE32" s="276">
        <f t="shared" si="4"/>
        <v>0</v>
      </c>
      <c r="AF32" s="274"/>
      <c r="AG32" s="274"/>
      <c r="AH32" s="274"/>
      <c r="AI32" s="274"/>
      <c r="AJ32" s="274"/>
      <c r="AK32" s="274"/>
      <c r="AL32" s="274"/>
      <c r="AM32" s="274"/>
      <c r="AN32" s="274"/>
      <c r="AO32" s="274"/>
      <c r="AP32" s="305"/>
      <c r="AQ32" s="305"/>
      <c r="AR32" s="305"/>
      <c r="AS32" s="305"/>
      <c r="AT32" s="305"/>
      <c r="AU32" s="305"/>
      <c r="AV32" s="305"/>
      <c r="AW32" s="305"/>
      <c r="AX32" s="274"/>
      <c r="AY32" s="274"/>
      <c r="AZ32" s="274"/>
      <c r="BA32" s="274"/>
      <c r="BB32" s="274"/>
      <c r="BC32" s="274"/>
      <c r="BD32" s="274"/>
      <c r="BE32" s="274"/>
      <c r="BF32" s="274"/>
      <c r="BG32" s="274"/>
      <c r="BH32" s="274"/>
      <c r="BI32" s="274"/>
      <c r="BJ32" s="274"/>
      <c r="BK32" s="274"/>
      <c r="BL32" s="274"/>
      <c r="BM32" s="274"/>
      <c r="BN32" s="274"/>
      <c r="BO32" s="274"/>
      <c r="BP32" s="274"/>
      <c r="BQ32" s="274"/>
      <c r="BR32" s="274"/>
      <c r="BS32" s="274"/>
      <c r="BU32" s="3">
        <f t="shared" si="11"/>
        <v>0</v>
      </c>
      <c r="BV32" s="244"/>
      <c r="BW32" s="244">
        <f>'RKP 08'!BE111</f>
        <v>0</v>
      </c>
      <c r="BY32" s="145">
        <f t="shared" si="12"/>
        <v>0</v>
      </c>
    </row>
    <row r="33" spans="1:77" x14ac:dyDescent="0.2">
      <c r="A33" s="274"/>
      <c r="B33" s="276"/>
      <c r="C33" s="276"/>
      <c r="D33" s="276"/>
      <c r="E33" s="276"/>
      <c r="F33" s="276"/>
      <c r="G33" s="276"/>
      <c r="H33" s="276"/>
      <c r="I33" s="276"/>
      <c r="J33" s="276">
        <f t="shared" si="13"/>
        <v>0</v>
      </c>
      <c r="K33" s="276">
        <f t="shared" si="13"/>
        <v>0</v>
      </c>
      <c r="L33" s="276"/>
      <c r="M33" s="276"/>
      <c r="N33" s="276"/>
      <c r="O33" s="276"/>
      <c r="P33" s="276"/>
      <c r="Q33" s="276"/>
      <c r="R33" s="276"/>
      <c r="S33" s="276"/>
      <c r="T33" s="276">
        <f t="shared" si="1"/>
        <v>0</v>
      </c>
      <c r="U33" s="276">
        <f t="shared" si="2"/>
        <v>0</v>
      </c>
      <c r="V33" s="276"/>
      <c r="W33" s="276"/>
      <c r="X33" s="276"/>
      <c r="Y33" s="276"/>
      <c r="Z33" s="276"/>
      <c r="AA33" s="276"/>
      <c r="AB33" s="276"/>
      <c r="AC33" s="276"/>
      <c r="AD33" s="276">
        <f t="shared" si="3"/>
        <v>0</v>
      </c>
      <c r="AE33" s="276">
        <f t="shared" si="4"/>
        <v>0</v>
      </c>
      <c r="AF33" s="274"/>
      <c r="AG33" s="274"/>
      <c r="AH33" s="274"/>
      <c r="AI33" s="274"/>
      <c r="AJ33" s="274"/>
      <c r="AK33" s="274"/>
      <c r="AL33" s="274"/>
      <c r="AM33" s="274"/>
      <c r="AN33" s="274"/>
      <c r="AO33" s="274"/>
      <c r="AP33" s="305"/>
      <c r="AQ33" s="305"/>
      <c r="AR33" s="305"/>
      <c r="AS33" s="305"/>
      <c r="AT33" s="305"/>
      <c r="AU33" s="305"/>
      <c r="AV33" s="305"/>
      <c r="AW33" s="305"/>
      <c r="AX33" s="274"/>
      <c r="AY33" s="274"/>
      <c r="AZ33" s="274"/>
      <c r="BA33" s="274"/>
      <c r="BB33" s="274"/>
      <c r="BC33" s="274"/>
      <c r="BD33" s="274"/>
      <c r="BE33" s="274"/>
      <c r="BF33" s="274"/>
      <c r="BG33" s="274"/>
      <c r="BH33" s="274"/>
      <c r="BI33" s="274"/>
      <c r="BJ33" s="274"/>
      <c r="BK33" s="274"/>
      <c r="BL33" s="274"/>
      <c r="BM33" s="274"/>
      <c r="BN33" s="274"/>
      <c r="BO33" s="274"/>
      <c r="BP33" s="274"/>
      <c r="BQ33" s="274"/>
      <c r="BR33" s="274"/>
      <c r="BS33" s="274"/>
      <c r="BU33" s="3">
        <f t="shared" si="11"/>
        <v>0</v>
      </c>
      <c r="BV33" s="244"/>
      <c r="BW33" s="244">
        <f>'RKP 08'!BE112</f>
        <v>0</v>
      </c>
      <c r="BY33" s="145">
        <f t="shared" si="12"/>
        <v>0</v>
      </c>
    </row>
    <row r="34" spans="1:77" x14ac:dyDescent="0.2">
      <c r="A34" s="274"/>
      <c r="B34" s="276"/>
      <c r="C34" s="276"/>
      <c r="D34" s="276"/>
      <c r="E34" s="276"/>
      <c r="F34" s="276"/>
      <c r="G34" s="276"/>
      <c r="H34" s="276"/>
      <c r="I34" s="276"/>
      <c r="J34" s="276">
        <f t="shared" si="13"/>
        <v>0</v>
      </c>
      <c r="K34" s="276">
        <f t="shared" si="13"/>
        <v>0</v>
      </c>
      <c r="L34" s="276"/>
      <c r="M34" s="276"/>
      <c r="N34" s="276"/>
      <c r="O34" s="276"/>
      <c r="P34" s="276"/>
      <c r="Q34" s="276"/>
      <c r="R34" s="276"/>
      <c r="S34" s="276"/>
      <c r="T34" s="276">
        <f t="shared" si="1"/>
        <v>0</v>
      </c>
      <c r="U34" s="276">
        <f t="shared" si="2"/>
        <v>0</v>
      </c>
      <c r="V34" s="276"/>
      <c r="W34" s="276"/>
      <c r="X34" s="276"/>
      <c r="Y34" s="276"/>
      <c r="Z34" s="276"/>
      <c r="AA34" s="276"/>
      <c r="AB34" s="276"/>
      <c r="AC34" s="276"/>
      <c r="AD34" s="276">
        <f t="shared" si="3"/>
        <v>0</v>
      </c>
      <c r="AE34" s="276">
        <f t="shared" si="4"/>
        <v>0</v>
      </c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305"/>
      <c r="AQ34" s="305"/>
      <c r="AR34" s="305"/>
      <c r="AS34" s="305"/>
      <c r="AT34" s="305"/>
      <c r="AU34" s="305"/>
      <c r="AV34" s="305"/>
      <c r="AW34" s="305"/>
      <c r="AX34" s="274"/>
      <c r="AY34" s="274"/>
      <c r="AZ34" s="274"/>
      <c r="BA34" s="274"/>
      <c r="BB34" s="274"/>
      <c r="BC34" s="274"/>
      <c r="BD34" s="274"/>
      <c r="BE34" s="274"/>
      <c r="BF34" s="274"/>
      <c r="BG34" s="274"/>
      <c r="BH34" s="274"/>
      <c r="BI34" s="274"/>
      <c r="BJ34" s="274"/>
      <c r="BK34" s="274"/>
      <c r="BL34" s="274"/>
      <c r="BM34" s="274"/>
      <c r="BN34" s="274"/>
      <c r="BO34" s="274"/>
      <c r="BP34" s="274"/>
      <c r="BQ34" s="274"/>
      <c r="BR34" s="274"/>
      <c r="BS34" s="274"/>
      <c r="BU34" s="3">
        <f t="shared" si="11"/>
        <v>0</v>
      </c>
      <c r="BV34" s="244"/>
      <c r="BW34" s="244">
        <f>'RKP 08'!BE113</f>
        <v>0</v>
      </c>
      <c r="BY34" s="145">
        <f t="shared" si="12"/>
        <v>0</v>
      </c>
    </row>
    <row r="35" spans="1:77" x14ac:dyDescent="0.2">
      <c r="A35" s="274" t="s">
        <v>466</v>
      </c>
      <c r="B35" s="276">
        <f>'Non Tanaman'!AE102+'Non Tanaman'!AG102+'Non Tanaman'!AI102+'Non Tanaman'!AK102</f>
        <v>0</v>
      </c>
      <c r="C35" s="276">
        <f>'Tingkat Jalan Mineral'!G21</f>
        <v>0</v>
      </c>
      <c r="D35" s="276">
        <f>+'Non Tanaman'!AM102+'Non Tanaman'!AO102+'Non Tanaman'!AQ102+'Non Tanaman'!AS102</f>
        <v>0</v>
      </c>
      <c r="E35" s="276">
        <f>+'Non Tanaman'!AN102+'Non Tanaman'!AP102+'Non Tanaman'!AR102+'Non Tanaman'!AT102</f>
        <v>0</v>
      </c>
      <c r="F35" s="276">
        <f>'Non Tanaman'!AU102+'Non Tanaman'!AW102+'Non Tanaman'!AY102+'Non Tanaman'!BA102</f>
        <v>0</v>
      </c>
      <c r="G35" s="276">
        <f>'Non Tanaman'!AV102+'Non Tanaman'!AX102+'Non Tanaman'!AZ102+'Non Tanaman'!BB102</f>
        <v>0</v>
      </c>
      <c r="H35" s="276"/>
      <c r="I35" s="276"/>
      <c r="J35" s="276">
        <f t="shared" si="13"/>
        <v>0</v>
      </c>
      <c r="K35" s="276">
        <f t="shared" si="13"/>
        <v>0</v>
      </c>
      <c r="L35" s="276">
        <f>'Non Tanaman'!BE104+'Non Tanaman'!BG104+'Non Tanaman'!BI104+'Non Tanaman'!BK104</f>
        <v>0</v>
      </c>
      <c r="M35" s="276">
        <f>'Non Tanaman'!BF104+'Non Tanaman'!BH104+'Non Tanaman'!BJ104+'Non Tanaman'!BL104</f>
        <v>0</v>
      </c>
      <c r="N35" s="276">
        <f>+'Non Tanaman'!BM104+'Non Tanaman'!BO104+'Non Tanaman'!BQ104+'Non Tanaman'!BS104</f>
        <v>0</v>
      </c>
      <c r="O35" s="276">
        <f>+'Non Tanaman'!BN104+'Non Tanaman'!BP104+'Non Tanaman'!BR104+'Non Tanaman'!BT104</f>
        <v>0</v>
      </c>
      <c r="P35" s="276">
        <f>'Non Tanaman'!BU104+'Non Tanaman'!BW104+'Non Tanaman'!BY104+'Non Tanaman'!CA104</f>
        <v>0</v>
      </c>
      <c r="Q35" s="276">
        <f>'Non Tanaman'!BV104+'Non Tanaman'!BX104+'Non Tanaman'!BZ104+'Non Tanaman'!CB104</f>
        <v>0</v>
      </c>
      <c r="R35" s="276"/>
      <c r="S35" s="276"/>
      <c r="T35" s="276">
        <f t="shared" si="1"/>
        <v>0</v>
      </c>
      <c r="U35" s="276">
        <f t="shared" si="2"/>
        <v>0</v>
      </c>
      <c r="V35" s="276">
        <f>'Non Tanaman'!CE104+'Non Tanaman'!CG104+'Non Tanaman'!CI104+'Non Tanaman'!CK104</f>
        <v>0</v>
      </c>
      <c r="W35" s="276">
        <f>'Non Tanaman'!CF104+'Non Tanaman'!CH104+'Non Tanaman'!CJ104+'Non Tanaman'!CL104</f>
        <v>0</v>
      </c>
      <c r="X35" s="276">
        <f>+'Non Tanaman'!CM104+'Non Tanaman'!CO104+'Non Tanaman'!CQ104+'Non Tanaman'!CS104</f>
        <v>0</v>
      </c>
      <c r="Y35" s="276">
        <f>+'Non Tanaman'!CN104+'Non Tanaman'!CP104+'Non Tanaman'!CR104+'Non Tanaman'!CT104</f>
        <v>0</v>
      </c>
      <c r="Z35" s="276">
        <f>'Non Tanaman'!CU104+'Non Tanaman'!CW104+'Non Tanaman'!CY104+'Non Tanaman'!DA104</f>
        <v>0</v>
      </c>
      <c r="AA35" s="276">
        <f>'Non Tanaman'!CV104+'Non Tanaman'!CX104+'Non Tanaman'!CZ104+'Non Tanaman'!DB104</f>
        <v>0</v>
      </c>
      <c r="AB35" s="276"/>
      <c r="AC35" s="276"/>
      <c r="AD35" s="276">
        <f t="shared" si="3"/>
        <v>0</v>
      </c>
      <c r="AE35" s="276">
        <f t="shared" si="4"/>
        <v>0</v>
      </c>
      <c r="AF35" s="305">
        <f>'Non Tanaman'!DE104+'Non Tanaman'!DG104+'Non Tanaman'!DI104+'Non Tanaman'!DK104</f>
        <v>0</v>
      </c>
      <c r="AG35" s="305">
        <f>'Non Tanaman'!DF104+'Non Tanaman'!DH104+'Non Tanaman'!DJ104+'Non Tanaman'!DL104</f>
        <v>0</v>
      </c>
      <c r="AH35" s="305">
        <f>'Non Tanaman'!DM104+'Non Tanaman'!DO104+'Non Tanaman'!DQ104+'Non Tanaman'!DS104</f>
        <v>0</v>
      </c>
      <c r="AI35" s="305">
        <f>'Non Tanaman'!DN104+'Non Tanaman'!DP104+'Non Tanaman'!DR104+'Non Tanaman'!DT104</f>
        <v>0</v>
      </c>
      <c r="AJ35" s="305">
        <f>'Non Tanaman'!DU104+'Non Tanaman'!DW104+'Non Tanaman'!DY104+'Non Tanaman'!EA104</f>
        <v>0</v>
      </c>
      <c r="AK35" s="305">
        <f>'Non Tanaman'!DV104+'Non Tanaman'!DX104+'Non Tanaman'!DZ104+'Non Tanaman'!EB104</f>
        <v>0</v>
      </c>
      <c r="AL35" s="305"/>
      <c r="AM35" s="305"/>
      <c r="AN35" s="274"/>
      <c r="AO35" s="276">
        <f>AM35+AK35+AI35+AG35</f>
        <v>0</v>
      </c>
      <c r="AP35" s="305">
        <f>'Non Tanaman'!EE104+'Non Tanaman'!EG104+'Non Tanaman'!EI104</f>
        <v>0</v>
      </c>
      <c r="AQ35" s="305">
        <f>'Non Tanaman'!EF104+'Non Tanaman'!EH104+'Non Tanaman'!EJ104</f>
        <v>0</v>
      </c>
      <c r="AR35" s="305">
        <f>'Non Tanaman'!EK104+'Non Tanaman'!EM104+'Non Tanaman'!EO104</f>
        <v>0</v>
      </c>
      <c r="AS35" s="305">
        <f>'Non Tanaman'!EL104+'Non Tanaman'!EN104+'Non Tanaman'!EP104</f>
        <v>0</v>
      </c>
      <c r="AT35" s="305">
        <f>'Non Tanaman'!EQ104+'Non Tanaman'!ES104+'Non Tanaman'!EU104</f>
        <v>0</v>
      </c>
      <c r="AU35" s="305">
        <f>'Non Tanaman'!ER104+'Non Tanaman'!ET104+'Non Tanaman'!EV104</f>
        <v>0</v>
      </c>
      <c r="AV35" s="305">
        <f>'Non Tanaman'!EW104+'Non Tanaman'!EY104+'Non Tanaman'!FA104</f>
        <v>0</v>
      </c>
      <c r="AW35" s="305">
        <f>'Non Tanaman'!EX104+'Non Tanaman'!EZ104+'Non Tanaman'!FB104</f>
        <v>0</v>
      </c>
      <c r="AX35" s="276">
        <f>AV35+AT35+AR35+AP35</f>
        <v>0</v>
      </c>
      <c r="AY35" s="276">
        <f>AW35+AU35+AS35+AQ35</f>
        <v>0</v>
      </c>
      <c r="AZ35" s="274"/>
      <c r="BA35" s="274"/>
      <c r="BB35" s="274"/>
      <c r="BC35" s="274"/>
      <c r="BD35" s="274"/>
      <c r="BE35" s="274"/>
      <c r="BF35" s="274"/>
      <c r="BG35" s="274"/>
      <c r="BH35" s="276">
        <f>BF35+BD35+BB35+AZ35</f>
        <v>0</v>
      </c>
      <c r="BI35" s="276">
        <f>BG35+BE35+BC35+BA35</f>
        <v>0</v>
      </c>
      <c r="BJ35" s="274"/>
      <c r="BK35" s="274"/>
      <c r="BL35" s="274"/>
      <c r="BM35" s="274"/>
      <c r="BN35" s="274"/>
      <c r="BO35" s="274"/>
      <c r="BP35" s="274"/>
      <c r="BQ35" s="274"/>
      <c r="BR35" s="276">
        <f>BP35+BN35+BL35+BJ35</f>
        <v>0</v>
      </c>
      <c r="BS35" s="276">
        <f>BQ35+BO35+BM35+BK35</f>
        <v>0</v>
      </c>
      <c r="BU35" s="3">
        <f t="shared" si="11"/>
        <v>0</v>
      </c>
      <c r="BV35" s="244">
        <f>'Non Tanaman'!HF104</f>
        <v>0</v>
      </c>
      <c r="BW35" s="244">
        <f>'RKP 08'!BO85+'Non Tanaman'!HF103</f>
        <v>0</v>
      </c>
      <c r="BY35" s="145">
        <f t="shared" si="12"/>
        <v>0</v>
      </c>
    </row>
    <row r="36" spans="1:77" x14ac:dyDescent="0.2">
      <c r="A36" s="274"/>
      <c r="B36" s="276"/>
      <c r="C36" s="276"/>
      <c r="D36" s="276"/>
      <c r="E36" s="276"/>
      <c r="F36" s="276"/>
      <c r="G36" s="276"/>
      <c r="H36" s="276"/>
      <c r="I36" s="276"/>
      <c r="J36" s="276"/>
      <c r="K36" s="276"/>
      <c r="L36" s="274"/>
      <c r="M36" s="274"/>
      <c r="N36" s="274"/>
      <c r="O36" s="274"/>
      <c r="P36" s="274"/>
      <c r="Q36" s="274"/>
      <c r="R36" s="274"/>
      <c r="S36" s="274"/>
      <c r="T36" s="276">
        <f>R35+P35+N35+L35</f>
        <v>0</v>
      </c>
      <c r="U36" s="276">
        <f>S35+Q35+O35+M35</f>
        <v>0</v>
      </c>
      <c r="V36" s="274"/>
      <c r="W36" s="274"/>
      <c r="X36" s="274"/>
      <c r="Y36" s="274"/>
      <c r="Z36" s="274"/>
      <c r="AA36" s="274"/>
      <c r="AB36" s="274"/>
      <c r="AC36" s="274"/>
      <c r="AD36" s="276">
        <f>AB35+Z35+X35+V35</f>
        <v>0</v>
      </c>
      <c r="AE36" s="276">
        <f>AC35+AA35+Y35+W35</f>
        <v>0</v>
      </c>
      <c r="AF36" s="274"/>
      <c r="AG36" s="274"/>
      <c r="AH36" s="274"/>
      <c r="AI36" s="274"/>
      <c r="AJ36" s="274"/>
      <c r="AK36" s="274"/>
      <c r="AL36" s="274"/>
      <c r="AM36" s="274"/>
      <c r="AN36" s="274"/>
      <c r="AO36" s="276">
        <f>AM36+AK36+AI36+AG36</f>
        <v>0</v>
      </c>
      <c r="AP36" s="305"/>
      <c r="AQ36" s="305"/>
      <c r="AR36" s="305"/>
      <c r="AS36" s="305"/>
      <c r="AT36" s="305"/>
      <c r="AU36" s="305"/>
      <c r="AV36" s="305"/>
      <c r="AW36" s="305"/>
      <c r="AX36" s="274"/>
      <c r="AY36" s="276">
        <f>AW36+AU36+AS36+AQ36</f>
        <v>0</v>
      </c>
      <c r="AZ36" s="274"/>
      <c r="BA36" s="274"/>
      <c r="BB36" s="274"/>
      <c r="BC36" s="274"/>
      <c r="BD36" s="274"/>
      <c r="BE36" s="274"/>
      <c r="BF36" s="274"/>
      <c r="BG36" s="274"/>
      <c r="BH36" s="274"/>
      <c r="BI36" s="276">
        <f>BG36+BE36+BC36+BA36</f>
        <v>0</v>
      </c>
      <c r="BJ36" s="274"/>
      <c r="BK36" s="274"/>
      <c r="BL36" s="274"/>
      <c r="BM36" s="274"/>
      <c r="BN36" s="274"/>
      <c r="BO36" s="274"/>
      <c r="BP36" s="274"/>
      <c r="BQ36" s="274"/>
      <c r="BR36" s="274"/>
      <c r="BS36" s="276">
        <f>BQ36+BO36+BM36+BK36</f>
        <v>0</v>
      </c>
      <c r="BU36" s="3">
        <f t="shared" si="11"/>
        <v>0</v>
      </c>
      <c r="BV36" s="244"/>
      <c r="BW36" s="244"/>
    </row>
    <row r="37" spans="1:77" x14ac:dyDescent="0.2">
      <c r="A37" s="274"/>
      <c r="B37" s="274"/>
      <c r="C37" s="274"/>
      <c r="D37" s="274"/>
      <c r="E37" s="274"/>
      <c r="F37" s="274"/>
      <c r="G37" s="274"/>
      <c r="H37" s="274"/>
      <c r="I37" s="274"/>
      <c r="J37" s="277">
        <f>J36+J35+J31+J27+J23+J19+J15+J11+J7</f>
        <v>7</v>
      </c>
      <c r="K37" s="277">
        <f>K36+K35+K31+K27+K23+K19+K15+K11+K7</f>
        <v>3792000000</v>
      </c>
      <c r="L37" s="274"/>
      <c r="M37" s="274"/>
      <c r="N37" s="274"/>
      <c r="O37" s="274"/>
      <c r="P37" s="274"/>
      <c r="Q37" s="274"/>
      <c r="R37" s="274"/>
      <c r="S37" s="274"/>
      <c r="T37" s="274"/>
      <c r="U37" s="277">
        <f>U36+U35+U31+U27+U23+U19+U15+U11+U7</f>
        <v>0</v>
      </c>
      <c r="V37" s="274"/>
      <c r="W37" s="274"/>
      <c r="X37" s="274"/>
      <c r="Y37" s="274"/>
      <c r="Z37" s="274"/>
      <c r="AA37" s="274"/>
      <c r="AB37" s="274"/>
      <c r="AC37" s="274"/>
      <c r="AD37" s="274"/>
      <c r="AE37" s="277">
        <f>AE36+AE35+AE31+AE27+AE23+AE19+AE15+AE11+AE7</f>
        <v>0</v>
      </c>
      <c r="AF37" s="274"/>
      <c r="AG37" s="274"/>
      <c r="AH37" s="274"/>
      <c r="AI37" s="274"/>
      <c r="AJ37" s="274"/>
      <c r="AK37" s="274"/>
      <c r="AL37" s="274"/>
      <c r="AM37" s="274"/>
      <c r="AN37" s="274"/>
      <c r="AO37" s="277">
        <f>AO36+AO35+AO31+AO27+AO23+AO19+AO15+AO11+AO7</f>
        <v>0</v>
      </c>
      <c r="AP37" s="305"/>
      <c r="AQ37" s="305"/>
      <c r="AR37" s="305"/>
      <c r="AS37" s="305"/>
      <c r="AT37" s="305"/>
      <c r="AU37" s="305"/>
      <c r="AV37" s="305"/>
      <c r="AW37" s="305"/>
      <c r="AX37" s="274"/>
      <c r="AY37" s="277">
        <f>AY36+AY35+AY31+AY27+AY23+AY19+AY15+AY11+AY7</f>
        <v>0</v>
      </c>
      <c r="AZ37" s="274"/>
      <c r="BA37" s="274"/>
      <c r="BB37" s="274"/>
      <c r="BC37" s="274"/>
      <c r="BD37" s="274"/>
      <c r="BE37" s="274"/>
      <c r="BF37" s="274"/>
      <c r="BG37" s="274"/>
      <c r="BH37" s="274"/>
      <c r="BI37" s="277">
        <f>BI36+BI35+BI31+BI27+BI23+BI19+BI15+BI11+BI7</f>
        <v>0</v>
      </c>
      <c r="BJ37" s="274"/>
      <c r="BK37" s="274"/>
      <c r="BL37" s="274"/>
      <c r="BM37" s="274"/>
      <c r="BN37" s="274"/>
      <c r="BO37" s="274"/>
      <c r="BP37" s="274"/>
      <c r="BQ37" s="274"/>
      <c r="BR37" s="274"/>
      <c r="BS37" s="277">
        <f>BS36+BS35+BS31+BS27+BS23+BS19+BS15+BS11+BS7</f>
        <v>0</v>
      </c>
      <c r="BU37" s="3">
        <f t="shared" si="11"/>
        <v>3792000000</v>
      </c>
      <c r="BV37" s="244">
        <f>SUM(BV7:BV36)</f>
        <v>3792000000</v>
      </c>
      <c r="BW37" s="244">
        <f>BW35+BW31+BW27+BW23+BW19+BW15+BW11+BW7</f>
        <v>3792000000</v>
      </c>
    </row>
    <row r="38" spans="1:77" x14ac:dyDescent="0.2">
      <c r="C38" s="3">
        <f>SUM(C35:C37)</f>
        <v>0</v>
      </c>
      <c r="G38" s="3">
        <f>SUM(G35:G37)</f>
        <v>0</v>
      </c>
    </row>
    <row r="39" spans="1:77" x14ac:dyDescent="0.2">
      <c r="C39" s="3">
        <f>C33+C38</f>
        <v>0</v>
      </c>
      <c r="G39" s="3">
        <f>G33+G38</f>
        <v>0</v>
      </c>
      <c r="K39" s="3">
        <f>K36-'Non Tanaman'!BD106</f>
        <v>0</v>
      </c>
      <c r="U39" s="3">
        <f>U37-'Non Tanaman'!CD107</f>
        <v>0</v>
      </c>
      <c r="AE39" s="3">
        <f>AE37-'Non Tanaman'!DD107</f>
        <v>0</v>
      </c>
      <c r="AO39" s="3">
        <f>AO37-'Non Tanaman'!ED107</f>
        <v>0</v>
      </c>
      <c r="AY39" s="3">
        <f>AY37-'Non Tanaman'!FD107</f>
        <v>0</v>
      </c>
    </row>
    <row r="40" spans="1:77" x14ac:dyDescent="0.2">
      <c r="K40" s="3">
        <f>K37-'RKP 08'!Q86</f>
        <v>0</v>
      </c>
      <c r="U40" s="3">
        <f>U37-'RKP 08'!Y86</f>
        <v>0</v>
      </c>
      <c r="AE40" s="3">
        <f>AE37-'RKP 08'!AI86</f>
        <v>0</v>
      </c>
      <c r="AO40" s="3">
        <f>AO37-'RKP 08'!AS86</f>
        <v>0</v>
      </c>
      <c r="AY40" s="3">
        <f>AY37-'RKP 08'!BC86</f>
        <v>0</v>
      </c>
    </row>
    <row r="43" spans="1:77" x14ac:dyDescent="0.2">
      <c r="AY43" s="3">
        <f>AY37+AO37+AE37+U37+K37</f>
        <v>3792000000</v>
      </c>
      <c r="BI43" s="3">
        <f>BI37+AY37+AO37+AE37+U37+K37</f>
        <v>3792000000</v>
      </c>
      <c r="BS43" s="3">
        <f>BS37+BI37+AY37+AO37+AE37+U37+K37</f>
        <v>3792000000</v>
      </c>
    </row>
    <row r="44" spans="1:77" x14ac:dyDescent="0.2">
      <c r="AY44" s="3">
        <f>AY43-'RKP 08'!BE86</f>
        <v>0</v>
      </c>
      <c r="BI44" s="3">
        <f>BI43-'RKP 08'!BO86</f>
        <v>0</v>
      </c>
      <c r="BS44" s="3">
        <f>BS43-'RKP 08'!BY86</f>
        <v>0</v>
      </c>
    </row>
  </sheetData>
  <mergeCells count="43">
    <mergeCell ref="BJ1:BQ1"/>
    <mergeCell ref="BR1:BS2"/>
    <mergeCell ref="BJ2:BK2"/>
    <mergeCell ref="BL2:BM2"/>
    <mergeCell ref="BN2:BO2"/>
    <mergeCell ref="BP2:BQ2"/>
    <mergeCell ref="BU1:BW2"/>
    <mergeCell ref="B1:I1"/>
    <mergeCell ref="J1:K2"/>
    <mergeCell ref="L1:S1"/>
    <mergeCell ref="T1:U2"/>
    <mergeCell ref="B2:C2"/>
    <mergeCell ref="D2:E2"/>
    <mergeCell ref="F2:G2"/>
    <mergeCell ref="H2:I2"/>
    <mergeCell ref="L2:M2"/>
    <mergeCell ref="N2:O2"/>
    <mergeCell ref="P2:Q2"/>
    <mergeCell ref="R2:S2"/>
    <mergeCell ref="V1:AC1"/>
    <mergeCell ref="AD1:AE2"/>
    <mergeCell ref="V2:W2"/>
    <mergeCell ref="X2:Y2"/>
    <mergeCell ref="Z2:AA2"/>
    <mergeCell ref="AB2:AC2"/>
    <mergeCell ref="AF1:AM1"/>
    <mergeCell ref="AN1:AO2"/>
    <mergeCell ref="AF2:AG2"/>
    <mergeCell ref="AH2:AI2"/>
    <mergeCell ref="AJ2:AK2"/>
    <mergeCell ref="AL2:AM2"/>
    <mergeCell ref="AP1:AW1"/>
    <mergeCell ref="AX1:AY2"/>
    <mergeCell ref="AP2:AQ2"/>
    <mergeCell ref="AR2:AS2"/>
    <mergeCell ref="AT2:AU2"/>
    <mergeCell ref="AV2:AW2"/>
    <mergeCell ref="AZ1:BG1"/>
    <mergeCell ref="BH1:BI2"/>
    <mergeCell ref="AZ2:BA2"/>
    <mergeCell ref="BB2:BC2"/>
    <mergeCell ref="BD2:BE2"/>
    <mergeCell ref="BF2:B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B1:I39"/>
  <sheetViews>
    <sheetView showGridLines="0" view="pageBreakPreview" zoomScale="97" zoomScaleNormal="100" zoomScaleSheetLayoutView="100" workbookViewId="0"/>
  </sheetViews>
  <sheetFormatPr defaultColWidth="8.6640625" defaultRowHeight="11.25" x14ac:dyDescent="0.2"/>
  <cols>
    <col min="3" max="3" width="20.1640625" customWidth="1"/>
    <col min="4" max="4" width="15" customWidth="1"/>
    <col min="5" max="5" width="16.6640625" customWidth="1"/>
    <col min="6" max="6" width="14.1640625" customWidth="1"/>
    <col min="7" max="7" width="17.6640625" customWidth="1"/>
    <col min="8" max="8" width="22.1640625" customWidth="1"/>
  </cols>
  <sheetData>
    <row r="1" spans="2:9" ht="12" thickBot="1" x14ac:dyDescent="0.25"/>
    <row r="2" spans="2:9" ht="46.5" x14ac:dyDescent="0.7">
      <c r="B2" s="120"/>
      <c r="C2" s="121"/>
      <c r="D2" s="121"/>
      <c r="E2" s="121"/>
      <c r="F2" s="121"/>
      <c r="G2" s="121"/>
      <c r="H2" s="121"/>
      <c r="I2" s="122"/>
    </row>
    <row r="3" spans="2:9" ht="46.5" x14ac:dyDescent="0.7">
      <c r="B3" s="123"/>
      <c r="C3" s="647" t="s">
        <v>309</v>
      </c>
      <c r="D3" s="647"/>
      <c r="E3" s="647"/>
      <c r="F3" s="647"/>
      <c r="G3" s="647"/>
      <c r="H3" s="647"/>
      <c r="I3" s="124"/>
    </row>
    <row r="4" spans="2:9" ht="46.5" x14ac:dyDescent="0.7">
      <c r="B4" s="123"/>
      <c r="C4" s="125"/>
      <c r="D4" s="125"/>
      <c r="E4" s="125"/>
      <c r="F4" s="126"/>
      <c r="G4" s="126"/>
      <c r="H4" s="126"/>
      <c r="I4" s="124"/>
    </row>
    <row r="5" spans="2:9" ht="46.5" x14ac:dyDescent="0.7">
      <c r="B5" s="123"/>
      <c r="C5" s="648" t="s">
        <v>310</v>
      </c>
      <c r="D5" s="648"/>
      <c r="E5" s="648"/>
      <c r="F5" s="648"/>
      <c r="G5" s="648"/>
      <c r="H5" s="648"/>
      <c r="I5" s="124"/>
    </row>
    <row r="6" spans="2:9" ht="46.5" x14ac:dyDescent="0.7">
      <c r="B6" s="123"/>
      <c r="C6" s="648" t="s">
        <v>36</v>
      </c>
      <c r="D6" s="648"/>
      <c r="E6" s="648"/>
      <c r="F6" s="648"/>
      <c r="G6" s="648"/>
      <c r="H6" s="648"/>
      <c r="I6" s="124"/>
    </row>
    <row r="7" spans="2:9" ht="47.25" thickBot="1" x14ac:dyDescent="0.75">
      <c r="B7" s="127"/>
      <c r="C7" s="128"/>
      <c r="D7" s="128"/>
      <c r="E7" s="128"/>
      <c r="F7" s="128"/>
      <c r="G7" s="128"/>
      <c r="H7" s="128"/>
      <c r="I7" s="129"/>
    </row>
    <row r="24" hidden="1" x14ac:dyDescent="0.2"/>
    <row r="25" hidden="1" x14ac:dyDescent="0.2"/>
    <row r="26" hidden="1" x14ac:dyDescent="0.2"/>
    <row r="35" spans="3:3" x14ac:dyDescent="0.2">
      <c r="C35">
        <f>'Tingkat Jalan Mineral'!G20</f>
        <v>998942.8</v>
      </c>
    </row>
    <row r="36" spans="3:3" x14ac:dyDescent="0.2">
      <c r="C36">
        <f>'Tingkat Jalan Mineral'!Q20</f>
        <v>1522646.8</v>
      </c>
    </row>
    <row r="37" spans="3:3" x14ac:dyDescent="0.2">
      <c r="C37">
        <f>'Drainase Tnh Mineral '!Q21</f>
        <v>581740</v>
      </c>
    </row>
    <row r="38" spans="3:3" x14ac:dyDescent="0.2">
      <c r="C38">
        <f>SUM(C35:C37)</f>
        <v>3103329.6</v>
      </c>
    </row>
    <row r="39" spans="3:3" x14ac:dyDescent="0.2">
      <c r="C39">
        <f>C33+C38</f>
        <v>3103329.6</v>
      </c>
    </row>
  </sheetData>
  <mergeCells count="3">
    <mergeCell ref="C3:H3"/>
    <mergeCell ref="C6:H6"/>
    <mergeCell ref="C5:H5"/>
  </mergeCells>
  <phoneticPr fontId="0" type="noConversion"/>
  <printOptions horizontalCentered="1" verticalCentered="1"/>
  <pageMargins left="0.28999999999999998" right="0.33" top="0.46" bottom="1" header="0.23" footer="0.5"/>
  <pageSetup paperSize="9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B1:J40"/>
  <sheetViews>
    <sheetView topLeftCell="A24" zoomScaleNormal="100" workbookViewId="0">
      <selection activeCell="C6" sqref="C6"/>
    </sheetView>
  </sheetViews>
  <sheetFormatPr defaultColWidth="8.6640625" defaultRowHeight="11.25" x14ac:dyDescent="0.2"/>
  <cols>
    <col min="1" max="1" width="1" customWidth="1"/>
    <col min="2" max="2" width="6" customWidth="1"/>
    <col min="3" max="3" width="34.5" customWidth="1"/>
    <col min="4" max="4" width="8.1640625" customWidth="1"/>
    <col min="5" max="5" width="9" customWidth="1"/>
    <col min="6" max="6" width="14.5" customWidth="1"/>
    <col min="7" max="7" width="25.1640625" customWidth="1"/>
    <col min="8" max="9" width="10.5" hidden="1" customWidth="1"/>
    <col min="10" max="10" width="11" hidden="1" customWidth="1"/>
  </cols>
  <sheetData>
    <row r="1" spans="2:10" ht="15.75" x14ac:dyDescent="0.25">
      <c r="B1" s="585" t="s">
        <v>0</v>
      </c>
      <c r="C1" s="585"/>
      <c r="D1" s="585"/>
      <c r="E1" s="585"/>
      <c r="F1" s="585"/>
      <c r="G1" s="585"/>
      <c r="H1" s="585"/>
      <c r="I1" s="585"/>
      <c r="J1" s="585"/>
    </row>
    <row r="2" spans="2:10" ht="15.75" x14ac:dyDescent="0.25">
      <c r="B2" s="585" t="s">
        <v>76</v>
      </c>
      <c r="C2" s="585"/>
      <c r="D2" s="585"/>
      <c r="E2" s="585"/>
      <c r="F2" s="585"/>
      <c r="G2" s="585"/>
      <c r="H2" s="585"/>
      <c r="I2" s="585"/>
      <c r="J2" s="585"/>
    </row>
    <row r="4" spans="2:10" s="7" customFormat="1" ht="15" x14ac:dyDescent="0.3">
      <c r="B4" s="9"/>
      <c r="C4" s="8" t="s">
        <v>31</v>
      </c>
      <c r="D4" s="8"/>
      <c r="E4" s="611" t="s">
        <v>32</v>
      </c>
      <c r="F4" s="611"/>
      <c r="G4" s="10" t="s">
        <v>33</v>
      </c>
    </row>
    <row r="5" spans="2:10" s="7" customFormat="1" ht="13.5" x14ac:dyDescent="0.25">
      <c r="B5" s="7">
        <v>1</v>
      </c>
      <c r="C5" s="7" t="s">
        <v>2</v>
      </c>
      <c r="G5" s="7">
        <v>5</v>
      </c>
      <c r="H5" s="43" t="e">
        <f>G5*#REF!</f>
        <v>#REF!</v>
      </c>
      <c r="I5" s="43" t="e">
        <f>H5*#REF!</f>
        <v>#REF!</v>
      </c>
    </row>
    <row r="6" spans="2:10" s="7" customFormat="1" ht="13.5" x14ac:dyDescent="0.25">
      <c r="B6" s="7">
        <v>2</v>
      </c>
      <c r="C6" s="7" t="s">
        <v>148</v>
      </c>
      <c r="G6" s="7">
        <v>1</v>
      </c>
      <c r="H6" s="43" t="e">
        <f>G6*#REF!</f>
        <v>#REF!</v>
      </c>
      <c r="I6" s="43" t="e">
        <f>H6*#REF!</f>
        <v>#REF!</v>
      </c>
    </row>
    <row r="7" spans="2:10" s="7" customFormat="1" ht="13.5" x14ac:dyDescent="0.25">
      <c r="B7" s="7">
        <v>3</v>
      </c>
      <c r="C7" s="7" t="s">
        <v>149</v>
      </c>
      <c r="G7" s="7">
        <v>2</v>
      </c>
      <c r="H7" s="43" t="e">
        <f>G7*#REF!</f>
        <v>#REF!</v>
      </c>
      <c r="I7" s="43" t="e">
        <f>H7*#REF!</f>
        <v>#REF!</v>
      </c>
    </row>
    <row r="8" spans="2:10" s="7" customFormat="1" ht="13.5" x14ac:dyDescent="0.25">
      <c r="B8" s="7">
        <v>4</v>
      </c>
      <c r="C8" s="7" t="s">
        <v>139</v>
      </c>
      <c r="G8" s="7">
        <v>11</v>
      </c>
      <c r="H8" s="43" t="e">
        <f>G8*#REF!</f>
        <v>#REF!</v>
      </c>
      <c r="I8" s="43" t="e">
        <f>H8*#REF!</f>
        <v>#REF!</v>
      </c>
    </row>
    <row r="9" spans="2:10" s="7" customFormat="1" ht="13.5" x14ac:dyDescent="0.25">
      <c r="B9" s="7">
        <v>5</v>
      </c>
      <c r="C9" s="7" t="s">
        <v>140</v>
      </c>
      <c r="G9" s="7">
        <v>22</v>
      </c>
      <c r="H9" s="43" t="e">
        <f>G9*#REF!</f>
        <v>#REF!</v>
      </c>
      <c r="I9" s="43" t="e">
        <f>H9*#REF!</f>
        <v>#REF!</v>
      </c>
    </row>
    <row r="10" spans="2:10" s="7" customFormat="1" ht="13.5" x14ac:dyDescent="0.25">
      <c r="B10" s="7">
        <v>6</v>
      </c>
      <c r="C10" s="7" t="s">
        <v>145</v>
      </c>
      <c r="G10" s="7">
        <v>36</v>
      </c>
      <c r="H10" s="43" t="e">
        <f>G10*#REF!</f>
        <v>#REF!</v>
      </c>
      <c r="I10" s="43" t="e">
        <f>H10*#REF!</f>
        <v>#REF!</v>
      </c>
    </row>
    <row r="11" spans="2:10" s="7" customFormat="1" ht="13.5" x14ac:dyDescent="0.25">
      <c r="B11" s="7">
        <v>7</v>
      </c>
      <c r="C11" s="7" t="s">
        <v>141</v>
      </c>
      <c r="G11" s="7">
        <v>6</v>
      </c>
      <c r="H11" s="43" t="e">
        <f>G11*#REF!</f>
        <v>#REF!</v>
      </c>
      <c r="I11" s="43" t="e">
        <f>H11*#REF!</f>
        <v>#REF!</v>
      </c>
    </row>
    <row r="12" spans="2:10" s="7" customFormat="1" ht="13.5" x14ac:dyDescent="0.25">
      <c r="B12" s="7">
        <v>8</v>
      </c>
      <c r="C12" s="7" t="s">
        <v>153</v>
      </c>
      <c r="G12" s="7">
        <v>2</v>
      </c>
      <c r="H12" s="43" t="e">
        <f>G12*#REF!</f>
        <v>#REF!</v>
      </c>
      <c r="I12" s="43" t="e">
        <f>H12*#REF!</f>
        <v>#REF!</v>
      </c>
    </row>
    <row r="13" spans="2:10" s="7" customFormat="1" ht="13.5" x14ac:dyDescent="0.25">
      <c r="B13" s="7">
        <v>9</v>
      </c>
      <c r="C13" s="7" t="s">
        <v>77</v>
      </c>
      <c r="G13" s="7">
        <v>9</v>
      </c>
      <c r="H13" s="43" t="e">
        <f>G13*#REF!</f>
        <v>#REF!</v>
      </c>
      <c r="I13" s="43" t="e">
        <f>H13*#REF!</f>
        <v>#REF!</v>
      </c>
    </row>
    <row r="14" spans="2:10" s="7" customFormat="1" ht="15" x14ac:dyDescent="0.3">
      <c r="C14" s="8" t="s">
        <v>34</v>
      </c>
      <c r="D14" s="8"/>
      <c r="E14" s="9"/>
      <c r="F14" s="9"/>
      <c r="G14" s="8">
        <f>SUM(G5:G13)</f>
        <v>94</v>
      </c>
      <c r="H14" s="8" t="e">
        <f>SUM(H5:H13)</f>
        <v>#REF!</v>
      </c>
      <c r="I14" s="8" t="e">
        <f>SUM(I5:I13)</f>
        <v>#REF!</v>
      </c>
      <c r="J14" s="9"/>
    </row>
    <row r="15" spans="2:10" s="7" customFormat="1" ht="13.5" x14ac:dyDescent="0.25"/>
    <row r="16" spans="2:10" s="7" customFormat="1" ht="15" x14ac:dyDescent="0.3">
      <c r="B16" s="9"/>
      <c r="C16" s="8" t="s">
        <v>36</v>
      </c>
      <c r="D16" s="611" t="s">
        <v>35</v>
      </c>
      <c r="E16" s="611"/>
      <c r="F16" s="10" t="s">
        <v>37</v>
      </c>
      <c r="G16" s="10" t="s">
        <v>87</v>
      </c>
      <c r="H16" s="42">
        <v>0.7</v>
      </c>
      <c r="I16" s="42">
        <v>0.8</v>
      </c>
      <c r="J16" s="10" t="s">
        <v>40</v>
      </c>
    </row>
    <row r="17" spans="2:10" s="7" customFormat="1" ht="15" x14ac:dyDescent="0.3">
      <c r="B17" s="11" t="s">
        <v>12</v>
      </c>
      <c r="C17" s="11" t="s">
        <v>72</v>
      </c>
      <c r="F17" s="12"/>
      <c r="G17" s="12"/>
    </row>
    <row r="18" spans="2:10" s="7" customFormat="1" ht="13.5" x14ac:dyDescent="0.25">
      <c r="B18" s="7">
        <v>1</v>
      </c>
      <c r="C18" s="7" t="s">
        <v>179</v>
      </c>
      <c r="D18" s="13" t="s">
        <v>202</v>
      </c>
      <c r="E18" s="7">
        <f>G13*6</f>
        <v>54</v>
      </c>
      <c r="F18" s="12">
        <f>Harga!D10</f>
        <v>50490</v>
      </c>
      <c r="G18" s="12">
        <f>E18*F18</f>
        <v>2726460</v>
      </c>
      <c r="H18" s="16" t="e">
        <f>$G18*#REF!</f>
        <v>#REF!</v>
      </c>
      <c r="I18" s="16" t="e">
        <f>$G18*#REF!</f>
        <v>#REF!</v>
      </c>
    </row>
    <row r="19" spans="2:10" s="7" customFormat="1" ht="13.5" hidden="1" x14ac:dyDescent="0.25">
      <c r="B19" s="7">
        <v>2</v>
      </c>
      <c r="C19" s="7" t="s">
        <v>78</v>
      </c>
      <c r="D19" s="13"/>
      <c r="E19" s="7">
        <v>3</v>
      </c>
      <c r="F19" s="12">
        <v>265000</v>
      </c>
      <c r="G19" s="12">
        <f>E19*F19</f>
        <v>795000</v>
      </c>
      <c r="H19" s="16" t="e">
        <f>$G19*#REF!</f>
        <v>#REF!</v>
      </c>
      <c r="I19" s="16" t="e">
        <f>$G19*#REF!</f>
        <v>#REF!</v>
      </c>
    </row>
    <row r="20" spans="2:10" s="7" customFormat="1" ht="13.5" hidden="1" x14ac:dyDescent="0.25">
      <c r="B20" s="7">
        <v>2</v>
      </c>
      <c r="C20" s="7" t="s">
        <v>72</v>
      </c>
      <c r="D20" s="13"/>
      <c r="E20" s="7">
        <v>1</v>
      </c>
      <c r="F20" s="12">
        <v>0</v>
      </c>
      <c r="G20" s="12">
        <v>15000</v>
      </c>
      <c r="H20" s="16" t="e">
        <f>$G20*#REF!</f>
        <v>#REF!</v>
      </c>
      <c r="I20" s="16" t="e">
        <f>$G20*#REF!</f>
        <v>#REF!</v>
      </c>
    </row>
    <row r="21" spans="2:10" s="7" customFormat="1" ht="13.5" x14ac:dyDescent="0.25">
      <c r="B21" s="7">
        <v>2</v>
      </c>
      <c r="C21" s="7" t="s">
        <v>15</v>
      </c>
      <c r="D21" s="13" t="s">
        <v>100</v>
      </c>
      <c r="E21" s="7">
        <v>0.2</v>
      </c>
      <c r="F21" s="12">
        <f>Harga!D13</f>
        <v>1450770</v>
      </c>
      <c r="G21" s="12">
        <f>E21*F21</f>
        <v>290154</v>
      </c>
      <c r="H21" s="16" t="e">
        <f>$G21*#REF!</f>
        <v>#REF!</v>
      </c>
      <c r="I21" s="16" t="e">
        <f>$G21*#REF!</f>
        <v>#REF!</v>
      </c>
    </row>
    <row r="22" spans="2:10" s="7" customFormat="1" ht="13.5" x14ac:dyDescent="0.25">
      <c r="B22" s="7">
        <v>3</v>
      </c>
      <c r="C22" s="7" t="s">
        <v>146</v>
      </c>
      <c r="D22" s="13" t="s">
        <v>132</v>
      </c>
      <c r="E22" s="7">
        <v>2</v>
      </c>
      <c r="F22" s="12">
        <f>F21*25%</f>
        <v>362692.5</v>
      </c>
      <c r="G22" s="12">
        <f>E22*F22</f>
        <v>725385</v>
      </c>
      <c r="H22" s="16" t="e">
        <f>$G22*#REF!</f>
        <v>#REF!</v>
      </c>
      <c r="I22" s="16" t="e">
        <f>$G22*#REF!</f>
        <v>#REF!</v>
      </c>
    </row>
    <row r="23" spans="2:10" s="7" customFormat="1" ht="13.5" x14ac:dyDescent="0.25">
      <c r="B23" s="7">
        <v>4</v>
      </c>
      <c r="C23" s="7" t="s">
        <v>152</v>
      </c>
      <c r="D23" s="13" t="s">
        <v>100</v>
      </c>
      <c r="E23" s="7">
        <v>1</v>
      </c>
      <c r="F23" s="12">
        <f>Harga!D14</f>
        <v>30000</v>
      </c>
      <c r="G23" s="12">
        <f>E23*F23</f>
        <v>30000</v>
      </c>
      <c r="H23" s="16" t="e">
        <f>$G23*#REF!</f>
        <v>#REF!</v>
      </c>
      <c r="I23" s="16" t="e">
        <f>$G23*#REF!</f>
        <v>#REF!</v>
      </c>
    </row>
    <row r="24" spans="2:10" s="7" customFormat="1" ht="15" x14ac:dyDescent="0.3">
      <c r="C24" s="8"/>
      <c r="D24" s="17"/>
      <c r="E24" s="9"/>
      <c r="F24" s="21"/>
      <c r="G24" s="20">
        <f>SUM(G18:G23)</f>
        <v>4581999</v>
      </c>
      <c r="H24" s="20" t="e">
        <f>SUM(H18:H23)</f>
        <v>#REF!</v>
      </c>
      <c r="I24" s="20" t="e">
        <f>SUM(I18:I23)</f>
        <v>#REF!</v>
      </c>
      <c r="J24" s="9"/>
    </row>
    <row r="25" spans="2:10" s="7" customFormat="1" ht="15" x14ac:dyDescent="0.3">
      <c r="B25" s="11" t="s">
        <v>18</v>
      </c>
      <c r="C25" s="11" t="s">
        <v>26</v>
      </c>
      <c r="D25" s="13"/>
      <c r="F25" s="39"/>
      <c r="G25" s="24"/>
      <c r="H25" s="24"/>
      <c r="I25" s="24"/>
    </row>
    <row r="26" spans="2:10" s="7" customFormat="1" ht="13.5" x14ac:dyDescent="0.25">
      <c r="B26" s="7">
        <v>1</v>
      </c>
      <c r="C26" s="7" t="s">
        <v>143</v>
      </c>
      <c r="D26" s="13" t="s">
        <v>104</v>
      </c>
      <c r="E26" s="7">
        <v>7</v>
      </c>
      <c r="F26" s="39">
        <f>Harga!D58</f>
        <v>85000.05</v>
      </c>
      <c r="G26" s="12">
        <f>E26*F26</f>
        <v>595000.35</v>
      </c>
      <c r="H26" s="16" t="e">
        <f>$G26*#REF!</f>
        <v>#REF!</v>
      </c>
      <c r="I26" s="16" t="e">
        <f>$G26*#REF!</f>
        <v>#REF!</v>
      </c>
    </row>
    <row r="27" spans="2:10" s="7" customFormat="1" ht="13.5" x14ac:dyDescent="0.25">
      <c r="B27" s="7">
        <v>2</v>
      </c>
      <c r="C27" s="7" t="s">
        <v>144</v>
      </c>
      <c r="D27" s="13" t="s">
        <v>103</v>
      </c>
      <c r="E27" s="7">
        <f>E26*0.03</f>
        <v>0.21</v>
      </c>
      <c r="F27" s="39">
        <f>Harga!D59</f>
        <v>24455.34</v>
      </c>
      <c r="G27" s="12">
        <f>E27*F27</f>
        <v>5135.6214</v>
      </c>
      <c r="H27" s="16" t="e">
        <f>$G27*#REF!</f>
        <v>#REF!</v>
      </c>
      <c r="I27" s="16" t="e">
        <f>$G27*#REF!</f>
        <v>#REF!</v>
      </c>
    </row>
    <row r="28" spans="2:10" s="7" customFormat="1" ht="15" x14ac:dyDescent="0.3">
      <c r="C28" s="9"/>
      <c r="D28" s="17"/>
      <c r="E28" s="9">
        <f>SUM(E26:E27)</f>
        <v>7.21</v>
      </c>
      <c r="F28" s="21"/>
      <c r="G28" s="20">
        <f>SUM(G26:G27)</f>
        <v>600135.97139999992</v>
      </c>
      <c r="H28" s="20" t="e">
        <f>SUM(H26:H27)</f>
        <v>#REF!</v>
      </c>
      <c r="I28" s="20" t="e">
        <f>SUM(I26:I27)</f>
        <v>#REF!</v>
      </c>
      <c r="J28" s="9"/>
    </row>
    <row r="29" spans="2:10" s="7" customFormat="1" ht="15" x14ac:dyDescent="0.3">
      <c r="B29" s="11" t="s">
        <v>24</v>
      </c>
      <c r="C29" s="11" t="s">
        <v>147</v>
      </c>
      <c r="D29" s="13"/>
      <c r="F29" s="39"/>
      <c r="G29" s="24"/>
      <c r="H29" s="24"/>
      <c r="I29" s="24"/>
    </row>
    <row r="30" spans="2:10" s="7" customFormat="1" ht="13.5" x14ac:dyDescent="0.25">
      <c r="B30" s="7">
        <v>1</v>
      </c>
      <c r="C30" s="7" t="s">
        <v>160</v>
      </c>
      <c r="D30" s="13" t="s">
        <v>103</v>
      </c>
      <c r="E30" s="7">
        <f>E28</f>
        <v>7.21</v>
      </c>
      <c r="F30" s="39">
        <v>112</v>
      </c>
      <c r="G30" s="12">
        <f>E30*F30</f>
        <v>807.52</v>
      </c>
      <c r="H30" s="16" t="e">
        <f>$G30*#REF!</f>
        <v>#REF!</v>
      </c>
      <c r="I30" s="16" t="e">
        <f>$G30*#REF!</f>
        <v>#REF!</v>
      </c>
    </row>
    <row r="31" spans="2:10" s="7" customFormat="1" ht="15" x14ac:dyDescent="0.3">
      <c r="C31" s="9"/>
      <c r="D31" s="17"/>
      <c r="E31" s="9"/>
      <c r="F31" s="21"/>
      <c r="G31" s="20">
        <f>SUM(G30)</f>
        <v>807.52</v>
      </c>
      <c r="H31" s="20" t="e">
        <f>SUM(H30)</f>
        <v>#REF!</v>
      </c>
      <c r="I31" s="20" t="e">
        <f>SUM(I30)</f>
        <v>#REF!</v>
      </c>
      <c r="J31" s="9"/>
    </row>
    <row r="32" spans="2:10" s="7" customFormat="1" ht="15" x14ac:dyDescent="0.3">
      <c r="B32" s="11" t="s">
        <v>28</v>
      </c>
      <c r="C32" s="11" t="s">
        <v>39</v>
      </c>
      <c r="D32" s="13"/>
      <c r="F32" s="12"/>
      <c r="G32" s="12"/>
    </row>
    <row r="33" spans="2:10" s="7" customFormat="1" ht="13.5" x14ac:dyDescent="0.25">
      <c r="B33" s="7">
        <v>1</v>
      </c>
      <c r="C33" s="7" t="s">
        <v>2</v>
      </c>
      <c r="D33" s="13" t="s">
        <v>135</v>
      </c>
      <c r="E33" s="7">
        <v>4</v>
      </c>
      <c r="F33" s="12">
        <f>Harga!D68</f>
        <v>148028</v>
      </c>
      <c r="G33" s="12">
        <f>E33*F33</f>
        <v>592112</v>
      </c>
      <c r="H33" s="16" t="e">
        <f>$G33*#REF!</f>
        <v>#REF!</v>
      </c>
      <c r="I33" s="16" t="e">
        <f>$G33*#REF!</f>
        <v>#REF!</v>
      </c>
    </row>
    <row r="34" spans="2:10" s="7" customFormat="1" ht="13.5" x14ac:dyDescent="0.25">
      <c r="B34" s="7">
        <v>2</v>
      </c>
      <c r="C34" s="7" t="s">
        <v>11</v>
      </c>
      <c r="D34" s="13" t="s">
        <v>135</v>
      </c>
      <c r="E34" s="7">
        <f>G14-E33-E35</f>
        <v>81</v>
      </c>
      <c r="F34" s="12">
        <f>Harga!D69</f>
        <v>0</v>
      </c>
      <c r="G34" s="12">
        <f>E34*F34</f>
        <v>0</v>
      </c>
      <c r="H34" s="16" t="e">
        <f>$G34*#REF!</f>
        <v>#REF!</v>
      </c>
      <c r="I34" s="16" t="e">
        <f>$G34*#REF!</f>
        <v>#REF!</v>
      </c>
    </row>
    <row r="35" spans="2:10" s="7" customFormat="1" ht="13.5" x14ac:dyDescent="0.25">
      <c r="B35" s="7">
        <v>3</v>
      </c>
      <c r="C35" s="7" t="s">
        <v>77</v>
      </c>
      <c r="D35" s="13" t="s">
        <v>135</v>
      </c>
      <c r="E35" s="7">
        <v>9</v>
      </c>
      <c r="F35" s="12">
        <f>Harga!D68</f>
        <v>148028</v>
      </c>
      <c r="G35" s="12">
        <f>E35*F35</f>
        <v>1332252</v>
      </c>
      <c r="H35" s="16" t="e">
        <f>$G35*#REF!</f>
        <v>#REF!</v>
      </c>
      <c r="I35" s="16" t="e">
        <f>$G35*#REF!</f>
        <v>#REF!</v>
      </c>
    </row>
    <row r="36" spans="2:10" s="7" customFormat="1" ht="15" x14ac:dyDescent="0.3">
      <c r="C36" s="8"/>
      <c r="D36" s="9"/>
      <c r="E36" s="9">
        <f>SUM(E33:E35)</f>
        <v>94</v>
      </c>
      <c r="F36" s="21"/>
      <c r="G36" s="20">
        <f>SUM(G33:G35)</f>
        <v>1924364</v>
      </c>
      <c r="H36" s="20" t="e">
        <f>SUM(H33:H35)</f>
        <v>#REF!</v>
      </c>
      <c r="I36" s="20" t="e">
        <f>SUM(I33:I35)</f>
        <v>#REF!</v>
      </c>
      <c r="J36" s="9"/>
    </row>
    <row r="37" spans="2:10" s="7" customFormat="1" ht="13.5" x14ac:dyDescent="0.25">
      <c r="F37" s="12"/>
      <c r="G37" s="12"/>
    </row>
    <row r="38" spans="2:10" s="7" customFormat="1" ht="15.75" thickBot="1" x14ac:dyDescent="0.35">
      <c r="B38" s="44"/>
      <c r="C38" s="45" t="s">
        <v>41</v>
      </c>
      <c r="D38" s="44"/>
      <c r="E38" s="44"/>
      <c r="F38" s="46"/>
      <c r="G38" s="47">
        <f>G24+G28+G36</f>
        <v>7106498.9714000002</v>
      </c>
      <c r="H38" s="47" t="e">
        <f>H24+H36</f>
        <v>#REF!</v>
      </c>
      <c r="I38" s="47" t="e">
        <f>I24+I36</f>
        <v>#REF!</v>
      </c>
      <c r="J38" s="44"/>
    </row>
    <row r="39" spans="2:10" s="7" customFormat="1" ht="13.5" x14ac:dyDescent="0.25">
      <c r="H39" s="43"/>
      <c r="I39" s="48"/>
    </row>
    <row r="40" spans="2:10" s="7" customFormat="1" ht="13.5" x14ac:dyDescent="0.25">
      <c r="G40" s="16"/>
    </row>
  </sheetData>
  <mergeCells count="4">
    <mergeCell ref="D16:E16"/>
    <mergeCell ref="B1:J1"/>
    <mergeCell ref="B2:J2"/>
    <mergeCell ref="E4:F4"/>
  </mergeCells>
  <phoneticPr fontId="0" type="noConversion"/>
  <pageMargins left="1.5" right="0.5" top="0.75" bottom="0.75" header="0.5" footer="0.5"/>
  <pageSetup paperSize="9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95"/>
  <sheetViews>
    <sheetView topLeftCell="A13" zoomScaleNormal="100" workbookViewId="0">
      <selection activeCell="L43" sqref="L43"/>
    </sheetView>
  </sheetViews>
  <sheetFormatPr defaultColWidth="8.6640625" defaultRowHeight="11.25" x14ac:dyDescent="0.2"/>
  <cols>
    <col min="1" max="1" width="3.1640625" customWidth="1"/>
    <col min="2" max="2" width="25.6640625" customWidth="1"/>
    <col min="3" max="3" width="6.5" customWidth="1"/>
    <col min="4" max="4" width="9" bestFit="1" customWidth="1"/>
    <col min="5" max="5" width="13.1640625" customWidth="1"/>
    <col min="6" max="6" width="2.1640625" customWidth="1"/>
    <col min="7" max="7" width="17" customWidth="1"/>
    <col min="8" max="8" width="9" customWidth="1"/>
    <col min="9" max="9" width="28.6640625" customWidth="1"/>
    <col min="10" max="10" width="10.6640625" customWidth="1"/>
    <col min="11" max="11" width="14" bestFit="1" customWidth="1"/>
    <col min="12" max="12" width="17.6640625" bestFit="1" customWidth="1"/>
    <col min="14" max="14" width="16.6640625" style="4" bestFit="1" customWidth="1"/>
    <col min="19" max="19" width="16.5" style="244" bestFit="1" customWidth="1"/>
    <col min="20" max="20" width="17.1640625" style="244" customWidth="1"/>
  </cols>
  <sheetData>
    <row r="1" spans="1:13" ht="15.75" x14ac:dyDescent="0.25">
      <c r="A1" s="585" t="s">
        <v>201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</row>
    <row r="2" spans="1:13" ht="15.75" x14ac:dyDescent="0.25">
      <c r="A2" s="585" t="s">
        <v>1</v>
      </c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585"/>
    </row>
    <row r="3" spans="1:13" ht="15.75" x14ac:dyDescent="0.25">
      <c r="A3" s="6"/>
      <c r="B3" s="6"/>
      <c r="C3" s="6"/>
      <c r="D3" s="6"/>
      <c r="E3" s="6"/>
      <c r="F3" s="6"/>
      <c r="G3" s="6"/>
      <c r="H3" s="6"/>
      <c r="I3" s="6"/>
    </row>
    <row r="4" spans="1:13" ht="15" x14ac:dyDescent="0.3">
      <c r="A4" s="8" t="s">
        <v>108</v>
      </c>
      <c r="B4" s="9"/>
      <c r="C4" s="611" t="s">
        <v>35</v>
      </c>
      <c r="D4" s="611"/>
      <c r="E4" s="10" t="s">
        <v>37</v>
      </c>
      <c r="F4" s="10" t="s">
        <v>109</v>
      </c>
      <c r="G4" s="10" t="s">
        <v>42</v>
      </c>
      <c r="H4" s="7"/>
      <c r="I4" s="8" t="s">
        <v>31</v>
      </c>
      <c r="J4" s="8"/>
      <c r="K4" s="2"/>
      <c r="L4" s="8" t="s">
        <v>33</v>
      </c>
      <c r="M4" s="7"/>
    </row>
    <row r="5" spans="1:13" ht="15" x14ac:dyDescent="0.3">
      <c r="A5" s="11" t="s">
        <v>12</v>
      </c>
      <c r="B5" s="11" t="s">
        <v>13</v>
      </c>
      <c r="C5" s="7"/>
      <c r="D5" s="12"/>
      <c r="E5" s="12"/>
      <c r="F5" s="12"/>
      <c r="G5" s="12"/>
      <c r="H5" s="7"/>
      <c r="I5" s="7" t="s">
        <v>2</v>
      </c>
      <c r="J5" s="7"/>
      <c r="L5" s="553">
        <v>1</v>
      </c>
      <c r="M5" s="7"/>
    </row>
    <row r="6" spans="1:13" ht="13.5" x14ac:dyDescent="0.25">
      <c r="A6" s="7">
        <v>1</v>
      </c>
      <c r="B6" s="7" t="s">
        <v>14</v>
      </c>
      <c r="C6" s="13" t="s">
        <v>105</v>
      </c>
      <c r="D6" s="7">
        <v>1</v>
      </c>
      <c r="E6" s="14">
        <f>Harga!D12</f>
        <v>50000</v>
      </c>
      <c r="F6" s="15"/>
      <c r="G6" s="12">
        <f>(E6+F6)*D6</f>
        <v>50000</v>
      </c>
      <c r="H6" s="7"/>
      <c r="I6" s="7" t="s">
        <v>98</v>
      </c>
      <c r="J6" s="7"/>
      <c r="L6" s="553"/>
      <c r="M6" s="7"/>
    </row>
    <row r="7" spans="1:13" ht="13.5" x14ac:dyDescent="0.25">
      <c r="A7" s="7">
        <v>2</v>
      </c>
      <c r="B7" s="7" t="s">
        <v>15</v>
      </c>
      <c r="C7" s="13" t="s">
        <v>100</v>
      </c>
      <c r="D7" s="7">
        <v>0.01</v>
      </c>
      <c r="E7" s="14">
        <f>Harga!D13</f>
        <v>1450770</v>
      </c>
      <c r="F7" s="15"/>
      <c r="G7" s="12">
        <f>(E7+F7)*D7</f>
        <v>14507.7</v>
      </c>
      <c r="H7" s="7"/>
      <c r="I7" s="7" t="s">
        <v>3</v>
      </c>
      <c r="J7" s="7"/>
      <c r="L7" s="553">
        <v>0.25</v>
      </c>
      <c r="M7" s="7"/>
    </row>
    <row r="8" spans="1:13" ht="13.5" x14ac:dyDescent="0.25">
      <c r="A8" s="7">
        <v>3</v>
      </c>
      <c r="B8" s="7" t="s">
        <v>146</v>
      </c>
      <c r="C8" s="13" t="s">
        <v>132</v>
      </c>
      <c r="D8" s="7"/>
      <c r="E8" s="12">
        <f>E7*25%</f>
        <v>362692.5</v>
      </c>
      <c r="F8" s="7"/>
      <c r="G8" s="12">
        <f>(E8+F8)*D8</f>
        <v>0</v>
      </c>
      <c r="H8" s="7"/>
      <c r="I8" s="7" t="s">
        <v>4</v>
      </c>
      <c r="J8" s="7"/>
      <c r="L8" s="553">
        <v>7.4999999999999997E-2</v>
      </c>
      <c r="M8" s="7"/>
    </row>
    <row r="9" spans="1:13" ht="13.5" x14ac:dyDescent="0.25">
      <c r="A9" s="7">
        <v>4</v>
      </c>
      <c r="B9" s="7" t="s">
        <v>16</v>
      </c>
      <c r="C9" s="13" t="s">
        <v>132</v>
      </c>
      <c r="D9" s="7"/>
      <c r="E9" s="14">
        <f>Harga!D15</f>
        <v>1500000</v>
      </c>
      <c r="F9" s="15"/>
      <c r="G9" s="12">
        <f>(E9+F9)*D9</f>
        <v>0</v>
      </c>
      <c r="H9" s="7"/>
      <c r="I9" s="7" t="s">
        <v>5</v>
      </c>
      <c r="J9" s="7"/>
      <c r="L9" s="553">
        <v>0.5</v>
      </c>
      <c r="M9" s="7"/>
    </row>
    <row r="10" spans="1:13" ht="13.5" x14ac:dyDescent="0.25">
      <c r="A10" s="7">
        <v>5</v>
      </c>
      <c r="B10" s="7" t="s">
        <v>17</v>
      </c>
      <c r="C10" s="13" t="s">
        <v>100</v>
      </c>
      <c r="D10" s="7"/>
      <c r="E10" s="14">
        <f>Harga!D16</f>
        <v>2112000</v>
      </c>
      <c r="F10" s="15"/>
      <c r="G10" s="12">
        <f>(E10+F10)*D10</f>
        <v>0</v>
      </c>
      <c r="H10" s="7"/>
      <c r="I10" s="7" t="s">
        <v>519</v>
      </c>
      <c r="J10" s="7"/>
      <c r="L10" s="553">
        <v>7.4999999999999997E-2</v>
      </c>
      <c r="M10" s="7"/>
    </row>
    <row r="11" spans="1:13" ht="15" x14ac:dyDescent="0.3">
      <c r="A11" s="8"/>
      <c r="B11" s="9"/>
      <c r="C11" s="17"/>
      <c r="D11" s="9"/>
      <c r="E11" s="18"/>
      <c r="F11" s="19"/>
      <c r="G11" s="20">
        <f>SUM(G6:G10)</f>
        <v>64507.7</v>
      </c>
      <c r="H11" s="7"/>
      <c r="I11" s="7" t="s">
        <v>99</v>
      </c>
      <c r="J11" s="7"/>
      <c r="L11" s="553">
        <v>3.7</v>
      </c>
      <c r="M11" s="7"/>
    </row>
    <row r="12" spans="1:13" ht="15" x14ac:dyDescent="0.3">
      <c r="A12" s="11" t="s">
        <v>18</v>
      </c>
      <c r="B12" s="11" t="s">
        <v>19</v>
      </c>
      <c r="C12" s="49"/>
      <c r="D12" s="12"/>
      <c r="E12" s="14"/>
      <c r="F12" s="15"/>
      <c r="G12" s="12"/>
      <c r="H12" s="7"/>
      <c r="I12" s="7" t="s">
        <v>523</v>
      </c>
      <c r="J12" s="7"/>
      <c r="L12" s="553">
        <v>0.91</v>
      </c>
      <c r="M12" s="7"/>
    </row>
    <row r="13" spans="1:13" ht="13.5" x14ac:dyDescent="0.25">
      <c r="A13" s="7">
        <v>1</v>
      </c>
      <c r="B13" s="7" t="s">
        <v>21</v>
      </c>
      <c r="C13" s="13" t="s">
        <v>101</v>
      </c>
      <c r="D13" s="7">
        <v>1000</v>
      </c>
      <c r="E13" s="14">
        <f>Harga!D23</f>
        <v>10000</v>
      </c>
      <c r="F13" s="15"/>
      <c r="G13" s="12">
        <f>(E13+F13)*D13</f>
        <v>10000000</v>
      </c>
      <c r="H13" s="7"/>
      <c r="I13" s="7" t="s">
        <v>6</v>
      </c>
      <c r="J13" s="7"/>
      <c r="L13" s="553">
        <v>0.56000000000000005</v>
      </c>
      <c r="M13" s="7"/>
    </row>
    <row r="14" spans="1:13" ht="13.5" x14ac:dyDescent="0.25">
      <c r="A14" s="7">
        <v>2</v>
      </c>
      <c r="B14" s="7" t="s">
        <v>22</v>
      </c>
      <c r="C14" s="13" t="s">
        <v>100</v>
      </c>
      <c r="D14" s="7">
        <v>1</v>
      </c>
      <c r="E14" s="14">
        <f>Harga!D24</f>
        <v>461201</v>
      </c>
      <c r="F14" s="15"/>
      <c r="G14" s="12">
        <f>(E14+F14)*D14</f>
        <v>461201</v>
      </c>
      <c r="H14" s="7"/>
      <c r="I14" s="7" t="s">
        <v>7</v>
      </c>
      <c r="J14" s="7"/>
      <c r="L14" s="553">
        <v>0.08</v>
      </c>
      <c r="M14" s="7"/>
    </row>
    <row r="15" spans="1:13" ht="13.5" x14ac:dyDescent="0.25">
      <c r="A15" s="7">
        <v>3</v>
      </c>
      <c r="B15" s="7" t="s">
        <v>314</v>
      </c>
      <c r="C15" s="13" t="s">
        <v>103</v>
      </c>
      <c r="D15" s="7">
        <v>4.9000000000000004</v>
      </c>
      <c r="E15" s="14">
        <f>Harga!D25</f>
        <v>22500</v>
      </c>
      <c r="F15" s="15"/>
      <c r="G15" s="12">
        <f>(E15+F15)*D15</f>
        <v>110250.00000000001</v>
      </c>
      <c r="H15" s="7"/>
      <c r="I15" s="7" t="s">
        <v>520</v>
      </c>
      <c r="J15" s="7"/>
      <c r="L15" s="553">
        <v>0.4</v>
      </c>
      <c r="M15" s="7"/>
    </row>
    <row r="16" spans="1:13" ht="13.5" x14ac:dyDescent="0.25">
      <c r="A16" s="7">
        <v>4</v>
      </c>
      <c r="B16" s="7" t="s">
        <v>23</v>
      </c>
      <c r="C16" s="13"/>
      <c r="D16" s="7"/>
      <c r="E16" s="14"/>
      <c r="F16" s="15"/>
      <c r="G16" s="12">
        <f>(E16+F16)*D16</f>
        <v>0</v>
      </c>
      <c r="H16" s="7"/>
      <c r="I16" s="7" t="s">
        <v>521</v>
      </c>
      <c r="J16" s="7"/>
      <c r="L16" s="553">
        <v>0.2</v>
      </c>
      <c r="M16" s="7"/>
    </row>
    <row r="17" spans="1:13" ht="15" x14ac:dyDescent="0.3">
      <c r="A17" s="8"/>
      <c r="B17" s="9"/>
      <c r="C17" s="17"/>
      <c r="D17" s="21"/>
      <c r="E17" s="18"/>
      <c r="F17" s="19"/>
      <c r="G17" s="20">
        <f>SUM(G13:G16)</f>
        <v>10571451</v>
      </c>
      <c r="H17" s="7"/>
      <c r="I17" s="7" t="s">
        <v>8</v>
      </c>
      <c r="J17" s="7"/>
      <c r="L17" s="553">
        <v>0.8</v>
      </c>
      <c r="M17" s="7"/>
    </row>
    <row r="18" spans="1:13" ht="15" x14ac:dyDescent="0.3">
      <c r="A18" s="11" t="s">
        <v>24</v>
      </c>
      <c r="B18" s="11" t="s">
        <v>25</v>
      </c>
      <c r="C18" s="49"/>
      <c r="D18" s="12"/>
      <c r="E18" s="14"/>
      <c r="F18" s="15"/>
      <c r="G18" s="12"/>
      <c r="H18" s="7"/>
      <c r="I18" s="7" t="s">
        <v>9</v>
      </c>
      <c r="J18" s="7"/>
      <c r="L18" s="553">
        <v>0.7</v>
      </c>
      <c r="M18" s="7"/>
    </row>
    <row r="19" spans="1:13" ht="13.5" x14ac:dyDescent="0.25">
      <c r="A19" s="7">
        <v>1</v>
      </c>
      <c r="B19" s="7" t="s">
        <v>88</v>
      </c>
      <c r="C19" s="13" t="s">
        <v>103</v>
      </c>
      <c r="D19" s="7"/>
      <c r="E19" s="14">
        <f>Harga!D35</f>
        <v>5561.1</v>
      </c>
      <c r="F19" s="15"/>
      <c r="G19" s="12">
        <f t="shared" ref="G19:G26" si="0">(E19+F19)*D19</f>
        <v>0</v>
      </c>
      <c r="H19" s="7"/>
      <c r="I19" s="7" t="s">
        <v>522</v>
      </c>
      <c r="J19" s="7"/>
      <c r="L19" s="553">
        <v>0.5</v>
      </c>
      <c r="M19" s="7"/>
    </row>
    <row r="20" spans="1:13" ht="13.5" x14ac:dyDescent="0.25">
      <c r="A20" s="7">
        <v>2</v>
      </c>
      <c r="B20" s="7" t="s">
        <v>20</v>
      </c>
      <c r="C20" s="13" t="s">
        <v>103</v>
      </c>
      <c r="D20" s="7"/>
      <c r="E20" s="14">
        <f>Harga!D40</f>
        <v>6444.51</v>
      </c>
      <c r="F20" s="15"/>
      <c r="G20" s="12">
        <f t="shared" si="0"/>
        <v>0</v>
      </c>
      <c r="H20" s="7"/>
      <c r="I20" s="7" t="s">
        <v>10</v>
      </c>
      <c r="J20" s="7"/>
      <c r="L20" s="554">
        <v>0.2</v>
      </c>
      <c r="M20" s="7"/>
    </row>
    <row r="21" spans="1:13" ht="15" x14ac:dyDescent="0.3">
      <c r="A21" s="7">
        <v>3</v>
      </c>
      <c r="B21" s="7" t="s">
        <v>52</v>
      </c>
      <c r="C21" s="13" t="s">
        <v>103</v>
      </c>
      <c r="D21" s="7">
        <v>50</v>
      </c>
      <c r="E21" s="14">
        <f>Harga!D41</f>
        <v>2008.63</v>
      </c>
      <c r="F21" s="15"/>
      <c r="G21" s="12">
        <f t="shared" si="0"/>
        <v>100431.5</v>
      </c>
      <c r="H21" s="7"/>
      <c r="I21" s="8" t="s">
        <v>42</v>
      </c>
      <c r="J21" s="9"/>
      <c r="K21" s="2"/>
      <c r="L21" s="8">
        <f>SUM(L5:L20)</f>
        <v>9.9499999999999993</v>
      </c>
      <c r="M21" s="7"/>
    </row>
    <row r="22" spans="1:13" ht="13.5" x14ac:dyDescent="0.25">
      <c r="A22" s="7">
        <v>4</v>
      </c>
      <c r="B22" s="7" t="s">
        <v>27</v>
      </c>
      <c r="C22" s="13" t="s">
        <v>103</v>
      </c>
      <c r="D22" s="7"/>
      <c r="E22" s="14">
        <f>Harga!D38</f>
        <v>1115</v>
      </c>
      <c r="F22" s="15"/>
      <c r="G22" s="12">
        <f t="shared" si="0"/>
        <v>0</v>
      </c>
      <c r="H22" s="7"/>
      <c r="I22" s="7"/>
      <c r="J22" s="7"/>
      <c r="K22" s="7"/>
      <c r="L22" s="7"/>
      <c r="M22" s="7"/>
    </row>
    <row r="23" spans="1:13" ht="15" x14ac:dyDescent="0.3">
      <c r="A23" s="7">
        <v>5</v>
      </c>
      <c r="B23" s="7" t="s">
        <v>89</v>
      </c>
      <c r="C23" s="13" t="s">
        <v>103</v>
      </c>
      <c r="D23" s="7"/>
      <c r="E23" s="14">
        <f>Harga!D46</f>
        <v>2108</v>
      </c>
      <c r="F23" s="15"/>
      <c r="G23" s="12">
        <f t="shared" si="0"/>
        <v>0</v>
      </c>
      <c r="H23" s="7"/>
      <c r="I23" s="11" t="s">
        <v>110</v>
      </c>
      <c r="J23" s="7"/>
      <c r="K23" s="7"/>
      <c r="L23" s="7"/>
      <c r="M23" s="7"/>
    </row>
    <row r="24" spans="1:13" ht="13.5" x14ac:dyDescent="0.25">
      <c r="A24" s="7">
        <v>6</v>
      </c>
      <c r="B24" s="7" t="s">
        <v>490</v>
      </c>
      <c r="C24" s="13" t="s">
        <v>103</v>
      </c>
      <c r="D24" s="7">
        <v>5</v>
      </c>
      <c r="E24" s="14">
        <f>Harga!D47</f>
        <v>35662.699999999997</v>
      </c>
      <c r="F24" s="15"/>
      <c r="G24" s="12">
        <f t="shared" si="0"/>
        <v>178313.5</v>
      </c>
      <c r="H24" s="7"/>
      <c r="I24" s="7" t="s">
        <v>137</v>
      </c>
      <c r="J24" s="7">
        <v>0</v>
      </c>
      <c r="K24" s="14">
        <f>Harga!D68</f>
        <v>148028</v>
      </c>
      <c r="L24" s="552">
        <f>J24*K24</f>
        <v>0</v>
      </c>
      <c r="M24" s="7"/>
    </row>
    <row r="25" spans="1:13" ht="13.5" x14ac:dyDescent="0.25">
      <c r="A25" s="7">
        <v>7</v>
      </c>
      <c r="B25" s="7" t="s">
        <v>495</v>
      </c>
      <c r="C25" s="13" t="s">
        <v>103</v>
      </c>
      <c r="D25" s="7"/>
      <c r="E25" s="14">
        <f>Harga!D45</f>
        <v>926</v>
      </c>
      <c r="F25" s="15"/>
      <c r="G25" s="12">
        <f t="shared" si="0"/>
        <v>0</v>
      </c>
      <c r="H25" s="7"/>
      <c r="I25" s="7" t="s">
        <v>111</v>
      </c>
      <c r="J25" s="7">
        <v>0</v>
      </c>
      <c r="K25" s="14">
        <f>Harga!D17</f>
        <v>30000</v>
      </c>
      <c r="L25" s="12">
        <f>J25*K25</f>
        <v>0</v>
      </c>
      <c r="M25" s="7"/>
    </row>
    <row r="26" spans="1:13" ht="13.5" x14ac:dyDescent="0.25">
      <c r="A26" s="7">
        <v>8</v>
      </c>
      <c r="B26" s="7" t="s">
        <v>93</v>
      </c>
      <c r="C26" s="13" t="s">
        <v>104</v>
      </c>
      <c r="D26" s="7">
        <v>1</v>
      </c>
      <c r="E26" s="14">
        <f>Harga!D39</f>
        <v>61795.55</v>
      </c>
      <c r="F26" s="15"/>
      <c r="G26" s="12">
        <f t="shared" si="0"/>
        <v>61795.55</v>
      </c>
      <c r="H26" s="7"/>
      <c r="I26" s="7" t="s">
        <v>112</v>
      </c>
      <c r="J26" s="7">
        <v>0</v>
      </c>
      <c r="K26" s="14">
        <f>Harga!D18</f>
        <v>78843</v>
      </c>
      <c r="L26" s="12">
        <f>J26*K26</f>
        <v>0</v>
      </c>
      <c r="M26" s="7"/>
    </row>
    <row r="27" spans="1:13" ht="15" x14ac:dyDescent="0.3">
      <c r="A27" s="9"/>
      <c r="B27" s="8"/>
      <c r="C27" s="17"/>
      <c r="D27" s="9">
        <f>SUM(D19:D26)</f>
        <v>56</v>
      </c>
      <c r="E27" s="18"/>
      <c r="F27" s="19"/>
      <c r="G27" s="20">
        <f>SUM(G19:G26)</f>
        <v>340540.55</v>
      </c>
      <c r="H27" s="7"/>
      <c r="I27" s="7" t="s">
        <v>113</v>
      </c>
      <c r="J27" s="7">
        <v>0</v>
      </c>
      <c r="K27" s="14">
        <f>Harga!D19</f>
        <v>18500</v>
      </c>
      <c r="L27" s="12">
        <f>J27*K27</f>
        <v>0</v>
      </c>
      <c r="M27" s="7"/>
    </row>
    <row r="28" spans="1:13" ht="15" x14ac:dyDescent="0.3">
      <c r="A28" s="11" t="s">
        <v>28</v>
      </c>
      <c r="B28" s="11" t="s">
        <v>26</v>
      </c>
      <c r="C28" s="13"/>
      <c r="D28" s="7"/>
      <c r="E28" s="14"/>
      <c r="F28" s="15"/>
      <c r="G28" s="12"/>
      <c r="H28" s="7"/>
      <c r="I28" s="7" t="s">
        <v>136</v>
      </c>
      <c r="J28" s="7">
        <v>0</v>
      </c>
      <c r="K28" s="14">
        <f>Harga!D20</f>
        <v>5000000</v>
      </c>
      <c r="L28" s="12">
        <f>J28*K28</f>
        <v>0</v>
      </c>
      <c r="M28" s="7"/>
    </row>
    <row r="29" spans="1:13" ht="15" x14ac:dyDescent="0.3">
      <c r="A29" s="7">
        <v>1</v>
      </c>
      <c r="B29" s="7" t="s">
        <v>95</v>
      </c>
      <c r="C29" s="13" t="s">
        <v>104</v>
      </c>
      <c r="D29" s="7">
        <v>0.12</v>
      </c>
      <c r="E29" s="14">
        <f>Harga!D54</f>
        <v>315000</v>
      </c>
      <c r="F29" s="15"/>
      <c r="G29" s="12">
        <f>(E29+F29)*D29</f>
        <v>37800</v>
      </c>
      <c r="H29" s="7"/>
      <c r="I29" s="8" t="s">
        <v>34</v>
      </c>
      <c r="J29" s="21"/>
      <c r="K29" s="21"/>
      <c r="L29" s="20">
        <f>SUM(L24:L28)</f>
        <v>0</v>
      </c>
      <c r="M29" s="7"/>
    </row>
    <row r="30" spans="1:13" ht="13.5" x14ac:dyDescent="0.25">
      <c r="A30" s="7">
        <v>2</v>
      </c>
      <c r="B30" s="7" t="s">
        <v>96</v>
      </c>
      <c r="C30" s="13" t="s">
        <v>104</v>
      </c>
      <c r="D30" s="7">
        <v>0.12</v>
      </c>
      <c r="E30" s="14">
        <f>Harga!D55</f>
        <v>157135</v>
      </c>
      <c r="F30" s="15"/>
      <c r="G30" s="12">
        <f>(E30+F30)*D30</f>
        <v>18856.2</v>
      </c>
      <c r="H30" s="7"/>
      <c r="I30" s="7"/>
      <c r="J30" s="7"/>
      <c r="K30" s="7"/>
      <c r="L30" s="7"/>
      <c r="M30" s="7"/>
    </row>
    <row r="31" spans="1:13" ht="15" x14ac:dyDescent="0.3">
      <c r="A31" s="7">
        <v>3</v>
      </c>
      <c r="B31" s="7" t="s">
        <v>97</v>
      </c>
      <c r="C31" s="13" t="s">
        <v>104</v>
      </c>
      <c r="D31" s="7">
        <v>0.18</v>
      </c>
      <c r="E31" s="14">
        <f>Harga!D56</f>
        <v>159075</v>
      </c>
      <c r="F31" s="15"/>
      <c r="G31" s="12">
        <f>(E31+F31)*D31</f>
        <v>28633.5</v>
      </c>
      <c r="H31" s="7"/>
      <c r="I31" s="11" t="s">
        <v>114</v>
      </c>
      <c r="J31" s="12"/>
      <c r="K31" s="12"/>
      <c r="L31" s="12"/>
      <c r="M31" s="7"/>
    </row>
    <row r="32" spans="1:13" ht="15" x14ac:dyDescent="0.3">
      <c r="A32" s="9"/>
      <c r="B32" s="8"/>
      <c r="C32" s="17"/>
      <c r="D32" s="9">
        <f>SUM(D29:D31)</f>
        <v>0.42</v>
      </c>
      <c r="E32" s="22"/>
      <c r="F32" s="19"/>
      <c r="G32" s="20">
        <f>SUM(G29:G31)</f>
        <v>85289.7</v>
      </c>
      <c r="H32" s="7"/>
      <c r="I32" s="7" t="s">
        <v>524</v>
      </c>
      <c r="J32" s="12"/>
      <c r="K32" s="12"/>
      <c r="L32" s="12">
        <v>620900</v>
      </c>
      <c r="M32" s="7"/>
    </row>
    <row r="33" spans="1:14" ht="15" x14ac:dyDescent="0.3">
      <c r="A33" s="11" t="s">
        <v>38</v>
      </c>
      <c r="B33" s="11" t="s">
        <v>68</v>
      </c>
      <c r="C33" s="13"/>
      <c r="D33" s="7"/>
      <c r="E33" s="14"/>
      <c r="F33" s="23"/>
      <c r="G33" s="24"/>
      <c r="H33" s="7"/>
      <c r="I33" s="7" t="s">
        <v>108</v>
      </c>
      <c r="J33" s="12"/>
      <c r="K33" s="12"/>
      <c r="L33" s="12">
        <f>G41</f>
        <v>12732104.25</v>
      </c>
      <c r="M33" s="7"/>
    </row>
    <row r="34" spans="1:14" ht="15" x14ac:dyDescent="0.3">
      <c r="A34" s="7">
        <v>1</v>
      </c>
      <c r="B34" s="7" t="s">
        <v>525</v>
      </c>
      <c r="C34" s="13" t="s">
        <v>526</v>
      </c>
      <c r="D34" s="14">
        <v>2</v>
      </c>
      <c r="E34" s="14">
        <f>Harga!D65</f>
        <v>77762</v>
      </c>
      <c r="F34" s="12"/>
      <c r="G34" s="12">
        <f>(E34+F34)*D34</f>
        <v>155524</v>
      </c>
      <c r="H34" s="7"/>
      <c r="I34" s="8" t="s">
        <v>42</v>
      </c>
      <c r="J34" s="21"/>
      <c r="K34" s="21"/>
      <c r="L34" s="20">
        <f>L32+L33</f>
        <v>13353004.25</v>
      </c>
      <c r="M34" s="7"/>
    </row>
    <row r="35" spans="1:14" ht="13.5" x14ac:dyDescent="0.25">
      <c r="A35" s="7">
        <v>2</v>
      </c>
      <c r="B35" s="7" t="s">
        <v>30</v>
      </c>
      <c r="C35" s="13">
        <f>'Tingkat Jalan Mineral'!G20</f>
        <v>998942.8</v>
      </c>
      <c r="D35" s="25">
        <v>100</v>
      </c>
      <c r="E35" s="26">
        <v>50</v>
      </c>
      <c r="F35" s="12"/>
      <c r="G35" s="12">
        <f>(E35+F35)*D35</f>
        <v>5000</v>
      </c>
      <c r="H35" s="7"/>
      <c r="I35" s="7"/>
      <c r="J35" s="7"/>
      <c r="K35" s="7"/>
      <c r="L35" s="7"/>
      <c r="M35" s="7"/>
    </row>
    <row r="36" spans="1:14" ht="15" x14ac:dyDescent="0.3">
      <c r="A36" s="9"/>
      <c r="B36" s="9"/>
      <c r="C36" s="10">
        <f>'Tingkat Jalan Mineral'!Q20</f>
        <v>1522646.8</v>
      </c>
      <c r="D36" s="9"/>
      <c r="E36" s="18"/>
      <c r="F36" s="21"/>
      <c r="G36" s="20">
        <f>SUM(G34:G35)</f>
        <v>160524</v>
      </c>
      <c r="H36" s="7"/>
      <c r="I36" s="7" t="s">
        <v>115</v>
      </c>
      <c r="J36" s="12"/>
      <c r="K36" s="12">
        <v>1000</v>
      </c>
      <c r="L36" s="12"/>
      <c r="M36" s="7"/>
    </row>
    <row r="37" spans="1:14" ht="15" x14ac:dyDescent="0.3">
      <c r="A37" s="11" t="s">
        <v>107</v>
      </c>
      <c r="B37" s="11" t="s">
        <v>39</v>
      </c>
      <c r="C37" s="13">
        <f>'Drainase Tnh Mineral '!Q21</f>
        <v>581740</v>
      </c>
      <c r="D37" s="7"/>
      <c r="E37" s="27"/>
      <c r="F37" s="12"/>
      <c r="G37" s="12"/>
      <c r="H37" s="7"/>
      <c r="I37" s="7" t="s">
        <v>138</v>
      </c>
      <c r="J37" s="12"/>
      <c r="K37" s="12">
        <v>90</v>
      </c>
      <c r="L37" s="12"/>
      <c r="M37" s="7"/>
      <c r="N37" s="229">
        <v>0.2</v>
      </c>
    </row>
    <row r="38" spans="1:14" ht="13.5" x14ac:dyDescent="0.25">
      <c r="A38" s="7">
        <v>1</v>
      </c>
      <c r="B38" s="7" t="s">
        <v>2</v>
      </c>
      <c r="C38" s="13">
        <f>SUM(C35:C37)</f>
        <v>3103329.6</v>
      </c>
      <c r="D38" s="7">
        <v>1</v>
      </c>
      <c r="E38" s="14">
        <f>Harga!D67</f>
        <v>184940.7</v>
      </c>
      <c r="F38" s="7"/>
      <c r="G38" s="12">
        <f>(E38+F38)*D38</f>
        <v>184940.7</v>
      </c>
      <c r="H38" s="7"/>
      <c r="I38" s="7" t="s">
        <v>116</v>
      </c>
      <c r="J38" s="12"/>
      <c r="K38" s="12">
        <f>K36-K37</f>
        <v>910</v>
      </c>
      <c r="L38" s="12"/>
      <c r="M38" s="7"/>
    </row>
    <row r="39" spans="1:14" ht="13.5" x14ac:dyDescent="0.25">
      <c r="A39" s="7">
        <v>2</v>
      </c>
      <c r="B39" s="7" t="s">
        <v>11</v>
      </c>
      <c r="C39" s="13">
        <f>C33+C38</f>
        <v>3103329.6</v>
      </c>
      <c r="D39" s="7">
        <f>L21-D38</f>
        <v>8.9499999999999993</v>
      </c>
      <c r="E39" s="14">
        <f>Harga!D68</f>
        <v>148028</v>
      </c>
      <c r="F39" s="7"/>
      <c r="G39" s="12">
        <f>(E39+F39)*D39</f>
        <v>1324850.5999999999</v>
      </c>
      <c r="H39" s="7"/>
      <c r="I39" s="7"/>
      <c r="J39" s="12"/>
      <c r="K39" s="12"/>
      <c r="L39" s="12"/>
      <c r="M39" s="7"/>
    </row>
    <row r="40" spans="1:14" ht="15" x14ac:dyDescent="0.3">
      <c r="A40" s="9"/>
      <c r="B40" s="9"/>
      <c r="C40" s="17"/>
      <c r="D40" s="8">
        <f>SUM(D38:D39)</f>
        <v>9.9499999999999993</v>
      </c>
      <c r="E40" s="28"/>
      <c r="F40" s="9"/>
      <c r="G40" s="29">
        <f>SUM(G38:G39)</f>
        <v>1509791.2999999998</v>
      </c>
      <c r="H40" s="7"/>
      <c r="I40" s="11" t="s">
        <v>117</v>
      </c>
      <c r="J40" s="31"/>
      <c r="K40" s="31"/>
      <c r="L40" s="31">
        <f>L34</f>
        <v>13353004.25</v>
      </c>
      <c r="M40" s="7"/>
    </row>
    <row r="41" spans="1:14" ht="15" x14ac:dyDescent="0.3">
      <c r="A41" s="8" t="s">
        <v>588</v>
      </c>
      <c r="B41" s="8"/>
      <c r="C41" s="8"/>
      <c r="D41" s="8"/>
      <c r="E41" s="30"/>
      <c r="F41" s="8"/>
      <c r="G41" s="29">
        <f>G11+G17+G27+G32+G36+G40</f>
        <v>12732104.25</v>
      </c>
      <c r="H41" s="7"/>
      <c r="I41" s="77" t="s">
        <v>118</v>
      </c>
      <c r="J41" s="78"/>
      <c r="K41" s="78"/>
      <c r="L41" s="78">
        <f>L40/K38</f>
        <v>14673.631043956044</v>
      </c>
      <c r="M41" s="7"/>
    </row>
    <row r="42" spans="1:14" ht="12.75" customHeight="1" thickBot="1" x14ac:dyDescent="0.3">
      <c r="A42" s="7"/>
      <c r="B42" s="7"/>
      <c r="C42" s="7"/>
      <c r="D42" s="7"/>
      <c r="E42" s="7"/>
      <c r="F42" s="7"/>
      <c r="G42" s="7"/>
      <c r="H42" s="7"/>
      <c r="M42" s="7"/>
    </row>
    <row r="43" spans="1:14" ht="15.75" thickBot="1" x14ac:dyDescent="0.35">
      <c r="A43" s="7"/>
      <c r="B43" s="7"/>
      <c r="C43" s="7"/>
      <c r="D43" s="7"/>
      <c r="E43" s="7"/>
      <c r="F43" s="7"/>
      <c r="G43" s="7"/>
      <c r="H43" s="7"/>
      <c r="I43" s="79" t="s">
        <v>262</v>
      </c>
      <c r="J43" s="80"/>
      <c r="K43" s="80"/>
      <c r="L43" s="81">
        <f>L41*143</f>
        <v>2098329.2392857145</v>
      </c>
      <c r="M43" s="7"/>
    </row>
    <row r="44" spans="1:14" ht="13.5" x14ac:dyDescent="0.25">
      <c r="A44" s="7"/>
      <c r="B44" s="7"/>
      <c r="C44" s="7"/>
      <c r="D44" s="7"/>
      <c r="E44" s="7"/>
      <c r="F44" s="7"/>
      <c r="G44" s="7"/>
      <c r="H44" s="7"/>
      <c r="I44" s="7" t="s">
        <v>344</v>
      </c>
      <c r="J44" s="12"/>
      <c r="K44" s="12"/>
      <c r="L44" s="12"/>
      <c r="M44" s="7"/>
    </row>
    <row r="45" spans="1:14" ht="13.5" x14ac:dyDescent="0.25">
      <c r="A45" s="7"/>
      <c r="B45" s="7"/>
      <c r="C45" s="7"/>
      <c r="D45" s="7"/>
      <c r="E45" s="7"/>
      <c r="F45" s="7"/>
      <c r="G45" s="7"/>
      <c r="H45" s="7"/>
      <c r="I45" s="7"/>
      <c r="J45" s="12"/>
      <c r="K45" s="12"/>
      <c r="L45" s="12"/>
      <c r="M45" s="7"/>
    </row>
    <row r="46" spans="1:14" ht="13.5" x14ac:dyDescent="0.25">
      <c r="A46" s="7"/>
      <c r="B46" s="7"/>
      <c r="C46" s="7"/>
      <c r="D46" s="7"/>
      <c r="E46" s="7"/>
      <c r="F46" s="7"/>
      <c r="G46" s="7"/>
      <c r="H46" s="7"/>
      <c r="I46" s="7"/>
      <c r="J46" s="12"/>
      <c r="K46" s="12"/>
      <c r="L46" s="12"/>
      <c r="M46" s="7"/>
    </row>
    <row r="47" spans="1:14" ht="13.5" x14ac:dyDescent="0.25">
      <c r="A47" s="7"/>
      <c r="B47" s="7"/>
      <c r="C47" s="7"/>
      <c r="D47" s="7"/>
      <c r="E47" s="7"/>
      <c r="F47" s="7"/>
      <c r="G47" s="16"/>
      <c r="H47" s="7"/>
      <c r="I47" s="7"/>
      <c r="J47" s="12"/>
      <c r="K47" s="12"/>
      <c r="L47" s="12"/>
      <c r="M47" s="7"/>
    </row>
    <row r="48" spans="1:14" ht="13.5" x14ac:dyDescent="0.25">
      <c r="A48" s="7"/>
      <c r="B48" s="7"/>
      <c r="C48" s="7"/>
      <c r="D48" s="7"/>
      <c r="E48" s="7"/>
      <c r="F48" s="7"/>
      <c r="G48" s="7"/>
      <c r="H48" s="7"/>
      <c r="I48" s="7"/>
      <c r="J48" s="12"/>
      <c r="K48" s="12"/>
      <c r="L48" s="12"/>
      <c r="M48" s="7"/>
    </row>
    <row r="49" spans="1:13" ht="13.5" x14ac:dyDescent="0.25">
      <c r="A49" s="7"/>
      <c r="B49" s="7"/>
      <c r="C49" s="7"/>
      <c r="D49" s="7"/>
      <c r="E49" s="7"/>
      <c r="F49" s="7"/>
      <c r="G49" s="7"/>
      <c r="H49" s="7"/>
      <c r="I49" s="7"/>
      <c r="J49" s="12"/>
      <c r="K49" s="12"/>
      <c r="L49" s="12"/>
      <c r="M49" s="7"/>
    </row>
    <row r="50" spans="1:13" ht="13.5" x14ac:dyDescent="0.25">
      <c r="A50" s="7"/>
      <c r="B50" s="7"/>
      <c r="C50" s="7"/>
      <c r="D50" s="7"/>
      <c r="E50" s="7"/>
      <c r="F50" s="7"/>
      <c r="G50" s="7"/>
      <c r="H50" s="7"/>
      <c r="I50" s="7"/>
      <c r="J50" s="12"/>
      <c r="K50" s="12"/>
      <c r="L50" s="12"/>
      <c r="M50" s="7"/>
    </row>
    <row r="51" spans="1:13" ht="13.5" x14ac:dyDescent="0.25">
      <c r="A51" s="7"/>
      <c r="B51" s="7"/>
      <c r="C51" s="7"/>
      <c r="D51" s="7"/>
      <c r="E51" s="7"/>
      <c r="F51" s="7"/>
      <c r="G51" s="7"/>
      <c r="H51" s="7"/>
      <c r="I51" s="7"/>
      <c r="J51" s="12"/>
      <c r="K51" s="12"/>
      <c r="L51" s="12"/>
      <c r="M51" s="7"/>
    </row>
    <row r="52" spans="1:13" ht="13.5" x14ac:dyDescent="0.25">
      <c r="A52" s="7"/>
      <c r="B52" s="7"/>
      <c r="C52" s="7"/>
      <c r="D52" s="7"/>
      <c r="E52" s="7"/>
      <c r="F52" s="7"/>
      <c r="G52" s="7"/>
      <c r="H52" s="7"/>
      <c r="I52" s="7"/>
      <c r="J52" s="12"/>
      <c r="K52" s="12"/>
      <c r="L52" s="12"/>
      <c r="M52" s="7"/>
    </row>
    <row r="53" spans="1:13" ht="13.5" x14ac:dyDescent="0.25">
      <c r="A53" s="7"/>
      <c r="B53" s="7"/>
      <c r="C53" s="7"/>
      <c r="D53" s="7"/>
      <c r="E53" s="7"/>
      <c r="F53" s="7"/>
      <c r="G53" s="7"/>
      <c r="H53" s="7"/>
      <c r="I53" s="7"/>
      <c r="J53" s="12"/>
      <c r="K53" s="12"/>
      <c r="L53" s="12"/>
      <c r="M53" s="7"/>
    </row>
    <row r="54" spans="1:13" ht="13.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13.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13.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ht="13.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3.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13.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ht="13.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13.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ht="13.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ht="13.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ht="13.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13.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ht="13.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ht="13.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ht="13.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ht="13.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ht="13.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13.5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13.5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ht="13.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ht="13.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ht="13.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ht="13.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13.5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ht="13.5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ht="13.5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ht="13.5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ht="13.5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ht="13.5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ht="13.5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ht="13.5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 ht="13.5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 ht="13.5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 ht="13.5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ht="13.5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ht="13.5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ht="13.5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ht="13.5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ht="13.5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ht="13.5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ht="13.5" x14ac:dyDescent="0.25">
      <c r="A94" s="7"/>
      <c r="B94" s="7"/>
      <c r="C94" s="7"/>
      <c r="D94" s="7"/>
      <c r="E94" s="7"/>
      <c r="F94" s="7"/>
      <c r="G94" s="7"/>
    </row>
    <row r="95" spans="1:13" ht="13.5" x14ac:dyDescent="0.25">
      <c r="A95" s="7"/>
      <c r="B95" s="7"/>
      <c r="C95" s="7"/>
      <c r="D95" s="7"/>
      <c r="E95" s="7"/>
      <c r="F95" s="7"/>
      <c r="G95" s="7"/>
    </row>
  </sheetData>
  <mergeCells count="3">
    <mergeCell ref="C4:D4"/>
    <mergeCell ref="A1:L1"/>
    <mergeCell ref="A2:L2"/>
  </mergeCells>
  <phoneticPr fontId="0" type="noConversion"/>
  <pageMargins left="1.5" right="0.53" top="0.5" bottom="0.5" header="0.35" footer="0.5"/>
  <pageSetup paperSize="9" scale="9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5"/>
  <sheetViews>
    <sheetView view="pageBreakPreview" topLeftCell="A28" zoomScale="70" zoomScaleNormal="85" zoomScaleSheetLayoutView="70" workbookViewId="0">
      <selection sqref="A1:M56"/>
    </sheetView>
  </sheetViews>
  <sheetFormatPr defaultColWidth="8.6640625" defaultRowHeight="11.25" x14ac:dyDescent="0.2"/>
  <cols>
    <col min="1" max="1" width="4" customWidth="1"/>
    <col min="2" max="2" width="27.6640625" customWidth="1"/>
    <col min="3" max="3" width="6" customWidth="1"/>
    <col min="4" max="4" width="10.5" bestFit="1" customWidth="1"/>
    <col min="5" max="5" width="14.6640625" customWidth="1"/>
    <col min="6" max="6" width="11.6640625" customWidth="1"/>
    <col min="7" max="7" width="17.1640625" customWidth="1"/>
    <col min="8" max="8" width="11" customWidth="1"/>
    <col min="9" max="9" width="3.6640625" customWidth="1"/>
    <col min="10" max="10" width="27" customWidth="1"/>
    <col min="11" max="11" width="18.6640625" customWidth="1"/>
    <col min="12" max="12" width="10.6640625" customWidth="1"/>
    <col min="13" max="13" width="17" customWidth="1"/>
    <col min="14" max="14" width="6.5" customWidth="1"/>
  </cols>
  <sheetData>
    <row r="1" spans="1:14" ht="15.75" x14ac:dyDescent="0.25">
      <c r="A1" s="585" t="s">
        <v>201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</row>
    <row r="2" spans="1:14" ht="16.5" customHeight="1" x14ac:dyDescent="0.25">
      <c r="A2" s="585" t="s">
        <v>43</v>
      </c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</row>
    <row r="3" spans="1:14" ht="15.75" x14ac:dyDescent="0.25">
      <c r="A3" s="6"/>
      <c r="B3" s="6"/>
      <c r="C3" s="6"/>
      <c r="D3" s="6"/>
      <c r="E3" s="6"/>
      <c r="F3" s="6"/>
      <c r="G3" s="6"/>
      <c r="H3" s="6"/>
      <c r="I3" s="6"/>
    </row>
    <row r="4" spans="1:14" ht="15" x14ac:dyDescent="0.3">
      <c r="A4" s="611" t="s">
        <v>108</v>
      </c>
      <c r="B4" s="611"/>
      <c r="C4" s="611" t="s">
        <v>35</v>
      </c>
      <c r="D4" s="611"/>
      <c r="E4" s="10" t="s">
        <v>37</v>
      </c>
      <c r="F4" s="10" t="s">
        <v>109</v>
      </c>
      <c r="G4" s="10" t="s">
        <v>42</v>
      </c>
      <c r="H4" s="7"/>
      <c r="I4" s="7"/>
      <c r="J4" s="10" t="s">
        <v>31</v>
      </c>
      <c r="K4" s="8"/>
      <c r="L4" s="9"/>
      <c r="M4" s="10" t="s">
        <v>33</v>
      </c>
      <c r="N4" s="7"/>
    </row>
    <row r="5" spans="1:14" ht="15" x14ac:dyDescent="0.3">
      <c r="A5" s="11" t="s">
        <v>119</v>
      </c>
      <c r="B5" s="11"/>
      <c r="C5" s="11"/>
      <c r="D5" s="12"/>
      <c r="E5" s="12"/>
      <c r="F5" s="12"/>
      <c r="G5" s="12"/>
      <c r="H5" s="7"/>
      <c r="I5" s="7">
        <v>1</v>
      </c>
      <c r="J5" s="7" t="s">
        <v>2</v>
      </c>
      <c r="K5" s="7"/>
      <c r="L5" s="7"/>
      <c r="M5" s="565">
        <v>3</v>
      </c>
      <c r="N5" s="7"/>
    </row>
    <row r="6" spans="1:14" ht="13.5" x14ac:dyDescent="0.25">
      <c r="A6" s="7">
        <v>1</v>
      </c>
      <c r="B6" s="7" t="s">
        <v>47</v>
      </c>
      <c r="C6" s="7"/>
      <c r="D6" s="7"/>
      <c r="E6" s="7"/>
      <c r="F6" s="7"/>
      <c r="G6" s="7"/>
      <c r="H6" s="7"/>
      <c r="I6" s="7">
        <f>I5+1</f>
        <v>2</v>
      </c>
      <c r="J6" s="7" t="s">
        <v>540</v>
      </c>
      <c r="K6" s="7"/>
      <c r="L6" s="7"/>
      <c r="M6" s="555">
        <v>1</v>
      </c>
      <c r="N6" s="7"/>
    </row>
    <row r="7" spans="1:14" ht="13.5" x14ac:dyDescent="0.25">
      <c r="A7" s="7"/>
      <c r="B7" s="7" t="s">
        <v>48</v>
      </c>
      <c r="C7" s="13" t="s">
        <v>131</v>
      </c>
      <c r="D7" s="7"/>
      <c r="E7" s="12">
        <f>Harga!D5</f>
        <v>815200</v>
      </c>
      <c r="F7" s="12"/>
      <c r="G7" s="12">
        <f>(E7+F7)*D7</f>
        <v>0</v>
      </c>
      <c r="H7" s="36"/>
      <c r="I7" s="7">
        <f>I6+1</f>
        <v>3</v>
      </c>
      <c r="J7" s="7" t="s">
        <v>539</v>
      </c>
      <c r="K7" s="7"/>
      <c r="L7" s="7"/>
      <c r="M7" s="555">
        <v>4</v>
      </c>
      <c r="N7" s="7"/>
    </row>
    <row r="8" spans="1:14" ht="13.5" x14ac:dyDescent="0.25">
      <c r="A8" s="7"/>
      <c r="B8" s="7" t="s">
        <v>49</v>
      </c>
      <c r="C8" s="13" t="s">
        <v>131</v>
      </c>
      <c r="D8" s="7"/>
      <c r="E8" s="12">
        <f>Harga!D6</f>
        <v>663600</v>
      </c>
      <c r="F8" s="12"/>
      <c r="G8" s="12">
        <f t="shared" ref="G8:G14" si="0">(E8+F8)*D8</f>
        <v>0</v>
      </c>
      <c r="H8" s="36"/>
      <c r="I8" s="7">
        <f>I7+1</f>
        <v>4</v>
      </c>
      <c r="J8" s="7" t="s">
        <v>541</v>
      </c>
      <c r="K8" s="7"/>
      <c r="L8" s="7"/>
      <c r="M8" s="555"/>
      <c r="N8" s="7"/>
    </row>
    <row r="9" spans="1:14" ht="13.5" x14ac:dyDescent="0.25">
      <c r="A9" s="7"/>
      <c r="B9" s="7" t="s">
        <v>50</v>
      </c>
      <c r="C9" s="13" t="s">
        <v>131</v>
      </c>
      <c r="D9" s="7">
        <v>0</v>
      </c>
      <c r="E9" s="12">
        <f>Harga!D7</f>
        <v>691200</v>
      </c>
      <c r="F9" s="12"/>
      <c r="G9" s="12">
        <f>(E9+F9)*D9</f>
        <v>0</v>
      </c>
      <c r="H9" s="36"/>
      <c r="I9" s="7">
        <f>I8+1</f>
        <v>5</v>
      </c>
      <c r="J9" s="7" t="s">
        <v>44</v>
      </c>
      <c r="K9" s="7"/>
      <c r="L9" s="7"/>
      <c r="M9" s="555">
        <v>10</v>
      </c>
      <c r="N9" s="7"/>
    </row>
    <row r="10" spans="1:14" ht="13.5" x14ac:dyDescent="0.25">
      <c r="A10" s="7"/>
      <c r="B10" s="7" t="s">
        <v>53</v>
      </c>
      <c r="C10" s="13" t="s">
        <v>131</v>
      </c>
      <c r="D10" s="7">
        <v>0</v>
      </c>
      <c r="E10" s="12">
        <f>Harga!D9</f>
        <v>327000</v>
      </c>
      <c r="F10" s="12"/>
      <c r="G10" s="12">
        <f t="shared" si="0"/>
        <v>0</v>
      </c>
      <c r="H10" s="36"/>
      <c r="I10" s="7">
        <f t="shared" ref="I10:I39" si="1">I9+1</f>
        <v>6</v>
      </c>
      <c r="J10" s="7" t="s">
        <v>542</v>
      </c>
      <c r="K10" s="7"/>
      <c r="L10" s="7"/>
      <c r="M10" s="555">
        <v>0.75</v>
      </c>
      <c r="N10" s="7"/>
    </row>
    <row r="11" spans="1:14" ht="13.5" x14ac:dyDescent="0.25">
      <c r="A11" s="7">
        <v>2</v>
      </c>
      <c r="B11" s="7" t="s">
        <v>15</v>
      </c>
      <c r="C11" s="13" t="s">
        <v>100</v>
      </c>
      <c r="D11" s="7">
        <v>0</v>
      </c>
      <c r="E11" s="12">
        <f>Harga!D13</f>
        <v>1450770</v>
      </c>
      <c r="F11" s="12"/>
      <c r="G11" s="12">
        <f t="shared" si="0"/>
        <v>0</v>
      </c>
      <c r="H11" s="7"/>
      <c r="I11" s="7">
        <f t="shared" si="1"/>
        <v>7</v>
      </c>
      <c r="J11" s="7" t="s">
        <v>543</v>
      </c>
      <c r="K11" s="7"/>
      <c r="L11" s="7"/>
      <c r="M11" s="555">
        <v>5</v>
      </c>
      <c r="N11" s="7"/>
    </row>
    <row r="12" spans="1:14" ht="13.5" x14ac:dyDescent="0.25">
      <c r="A12" s="7">
        <v>3</v>
      </c>
      <c r="B12" s="7" t="s">
        <v>146</v>
      </c>
      <c r="C12" s="13" t="s">
        <v>132</v>
      </c>
      <c r="D12" s="7">
        <v>0</v>
      </c>
      <c r="E12" s="12">
        <f>E11*25%</f>
        <v>362692.5</v>
      </c>
      <c r="F12" s="12"/>
      <c r="G12" s="12">
        <f t="shared" si="0"/>
        <v>0</v>
      </c>
      <c r="H12" s="7"/>
      <c r="I12" s="7">
        <f t="shared" si="1"/>
        <v>8</v>
      </c>
      <c r="J12" s="7" t="s">
        <v>544</v>
      </c>
      <c r="K12" s="7"/>
      <c r="L12" s="7"/>
      <c r="M12" s="555">
        <v>3</v>
      </c>
      <c r="N12" s="7"/>
    </row>
    <row r="13" spans="1:14" ht="13.5" x14ac:dyDescent="0.25">
      <c r="A13" s="7">
        <v>4</v>
      </c>
      <c r="B13" s="7" t="s">
        <v>51</v>
      </c>
      <c r="C13" s="13" t="s">
        <v>133</v>
      </c>
      <c r="D13" s="7">
        <v>8</v>
      </c>
      <c r="E13" s="12">
        <f>Harga!D16</f>
        <v>2112000</v>
      </c>
      <c r="F13" s="12"/>
      <c r="G13" s="12">
        <f t="shared" si="0"/>
        <v>16896000</v>
      </c>
      <c r="H13" s="7"/>
      <c r="I13" s="7">
        <f t="shared" si="1"/>
        <v>9</v>
      </c>
      <c r="J13" s="7" t="s">
        <v>545</v>
      </c>
      <c r="K13" s="7"/>
      <c r="L13" s="7"/>
      <c r="M13" s="555">
        <v>1.33</v>
      </c>
      <c r="N13" s="7"/>
    </row>
    <row r="14" spans="1:14" ht="13.5" x14ac:dyDescent="0.25">
      <c r="A14" s="7">
        <v>5</v>
      </c>
      <c r="B14" s="7" t="s">
        <v>323</v>
      </c>
      <c r="C14" s="13" t="s">
        <v>105</v>
      </c>
      <c r="D14" s="7">
        <v>0</v>
      </c>
      <c r="E14" s="12">
        <f>Harga!D12</f>
        <v>50000</v>
      </c>
      <c r="F14" s="12"/>
      <c r="G14" s="12">
        <f t="shared" si="0"/>
        <v>0</v>
      </c>
      <c r="H14" s="7"/>
      <c r="I14" s="7">
        <f t="shared" si="1"/>
        <v>10</v>
      </c>
      <c r="J14" s="7" t="s">
        <v>546</v>
      </c>
      <c r="K14" s="7"/>
      <c r="L14" s="7"/>
      <c r="M14" s="555">
        <v>0</v>
      </c>
      <c r="N14" s="7"/>
    </row>
    <row r="15" spans="1:14" ht="15" x14ac:dyDescent="0.3">
      <c r="A15" s="7"/>
      <c r="B15" s="9"/>
      <c r="C15" s="9"/>
      <c r="D15" s="21"/>
      <c r="E15" s="21"/>
      <c r="F15" s="21"/>
      <c r="G15" s="20">
        <f>SUM(G7:G14)</f>
        <v>16896000</v>
      </c>
      <c r="H15" s="7"/>
      <c r="I15" s="7">
        <f t="shared" si="1"/>
        <v>11</v>
      </c>
      <c r="J15" s="7" t="s">
        <v>62</v>
      </c>
      <c r="K15" s="7"/>
      <c r="L15" s="7"/>
      <c r="M15" s="555">
        <v>10</v>
      </c>
      <c r="N15" s="7"/>
    </row>
    <row r="16" spans="1:14" ht="15" x14ac:dyDescent="0.3">
      <c r="A16" s="11" t="s">
        <v>120</v>
      </c>
      <c r="B16" s="11"/>
      <c r="C16" s="11"/>
      <c r="D16" s="12"/>
      <c r="E16" s="12"/>
      <c r="F16" s="12"/>
      <c r="G16" s="12"/>
      <c r="H16" s="7"/>
      <c r="I16" s="7">
        <f t="shared" si="1"/>
        <v>12</v>
      </c>
      <c r="J16" s="7" t="s">
        <v>547</v>
      </c>
      <c r="K16" s="7"/>
      <c r="L16" s="7"/>
      <c r="M16" s="555">
        <v>7.0000000000000007E-2</v>
      </c>
      <c r="N16" s="7"/>
    </row>
    <row r="17" spans="1:14" ht="13.5" x14ac:dyDescent="0.25">
      <c r="A17" s="7">
        <v>1</v>
      </c>
      <c r="B17" s="7" t="s">
        <v>315</v>
      </c>
      <c r="C17" s="13" t="s">
        <v>103</v>
      </c>
      <c r="D17" s="7">
        <v>62.5</v>
      </c>
      <c r="E17" s="12">
        <f>Harga!D26</f>
        <v>45000</v>
      </c>
      <c r="F17" s="12"/>
      <c r="G17" s="12">
        <f>(E17+F17)*D17</f>
        <v>2812500</v>
      </c>
      <c r="H17" s="7"/>
      <c r="I17" s="7">
        <f t="shared" si="1"/>
        <v>13</v>
      </c>
      <c r="J17" s="7" t="s">
        <v>548</v>
      </c>
      <c r="K17" s="7"/>
      <c r="L17" s="7"/>
      <c r="M17" s="555">
        <v>0.2</v>
      </c>
      <c r="N17" s="7"/>
    </row>
    <row r="18" spans="1:14" ht="13.5" x14ac:dyDescent="0.25">
      <c r="A18" s="7">
        <v>2</v>
      </c>
      <c r="B18" s="7" t="s">
        <v>528</v>
      </c>
      <c r="C18" s="13" t="s">
        <v>103</v>
      </c>
      <c r="D18" s="7">
        <v>0.2</v>
      </c>
      <c r="E18" s="12">
        <f>Harga!D31</f>
        <v>66759</v>
      </c>
      <c r="F18" s="12"/>
      <c r="G18" s="12">
        <f>(E18+F18)*D18</f>
        <v>13351.800000000001</v>
      </c>
      <c r="H18" s="7"/>
      <c r="I18" s="7">
        <f t="shared" si="1"/>
        <v>14</v>
      </c>
      <c r="J18" s="7" t="s">
        <v>549</v>
      </c>
      <c r="K18" s="7"/>
      <c r="L18" s="7"/>
      <c r="M18" s="555">
        <v>0.04</v>
      </c>
      <c r="N18" s="7"/>
    </row>
    <row r="19" spans="1:14" ht="13.5" x14ac:dyDescent="0.25">
      <c r="A19" s="7">
        <v>3</v>
      </c>
      <c r="B19" s="7" t="s">
        <v>529</v>
      </c>
      <c r="C19" s="13" t="s">
        <v>530</v>
      </c>
      <c r="D19" s="7">
        <v>0.33</v>
      </c>
      <c r="E19" s="12">
        <f>Harga!D32</f>
        <v>100</v>
      </c>
      <c r="F19" s="12"/>
      <c r="G19" s="12">
        <f>(E19+F19)*D19</f>
        <v>33</v>
      </c>
      <c r="H19" s="7"/>
      <c r="I19" s="7">
        <f t="shared" si="1"/>
        <v>15</v>
      </c>
      <c r="J19" s="7" t="s">
        <v>45</v>
      </c>
      <c r="K19" s="7"/>
      <c r="L19" s="7"/>
      <c r="M19" s="555">
        <v>1</v>
      </c>
      <c r="N19" s="7"/>
    </row>
    <row r="20" spans="1:14" ht="15" x14ac:dyDescent="0.3">
      <c r="A20" s="7"/>
      <c r="B20" s="8" t="s">
        <v>121</v>
      </c>
      <c r="C20" s="8"/>
      <c r="D20" s="21"/>
      <c r="E20" s="21"/>
      <c r="F20" s="21"/>
      <c r="G20" s="20">
        <f>SUM(G17:G19)</f>
        <v>2825884.8</v>
      </c>
      <c r="H20" s="7"/>
      <c r="I20" s="7">
        <f t="shared" si="1"/>
        <v>16</v>
      </c>
      <c r="J20" s="7" t="s">
        <v>8</v>
      </c>
      <c r="K20" s="7"/>
      <c r="L20" s="7"/>
      <c r="M20" s="555"/>
      <c r="N20" s="7"/>
    </row>
    <row r="21" spans="1:14" ht="15" x14ac:dyDescent="0.3">
      <c r="A21" s="11" t="s">
        <v>122</v>
      </c>
      <c r="B21" s="7"/>
      <c r="C21" s="7"/>
      <c r="D21" s="12"/>
      <c r="E21" s="12"/>
      <c r="F21" s="12"/>
      <c r="G21" s="12"/>
      <c r="H21" s="7"/>
      <c r="I21" s="7"/>
      <c r="J21" s="36" t="s">
        <v>550</v>
      </c>
      <c r="K21" s="7"/>
      <c r="L21" s="7"/>
      <c r="M21" s="555">
        <v>4.8</v>
      </c>
      <c r="N21" s="7"/>
    </row>
    <row r="22" spans="1:14" ht="13.5" x14ac:dyDescent="0.25">
      <c r="A22" s="7">
        <v>1</v>
      </c>
      <c r="B22" s="7" t="s">
        <v>20</v>
      </c>
      <c r="C22" s="13" t="s">
        <v>103</v>
      </c>
      <c r="D22" s="7"/>
      <c r="E22" s="12">
        <f>Harga!D40</f>
        <v>6444.51</v>
      </c>
      <c r="F22" s="12"/>
      <c r="G22" s="12">
        <f t="shared" ref="G22:G32" si="2">(E22+F22)*D22</f>
        <v>0</v>
      </c>
      <c r="H22" s="7"/>
      <c r="I22" s="7"/>
      <c r="J22" s="36" t="s">
        <v>551</v>
      </c>
      <c r="K22" s="7"/>
      <c r="L22" s="7"/>
      <c r="M22" s="555">
        <v>2.4</v>
      </c>
      <c r="N22" s="7"/>
    </row>
    <row r="23" spans="1:14" ht="13.5" x14ac:dyDescent="0.25">
      <c r="A23" s="7">
        <f>A22+1</f>
        <v>2</v>
      </c>
      <c r="B23" s="7" t="s">
        <v>52</v>
      </c>
      <c r="C23" s="13" t="s">
        <v>103</v>
      </c>
      <c r="D23" s="7">
        <v>100</v>
      </c>
      <c r="E23" s="12">
        <f>Harga!D41</f>
        <v>2008.63</v>
      </c>
      <c r="F23" s="12"/>
      <c r="G23" s="12">
        <f t="shared" si="2"/>
        <v>200863</v>
      </c>
      <c r="H23" s="7"/>
      <c r="I23" s="7"/>
      <c r="J23" s="36" t="s">
        <v>552</v>
      </c>
      <c r="K23" s="7"/>
      <c r="L23" s="7"/>
      <c r="M23" s="555">
        <v>0.6</v>
      </c>
      <c r="N23" s="7"/>
    </row>
    <row r="24" spans="1:14" ht="13.5" x14ac:dyDescent="0.25">
      <c r="A24" s="7">
        <f t="shared" ref="A24:A29" si="3">A23+1</f>
        <v>3</v>
      </c>
      <c r="B24" s="7" t="s">
        <v>27</v>
      </c>
      <c r="C24" s="13" t="s">
        <v>103</v>
      </c>
      <c r="D24" s="7"/>
      <c r="E24" s="12">
        <f>Harga!D38</f>
        <v>1115</v>
      </c>
      <c r="F24" s="12"/>
      <c r="G24" s="12">
        <f t="shared" si="2"/>
        <v>0</v>
      </c>
      <c r="H24" s="7"/>
      <c r="I24" s="7"/>
      <c r="J24" s="7" t="s">
        <v>46</v>
      </c>
      <c r="K24" s="7"/>
      <c r="L24" s="7"/>
      <c r="M24" s="555"/>
      <c r="N24" s="7"/>
    </row>
    <row r="25" spans="1:14" ht="13.5" x14ac:dyDescent="0.25">
      <c r="A25" s="7">
        <f t="shared" si="3"/>
        <v>4</v>
      </c>
      <c r="B25" s="7" t="s">
        <v>88</v>
      </c>
      <c r="C25" s="13" t="s">
        <v>103</v>
      </c>
      <c r="D25" s="7"/>
      <c r="E25" s="12">
        <f>Harga!D35</f>
        <v>5561.1</v>
      </c>
      <c r="F25" s="12"/>
      <c r="G25" s="12">
        <f t="shared" si="2"/>
        <v>0</v>
      </c>
      <c r="H25" s="7"/>
      <c r="I25" s="7">
        <f>I20+1</f>
        <v>17</v>
      </c>
      <c r="J25" s="7" t="s">
        <v>9</v>
      </c>
      <c r="K25" s="7"/>
      <c r="L25" s="7"/>
      <c r="M25" s="555"/>
      <c r="N25" s="7"/>
    </row>
    <row r="26" spans="1:14" ht="13.5" x14ac:dyDescent="0.25">
      <c r="A26" s="7">
        <f t="shared" si="3"/>
        <v>5</v>
      </c>
      <c r="B26" s="7" t="s">
        <v>150</v>
      </c>
      <c r="C26" s="13" t="s">
        <v>103</v>
      </c>
      <c r="D26" s="7">
        <v>15</v>
      </c>
      <c r="E26" s="12">
        <f>Harga!D36</f>
        <v>6277.09</v>
      </c>
      <c r="F26" s="12"/>
      <c r="G26" s="12">
        <f t="shared" si="2"/>
        <v>94156.35</v>
      </c>
      <c r="H26" s="7"/>
      <c r="I26" s="7"/>
      <c r="J26" s="36" t="s">
        <v>553</v>
      </c>
      <c r="K26" s="7"/>
      <c r="L26" s="7"/>
      <c r="M26" s="555">
        <v>0.5</v>
      </c>
      <c r="N26" s="7"/>
    </row>
    <row r="27" spans="1:14" ht="13.5" x14ac:dyDescent="0.25">
      <c r="A27" s="7">
        <f t="shared" si="3"/>
        <v>6</v>
      </c>
      <c r="B27" s="7" t="s">
        <v>91</v>
      </c>
      <c r="C27" s="13" t="s">
        <v>103</v>
      </c>
      <c r="D27" s="7"/>
      <c r="E27" s="12">
        <f>Harga!D37</f>
        <v>7450</v>
      </c>
      <c r="F27" s="12"/>
      <c r="G27" s="12">
        <f t="shared" si="2"/>
        <v>0</v>
      </c>
      <c r="H27" s="7"/>
      <c r="I27" s="7"/>
      <c r="J27" s="36" t="s">
        <v>554</v>
      </c>
      <c r="K27" s="7"/>
      <c r="L27" s="7"/>
      <c r="M27" s="555">
        <v>0.42</v>
      </c>
      <c r="N27" s="7"/>
    </row>
    <row r="28" spans="1:14" ht="13.5" x14ac:dyDescent="0.25">
      <c r="A28" s="7">
        <f t="shared" si="3"/>
        <v>7</v>
      </c>
      <c r="B28" s="7" t="s">
        <v>92</v>
      </c>
      <c r="C28" s="13" t="s">
        <v>103</v>
      </c>
      <c r="D28" s="7"/>
      <c r="E28" s="12">
        <f>Harga!D43</f>
        <v>3522.13</v>
      </c>
      <c r="F28" s="12"/>
      <c r="G28" s="12">
        <f t="shared" si="2"/>
        <v>0</v>
      </c>
      <c r="H28" s="7"/>
      <c r="I28" s="7"/>
      <c r="J28" s="36" t="s">
        <v>555</v>
      </c>
      <c r="K28" s="7"/>
      <c r="L28" s="7"/>
      <c r="M28" s="555">
        <v>0</v>
      </c>
      <c r="N28" s="7"/>
    </row>
    <row r="29" spans="1:14" ht="13.5" x14ac:dyDescent="0.25">
      <c r="A29" s="7">
        <f t="shared" si="3"/>
        <v>8</v>
      </c>
      <c r="B29" s="7" t="s">
        <v>490</v>
      </c>
      <c r="C29" s="13" t="s">
        <v>103</v>
      </c>
      <c r="D29" s="7">
        <v>50</v>
      </c>
      <c r="E29" s="12">
        <f>Harga!D47</f>
        <v>35662.699999999997</v>
      </c>
      <c r="F29" s="12"/>
      <c r="G29" s="12">
        <f t="shared" si="2"/>
        <v>1783134.9999999998</v>
      </c>
      <c r="H29" s="7"/>
      <c r="I29" s="7">
        <f>I25+1</f>
        <v>18</v>
      </c>
      <c r="J29" s="7" t="s">
        <v>7</v>
      </c>
      <c r="K29" s="7"/>
      <c r="L29" s="7"/>
      <c r="M29" s="555"/>
      <c r="N29" s="7"/>
    </row>
    <row r="30" spans="1:14" ht="13.5" x14ac:dyDescent="0.25">
      <c r="A30" s="7">
        <v>9</v>
      </c>
      <c r="B30" s="7" t="s">
        <v>495</v>
      </c>
      <c r="C30" s="13" t="s">
        <v>103</v>
      </c>
      <c r="D30" s="7">
        <v>0</v>
      </c>
      <c r="E30" s="12">
        <f>'Cost PN'!E25</f>
        <v>926</v>
      </c>
      <c r="F30" s="12"/>
      <c r="G30" s="12">
        <f t="shared" si="2"/>
        <v>0</v>
      </c>
      <c r="H30" s="7"/>
      <c r="I30" s="7"/>
      <c r="J30" s="36" t="s">
        <v>556</v>
      </c>
      <c r="K30" s="7"/>
      <c r="L30" s="7"/>
      <c r="M30" s="555">
        <v>0.54</v>
      </c>
      <c r="N30" s="7"/>
    </row>
    <row r="31" spans="1:14" ht="13.5" x14ac:dyDescent="0.25">
      <c r="A31" s="7">
        <v>10</v>
      </c>
      <c r="B31" s="7" t="s">
        <v>93</v>
      </c>
      <c r="C31" s="13" t="s">
        <v>104</v>
      </c>
      <c r="D31" s="37">
        <v>0</v>
      </c>
      <c r="E31" s="12">
        <f>Harga!D39</f>
        <v>61795.55</v>
      </c>
      <c r="F31" s="12"/>
      <c r="G31" s="12">
        <f t="shared" si="2"/>
        <v>0</v>
      </c>
      <c r="H31" s="7"/>
      <c r="I31" s="7"/>
      <c r="J31" s="36" t="s">
        <v>557</v>
      </c>
      <c r="K31" s="7"/>
      <c r="L31" s="7"/>
      <c r="M31" s="555">
        <v>0.9</v>
      </c>
      <c r="N31" s="7"/>
    </row>
    <row r="32" spans="1:14" ht="13.5" x14ac:dyDescent="0.25">
      <c r="A32" s="7">
        <v>11</v>
      </c>
      <c r="B32" s="7" t="s">
        <v>89</v>
      </c>
      <c r="C32" s="13" t="s">
        <v>103</v>
      </c>
      <c r="D32" s="7"/>
      <c r="E32" s="12">
        <f>Harga!D46</f>
        <v>2108</v>
      </c>
      <c r="F32" s="12"/>
      <c r="G32" s="12">
        <f t="shared" si="2"/>
        <v>0</v>
      </c>
      <c r="H32" s="7"/>
      <c r="I32" s="7">
        <f>I29+1</f>
        <v>19</v>
      </c>
      <c r="J32" s="36" t="s">
        <v>558</v>
      </c>
      <c r="K32" s="7"/>
      <c r="L32" s="7"/>
      <c r="M32" s="555">
        <v>0.9</v>
      </c>
      <c r="N32" s="7"/>
    </row>
    <row r="33" spans="1:14" ht="15" x14ac:dyDescent="0.3">
      <c r="A33" s="7"/>
      <c r="B33" s="9"/>
      <c r="C33" s="9"/>
      <c r="D33" s="38">
        <f>SUM(D22:D32)</f>
        <v>165</v>
      </c>
      <c r="E33" s="9"/>
      <c r="F33" s="9"/>
      <c r="G33" s="29">
        <f>SUM(G22:G32)</f>
        <v>2078154.3499999996</v>
      </c>
      <c r="H33" s="7"/>
      <c r="I33" s="7">
        <f>I32+1</f>
        <v>20</v>
      </c>
      <c r="J33" s="7" t="s">
        <v>559</v>
      </c>
      <c r="K33" s="7"/>
      <c r="L33" s="7"/>
      <c r="M33" s="555">
        <v>0.6</v>
      </c>
      <c r="N33" s="7"/>
    </row>
    <row r="34" spans="1:14" ht="15" x14ac:dyDescent="0.3">
      <c r="A34" s="11" t="s">
        <v>583</v>
      </c>
      <c r="B34" s="11"/>
      <c r="C34" s="11"/>
      <c r="D34" s="12"/>
      <c r="E34" s="12"/>
      <c r="F34" s="12"/>
      <c r="G34" s="12"/>
      <c r="H34" s="7"/>
      <c r="I34" s="7">
        <f>I33+1</f>
        <v>21</v>
      </c>
      <c r="J34" s="7" t="s">
        <v>560</v>
      </c>
      <c r="K34" s="7"/>
      <c r="L34" s="7"/>
      <c r="M34" s="555">
        <v>6</v>
      </c>
      <c r="N34" s="7"/>
    </row>
    <row r="35" spans="1:14" ht="13.5" x14ac:dyDescent="0.25">
      <c r="A35" s="7">
        <v>1</v>
      </c>
      <c r="B35" s="7" t="s">
        <v>95</v>
      </c>
      <c r="C35" s="13">
        <f>'Tingkat Jalan Mineral'!G20</f>
        <v>998942.8</v>
      </c>
      <c r="D35" s="7">
        <v>0.6</v>
      </c>
      <c r="E35" s="12">
        <f>Harga!D54</f>
        <v>315000</v>
      </c>
      <c r="F35" s="12"/>
      <c r="G35" s="12">
        <f>(E35+F35)*D35</f>
        <v>189000</v>
      </c>
      <c r="H35" s="7"/>
      <c r="I35" s="7">
        <f t="shared" si="1"/>
        <v>22</v>
      </c>
      <c r="J35" s="7" t="s">
        <v>10</v>
      </c>
      <c r="K35" s="7"/>
      <c r="L35" s="7"/>
      <c r="M35" s="555">
        <v>0.4</v>
      </c>
      <c r="N35" s="7"/>
    </row>
    <row r="36" spans="1:14" ht="13.5" x14ac:dyDescent="0.25">
      <c r="A36" s="7">
        <f>A35+1</f>
        <v>2</v>
      </c>
      <c r="B36" s="7" t="s">
        <v>96</v>
      </c>
      <c r="C36" s="13">
        <f>'Tingkat Jalan Mineral'!Q20</f>
        <v>1522646.8</v>
      </c>
      <c r="D36" s="7">
        <v>0.6</v>
      </c>
      <c r="E36" s="12">
        <f>Harga!D55</f>
        <v>157135</v>
      </c>
      <c r="F36" s="12"/>
      <c r="G36" s="12">
        <f>(E36+F36)*D36</f>
        <v>94281</v>
      </c>
      <c r="H36" s="7"/>
      <c r="I36" s="7">
        <f t="shared" si="1"/>
        <v>23</v>
      </c>
      <c r="J36" s="7" t="s">
        <v>561</v>
      </c>
      <c r="K36" s="7"/>
      <c r="L36" s="7"/>
      <c r="M36" s="555">
        <v>0.8</v>
      </c>
      <c r="N36" s="7"/>
    </row>
    <row r="37" spans="1:14" ht="13.5" x14ac:dyDescent="0.25">
      <c r="A37" s="7">
        <f>A36+1</f>
        <v>3</v>
      </c>
      <c r="B37" s="7" t="s">
        <v>97</v>
      </c>
      <c r="C37" s="13">
        <f>'Drainase Tnh Mineral '!Q21</f>
        <v>581740</v>
      </c>
      <c r="D37" s="7">
        <v>0.6</v>
      </c>
      <c r="E37" s="12">
        <f>Harga!D56</f>
        <v>159075</v>
      </c>
      <c r="F37" s="12"/>
      <c r="G37" s="12">
        <f>(E37+F37)*D37</f>
        <v>95445</v>
      </c>
      <c r="H37" s="7"/>
      <c r="I37" s="7">
        <f t="shared" si="1"/>
        <v>24</v>
      </c>
      <c r="J37" s="7" t="s">
        <v>562</v>
      </c>
      <c r="K37" s="7"/>
      <c r="L37" s="7"/>
      <c r="M37" s="555">
        <v>0.15</v>
      </c>
      <c r="N37" s="7"/>
    </row>
    <row r="38" spans="1:14" ht="15" x14ac:dyDescent="0.3">
      <c r="A38" s="7"/>
      <c r="B38" s="9"/>
      <c r="C38" s="9">
        <f>SUM(C35:C37)</f>
        <v>3103329.6</v>
      </c>
      <c r="D38" s="21">
        <f>SUM(D35:D37)</f>
        <v>1.7999999999999998</v>
      </c>
      <c r="E38" s="21"/>
      <c r="F38" s="21"/>
      <c r="G38" s="20">
        <f>SUM(G35:G37)</f>
        <v>378726</v>
      </c>
      <c r="H38" s="7"/>
      <c r="I38" s="7">
        <f t="shared" si="1"/>
        <v>25</v>
      </c>
      <c r="J38" s="7" t="s">
        <v>563</v>
      </c>
      <c r="K38" s="7"/>
      <c r="L38" s="7"/>
      <c r="M38" s="555">
        <v>0.15</v>
      </c>
      <c r="N38" s="7"/>
    </row>
    <row r="39" spans="1:14" ht="15" x14ac:dyDescent="0.3">
      <c r="A39" s="11" t="s">
        <v>584</v>
      </c>
      <c r="B39" s="11"/>
      <c r="C39" s="11">
        <f>C33+C38</f>
        <v>3103329.6</v>
      </c>
      <c r="D39" s="39"/>
      <c r="E39" s="39"/>
      <c r="F39" s="39"/>
      <c r="G39" s="39"/>
      <c r="H39" s="7"/>
      <c r="I39" s="7">
        <f t="shared" si="1"/>
        <v>26</v>
      </c>
      <c r="J39" s="7" t="s">
        <v>564</v>
      </c>
      <c r="K39" s="7"/>
      <c r="L39" s="7"/>
      <c r="M39" s="555">
        <v>6</v>
      </c>
      <c r="N39" s="7"/>
    </row>
    <row r="40" spans="1:14" ht="15" x14ac:dyDescent="0.3">
      <c r="A40" s="7">
        <v>1</v>
      </c>
      <c r="B40" s="7" t="s">
        <v>533</v>
      </c>
      <c r="C40" s="13" t="s">
        <v>537</v>
      </c>
      <c r="D40" s="71">
        <v>18.18</v>
      </c>
      <c r="E40" s="12">
        <f>Harga!D65</f>
        <v>77762</v>
      </c>
      <c r="F40" s="39"/>
      <c r="G40" s="12">
        <f>(E40+F40)*D40</f>
        <v>1413713.16</v>
      </c>
      <c r="H40" s="7"/>
      <c r="I40" s="11">
        <v>27</v>
      </c>
      <c r="J40" s="7" t="s">
        <v>565</v>
      </c>
      <c r="K40" s="7"/>
      <c r="L40" s="7"/>
      <c r="M40" s="555">
        <v>4</v>
      </c>
      <c r="N40" s="7"/>
    </row>
    <row r="41" spans="1:14" ht="15" x14ac:dyDescent="0.3">
      <c r="A41" s="7">
        <v>2</v>
      </c>
      <c r="B41" s="7" t="s">
        <v>534</v>
      </c>
      <c r="C41" s="13" t="s">
        <v>526</v>
      </c>
      <c r="D41" s="71">
        <v>1.03</v>
      </c>
      <c r="E41" s="12">
        <v>188128</v>
      </c>
      <c r="F41" s="39"/>
      <c r="G41" s="12">
        <f>(E41+F41)*D41</f>
        <v>193771.84</v>
      </c>
      <c r="H41" s="7"/>
      <c r="I41" s="7"/>
      <c r="J41" s="8" t="s">
        <v>42</v>
      </c>
      <c r="K41" s="9"/>
      <c r="L41" s="9"/>
      <c r="M41" s="556">
        <f>SUM(M5:M40)</f>
        <v>68.549999999999983</v>
      </c>
      <c r="N41" s="7"/>
    </row>
    <row r="42" spans="1:14" ht="13.5" x14ac:dyDescent="0.25">
      <c r="A42" s="7">
        <v>3</v>
      </c>
      <c r="B42" s="7" t="s">
        <v>535</v>
      </c>
      <c r="C42" s="13" t="s">
        <v>536</v>
      </c>
      <c r="D42" s="71">
        <v>7.0000000000000007E-2</v>
      </c>
      <c r="E42" s="12">
        <v>46928</v>
      </c>
      <c r="F42" s="39"/>
      <c r="G42" s="12">
        <f>(E42+F42)*D42</f>
        <v>3284.9600000000005</v>
      </c>
      <c r="H42" s="7"/>
      <c r="I42" s="7"/>
      <c r="J42" s="7"/>
      <c r="K42" s="12"/>
      <c r="L42" s="12"/>
      <c r="M42" s="12"/>
      <c r="N42" s="7"/>
    </row>
    <row r="43" spans="1:14" ht="15" x14ac:dyDescent="0.3">
      <c r="A43" s="7">
        <v>4</v>
      </c>
      <c r="B43" s="7" t="s">
        <v>532</v>
      </c>
      <c r="C43" s="13" t="s">
        <v>372</v>
      </c>
      <c r="D43" s="71">
        <v>205.2</v>
      </c>
      <c r="E43" s="12">
        <v>2640</v>
      </c>
      <c r="F43" s="39"/>
      <c r="G43" s="12">
        <f>(E43+F43)*D43</f>
        <v>541728</v>
      </c>
      <c r="H43" s="7"/>
      <c r="I43" s="11" t="s">
        <v>123</v>
      </c>
      <c r="J43" s="7"/>
      <c r="K43" s="12"/>
      <c r="L43" s="12"/>
      <c r="M43" s="12"/>
      <c r="N43" s="7"/>
    </row>
    <row r="44" spans="1:14" ht="13.5" x14ac:dyDescent="0.25">
      <c r="A44" s="7">
        <v>5</v>
      </c>
      <c r="B44" s="7" t="s">
        <v>531</v>
      </c>
      <c r="C44" s="13" t="s">
        <v>372</v>
      </c>
      <c r="D44" s="71">
        <v>205.2</v>
      </c>
      <c r="E44" s="12">
        <v>1154</v>
      </c>
      <c r="F44" s="39"/>
      <c r="G44" s="12">
        <f>(E44+F44)*D44</f>
        <v>236800.8</v>
      </c>
      <c r="H44" s="7"/>
      <c r="I44" s="7"/>
      <c r="J44" s="7"/>
      <c r="K44" s="7"/>
      <c r="L44" s="7"/>
      <c r="M44" s="7"/>
      <c r="N44" s="7"/>
    </row>
    <row r="45" spans="1:14" ht="15" x14ac:dyDescent="0.3">
      <c r="A45" s="7"/>
      <c r="B45" s="9"/>
      <c r="C45" s="9"/>
      <c r="D45" s="21"/>
      <c r="E45" s="21"/>
      <c r="F45" s="21"/>
      <c r="G45" s="20">
        <f>SUM(G40:G44)</f>
        <v>2389298.7599999998</v>
      </c>
      <c r="H45" s="7"/>
      <c r="I45" s="7"/>
      <c r="J45" s="7" t="s">
        <v>124</v>
      </c>
      <c r="K45" s="12"/>
      <c r="L45" s="12"/>
      <c r="M45" s="12">
        <f>'Cost PN'!L40</f>
        <v>13353004.25</v>
      </c>
      <c r="N45" s="7"/>
    </row>
    <row r="46" spans="1:14" ht="15" x14ac:dyDescent="0.3">
      <c r="A46" s="11" t="s">
        <v>585</v>
      </c>
      <c r="B46" s="11"/>
      <c r="C46" s="11"/>
      <c r="D46" s="7"/>
      <c r="E46" s="7"/>
      <c r="F46" s="7"/>
      <c r="G46" s="7"/>
      <c r="H46" s="7"/>
      <c r="I46" s="7"/>
      <c r="J46" s="7" t="s">
        <v>125</v>
      </c>
      <c r="K46" s="12"/>
      <c r="L46" s="12"/>
      <c r="M46" s="12">
        <f>G56</f>
        <v>35010684.909999996</v>
      </c>
      <c r="N46" s="7"/>
    </row>
    <row r="47" spans="1:14" ht="15" x14ac:dyDescent="0.3">
      <c r="A47" s="7">
        <v>1</v>
      </c>
      <c r="B47" s="7" t="s">
        <v>2</v>
      </c>
      <c r="C47" s="13" t="s">
        <v>135</v>
      </c>
      <c r="D47" s="7">
        <v>3</v>
      </c>
      <c r="E47" s="12">
        <f>Harga!D67</f>
        <v>184940.7</v>
      </c>
      <c r="F47" s="7"/>
      <c r="G47" s="12">
        <f>(E47+F47)*D47</f>
        <v>554822.10000000009</v>
      </c>
      <c r="I47" s="7"/>
      <c r="J47" s="8" t="s">
        <v>126</v>
      </c>
      <c r="K47" s="21"/>
      <c r="L47" s="21"/>
      <c r="M47" s="20">
        <f>M45+M46</f>
        <v>48363689.159999996</v>
      </c>
    </row>
    <row r="48" spans="1:14" ht="13.5" x14ac:dyDescent="0.25">
      <c r="A48" s="7">
        <v>2</v>
      </c>
      <c r="B48" s="7" t="s">
        <v>538</v>
      </c>
      <c r="C48" s="13" t="s">
        <v>135</v>
      </c>
      <c r="D48" s="7">
        <v>1</v>
      </c>
      <c r="E48" s="12">
        <f>Harga!D67</f>
        <v>184940.7</v>
      </c>
      <c r="F48" s="7"/>
      <c r="G48" s="12">
        <f>(E48+F48)*D48</f>
        <v>184940.7</v>
      </c>
      <c r="I48" s="7"/>
      <c r="J48" s="7"/>
      <c r="K48" s="12"/>
      <c r="L48" s="12"/>
      <c r="M48" s="12"/>
    </row>
    <row r="49" spans="1:14" ht="13.5" x14ac:dyDescent="0.25">
      <c r="A49" s="7">
        <v>3</v>
      </c>
      <c r="B49" s="7" t="s">
        <v>539</v>
      </c>
      <c r="C49" s="13" t="s">
        <v>135</v>
      </c>
      <c r="D49" s="7">
        <v>4</v>
      </c>
      <c r="E49" s="12">
        <f>Harga!D67</f>
        <v>184940.7</v>
      </c>
      <c r="F49" s="7"/>
      <c r="G49" s="12">
        <f>(E49+F49)*D49</f>
        <v>739762.8</v>
      </c>
      <c r="I49" s="7"/>
      <c r="J49" s="7" t="s">
        <v>127</v>
      </c>
      <c r="K49" s="12"/>
      <c r="L49" s="12">
        <v>910</v>
      </c>
      <c r="M49" s="12"/>
    </row>
    <row r="50" spans="1:14" ht="13.5" x14ac:dyDescent="0.25">
      <c r="A50" s="7">
        <v>4</v>
      </c>
      <c r="B50" s="7" t="s">
        <v>11</v>
      </c>
      <c r="C50" s="13" t="s">
        <v>135</v>
      </c>
      <c r="D50" s="71">
        <f>M41-D47-D48-D49</f>
        <v>60.549999999999983</v>
      </c>
      <c r="E50" s="12">
        <f>Harga!D68</f>
        <v>148028</v>
      </c>
      <c r="F50" s="7"/>
      <c r="G50" s="12">
        <f>(E50+F50)*D50</f>
        <v>8963095.3999999966</v>
      </c>
      <c r="I50" s="7"/>
      <c r="J50" s="7" t="s">
        <v>138</v>
      </c>
      <c r="K50" s="12"/>
      <c r="L50" s="12">
        <v>82</v>
      </c>
      <c r="M50" s="12"/>
    </row>
    <row r="51" spans="1:14" ht="15" x14ac:dyDescent="0.3">
      <c r="B51" s="2"/>
      <c r="C51" s="2"/>
      <c r="D51" s="8">
        <f>SUM(D47:D50)</f>
        <v>68.549999999999983</v>
      </c>
      <c r="E51" s="2"/>
      <c r="F51" s="2"/>
      <c r="G51" s="29">
        <f>SUM(G47:G50)</f>
        <v>10442620.999999996</v>
      </c>
      <c r="H51" s="7"/>
      <c r="I51" s="7"/>
      <c r="J51" s="11" t="s">
        <v>128</v>
      </c>
      <c r="K51" s="12"/>
      <c r="L51" s="31">
        <f>L49-L50</f>
        <v>828</v>
      </c>
      <c r="M51" s="76"/>
      <c r="N51" s="7"/>
    </row>
    <row r="52" spans="1:14" ht="15" x14ac:dyDescent="0.3">
      <c r="A52" s="11" t="s">
        <v>586</v>
      </c>
      <c r="B52" s="11"/>
      <c r="C52" s="11"/>
      <c r="D52" s="7"/>
      <c r="E52" s="7"/>
      <c r="F52" s="7"/>
      <c r="G52" s="7"/>
      <c r="H52" s="7"/>
      <c r="I52" s="7"/>
      <c r="J52" s="7"/>
      <c r="K52" s="12"/>
      <c r="L52" s="12"/>
      <c r="M52" s="12"/>
      <c r="N52" s="7"/>
    </row>
    <row r="53" spans="1:14" ht="15" x14ac:dyDescent="0.3">
      <c r="A53" s="7">
        <v>1</v>
      </c>
      <c r="B53" s="7" t="s">
        <v>497</v>
      </c>
      <c r="C53" s="13" t="s">
        <v>496</v>
      </c>
      <c r="D53" s="7">
        <v>0</v>
      </c>
      <c r="E53" s="12">
        <v>25000</v>
      </c>
      <c r="F53" s="7"/>
      <c r="G53" s="12">
        <f>(E53+F53)*D53</f>
        <v>0</v>
      </c>
      <c r="I53" s="7"/>
      <c r="J53" s="11" t="s">
        <v>129</v>
      </c>
      <c r="K53" s="31"/>
      <c r="L53" s="31"/>
      <c r="M53" s="31">
        <f>M46/L51</f>
        <v>42283.435881642508</v>
      </c>
    </row>
    <row r="54" spans="1:14" ht="15.75" thickBot="1" x14ac:dyDescent="0.35">
      <c r="B54" s="2"/>
      <c r="C54" s="2"/>
      <c r="D54" s="8">
        <f>SUM(D53:D53)</f>
        <v>0</v>
      </c>
      <c r="E54" s="2"/>
      <c r="F54" s="2"/>
      <c r="G54" s="29">
        <f>SUM(G53:G53)</f>
        <v>0</v>
      </c>
      <c r="I54" s="7"/>
    </row>
    <row r="55" spans="1:14" ht="15.75" thickBot="1" x14ac:dyDescent="0.3">
      <c r="D55" s="5"/>
      <c r="E55" s="5"/>
      <c r="F55" s="5"/>
      <c r="G55" s="12"/>
      <c r="I55" s="7"/>
      <c r="J55" s="32" t="s">
        <v>130</v>
      </c>
      <c r="K55" s="33">
        <f>M53</f>
        <v>42283.435881642508</v>
      </c>
      <c r="L55" s="41" t="s">
        <v>346</v>
      </c>
      <c r="M55" s="34">
        <f>K55*143</f>
        <v>6046531.3310748786</v>
      </c>
    </row>
    <row r="56" spans="1:14" ht="15" x14ac:dyDescent="0.3">
      <c r="A56" s="1" t="s">
        <v>587</v>
      </c>
      <c r="B56" s="1"/>
      <c r="C56" s="2"/>
      <c r="D56" s="2"/>
      <c r="E56" s="2"/>
      <c r="F56" s="2"/>
      <c r="G56" s="29">
        <f>G15+G20+G33+G38+G45+G51+G54</f>
        <v>35010684.909999996</v>
      </c>
      <c r="I56" s="7"/>
      <c r="J56" s="7" t="s">
        <v>345</v>
      </c>
      <c r="K56" s="12"/>
      <c r="L56" s="12"/>
      <c r="M56" s="12"/>
    </row>
    <row r="57" spans="1:14" ht="13.5" x14ac:dyDescent="0.25">
      <c r="I57" s="7"/>
      <c r="J57" s="7"/>
      <c r="K57" s="12"/>
      <c r="L57" s="12"/>
      <c r="M57" s="76"/>
    </row>
    <row r="60" spans="1:14" ht="12.75" x14ac:dyDescent="0.2">
      <c r="M60" s="566">
        <f>M47/L51</f>
        <v>58410.25260869565</v>
      </c>
    </row>
    <row r="61" spans="1:14" x14ac:dyDescent="0.2">
      <c r="K61" s="5"/>
      <c r="L61" s="5"/>
      <c r="M61" s="5"/>
    </row>
    <row r="62" spans="1:14" x14ac:dyDescent="0.2">
      <c r="K62" s="5"/>
      <c r="L62" s="5"/>
      <c r="M62" s="5"/>
    </row>
    <row r="63" spans="1:14" x14ac:dyDescent="0.2">
      <c r="K63" s="5"/>
      <c r="L63" s="5"/>
      <c r="M63" s="5"/>
    </row>
    <row r="64" spans="1:14" x14ac:dyDescent="0.2">
      <c r="K64" s="5"/>
      <c r="L64" s="5"/>
      <c r="M64" s="5"/>
    </row>
    <row r="65" spans="11:13" x14ac:dyDescent="0.2">
      <c r="K65" s="5"/>
      <c r="L65" s="5"/>
      <c r="M65" s="5"/>
    </row>
  </sheetData>
  <mergeCells count="4">
    <mergeCell ref="C4:D4"/>
    <mergeCell ref="A1:M1"/>
    <mergeCell ref="A2:M2"/>
    <mergeCell ref="A4:B4"/>
  </mergeCells>
  <phoneticPr fontId="0" type="noConversion"/>
  <pageMargins left="1.5" right="0.5" top="0.5" bottom="0.5" header="0.32" footer="0.33"/>
  <pageSetup paperSize="9" scale="72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Y40"/>
  <sheetViews>
    <sheetView showGridLines="0" topLeftCell="A33" zoomScale="145" zoomScaleNormal="145" workbookViewId="0">
      <selection activeCell="C38" sqref="C38"/>
    </sheetView>
  </sheetViews>
  <sheetFormatPr defaultColWidth="8.6640625" defaultRowHeight="11.25" x14ac:dyDescent="0.2"/>
  <cols>
    <col min="1" max="1" width="1" customWidth="1"/>
    <col min="2" max="2" width="3.6640625" customWidth="1"/>
    <col min="3" max="3" width="40" customWidth="1"/>
    <col min="5" max="5" width="11" customWidth="1"/>
    <col min="6" max="6" width="16" customWidth="1"/>
    <col min="7" max="7" width="22.6640625" customWidth="1"/>
    <col min="8" max="9" width="10.5" hidden="1" customWidth="1"/>
    <col min="10" max="10" width="11" hidden="1" customWidth="1"/>
    <col min="25" max="25" width="14.1640625" style="244" bestFit="1" customWidth="1"/>
  </cols>
  <sheetData>
    <row r="1" spans="2:25" ht="15.75" x14ac:dyDescent="0.25">
      <c r="B1" s="585" t="s">
        <v>0</v>
      </c>
      <c r="C1" s="585"/>
      <c r="D1" s="585"/>
      <c r="E1" s="585"/>
      <c r="F1" s="585"/>
      <c r="G1" s="585"/>
      <c r="H1" s="585"/>
      <c r="I1" s="585"/>
      <c r="J1" s="585"/>
    </row>
    <row r="2" spans="2:25" ht="15.75" x14ac:dyDescent="0.25">
      <c r="B2" s="585" t="s">
        <v>347</v>
      </c>
      <c r="C2" s="585"/>
      <c r="D2" s="585"/>
      <c r="E2" s="585"/>
      <c r="F2" s="585"/>
      <c r="G2" s="585"/>
      <c r="H2" s="585"/>
      <c r="I2" s="585"/>
      <c r="J2" s="585"/>
    </row>
    <row r="3" spans="2:25" ht="15.75" x14ac:dyDescent="0.25">
      <c r="B3" s="585" t="s">
        <v>348</v>
      </c>
      <c r="C3" s="585"/>
      <c r="D3" s="585"/>
      <c r="E3" s="585"/>
      <c r="F3" s="585"/>
      <c r="G3" s="585"/>
      <c r="H3" s="585"/>
      <c r="I3" s="585"/>
      <c r="J3" s="585"/>
    </row>
    <row r="5" spans="2:25" s="7" customFormat="1" ht="15" hidden="1" customHeight="1" x14ac:dyDescent="0.3">
      <c r="B5" s="9"/>
      <c r="C5" s="9"/>
      <c r="D5" s="9"/>
      <c r="E5" s="649">
        <v>1</v>
      </c>
      <c r="F5" s="649"/>
      <c r="G5" s="649"/>
      <c r="H5" s="42">
        <v>0.7</v>
      </c>
      <c r="I5" s="42">
        <v>0.8</v>
      </c>
      <c r="J5" s="10" t="s">
        <v>40</v>
      </c>
      <c r="Y5" s="35"/>
    </row>
    <row r="6" spans="2:25" s="7" customFormat="1" ht="15" x14ac:dyDescent="0.3">
      <c r="B6" s="9"/>
      <c r="C6" s="8" t="s">
        <v>31</v>
      </c>
      <c r="D6" s="8"/>
      <c r="E6" s="611" t="s">
        <v>32</v>
      </c>
      <c r="F6" s="611"/>
      <c r="G6" s="10" t="s">
        <v>33</v>
      </c>
      <c r="H6" s="9"/>
      <c r="I6" s="9"/>
      <c r="J6" s="9"/>
      <c r="Y6" s="35"/>
    </row>
    <row r="7" spans="2:25" s="7" customFormat="1" ht="13.5" x14ac:dyDescent="0.25">
      <c r="B7" s="7">
        <v>1</v>
      </c>
      <c r="C7" s="7" t="s">
        <v>2</v>
      </c>
      <c r="G7" s="7">
        <v>1</v>
      </c>
      <c r="H7" s="43">
        <f t="shared" ref="H7:H14" si="0">G7*$H$5</f>
        <v>0.7</v>
      </c>
      <c r="I7" s="43">
        <f t="shared" ref="I7:I14" si="1">H7*$I$5</f>
        <v>0.55999999999999994</v>
      </c>
      <c r="Y7" s="35"/>
    </row>
    <row r="8" spans="2:25" s="7" customFormat="1" ht="13.5" x14ac:dyDescent="0.25">
      <c r="B8" s="7">
        <v>2</v>
      </c>
      <c r="C8" s="7" t="s">
        <v>148</v>
      </c>
      <c r="G8" s="7">
        <v>1</v>
      </c>
      <c r="H8" s="43">
        <f t="shared" si="0"/>
        <v>0.7</v>
      </c>
      <c r="I8" s="43">
        <f t="shared" si="1"/>
        <v>0.55999999999999994</v>
      </c>
      <c r="Y8" s="35"/>
    </row>
    <row r="9" spans="2:25" s="7" customFormat="1" ht="13.5" x14ac:dyDescent="0.25">
      <c r="B9" s="7">
        <v>3</v>
      </c>
      <c r="C9" s="7" t="s">
        <v>149</v>
      </c>
      <c r="G9" s="7">
        <v>1</v>
      </c>
      <c r="H9" s="43">
        <f t="shared" si="0"/>
        <v>0.7</v>
      </c>
      <c r="I9" s="43">
        <f t="shared" si="1"/>
        <v>0.55999999999999994</v>
      </c>
      <c r="Y9" s="35"/>
    </row>
    <row r="10" spans="2:25" s="7" customFormat="1" ht="13.5" x14ac:dyDescent="0.25">
      <c r="B10" s="7">
        <v>4</v>
      </c>
      <c r="C10" s="7" t="s">
        <v>139</v>
      </c>
      <c r="H10" s="43">
        <f t="shared" si="0"/>
        <v>0</v>
      </c>
      <c r="I10" s="43">
        <f t="shared" si="1"/>
        <v>0</v>
      </c>
      <c r="Y10" s="35"/>
    </row>
    <row r="11" spans="2:25" s="7" customFormat="1" ht="13.5" x14ac:dyDescent="0.25">
      <c r="B11" s="7">
        <v>5</v>
      </c>
      <c r="C11" s="7" t="s">
        <v>140</v>
      </c>
      <c r="H11" s="43">
        <f t="shared" si="0"/>
        <v>0</v>
      </c>
      <c r="I11" s="43">
        <f t="shared" si="1"/>
        <v>0</v>
      </c>
      <c r="Y11" s="35"/>
    </row>
    <row r="12" spans="2:25" s="7" customFormat="1" ht="13.5" x14ac:dyDescent="0.25">
      <c r="B12" s="7">
        <v>6</v>
      </c>
      <c r="C12" s="7" t="s">
        <v>600</v>
      </c>
      <c r="G12" s="7">
        <v>1</v>
      </c>
      <c r="H12" s="43">
        <f t="shared" si="0"/>
        <v>0.7</v>
      </c>
      <c r="I12" s="43">
        <f t="shared" si="1"/>
        <v>0.55999999999999994</v>
      </c>
      <c r="Y12" s="35"/>
    </row>
    <row r="13" spans="2:25" s="7" customFormat="1" ht="13.5" x14ac:dyDescent="0.25">
      <c r="B13" s="7">
        <v>7</v>
      </c>
      <c r="C13" s="7" t="s">
        <v>153</v>
      </c>
      <c r="G13" s="7">
        <v>2</v>
      </c>
      <c r="H13" s="43">
        <f t="shared" si="0"/>
        <v>1.4</v>
      </c>
      <c r="I13" s="43">
        <f t="shared" si="1"/>
        <v>1.1199999999999999</v>
      </c>
      <c r="Y13" s="35"/>
    </row>
    <row r="14" spans="2:25" s="7" customFormat="1" ht="13.5" x14ac:dyDescent="0.25">
      <c r="B14" s="7">
        <v>8</v>
      </c>
      <c r="C14" s="7" t="s">
        <v>577</v>
      </c>
      <c r="G14" s="7">
        <v>1</v>
      </c>
      <c r="H14" s="43">
        <f t="shared" si="0"/>
        <v>0.7</v>
      </c>
      <c r="I14" s="43">
        <f t="shared" si="1"/>
        <v>0.55999999999999994</v>
      </c>
      <c r="Y14" s="35">
        <v>94000</v>
      </c>
    </row>
    <row r="15" spans="2:25" s="7" customFormat="1" ht="15" x14ac:dyDescent="0.3">
      <c r="C15" s="8" t="s">
        <v>34</v>
      </c>
      <c r="D15" s="8"/>
      <c r="E15" s="9"/>
      <c r="F15" s="9"/>
      <c r="G15" s="8">
        <f>SUM(G7:G14)</f>
        <v>7</v>
      </c>
      <c r="H15" s="8">
        <f>SUM(H7:H14)</f>
        <v>4.8999999999999995</v>
      </c>
      <c r="I15" s="8">
        <f>SUM(I7:I14)</f>
        <v>3.9199999999999995</v>
      </c>
      <c r="J15" s="9"/>
      <c r="Y15" s="35">
        <v>1536000</v>
      </c>
    </row>
    <row r="16" spans="2:25" s="7" customFormat="1" ht="13.5" x14ac:dyDescent="0.25">
      <c r="Y16" s="35">
        <v>500000</v>
      </c>
    </row>
    <row r="17" spans="2:25" s="7" customFormat="1" ht="15" x14ac:dyDescent="0.3">
      <c r="B17" s="9"/>
      <c r="C17" s="8" t="s">
        <v>36</v>
      </c>
      <c r="D17" s="611" t="s">
        <v>35</v>
      </c>
      <c r="E17" s="611"/>
      <c r="F17" s="10" t="s">
        <v>37</v>
      </c>
      <c r="G17" s="10" t="s">
        <v>87</v>
      </c>
      <c r="H17" s="42">
        <v>0.7</v>
      </c>
      <c r="I17" s="42">
        <v>0.8</v>
      </c>
      <c r="J17" s="10" t="s">
        <v>40</v>
      </c>
      <c r="Y17" s="35">
        <v>1200000</v>
      </c>
    </row>
    <row r="18" spans="2:25" s="7" customFormat="1" ht="15" x14ac:dyDescent="0.3">
      <c r="B18" s="11" t="s">
        <v>12</v>
      </c>
      <c r="C18" s="11" t="s">
        <v>72</v>
      </c>
      <c r="F18" s="12"/>
      <c r="G18" s="12"/>
      <c r="Y18" s="35">
        <v>48300</v>
      </c>
    </row>
    <row r="19" spans="2:25" s="7" customFormat="1" ht="13.5" x14ac:dyDescent="0.25">
      <c r="B19" s="7">
        <v>1</v>
      </c>
      <c r="C19" s="7" t="s">
        <v>180</v>
      </c>
      <c r="D19" s="13" t="s">
        <v>135</v>
      </c>
      <c r="F19" s="12">
        <f>Harga!D10</f>
        <v>50490</v>
      </c>
      <c r="G19" s="12">
        <f>E19*F19</f>
        <v>0</v>
      </c>
      <c r="H19" s="16">
        <f t="shared" ref="H19:I23" si="2">$G19*H$5</f>
        <v>0</v>
      </c>
      <c r="I19" s="16">
        <f t="shared" si="2"/>
        <v>0</v>
      </c>
      <c r="Y19" s="35">
        <v>7500</v>
      </c>
    </row>
    <row r="20" spans="2:25" s="7" customFormat="1" ht="13.5" x14ac:dyDescent="0.25">
      <c r="B20" s="7">
        <v>2</v>
      </c>
      <c r="C20" s="7" t="s">
        <v>80</v>
      </c>
      <c r="D20" s="13" t="s">
        <v>131</v>
      </c>
      <c r="E20" s="7">
        <v>12.5</v>
      </c>
      <c r="F20" s="12">
        <f>Harga!D7</f>
        <v>691200</v>
      </c>
      <c r="G20" s="12">
        <f>E20*F20</f>
        <v>8640000</v>
      </c>
      <c r="H20" s="16">
        <f t="shared" si="2"/>
        <v>6048000</v>
      </c>
      <c r="I20" s="16">
        <f t="shared" si="2"/>
        <v>6912000</v>
      </c>
      <c r="Y20" s="35">
        <v>316645</v>
      </c>
    </row>
    <row r="21" spans="2:25" s="7" customFormat="1" ht="13.5" x14ac:dyDescent="0.25">
      <c r="B21" s="7">
        <v>3</v>
      </c>
      <c r="C21" s="7" t="s">
        <v>15</v>
      </c>
      <c r="D21" s="13" t="s">
        <v>100</v>
      </c>
      <c r="E21" s="7">
        <v>0.2</v>
      </c>
      <c r="F21" s="12">
        <f>Harga!D13</f>
        <v>1450770</v>
      </c>
      <c r="G21" s="12">
        <f>E21*F21</f>
        <v>290154</v>
      </c>
      <c r="H21" s="16">
        <f t="shared" si="2"/>
        <v>203107.8</v>
      </c>
      <c r="I21" s="16">
        <f t="shared" si="2"/>
        <v>232123.2</v>
      </c>
      <c r="Y21" s="35">
        <v>97048</v>
      </c>
    </row>
    <row r="22" spans="2:25" s="7" customFormat="1" ht="13.5" x14ac:dyDescent="0.25">
      <c r="B22" s="7">
        <v>4</v>
      </c>
      <c r="C22" s="7" t="s">
        <v>146</v>
      </c>
      <c r="D22" s="13" t="s">
        <v>132</v>
      </c>
      <c r="E22" s="7">
        <v>0.1</v>
      </c>
      <c r="F22" s="12">
        <f>F21*25%</f>
        <v>362692.5</v>
      </c>
      <c r="G22" s="12">
        <f>E22*F22</f>
        <v>36269.25</v>
      </c>
      <c r="H22" s="16">
        <f t="shared" si="2"/>
        <v>25388.474999999999</v>
      </c>
      <c r="I22" s="16">
        <f t="shared" si="2"/>
        <v>29015.4</v>
      </c>
      <c r="Y22" s="35">
        <v>808</v>
      </c>
    </row>
    <row r="23" spans="2:25" s="7" customFormat="1" ht="13.5" x14ac:dyDescent="0.25">
      <c r="B23" s="7">
        <v>5</v>
      </c>
      <c r="C23" s="7" t="s">
        <v>152</v>
      </c>
      <c r="D23" s="13" t="s">
        <v>100</v>
      </c>
      <c r="E23" s="7">
        <v>1</v>
      </c>
      <c r="F23" s="12">
        <f>Harga!D14</f>
        <v>30000</v>
      </c>
      <c r="G23" s="12">
        <f>E23*F23</f>
        <v>30000</v>
      </c>
      <c r="H23" s="16">
        <f t="shared" si="2"/>
        <v>21000</v>
      </c>
      <c r="I23" s="16">
        <f t="shared" si="2"/>
        <v>24000</v>
      </c>
      <c r="Y23" s="35">
        <f>SUM(Y14:Y22)</f>
        <v>3800301</v>
      </c>
    </row>
    <row r="24" spans="2:25" s="7" customFormat="1" ht="15" x14ac:dyDescent="0.3">
      <c r="C24" s="8"/>
      <c r="D24" s="9"/>
      <c r="E24" s="9"/>
      <c r="F24" s="21"/>
      <c r="G24" s="20">
        <f>SUM(G19:G23)</f>
        <v>8996423.25</v>
      </c>
      <c r="H24" s="20">
        <f>SUM(H19:H23)</f>
        <v>6297496.2749999994</v>
      </c>
      <c r="I24" s="20">
        <f>SUM(I19:I23)</f>
        <v>7197138.6000000006</v>
      </c>
      <c r="J24" s="9"/>
      <c r="Y24" s="35">
        <f>Y23*5%</f>
        <v>190015.05000000002</v>
      </c>
    </row>
    <row r="25" spans="2:25" s="7" customFormat="1" ht="15" x14ac:dyDescent="0.3">
      <c r="B25" s="11" t="s">
        <v>18</v>
      </c>
      <c r="C25" s="11" t="s">
        <v>26</v>
      </c>
      <c r="F25" s="39"/>
      <c r="G25" s="24"/>
      <c r="H25" s="24"/>
      <c r="I25" s="24"/>
      <c r="Y25" s="35">
        <f>Y24+Y23</f>
        <v>3990316.05</v>
      </c>
    </row>
    <row r="26" spans="2:25" s="7" customFormat="1" ht="13.5" x14ac:dyDescent="0.25">
      <c r="B26" s="7">
        <v>1</v>
      </c>
      <c r="C26" s="7" t="s">
        <v>143</v>
      </c>
      <c r="D26" s="13" t="s">
        <v>104</v>
      </c>
      <c r="E26" s="25">
        <v>4</v>
      </c>
      <c r="F26" s="39">
        <f>Harga!D57</f>
        <v>47942.06</v>
      </c>
      <c r="G26" s="12">
        <f>E26*F26</f>
        <v>191768.24</v>
      </c>
      <c r="H26" s="16">
        <f>$G26*H$5</f>
        <v>134237.76799999998</v>
      </c>
      <c r="I26" s="16">
        <f>$G26*I$5</f>
        <v>153414.592</v>
      </c>
      <c r="M26"/>
      <c r="Y26" s="35"/>
    </row>
    <row r="27" spans="2:25" s="7" customFormat="1" ht="13.5" x14ac:dyDescent="0.25">
      <c r="B27" s="7">
        <v>2</v>
      </c>
      <c r="C27" s="7" t="s">
        <v>144</v>
      </c>
      <c r="D27" s="13" t="s">
        <v>103</v>
      </c>
      <c r="E27" s="246">
        <v>0</v>
      </c>
      <c r="F27" s="39">
        <f>Harga!D58</f>
        <v>85000.05</v>
      </c>
      <c r="G27" s="12">
        <f>E27*F27</f>
        <v>0</v>
      </c>
      <c r="H27" s="16">
        <f>$G27*H$5</f>
        <v>0</v>
      </c>
      <c r="I27" s="16">
        <f>$G27*I$5</f>
        <v>0</v>
      </c>
      <c r="Y27" s="35"/>
    </row>
    <row r="28" spans="2:25" s="7" customFormat="1" ht="15" x14ac:dyDescent="0.3">
      <c r="C28" s="9"/>
      <c r="D28" s="9"/>
      <c r="E28" s="9">
        <f>SUM(E26:E27)</f>
        <v>4</v>
      </c>
      <c r="F28" s="21"/>
      <c r="G28" s="20">
        <f>SUM(G26:G27)</f>
        <v>191768.24</v>
      </c>
      <c r="H28" s="20">
        <f>SUM(H26:H27)</f>
        <v>134237.76799999998</v>
      </c>
      <c r="I28" s="20">
        <f>SUM(I26:I27)</f>
        <v>153414.592</v>
      </c>
      <c r="J28" s="9"/>
      <c r="Y28" s="35"/>
    </row>
    <row r="29" spans="2:25" s="7" customFormat="1" ht="15" x14ac:dyDescent="0.3">
      <c r="B29" s="11" t="s">
        <v>24</v>
      </c>
      <c r="C29" s="11" t="s">
        <v>147</v>
      </c>
      <c r="F29" s="39"/>
      <c r="G29" s="24"/>
      <c r="H29" s="24"/>
      <c r="I29" s="24"/>
      <c r="Y29" s="35"/>
    </row>
    <row r="30" spans="2:25" s="7" customFormat="1" ht="13.5" x14ac:dyDescent="0.25">
      <c r="B30" s="7">
        <v>1</v>
      </c>
      <c r="C30" s="7" t="s">
        <v>566</v>
      </c>
      <c r="D30" s="13" t="s">
        <v>526</v>
      </c>
      <c r="E30" s="245">
        <v>0.15</v>
      </c>
      <c r="F30" s="39">
        <v>33817</v>
      </c>
      <c r="G30" s="12">
        <f>E30*F30</f>
        <v>5072.55</v>
      </c>
      <c r="H30" s="16">
        <f>$G30*H$4</f>
        <v>0</v>
      </c>
      <c r="I30" s="16">
        <f>$G30*I$4</f>
        <v>0</v>
      </c>
      <c r="Y30" s="35"/>
    </row>
    <row r="31" spans="2:25" s="7" customFormat="1" ht="15" x14ac:dyDescent="0.3">
      <c r="C31" s="9"/>
      <c r="D31" s="9"/>
      <c r="E31" s="9"/>
      <c r="F31" s="21"/>
      <c r="G31" s="20">
        <f>SUM(G30)</f>
        <v>5072.55</v>
      </c>
      <c r="H31" s="20">
        <f>SUM(H30)</f>
        <v>0</v>
      </c>
      <c r="I31" s="20">
        <f>SUM(I30)</f>
        <v>0</v>
      </c>
      <c r="J31" s="9"/>
      <c r="Y31" s="35"/>
    </row>
    <row r="32" spans="2:25" s="7" customFormat="1" ht="15" x14ac:dyDescent="0.3">
      <c r="B32" s="11" t="s">
        <v>28</v>
      </c>
      <c r="C32" s="11" t="s">
        <v>39</v>
      </c>
      <c r="F32" s="12"/>
      <c r="G32" s="12"/>
      <c r="Y32" s="35"/>
    </row>
    <row r="33" spans="2:25" s="7" customFormat="1" ht="13.5" x14ac:dyDescent="0.25">
      <c r="B33" s="7">
        <v>1</v>
      </c>
      <c r="C33" s="7" t="s">
        <v>2</v>
      </c>
      <c r="D33" s="13" t="s">
        <v>135</v>
      </c>
      <c r="E33" s="7">
        <v>1</v>
      </c>
      <c r="F33" s="12">
        <f>Harga!D67</f>
        <v>184940.7</v>
      </c>
      <c r="G33" s="12">
        <f>E33*F33</f>
        <v>184940.7</v>
      </c>
      <c r="H33" s="16">
        <f t="shared" ref="H33:I35" si="3">$G33*H$5</f>
        <v>129458.49</v>
      </c>
      <c r="I33" s="16">
        <f t="shared" si="3"/>
        <v>147952.56000000003</v>
      </c>
      <c r="Y33" s="35"/>
    </row>
    <row r="34" spans="2:25" s="7" customFormat="1" ht="13.5" x14ac:dyDescent="0.25">
      <c r="B34" s="7">
        <v>2</v>
      </c>
      <c r="C34" s="7" t="s">
        <v>11</v>
      </c>
      <c r="D34" s="13" t="s">
        <v>135</v>
      </c>
      <c r="E34" s="7">
        <f>G15-E33-E35</f>
        <v>6</v>
      </c>
      <c r="F34" s="12">
        <f>Harga!D68</f>
        <v>148028</v>
      </c>
      <c r="G34" s="12">
        <f>E34*F34</f>
        <v>888168</v>
      </c>
      <c r="H34" s="16">
        <f t="shared" si="3"/>
        <v>621717.6</v>
      </c>
      <c r="I34" s="16">
        <f t="shared" si="3"/>
        <v>710534.4</v>
      </c>
      <c r="Y34" s="35"/>
    </row>
    <row r="35" spans="2:25" s="7" customFormat="1" ht="13.5" hidden="1" x14ac:dyDescent="0.25">
      <c r="B35" s="7">
        <v>3</v>
      </c>
      <c r="C35" s="16">
        <f>'Tingkat Jalan Mineral'!G20</f>
        <v>998942.8</v>
      </c>
      <c r="D35" s="13" t="s">
        <v>135</v>
      </c>
      <c r="E35" s="7">
        <v>0</v>
      </c>
      <c r="F35" s="12">
        <f>Harga!D68</f>
        <v>148028</v>
      </c>
      <c r="G35" s="12">
        <f>E35*F35</f>
        <v>0</v>
      </c>
      <c r="H35" s="16">
        <f t="shared" si="3"/>
        <v>0</v>
      </c>
      <c r="I35" s="16">
        <f t="shared" si="3"/>
        <v>0</v>
      </c>
      <c r="Y35" s="35"/>
    </row>
    <row r="36" spans="2:25" s="7" customFormat="1" ht="15" x14ac:dyDescent="0.3">
      <c r="C36" s="8"/>
      <c r="D36" s="9"/>
      <c r="E36" s="9">
        <f>SUM(E33:E35)</f>
        <v>7</v>
      </c>
      <c r="F36" s="21"/>
      <c r="G36" s="20">
        <f>SUM(G33:G35)</f>
        <v>1073108.7</v>
      </c>
      <c r="H36" s="20">
        <f>SUM(H33:H35)</f>
        <v>751176.09</v>
      </c>
      <c r="I36" s="20">
        <f>SUM(I33:I35)</f>
        <v>858486.96000000008</v>
      </c>
      <c r="J36" s="9"/>
      <c r="Y36" s="35"/>
    </row>
    <row r="37" spans="2:25" s="7" customFormat="1" ht="15" x14ac:dyDescent="0.3">
      <c r="B37" s="11" t="s">
        <v>38</v>
      </c>
      <c r="C37" s="11"/>
      <c r="F37" s="39"/>
      <c r="G37" s="24"/>
      <c r="H37" s="560"/>
      <c r="I37" s="560"/>
      <c r="J37" s="558"/>
      <c r="Y37" s="35"/>
    </row>
    <row r="38" spans="2:25" s="7" customFormat="1" ht="15" x14ac:dyDescent="0.3">
      <c r="B38" s="7">
        <v>1</v>
      </c>
      <c r="D38" s="13" t="s">
        <v>567</v>
      </c>
      <c r="E38" s="245">
        <v>11</v>
      </c>
      <c r="F38" s="39">
        <v>5000</v>
      </c>
      <c r="G38" s="12">
        <f>E38*F38</f>
        <v>55000</v>
      </c>
      <c r="H38" s="560"/>
      <c r="I38" s="560"/>
      <c r="J38" s="558"/>
      <c r="Y38" s="35"/>
    </row>
    <row r="39" spans="2:25" s="7" customFormat="1" ht="15" x14ac:dyDescent="0.3">
      <c r="C39" s="557"/>
      <c r="D39" s="558"/>
      <c r="E39" s="558"/>
      <c r="F39" s="559"/>
      <c r="G39" s="560"/>
      <c r="H39" s="560"/>
      <c r="I39" s="560"/>
      <c r="J39" s="558"/>
      <c r="Y39" s="35"/>
    </row>
    <row r="40" spans="2:25" s="7" customFormat="1" ht="15.75" thickBot="1" x14ac:dyDescent="0.35">
      <c r="B40" s="44"/>
      <c r="C40" s="45" t="s">
        <v>41</v>
      </c>
      <c r="D40" s="44"/>
      <c r="E40" s="44"/>
      <c r="F40" s="46"/>
      <c r="G40" s="115">
        <f>G24+G28+G36+G38</f>
        <v>10316300.189999999</v>
      </c>
      <c r="H40" s="47">
        <f>H24+H36</f>
        <v>7048672.3649999993</v>
      </c>
      <c r="I40" s="47">
        <f>I24+I36</f>
        <v>8055625.5600000005</v>
      </c>
      <c r="J40" s="44"/>
      <c r="Y40" s="35"/>
    </row>
  </sheetData>
  <mergeCells count="6">
    <mergeCell ref="D17:E17"/>
    <mergeCell ref="B1:J1"/>
    <mergeCell ref="B2:J2"/>
    <mergeCell ref="E5:G5"/>
    <mergeCell ref="E6:F6"/>
    <mergeCell ref="B3:J3"/>
  </mergeCells>
  <phoneticPr fontId="0" type="noConversion"/>
  <pageMargins left="1.5" right="0.5" top="0.6" bottom="1" header="0.5" footer="0.5"/>
  <pageSetup paperSize="9" scale="97" fitToWidth="4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P40"/>
  <sheetViews>
    <sheetView topLeftCell="A22" zoomScale="130" zoomScaleNormal="130" workbookViewId="0">
      <selection activeCell="B2" sqref="B2:J34"/>
    </sheetView>
  </sheetViews>
  <sheetFormatPr defaultColWidth="8.6640625" defaultRowHeight="11.25" x14ac:dyDescent="0.2"/>
  <cols>
    <col min="1" max="1" width="1.6640625" customWidth="1"/>
    <col min="2" max="2" width="3.6640625" customWidth="1"/>
    <col min="3" max="3" width="39" customWidth="1"/>
    <col min="4" max="4" width="10" customWidth="1"/>
    <col min="5" max="5" width="9.6640625" customWidth="1"/>
    <col min="6" max="6" width="12.5" customWidth="1"/>
    <col min="7" max="7" width="26" customWidth="1"/>
    <col min="8" max="9" width="9" hidden="1" customWidth="1"/>
    <col min="10" max="10" width="11" hidden="1" customWidth="1"/>
    <col min="16" max="16" width="26.1640625" style="4" customWidth="1"/>
  </cols>
  <sheetData>
    <row r="2" spans="2:16" ht="15.75" x14ac:dyDescent="0.25">
      <c r="B2" s="585" t="s">
        <v>0</v>
      </c>
      <c r="C2" s="585"/>
      <c r="D2" s="585"/>
      <c r="E2" s="585"/>
      <c r="F2" s="585"/>
      <c r="G2" s="585"/>
      <c r="H2" s="585"/>
      <c r="I2" s="585"/>
      <c r="J2" s="585"/>
    </row>
    <row r="3" spans="2:16" ht="15.75" x14ac:dyDescent="0.25">
      <c r="B3" s="585" t="s">
        <v>601</v>
      </c>
      <c r="C3" s="585"/>
      <c r="D3" s="585"/>
      <c r="E3" s="585"/>
      <c r="F3" s="585"/>
      <c r="G3" s="585"/>
      <c r="H3" s="585"/>
      <c r="I3" s="585"/>
      <c r="J3" s="585"/>
    </row>
    <row r="4" spans="2:16" s="7" customFormat="1" ht="13.5" x14ac:dyDescent="0.25">
      <c r="P4" s="37"/>
    </row>
    <row r="5" spans="2:16" s="7" customFormat="1" ht="15" x14ac:dyDescent="0.3">
      <c r="B5" s="9"/>
      <c r="C5" s="9"/>
      <c r="D5" s="9"/>
      <c r="E5" s="649">
        <v>1</v>
      </c>
      <c r="F5" s="649"/>
      <c r="G5" s="649"/>
      <c r="H5" s="42">
        <v>0.7</v>
      </c>
      <c r="I5" s="42">
        <v>0.8</v>
      </c>
      <c r="J5" s="10" t="s">
        <v>40</v>
      </c>
      <c r="P5" s="37">
        <v>47000</v>
      </c>
    </row>
    <row r="6" spans="2:16" s="7" customFormat="1" ht="15" x14ac:dyDescent="0.3">
      <c r="B6" s="9"/>
      <c r="C6" s="8" t="s">
        <v>31</v>
      </c>
      <c r="D6" s="8"/>
      <c r="E6" s="611" t="s">
        <v>32</v>
      </c>
      <c r="F6" s="611"/>
      <c r="G6" s="10" t="s">
        <v>33</v>
      </c>
      <c r="P6" s="37">
        <v>928000</v>
      </c>
    </row>
    <row r="7" spans="2:16" s="7" customFormat="1" ht="13.5" x14ac:dyDescent="0.25">
      <c r="B7" s="7">
        <v>1</v>
      </c>
      <c r="C7" s="7" t="s">
        <v>2</v>
      </c>
      <c r="D7" s="13" t="s">
        <v>135</v>
      </c>
      <c r="E7" s="7">
        <v>1</v>
      </c>
      <c r="F7" s="7">
        <v>1</v>
      </c>
      <c r="G7" s="7">
        <v>1</v>
      </c>
      <c r="H7" s="43">
        <f>G7*$H$5</f>
        <v>0.7</v>
      </c>
      <c r="I7" s="43">
        <f>H7*$I$5</f>
        <v>0.55999999999999994</v>
      </c>
      <c r="P7" s="37">
        <v>181080</v>
      </c>
    </row>
    <row r="8" spans="2:16" s="7" customFormat="1" ht="13.5" x14ac:dyDescent="0.25">
      <c r="B8" s="7">
        <v>2</v>
      </c>
      <c r="C8" s="7" t="s">
        <v>601</v>
      </c>
      <c r="D8" s="13" t="s">
        <v>135</v>
      </c>
      <c r="E8" s="7">
        <v>10</v>
      </c>
      <c r="F8" s="7">
        <v>1</v>
      </c>
      <c r="G8" s="7">
        <v>10</v>
      </c>
      <c r="H8" s="43">
        <f>G8*$H$5</f>
        <v>7</v>
      </c>
      <c r="I8" s="43">
        <f>H8*$I$5</f>
        <v>5.6000000000000005</v>
      </c>
      <c r="P8" s="37">
        <v>58695</v>
      </c>
    </row>
    <row r="9" spans="2:16" s="7" customFormat="1" ht="13.5" x14ac:dyDescent="0.25">
      <c r="B9" s="7">
        <v>3</v>
      </c>
      <c r="C9" s="36" t="s">
        <v>602</v>
      </c>
      <c r="D9" s="13" t="s">
        <v>135</v>
      </c>
      <c r="E9" s="7">
        <v>5</v>
      </c>
      <c r="F9" s="7">
        <v>3</v>
      </c>
      <c r="G9" s="7">
        <v>0</v>
      </c>
      <c r="H9" s="43">
        <f>G9*$H$5</f>
        <v>0</v>
      </c>
      <c r="I9" s="43">
        <f>H9*$I$5</f>
        <v>0</v>
      </c>
      <c r="P9" s="37">
        <v>2314</v>
      </c>
    </row>
    <row r="10" spans="2:16" s="7" customFormat="1" ht="13.5" x14ac:dyDescent="0.25">
      <c r="B10" s="7">
        <v>4</v>
      </c>
      <c r="C10" s="36" t="s">
        <v>602</v>
      </c>
      <c r="D10" s="13" t="s">
        <v>135</v>
      </c>
      <c r="E10" s="7">
        <v>3</v>
      </c>
      <c r="F10" s="7">
        <v>1</v>
      </c>
      <c r="G10" s="7">
        <v>0</v>
      </c>
      <c r="H10" s="43">
        <f>G10*$H$5</f>
        <v>0</v>
      </c>
      <c r="I10" s="43">
        <f>H10*$I$5</f>
        <v>0</v>
      </c>
      <c r="P10" s="37">
        <v>207200</v>
      </c>
    </row>
    <row r="11" spans="2:16" s="7" customFormat="1" ht="15" x14ac:dyDescent="0.3">
      <c r="C11" s="8" t="s">
        <v>34</v>
      </c>
      <c r="D11" s="8"/>
      <c r="E11" s="9"/>
      <c r="F11" s="9"/>
      <c r="G11" s="8">
        <f>SUM(G7:G10)</f>
        <v>11</v>
      </c>
      <c r="H11" s="8">
        <f>SUM(H7:H10)</f>
        <v>7.7</v>
      </c>
      <c r="I11" s="8">
        <f>SUM(I7:I10)</f>
        <v>6.16</v>
      </c>
      <c r="J11" s="9"/>
      <c r="P11" s="37">
        <v>133400</v>
      </c>
    </row>
    <row r="12" spans="2:16" s="7" customFormat="1" ht="13.5" x14ac:dyDescent="0.25">
      <c r="P12" s="37">
        <v>805200</v>
      </c>
    </row>
    <row r="13" spans="2:16" s="7" customFormat="1" ht="15" x14ac:dyDescent="0.3">
      <c r="B13" s="9"/>
      <c r="C13" s="8" t="s">
        <v>36</v>
      </c>
      <c r="D13" s="611" t="s">
        <v>35</v>
      </c>
      <c r="E13" s="611"/>
      <c r="F13" s="10" t="s">
        <v>37</v>
      </c>
      <c r="G13" s="10" t="s">
        <v>87</v>
      </c>
      <c r="H13" s="42">
        <v>0.7</v>
      </c>
      <c r="I13" s="42">
        <v>0.8</v>
      </c>
      <c r="J13" s="10" t="s">
        <v>40</v>
      </c>
      <c r="P13" s="37">
        <v>68323</v>
      </c>
    </row>
    <row r="14" spans="2:16" s="7" customFormat="1" ht="15" x14ac:dyDescent="0.3">
      <c r="C14" s="11"/>
      <c r="F14" s="12"/>
      <c r="G14" s="12"/>
      <c r="P14" s="37">
        <f>SUM(P5:P13)</f>
        <v>2431212</v>
      </c>
    </row>
    <row r="15" spans="2:16" s="7" customFormat="1" ht="15" x14ac:dyDescent="0.3">
      <c r="B15" s="11" t="s">
        <v>12</v>
      </c>
      <c r="C15" s="11" t="s">
        <v>19</v>
      </c>
      <c r="F15" s="12"/>
      <c r="G15" s="12"/>
      <c r="P15" s="37">
        <f>P14*5%</f>
        <v>121560.6</v>
      </c>
    </row>
    <row r="16" spans="2:16" s="7" customFormat="1" ht="13.5" x14ac:dyDescent="0.25">
      <c r="B16" s="7">
        <v>1</v>
      </c>
      <c r="C16" s="36" t="s">
        <v>54</v>
      </c>
      <c r="D16" s="13" t="s">
        <v>103</v>
      </c>
      <c r="E16" s="7">
        <v>6</v>
      </c>
      <c r="F16" s="12">
        <f>Harga!D27</f>
        <v>98879</v>
      </c>
      <c r="G16" s="12">
        <f t="shared" ref="G16:G18" si="0">E16*F16</f>
        <v>593274</v>
      </c>
      <c r="H16" s="16">
        <f t="shared" ref="H16:I18" si="1">$G16*H$5</f>
        <v>415291.8</v>
      </c>
      <c r="I16" s="16">
        <f t="shared" si="1"/>
        <v>474619.2</v>
      </c>
      <c r="P16" s="37">
        <f>P15+P14</f>
        <v>2552772.6</v>
      </c>
    </row>
    <row r="17" spans="2:16" s="7" customFormat="1" ht="13.5" x14ac:dyDescent="0.25">
      <c r="B17" s="7">
        <v>2</v>
      </c>
      <c r="C17" s="36" t="s">
        <v>55</v>
      </c>
      <c r="D17" s="13" t="s">
        <v>103</v>
      </c>
      <c r="E17" s="7">
        <v>3</v>
      </c>
      <c r="F17" s="12">
        <f>Harga!D28</f>
        <v>27497</v>
      </c>
      <c r="G17" s="12">
        <f t="shared" si="0"/>
        <v>82491</v>
      </c>
      <c r="H17" s="16">
        <f t="shared" si="1"/>
        <v>57743.7</v>
      </c>
      <c r="I17" s="16">
        <f t="shared" si="1"/>
        <v>65992.800000000003</v>
      </c>
      <c r="P17" s="37"/>
    </row>
    <row r="18" spans="2:16" s="7" customFormat="1" ht="13.5" x14ac:dyDescent="0.25">
      <c r="B18" s="7">
        <v>3</v>
      </c>
      <c r="C18" s="36" t="s">
        <v>56</v>
      </c>
      <c r="D18" s="13" t="s">
        <v>103</v>
      </c>
      <c r="E18" s="43">
        <v>0.03</v>
      </c>
      <c r="F18" s="12">
        <f>Harga!D29</f>
        <v>71654</v>
      </c>
      <c r="G18" s="12">
        <f t="shared" si="0"/>
        <v>2149.62</v>
      </c>
      <c r="H18" s="16">
        <f t="shared" si="1"/>
        <v>1504.7339999999999</v>
      </c>
      <c r="I18" s="16">
        <f t="shared" si="1"/>
        <v>1719.6959999999999</v>
      </c>
      <c r="P18" s="37"/>
    </row>
    <row r="19" spans="2:16" s="7" customFormat="1" ht="13.5" x14ac:dyDescent="0.25">
      <c r="B19" s="7">
        <v>4</v>
      </c>
      <c r="C19" s="36" t="s">
        <v>602</v>
      </c>
      <c r="D19" s="13" t="s">
        <v>103</v>
      </c>
      <c r="E19" s="43">
        <v>0</v>
      </c>
      <c r="F19" s="405">
        <f>[24]Harga!D30</f>
        <v>460000</v>
      </c>
      <c r="G19" s="405">
        <f>E19*F19</f>
        <v>0</v>
      </c>
      <c r="H19" s="16"/>
      <c r="I19" s="16"/>
      <c r="P19" s="37"/>
    </row>
    <row r="20" spans="2:16" s="7" customFormat="1" ht="15" x14ac:dyDescent="0.3">
      <c r="C20" s="8"/>
      <c r="D20" s="17"/>
      <c r="E20" s="9">
        <f>SUM(E16:E18)</f>
        <v>9.0299999999999994</v>
      </c>
      <c r="F20" s="21"/>
      <c r="G20" s="20">
        <f>G16+G17+G18+G19</f>
        <v>677914.62</v>
      </c>
      <c r="H20" s="20">
        <f>H16+H17</f>
        <v>473035.5</v>
      </c>
      <c r="I20" s="20">
        <f>I16+I17</f>
        <v>540612</v>
      </c>
      <c r="J20" s="9"/>
      <c r="P20" s="37"/>
    </row>
    <row r="21" spans="2:16" s="7" customFormat="1" ht="15" x14ac:dyDescent="0.3">
      <c r="B21" s="11" t="s">
        <v>18</v>
      </c>
      <c r="C21" s="11" t="s">
        <v>25</v>
      </c>
      <c r="D21" s="13"/>
      <c r="F21" s="12"/>
      <c r="G21" s="12"/>
      <c r="P21" s="37"/>
    </row>
    <row r="22" spans="2:16" s="7" customFormat="1" ht="13.5" x14ac:dyDescent="0.25">
      <c r="B22" s="7">
        <v>1</v>
      </c>
      <c r="C22" s="36" t="s">
        <v>52</v>
      </c>
      <c r="D22" s="13" t="s">
        <v>103</v>
      </c>
      <c r="E22" s="7">
        <v>9</v>
      </c>
      <c r="F22" s="12">
        <f>Harga!D41</f>
        <v>2008.63</v>
      </c>
      <c r="G22" s="12">
        <f t="shared" ref="G22:G23" si="2">E22*F22</f>
        <v>18077.670000000002</v>
      </c>
      <c r="H22" s="16">
        <f>$G22*H$5</f>
        <v>12654.369000000001</v>
      </c>
      <c r="I22" s="16">
        <f>$G22*I$5</f>
        <v>14462.136000000002</v>
      </c>
      <c r="P22" s="37"/>
    </row>
    <row r="23" spans="2:16" s="7" customFormat="1" ht="13.5" x14ac:dyDescent="0.25">
      <c r="B23" s="7">
        <v>2</v>
      </c>
      <c r="C23" s="36" t="s">
        <v>88</v>
      </c>
      <c r="D23" s="13" t="s">
        <v>103</v>
      </c>
      <c r="E23" s="7">
        <v>50</v>
      </c>
      <c r="F23" s="12">
        <f>Harga!D35</f>
        <v>5561.1</v>
      </c>
      <c r="G23" s="12">
        <f t="shared" si="2"/>
        <v>278055</v>
      </c>
      <c r="H23" s="16"/>
      <c r="I23" s="16"/>
      <c r="P23" s="37"/>
    </row>
    <row r="24" spans="2:16" s="7" customFormat="1" ht="13.5" x14ac:dyDescent="0.25">
      <c r="B24" s="7">
        <v>3</v>
      </c>
      <c r="C24" s="36" t="s">
        <v>602</v>
      </c>
      <c r="D24" s="13" t="s">
        <v>103</v>
      </c>
      <c r="E24" s="7">
        <v>30</v>
      </c>
      <c r="F24" s="12">
        <v>5000</v>
      </c>
      <c r="G24" s="12">
        <v>0</v>
      </c>
      <c r="H24" s="16"/>
      <c r="I24" s="16"/>
      <c r="P24" s="37"/>
    </row>
    <row r="25" spans="2:16" s="7" customFormat="1" ht="15" x14ac:dyDescent="0.3">
      <c r="C25" s="8"/>
      <c r="D25" s="17"/>
      <c r="E25" s="9">
        <f>SUM(E22:E24)</f>
        <v>89</v>
      </c>
      <c r="F25" s="21"/>
      <c r="G25" s="20">
        <f>G22+G23+G24</f>
        <v>296132.67</v>
      </c>
      <c r="H25" s="20">
        <f>SUM(H22:H22)</f>
        <v>12654.369000000001</v>
      </c>
      <c r="I25" s="20">
        <f>SUM(I22:I22)</f>
        <v>14462.136000000002</v>
      </c>
      <c r="J25" s="9"/>
      <c r="P25" s="37"/>
    </row>
    <row r="26" spans="2:16" s="7" customFormat="1" ht="15" x14ac:dyDescent="0.3">
      <c r="B26" s="11" t="s">
        <v>24</v>
      </c>
      <c r="C26" s="11" t="s">
        <v>147</v>
      </c>
      <c r="D26" s="13"/>
      <c r="F26" s="12"/>
      <c r="G26" s="12"/>
      <c r="P26" s="37"/>
    </row>
    <row r="27" spans="2:16" s="7" customFormat="1" ht="13.5" x14ac:dyDescent="0.25">
      <c r="B27" s="7">
        <v>1</v>
      </c>
      <c r="C27" s="36" t="s">
        <v>602</v>
      </c>
      <c r="D27" s="13" t="s">
        <v>103</v>
      </c>
      <c r="E27" s="43">
        <f>E20+E25</f>
        <v>98.03</v>
      </c>
      <c r="F27" s="12">
        <v>112</v>
      </c>
      <c r="G27" s="12">
        <v>0</v>
      </c>
      <c r="H27" s="16">
        <f>$G27*H$5</f>
        <v>0</v>
      </c>
      <c r="I27" s="16">
        <f>$G27*I$5</f>
        <v>0</v>
      </c>
      <c r="P27" s="37"/>
    </row>
    <row r="28" spans="2:16" s="7" customFormat="1" ht="15" x14ac:dyDescent="0.3">
      <c r="C28" s="8"/>
      <c r="D28" s="9"/>
      <c r="E28" s="9"/>
      <c r="F28" s="21"/>
      <c r="G28" s="20">
        <f>SUM(G27)</f>
        <v>0</v>
      </c>
      <c r="H28" s="29">
        <f>SUM(H27)</f>
        <v>0</v>
      </c>
      <c r="I28" s="29">
        <f>SUM(I27)</f>
        <v>0</v>
      </c>
      <c r="J28" s="9"/>
      <c r="P28" s="37"/>
    </row>
    <row r="29" spans="2:16" s="7" customFormat="1" ht="15" x14ac:dyDescent="0.3">
      <c r="B29" s="11" t="s">
        <v>28</v>
      </c>
      <c r="C29" s="11" t="s">
        <v>39</v>
      </c>
      <c r="F29" s="12"/>
      <c r="G29" s="12"/>
      <c r="P29" s="37"/>
    </row>
    <row r="30" spans="2:16" s="7" customFormat="1" ht="13.5" x14ac:dyDescent="0.25">
      <c r="B30" s="7">
        <v>1</v>
      </c>
      <c r="C30" s="7" t="s">
        <v>2</v>
      </c>
      <c r="D30" s="13" t="s">
        <v>135</v>
      </c>
      <c r="E30" s="7">
        <v>1</v>
      </c>
      <c r="F30" s="12">
        <f>Harga!D67</f>
        <v>184940.7</v>
      </c>
      <c r="G30" s="12">
        <f>E30*F30</f>
        <v>184940.7</v>
      </c>
      <c r="H30" s="16">
        <f>$G30*H$5</f>
        <v>129458.49</v>
      </c>
      <c r="I30" s="16">
        <f>$G30*I$5</f>
        <v>147952.56000000003</v>
      </c>
      <c r="P30" s="37"/>
    </row>
    <row r="31" spans="2:16" s="7" customFormat="1" ht="13.5" x14ac:dyDescent="0.25">
      <c r="B31" s="7">
        <v>2</v>
      </c>
      <c r="C31" s="7" t="s">
        <v>11</v>
      </c>
      <c r="D31" s="13" t="s">
        <v>135</v>
      </c>
      <c r="E31" s="7">
        <v>10</v>
      </c>
      <c r="F31" s="12">
        <f>Harga!D68</f>
        <v>148028</v>
      </c>
      <c r="G31" s="12">
        <f>E31*F31</f>
        <v>1480280</v>
      </c>
      <c r="H31" s="16">
        <f>$G31*H$5</f>
        <v>1036195.9999999999</v>
      </c>
      <c r="I31" s="16">
        <f>$G31*I$5</f>
        <v>1184224</v>
      </c>
      <c r="P31" s="37"/>
    </row>
    <row r="32" spans="2:16" s="7" customFormat="1" ht="15" x14ac:dyDescent="0.3">
      <c r="C32" s="8"/>
      <c r="D32" s="9"/>
      <c r="E32" s="8">
        <f>SUM(E30:E31)</f>
        <v>11</v>
      </c>
      <c r="F32" s="21"/>
      <c r="G32" s="20">
        <f>SUM(G30:G31)</f>
        <v>1665220.7</v>
      </c>
      <c r="H32" s="20">
        <f>SUM(H30:H31)</f>
        <v>1165654.49</v>
      </c>
      <c r="I32" s="20">
        <f>SUM(I30:I31)</f>
        <v>1332176.56</v>
      </c>
      <c r="J32" s="9"/>
      <c r="P32" s="37"/>
    </row>
    <row r="33" spans="2:16" s="7" customFormat="1" ht="13.5" x14ac:dyDescent="0.25">
      <c r="F33" s="12"/>
      <c r="G33" s="12"/>
      <c r="P33" s="37"/>
    </row>
    <row r="34" spans="2:16" s="7" customFormat="1" ht="15.75" thickBot="1" x14ac:dyDescent="0.35">
      <c r="B34" s="44"/>
      <c r="C34" s="45" t="s">
        <v>41</v>
      </c>
      <c r="D34" s="44"/>
      <c r="E34" s="44"/>
      <c r="F34" s="46"/>
      <c r="G34" s="47">
        <f>G20+G25+G32</f>
        <v>2639267.9900000002</v>
      </c>
      <c r="H34" s="47">
        <f>H20+H25+H32</f>
        <v>1651344.3589999999</v>
      </c>
      <c r="I34" s="47">
        <f>I20+I25+I32</f>
        <v>1887250.696</v>
      </c>
      <c r="J34" s="44"/>
      <c r="P34" s="37"/>
    </row>
    <row r="35" spans="2:16" ht="11.25" customHeight="1" x14ac:dyDescent="0.2">
      <c r="C35">
        <f>'Tingkat Jalan Mineral'!G20</f>
        <v>998942.8</v>
      </c>
    </row>
    <row r="36" spans="2:16" ht="11.25" customHeight="1" x14ac:dyDescent="0.2">
      <c r="C36">
        <f>'Tingkat Jalan Mineral'!Q20</f>
        <v>1522646.8</v>
      </c>
    </row>
    <row r="37" spans="2:16" x14ac:dyDescent="0.2">
      <c r="C37">
        <f>'Drainase Tnh Mineral '!Q21</f>
        <v>581740</v>
      </c>
    </row>
    <row r="38" spans="2:16" x14ac:dyDescent="0.2">
      <c r="C38">
        <f>SUM(C35:C37)</f>
        <v>3103329.6</v>
      </c>
      <c r="G38" s="4">
        <f>2552773-121561</f>
        <v>2431212</v>
      </c>
    </row>
    <row r="39" spans="2:16" x14ac:dyDescent="0.2">
      <c r="C39">
        <f>C33+C38</f>
        <v>3103329.6</v>
      </c>
    </row>
    <row r="40" spans="2:16" x14ac:dyDescent="0.2">
      <c r="G40" s="230">
        <f>G38-G34</f>
        <v>-208055.99000000022</v>
      </c>
    </row>
  </sheetData>
  <mergeCells count="5">
    <mergeCell ref="D13:E13"/>
    <mergeCell ref="B2:J2"/>
    <mergeCell ref="B3:J3"/>
    <mergeCell ref="E5:G5"/>
    <mergeCell ref="E6:F6"/>
  </mergeCells>
  <phoneticPr fontId="0" type="noConversion"/>
  <pageMargins left="1.5" right="0.5" top="0.61" bottom="1" header="0.5" footer="0.5"/>
  <pageSetup paperSize="9" scale="111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O48"/>
  <sheetViews>
    <sheetView view="pageBreakPreview" topLeftCell="B13" zoomScale="60" zoomScaleNormal="125" workbookViewId="0">
      <selection activeCell="C7" sqref="C7"/>
    </sheetView>
  </sheetViews>
  <sheetFormatPr defaultColWidth="8.6640625" defaultRowHeight="11.25" x14ac:dyDescent="0.2"/>
  <cols>
    <col min="1" max="1" width="1.1640625" customWidth="1"/>
    <col min="2" max="2" width="3.6640625" customWidth="1"/>
    <col min="3" max="3" width="36" customWidth="1"/>
    <col min="4" max="4" width="11.6640625" customWidth="1"/>
    <col min="5" max="5" width="11" customWidth="1"/>
    <col min="6" max="6" width="14.6640625" customWidth="1"/>
    <col min="7" max="7" width="26.6640625" customWidth="1"/>
    <col min="8" max="9" width="10.5" hidden="1" customWidth="1"/>
    <col min="10" max="10" width="11" hidden="1" customWidth="1"/>
    <col min="12" max="12" width="10.5" bestFit="1" customWidth="1"/>
    <col min="13" max="13" width="12.6640625" bestFit="1" customWidth="1"/>
    <col min="15" max="15" width="19.6640625" style="244" customWidth="1"/>
  </cols>
  <sheetData>
    <row r="1" spans="2:15" ht="15.75" x14ac:dyDescent="0.25">
      <c r="B1" s="585" t="s">
        <v>0</v>
      </c>
      <c r="C1" s="585"/>
      <c r="D1" s="585"/>
      <c r="E1" s="585"/>
      <c r="F1" s="585"/>
      <c r="G1" s="585"/>
      <c r="H1" s="585"/>
      <c r="I1" s="585"/>
      <c r="J1" s="585"/>
    </row>
    <row r="2" spans="2:15" ht="15.75" x14ac:dyDescent="0.25">
      <c r="B2" s="585" t="s">
        <v>57</v>
      </c>
      <c r="C2" s="585"/>
      <c r="D2" s="585"/>
      <c r="E2" s="585"/>
      <c r="F2" s="585"/>
      <c r="G2" s="585"/>
      <c r="H2" s="585"/>
      <c r="I2" s="585"/>
      <c r="J2" s="585"/>
    </row>
    <row r="3" spans="2:15" s="7" customFormat="1" ht="13.5" x14ac:dyDescent="0.25">
      <c r="O3" s="35"/>
    </row>
    <row r="4" spans="2:15" s="7" customFormat="1" ht="15" x14ac:dyDescent="0.3">
      <c r="B4" s="9"/>
      <c r="C4" s="9"/>
      <c r="D4" s="9"/>
      <c r="E4" s="649">
        <v>1</v>
      </c>
      <c r="F4" s="649"/>
      <c r="G4" s="649"/>
      <c r="H4" s="42">
        <v>0.7</v>
      </c>
      <c r="I4" s="42">
        <v>0.8</v>
      </c>
      <c r="J4" s="10" t="s">
        <v>40</v>
      </c>
      <c r="O4" s="35"/>
    </row>
    <row r="5" spans="2:15" s="7" customFormat="1" ht="15" x14ac:dyDescent="0.3">
      <c r="B5" s="9"/>
      <c r="C5" s="8" t="s">
        <v>31</v>
      </c>
      <c r="D5" s="8"/>
      <c r="E5" s="611" t="s">
        <v>32</v>
      </c>
      <c r="F5" s="611"/>
      <c r="G5" s="10" t="s">
        <v>33</v>
      </c>
      <c r="H5" s="9"/>
      <c r="I5" s="9"/>
      <c r="J5" s="9"/>
      <c r="O5" s="35"/>
    </row>
    <row r="6" spans="2:15" s="7" customFormat="1" ht="13.5" x14ac:dyDescent="0.25">
      <c r="B6" s="7">
        <v>1</v>
      </c>
      <c r="C6" s="7" t="s">
        <v>2</v>
      </c>
      <c r="D6" s="13" t="s">
        <v>135</v>
      </c>
      <c r="E6" s="7">
        <v>1</v>
      </c>
      <c r="F6" s="50">
        <v>1</v>
      </c>
      <c r="G6" s="12">
        <f>E6*F6</f>
        <v>1</v>
      </c>
      <c r="H6" s="43">
        <f>G6*$H$4</f>
        <v>0.7</v>
      </c>
      <c r="I6" s="43">
        <f>H6*$I$4</f>
        <v>0.55999999999999994</v>
      </c>
      <c r="L6" s="50"/>
      <c r="O6" s="35"/>
    </row>
    <row r="7" spans="2:15" s="7" customFormat="1" ht="13.5" x14ac:dyDescent="0.25">
      <c r="B7" s="7">
        <v>2</v>
      </c>
      <c r="C7" s="7" t="s">
        <v>58</v>
      </c>
      <c r="D7" s="13" t="s">
        <v>135</v>
      </c>
      <c r="E7" s="7">
        <v>1</v>
      </c>
      <c r="F7" s="7">
        <v>1</v>
      </c>
      <c r="G7" s="12">
        <f t="shared" ref="G7:G16" si="0">E7*F7</f>
        <v>1</v>
      </c>
      <c r="H7" s="43">
        <f t="shared" ref="H7:H16" si="1">G7*$H$4</f>
        <v>0.7</v>
      </c>
      <c r="I7" s="43">
        <f t="shared" ref="I7:I16" si="2">H7*$I$4</f>
        <v>0.55999999999999994</v>
      </c>
      <c r="O7" s="35"/>
    </row>
    <row r="8" spans="2:15" s="7" customFormat="1" ht="13.5" x14ac:dyDescent="0.25">
      <c r="B8" s="7">
        <v>3</v>
      </c>
      <c r="C8" s="7" t="s">
        <v>59</v>
      </c>
      <c r="D8" s="13" t="s">
        <v>135</v>
      </c>
      <c r="E8" s="7">
        <v>0</v>
      </c>
      <c r="F8" s="7">
        <v>4</v>
      </c>
      <c r="G8" s="12">
        <f t="shared" si="0"/>
        <v>0</v>
      </c>
      <c r="H8" s="43">
        <f t="shared" si="1"/>
        <v>0</v>
      </c>
      <c r="I8" s="43">
        <f t="shared" si="2"/>
        <v>0</v>
      </c>
      <c r="O8" s="35"/>
    </row>
    <row r="9" spans="2:15" s="7" customFormat="1" ht="13.5" x14ac:dyDescent="0.25">
      <c r="B9" s="7">
        <v>4</v>
      </c>
      <c r="C9" s="7" t="s">
        <v>60</v>
      </c>
      <c r="D9" s="13" t="s">
        <v>135</v>
      </c>
      <c r="E9" s="7">
        <v>0</v>
      </c>
      <c r="F9" s="7">
        <v>6</v>
      </c>
      <c r="G9" s="12">
        <f>E9*F9</f>
        <v>0</v>
      </c>
      <c r="H9" s="43">
        <f t="shared" si="1"/>
        <v>0</v>
      </c>
      <c r="I9" s="43">
        <f t="shared" si="2"/>
        <v>0</v>
      </c>
      <c r="O9" s="35"/>
    </row>
    <row r="10" spans="2:15" s="7" customFormat="1" ht="13.5" x14ac:dyDescent="0.25">
      <c r="B10" s="7">
        <v>5</v>
      </c>
      <c r="C10" s="7" t="s">
        <v>154</v>
      </c>
      <c r="D10" s="13" t="s">
        <v>135</v>
      </c>
      <c r="E10" s="7">
        <v>1</v>
      </c>
      <c r="F10" s="7">
        <v>3</v>
      </c>
      <c r="G10" s="12">
        <f>E10*F10</f>
        <v>3</v>
      </c>
      <c r="H10" s="43">
        <f t="shared" si="1"/>
        <v>2.0999999999999996</v>
      </c>
      <c r="I10" s="43">
        <f t="shared" si="2"/>
        <v>1.6799999999999997</v>
      </c>
      <c r="O10" s="35">
        <v>94000</v>
      </c>
    </row>
    <row r="11" spans="2:15" s="7" customFormat="1" ht="13.5" x14ac:dyDescent="0.25">
      <c r="B11" s="7">
        <v>6</v>
      </c>
      <c r="C11" s="7" t="s">
        <v>163</v>
      </c>
      <c r="D11" s="13" t="s">
        <v>135</v>
      </c>
      <c r="E11" s="7">
        <v>0</v>
      </c>
      <c r="F11" s="7">
        <v>1</v>
      </c>
      <c r="G11" s="12">
        <f>E11*F11</f>
        <v>0</v>
      </c>
      <c r="H11" s="43">
        <f t="shared" si="1"/>
        <v>0</v>
      </c>
      <c r="I11" s="43">
        <f t="shared" si="2"/>
        <v>0</v>
      </c>
      <c r="O11" s="35">
        <v>864000</v>
      </c>
    </row>
    <row r="12" spans="2:15" s="7" customFormat="1" ht="13.5" x14ac:dyDescent="0.25">
      <c r="B12" s="7">
        <v>7</v>
      </c>
      <c r="C12" s="7" t="s">
        <v>156</v>
      </c>
      <c r="D12" s="13" t="s">
        <v>135</v>
      </c>
      <c r="E12" s="7">
        <v>1</v>
      </c>
      <c r="F12" s="7">
        <v>2</v>
      </c>
      <c r="G12" s="12">
        <f>E12*F12</f>
        <v>2</v>
      </c>
      <c r="H12" s="43">
        <f t="shared" si="1"/>
        <v>1.4</v>
      </c>
      <c r="I12" s="43">
        <f t="shared" si="2"/>
        <v>1.1199999999999999</v>
      </c>
      <c r="O12" s="35">
        <v>10000</v>
      </c>
    </row>
    <row r="13" spans="2:15" s="7" customFormat="1" ht="13.5" x14ac:dyDescent="0.25">
      <c r="B13" s="7">
        <v>8</v>
      </c>
      <c r="C13" s="7" t="s">
        <v>61</v>
      </c>
      <c r="D13" s="13" t="s">
        <v>135</v>
      </c>
      <c r="E13" s="7">
        <v>1</v>
      </c>
      <c r="F13" s="7">
        <v>1</v>
      </c>
      <c r="G13" s="12">
        <f t="shared" si="0"/>
        <v>1</v>
      </c>
      <c r="H13" s="43">
        <f t="shared" si="1"/>
        <v>0.7</v>
      </c>
      <c r="I13" s="43">
        <f t="shared" si="2"/>
        <v>0.55999999999999994</v>
      </c>
      <c r="O13" s="35">
        <v>10200</v>
      </c>
    </row>
    <row r="14" spans="2:15" s="7" customFormat="1" ht="13.5" x14ac:dyDescent="0.25">
      <c r="B14" s="7">
        <v>9</v>
      </c>
      <c r="C14" s="7" t="s">
        <v>62</v>
      </c>
      <c r="D14" s="13" t="s">
        <v>135</v>
      </c>
      <c r="E14" s="7">
        <v>1</v>
      </c>
      <c r="F14" s="7">
        <v>4</v>
      </c>
      <c r="G14" s="12">
        <f t="shared" si="0"/>
        <v>4</v>
      </c>
      <c r="H14" s="43">
        <f t="shared" si="1"/>
        <v>2.8</v>
      </c>
      <c r="I14" s="43">
        <f t="shared" si="2"/>
        <v>2.2399999999999998</v>
      </c>
      <c r="O14" s="35">
        <v>146949</v>
      </c>
    </row>
    <row r="15" spans="2:15" s="7" customFormat="1" ht="13.5" x14ac:dyDescent="0.25">
      <c r="B15" s="7">
        <v>10</v>
      </c>
      <c r="C15" s="7" t="s">
        <v>63</v>
      </c>
      <c r="D15" s="13" t="s">
        <v>135</v>
      </c>
      <c r="E15" s="7">
        <v>1</v>
      </c>
      <c r="F15" s="7">
        <v>1</v>
      </c>
      <c r="G15" s="12">
        <f t="shared" si="0"/>
        <v>1</v>
      </c>
      <c r="H15" s="43">
        <f t="shared" si="1"/>
        <v>0.7</v>
      </c>
      <c r="I15" s="43">
        <f t="shared" si="2"/>
        <v>0.55999999999999994</v>
      </c>
      <c r="O15" s="35">
        <v>213248</v>
      </c>
    </row>
    <row r="16" spans="2:15" s="7" customFormat="1" ht="13.5" x14ac:dyDescent="0.25">
      <c r="B16" s="7">
        <v>11</v>
      </c>
      <c r="C16" s="7" t="s">
        <v>64</v>
      </c>
      <c r="D16" s="13" t="s">
        <v>135</v>
      </c>
      <c r="E16" s="7">
        <v>1</v>
      </c>
      <c r="F16" s="7">
        <v>1</v>
      </c>
      <c r="G16" s="12">
        <f t="shared" si="0"/>
        <v>1</v>
      </c>
      <c r="H16" s="43">
        <f t="shared" si="1"/>
        <v>0.7</v>
      </c>
      <c r="I16" s="43">
        <f t="shared" si="2"/>
        <v>0.55999999999999994</v>
      </c>
      <c r="O16" s="35">
        <v>204000</v>
      </c>
    </row>
    <row r="17" spans="2:15" s="7" customFormat="1" ht="15" x14ac:dyDescent="0.3">
      <c r="C17" s="8" t="s">
        <v>34</v>
      </c>
      <c r="D17" s="8"/>
      <c r="E17" s="9"/>
      <c r="F17" s="9"/>
      <c r="G17" s="51">
        <f>SUM(G6:G16)</f>
        <v>14</v>
      </c>
      <c r="H17" s="8">
        <f>SUM(H6:H16)</f>
        <v>9.7999999999999972</v>
      </c>
      <c r="I17" s="8">
        <f>SUM(I6:I16)</f>
        <v>7.8399999999999981</v>
      </c>
      <c r="J17" s="9"/>
      <c r="O17" s="35">
        <v>15792</v>
      </c>
    </row>
    <row r="18" spans="2:15" s="7" customFormat="1" ht="13.5" x14ac:dyDescent="0.25">
      <c r="O18" s="35">
        <f>SUM(O10:O17)</f>
        <v>1558189</v>
      </c>
    </row>
    <row r="19" spans="2:15" s="7" customFormat="1" ht="15" x14ac:dyDescent="0.3">
      <c r="B19" s="9"/>
      <c r="C19" s="8" t="s">
        <v>36</v>
      </c>
      <c r="D19" s="611" t="s">
        <v>35</v>
      </c>
      <c r="E19" s="611"/>
      <c r="F19" s="10" t="s">
        <v>37</v>
      </c>
      <c r="G19" s="10" t="s">
        <v>87</v>
      </c>
      <c r="H19" s="42">
        <v>0.7</v>
      </c>
      <c r="I19" s="42">
        <v>0.8</v>
      </c>
      <c r="J19" s="10" t="s">
        <v>40</v>
      </c>
      <c r="O19" s="35">
        <f>O18*5%</f>
        <v>77909.45</v>
      </c>
    </row>
    <row r="20" spans="2:15" s="7" customFormat="1" ht="15" x14ac:dyDescent="0.3">
      <c r="C20" s="11"/>
      <c r="D20" s="11"/>
      <c r="E20" s="49"/>
      <c r="F20" s="49"/>
      <c r="G20" s="49"/>
      <c r="H20" s="52"/>
      <c r="I20" s="52"/>
      <c r="J20" s="49"/>
      <c r="O20" s="35">
        <f>O19+O18</f>
        <v>1636098.45</v>
      </c>
    </row>
    <row r="21" spans="2:15" s="7" customFormat="1" ht="15" x14ac:dyDescent="0.3">
      <c r="B21" s="11" t="s">
        <v>12</v>
      </c>
      <c r="C21" s="11" t="s">
        <v>13</v>
      </c>
      <c r="H21" s="53"/>
      <c r="I21" s="53"/>
      <c r="J21" s="53"/>
      <c r="O21" s="35"/>
    </row>
    <row r="22" spans="2:15" s="7" customFormat="1" ht="13.5" x14ac:dyDescent="0.25">
      <c r="B22" s="7">
        <v>1</v>
      </c>
      <c r="C22" s="7" t="s">
        <v>305</v>
      </c>
      <c r="D22" s="13" t="s">
        <v>105</v>
      </c>
      <c r="E22" s="7">
        <v>0.25</v>
      </c>
      <c r="F22" s="12">
        <v>80000</v>
      </c>
      <c r="G22" s="12">
        <f>E22*F22</f>
        <v>20000</v>
      </c>
      <c r="H22" s="16">
        <f>$G22*H$4</f>
        <v>14000</v>
      </c>
      <c r="I22" s="16">
        <f>$G22*I$4</f>
        <v>16000</v>
      </c>
      <c r="O22" s="35"/>
    </row>
    <row r="23" spans="2:15" s="7" customFormat="1" ht="15" x14ac:dyDescent="0.3">
      <c r="B23" s="7">
        <v>2</v>
      </c>
      <c r="C23" s="7" t="s">
        <v>498</v>
      </c>
      <c r="D23" s="13" t="s">
        <v>499</v>
      </c>
      <c r="E23" s="7">
        <v>143</v>
      </c>
      <c r="F23" s="12">
        <v>7500</v>
      </c>
      <c r="G23" s="12">
        <f>E23*F23</f>
        <v>1072500</v>
      </c>
      <c r="H23" s="20">
        <f>H22</f>
        <v>14000</v>
      </c>
      <c r="I23" s="20">
        <f>I22</f>
        <v>16000</v>
      </c>
      <c r="J23" s="9"/>
      <c r="O23" s="35"/>
    </row>
    <row r="24" spans="2:15" s="7" customFormat="1" ht="15" x14ac:dyDescent="0.3">
      <c r="C24" s="8"/>
      <c r="D24" s="9"/>
      <c r="E24" s="9"/>
      <c r="F24" s="21"/>
      <c r="G24" s="20">
        <f>G22+G23</f>
        <v>1092500</v>
      </c>
      <c r="O24" s="35"/>
    </row>
    <row r="25" spans="2:15" s="7" customFormat="1" ht="15" x14ac:dyDescent="0.3">
      <c r="B25" s="11" t="s">
        <v>18</v>
      </c>
      <c r="C25" s="11" t="s">
        <v>19</v>
      </c>
      <c r="F25" s="12"/>
      <c r="G25" s="12"/>
      <c r="H25" s="16">
        <f>$G26*H$4</f>
        <v>10010</v>
      </c>
      <c r="I25" s="16">
        <f>$G26*I$4</f>
        <v>11440</v>
      </c>
      <c r="O25" s="35"/>
    </row>
    <row r="26" spans="2:15" s="7" customFormat="1" ht="13.5" x14ac:dyDescent="0.25">
      <c r="B26" s="7">
        <v>1</v>
      </c>
      <c r="C26" s="7" t="s">
        <v>65</v>
      </c>
      <c r="D26" s="13" t="s">
        <v>106</v>
      </c>
      <c r="E26" s="7">
        <v>143</v>
      </c>
      <c r="F26" s="12">
        <v>100</v>
      </c>
      <c r="G26" s="12">
        <f>E26*F26</f>
        <v>14300</v>
      </c>
      <c r="H26" s="16">
        <f>$G27*H$4</f>
        <v>0</v>
      </c>
      <c r="I26" s="16">
        <f>$G27*I$4</f>
        <v>0</v>
      </c>
      <c r="O26" s="35"/>
    </row>
    <row r="27" spans="2:15" s="7" customFormat="1" ht="15" x14ac:dyDescent="0.3">
      <c r="B27" s="7">
        <v>2</v>
      </c>
      <c r="C27" s="7" t="s">
        <v>66</v>
      </c>
      <c r="D27" s="13" t="s">
        <v>155</v>
      </c>
      <c r="E27" s="7">
        <v>143</v>
      </c>
      <c r="F27" s="12"/>
      <c r="G27" s="12">
        <f>E27*F27</f>
        <v>0</v>
      </c>
      <c r="H27" s="20">
        <f>H25+H26</f>
        <v>10010</v>
      </c>
      <c r="I27" s="20">
        <f>I25+I26</f>
        <v>11440</v>
      </c>
      <c r="J27" s="9"/>
      <c r="O27" s="35"/>
    </row>
    <row r="28" spans="2:15" s="7" customFormat="1" ht="15" x14ac:dyDescent="0.3">
      <c r="C28" s="8"/>
      <c r="D28" s="9"/>
      <c r="E28" s="54"/>
      <c r="F28" s="136"/>
      <c r="G28" s="20">
        <f>G26+G27</f>
        <v>14300</v>
      </c>
      <c r="O28" s="35"/>
    </row>
    <row r="29" spans="2:15" s="7" customFormat="1" ht="15" x14ac:dyDescent="0.3">
      <c r="B29" s="11" t="s">
        <v>24</v>
      </c>
      <c r="C29" s="11" t="s">
        <v>25</v>
      </c>
      <c r="E29" s="50"/>
      <c r="F29" s="137"/>
      <c r="G29" s="12"/>
      <c r="H29" s="16">
        <f>$G30*H$4</f>
        <v>47805.393999999993</v>
      </c>
      <c r="I29" s="16">
        <f>$G30*I$4</f>
        <v>54634.736000000004</v>
      </c>
      <c r="L29" s="7">
        <f>146949-155509</f>
        <v>-8560</v>
      </c>
      <c r="O29" s="35"/>
    </row>
    <row r="30" spans="2:15" s="7" customFormat="1" ht="13.5" x14ac:dyDescent="0.25">
      <c r="B30" s="7">
        <v>1</v>
      </c>
      <c r="C30" s="7" t="s">
        <v>52</v>
      </c>
      <c r="D30" s="13" t="s">
        <v>103</v>
      </c>
      <c r="E30" s="50">
        <v>34</v>
      </c>
      <c r="F30" s="35">
        <f>Harga!D41</f>
        <v>2008.63</v>
      </c>
      <c r="G30" s="12">
        <f>E30*F30</f>
        <v>68293.42</v>
      </c>
      <c r="H30" s="16">
        <f>$G32*H$4</f>
        <v>0</v>
      </c>
      <c r="I30" s="16">
        <f>$G32*I$4</f>
        <v>0</v>
      </c>
      <c r="L30" s="7">
        <f>213248-213273</f>
        <v>-25</v>
      </c>
      <c r="O30" s="35"/>
    </row>
    <row r="31" spans="2:15" s="7" customFormat="1" ht="15" x14ac:dyDescent="0.3">
      <c r="B31" s="7">
        <v>2</v>
      </c>
      <c r="C31" s="7" t="s">
        <v>495</v>
      </c>
      <c r="D31" s="13" t="s">
        <v>103</v>
      </c>
      <c r="E31" s="50">
        <v>68</v>
      </c>
      <c r="F31" s="35">
        <f>Harga!D45</f>
        <v>926</v>
      </c>
      <c r="G31" s="12">
        <f>E31*F31</f>
        <v>62968</v>
      </c>
      <c r="H31" s="20">
        <f>SUM(H29:H30)</f>
        <v>47805.393999999993</v>
      </c>
      <c r="I31" s="20">
        <f>SUM(I29:I30)</f>
        <v>54634.736000000004</v>
      </c>
      <c r="J31" s="9"/>
      <c r="O31" s="35"/>
    </row>
    <row r="32" spans="2:15" s="7" customFormat="1" ht="13.5" x14ac:dyDescent="0.25">
      <c r="B32" s="7">
        <v>3</v>
      </c>
      <c r="C32" s="7" t="s">
        <v>89</v>
      </c>
      <c r="D32" s="13" t="s">
        <v>103</v>
      </c>
      <c r="F32" s="12">
        <f>Harga!D46</f>
        <v>2108</v>
      </c>
      <c r="G32" s="12">
        <f>E32*F32</f>
        <v>0</v>
      </c>
      <c r="O32" s="35"/>
    </row>
    <row r="33" spans="2:15" s="7" customFormat="1" ht="15" x14ac:dyDescent="0.3">
      <c r="C33" s="8"/>
      <c r="D33" s="9"/>
      <c r="E33" s="9">
        <f>SUM(E30:E32)</f>
        <v>102</v>
      </c>
      <c r="F33" s="21"/>
      <c r="G33" s="20">
        <f>SUM(G30:G32)</f>
        <v>131261.41999999998</v>
      </c>
      <c r="H33" s="16">
        <f>$G35*H$4</f>
        <v>500499.99999999994</v>
      </c>
      <c r="I33" s="16">
        <f>$G35*I$4</f>
        <v>572000</v>
      </c>
      <c r="O33" s="35"/>
    </row>
    <row r="34" spans="2:15" s="7" customFormat="1" ht="15" x14ac:dyDescent="0.3">
      <c r="B34" s="11" t="s">
        <v>28</v>
      </c>
      <c r="C34" s="11" t="s">
        <v>151</v>
      </c>
      <c r="H34" s="16">
        <f>$G38*H$4</f>
        <v>10180.799999999999</v>
      </c>
      <c r="I34" s="16">
        <f>$G38*I$4</f>
        <v>11635.2</v>
      </c>
      <c r="O34" s="35"/>
    </row>
    <row r="35" spans="2:15" s="7" customFormat="1" ht="15" x14ac:dyDescent="0.3">
      <c r="B35" s="7">
        <v>1</v>
      </c>
      <c r="C35" s="7" t="s">
        <v>66</v>
      </c>
      <c r="D35" s="13" t="s">
        <v>155</v>
      </c>
      <c r="E35" s="7">
        <v>143</v>
      </c>
      <c r="F35" s="35">
        <v>5000</v>
      </c>
      <c r="G35" s="12">
        <f>E35*F35</f>
        <v>715000</v>
      </c>
      <c r="H35" s="20">
        <f>SUM(H33:H34)</f>
        <v>510680.79999999993</v>
      </c>
      <c r="I35" s="20">
        <f>SUM(I33:I34)</f>
        <v>583635.19999999995</v>
      </c>
      <c r="J35" s="9"/>
      <c r="O35" s="35"/>
    </row>
    <row r="36" spans="2:15" s="7" customFormat="1" ht="15" x14ac:dyDescent="0.3">
      <c r="B36" s="7">
        <v>2</v>
      </c>
      <c r="C36" s="7" t="s">
        <v>25</v>
      </c>
      <c r="D36" s="13" t="s">
        <v>103</v>
      </c>
      <c r="E36" s="7">
        <v>143</v>
      </c>
      <c r="F36" s="35">
        <v>112</v>
      </c>
      <c r="G36" s="12">
        <f>E36*F36</f>
        <v>16016</v>
      </c>
      <c r="H36" s="24"/>
      <c r="I36" s="24"/>
      <c r="O36" s="35"/>
    </row>
    <row r="37" spans="2:15" s="7" customFormat="1" ht="15" x14ac:dyDescent="0.3">
      <c r="B37" s="7">
        <v>3</v>
      </c>
      <c r="D37" s="13" t="s">
        <v>372</v>
      </c>
      <c r="E37" s="7">
        <v>12</v>
      </c>
      <c r="F37" s="35">
        <v>2772</v>
      </c>
      <c r="G37" s="12">
        <f>E37*F37</f>
        <v>33264</v>
      </c>
      <c r="H37" s="24"/>
      <c r="I37" s="24"/>
      <c r="O37" s="35"/>
    </row>
    <row r="38" spans="2:15" s="7" customFormat="1" ht="13.5" x14ac:dyDescent="0.25">
      <c r="B38" s="7">
        <v>2</v>
      </c>
      <c r="D38" s="13" t="s">
        <v>372</v>
      </c>
      <c r="E38" s="7">
        <v>12</v>
      </c>
      <c r="F38" s="35">
        <v>1212</v>
      </c>
      <c r="G38" s="12">
        <f>E38*F38</f>
        <v>14544</v>
      </c>
      <c r="O38" s="35"/>
    </row>
    <row r="39" spans="2:15" s="7" customFormat="1" ht="15" x14ac:dyDescent="0.3">
      <c r="B39" s="11"/>
      <c r="C39" s="8"/>
      <c r="D39" s="9"/>
      <c r="E39" s="9"/>
      <c r="F39" s="21"/>
      <c r="G39" s="20">
        <f>SUM(G35:G38)</f>
        <v>778824</v>
      </c>
      <c r="H39" s="16">
        <f>$G41*H$4</f>
        <v>129458.49</v>
      </c>
      <c r="I39" s="16">
        <f>$G41*I$4</f>
        <v>147952.56000000003</v>
      </c>
      <c r="O39" s="35"/>
    </row>
    <row r="40" spans="2:15" s="7" customFormat="1" ht="15" x14ac:dyDescent="0.3">
      <c r="B40" s="11" t="s">
        <v>38</v>
      </c>
      <c r="C40" s="11" t="s">
        <v>39</v>
      </c>
      <c r="F40" s="12"/>
      <c r="G40" s="12"/>
      <c r="H40" s="16">
        <f>$G42*H$4</f>
        <v>1347054.7999999998</v>
      </c>
      <c r="I40" s="16">
        <f>$G42*I$4</f>
        <v>1539491.2000000002</v>
      </c>
      <c r="L40" s="71"/>
      <c r="M40" s="71"/>
      <c r="O40" s="35"/>
    </row>
    <row r="41" spans="2:15" s="7" customFormat="1" ht="15" x14ac:dyDescent="0.3">
      <c r="B41" s="7">
        <v>1</v>
      </c>
      <c r="C41" s="7" t="s">
        <v>2</v>
      </c>
      <c r="D41" s="13" t="s">
        <v>135</v>
      </c>
      <c r="E41" s="16">
        <f>G6</f>
        <v>1</v>
      </c>
      <c r="F41" s="12">
        <f>Harga!D67</f>
        <v>184940.7</v>
      </c>
      <c r="G41" s="12">
        <f>E41*F41</f>
        <v>184940.7</v>
      </c>
      <c r="H41" s="20">
        <f>SUM(H39:H40)</f>
        <v>1476513.2899999998</v>
      </c>
      <c r="I41" s="20">
        <f>SUM(I39:I40)</f>
        <v>1687443.7600000002</v>
      </c>
      <c r="J41" s="9"/>
      <c r="O41" s="35"/>
    </row>
    <row r="42" spans="2:15" s="7" customFormat="1" ht="13.5" x14ac:dyDescent="0.25">
      <c r="B42" s="7">
        <v>2</v>
      </c>
      <c r="C42" s="7" t="s">
        <v>11</v>
      </c>
      <c r="D42" s="13" t="s">
        <v>135</v>
      </c>
      <c r="E42" s="7">
        <f>G17-E41</f>
        <v>13</v>
      </c>
      <c r="F42" s="12">
        <f>Harga!D68</f>
        <v>148028</v>
      </c>
      <c r="G42" s="12">
        <f>E42*F42</f>
        <v>1924364</v>
      </c>
      <c r="O42" s="35"/>
    </row>
    <row r="43" spans="2:15" s="7" customFormat="1" ht="15.75" thickBot="1" x14ac:dyDescent="0.35">
      <c r="C43" s="8"/>
      <c r="D43" s="9"/>
      <c r="E43" s="8">
        <f>SUM(E41:E42)</f>
        <v>14</v>
      </c>
      <c r="F43" s="21"/>
      <c r="G43" s="20">
        <f>SUM(G41:G42)</f>
        <v>2109304.7000000002</v>
      </c>
      <c r="H43" s="47">
        <f>H23+H27+H31+H35+H41</f>
        <v>2059009.4839999997</v>
      </c>
      <c r="I43" s="47">
        <f>I23+I27+I31+I35+I41</f>
        <v>2353153.6960000005</v>
      </c>
      <c r="J43" s="44"/>
      <c r="O43" s="35"/>
    </row>
    <row r="44" spans="2:15" s="7" customFormat="1" ht="13.5" x14ac:dyDescent="0.25">
      <c r="F44" s="12"/>
      <c r="G44" s="12"/>
      <c r="H44" s="48">
        <f>H43/G45</f>
        <v>0.49900984300742779</v>
      </c>
      <c r="I44" s="48">
        <f>I43/G45</f>
        <v>0.57029696343706049</v>
      </c>
      <c r="O44" s="35"/>
    </row>
    <row r="45" spans="2:15" s="7" customFormat="1" ht="15.75" thickBot="1" x14ac:dyDescent="0.35">
      <c r="B45" s="44"/>
      <c r="C45" s="45" t="s">
        <v>67</v>
      </c>
      <c r="D45" s="44"/>
      <c r="E45" s="44"/>
      <c r="F45" s="46"/>
      <c r="G45" s="47">
        <f>G24+G28+G33+G39+G43</f>
        <v>4126190.12</v>
      </c>
      <c r="O45" s="35"/>
    </row>
    <row r="46" spans="2:15" s="7" customFormat="1" ht="13.5" x14ac:dyDescent="0.25">
      <c r="O46" s="35">
        <f>G45+'TBM 1'!Q34</f>
        <v>18170521.574000001</v>
      </c>
    </row>
    <row r="47" spans="2:15" ht="13.5" x14ac:dyDescent="0.25">
      <c r="B47" s="7"/>
      <c r="C47" s="7"/>
      <c r="D47" s="7"/>
      <c r="E47" s="7"/>
      <c r="F47" s="7"/>
      <c r="G47" s="16"/>
    </row>
    <row r="48" spans="2:15" ht="13.5" x14ac:dyDescent="0.25">
      <c r="B48" s="7"/>
      <c r="C48" s="7"/>
      <c r="D48" s="7"/>
      <c r="E48" s="7"/>
      <c r="F48" s="7"/>
      <c r="G48" s="7"/>
    </row>
  </sheetData>
  <mergeCells count="5">
    <mergeCell ref="D19:E19"/>
    <mergeCell ref="B1:J1"/>
    <mergeCell ref="B2:J2"/>
    <mergeCell ref="E4:G4"/>
    <mergeCell ref="E5:F5"/>
  </mergeCells>
  <phoneticPr fontId="0" type="noConversion"/>
  <pageMargins left="1.5" right="0.5" top="0.25" bottom="0.5" header="0.5" footer="0.5"/>
  <pageSetup paperSize="9" scale="92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V52"/>
  <sheetViews>
    <sheetView view="pageBreakPreview" topLeftCell="A20" zoomScale="60" zoomScaleNormal="115" workbookViewId="0">
      <selection activeCell="A20" sqref="A20"/>
    </sheetView>
  </sheetViews>
  <sheetFormatPr defaultColWidth="8.6640625" defaultRowHeight="11.25" x14ac:dyDescent="0.2"/>
  <cols>
    <col min="1" max="1" width="1" customWidth="1"/>
    <col min="2" max="2" width="4.6640625" bestFit="1" customWidth="1"/>
    <col min="3" max="3" width="37.1640625" customWidth="1"/>
    <col min="4" max="4" width="8.6640625" customWidth="1"/>
    <col min="5" max="5" width="8.1640625" bestFit="1" customWidth="1"/>
    <col min="6" max="6" width="13" customWidth="1"/>
    <col min="7" max="7" width="16" customWidth="1"/>
    <col min="8" max="9" width="10.5" hidden="1" customWidth="1"/>
    <col min="10" max="10" width="11" hidden="1" customWidth="1"/>
    <col min="11" max="11" width="6.5" customWidth="1"/>
    <col min="12" max="12" width="4.1640625" customWidth="1"/>
    <col min="13" max="13" width="30" customWidth="1"/>
    <col min="14" max="14" width="8.5" customWidth="1"/>
    <col min="15" max="15" width="8.6640625" customWidth="1"/>
    <col min="16" max="16" width="11.6640625" bestFit="1" customWidth="1"/>
    <col min="17" max="17" width="17.5" customWidth="1"/>
    <col min="22" max="22" width="16.6640625" style="244" customWidth="1"/>
  </cols>
  <sheetData>
    <row r="1" spans="2:22" ht="15.75" x14ac:dyDescent="0.25">
      <c r="B1" s="585" t="s">
        <v>0</v>
      </c>
      <c r="C1" s="585"/>
      <c r="D1" s="585"/>
      <c r="E1" s="585"/>
      <c r="F1" s="585"/>
      <c r="G1" s="585"/>
      <c r="H1" s="585"/>
      <c r="I1" s="585"/>
      <c r="J1" s="585"/>
    </row>
    <row r="2" spans="2:22" ht="15.75" x14ac:dyDescent="0.25">
      <c r="B2" s="585" t="s">
        <v>73</v>
      </c>
      <c r="C2" s="585"/>
      <c r="D2" s="585"/>
      <c r="E2" s="585"/>
      <c r="F2" s="585"/>
      <c r="G2" s="585"/>
      <c r="H2" s="585"/>
      <c r="I2" s="585"/>
      <c r="J2" s="585"/>
    </row>
    <row r="3" spans="2:22" s="7" customFormat="1" ht="15" x14ac:dyDescent="0.3">
      <c r="B3" s="117"/>
      <c r="C3" s="117"/>
      <c r="D3" s="117"/>
      <c r="E3" s="650"/>
      <c r="F3" s="650"/>
      <c r="G3" s="650"/>
      <c r="H3" s="42">
        <v>0.7</v>
      </c>
      <c r="I3" s="42">
        <v>0.8</v>
      </c>
      <c r="J3" s="10" t="s">
        <v>40</v>
      </c>
      <c r="V3" s="35"/>
    </row>
    <row r="4" spans="2:22" s="7" customFormat="1" ht="15" x14ac:dyDescent="0.3">
      <c r="B4" s="9"/>
      <c r="C4" s="8" t="s">
        <v>31</v>
      </c>
      <c r="D4" s="8"/>
      <c r="E4" s="611" t="s">
        <v>32</v>
      </c>
      <c r="F4" s="611"/>
      <c r="G4" s="10" t="s">
        <v>33</v>
      </c>
      <c r="M4" s="117"/>
      <c r="N4" s="117"/>
      <c r="O4" s="117"/>
      <c r="P4" s="117"/>
      <c r="Q4" s="117"/>
      <c r="V4" s="35">
        <v>206800</v>
      </c>
    </row>
    <row r="5" spans="2:22" s="7" customFormat="1" ht="15" x14ac:dyDescent="0.3">
      <c r="B5" s="7">
        <v>1</v>
      </c>
      <c r="C5" s="7" t="s">
        <v>2</v>
      </c>
      <c r="D5" s="13" t="s">
        <v>135</v>
      </c>
      <c r="E5" s="7">
        <v>12</v>
      </c>
      <c r="F5" s="7">
        <v>1.5</v>
      </c>
      <c r="G5" s="7">
        <f>E5*F5</f>
        <v>18</v>
      </c>
      <c r="H5" s="43">
        <f>G5*$H$3</f>
        <v>12.6</v>
      </c>
      <c r="I5" s="43">
        <f>H5*$I$3</f>
        <v>10.08</v>
      </c>
      <c r="L5" s="11" t="s">
        <v>24</v>
      </c>
      <c r="M5" s="116" t="s">
        <v>25</v>
      </c>
      <c r="N5" s="118" t="s">
        <v>35</v>
      </c>
      <c r="O5" s="118"/>
      <c r="P5" s="119" t="s">
        <v>37</v>
      </c>
      <c r="Q5" s="119" t="s">
        <v>216</v>
      </c>
      <c r="V5" s="35">
        <v>2288000</v>
      </c>
    </row>
    <row r="6" spans="2:22" s="7" customFormat="1" ht="13.5" x14ac:dyDescent="0.25">
      <c r="B6" s="7">
        <v>2</v>
      </c>
      <c r="C6" s="7" t="s">
        <v>606</v>
      </c>
      <c r="D6" s="13" t="s">
        <v>135</v>
      </c>
      <c r="E6" s="7">
        <v>3</v>
      </c>
      <c r="F6" s="7">
        <v>2.5</v>
      </c>
      <c r="G6" s="7">
        <v>7.5</v>
      </c>
      <c r="H6" s="43">
        <f t="shared" ref="H6:H15" si="0">G6*$H$3</f>
        <v>5.25</v>
      </c>
      <c r="I6" s="43">
        <f t="shared" ref="I6:I15" si="1">H6*$I$3</f>
        <v>4.2</v>
      </c>
      <c r="L6" s="7">
        <v>1</v>
      </c>
      <c r="M6" s="7" t="s">
        <v>20</v>
      </c>
      <c r="N6" s="13" t="s">
        <v>103</v>
      </c>
      <c r="O6" s="50">
        <v>68</v>
      </c>
      <c r="P6" s="12">
        <f>Harga!D40+(Harga!D40*5%)</f>
        <v>6766.7355000000007</v>
      </c>
      <c r="Q6" s="12">
        <f t="shared" ref="Q6:Q16" si="2">O6*P6</f>
        <v>460138.01400000002</v>
      </c>
      <c r="V6" s="35">
        <v>64969</v>
      </c>
    </row>
    <row r="7" spans="2:22" s="7" customFormat="1" ht="13.5" x14ac:dyDescent="0.25">
      <c r="B7" s="7">
        <v>3</v>
      </c>
      <c r="C7" s="7" t="s">
        <v>604</v>
      </c>
      <c r="D7" s="13" t="s">
        <v>135</v>
      </c>
      <c r="E7" s="7">
        <v>1</v>
      </c>
      <c r="F7" s="7">
        <v>2.5</v>
      </c>
      <c r="G7" s="7">
        <v>2.5</v>
      </c>
      <c r="H7" s="43">
        <f t="shared" si="0"/>
        <v>1.75</v>
      </c>
      <c r="I7" s="43">
        <f t="shared" si="1"/>
        <v>1.4000000000000001</v>
      </c>
      <c r="L7" s="7">
        <v>2</v>
      </c>
      <c r="M7" s="7" t="s">
        <v>52</v>
      </c>
      <c r="N7" s="13" t="s">
        <v>103</v>
      </c>
      <c r="O7" s="50"/>
      <c r="P7" s="12">
        <f>Harga!D41+(Harga!D41*5%)</f>
        <v>2109.0615000000003</v>
      </c>
      <c r="Q7" s="12">
        <f t="shared" si="2"/>
        <v>0</v>
      </c>
      <c r="V7" s="35">
        <v>1361045</v>
      </c>
    </row>
    <row r="8" spans="2:22" s="7" customFormat="1" ht="13.5" x14ac:dyDescent="0.25">
      <c r="B8" s="7">
        <v>4</v>
      </c>
      <c r="C8" s="7" t="s">
        <v>595</v>
      </c>
      <c r="D8" s="13" t="s">
        <v>135</v>
      </c>
      <c r="E8" s="7">
        <v>1</v>
      </c>
      <c r="F8" s="7">
        <v>2.5</v>
      </c>
      <c r="G8" s="7">
        <f t="shared" ref="G8:G14" si="3">E8*F8</f>
        <v>2.5</v>
      </c>
      <c r="H8" s="43">
        <f t="shared" si="0"/>
        <v>1.75</v>
      </c>
      <c r="I8" s="43">
        <f t="shared" si="1"/>
        <v>1.4000000000000001</v>
      </c>
      <c r="L8" s="7">
        <v>3</v>
      </c>
      <c r="M8" s="7" t="s">
        <v>157</v>
      </c>
      <c r="N8" s="13" t="s">
        <v>103</v>
      </c>
      <c r="O8" s="50"/>
      <c r="P8" s="12">
        <f>Harga!D42+(Harga!D42*5%)</f>
        <v>5641.3140000000003</v>
      </c>
      <c r="Q8" s="12">
        <f t="shared" si="2"/>
        <v>0</v>
      </c>
      <c r="V8" s="35">
        <v>260624</v>
      </c>
    </row>
    <row r="9" spans="2:22" s="7" customFormat="1" ht="13.5" x14ac:dyDescent="0.25">
      <c r="B9" s="7">
        <v>5</v>
      </c>
      <c r="C9" s="7" t="s">
        <v>596</v>
      </c>
      <c r="D9" s="13" t="s">
        <v>135</v>
      </c>
      <c r="E9" s="7">
        <v>1</v>
      </c>
      <c r="F9" s="7">
        <v>1.5</v>
      </c>
      <c r="G9" s="7">
        <f t="shared" si="3"/>
        <v>1.5</v>
      </c>
      <c r="H9" s="43">
        <f t="shared" si="0"/>
        <v>1.0499999999999998</v>
      </c>
      <c r="I9" s="43">
        <f t="shared" si="1"/>
        <v>0.83999999999999986</v>
      </c>
      <c r="L9" s="7">
        <v>4</v>
      </c>
      <c r="M9" s="7" t="s">
        <v>92</v>
      </c>
      <c r="N9" s="13" t="s">
        <v>103</v>
      </c>
      <c r="O9" s="50"/>
      <c r="P9" s="12">
        <f>Harga!D43+(Harga!D43*5%)</f>
        <v>3698.2365</v>
      </c>
      <c r="Q9" s="12">
        <f t="shared" si="2"/>
        <v>0</v>
      </c>
      <c r="V9" s="35">
        <v>48116</v>
      </c>
    </row>
    <row r="10" spans="2:22" s="7" customFormat="1" ht="13.5" x14ac:dyDescent="0.25">
      <c r="B10" s="7">
        <v>6</v>
      </c>
      <c r="C10" s="7" t="s">
        <v>70</v>
      </c>
      <c r="D10" s="13" t="s">
        <v>135</v>
      </c>
      <c r="E10" s="7">
        <v>2</v>
      </c>
      <c r="F10" s="7">
        <v>1</v>
      </c>
      <c r="G10" s="7">
        <f t="shared" si="3"/>
        <v>2</v>
      </c>
      <c r="H10" s="43">
        <f t="shared" si="0"/>
        <v>1.4</v>
      </c>
      <c r="I10" s="43">
        <f t="shared" si="1"/>
        <v>1.1199999999999999</v>
      </c>
      <c r="L10" s="7">
        <v>5</v>
      </c>
      <c r="M10" s="7" t="s">
        <v>158</v>
      </c>
      <c r="N10" s="13" t="s">
        <v>103</v>
      </c>
      <c r="O10" s="50">
        <v>0</v>
      </c>
      <c r="P10" s="12">
        <f>Harga!D44+(Harga!D44*5%)</f>
        <v>11990.307000000001</v>
      </c>
      <c r="Q10" s="12">
        <f t="shared" si="2"/>
        <v>0</v>
      </c>
      <c r="V10" s="35">
        <f>SUM(V4:V9)</f>
        <v>4229554</v>
      </c>
    </row>
    <row r="11" spans="2:22" s="7" customFormat="1" ht="13.5" x14ac:dyDescent="0.25">
      <c r="B11" s="7">
        <v>7</v>
      </c>
      <c r="C11" s="7" t="s">
        <v>9</v>
      </c>
      <c r="D11" s="13" t="s">
        <v>135</v>
      </c>
      <c r="E11" s="7">
        <v>10</v>
      </c>
      <c r="F11" s="7">
        <v>0.65</v>
      </c>
      <c r="G11" s="35">
        <f t="shared" si="3"/>
        <v>6.5</v>
      </c>
      <c r="H11" s="43">
        <f t="shared" si="0"/>
        <v>4.55</v>
      </c>
      <c r="I11" s="43">
        <f t="shared" si="1"/>
        <v>3.64</v>
      </c>
      <c r="L11" s="7">
        <v>6</v>
      </c>
      <c r="M11" s="7" t="s">
        <v>89</v>
      </c>
      <c r="N11" s="13" t="s">
        <v>103</v>
      </c>
      <c r="O11" s="50"/>
      <c r="P11" s="12">
        <f>Harga!D46+(Harga!D46*5%)</f>
        <v>2213.4</v>
      </c>
      <c r="Q11" s="12">
        <f t="shared" si="2"/>
        <v>0</v>
      </c>
      <c r="V11" s="35">
        <f>V10*5%</f>
        <v>211477.7</v>
      </c>
    </row>
    <row r="12" spans="2:22" s="7" customFormat="1" ht="13.5" x14ac:dyDescent="0.25">
      <c r="B12" s="7">
        <v>8</v>
      </c>
      <c r="C12" s="7" t="s">
        <v>71</v>
      </c>
      <c r="D12" s="13" t="s">
        <v>135</v>
      </c>
      <c r="E12" s="7">
        <v>3</v>
      </c>
      <c r="F12" s="7">
        <v>1</v>
      </c>
      <c r="G12" s="7">
        <f t="shared" si="3"/>
        <v>3</v>
      </c>
      <c r="H12" s="43">
        <f t="shared" si="0"/>
        <v>2.0999999999999996</v>
      </c>
      <c r="I12" s="43">
        <f t="shared" si="1"/>
        <v>1.6799999999999997</v>
      </c>
      <c r="L12" s="7">
        <v>7</v>
      </c>
      <c r="M12" s="7" t="s">
        <v>490</v>
      </c>
      <c r="N12" s="13" t="s">
        <v>103</v>
      </c>
      <c r="O12" s="50"/>
      <c r="P12" s="405">
        <f>Harga!D47+(Harga!D47*5%)</f>
        <v>37445.834999999999</v>
      </c>
      <c r="Q12" s="405">
        <f t="shared" si="2"/>
        <v>0</v>
      </c>
      <c r="V12" s="35">
        <f>V11+V10</f>
        <v>4441031.7</v>
      </c>
    </row>
    <row r="13" spans="2:22" s="7" customFormat="1" ht="13.5" x14ac:dyDescent="0.25">
      <c r="B13" s="7">
        <v>9</v>
      </c>
      <c r="C13" s="7" t="s">
        <v>605</v>
      </c>
      <c r="D13" s="13" t="s">
        <v>135</v>
      </c>
      <c r="E13" s="7">
        <v>1</v>
      </c>
      <c r="F13" s="7">
        <v>10</v>
      </c>
      <c r="G13" s="7">
        <f t="shared" si="3"/>
        <v>10</v>
      </c>
      <c r="H13" s="43">
        <f t="shared" si="0"/>
        <v>7</v>
      </c>
      <c r="I13" s="43">
        <f t="shared" si="1"/>
        <v>5.6000000000000005</v>
      </c>
      <c r="L13" s="7">
        <v>8</v>
      </c>
      <c r="M13" s="7" t="s">
        <v>491</v>
      </c>
      <c r="N13" s="13" t="s">
        <v>103</v>
      </c>
      <c r="O13" s="50">
        <v>3.4</v>
      </c>
      <c r="P13" s="405">
        <f>Harga!D48+(Harga!D48*5%)</f>
        <v>29330.7</v>
      </c>
      <c r="Q13" s="405">
        <f t="shared" si="2"/>
        <v>99724.38</v>
      </c>
      <c r="V13" s="35"/>
    </row>
    <row r="14" spans="2:22" s="7" customFormat="1" ht="13.5" x14ac:dyDescent="0.25">
      <c r="B14" s="7">
        <v>10</v>
      </c>
      <c r="C14" s="7" t="s">
        <v>172</v>
      </c>
      <c r="D14" s="13" t="s">
        <v>135</v>
      </c>
      <c r="E14" s="7">
        <v>2</v>
      </c>
      <c r="F14" s="7">
        <v>0.5</v>
      </c>
      <c r="G14" s="7">
        <f t="shared" si="3"/>
        <v>1</v>
      </c>
      <c r="H14" s="43">
        <f t="shared" si="0"/>
        <v>0.7</v>
      </c>
      <c r="I14" s="43">
        <f t="shared" si="1"/>
        <v>0.55999999999999994</v>
      </c>
      <c r="L14" s="7">
        <v>9</v>
      </c>
      <c r="M14" s="7" t="s">
        <v>575</v>
      </c>
      <c r="N14" s="13" t="s">
        <v>103</v>
      </c>
      <c r="O14" s="50">
        <v>0</v>
      </c>
      <c r="P14" s="405">
        <f>Harga!D35+(Harga!D35*5%)</f>
        <v>5839.1550000000007</v>
      </c>
      <c r="Q14" s="405">
        <f t="shared" si="2"/>
        <v>0</v>
      </c>
      <c r="V14" s="35"/>
    </row>
    <row r="15" spans="2:22" s="7" customFormat="1" ht="13.5" x14ac:dyDescent="0.25">
      <c r="B15" s="7">
        <v>11</v>
      </c>
      <c r="C15" s="7" t="s">
        <v>10</v>
      </c>
      <c r="D15" s="13" t="s">
        <v>135</v>
      </c>
      <c r="E15" s="7">
        <v>1</v>
      </c>
      <c r="F15" s="7">
        <v>1</v>
      </c>
      <c r="G15" s="7">
        <v>1</v>
      </c>
      <c r="H15" s="43">
        <f t="shared" si="0"/>
        <v>0.7</v>
      </c>
      <c r="I15" s="43">
        <f t="shared" si="1"/>
        <v>0.55999999999999994</v>
      </c>
      <c r="L15" s="7">
        <v>10</v>
      </c>
      <c r="M15" s="7" t="s">
        <v>576</v>
      </c>
      <c r="N15" s="13" t="s">
        <v>103</v>
      </c>
      <c r="O15" s="50">
        <v>442</v>
      </c>
      <c r="P15" s="405">
        <f>Harga!D36+(Harga!D36*5%)</f>
        <v>6590.9445000000005</v>
      </c>
      <c r="Q15" s="405">
        <f t="shared" si="2"/>
        <v>2913197.469</v>
      </c>
      <c r="V15" s="35"/>
    </row>
    <row r="16" spans="2:22" s="7" customFormat="1" ht="15" x14ac:dyDescent="0.3">
      <c r="B16" s="7">
        <v>12</v>
      </c>
      <c r="C16" s="7" t="s">
        <v>578</v>
      </c>
      <c r="D16" s="13" t="s">
        <v>135</v>
      </c>
      <c r="E16" s="7">
        <v>8</v>
      </c>
      <c r="F16" s="7">
        <v>0.18</v>
      </c>
      <c r="G16" s="7">
        <f t="shared" ref="G16" si="4">E16*F16</f>
        <v>1.44</v>
      </c>
      <c r="H16" s="8">
        <f>SUM(H5:H15)</f>
        <v>38.850000000000009</v>
      </c>
      <c r="I16" s="8">
        <f>SUM(I5:I15)</f>
        <v>31.080000000000002</v>
      </c>
      <c r="J16" s="9"/>
      <c r="L16" s="7">
        <v>11</v>
      </c>
      <c r="M16" s="7" t="s">
        <v>311</v>
      </c>
      <c r="N16" s="13" t="s">
        <v>103</v>
      </c>
      <c r="O16" s="50">
        <v>136</v>
      </c>
      <c r="P16" s="405">
        <f>Harga!D45+(Harga!D45*5%)</f>
        <v>972.3</v>
      </c>
      <c r="Q16" s="405">
        <f t="shared" si="2"/>
        <v>132232.79999999999</v>
      </c>
      <c r="V16" s="35"/>
    </row>
    <row r="17" spans="2:22" s="7" customFormat="1" ht="15" x14ac:dyDescent="0.3">
      <c r="C17" s="8" t="s">
        <v>34</v>
      </c>
      <c r="D17" s="8"/>
      <c r="E17" s="9"/>
      <c r="F17" s="9"/>
      <c r="G17" s="8">
        <f>SUM(G5:G16)</f>
        <v>56.94</v>
      </c>
      <c r="H17" s="11"/>
      <c r="I17" s="11"/>
      <c r="N17" s="13"/>
      <c r="O17" s="50"/>
      <c r="P17" s="405"/>
      <c r="Q17" s="405"/>
      <c r="V17" s="35"/>
    </row>
    <row r="18" spans="2:22" s="7" customFormat="1" ht="15" x14ac:dyDescent="0.3">
      <c r="M18" s="9"/>
      <c r="N18" s="17"/>
      <c r="O18" s="54">
        <f>SUM(O6:O17)</f>
        <v>649.4</v>
      </c>
      <c r="P18" s="406"/>
      <c r="Q18" s="407">
        <f>SUM(Q6:Q17)</f>
        <v>3605292.6629999997</v>
      </c>
      <c r="V18" s="35"/>
    </row>
    <row r="19" spans="2:22" s="7" customFormat="1" ht="15" x14ac:dyDescent="0.3">
      <c r="B19" s="9"/>
      <c r="C19" s="8" t="s">
        <v>36</v>
      </c>
      <c r="D19" s="611" t="s">
        <v>35</v>
      </c>
      <c r="E19" s="611"/>
      <c r="F19" s="10" t="s">
        <v>37</v>
      </c>
      <c r="G19" s="10" t="s">
        <v>87</v>
      </c>
      <c r="H19" s="42">
        <v>0.7</v>
      </c>
      <c r="I19" s="42">
        <v>0.8</v>
      </c>
      <c r="J19" s="10" t="s">
        <v>40</v>
      </c>
      <c r="L19" s="11" t="s">
        <v>28</v>
      </c>
      <c r="M19" s="11" t="s">
        <v>26</v>
      </c>
      <c r="N19" s="13"/>
      <c r="P19" s="12"/>
      <c r="Q19" s="12"/>
      <c r="V19" s="35"/>
    </row>
    <row r="20" spans="2:22" s="7" customFormat="1" ht="15" x14ac:dyDescent="0.3">
      <c r="B20" s="11" t="s">
        <v>12</v>
      </c>
      <c r="C20" s="11" t="s">
        <v>13</v>
      </c>
      <c r="F20" s="12"/>
      <c r="G20" s="12"/>
      <c r="L20" s="7">
        <v>1</v>
      </c>
      <c r="M20" s="7" t="s">
        <v>143</v>
      </c>
      <c r="N20" s="13" t="s">
        <v>104</v>
      </c>
      <c r="O20" s="7">
        <v>1</v>
      </c>
      <c r="P20" s="12">
        <f>Harga!D58+(Harga!D58*5%)</f>
        <v>89250.052500000005</v>
      </c>
      <c r="Q20" s="12">
        <f>O20*P20</f>
        <v>89250.052500000005</v>
      </c>
      <c r="V20" s="35"/>
    </row>
    <row r="21" spans="2:22" s="7" customFormat="1" ht="13.5" x14ac:dyDescent="0.25">
      <c r="B21" s="7">
        <v>1</v>
      </c>
      <c r="C21" s="7" t="s">
        <v>152</v>
      </c>
      <c r="D21" s="13" t="s">
        <v>100</v>
      </c>
      <c r="E21" s="7">
        <v>0.2</v>
      </c>
      <c r="F21" s="12">
        <f>Harga!D14+(Harga!D14*5%)</f>
        <v>31500</v>
      </c>
      <c r="G21" s="12">
        <f>E21*F21</f>
        <v>6300</v>
      </c>
      <c r="H21" s="16">
        <f t="shared" ref="H21:I23" si="5">$G21*H$3</f>
        <v>4410</v>
      </c>
      <c r="I21" s="16">
        <f t="shared" si="5"/>
        <v>5040</v>
      </c>
      <c r="L21" s="7">
        <v>2</v>
      </c>
      <c r="M21" s="7" t="s">
        <v>144</v>
      </c>
      <c r="N21" s="13" t="s">
        <v>103</v>
      </c>
      <c r="O21" s="7">
        <v>0</v>
      </c>
      <c r="P21" s="12">
        <f>Harga!D59+(Harga!D59*5%)</f>
        <v>25678.107</v>
      </c>
      <c r="Q21" s="12">
        <f>O21*P21</f>
        <v>0</v>
      </c>
      <c r="V21" s="35"/>
    </row>
    <row r="22" spans="2:22" s="7" customFormat="1" ht="13.5" x14ac:dyDescent="0.25">
      <c r="B22" s="7">
        <v>2</v>
      </c>
      <c r="C22" s="7" t="s">
        <v>15</v>
      </c>
      <c r="D22" s="13" t="s">
        <v>100</v>
      </c>
      <c r="E22" s="7">
        <v>0.2</v>
      </c>
      <c r="F22" s="12">
        <f>Harga!D13+(Harga!D13*5%)</f>
        <v>1523308.5</v>
      </c>
      <c r="G22" s="12">
        <f>E22*F22</f>
        <v>304661.7</v>
      </c>
      <c r="H22" s="16">
        <f t="shared" si="5"/>
        <v>213263.19</v>
      </c>
      <c r="I22" s="16">
        <f t="shared" si="5"/>
        <v>243729.36000000002</v>
      </c>
      <c r="L22" s="7">
        <v>3</v>
      </c>
      <c r="M22" s="7" t="s">
        <v>162</v>
      </c>
      <c r="N22" s="13" t="s">
        <v>104</v>
      </c>
      <c r="O22" s="7">
        <v>0</v>
      </c>
      <c r="P22" s="12">
        <f>Harga!D60+(Harga!D60*5%)</f>
        <v>33013.858500000002</v>
      </c>
      <c r="Q22" s="12">
        <f>O22*P22</f>
        <v>0</v>
      </c>
      <c r="V22" s="35"/>
    </row>
    <row r="23" spans="2:22" s="7" customFormat="1" ht="13.5" x14ac:dyDescent="0.25">
      <c r="B23" s="7">
        <v>3</v>
      </c>
      <c r="C23" s="7" t="s">
        <v>146</v>
      </c>
      <c r="D23" s="13" t="s">
        <v>132</v>
      </c>
      <c r="E23" s="7">
        <v>0.2</v>
      </c>
      <c r="F23" s="12">
        <f>F22*25%</f>
        <v>380827.125</v>
      </c>
      <c r="G23" s="12">
        <f>E23*F23</f>
        <v>76165.425000000003</v>
      </c>
      <c r="H23" s="16">
        <f t="shared" si="5"/>
        <v>53315.797500000001</v>
      </c>
      <c r="I23" s="16">
        <f t="shared" si="5"/>
        <v>60932.340000000004</v>
      </c>
      <c r="L23" s="7">
        <v>4</v>
      </c>
      <c r="M23" s="7" t="s">
        <v>90</v>
      </c>
      <c r="N23" s="13" t="s">
        <v>104</v>
      </c>
      <c r="O23" s="7">
        <v>0.5</v>
      </c>
      <c r="P23" s="12">
        <f>Harga!D57+(Harga!D57*5%)</f>
        <v>50339.163</v>
      </c>
      <c r="Q23" s="12">
        <f>O23*P23</f>
        <v>25169.5815</v>
      </c>
      <c r="V23" s="35"/>
    </row>
    <row r="24" spans="2:22" s="7" customFormat="1" ht="15" x14ac:dyDescent="0.3">
      <c r="C24" s="8"/>
      <c r="D24" s="9"/>
      <c r="E24" s="9"/>
      <c r="F24" s="21"/>
      <c r="G24" s="20">
        <f>SUM(G21:G23)</f>
        <v>387127.125</v>
      </c>
      <c r="H24" s="29">
        <f>SUM(H21:H23)</f>
        <v>270988.98749999999</v>
      </c>
      <c r="I24" s="29">
        <f>SUM(I21:I23)</f>
        <v>309701.7</v>
      </c>
      <c r="J24" s="9"/>
      <c r="L24" s="7">
        <v>5</v>
      </c>
      <c r="M24" s="7" t="s">
        <v>161</v>
      </c>
      <c r="N24" s="13" t="s">
        <v>103</v>
      </c>
      <c r="O24" s="7">
        <v>0.8</v>
      </c>
      <c r="P24" s="12">
        <f>Harga!D61+(Harga!D61*5%)</f>
        <v>0</v>
      </c>
      <c r="Q24" s="12">
        <f>O24*P24</f>
        <v>0</v>
      </c>
      <c r="V24" s="35"/>
    </row>
    <row r="25" spans="2:22" s="7" customFormat="1" ht="15" x14ac:dyDescent="0.3">
      <c r="B25" s="11" t="s">
        <v>18</v>
      </c>
      <c r="C25" s="11" t="s">
        <v>142</v>
      </c>
      <c r="F25" s="12"/>
      <c r="G25" s="12"/>
      <c r="M25" s="9"/>
      <c r="N25" s="17"/>
      <c r="O25" s="9">
        <f>SUM(O20:O24)</f>
        <v>2.2999999999999998</v>
      </c>
      <c r="P25" s="21"/>
      <c r="Q25" s="20">
        <f>SUM(Q20:Q23)</f>
        <v>114419.63400000001</v>
      </c>
      <c r="V25" s="35"/>
    </row>
    <row r="26" spans="2:22" s="7" customFormat="1" ht="15" x14ac:dyDescent="0.3">
      <c r="B26" s="7">
        <v>1</v>
      </c>
      <c r="C26" s="7" t="s">
        <v>66</v>
      </c>
      <c r="D26" s="13" t="s">
        <v>155</v>
      </c>
      <c r="E26" s="7">
        <v>7</v>
      </c>
      <c r="F26" s="12">
        <v>60000</v>
      </c>
      <c r="G26" s="12">
        <f>E26*F26</f>
        <v>420000</v>
      </c>
      <c r="H26" s="16">
        <f>$G26*H$3</f>
        <v>294000</v>
      </c>
      <c r="I26" s="16">
        <f>$G26*I$3</f>
        <v>336000</v>
      </c>
      <c r="L26" s="11" t="s">
        <v>38</v>
      </c>
      <c r="M26" s="11" t="s">
        <v>68</v>
      </c>
      <c r="V26" s="35"/>
    </row>
    <row r="27" spans="2:22" s="7" customFormat="1" ht="15" x14ac:dyDescent="0.3">
      <c r="C27" s="9"/>
      <c r="D27" s="9"/>
      <c r="E27" s="9"/>
      <c r="F27" s="21"/>
      <c r="G27" s="20">
        <f>SUM(G26)</f>
        <v>420000</v>
      </c>
      <c r="H27" s="29">
        <f>SUM(H26)</f>
        <v>294000</v>
      </c>
      <c r="I27" s="29">
        <f>SUM(I26)</f>
        <v>336000</v>
      </c>
      <c r="J27" s="9"/>
      <c r="L27" s="7">
        <v>1</v>
      </c>
      <c r="M27" s="7" t="s">
        <v>66</v>
      </c>
      <c r="N27" s="13" t="s">
        <v>155</v>
      </c>
      <c r="O27" s="7">
        <f>E26</f>
        <v>7</v>
      </c>
      <c r="P27" s="7">
        <v>1500</v>
      </c>
      <c r="Q27" s="12">
        <f>O27*P27</f>
        <v>10500</v>
      </c>
      <c r="V27" s="35"/>
    </row>
    <row r="28" spans="2:22" s="7" customFormat="1" ht="13.5" customHeight="1" x14ac:dyDescent="0.25">
      <c r="L28" s="7">
        <v>2</v>
      </c>
      <c r="M28" s="7" t="s">
        <v>159</v>
      </c>
      <c r="N28" s="13" t="s">
        <v>103</v>
      </c>
      <c r="O28" s="7">
        <f>O18+O25</f>
        <v>651.69999999999993</v>
      </c>
      <c r="P28" s="12">
        <v>112</v>
      </c>
      <c r="Q28" s="12">
        <f>O28*P28</f>
        <v>72990.399999999994</v>
      </c>
      <c r="V28" s="35"/>
    </row>
    <row r="29" spans="2:22" s="7" customFormat="1" ht="15" x14ac:dyDescent="0.3">
      <c r="H29" s="16">
        <f>$Q6*H$3</f>
        <v>322096.60979999998</v>
      </c>
      <c r="I29" s="16">
        <f>$Q6*I$3</f>
        <v>368110.41120000003</v>
      </c>
      <c r="L29" s="11"/>
      <c r="M29" s="8"/>
      <c r="N29" s="17"/>
      <c r="O29" s="9"/>
      <c r="P29" s="21"/>
      <c r="Q29" s="20">
        <f>SUM(Q27:Q28)</f>
        <v>83490.399999999994</v>
      </c>
      <c r="V29" s="35"/>
    </row>
    <row r="30" spans="2:22" s="7" customFormat="1" ht="15" x14ac:dyDescent="0.3">
      <c r="H30" s="16">
        <f t="shared" ref="H30:I34" si="6">$Q20*H$3</f>
        <v>62475.036749999999</v>
      </c>
      <c r="I30" s="16">
        <f t="shared" si="6"/>
        <v>71400.042000000001</v>
      </c>
      <c r="L30" s="11" t="s">
        <v>107</v>
      </c>
      <c r="M30" s="11" t="s">
        <v>39</v>
      </c>
      <c r="N30" s="13"/>
      <c r="P30" s="12"/>
      <c r="Q30" s="12"/>
      <c r="V30" s="35"/>
    </row>
    <row r="31" spans="2:22" s="7" customFormat="1" ht="13.5" x14ac:dyDescent="0.25">
      <c r="H31" s="16">
        <f t="shared" si="6"/>
        <v>0</v>
      </c>
      <c r="I31" s="16">
        <f t="shared" si="6"/>
        <v>0</v>
      </c>
      <c r="L31" s="7">
        <v>1</v>
      </c>
      <c r="M31" s="7" t="s">
        <v>2</v>
      </c>
      <c r="N31" s="13" t="s">
        <v>135</v>
      </c>
      <c r="O31" s="7">
        <v>4</v>
      </c>
      <c r="P31" s="12">
        <f>Harga!D67+(Harga!D67*10%)</f>
        <v>203434.77000000002</v>
      </c>
      <c r="Q31" s="12">
        <f>O31*P31</f>
        <v>813739.08000000007</v>
      </c>
      <c r="V31" s="35"/>
    </row>
    <row r="32" spans="2:22" s="7" customFormat="1" ht="13.5" x14ac:dyDescent="0.25">
      <c r="H32" s="16">
        <f t="shared" si="6"/>
        <v>0</v>
      </c>
      <c r="I32" s="16">
        <f t="shared" si="6"/>
        <v>0</v>
      </c>
      <c r="L32" s="7">
        <v>2</v>
      </c>
      <c r="M32" s="7" t="s">
        <v>11</v>
      </c>
      <c r="N32" s="13" t="s">
        <v>135</v>
      </c>
      <c r="O32" s="7">
        <f>G17-O31</f>
        <v>52.94</v>
      </c>
      <c r="P32" s="12">
        <f>Harga!D68+(Harga!D68*10%)</f>
        <v>162830.79999999999</v>
      </c>
      <c r="Q32" s="12">
        <f>O32*P32</f>
        <v>8620262.5519999992</v>
      </c>
      <c r="V32" s="35"/>
    </row>
    <row r="33" spans="3:22" s="7" customFormat="1" ht="15" x14ac:dyDescent="0.3">
      <c r="H33" s="16">
        <f t="shared" si="6"/>
        <v>17618.707049999997</v>
      </c>
      <c r="I33" s="16">
        <f t="shared" si="6"/>
        <v>20135.665200000003</v>
      </c>
      <c r="M33" s="8"/>
      <c r="N33" s="9"/>
      <c r="O33" s="9">
        <f>SUM(O31:O32)</f>
        <v>56.94</v>
      </c>
      <c r="P33" s="21"/>
      <c r="Q33" s="20">
        <f>SUM(Q31:Q32)</f>
        <v>9434001.6319999993</v>
      </c>
      <c r="V33" s="35"/>
    </row>
    <row r="34" spans="3:22" s="7" customFormat="1" ht="15.75" thickBot="1" x14ac:dyDescent="0.35">
      <c r="H34" s="16">
        <f t="shared" si="6"/>
        <v>0</v>
      </c>
      <c r="I34" s="16">
        <f t="shared" si="6"/>
        <v>0</v>
      </c>
      <c r="L34" s="44"/>
      <c r="M34" s="45" t="s">
        <v>195</v>
      </c>
      <c r="N34" s="44"/>
      <c r="O34" s="44"/>
      <c r="P34" s="46"/>
      <c r="Q34" s="115">
        <f>G24+G27+Q18+Q25+Q29+Q33</f>
        <v>14044331.454</v>
      </c>
      <c r="V34" s="35"/>
    </row>
    <row r="35" spans="3:22" s="7" customFormat="1" ht="15" x14ac:dyDescent="0.3">
      <c r="C35" s="7">
        <f>'Tingkat Jalan Mineral'!G20</f>
        <v>998942.8</v>
      </c>
      <c r="H35" s="29">
        <f>SUM(H30:H33)</f>
        <v>80093.743799999997</v>
      </c>
      <c r="I35" s="29">
        <f>SUM(I30:I33)</f>
        <v>91535.707200000004</v>
      </c>
      <c r="V35" s="35"/>
    </row>
    <row r="36" spans="3:22" s="7" customFormat="1" ht="13.5" x14ac:dyDescent="0.25">
      <c r="C36" s="7">
        <f>'Tingkat Jalan Mineral'!Q20</f>
        <v>1522646.8</v>
      </c>
      <c r="V36" s="35"/>
    </row>
    <row r="37" spans="3:22" s="7" customFormat="1" ht="13.5" x14ac:dyDescent="0.25">
      <c r="C37" s="7">
        <f>'Drainase Tnh Mineral '!Q21</f>
        <v>581740</v>
      </c>
      <c r="H37" s="16">
        <f>$Q27*H$3</f>
        <v>7349.9999999999991</v>
      </c>
      <c r="I37" s="16">
        <f>$Q27*I$3</f>
        <v>8400</v>
      </c>
      <c r="V37" s="35"/>
    </row>
    <row r="38" spans="3:22" s="7" customFormat="1" ht="13.5" x14ac:dyDescent="0.25">
      <c r="C38" s="7">
        <f>SUM(C35:C37)</f>
        <v>3103329.6</v>
      </c>
      <c r="H38" s="16">
        <f>$Q28*H$3</f>
        <v>51093.279999999992</v>
      </c>
      <c r="I38" s="16">
        <f>$Q28*I$3</f>
        <v>58392.32</v>
      </c>
      <c r="V38" s="35"/>
    </row>
    <row r="39" spans="3:22" s="7" customFormat="1" ht="15" x14ac:dyDescent="0.3">
      <c r="C39" s="7">
        <f>C33+C38</f>
        <v>3103329.6</v>
      </c>
      <c r="H39" s="20">
        <f>SUM(H37:H38)</f>
        <v>58443.279999999992</v>
      </c>
      <c r="I39" s="20">
        <f>SUM(I37:I38)</f>
        <v>66792.320000000007</v>
      </c>
      <c r="J39" s="9"/>
      <c r="V39" s="35"/>
    </row>
    <row r="40" spans="3:22" s="7" customFormat="1" ht="13.5" x14ac:dyDescent="0.25">
      <c r="V40" s="35"/>
    </row>
    <row r="41" spans="3:22" s="7" customFormat="1" ht="13.5" x14ac:dyDescent="0.25">
      <c r="H41" s="16">
        <f>$Q31*H$3</f>
        <v>569617.35600000003</v>
      </c>
      <c r="I41" s="16">
        <f>$Q31*I$3</f>
        <v>650991.26400000008</v>
      </c>
      <c r="V41" s="35"/>
    </row>
    <row r="42" spans="3:22" s="7" customFormat="1" ht="13.5" x14ac:dyDescent="0.25">
      <c r="H42" s="16">
        <f>$Q32*H$3</f>
        <v>6034183.7863999987</v>
      </c>
      <c r="I42" s="16">
        <f>$Q32*I$3</f>
        <v>6896210.0416000001</v>
      </c>
      <c r="V42" s="35"/>
    </row>
    <row r="43" spans="3:22" s="7" customFormat="1" ht="15" x14ac:dyDescent="0.3">
      <c r="H43" s="20">
        <f>SUM(H41:H42)</f>
        <v>6603801.1423999984</v>
      </c>
      <c r="I43" s="20">
        <f>SUM(I41:I42)</f>
        <v>7547201.3056000005</v>
      </c>
      <c r="J43" s="9"/>
      <c r="V43" s="35"/>
    </row>
    <row r="44" spans="3:22" s="7" customFormat="1" ht="15.75" thickBot="1" x14ac:dyDescent="0.35">
      <c r="H44" s="47" t="e">
        <f>H24+H27+#REF!+H35+H39+H43</f>
        <v>#REF!</v>
      </c>
      <c r="I44" s="47" t="e">
        <f>I24+I27+#REF!+I35+I39+I43</f>
        <v>#REF!</v>
      </c>
      <c r="J44" s="44"/>
      <c r="V44" s="35"/>
    </row>
    <row r="45" spans="3:22" s="7" customFormat="1" ht="13.5" x14ac:dyDescent="0.25">
      <c r="H45" s="48" t="e">
        <f>H44/Q34</f>
        <v>#REF!</v>
      </c>
      <c r="I45" s="48" t="e">
        <f>I44/Q34</f>
        <v>#REF!</v>
      </c>
      <c r="V45" s="35"/>
    </row>
    <row r="46" spans="3:22" s="7" customFormat="1" ht="13.5" x14ac:dyDescent="0.25">
      <c r="G46" s="35"/>
      <c r="V46" s="35"/>
    </row>
    <row r="47" spans="3:22" s="7" customFormat="1" ht="13.5" x14ac:dyDescent="0.25">
      <c r="V47" s="35"/>
    </row>
    <row r="48" spans="3:22" ht="13.5" x14ac:dyDescent="0.25">
      <c r="L48" s="7"/>
      <c r="M48" s="7"/>
      <c r="N48" s="7"/>
      <c r="O48" s="7"/>
      <c r="P48" s="7"/>
      <c r="Q48" s="7"/>
    </row>
    <row r="49" spans="12:17" ht="13.5" x14ac:dyDescent="0.25">
      <c r="L49" s="7"/>
      <c r="M49" s="7"/>
      <c r="N49" s="7"/>
      <c r="O49" s="7"/>
      <c r="P49" s="7"/>
      <c r="Q49" s="7"/>
    </row>
    <row r="50" spans="12:17" ht="13.5" x14ac:dyDescent="0.25">
      <c r="L50" s="7"/>
      <c r="M50" s="7"/>
      <c r="N50" s="7"/>
      <c r="O50" s="7"/>
      <c r="P50" s="7"/>
      <c r="Q50" s="7"/>
    </row>
    <row r="51" spans="12:17" ht="13.5" x14ac:dyDescent="0.25">
      <c r="L51" s="7"/>
      <c r="M51" s="7"/>
      <c r="N51" s="7"/>
      <c r="O51" s="7"/>
      <c r="P51" s="7"/>
      <c r="Q51" s="7"/>
    </row>
    <row r="52" spans="12:17" ht="13.5" x14ac:dyDescent="0.25">
      <c r="L52" s="7"/>
      <c r="M52" s="7"/>
      <c r="N52" s="7"/>
      <c r="O52" s="7"/>
      <c r="P52" s="7"/>
      <c r="Q52" s="7"/>
    </row>
  </sheetData>
  <mergeCells count="5">
    <mergeCell ref="D19:E19"/>
    <mergeCell ref="B1:J1"/>
    <mergeCell ref="B2:J2"/>
    <mergeCell ref="E3:G3"/>
    <mergeCell ref="E4:F4"/>
  </mergeCells>
  <phoneticPr fontId="0" type="noConversion"/>
  <pageMargins left="1" right="0.5" top="0.72" bottom="1" header="0.5" footer="0.5"/>
  <pageSetup paperSize="9" scale="90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U130"/>
  <sheetViews>
    <sheetView view="pageBreakPreview" topLeftCell="E10" zoomScale="60" zoomScaleNormal="100" workbookViewId="0">
      <selection activeCell="G33" sqref="G33"/>
    </sheetView>
  </sheetViews>
  <sheetFormatPr defaultColWidth="8.6640625" defaultRowHeight="11.25" x14ac:dyDescent="0.2"/>
  <cols>
    <col min="1" max="1" width="1" customWidth="1"/>
    <col min="2" max="2" width="3.6640625" customWidth="1"/>
    <col min="3" max="3" width="32.6640625" customWidth="1"/>
    <col min="4" max="4" width="8" customWidth="1"/>
    <col min="5" max="5" width="7.6640625" customWidth="1"/>
    <col min="6" max="6" width="12.6640625" customWidth="1"/>
    <col min="7" max="7" width="16" customWidth="1"/>
    <col min="8" max="9" width="10.5" hidden="1" customWidth="1"/>
    <col min="10" max="10" width="11" hidden="1" customWidth="1"/>
    <col min="11" max="11" width="6" customWidth="1"/>
    <col min="12" max="12" width="5.1640625" customWidth="1"/>
    <col min="13" max="13" width="29.6640625" customWidth="1"/>
    <col min="15" max="15" width="10.1640625" customWidth="1"/>
    <col min="16" max="16" width="12" customWidth="1"/>
    <col min="17" max="17" width="17" customWidth="1"/>
    <col min="21" max="21" width="16.5" style="244" customWidth="1"/>
  </cols>
  <sheetData>
    <row r="2" spans="2:21" ht="15.75" x14ac:dyDescent="0.25">
      <c r="B2" s="585" t="s">
        <v>0</v>
      </c>
      <c r="C2" s="585"/>
      <c r="D2" s="585"/>
      <c r="E2" s="585"/>
      <c r="F2" s="585"/>
      <c r="G2" s="585"/>
      <c r="H2" s="585"/>
      <c r="I2" s="585"/>
      <c r="J2" s="585"/>
    </row>
    <row r="3" spans="2:21" ht="15.75" x14ac:dyDescent="0.25">
      <c r="B3" s="585" t="s">
        <v>193</v>
      </c>
      <c r="C3" s="585"/>
      <c r="D3" s="585"/>
      <c r="E3" s="585"/>
      <c r="F3" s="585"/>
      <c r="G3" s="585"/>
      <c r="H3" s="585"/>
      <c r="I3" s="585"/>
      <c r="J3" s="585"/>
    </row>
    <row r="4" spans="2:21" s="7" customFormat="1" ht="13.5" x14ac:dyDescent="0.25">
      <c r="U4" s="35"/>
    </row>
    <row r="5" spans="2:21" s="7" customFormat="1" ht="15" x14ac:dyDescent="0.3">
      <c r="B5" s="9"/>
      <c r="C5" s="8" t="s">
        <v>31</v>
      </c>
      <c r="D5" s="8"/>
      <c r="E5" s="611" t="s">
        <v>32</v>
      </c>
      <c r="F5" s="611"/>
      <c r="G5" s="10" t="s">
        <v>33</v>
      </c>
      <c r="M5" s="117"/>
      <c r="U5" s="35"/>
    </row>
    <row r="6" spans="2:21" s="7" customFormat="1" ht="15" x14ac:dyDescent="0.3">
      <c r="B6" s="7">
        <v>1</v>
      </c>
      <c r="C6" s="7" t="s">
        <v>2</v>
      </c>
      <c r="D6" s="13" t="s">
        <v>135</v>
      </c>
      <c r="E6" s="7">
        <v>12</v>
      </c>
      <c r="F6" s="7">
        <v>1.5</v>
      </c>
      <c r="G6" s="7">
        <f>E6*F6</f>
        <v>18</v>
      </c>
      <c r="H6" s="43" t="e">
        <f>G6*#REF!</f>
        <v>#REF!</v>
      </c>
      <c r="I6" s="43" t="e">
        <f>H6*#REF!</f>
        <v>#REF!</v>
      </c>
      <c r="L6" s="11" t="s">
        <v>24</v>
      </c>
      <c r="M6" s="116" t="s">
        <v>25</v>
      </c>
      <c r="N6" s="611" t="s">
        <v>35</v>
      </c>
      <c r="O6" s="611"/>
      <c r="P6" s="10" t="s">
        <v>37</v>
      </c>
      <c r="Q6" s="10" t="s">
        <v>216</v>
      </c>
      <c r="U6" s="35">
        <v>170610</v>
      </c>
    </row>
    <row r="7" spans="2:21" s="7" customFormat="1" ht="13.5" x14ac:dyDescent="0.25">
      <c r="B7" s="7">
        <v>2</v>
      </c>
      <c r="C7" s="7" t="s">
        <v>606</v>
      </c>
      <c r="D7" s="13" t="s">
        <v>135</v>
      </c>
      <c r="E7" s="7">
        <v>1</v>
      </c>
      <c r="F7" s="561">
        <v>2.5</v>
      </c>
      <c r="G7" s="7">
        <v>2.5</v>
      </c>
      <c r="H7" s="43" t="e">
        <f>G7*#REF!</f>
        <v>#REF!</v>
      </c>
      <c r="I7" s="43" t="e">
        <f>H7*#REF!</f>
        <v>#REF!</v>
      </c>
      <c r="L7" s="7">
        <v>1</v>
      </c>
      <c r="M7" s="7" t="s">
        <v>20</v>
      </c>
      <c r="N7" s="13" t="s">
        <v>103</v>
      </c>
      <c r="O7" s="35">
        <v>115.6</v>
      </c>
      <c r="P7" s="12">
        <f>'TBM 1'!P6+('TBM 1'!P6*5%)</f>
        <v>7105.0722750000004</v>
      </c>
      <c r="Q7" s="12">
        <f t="shared" ref="Q7:Q17" si="0">O7*P7</f>
        <v>821346.35499000002</v>
      </c>
      <c r="U7" s="35">
        <v>2090880</v>
      </c>
    </row>
    <row r="8" spans="2:21" s="7" customFormat="1" ht="13.5" x14ac:dyDescent="0.25">
      <c r="B8" s="7">
        <v>3</v>
      </c>
      <c r="C8" s="7" t="s">
        <v>604</v>
      </c>
      <c r="D8" s="13" t="s">
        <v>135</v>
      </c>
      <c r="E8" s="7">
        <v>1</v>
      </c>
      <c r="F8" s="561">
        <v>2.5</v>
      </c>
      <c r="G8" s="7">
        <v>2.5</v>
      </c>
      <c r="H8" s="43" t="e">
        <f>G8*#REF!</f>
        <v>#REF!</v>
      </c>
      <c r="I8" s="43" t="e">
        <f>H8*#REF!</f>
        <v>#REF!</v>
      </c>
      <c r="L8" s="7">
        <v>2</v>
      </c>
      <c r="M8" s="7" t="s">
        <v>52</v>
      </c>
      <c r="N8" s="13" t="s">
        <v>103</v>
      </c>
      <c r="O8" s="35"/>
      <c r="P8" s="12">
        <f>'TBM 1'!P7+('TBM 1'!P7*5%)</f>
        <v>2214.5145750000001</v>
      </c>
      <c r="Q8" s="12">
        <f t="shared" si="0"/>
        <v>0</v>
      </c>
      <c r="U8" s="35">
        <v>1654</v>
      </c>
    </row>
    <row r="9" spans="2:21" s="7" customFormat="1" ht="13.5" x14ac:dyDescent="0.25">
      <c r="B9" s="7">
        <v>4</v>
      </c>
      <c r="C9" s="7" t="s">
        <v>595</v>
      </c>
      <c r="D9" s="13" t="s">
        <v>135</v>
      </c>
      <c r="E9" s="7">
        <v>4</v>
      </c>
      <c r="F9" s="7">
        <f>((0.75*2)+2.5)/4</f>
        <v>1</v>
      </c>
      <c r="G9" s="7">
        <f t="shared" ref="G9:G18" si="1">E9*F9</f>
        <v>4</v>
      </c>
      <c r="H9" s="43" t="e">
        <f>G9*#REF!</f>
        <v>#REF!</v>
      </c>
      <c r="I9" s="43" t="e">
        <f>H9*#REF!</f>
        <v>#REF!</v>
      </c>
      <c r="L9" s="7">
        <v>3</v>
      </c>
      <c r="M9" s="7" t="s">
        <v>157</v>
      </c>
      <c r="N9" s="13" t="s">
        <v>103</v>
      </c>
      <c r="O9" s="35"/>
      <c r="P9" s="12">
        <f>'TBM 1'!P8+('TBM 1'!P8*5%)</f>
        <v>5923.3797000000004</v>
      </c>
      <c r="Q9" s="12">
        <f t="shared" si="0"/>
        <v>0</v>
      </c>
      <c r="U9" s="35">
        <v>59907</v>
      </c>
    </row>
    <row r="10" spans="2:21" s="7" customFormat="1" ht="13.5" x14ac:dyDescent="0.25">
      <c r="B10" s="7">
        <v>5</v>
      </c>
      <c r="C10" s="7" t="s">
        <v>596</v>
      </c>
      <c r="D10" s="13" t="s">
        <v>135</v>
      </c>
      <c r="E10" s="7">
        <v>2</v>
      </c>
      <c r="F10" s="7">
        <v>1</v>
      </c>
      <c r="G10" s="7">
        <f t="shared" si="1"/>
        <v>2</v>
      </c>
      <c r="H10" s="43" t="e">
        <f>G10*#REF!</f>
        <v>#REF!</v>
      </c>
      <c r="I10" s="43" t="e">
        <f>H10*#REF!</f>
        <v>#REF!</v>
      </c>
      <c r="L10" s="7">
        <v>4</v>
      </c>
      <c r="M10" s="7" t="s">
        <v>92</v>
      </c>
      <c r="N10" s="13" t="s">
        <v>103</v>
      </c>
      <c r="O10" s="35"/>
      <c r="P10" s="12">
        <f>'TBM 1'!P9+('TBM 1'!P9*5%)</f>
        <v>3883.1483250000001</v>
      </c>
      <c r="Q10" s="12">
        <f t="shared" si="0"/>
        <v>0</v>
      </c>
      <c r="U10" s="35">
        <v>650800</v>
      </c>
    </row>
    <row r="11" spans="2:21" s="7" customFormat="1" ht="13.5" x14ac:dyDescent="0.25">
      <c r="B11" s="7">
        <v>6</v>
      </c>
      <c r="C11" s="7" t="s">
        <v>70</v>
      </c>
      <c r="D11" s="13" t="s">
        <v>135</v>
      </c>
      <c r="E11" s="35">
        <v>1</v>
      </c>
      <c r="F11" s="35">
        <v>1</v>
      </c>
      <c r="G11" s="35">
        <v>1</v>
      </c>
      <c r="H11" s="43" t="e">
        <f>G11*#REF!</f>
        <v>#REF!</v>
      </c>
      <c r="I11" s="43" t="e">
        <f>H11*#REF!</f>
        <v>#REF!</v>
      </c>
      <c r="L11" s="7">
        <v>5</v>
      </c>
      <c r="M11" s="7" t="s">
        <v>158</v>
      </c>
      <c r="N11" s="13" t="s">
        <v>103</v>
      </c>
      <c r="O11" s="50">
        <v>0</v>
      </c>
      <c r="P11" s="12">
        <f>'TBM 1'!P10+('TBM 1'!P10*5%)</f>
        <v>12589.82235</v>
      </c>
      <c r="Q11" s="12">
        <f t="shared" si="0"/>
        <v>0</v>
      </c>
      <c r="U11" s="35">
        <v>543736</v>
      </c>
    </row>
    <row r="12" spans="2:21" s="7" customFormat="1" ht="13.5" x14ac:dyDescent="0.25">
      <c r="B12" s="7">
        <v>7</v>
      </c>
      <c r="C12" s="7" t="s">
        <v>9</v>
      </c>
      <c r="D12" s="13" t="s">
        <v>135</v>
      </c>
      <c r="E12" s="7">
        <v>11</v>
      </c>
      <c r="F12" s="7">
        <v>0.75</v>
      </c>
      <c r="G12" s="7">
        <f t="shared" si="1"/>
        <v>8.25</v>
      </c>
      <c r="H12" s="43" t="e">
        <f>G12*#REF!</f>
        <v>#REF!</v>
      </c>
      <c r="I12" s="43" t="e">
        <f>H12*#REF!</f>
        <v>#REF!</v>
      </c>
      <c r="L12" s="7">
        <v>6</v>
      </c>
      <c r="M12" s="7" t="s">
        <v>94</v>
      </c>
      <c r="N12" s="13" t="s">
        <v>103</v>
      </c>
      <c r="O12" s="50"/>
      <c r="P12" s="405">
        <f>'TBM 1'!P11+('TBM 1'!P11*5%)</f>
        <v>2324.0700000000002</v>
      </c>
      <c r="Q12" s="405">
        <f t="shared" si="0"/>
        <v>0</v>
      </c>
      <c r="U12" s="35">
        <v>1589401</v>
      </c>
    </row>
    <row r="13" spans="2:21" s="7" customFormat="1" ht="13.5" x14ac:dyDescent="0.25">
      <c r="B13" s="7">
        <v>8</v>
      </c>
      <c r="C13" s="7" t="s">
        <v>71</v>
      </c>
      <c r="D13" s="13" t="s">
        <v>135</v>
      </c>
      <c r="E13" s="7">
        <v>3</v>
      </c>
      <c r="F13" s="7">
        <v>1</v>
      </c>
      <c r="G13" s="7">
        <f t="shared" si="1"/>
        <v>3</v>
      </c>
      <c r="H13" s="43" t="e">
        <f>G13*#REF!</f>
        <v>#REF!</v>
      </c>
      <c r="I13" s="43" t="e">
        <f>H13*#REF!</f>
        <v>#REF!</v>
      </c>
      <c r="L13" s="7">
        <v>7</v>
      </c>
      <c r="M13" s="7" t="s">
        <v>490</v>
      </c>
      <c r="N13" s="13" t="s">
        <v>103</v>
      </c>
      <c r="O13" s="50"/>
      <c r="P13" s="405">
        <f>'TBM 1'!P12+('TBM 1'!P12*5%)</f>
        <v>39318.126749999996</v>
      </c>
      <c r="Q13" s="405">
        <f t="shared" si="0"/>
        <v>0</v>
      </c>
      <c r="U13" s="35">
        <v>149190</v>
      </c>
    </row>
    <row r="14" spans="2:21" s="7" customFormat="1" ht="13.5" x14ac:dyDescent="0.25">
      <c r="B14" s="7">
        <v>9</v>
      </c>
      <c r="C14" s="7" t="s">
        <v>605</v>
      </c>
      <c r="D14" s="13" t="s">
        <v>135</v>
      </c>
      <c r="E14" s="7">
        <v>1</v>
      </c>
      <c r="F14" s="7">
        <v>10</v>
      </c>
      <c r="G14" s="7">
        <f t="shared" si="1"/>
        <v>10</v>
      </c>
      <c r="H14" s="43" t="e">
        <f>G14*#REF!</f>
        <v>#REF!</v>
      </c>
      <c r="I14" s="43" t="e">
        <f>H14*#REF!</f>
        <v>#REF!</v>
      </c>
      <c r="L14" s="7">
        <v>8</v>
      </c>
      <c r="M14" s="7" t="s">
        <v>491</v>
      </c>
      <c r="N14" s="13" t="s">
        <v>103</v>
      </c>
      <c r="O14" s="50">
        <v>4.08</v>
      </c>
      <c r="P14" s="405">
        <f>'TBM 1'!P13+('TBM 1'!P13*5%)</f>
        <v>30797.235000000001</v>
      </c>
      <c r="Q14" s="405">
        <f t="shared" si="0"/>
        <v>125652.7188</v>
      </c>
      <c r="U14" s="35">
        <v>88751</v>
      </c>
    </row>
    <row r="15" spans="2:21" s="7" customFormat="1" ht="13.5" x14ac:dyDescent="0.25">
      <c r="B15" s="7">
        <v>10</v>
      </c>
      <c r="C15" s="7" t="s">
        <v>172</v>
      </c>
      <c r="D15" s="13" t="s">
        <v>135</v>
      </c>
      <c r="E15" s="7">
        <v>1</v>
      </c>
      <c r="F15" s="7">
        <v>0.5</v>
      </c>
      <c r="G15" s="7">
        <f t="shared" si="1"/>
        <v>0.5</v>
      </c>
      <c r="H15" s="43" t="e">
        <f>G15*#REF!</f>
        <v>#REF!</v>
      </c>
      <c r="I15" s="43" t="e">
        <f>H15*#REF!</f>
        <v>#REF!</v>
      </c>
      <c r="L15" s="7">
        <v>9</v>
      </c>
      <c r="M15" s="7" t="s">
        <v>575</v>
      </c>
      <c r="N15" s="13" t="s">
        <v>103</v>
      </c>
      <c r="O15" s="50">
        <v>0</v>
      </c>
      <c r="P15" s="405">
        <f>'TBM 1'!P14+('TBM 1'!P14*5%)</f>
        <v>6131.1127500000002</v>
      </c>
      <c r="Q15" s="405">
        <f t="shared" si="0"/>
        <v>0</v>
      </c>
      <c r="U15" s="35">
        <v>235106</v>
      </c>
    </row>
    <row r="16" spans="2:21" s="7" customFormat="1" ht="13.5" x14ac:dyDescent="0.25">
      <c r="B16" s="7">
        <v>11</v>
      </c>
      <c r="C16" s="7" t="s">
        <v>75</v>
      </c>
      <c r="D16" s="13" t="s">
        <v>135</v>
      </c>
      <c r="E16" s="7">
        <v>6</v>
      </c>
      <c r="F16" s="7">
        <v>1</v>
      </c>
      <c r="G16" s="7">
        <f t="shared" si="1"/>
        <v>6</v>
      </c>
      <c r="H16" s="43" t="e">
        <f>G16*#REF!</f>
        <v>#REF!</v>
      </c>
      <c r="I16" s="43" t="e">
        <f>H16*#REF!</f>
        <v>#REF!</v>
      </c>
      <c r="L16" s="7">
        <v>10</v>
      </c>
      <c r="M16" s="7" t="s">
        <v>576</v>
      </c>
      <c r="N16" s="13" t="s">
        <v>103</v>
      </c>
      <c r="O16" s="50">
        <v>748</v>
      </c>
      <c r="P16" s="405">
        <f>'TBM 1'!P15+('TBM 1'!P15*5%)</f>
        <v>6920.4917250000008</v>
      </c>
      <c r="Q16" s="405">
        <f t="shared" si="0"/>
        <v>5176527.8103000009</v>
      </c>
      <c r="U16" s="35">
        <v>99743</v>
      </c>
    </row>
    <row r="17" spans="2:21" s="7" customFormat="1" ht="13.5" x14ac:dyDescent="0.25">
      <c r="B17" s="7">
        <v>12</v>
      </c>
      <c r="C17" s="7" t="s">
        <v>10</v>
      </c>
      <c r="D17" s="13" t="s">
        <v>135</v>
      </c>
      <c r="E17" s="7">
        <v>1</v>
      </c>
      <c r="F17" s="7">
        <v>1</v>
      </c>
      <c r="G17" s="7">
        <f t="shared" si="1"/>
        <v>1</v>
      </c>
      <c r="H17" s="43" t="e">
        <f>G17*#REF!</f>
        <v>#REF!</v>
      </c>
      <c r="I17" s="43" t="e">
        <f>H17*#REF!</f>
        <v>#REF!</v>
      </c>
      <c r="L17" s="7">
        <v>11</v>
      </c>
      <c r="M17" s="7" t="s">
        <v>311</v>
      </c>
      <c r="N17" s="13" t="s">
        <v>103</v>
      </c>
      <c r="O17" s="50">
        <v>238</v>
      </c>
      <c r="P17" s="405">
        <f>'TBM 1'!P16+('TBM 1'!P16*5%)</f>
        <v>1020.915</v>
      </c>
      <c r="Q17" s="405">
        <f t="shared" si="0"/>
        <v>242977.77</v>
      </c>
      <c r="U17" s="35">
        <v>30570</v>
      </c>
    </row>
    <row r="18" spans="2:21" s="7" customFormat="1" ht="15" x14ac:dyDescent="0.3">
      <c r="B18" s="7">
        <v>13</v>
      </c>
      <c r="C18" s="7" t="s">
        <v>578</v>
      </c>
      <c r="D18" s="13" t="s">
        <v>135</v>
      </c>
      <c r="E18" s="7">
        <v>9</v>
      </c>
      <c r="F18" s="7">
        <v>0.18</v>
      </c>
      <c r="G18" s="7">
        <f t="shared" si="1"/>
        <v>1.6199999999999999</v>
      </c>
      <c r="H18" s="8" t="e">
        <f>SUM(H6:H17)</f>
        <v>#REF!</v>
      </c>
      <c r="I18" s="8" t="e">
        <f>SUM(I6:I17)</f>
        <v>#REF!</v>
      </c>
      <c r="J18" s="9"/>
      <c r="M18" s="9"/>
      <c r="N18" s="17"/>
      <c r="O18" s="54">
        <f>SUM(O7:O17)</f>
        <v>1105.6799999999998</v>
      </c>
      <c r="P18" s="406"/>
      <c r="Q18" s="407">
        <f>SUM(Q7:Q17)</f>
        <v>6366504.6540900003</v>
      </c>
      <c r="U18" s="35">
        <v>21752</v>
      </c>
    </row>
    <row r="19" spans="2:21" s="7" customFormat="1" ht="15" x14ac:dyDescent="0.3">
      <c r="C19" s="8" t="s">
        <v>34</v>
      </c>
      <c r="D19" s="8"/>
      <c r="E19" s="9"/>
      <c r="F19" s="9"/>
      <c r="G19" s="8">
        <f>SUM(G6:G18)</f>
        <v>60.37</v>
      </c>
      <c r="L19" s="11" t="s">
        <v>28</v>
      </c>
      <c r="M19" s="11" t="s">
        <v>26</v>
      </c>
      <c r="N19" s="13"/>
      <c r="P19" s="12"/>
      <c r="Q19" s="12"/>
      <c r="U19" s="35">
        <v>100126</v>
      </c>
    </row>
    <row r="20" spans="2:21" s="7" customFormat="1" ht="13.5" x14ac:dyDescent="0.25">
      <c r="L20" s="7">
        <v>1</v>
      </c>
      <c r="M20" s="7" t="s">
        <v>143</v>
      </c>
      <c r="N20" s="13" t="s">
        <v>104</v>
      </c>
      <c r="O20" s="7">
        <v>2</v>
      </c>
      <c r="P20" s="12">
        <f>'TBM 1'!P20+('TBM 1'!P20*5%)</f>
        <v>93712.555124999999</v>
      </c>
      <c r="Q20" s="12">
        <f>O20*P20</f>
        <v>187425.11025</v>
      </c>
      <c r="U20" s="35">
        <v>21463</v>
      </c>
    </row>
    <row r="21" spans="2:21" s="7" customFormat="1" ht="15" x14ac:dyDescent="0.3">
      <c r="B21" s="9"/>
      <c r="C21" s="8" t="s">
        <v>36</v>
      </c>
      <c r="D21" s="611" t="s">
        <v>35</v>
      </c>
      <c r="E21" s="611"/>
      <c r="F21" s="10" t="s">
        <v>37</v>
      </c>
      <c r="G21" s="10" t="s">
        <v>87</v>
      </c>
      <c r="H21" s="42">
        <v>0.7</v>
      </c>
      <c r="I21" s="42">
        <v>0.8</v>
      </c>
      <c r="J21" s="10" t="s">
        <v>40</v>
      </c>
      <c r="L21" s="7">
        <v>2</v>
      </c>
      <c r="M21" s="7" t="s">
        <v>144</v>
      </c>
      <c r="N21" s="13" t="s">
        <v>103</v>
      </c>
      <c r="O21" s="7">
        <v>0.13</v>
      </c>
      <c r="P21" s="12">
        <f>'TBM 1'!P21+('TBM 1'!P21*5%)</f>
        <v>26962.012350000001</v>
      </c>
      <c r="Q21" s="12">
        <f>O21*P21</f>
        <v>3505.0616055</v>
      </c>
      <c r="U21" s="35">
        <v>88128</v>
      </c>
    </row>
    <row r="22" spans="2:21" s="7" customFormat="1" ht="15" x14ac:dyDescent="0.3">
      <c r="C22" s="11"/>
      <c r="F22" s="12"/>
      <c r="G22" s="12"/>
      <c r="L22" s="7">
        <v>3</v>
      </c>
      <c r="M22" s="7" t="s">
        <v>162</v>
      </c>
      <c r="N22" s="13" t="s">
        <v>104</v>
      </c>
      <c r="O22" s="7">
        <v>1.8</v>
      </c>
      <c r="P22" s="12">
        <f>'TBM 1'!P22+('TBM 1'!P22*5%)</f>
        <v>34664.551425000005</v>
      </c>
      <c r="Q22" s="12">
        <f>O22*P22</f>
        <v>62396.192565000012</v>
      </c>
      <c r="U22" s="35">
        <f>SUM(U6:U21)</f>
        <v>5941817</v>
      </c>
    </row>
    <row r="23" spans="2:21" s="7" customFormat="1" ht="15" x14ac:dyDescent="0.3">
      <c r="B23" s="11" t="s">
        <v>12</v>
      </c>
      <c r="C23" s="11" t="s">
        <v>13</v>
      </c>
      <c r="F23" s="12"/>
      <c r="G23" s="12"/>
      <c r="L23" s="7">
        <v>4</v>
      </c>
      <c r="M23" s="7" t="s">
        <v>90</v>
      </c>
      <c r="N23" s="13" t="s">
        <v>104</v>
      </c>
      <c r="O23" s="7">
        <v>0.5</v>
      </c>
      <c r="P23" s="12">
        <f>'TBM 1'!P23+('TBM 1'!P23*5%)</f>
        <v>52856.121149999999</v>
      </c>
      <c r="Q23" s="12">
        <f>O23*P23</f>
        <v>26428.060575</v>
      </c>
      <c r="U23" s="35">
        <f>U22*5%</f>
        <v>297090.85000000003</v>
      </c>
    </row>
    <row r="24" spans="2:21" s="7" customFormat="1" ht="13.5" x14ac:dyDescent="0.25">
      <c r="B24" s="7">
        <v>1</v>
      </c>
      <c r="C24" s="7" t="s">
        <v>152</v>
      </c>
      <c r="D24" s="13" t="s">
        <v>100</v>
      </c>
      <c r="E24" s="7">
        <v>0.2</v>
      </c>
      <c r="F24" s="12">
        <f>'TBM 1'!F21+('TBM 1'!F21*5%)</f>
        <v>33075</v>
      </c>
      <c r="G24" s="12">
        <f>E24*F24</f>
        <v>6615</v>
      </c>
      <c r="H24" s="16" t="e">
        <f>$G24*#REF!</f>
        <v>#REF!</v>
      </c>
      <c r="I24" s="16" t="e">
        <f>$G24*#REF!</f>
        <v>#REF!</v>
      </c>
      <c r="L24" s="7">
        <v>5</v>
      </c>
      <c r="M24" s="7" t="s">
        <v>161</v>
      </c>
      <c r="N24" s="13" t="s">
        <v>103</v>
      </c>
      <c r="O24" s="7">
        <v>0.8</v>
      </c>
      <c r="P24" s="12">
        <f>'TBM 1'!P24+('TBM 1'!P24*5%)</f>
        <v>0</v>
      </c>
      <c r="Q24" s="12">
        <f>O24*P24</f>
        <v>0</v>
      </c>
      <c r="U24" s="35">
        <f>U23+U22</f>
        <v>6238907.8499999996</v>
      </c>
    </row>
    <row r="25" spans="2:21" s="7" customFormat="1" ht="15" x14ac:dyDescent="0.3">
      <c r="B25" s="7">
        <v>2</v>
      </c>
      <c r="C25" s="7" t="s">
        <v>15</v>
      </c>
      <c r="D25" s="13" t="s">
        <v>100</v>
      </c>
      <c r="E25" s="7">
        <v>0.2</v>
      </c>
      <c r="F25" s="12">
        <f>'TBM 1'!F22+('TBM 1'!F22*5%)</f>
        <v>1599473.925</v>
      </c>
      <c r="G25" s="12">
        <f>E25*F25</f>
        <v>319894.78500000003</v>
      </c>
      <c r="H25" s="16" t="e">
        <f>$G25*#REF!</f>
        <v>#REF!</v>
      </c>
      <c r="I25" s="16" t="e">
        <f>$G25*#REF!</f>
        <v>#REF!</v>
      </c>
      <c r="M25" s="9"/>
      <c r="N25" s="17"/>
      <c r="O25" s="9">
        <f>SUM(O20:O24)</f>
        <v>5.2299999999999995</v>
      </c>
      <c r="P25" s="21"/>
      <c r="Q25" s="20">
        <f>SUM(Q20:Q23)</f>
        <v>279754.42499550001</v>
      </c>
      <c r="U25" s="35"/>
    </row>
    <row r="26" spans="2:21" s="7" customFormat="1" ht="15" x14ac:dyDescent="0.3">
      <c r="B26" s="7">
        <v>3</v>
      </c>
      <c r="C26" s="7" t="s">
        <v>146</v>
      </c>
      <c r="D26" s="13" t="s">
        <v>132</v>
      </c>
      <c r="E26" s="7">
        <v>0.2</v>
      </c>
      <c r="F26" s="12">
        <f>F25*25%</f>
        <v>399868.48125000001</v>
      </c>
      <c r="G26" s="12">
        <f>E26*F26</f>
        <v>79973.696250000008</v>
      </c>
      <c r="H26" s="16" t="e">
        <f>$G26*#REF!</f>
        <v>#REF!</v>
      </c>
      <c r="I26" s="16" t="e">
        <f>$G26*#REF!</f>
        <v>#REF!</v>
      </c>
      <c r="L26" s="11" t="s">
        <v>38</v>
      </c>
      <c r="M26" s="11" t="s">
        <v>68</v>
      </c>
      <c r="U26" s="35"/>
    </row>
    <row r="27" spans="2:21" s="7" customFormat="1" ht="15" x14ac:dyDescent="0.3">
      <c r="C27" s="8"/>
      <c r="D27" s="9"/>
      <c r="E27" s="9"/>
      <c r="F27" s="21"/>
      <c r="G27" s="20">
        <f>SUM(G24:G26)</f>
        <v>406483.48125000007</v>
      </c>
      <c r="H27" s="29" t="e">
        <f>SUM(H24:H26)</f>
        <v>#REF!</v>
      </c>
      <c r="I27" s="29" t="e">
        <f>SUM(I24:I26)</f>
        <v>#REF!</v>
      </c>
      <c r="J27" s="9"/>
      <c r="L27" s="7">
        <v>1</v>
      </c>
      <c r="M27" s="7" t="s">
        <v>66</v>
      </c>
      <c r="N27" s="13" t="s">
        <v>155</v>
      </c>
      <c r="O27" s="7">
        <f>E29</f>
        <v>7</v>
      </c>
      <c r="P27" s="7">
        <v>1500</v>
      </c>
      <c r="Q27" s="12">
        <f>O27*P27</f>
        <v>10500</v>
      </c>
      <c r="U27" s="35"/>
    </row>
    <row r="28" spans="2:21" s="7" customFormat="1" ht="15" x14ac:dyDescent="0.3">
      <c r="B28" s="11" t="s">
        <v>18</v>
      </c>
      <c r="C28" s="11" t="s">
        <v>142</v>
      </c>
      <c r="F28" s="12"/>
      <c r="G28" s="12"/>
      <c r="L28" s="7">
        <v>2</v>
      </c>
      <c r="M28" s="7" t="s">
        <v>159</v>
      </c>
      <c r="N28" s="13" t="s">
        <v>103</v>
      </c>
      <c r="O28" s="7">
        <f>O18+O25</f>
        <v>1110.9099999999999</v>
      </c>
      <c r="P28" s="12">
        <v>112</v>
      </c>
      <c r="Q28" s="12">
        <f>O28*P28</f>
        <v>124421.91999999998</v>
      </c>
      <c r="U28" s="35"/>
    </row>
    <row r="29" spans="2:21" s="7" customFormat="1" ht="15" x14ac:dyDescent="0.3">
      <c r="B29" s="7">
        <v>1</v>
      </c>
      <c r="C29" s="7" t="s">
        <v>66</v>
      </c>
      <c r="D29" s="13" t="s">
        <v>155</v>
      </c>
      <c r="E29" s="37">
        <v>7</v>
      </c>
      <c r="F29" s="12">
        <v>60000</v>
      </c>
      <c r="G29" s="12">
        <f>E29*F29</f>
        <v>420000</v>
      </c>
      <c r="H29" s="16" t="e">
        <f>$G29*#REF!</f>
        <v>#REF!</v>
      </c>
      <c r="I29" s="16" t="e">
        <f>$G29*#REF!</f>
        <v>#REF!</v>
      </c>
      <c r="L29" s="11"/>
      <c r="M29" s="8"/>
      <c r="N29" s="17"/>
      <c r="O29" s="9"/>
      <c r="P29" s="21"/>
      <c r="Q29" s="20">
        <f>SUM(Q27:Q28)</f>
        <v>134921.91999999998</v>
      </c>
      <c r="U29" s="35"/>
    </row>
    <row r="30" spans="2:21" s="7" customFormat="1" ht="15" x14ac:dyDescent="0.3">
      <c r="C30" s="9"/>
      <c r="D30" s="9"/>
      <c r="E30" s="9"/>
      <c r="F30" s="21"/>
      <c r="G30" s="20">
        <f>SUM(G29)</f>
        <v>420000</v>
      </c>
      <c r="H30" s="29" t="e">
        <f>SUM(H29)</f>
        <v>#REF!</v>
      </c>
      <c r="I30" s="29" t="e">
        <f>SUM(I29)</f>
        <v>#REF!</v>
      </c>
      <c r="J30" s="9"/>
      <c r="L30" s="11" t="s">
        <v>107</v>
      </c>
      <c r="M30" s="11" t="s">
        <v>39</v>
      </c>
      <c r="N30" s="13"/>
      <c r="P30" s="12"/>
      <c r="Q30" s="12"/>
      <c r="U30" s="35"/>
    </row>
    <row r="31" spans="2:21" s="7" customFormat="1" ht="13.5" x14ac:dyDescent="0.25">
      <c r="H31" s="16"/>
      <c r="I31" s="16"/>
      <c r="L31" s="7">
        <v>1</v>
      </c>
      <c r="M31" s="7" t="s">
        <v>2</v>
      </c>
      <c r="N31" s="13" t="s">
        <v>135</v>
      </c>
      <c r="O31" s="7">
        <v>5</v>
      </c>
      <c r="P31" s="12">
        <f>'TBM 1'!P31+('TBM 1'!P31*10%)</f>
        <v>223778.24700000003</v>
      </c>
      <c r="Q31" s="12">
        <f>O31*P31</f>
        <v>1118891.2350000001</v>
      </c>
      <c r="U31" s="35"/>
    </row>
    <row r="32" spans="2:21" s="7" customFormat="1" ht="13.5" x14ac:dyDescent="0.25">
      <c r="H32" s="16" t="e">
        <f>$Q20*#REF!</f>
        <v>#REF!</v>
      </c>
      <c r="I32" s="16" t="e">
        <f>$Q20*#REF!</f>
        <v>#REF!</v>
      </c>
      <c r="L32" s="7">
        <v>2</v>
      </c>
      <c r="M32" s="7" t="s">
        <v>11</v>
      </c>
      <c r="N32" s="13" t="s">
        <v>135</v>
      </c>
      <c r="O32" s="7">
        <f>G19-O31</f>
        <v>55.37</v>
      </c>
      <c r="P32" s="12">
        <f>'TBM 1'!P32+('TBM 1'!P32*10%)</f>
        <v>179113.87999999998</v>
      </c>
      <c r="Q32" s="12">
        <f>O32*P32</f>
        <v>9917535.5355999973</v>
      </c>
      <c r="U32" s="35"/>
    </row>
    <row r="33" spans="3:21" s="7" customFormat="1" ht="15" x14ac:dyDescent="0.3">
      <c r="H33" s="16" t="e">
        <f>$Q21*#REF!</f>
        <v>#REF!</v>
      </c>
      <c r="I33" s="16" t="e">
        <f>$Q21*#REF!</f>
        <v>#REF!</v>
      </c>
      <c r="M33" s="8"/>
      <c r="N33" s="9"/>
      <c r="O33" s="9">
        <f>SUM(O31:O32)</f>
        <v>60.37</v>
      </c>
      <c r="P33" s="21"/>
      <c r="Q33" s="20">
        <f>SUM(Q31:Q32)</f>
        <v>11036426.770599997</v>
      </c>
      <c r="U33" s="35"/>
    </row>
    <row r="34" spans="3:21" s="7" customFormat="1" ht="13.5" x14ac:dyDescent="0.25">
      <c r="H34" s="16" t="e">
        <f>$Q22*#REF!</f>
        <v>#REF!</v>
      </c>
      <c r="I34" s="16" t="e">
        <f>$Q22*#REF!</f>
        <v>#REF!</v>
      </c>
      <c r="P34" s="12"/>
      <c r="Q34" s="12"/>
      <c r="U34" s="35"/>
    </row>
    <row r="35" spans="3:21" s="7" customFormat="1" ht="15.75" thickBot="1" x14ac:dyDescent="0.35">
      <c r="C35" s="7">
        <f>'Tingkat Jalan Mineral'!G20</f>
        <v>998942.8</v>
      </c>
      <c r="H35" s="16" t="e">
        <f>$Q23*#REF!</f>
        <v>#REF!</v>
      </c>
      <c r="I35" s="16" t="e">
        <f>$Q23*#REF!</f>
        <v>#REF!</v>
      </c>
      <c r="L35" s="44"/>
      <c r="M35" s="45" t="s">
        <v>195</v>
      </c>
      <c r="N35" s="44"/>
      <c r="O35" s="44"/>
      <c r="P35" s="46"/>
      <c r="Q35" s="47">
        <f>G27+G30+Q18+Q25+Q29+Q33</f>
        <v>18644091.250935495</v>
      </c>
      <c r="U35" s="35"/>
    </row>
    <row r="36" spans="3:21" s="7" customFormat="1" ht="13.5" x14ac:dyDescent="0.25">
      <c r="C36" s="7">
        <f>'Tingkat Jalan Mineral'!Q20</f>
        <v>1522646.8</v>
      </c>
      <c r="H36" s="16" t="e">
        <f>$Q24*#REF!</f>
        <v>#REF!</v>
      </c>
      <c r="I36" s="16" t="e">
        <f>$Q24*#REF!</f>
        <v>#REF!</v>
      </c>
      <c r="U36" s="35"/>
    </row>
    <row r="37" spans="3:21" s="7" customFormat="1" ht="15" x14ac:dyDescent="0.3">
      <c r="C37" s="7">
        <f>'Drainase Tnh Mineral '!Q21</f>
        <v>581740</v>
      </c>
      <c r="H37" s="29" t="e">
        <f>SUM(H32:H35)</f>
        <v>#REF!</v>
      </c>
      <c r="I37" s="29" t="e">
        <f>SUM(I32:I35)</f>
        <v>#REF!</v>
      </c>
      <c r="U37" s="35"/>
    </row>
    <row r="38" spans="3:21" s="7" customFormat="1" ht="13.5" x14ac:dyDescent="0.25">
      <c r="C38" s="7">
        <f>SUM(C35:C37)</f>
        <v>3103329.6</v>
      </c>
      <c r="U38" s="35"/>
    </row>
    <row r="39" spans="3:21" s="7" customFormat="1" ht="13.5" x14ac:dyDescent="0.25">
      <c r="C39" s="7">
        <f>C33+C38</f>
        <v>3103329.6</v>
      </c>
      <c r="H39" s="16" t="e">
        <f>$Q27*#REF!</f>
        <v>#REF!</v>
      </c>
      <c r="I39" s="16" t="e">
        <f>$Q27*#REF!</f>
        <v>#REF!</v>
      </c>
      <c r="U39" s="35"/>
    </row>
    <row r="40" spans="3:21" s="7" customFormat="1" ht="13.5" x14ac:dyDescent="0.25">
      <c r="H40" s="16" t="e">
        <f>$Q28*#REF!</f>
        <v>#REF!</v>
      </c>
      <c r="I40" s="16" t="e">
        <f>$Q28*#REF!</f>
        <v>#REF!</v>
      </c>
      <c r="U40" s="35"/>
    </row>
    <row r="41" spans="3:21" s="7" customFormat="1" ht="15" x14ac:dyDescent="0.3">
      <c r="H41" s="20" t="e">
        <f>SUM(H39:H40)</f>
        <v>#REF!</v>
      </c>
      <c r="I41" s="20" t="e">
        <f>SUM(I39:I40)</f>
        <v>#REF!</v>
      </c>
      <c r="J41" s="9"/>
      <c r="U41" s="35"/>
    </row>
    <row r="42" spans="3:21" s="7" customFormat="1" ht="13.5" x14ac:dyDescent="0.25">
      <c r="U42" s="35"/>
    </row>
    <row r="43" spans="3:21" s="7" customFormat="1" ht="13.5" x14ac:dyDescent="0.25">
      <c r="H43" s="16" t="e">
        <f>$Q31*#REF!</f>
        <v>#REF!</v>
      </c>
      <c r="I43" s="16" t="e">
        <f>$Q31*#REF!</f>
        <v>#REF!</v>
      </c>
      <c r="U43" s="35"/>
    </row>
    <row r="44" spans="3:21" s="7" customFormat="1" ht="13.5" x14ac:dyDescent="0.25">
      <c r="H44" s="16" t="e">
        <f>$Q32*#REF!</f>
        <v>#REF!</v>
      </c>
      <c r="I44" s="16" t="e">
        <f>$Q32*#REF!</f>
        <v>#REF!</v>
      </c>
      <c r="U44" s="35"/>
    </row>
    <row r="45" spans="3:21" s="7" customFormat="1" ht="15" x14ac:dyDescent="0.3">
      <c r="H45" s="20" t="e">
        <f>SUM(H43:H44)</f>
        <v>#REF!</v>
      </c>
      <c r="I45" s="20" t="e">
        <f>SUM(I43:I44)</f>
        <v>#REF!</v>
      </c>
      <c r="J45" s="9"/>
      <c r="U45" s="35"/>
    </row>
    <row r="46" spans="3:21" s="7" customFormat="1" ht="13.5" x14ac:dyDescent="0.25">
      <c r="U46" s="35"/>
    </row>
    <row r="47" spans="3:21" s="7" customFormat="1" ht="15.75" thickBot="1" x14ac:dyDescent="0.35">
      <c r="H47" s="47" t="e">
        <f>H27+H30+#REF!+H37+H41+H45</f>
        <v>#REF!</v>
      </c>
      <c r="I47" s="47" t="e">
        <f>I27+I30+#REF!+I37+I41+I45</f>
        <v>#REF!</v>
      </c>
      <c r="J47" s="44"/>
      <c r="U47" s="35"/>
    </row>
    <row r="48" spans="3:21" s="7" customFormat="1" ht="13.5" x14ac:dyDescent="0.25">
      <c r="H48" s="48" t="e">
        <f>H47/Q35</f>
        <v>#REF!</v>
      </c>
      <c r="I48" s="48" t="e">
        <f>I47/Q35</f>
        <v>#REF!</v>
      </c>
      <c r="U48" s="35"/>
    </row>
    <row r="49" spans="3:21" s="7" customFormat="1" ht="13.5" x14ac:dyDescent="0.25">
      <c r="C49" s="7" t="s">
        <v>192</v>
      </c>
      <c r="G49" s="16">
        <f>(Q35*2500)/1000</f>
        <v>46610228.127338737</v>
      </c>
      <c r="U49" s="35"/>
    </row>
    <row r="50" spans="3:21" s="7" customFormat="1" ht="13.5" x14ac:dyDescent="0.25">
      <c r="U50" s="35"/>
    </row>
    <row r="51" spans="3:21" s="7" customFormat="1" ht="13.5" x14ac:dyDescent="0.25">
      <c r="U51" s="35"/>
    </row>
    <row r="52" spans="3:21" s="7" customFormat="1" ht="13.5" x14ac:dyDescent="0.25">
      <c r="U52" s="35"/>
    </row>
    <row r="53" spans="3:21" s="7" customFormat="1" ht="13.5" x14ac:dyDescent="0.25">
      <c r="U53" s="35"/>
    </row>
    <row r="54" spans="3:21" s="7" customFormat="1" ht="13.5" x14ac:dyDescent="0.25">
      <c r="U54" s="35"/>
    </row>
    <row r="55" spans="3:21" s="7" customFormat="1" ht="13.5" x14ac:dyDescent="0.25">
      <c r="U55" s="35"/>
    </row>
    <row r="56" spans="3:21" s="7" customFormat="1" ht="13.5" x14ac:dyDescent="0.25">
      <c r="U56" s="35"/>
    </row>
    <row r="57" spans="3:21" s="7" customFormat="1" ht="13.5" x14ac:dyDescent="0.25">
      <c r="U57" s="35"/>
    </row>
    <row r="58" spans="3:21" s="7" customFormat="1" ht="13.5" x14ac:dyDescent="0.25">
      <c r="U58" s="35"/>
    </row>
    <row r="59" spans="3:21" s="7" customFormat="1" ht="13.5" x14ac:dyDescent="0.25">
      <c r="U59" s="35"/>
    </row>
    <row r="60" spans="3:21" s="7" customFormat="1" ht="13.5" x14ac:dyDescent="0.25">
      <c r="U60" s="35"/>
    </row>
    <row r="61" spans="3:21" s="7" customFormat="1" ht="13.5" x14ac:dyDescent="0.25">
      <c r="U61" s="35"/>
    </row>
    <row r="62" spans="3:21" s="7" customFormat="1" ht="13.5" x14ac:dyDescent="0.25">
      <c r="U62" s="35"/>
    </row>
    <row r="63" spans="3:21" s="7" customFormat="1" ht="13.5" x14ac:dyDescent="0.25">
      <c r="U63" s="35"/>
    </row>
    <row r="64" spans="3:21" s="7" customFormat="1" ht="13.5" x14ac:dyDescent="0.25">
      <c r="U64" s="35"/>
    </row>
    <row r="65" spans="21:21" s="7" customFormat="1" ht="13.5" x14ac:dyDescent="0.25">
      <c r="U65" s="35"/>
    </row>
    <row r="66" spans="21:21" s="7" customFormat="1" ht="13.5" x14ac:dyDescent="0.25">
      <c r="U66" s="35"/>
    </row>
    <row r="67" spans="21:21" s="7" customFormat="1" ht="13.5" x14ac:dyDescent="0.25">
      <c r="U67" s="35"/>
    </row>
    <row r="68" spans="21:21" s="7" customFormat="1" ht="13.5" x14ac:dyDescent="0.25">
      <c r="U68" s="35"/>
    </row>
    <row r="69" spans="21:21" s="7" customFormat="1" ht="13.5" x14ac:dyDescent="0.25">
      <c r="U69" s="35"/>
    </row>
    <row r="70" spans="21:21" s="7" customFormat="1" ht="13.5" x14ac:dyDescent="0.25">
      <c r="U70" s="35"/>
    </row>
    <row r="71" spans="21:21" s="7" customFormat="1" ht="13.5" x14ac:dyDescent="0.25">
      <c r="U71" s="35"/>
    </row>
    <row r="72" spans="21:21" s="7" customFormat="1" ht="13.5" x14ac:dyDescent="0.25">
      <c r="U72" s="35"/>
    </row>
    <row r="73" spans="21:21" s="7" customFormat="1" ht="13.5" x14ac:dyDescent="0.25">
      <c r="U73" s="35"/>
    </row>
    <row r="74" spans="21:21" s="7" customFormat="1" ht="13.5" x14ac:dyDescent="0.25">
      <c r="U74" s="35"/>
    </row>
    <row r="75" spans="21:21" s="7" customFormat="1" ht="13.5" x14ac:dyDescent="0.25">
      <c r="U75" s="35"/>
    </row>
    <row r="76" spans="21:21" s="7" customFormat="1" ht="13.5" x14ac:dyDescent="0.25">
      <c r="U76" s="35"/>
    </row>
    <row r="77" spans="21:21" s="7" customFormat="1" ht="13.5" x14ac:dyDescent="0.25">
      <c r="U77" s="35"/>
    </row>
    <row r="78" spans="21:21" s="7" customFormat="1" ht="13.5" x14ac:dyDescent="0.25">
      <c r="U78" s="35"/>
    </row>
    <row r="79" spans="21:21" s="7" customFormat="1" ht="13.5" x14ac:dyDescent="0.25">
      <c r="U79" s="35"/>
    </row>
    <row r="80" spans="21:21" s="7" customFormat="1" ht="13.5" x14ac:dyDescent="0.25">
      <c r="U80" s="35"/>
    </row>
    <row r="81" spans="21:21" s="7" customFormat="1" ht="13.5" x14ac:dyDescent="0.25">
      <c r="U81" s="35"/>
    </row>
    <row r="82" spans="21:21" s="7" customFormat="1" ht="13.5" x14ac:dyDescent="0.25">
      <c r="U82" s="35"/>
    </row>
    <row r="83" spans="21:21" s="7" customFormat="1" ht="13.5" x14ac:dyDescent="0.25">
      <c r="U83" s="35"/>
    </row>
    <row r="84" spans="21:21" s="7" customFormat="1" ht="13.5" x14ac:dyDescent="0.25">
      <c r="U84" s="35"/>
    </row>
    <row r="85" spans="21:21" s="7" customFormat="1" ht="13.5" x14ac:dyDescent="0.25">
      <c r="U85" s="35"/>
    </row>
    <row r="86" spans="21:21" s="7" customFormat="1" ht="13.5" x14ac:dyDescent="0.25">
      <c r="U86" s="35"/>
    </row>
    <row r="87" spans="21:21" s="7" customFormat="1" ht="13.5" x14ac:dyDescent="0.25">
      <c r="U87" s="35"/>
    </row>
    <row r="88" spans="21:21" s="7" customFormat="1" ht="13.5" x14ac:dyDescent="0.25">
      <c r="U88" s="35"/>
    </row>
    <row r="89" spans="21:21" s="7" customFormat="1" ht="13.5" x14ac:dyDescent="0.25">
      <c r="U89" s="35"/>
    </row>
    <row r="90" spans="21:21" s="7" customFormat="1" ht="13.5" x14ac:dyDescent="0.25">
      <c r="U90" s="35"/>
    </row>
    <row r="91" spans="21:21" s="7" customFormat="1" ht="13.5" x14ac:dyDescent="0.25">
      <c r="U91" s="35"/>
    </row>
    <row r="92" spans="21:21" s="7" customFormat="1" ht="13.5" x14ac:dyDescent="0.25">
      <c r="U92" s="35"/>
    </row>
    <row r="93" spans="21:21" s="7" customFormat="1" ht="13.5" x14ac:dyDescent="0.25">
      <c r="U93" s="35"/>
    </row>
    <row r="94" spans="21:21" s="7" customFormat="1" ht="13.5" x14ac:dyDescent="0.25">
      <c r="U94" s="35"/>
    </row>
    <row r="95" spans="21:21" s="7" customFormat="1" ht="13.5" x14ac:dyDescent="0.25">
      <c r="U95" s="35"/>
    </row>
    <row r="96" spans="21:21" s="7" customFormat="1" ht="13.5" x14ac:dyDescent="0.25">
      <c r="U96" s="35"/>
    </row>
    <row r="97" spans="21:21" s="7" customFormat="1" ht="13.5" x14ac:dyDescent="0.25">
      <c r="U97" s="35"/>
    </row>
    <row r="98" spans="21:21" s="7" customFormat="1" ht="13.5" x14ac:dyDescent="0.25">
      <c r="U98" s="35"/>
    </row>
    <row r="99" spans="21:21" s="7" customFormat="1" ht="13.5" x14ac:dyDescent="0.25">
      <c r="U99" s="35"/>
    </row>
    <row r="100" spans="21:21" s="7" customFormat="1" ht="13.5" x14ac:dyDescent="0.25">
      <c r="U100" s="35"/>
    </row>
    <row r="101" spans="21:21" s="7" customFormat="1" ht="13.5" x14ac:dyDescent="0.25">
      <c r="U101" s="35"/>
    </row>
    <row r="102" spans="21:21" s="7" customFormat="1" ht="13.5" x14ac:dyDescent="0.25">
      <c r="U102" s="35"/>
    </row>
    <row r="103" spans="21:21" s="7" customFormat="1" ht="13.5" x14ac:dyDescent="0.25">
      <c r="U103" s="35"/>
    </row>
    <row r="104" spans="21:21" s="7" customFormat="1" ht="13.5" x14ac:dyDescent="0.25">
      <c r="U104" s="35"/>
    </row>
    <row r="105" spans="21:21" s="7" customFormat="1" ht="13.5" x14ac:dyDescent="0.25">
      <c r="U105" s="35"/>
    </row>
    <row r="106" spans="21:21" s="7" customFormat="1" ht="13.5" x14ac:dyDescent="0.25">
      <c r="U106" s="35"/>
    </row>
    <row r="107" spans="21:21" s="7" customFormat="1" ht="13.5" x14ac:dyDescent="0.25">
      <c r="U107" s="35"/>
    </row>
    <row r="108" spans="21:21" s="7" customFormat="1" ht="13.5" x14ac:dyDescent="0.25">
      <c r="U108" s="35"/>
    </row>
    <row r="109" spans="21:21" s="7" customFormat="1" ht="13.5" x14ac:dyDescent="0.25">
      <c r="U109" s="35"/>
    </row>
    <row r="110" spans="21:21" s="7" customFormat="1" ht="13.5" x14ac:dyDescent="0.25">
      <c r="U110" s="35"/>
    </row>
    <row r="111" spans="21:21" s="7" customFormat="1" ht="13.5" x14ac:dyDescent="0.25">
      <c r="U111" s="35"/>
    </row>
    <row r="112" spans="21:21" s="7" customFormat="1" ht="13.5" x14ac:dyDescent="0.25">
      <c r="U112" s="35"/>
    </row>
    <row r="113" spans="12:21" s="7" customFormat="1" ht="13.5" x14ac:dyDescent="0.25">
      <c r="U113" s="35"/>
    </row>
    <row r="114" spans="12:21" s="7" customFormat="1" ht="13.5" x14ac:dyDescent="0.25">
      <c r="U114" s="35"/>
    </row>
    <row r="115" spans="12:21" s="7" customFormat="1" ht="13.5" x14ac:dyDescent="0.25">
      <c r="U115" s="35"/>
    </row>
    <row r="116" spans="12:21" s="7" customFormat="1" ht="13.5" x14ac:dyDescent="0.25">
      <c r="U116" s="35"/>
    </row>
    <row r="117" spans="12:21" s="7" customFormat="1" ht="13.5" x14ac:dyDescent="0.25">
      <c r="U117" s="35"/>
    </row>
    <row r="118" spans="12:21" s="7" customFormat="1" ht="13.5" x14ac:dyDescent="0.25">
      <c r="U118" s="35"/>
    </row>
    <row r="119" spans="12:21" s="7" customFormat="1" ht="13.5" x14ac:dyDescent="0.25">
      <c r="U119" s="35"/>
    </row>
    <row r="120" spans="12:21" s="7" customFormat="1" ht="13.5" x14ac:dyDescent="0.25">
      <c r="U120" s="35"/>
    </row>
    <row r="121" spans="12:21" s="7" customFormat="1" ht="13.5" x14ac:dyDescent="0.25">
      <c r="U121" s="35"/>
    </row>
    <row r="122" spans="12:21" s="7" customFormat="1" ht="13.5" x14ac:dyDescent="0.25">
      <c r="U122" s="35"/>
    </row>
    <row r="123" spans="12:21" s="7" customFormat="1" ht="13.5" x14ac:dyDescent="0.25">
      <c r="U123" s="35"/>
    </row>
    <row r="124" spans="12:21" s="7" customFormat="1" ht="13.5" x14ac:dyDescent="0.25">
      <c r="U124" s="35"/>
    </row>
    <row r="125" spans="12:21" s="7" customFormat="1" ht="13.5" x14ac:dyDescent="0.25">
      <c r="U125" s="35"/>
    </row>
    <row r="126" spans="12:21" ht="13.5" x14ac:dyDescent="0.25">
      <c r="L126" s="7"/>
      <c r="M126" s="7"/>
      <c r="N126" s="7"/>
      <c r="O126" s="7"/>
      <c r="P126" s="7"/>
      <c r="Q126" s="7"/>
    </row>
    <row r="127" spans="12:21" ht="13.5" x14ac:dyDescent="0.25">
      <c r="L127" s="7"/>
      <c r="M127" s="7"/>
      <c r="N127" s="7"/>
      <c r="O127" s="7"/>
      <c r="P127" s="7"/>
      <c r="Q127" s="7"/>
    </row>
    <row r="128" spans="12:21" ht="13.5" x14ac:dyDescent="0.25">
      <c r="L128" s="7"/>
      <c r="M128" s="7"/>
      <c r="N128" s="7"/>
      <c r="O128" s="7"/>
      <c r="P128" s="7"/>
      <c r="Q128" s="7"/>
    </row>
    <row r="129" spans="12:17" ht="13.5" x14ac:dyDescent="0.25">
      <c r="L129" s="7"/>
      <c r="M129" s="7"/>
      <c r="N129" s="7"/>
      <c r="O129" s="7"/>
      <c r="P129" s="7"/>
      <c r="Q129" s="7"/>
    </row>
    <row r="130" spans="12:17" ht="13.5" x14ac:dyDescent="0.25">
      <c r="L130" s="7"/>
      <c r="M130" s="7"/>
      <c r="N130" s="7"/>
      <c r="O130" s="7"/>
      <c r="P130" s="7"/>
      <c r="Q130" s="7"/>
    </row>
  </sheetData>
  <mergeCells count="5">
    <mergeCell ref="N6:O6"/>
    <mergeCell ref="D21:E21"/>
    <mergeCell ref="B2:J2"/>
    <mergeCell ref="B3:J3"/>
    <mergeCell ref="E5:F5"/>
  </mergeCells>
  <phoneticPr fontId="0" type="noConversion"/>
  <pageMargins left="1" right="0.24" top="0.72" bottom="1" header="0.5" footer="0.5"/>
  <pageSetup paperSize="9" scale="95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V72"/>
  <sheetViews>
    <sheetView view="pageBreakPreview" topLeftCell="A7" zoomScale="60" zoomScaleNormal="129" workbookViewId="0">
      <selection activeCell="C35" sqref="C35"/>
    </sheetView>
  </sheetViews>
  <sheetFormatPr defaultColWidth="8.6640625" defaultRowHeight="11.25" x14ac:dyDescent="0.2"/>
  <cols>
    <col min="1" max="1" width="1" customWidth="1"/>
    <col min="2" max="2" width="3.6640625" customWidth="1"/>
    <col min="3" max="3" width="33.6640625" customWidth="1"/>
    <col min="4" max="4" width="7.6640625" customWidth="1"/>
    <col min="5" max="5" width="7" customWidth="1"/>
    <col min="6" max="6" width="13.1640625" customWidth="1"/>
    <col min="7" max="7" width="13" customWidth="1"/>
    <col min="8" max="9" width="10.5" hidden="1" customWidth="1"/>
    <col min="10" max="10" width="1" customWidth="1"/>
    <col min="11" max="11" width="6" customWidth="1"/>
    <col min="12" max="12" width="4" customWidth="1"/>
    <col min="13" max="13" width="29.6640625" customWidth="1"/>
    <col min="15" max="15" width="9.6640625" customWidth="1"/>
    <col min="16" max="16" width="12.6640625" customWidth="1"/>
    <col min="17" max="17" width="16.1640625" customWidth="1"/>
    <col min="22" max="22" width="17.1640625" style="244" customWidth="1"/>
  </cols>
  <sheetData>
    <row r="2" spans="2:22" ht="15.75" x14ac:dyDescent="0.25">
      <c r="B2" s="585" t="s">
        <v>0</v>
      </c>
      <c r="C2" s="585"/>
      <c r="D2" s="585"/>
      <c r="E2" s="585"/>
      <c r="F2" s="585"/>
      <c r="G2" s="585"/>
      <c r="H2" s="585"/>
      <c r="I2" s="585"/>
      <c r="J2" s="585"/>
    </row>
    <row r="3" spans="2:22" ht="15.75" x14ac:dyDescent="0.25">
      <c r="B3" s="585" t="s">
        <v>194</v>
      </c>
      <c r="C3" s="585"/>
      <c r="D3" s="585"/>
      <c r="E3" s="585"/>
      <c r="F3" s="585"/>
      <c r="G3" s="585"/>
      <c r="H3" s="585"/>
      <c r="I3" s="585"/>
      <c r="J3" s="585"/>
    </row>
    <row r="4" spans="2:22" s="7" customFormat="1" ht="13.5" x14ac:dyDescent="0.25">
      <c r="V4" s="35"/>
    </row>
    <row r="5" spans="2:22" s="7" customFormat="1" ht="15" x14ac:dyDescent="0.3">
      <c r="B5" s="9"/>
      <c r="C5" s="8" t="s">
        <v>31</v>
      </c>
      <c r="D5" s="8"/>
      <c r="E5" s="611" t="s">
        <v>32</v>
      </c>
      <c r="F5" s="611"/>
      <c r="G5" s="10" t="s">
        <v>33</v>
      </c>
      <c r="V5" s="35"/>
    </row>
    <row r="6" spans="2:22" s="7" customFormat="1" ht="15" x14ac:dyDescent="0.3">
      <c r="B6" s="558">
        <v>1</v>
      </c>
      <c r="C6" s="7" t="s">
        <v>2</v>
      </c>
      <c r="D6" s="13" t="s">
        <v>135</v>
      </c>
      <c r="E6" s="7">
        <v>12</v>
      </c>
      <c r="F6" s="7">
        <v>1.5</v>
      </c>
      <c r="G6" s="7">
        <f t="shared" ref="G6:G19" si="0">E6*F6</f>
        <v>18</v>
      </c>
      <c r="H6" s="43" t="e">
        <f>G6*#REF!</f>
        <v>#REF!</v>
      </c>
      <c r="I6" s="43" t="e">
        <f>H6*#REF!</f>
        <v>#REF!</v>
      </c>
      <c r="L6" s="11" t="s">
        <v>24</v>
      </c>
      <c r="M6" s="8" t="s">
        <v>25</v>
      </c>
      <c r="N6" s="611" t="s">
        <v>35</v>
      </c>
      <c r="O6" s="611"/>
      <c r="P6" s="10" t="s">
        <v>37</v>
      </c>
      <c r="Q6" s="10" t="s">
        <v>216</v>
      </c>
      <c r="V6" s="35">
        <v>62557</v>
      </c>
    </row>
    <row r="7" spans="2:22" s="7" customFormat="1" ht="13.5" x14ac:dyDescent="0.25">
      <c r="B7" s="7">
        <v>2</v>
      </c>
      <c r="C7" s="7" t="s">
        <v>606</v>
      </c>
      <c r="D7" s="13" t="s">
        <v>135</v>
      </c>
      <c r="E7" s="7">
        <v>1</v>
      </c>
      <c r="F7" s="37">
        <v>2.5</v>
      </c>
      <c r="G7" s="7">
        <f t="shared" si="0"/>
        <v>2.5</v>
      </c>
      <c r="H7" s="43" t="e">
        <f>G7*#REF!</f>
        <v>#REF!</v>
      </c>
      <c r="I7" s="43" t="e">
        <f>H7*#REF!</f>
        <v>#REF!</v>
      </c>
      <c r="L7" s="7">
        <v>1</v>
      </c>
      <c r="M7" s="7" t="s">
        <v>20</v>
      </c>
      <c r="N7" s="13" t="s">
        <v>103</v>
      </c>
      <c r="O7" s="35">
        <v>170</v>
      </c>
      <c r="P7" s="12">
        <f>'TBM 2'!P7+('TBM 2'!P7*5%)</f>
        <v>7460.3258887500006</v>
      </c>
      <c r="Q7" s="12">
        <f t="shared" ref="Q7:Q17" si="1">O7*P7</f>
        <v>1268255.4010875002</v>
      </c>
      <c r="V7" s="35">
        <v>1736</v>
      </c>
    </row>
    <row r="8" spans="2:22" s="7" customFormat="1" ht="13.5" x14ac:dyDescent="0.25">
      <c r="B8" s="7">
        <v>3</v>
      </c>
      <c r="C8" s="7" t="s">
        <v>69</v>
      </c>
      <c r="D8" s="13" t="s">
        <v>135</v>
      </c>
      <c r="E8" s="7">
        <v>3</v>
      </c>
      <c r="F8" s="37">
        <v>0.75</v>
      </c>
      <c r="G8" s="7">
        <f t="shared" si="0"/>
        <v>2.25</v>
      </c>
      <c r="H8" s="43" t="e">
        <f>G8*#REF!</f>
        <v>#REF!</v>
      </c>
      <c r="I8" s="43" t="e">
        <f>H8*#REF!</f>
        <v>#REF!</v>
      </c>
      <c r="L8" s="7">
        <v>2</v>
      </c>
      <c r="M8" s="7" t="s">
        <v>52</v>
      </c>
      <c r="N8" s="13" t="s">
        <v>103</v>
      </c>
      <c r="O8" s="35"/>
      <c r="P8" s="12">
        <f>'TBM 2'!P8+('TBM 2'!P8*5%)</f>
        <v>2325.2403037500003</v>
      </c>
      <c r="Q8" s="12">
        <f t="shared" si="1"/>
        <v>0</v>
      </c>
      <c r="V8" s="35">
        <v>937024</v>
      </c>
    </row>
    <row r="9" spans="2:22" s="7" customFormat="1" ht="13.5" x14ac:dyDescent="0.25">
      <c r="B9" s="7">
        <v>4</v>
      </c>
      <c r="C9" s="7" t="s">
        <v>595</v>
      </c>
      <c r="D9" s="13" t="s">
        <v>135</v>
      </c>
      <c r="E9" s="7">
        <v>1</v>
      </c>
      <c r="F9" s="7">
        <v>2.5</v>
      </c>
      <c r="G9" s="7">
        <f t="shared" si="0"/>
        <v>2.5</v>
      </c>
      <c r="H9" s="43" t="e">
        <f>G9*#REF!</f>
        <v>#REF!</v>
      </c>
      <c r="I9" s="43" t="e">
        <f>H9*#REF!</f>
        <v>#REF!</v>
      </c>
      <c r="L9" s="7">
        <v>3</v>
      </c>
      <c r="M9" s="7" t="s">
        <v>157</v>
      </c>
      <c r="N9" s="13" t="s">
        <v>103</v>
      </c>
      <c r="O9" s="35"/>
      <c r="P9" s="12">
        <f>'TBM 2'!P9+('TBM 2'!P9*5%)</f>
        <v>6219.5486850000007</v>
      </c>
      <c r="Q9" s="12">
        <f t="shared" si="1"/>
        <v>0</v>
      </c>
      <c r="V9" s="35">
        <v>69892</v>
      </c>
    </row>
    <row r="10" spans="2:22" s="7" customFormat="1" ht="13.5" x14ac:dyDescent="0.25">
      <c r="B10" s="7">
        <v>5</v>
      </c>
      <c r="C10" s="7" t="s">
        <v>597</v>
      </c>
      <c r="D10" s="13" t="s">
        <v>135</v>
      </c>
      <c r="E10" s="7">
        <v>4</v>
      </c>
      <c r="F10" s="7">
        <v>1</v>
      </c>
      <c r="G10" s="7">
        <f t="shared" si="0"/>
        <v>4</v>
      </c>
      <c r="H10" s="43" t="e">
        <f>G10*#REF!</f>
        <v>#REF!</v>
      </c>
      <c r="I10" s="43" t="e">
        <f>H10*#REF!</f>
        <v>#REF!</v>
      </c>
      <c r="L10" s="7">
        <v>4</v>
      </c>
      <c r="M10" s="7" t="s">
        <v>92</v>
      </c>
      <c r="N10" s="13" t="s">
        <v>103</v>
      </c>
      <c r="O10" s="35"/>
      <c r="P10" s="12">
        <f>'TBM 2'!P10+('TBM 2'!P10*5%)</f>
        <v>4077.3057412500002</v>
      </c>
      <c r="Q10" s="12">
        <f t="shared" si="1"/>
        <v>0</v>
      </c>
      <c r="V10" s="35">
        <v>918842</v>
      </c>
    </row>
    <row r="11" spans="2:22" s="7" customFormat="1" ht="13.5" x14ac:dyDescent="0.25">
      <c r="B11" s="7">
        <v>6</v>
      </c>
      <c r="C11" s="7" t="s">
        <v>70</v>
      </c>
      <c r="D11" s="13" t="s">
        <v>135</v>
      </c>
      <c r="E11" s="7">
        <v>1</v>
      </c>
      <c r="F11" s="7">
        <v>1</v>
      </c>
      <c r="G11" s="7">
        <f t="shared" si="0"/>
        <v>1</v>
      </c>
      <c r="H11" s="43" t="e">
        <f>G11*#REF!</f>
        <v>#REF!</v>
      </c>
      <c r="I11" s="43" t="e">
        <f>H11*#REF!</f>
        <v>#REF!</v>
      </c>
      <c r="L11" s="7">
        <v>5</v>
      </c>
      <c r="M11" s="7" t="s">
        <v>158</v>
      </c>
      <c r="N11" s="13" t="s">
        <v>103</v>
      </c>
      <c r="O11" s="50">
        <v>0</v>
      </c>
      <c r="P11" s="12">
        <f>'TBM 2'!P11+('TBM 2'!P11*5%)</f>
        <v>13219.3134675</v>
      </c>
      <c r="Q11" s="12">
        <f t="shared" si="1"/>
        <v>0</v>
      </c>
      <c r="V11" s="35">
        <v>633841</v>
      </c>
    </row>
    <row r="12" spans="2:22" s="7" customFormat="1" ht="13.5" x14ac:dyDescent="0.25">
      <c r="B12" s="7">
        <v>7</v>
      </c>
      <c r="C12" s="7" t="s">
        <v>9</v>
      </c>
      <c r="D12" s="13" t="s">
        <v>135</v>
      </c>
      <c r="E12" s="7">
        <v>7</v>
      </c>
      <c r="F12" s="7">
        <v>1</v>
      </c>
      <c r="G12" s="7">
        <f t="shared" si="0"/>
        <v>7</v>
      </c>
      <c r="H12" s="43" t="e">
        <f>G12*#REF!</f>
        <v>#REF!</v>
      </c>
      <c r="I12" s="43" t="e">
        <f>H12*#REF!</f>
        <v>#REF!</v>
      </c>
      <c r="L12" s="7">
        <v>6</v>
      </c>
      <c r="M12" s="7" t="s">
        <v>94</v>
      </c>
      <c r="N12" s="13" t="s">
        <v>103</v>
      </c>
      <c r="O12" s="50"/>
      <c r="P12" s="405">
        <f>'TBM 2'!P12+('TBM 2'!P12*5%)</f>
        <v>2440.2735000000002</v>
      </c>
      <c r="Q12" s="405">
        <f t="shared" si="1"/>
        <v>0</v>
      </c>
      <c r="V12" s="35">
        <v>2082262</v>
      </c>
    </row>
    <row r="13" spans="2:22" s="7" customFormat="1" ht="13.5" x14ac:dyDescent="0.25">
      <c r="B13" s="7">
        <v>8</v>
      </c>
      <c r="C13" s="7" t="s">
        <v>71</v>
      </c>
      <c r="D13" s="13" t="s">
        <v>135</v>
      </c>
      <c r="E13" s="7">
        <v>3</v>
      </c>
      <c r="F13" s="7">
        <v>1</v>
      </c>
      <c r="G13" s="7">
        <f t="shared" si="0"/>
        <v>3</v>
      </c>
      <c r="H13" s="43" t="e">
        <f>G13*#REF!</f>
        <v>#REF!</v>
      </c>
      <c r="I13" s="43" t="e">
        <f>H13*#REF!</f>
        <v>#REF!</v>
      </c>
      <c r="L13" s="7">
        <v>7</v>
      </c>
      <c r="M13" s="7" t="s">
        <v>490</v>
      </c>
      <c r="N13" s="13" t="s">
        <v>103</v>
      </c>
      <c r="O13" s="50"/>
      <c r="P13" s="405">
        <f>'TBM 2'!P13+('TBM 2'!P13*5%)</f>
        <v>41284.033087499993</v>
      </c>
      <c r="Q13" s="405">
        <f t="shared" si="1"/>
        <v>0</v>
      </c>
      <c r="V13" s="35">
        <v>313300</v>
      </c>
    </row>
    <row r="14" spans="2:22" s="7" customFormat="1" ht="13.5" x14ac:dyDescent="0.25">
      <c r="B14" s="7">
        <v>9</v>
      </c>
      <c r="C14" s="7" t="s">
        <v>607</v>
      </c>
      <c r="D14" s="13" t="s">
        <v>135</v>
      </c>
      <c r="E14" s="7">
        <v>1</v>
      </c>
      <c r="F14" s="7">
        <v>10</v>
      </c>
      <c r="G14" s="7">
        <f t="shared" si="0"/>
        <v>10</v>
      </c>
      <c r="H14" s="43" t="e">
        <f>G14*#REF!</f>
        <v>#REF!</v>
      </c>
      <c r="I14" s="43" t="e">
        <f>H14*#REF!</f>
        <v>#REF!</v>
      </c>
      <c r="L14" s="7">
        <v>8</v>
      </c>
      <c r="M14" s="7" t="s">
        <v>491</v>
      </c>
      <c r="N14" s="13" t="s">
        <v>103</v>
      </c>
      <c r="O14" s="50">
        <v>6.8</v>
      </c>
      <c r="P14" s="405">
        <f>'TBM 2'!P14+('TBM 2'!P14*5%)</f>
        <v>32337.096750000001</v>
      </c>
      <c r="Q14" s="405">
        <f t="shared" si="1"/>
        <v>219892.2579</v>
      </c>
      <c r="V14" s="35">
        <v>90526</v>
      </c>
    </row>
    <row r="15" spans="2:22" s="7" customFormat="1" ht="13.5" x14ac:dyDescent="0.25">
      <c r="B15" s="7">
        <v>10</v>
      </c>
      <c r="C15" s="7" t="s">
        <v>173</v>
      </c>
      <c r="D15" s="13" t="s">
        <v>135</v>
      </c>
      <c r="E15" s="7">
        <v>1</v>
      </c>
      <c r="F15" s="7">
        <v>0.5</v>
      </c>
      <c r="G15" s="7">
        <f t="shared" si="0"/>
        <v>0.5</v>
      </c>
      <c r="H15" s="43" t="e">
        <f>G15*#REF!</f>
        <v>#REF!</v>
      </c>
      <c r="I15" s="43" t="e">
        <f>H15*#REF!</f>
        <v>#REF!</v>
      </c>
      <c r="L15" s="7">
        <v>9</v>
      </c>
      <c r="M15" s="7" t="s">
        <v>575</v>
      </c>
      <c r="N15" s="13" t="s">
        <v>103</v>
      </c>
      <c r="O15" s="50">
        <v>0</v>
      </c>
      <c r="P15" s="405">
        <f>'TBM 2'!P15+('TBM 2'!P15*5%)</f>
        <v>6437.6683874999999</v>
      </c>
      <c r="Q15" s="405">
        <f t="shared" si="1"/>
        <v>0</v>
      </c>
      <c r="V15" s="35">
        <v>246861</v>
      </c>
    </row>
    <row r="16" spans="2:22" s="7" customFormat="1" ht="13.5" x14ac:dyDescent="0.25">
      <c r="B16" s="7">
        <v>11</v>
      </c>
      <c r="C16" s="7" t="s">
        <v>74</v>
      </c>
      <c r="D16" s="13" t="s">
        <v>135</v>
      </c>
      <c r="E16" s="7">
        <v>0</v>
      </c>
      <c r="F16" s="7">
        <v>0</v>
      </c>
      <c r="G16" s="7">
        <f t="shared" si="0"/>
        <v>0</v>
      </c>
      <c r="H16" s="43" t="e">
        <f>G16*#REF!</f>
        <v>#REF!</v>
      </c>
      <c r="I16" s="43" t="e">
        <f>H16*#REF!</f>
        <v>#REF!</v>
      </c>
      <c r="L16" s="7">
        <v>10</v>
      </c>
      <c r="M16" s="7" t="s">
        <v>576</v>
      </c>
      <c r="N16" s="13" t="s">
        <v>103</v>
      </c>
      <c r="O16" s="50">
        <v>884</v>
      </c>
      <c r="P16" s="405">
        <f>'TBM 2'!P16+('TBM 2'!P16*5%)</f>
        <v>7266.5163112500013</v>
      </c>
      <c r="Q16" s="405">
        <f t="shared" si="1"/>
        <v>6423600.4191450011</v>
      </c>
      <c r="V16" s="35">
        <v>52365</v>
      </c>
    </row>
    <row r="17" spans="2:22" s="7" customFormat="1" ht="13.5" x14ac:dyDescent="0.25">
      <c r="B17" s="7">
        <v>12</v>
      </c>
      <c r="C17" s="7" t="s">
        <v>174</v>
      </c>
      <c r="D17" s="13" t="s">
        <v>135</v>
      </c>
      <c r="E17" s="7">
        <v>1</v>
      </c>
      <c r="F17" s="7">
        <v>5</v>
      </c>
      <c r="G17" s="7">
        <f t="shared" si="0"/>
        <v>5</v>
      </c>
      <c r="H17" s="43" t="e">
        <f>G17*#REF!</f>
        <v>#REF!</v>
      </c>
      <c r="I17" s="43" t="e">
        <f>H17*#REF!</f>
        <v>#REF!</v>
      </c>
      <c r="L17" s="7">
        <v>11</v>
      </c>
      <c r="M17" s="7" t="s">
        <v>311</v>
      </c>
      <c r="N17" s="13" t="s">
        <v>103</v>
      </c>
      <c r="O17" s="50">
        <v>374</v>
      </c>
      <c r="P17" s="405">
        <f>'TBM 2'!P17+('TBM 2'!P17*5%)</f>
        <v>1071.96075</v>
      </c>
      <c r="Q17" s="405">
        <f t="shared" si="1"/>
        <v>400913.32049999997</v>
      </c>
      <c r="V17" s="35">
        <v>16049</v>
      </c>
    </row>
    <row r="18" spans="2:22" s="7" customFormat="1" ht="15" x14ac:dyDescent="0.3">
      <c r="B18" s="7">
        <v>13</v>
      </c>
      <c r="C18" s="7" t="s">
        <v>177</v>
      </c>
      <c r="D18" s="13" t="s">
        <v>135</v>
      </c>
      <c r="E18" s="7">
        <v>1</v>
      </c>
      <c r="F18" s="7">
        <v>0.5</v>
      </c>
      <c r="G18" s="7">
        <f t="shared" si="0"/>
        <v>0.5</v>
      </c>
      <c r="H18" s="43" t="e">
        <f>G18*#REF!</f>
        <v>#REF!</v>
      </c>
      <c r="I18" s="43" t="e">
        <f>H18*#REF!</f>
        <v>#REF!</v>
      </c>
      <c r="M18" s="9"/>
      <c r="N18" s="17"/>
      <c r="O18" s="38">
        <f>SUM(O7:O17)</f>
        <v>1434.8</v>
      </c>
      <c r="P18" s="21"/>
      <c r="Q18" s="20">
        <f>SUM(Q7:Q17)</f>
        <v>8312661.3986325013</v>
      </c>
      <c r="V18" s="35">
        <v>13704</v>
      </c>
    </row>
    <row r="19" spans="2:22" s="7" customFormat="1" ht="13.5" x14ac:dyDescent="0.25">
      <c r="B19" s="7">
        <v>14</v>
      </c>
      <c r="C19" s="7" t="s">
        <v>176</v>
      </c>
      <c r="D19" s="13" t="s">
        <v>135</v>
      </c>
      <c r="E19" s="7">
        <v>1</v>
      </c>
      <c r="F19" s="7">
        <v>0.5</v>
      </c>
      <c r="G19" s="7">
        <f t="shared" si="0"/>
        <v>0.5</v>
      </c>
      <c r="H19" s="43" t="e">
        <f>G19*#REF!</f>
        <v>#REF!</v>
      </c>
      <c r="I19" s="43" t="e">
        <f>H19*#REF!</f>
        <v>#REF!</v>
      </c>
      <c r="N19" s="13"/>
      <c r="P19" s="12"/>
      <c r="Q19" s="12"/>
      <c r="V19" s="35">
        <v>105133</v>
      </c>
    </row>
    <row r="20" spans="2:22" s="7" customFormat="1" ht="13.5" x14ac:dyDescent="0.25">
      <c r="B20" s="7">
        <v>15</v>
      </c>
      <c r="C20" s="7" t="s">
        <v>10</v>
      </c>
      <c r="D20" s="13" t="s">
        <v>135</v>
      </c>
      <c r="E20" s="7">
        <v>1</v>
      </c>
      <c r="F20" s="7">
        <v>1</v>
      </c>
      <c r="G20" s="7">
        <v>1</v>
      </c>
      <c r="H20" s="43" t="e">
        <f>G20*#REF!</f>
        <v>#REF!</v>
      </c>
      <c r="I20" s="43" t="e">
        <f>H20*#REF!</f>
        <v>#REF!</v>
      </c>
      <c r="N20" s="13"/>
      <c r="P20" s="12"/>
      <c r="Q20" s="12"/>
      <c r="V20" s="35">
        <v>22537</v>
      </c>
    </row>
    <row r="21" spans="2:22" s="7" customFormat="1" ht="15" x14ac:dyDescent="0.3">
      <c r="B21" s="117">
        <v>16</v>
      </c>
      <c r="C21" s="7" t="s">
        <v>578</v>
      </c>
      <c r="D21" s="13" t="s">
        <v>135</v>
      </c>
      <c r="E21" s="7">
        <v>5</v>
      </c>
      <c r="F21" s="7">
        <v>0.18</v>
      </c>
      <c r="G21" s="7">
        <f t="shared" ref="G21" si="2">E21*F21</f>
        <v>0.89999999999999991</v>
      </c>
      <c r="H21" s="43"/>
      <c r="I21" s="43"/>
      <c r="L21" s="11" t="s">
        <v>28</v>
      </c>
      <c r="M21" s="11" t="s">
        <v>26</v>
      </c>
      <c r="N21" s="13"/>
      <c r="P21" s="12"/>
      <c r="Q21" s="12"/>
      <c r="V21" s="35"/>
    </row>
    <row r="22" spans="2:22" s="7" customFormat="1" ht="15" x14ac:dyDescent="0.3">
      <c r="C22" s="8" t="s">
        <v>34</v>
      </c>
      <c r="D22" s="8"/>
      <c r="E22" s="9"/>
      <c r="F22" s="9"/>
      <c r="G22" s="8">
        <f>SUM(G6:G21)</f>
        <v>58.65</v>
      </c>
      <c r="H22" s="8" t="e">
        <f>SUM(H6:H20)</f>
        <v>#REF!</v>
      </c>
      <c r="I22" s="8" t="e">
        <f>SUM(I6:I20)</f>
        <v>#REF!</v>
      </c>
      <c r="J22" s="9"/>
      <c r="L22" s="7">
        <v>1</v>
      </c>
      <c r="M22" s="7" t="s">
        <v>143</v>
      </c>
      <c r="N22" s="13" t="s">
        <v>104</v>
      </c>
      <c r="O22" s="7">
        <v>2.95</v>
      </c>
      <c r="P22" s="12">
        <f>'TBM 2'!P20+('TBM 2'!P20*5%)</f>
        <v>98398.182881250003</v>
      </c>
      <c r="Q22" s="12">
        <f>O22*P22</f>
        <v>290274.63949968753</v>
      </c>
      <c r="V22" s="35">
        <v>111488</v>
      </c>
    </row>
    <row r="23" spans="2:22" s="7" customFormat="1" ht="13.5" x14ac:dyDescent="0.25">
      <c r="L23" s="7">
        <v>2</v>
      </c>
      <c r="M23" s="7" t="s">
        <v>144</v>
      </c>
      <c r="N23" s="13" t="s">
        <v>103</v>
      </c>
      <c r="O23" s="7">
        <v>0.13</v>
      </c>
      <c r="P23" s="12">
        <f>'TBM 2'!P21+('TBM 2'!P21*5%)</f>
        <v>28310.112967500001</v>
      </c>
      <c r="Q23" s="12">
        <f>O23*P23</f>
        <v>3680.3146857750003</v>
      </c>
      <c r="V23" s="35">
        <f>SUM(V6:V22)</f>
        <v>5678117</v>
      </c>
    </row>
    <row r="24" spans="2:22" s="7" customFormat="1" ht="15" x14ac:dyDescent="0.3">
      <c r="B24" s="9"/>
      <c r="C24" s="8" t="s">
        <v>36</v>
      </c>
      <c r="D24" s="10" t="s">
        <v>35</v>
      </c>
      <c r="E24" s="10"/>
      <c r="F24" s="10" t="s">
        <v>37</v>
      </c>
      <c r="G24" s="10" t="s">
        <v>87</v>
      </c>
      <c r="L24" s="7">
        <v>3</v>
      </c>
      <c r="M24" s="7" t="s">
        <v>162</v>
      </c>
      <c r="N24" s="13" t="s">
        <v>104</v>
      </c>
      <c r="O24" s="7">
        <v>1.8</v>
      </c>
      <c r="P24" s="12">
        <f>'TBM 2'!P22+('TBM 2'!P22*5%)</f>
        <v>36397.778996250003</v>
      </c>
      <c r="Q24" s="12">
        <f>O24*P24</f>
        <v>65516.002193250009</v>
      </c>
      <c r="V24" s="35">
        <f>V23*5%</f>
        <v>283905.85000000003</v>
      </c>
    </row>
    <row r="25" spans="2:22" s="7" customFormat="1" ht="15" x14ac:dyDescent="0.3">
      <c r="B25" s="11" t="s">
        <v>12</v>
      </c>
      <c r="C25" s="11" t="s">
        <v>13</v>
      </c>
      <c r="F25" s="12"/>
      <c r="G25" s="12"/>
      <c r="H25" s="42">
        <v>0.7</v>
      </c>
      <c r="I25" s="42">
        <v>0.8</v>
      </c>
      <c r="J25" s="10"/>
      <c r="L25" s="7">
        <v>4</v>
      </c>
      <c r="M25" s="7" t="s">
        <v>90</v>
      </c>
      <c r="N25" s="13" t="s">
        <v>104</v>
      </c>
      <c r="O25" s="7">
        <v>0.5</v>
      </c>
      <c r="P25" s="12">
        <f>'TBM 2'!P23+('TBM 2'!P23*5%)</f>
        <v>55498.927207499997</v>
      </c>
      <c r="Q25" s="12">
        <f>O25*P25</f>
        <v>27749.463603749999</v>
      </c>
      <c r="V25" s="35">
        <f>V24+V23</f>
        <v>5962022.8499999996</v>
      </c>
    </row>
    <row r="26" spans="2:22" s="7" customFormat="1" ht="13.5" x14ac:dyDescent="0.25">
      <c r="B26" s="7">
        <v>1</v>
      </c>
      <c r="C26" s="7" t="s">
        <v>152</v>
      </c>
      <c r="D26" s="13" t="s">
        <v>100</v>
      </c>
      <c r="E26" s="7">
        <v>0.2</v>
      </c>
      <c r="F26" s="12">
        <f>7875+(7875*5%)</f>
        <v>8268.75</v>
      </c>
      <c r="G26" s="12">
        <f>E26*F26</f>
        <v>1653.75</v>
      </c>
      <c r="L26" s="7">
        <v>5</v>
      </c>
      <c r="M26" s="7" t="s">
        <v>161</v>
      </c>
      <c r="N26" s="13" t="s">
        <v>103</v>
      </c>
      <c r="O26" s="7">
        <v>0.8</v>
      </c>
      <c r="P26" s="12">
        <f>'TBM 2'!P24+('TBM 2'!P24*5%)</f>
        <v>0</v>
      </c>
      <c r="Q26" s="12">
        <f>O26*P26</f>
        <v>0</v>
      </c>
      <c r="V26" s="35"/>
    </row>
    <row r="27" spans="2:22" s="7" customFormat="1" ht="15" x14ac:dyDescent="0.3">
      <c r="B27" s="7">
        <v>2</v>
      </c>
      <c r="C27" s="7" t="s">
        <v>15</v>
      </c>
      <c r="D27" s="13" t="s">
        <v>100</v>
      </c>
      <c r="E27" s="7">
        <v>0.25</v>
      </c>
      <c r="F27" s="12">
        <f>'TBM 2'!F25</f>
        <v>1599473.925</v>
      </c>
      <c r="G27" s="12">
        <f>E27*F27</f>
        <v>399868.48125000001</v>
      </c>
      <c r="M27" s="9"/>
      <c r="N27" s="17"/>
      <c r="O27" s="9">
        <f>SUM(O22:O26)</f>
        <v>6.18</v>
      </c>
      <c r="P27" s="21"/>
      <c r="Q27" s="20">
        <f>SUM(Q22:Q25)</f>
        <v>387220.41998246254</v>
      </c>
      <c r="V27" s="35"/>
    </row>
    <row r="28" spans="2:22" s="7" customFormat="1" ht="15" x14ac:dyDescent="0.3">
      <c r="B28" s="7">
        <v>3</v>
      </c>
      <c r="C28" s="7" t="s">
        <v>146</v>
      </c>
      <c r="D28" s="13" t="s">
        <v>132</v>
      </c>
      <c r="E28" s="7">
        <v>0.2</v>
      </c>
      <c r="F28" s="12">
        <f>F27*25%</f>
        <v>399868.48125000001</v>
      </c>
      <c r="G28" s="12">
        <f>E28*F28</f>
        <v>79973.696250000008</v>
      </c>
      <c r="H28" s="16" t="e">
        <f>$G26*#REF!</f>
        <v>#REF!</v>
      </c>
      <c r="I28" s="16" t="e">
        <f>$G26*#REF!</f>
        <v>#REF!</v>
      </c>
      <c r="M28" s="11"/>
      <c r="P28" s="12"/>
      <c r="Q28" s="12"/>
      <c r="V28" s="35"/>
    </row>
    <row r="29" spans="2:22" s="7" customFormat="1" ht="15" x14ac:dyDescent="0.3">
      <c r="C29" s="8"/>
      <c r="D29" s="9"/>
      <c r="E29" s="9"/>
      <c r="F29" s="21"/>
      <c r="G29" s="20">
        <f>SUM(G26:G28)</f>
        <v>481495.92749999999</v>
      </c>
      <c r="H29" s="16" t="e">
        <f>$G27*#REF!</f>
        <v>#REF!</v>
      </c>
      <c r="I29" s="16" t="e">
        <f>$G27*#REF!</f>
        <v>#REF!</v>
      </c>
      <c r="L29" s="11" t="s">
        <v>38</v>
      </c>
      <c r="M29" s="11" t="s">
        <v>68</v>
      </c>
      <c r="V29" s="35"/>
    </row>
    <row r="30" spans="2:22" s="7" customFormat="1" ht="15" x14ac:dyDescent="0.3">
      <c r="C30" s="11"/>
      <c r="F30" s="12"/>
      <c r="G30" s="12"/>
      <c r="H30" s="16" t="e">
        <f>$G28*#REF!</f>
        <v>#REF!</v>
      </c>
      <c r="I30" s="16" t="e">
        <f>$G28*#REF!</f>
        <v>#REF!</v>
      </c>
      <c r="L30" s="7">
        <v>1</v>
      </c>
      <c r="M30" s="7" t="s">
        <v>66</v>
      </c>
      <c r="N30" s="13" t="s">
        <v>155</v>
      </c>
      <c r="O30" s="37">
        <f>E32</f>
        <v>7</v>
      </c>
      <c r="P30" s="7">
        <v>1500</v>
      </c>
      <c r="Q30" s="12">
        <f>O30*P30</f>
        <v>10500</v>
      </c>
      <c r="V30" s="35"/>
    </row>
    <row r="31" spans="2:22" s="7" customFormat="1" ht="15" x14ac:dyDescent="0.3">
      <c r="B31" s="11" t="s">
        <v>18</v>
      </c>
      <c r="C31" s="11" t="s">
        <v>142</v>
      </c>
      <c r="F31" s="12"/>
      <c r="G31" s="12"/>
      <c r="H31" s="29" t="e">
        <f>SUM(H28:H30)</f>
        <v>#REF!</v>
      </c>
      <c r="I31" s="29" t="e">
        <f>SUM(I28:I30)</f>
        <v>#REF!</v>
      </c>
      <c r="J31" s="9"/>
      <c r="L31" s="7">
        <v>2</v>
      </c>
      <c r="M31" s="7" t="s">
        <v>159</v>
      </c>
      <c r="N31" s="13" t="s">
        <v>103</v>
      </c>
      <c r="O31" s="35">
        <f>O18+O27</f>
        <v>1440.98</v>
      </c>
      <c r="P31" s="12">
        <f>32+(32*5%)</f>
        <v>33.6</v>
      </c>
      <c r="Q31" s="12">
        <f>O31*P31</f>
        <v>48416.928</v>
      </c>
      <c r="V31" s="35"/>
    </row>
    <row r="32" spans="2:22" s="7" customFormat="1" ht="15" x14ac:dyDescent="0.3">
      <c r="B32" s="7">
        <v>1</v>
      </c>
      <c r="C32" s="7" t="s">
        <v>66</v>
      </c>
      <c r="D32" s="13" t="s">
        <v>155</v>
      </c>
      <c r="E32" s="7">
        <v>7</v>
      </c>
      <c r="F32" s="12">
        <v>60000</v>
      </c>
      <c r="G32" s="12">
        <f>E32*F32</f>
        <v>420000</v>
      </c>
      <c r="L32" s="11"/>
      <c r="M32" s="8"/>
      <c r="N32" s="17"/>
      <c r="O32" s="9"/>
      <c r="P32" s="21"/>
      <c r="Q32" s="20">
        <f>SUM(Q30:Q31)</f>
        <v>58916.928</v>
      </c>
      <c r="V32" s="35"/>
    </row>
    <row r="33" spans="2:22" s="7" customFormat="1" ht="13.5" x14ac:dyDescent="0.25">
      <c r="B33" s="7">
        <v>2</v>
      </c>
      <c r="C33" s="7" t="s">
        <v>175</v>
      </c>
      <c r="D33" s="13" t="s">
        <v>100</v>
      </c>
      <c r="E33" s="7">
        <v>0</v>
      </c>
      <c r="F33" s="12">
        <v>30000</v>
      </c>
      <c r="G33" s="12">
        <f>E33*F33</f>
        <v>0</v>
      </c>
      <c r="N33" s="13"/>
      <c r="P33" s="12"/>
      <c r="Q33" s="12"/>
      <c r="V33" s="35"/>
    </row>
    <row r="34" spans="2:22" s="7" customFormat="1" ht="15" x14ac:dyDescent="0.3">
      <c r="B34" s="7">
        <v>3</v>
      </c>
      <c r="C34" s="7" t="s">
        <v>178</v>
      </c>
      <c r="D34" s="13" t="s">
        <v>103</v>
      </c>
      <c r="E34" s="7">
        <v>0</v>
      </c>
      <c r="F34" s="12">
        <v>21035</v>
      </c>
      <c r="G34" s="12">
        <f>E34*F34</f>
        <v>0</v>
      </c>
      <c r="H34" s="16" t="e">
        <f>$G32*#REF!</f>
        <v>#REF!</v>
      </c>
      <c r="I34" s="16" t="e">
        <f>$G32*#REF!</f>
        <v>#REF!</v>
      </c>
      <c r="L34" s="11" t="s">
        <v>107</v>
      </c>
      <c r="M34" s="11" t="s">
        <v>39</v>
      </c>
      <c r="N34" s="13"/>
      <c r="P34" s="12"/>
      <c r="Q34" s="12"/>
      <c r="V34" s="35"/>
    </row>
    <row r="35" spans="2:22" s="7" customFormat="1" ht="15" x14ac:dyDescent="0.3">
      <c r="C35" s="9"/>
      <c r="D35" s="9"/>
      <c r="E35" s="9"/>
      <c r="F35" s="21"/>
      <c r="G35" s="20">
        <f>SUM(G32:G34)</f>
        <v>420000</v>
      </c>
      <c r="H35" s="16" t="e">
        <f>$G33*#REF!</f>
        <v>#REF!</v>
      </c>
      <c r="I35" s="16" t="e">
        <f>$G33*#REF!</f>
        <v>#REF!</v>
      </c>
      <c r="L35" s="7">
        <v>1</v>
      </c>
      <c r="M35" s="7" t="s">
        <v>2</v>
      </c>
      <c r="N35" s="13" t="s">
        <v>135</v>
      </c>
      <c r="O35" s="7">
        <v>1</v>
      </c>
      <c r="P35" s="12">
        <f>'TBM 2'!P31+('TBM 2'!P31*10%)</f>
        <v>246156.07170000003</v>
      </c>
      <c r="Q35" s="12">
        <f>O35*P35</f>
        <v>246156.07170000003</v>
      </c>
      <c r="V35" s="35"/>
    </row>
    <row r="36" spans="2:22" s="7" customFormat="1" ht="13.5" x14ac:dyDescent="0.25">
      <c r="H36" s="16"/>
      <c r="I36" s="16"/>
      <c r="L36" s="7">
        <v>2</v>
      </c>
      <c r="M36" s="7" t="s">
        <v>11</v>
      </c>
      <c r="N36" s="13" t="s">
        <v>135</v>
      </c>
      <c r="O36" s="50">
        <f>G22-O35</f>
        <v>57.65</v>
      </c>
      <c r="P36" s="12">
        <f>'TBM 2'!P32+('TBM 2'!P32*10%)</f>
        <v>197025.26799999998</v>
      </c>
      <c r="Q36" s="12">
        <f>O36*P36</f>
        <v>11358506.700199999</v>
      </c>
      <c r="V36" s="35"/>
    </row>
    <row r="37" spans="2:22" s="7" customFormat="1" ht="15" x14ac:dyDescent="0.3">
      <c r="H37" s="29"/>
      <c r="I37" s="29"/>
      <c r="J37" s="9"/>
      <c r="M37" s="8"/>
      <c r="N37" s="9"/>
      <c r="O37" s="54">
        <f>SUM(O35:O36)</f>
        <v>58.65</v>
      </c>
      <c r="P37" s="21"/>
      <c r="Q37" s="20">
        <f>SUM(Q35:Q36)</f>
        <v>11604662.771899998</v>
      </c>
      <c r="V37" s="35"/>
    </row>
    <row r="38" spans="2:22" s="7" customFormat="1" ht="13.5" x14ac:dyDescent="0.25">
      <c r="F38" s="12"/>
      <c r="G38" s="12"/>
      <c r="P38" s="12"/>
      <c r="Q38" s="12"/>
      <c r="V38" s="35"/>
    </row>
    <row r="39" spans="2:22" s="7" customFormat="1" ht="15.75" thickBot="1" x14ac:dyDescent="0.35">
      <c r="L39" s="44"/>
      <c r="M39" s="45" t="s">
        <v>195</v>
      </c>
      <c r="N39" s="44"/>
      <c r="O39" s="44"/>
      <c r="P39" s="46"/>
      <c r="Q39" s="47">
        <f>G29+G35+Q18+Q27+Q32+Q37</f>
        <v>21264957.446014963</v>
      </c>
      <c r="V39" s="35"/>
    </row>
    <row r="40" spans="2:22" s="7" customFormat="1" ht="13.5" x14ac:dyDescent="0.25">
      <c r="H40" s="16"/>
      <c r="I40" s="16"/>
      <c r="V40" s="35"/>
    </row>
    <row r="41" spans="2:22" s="7" customFormat="1" ht="13.5" x14ac:dyDescent="0.25">
      <c r="H41" s="16" t="e">
        <f>$Q12*#REF!</f>
        <v>#REF!</v>
      </c>
      <c r="I41" s="16" t="e">
        <f>$Q12*#REF!</f>
        <v>#REF!</v>
      </c>
      <c r="V41" s="35"/>
    </row>
    <row r="42" spans="2:22" s="7" customFormat="1" ht="15" x14ac:dyDescent="0.3">
      <c r="H42" s="29" t="e">
        <f>SUM(H40:H41)</f>
        <v>#REF!</v>
      </c>
      <c r="I42" s="29" t="e">
        <f>SUM(I40:I41)</f>
        <v>#REF!</v>
      </c>
      <c r="V42" s="35"/>
    </row>
    <row r="43" spans="2:22" s="7" customFormat="1" ht="13.5" x14ac:dyDescent="0.25">
      <c r="H43" s="16"/>
      <c r="I43" s="16"/>
      <c r="V43" s="35"/>
    </row>
    <row r="44" spans="2:22" s="7" customFormat="1" ht="13.5" x14ac:dyDescent="0.25">
      <c r="H44" s="16"/>
      <c r="I44" s="16"/>
      <c r="V44" s="35"/>
    </row>
    <row r="45" spans="2:22" s="7" customFormat="1" ht="13.5" x14ac:dyDescent="0.25">
      <c r="H45" s="16" t="e">
        <f>$Q22*#REF!</f>
        <v>#REF!</v>
      </c>
      <c r="I45" s="16" t="e">
        <f>$Q22*#REF!</f>
        <v>#REF!</v>
      </c>
      <c r="V45" s="35"/>
    </row>
    <row r="46" spans="2:22" s="7" customFormat="1" ht="13.5" x14ac:dyDescent="0.25">
      <c r="H46" s="16" t="e">
        <f>$Q23*#REF!</f>
        <v>#REF!</v>
      </c>
      <c r="I46" s="16" t="e">
        <f>$Q23*#REF!</f>
        <v>#REF!</v>
      </c>
      <c r="V46" s="35"/>
    </row>
    <row r="47" spans="2:22" s="7" customFormat="1" ht="13.5" x14ac:dyDescent="0.25">
      <c r="H47" s="16" t="e">
        <f>$Q24*#REF!</f>
        <v>#REF!</v>
      </c>
      <c r="I47" s="16" t="e">
        <f>$Q24*#REF!</f>
        <v>#REF!</v>
      </c>
      <c r="V47" s="35"/>
    </row>
    <row r="48" spans="2:22" s="7" customFormat="1" ht="13.5" x14ac:dyDescent="0.25">
      <c r="H48" s="16" t="e">
        <f>$Q25*#REF!</f>
        <v>#REF!</v>
      </c>
      <c r="I48" s="16" t="e">
        <f>$Q25*#REF!</f>
        <v>#REF!</v>
      </c>
      <c r="V48" s="35"/>
    </row>
    <row r="49" spans="3:22" s="7" customFormat="1" ht="13.5" x14ac:dyDescent="0.25">
      <c r="H49" s="16" t="e">
        <f>$Q26*#REF!</f>
        <v>#REF!</v>
      </c>
      <c r="I49" s="16" t="e">
        <f>$Q26*#REF!</f>
        <v>#REF!</v>
      </c>
      <c r="V49" s="35"/>
    </row>
    <row r="50" spans="3:22" s="7" customFormat="1" ht="15" x14ac:dyDescent="0.3">
      <c r="H50" s="29" t="e">
        <f>SUM(H45:H48)</f>
        <v>#REF!</v>
      </c>
      <c r="I50" s="29" t="e">
        <f>SUM(I45:I48)</f>
        <v>#REF!</v>
      </c>
      <c r="V50" s="35"/>
    </row>
    <row r="51" spans="3:22" s="7" customFormat="1" ht="13.5" x14ac:dyDescent="0.25">
      <c r="V51" s="35"/>
    </row>
    <row r="52" spans="3:22" s="7" customFormat="1" ht="13.5" x14ac:dyDescent="0.25">
      <c r="V52" s="35"/>
    </row>
    <row r="53" spans="3:22" s="7" customFormat="1" ht="13.5" x14ac:dyDescent="0.25">
      <c r="H53" s="16" t="e">
        <f>$Q30*#REF!</f>
        <v>#REF!</v>
      </c>
      <c r="I53" s="16" t="e">
        <f>$Q30*#REF!</f>
        <v>#REF!</v>
      </c>
      <c r="V53" s="35"/>
    </row>
    <row r="54" spans="3:22" s="7" customFormat="1" ht="13.5" x14ac:dyDescent="0.25">
      <c r="H54" s="16" t="e">
        <f>$Q31*#REF!</f>
        <v>#REF!</v>
      </c>
      <c r="I54" s="16" t="e">
        <f>$Q31*#REF!</f>
        <v>#REF!</v>
      </c>
      <c r="V54" s="35"/>
    </row>
    <row r="55" spans="3:22" s="7" customFormat="1" ht="15" x14ac:dyDescent="0.3">
      <c r="H55" s="20" t="e">
        <f>SUM(H53:H54)</f>
        <v>#REF!</v>
      </c>
      <c r="I55" s="20" t="e">
        <f>SUM(I53:I54)</f>
        <v>#REF!</v>
      </c>
      <c r="J55" s="9"/>
      <c r="V55" s="35"/>
    </row>
    <row r="56" spans="3:22" s="7" customFormat="1" ht="13.5" x14ac:dyDescent="0.25">
      <c r="V56" s="35"/>
    </row>
    <row r="57" spans="3:22" s="7" customFormat="1" ht="13.5" x14ac:dyDescent="0.25">
      <c r="V57" s="35"/>
    </row>
    <row r="58" spans="3:22" s="7" customFormat="1" ht="13.5" x14ac:dyDescent="0.25">
      <c r="H58" s="16" t="e">
        <f>$Q35*#REF!</f>
        <v>#REF!</v>
      </c>
      <c r="I58" s="16" t="e">
        <f>$Q35*#REF!</f>
        <v>#REF!</v>
      </c>
      <c r="V58" s="35"/>
    </row>
    <row r="59" spans="3:22" s="7" customFormat="1" ht="13.5" x14ac:dyDescent="0.25">
      <c r="H59" s="16" t="e">
        <f>$Q36*#REF!</f>
        <v>#REF!</v>
      </c>
      <c r="I59" s="16" t="e">
        <f>$Q36*#REF!</f>
        <v>#REF!</v>
      </c>
      <c r="V59" s="35"/>
    </row>
    <row r="60" spans="3:22" s="7" customFormat="1" ht="15" x14ac:dyDescent="0.3">
      <c r="H60" s="20" t="e">
        <f>SUM(H58:H59)</f>
        <v>#REF!</v>
      </c>
      <c r="I60" s="20" t="e">
        <f>SUM(I58:I59)</f>
        <v>#REF!</v>
      </c>
      <c r="J60" s="9"/>
      <c r="V60" s="35"/>
    </row>
    <row r="61" spans="3:22" s="7" customFormat="1" ht="13.5" x14ac:dyDescent="0.25">
      <c r="V61" s="35"/>
    </row>
    <row r="62" spans="3:22" s="7" customFormat="1" ht="15.75" thickBot="1" x14ac:dyDescent="0.35">
      <c r="H62" s="47" t="e">
        <f>H31+H37+H42+H50+H55+H60</f>
        <v>#REF!</v>
      </c>
      <c r="I62" s="47" t="e">
        <f>I31+I37+I42+I50+I55+I60</f>
        <v>#REF!</v>
      </c>
      <c r="J62" s="44"/>
      <c r="V62" s="35"/>
    </row>
    <row r="63" spans="3:22" s="7" customFormat="1" ht="13.5" x14ac:dyDescent="0.25">
      <c r="H63" s="48" t="e">
        <f>H62/Q39</f>
        <v>#REF!</v>
      </c>
      <c r="I63" s="48" t="e">
        <f>I62/Q39</f>
        <v>#REF!</v>
      </c>
      <c r="V63" s="35"/>
    </row>
    <row r="64" spans="3:22" s="7" customFormat="1" ht="13.5" x14ac:dyDescent="0.25">
      <c r="C64" s="7" t="s">
        <v>192</v>
      </c>
      <c r="G64" s="40">
        <f>(Q39*2500)/1000</f>
        <v>53162393.615037404</v>
      </c>
      <c r="V64" s="35"/>
    </row>
    <row r="65" spans="12:22" s="7" customFormat="1" ht="13.5" x14ac:dyDescent="0.25">
      <c r="V65" s="35"/>
    </row>
    <row r="66" spans="12:22" s="7" customFormat="1" ht="13.5" x14ac:dyDescent="0.25">
      <c r="V66" s="35"/>
    </row>
    <row r="67" spans="12:22" ht="13.5" x14ac:dyDescent="0.25">
      <c r="L67" s="7"/>
      <c r="M67" s="7"/>
      <c r="N67" s="7"/>
      <c r="O67" s="7"/>
      <c r="P67" s="7"/>
      <c r="Q67" s="7"/>
    </row>
    <row r="68" spans="12:22" ht="13.5" x14ac:dyDescent="0.25">
      <c r="L68" s="7"/>
      <c r="M68" s="7"/>
      <c r="N68" s="7"/>
      <c r="O68" s="7"/>
      <c r="P68" s="7"/>
      <c r="Q68" s="7"/>
    </row>
    <row r="69" spans="12:22" ht="13.5" x14ac:dyDescent="0.25">
      <c r="L69" s="7"/>
      <c r="M69" s="7"/>
      <c r="N69" s="7"/>
      <c r="O69" s="7"/>
      <c r="P69" s="7"/>
      <c r="Q69" s="7"/>
    </row>
    <row r="70" spans="12:22" ht="13.5" x14ac:dyDescent="0.25">
      <c r="L70" s="7"/>
      <c r="M70" s="7"/>
      <c r="N70" s="7"/>
      <c r="O70" s="7"/>
      <c r="P70" s="7"/>
      <c r="Q70" s="7"/>
    </row>
    <row r="71" spans="12:22" ht="13.5" x14ac:dyDescent="0.25">
      <c r="L71" s="7"/>
      <c r="M71" s="7"/>
      <c r="N71" s="7"/>
      <c r="O71" s="7"/>
      <c r="P71" s="7"/>
      <c r="Q71" s="7"/>
    </row>
    <row r="72" spans="12:22" ht="13.5" x14ac:dyDescent="0.25">
      <c r="L72" s="7"/>
      <c r="M72" s="7"/>
      <c r="N72" s="7"/>
      <c r="O72" s="7"/>
      <c r="P72" s="7"/>
      <c r="Q72" s="7"/>
    </row>
  </sheetData>
  <mergeCells count="4">
    <mergeCell ref="N6:O6"/>
    <mergeCell ref="B2:J2"/>
    <mergeCell ref="B3:J3"/>
    <mergeCell ref="E5:F5"/>
  </mergeCells>
  <phoneticPr fontId="0" type="noConversion"/>
  <pageMargins left="1" right="0.24" top="0.72" bottom="1" header="0.5" footer="0.5"/>
  <pageSetup paperSize="9" scale="93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P132"/>
  <sheetViews>
    <sheetView showGridLines="0" topLeftCell="A10" zoomScale="118" zoomScaleNormal="90" workbookViewId="0">
      <selection activeCell="C23" sqref="C23"/>
    </sheetView>
  </sheetViews>
  <sheetFormatPr defaultColWidth="8.6640625" defaultRowHeight="11.25" x14ac:dyDescent="0.2"/>
  <cols>
    <col min="1" max="1" width="9" bestFit="1" customWidth="1"/>
    <col min="2" max="2" width="60.6640625" bestFit="1" customWidth="1"/>
    <col min="3" max="3" width="20.6640625" customWidth="1"/>
    <col min="4" max="4" width="19.6640625" hidden="1" customWidth="1"/>
    <col min="5" max="5" width="17.6640625" hidden="1" customWidth="1"/>
    <col min="6" max="8" width="12.6640625" hidden="1" customWidth="1"/>
    <col min="9" max="9" width="20" hidden="1" customWidth="1"/>
    <col min="10" max="10" width="15.6640625" hidden="1" customWidth="1"/>
    <col min="11" max="11" width="17.6640625" style="4" hidden="1" customWidth="1"/>
    <col min="12" max="12" width="19.6640625" style="4" hidden="1" customWidth="1"/>
    <col min="13" max="13" width="9.1640625" hidden="1" customWidth="1"/>
    <col min="14" max="14" width="15.6640625" style="244" customWidth="1"/>
    <col min="15" max="15" width="16.6640625" bestFit="1" customWidth="1"/>
    <col min="16" max="16" width="17.5" bestFit="1" customWidth="1"/>
  </cols>
  <sheetData>
    <row r="1" spans="1:16" ht="16.5" x14ac:dyDescent="0.3">
      <c r="A1" s="97" t="s">
        <v>299</v>
      </c>
    </row>
    <row r="2" spans="1:16" s="7" customFormat="1" ht="15" x14ac:dyDescent="0.3">
      <c r="A2" s="651" t="s">
        <v>183</v>
      </c>
      <c r="B2" s="651" t="s">
        <v>184</v>
      </c>
      <c r="C2" s="92" t="s">
        <v>293</v>
      </c>
      <c r="D2" s="153"/>
      <c r="E2" s="652" t="s">
        <v>300</v>
      </c>
      <c r="K2" s="37"/>
      <c r="L2" s="37"/>
      <c r="N2" s="35"/>
    </row>
    <row r="3" spans="1:16" s="7" customFormat="1" ht="15" x14ac:dyDescent="0.3">
      <c r="A3" s="651"/>
      <c r="B3" s="651"/>
      <c r="C3" s="68" t="s">
        <v>484</v>
      </c>
      <c r="D3" s="92" t="s">
        <v>295</v>
      </c>
      <c r="E3" s="653"/>
      <c r="K3" s="37"/>
      <c r="L3" s="37"/>
      <c r="N3" s="35"/>
    </row>
    <row r="4" spans="1:16" s="7" customFormat="1" ht="13.5" x14ac:dyDescent="0.25">
      <c r="A4" s="112" t="s">
        <v>185</v>
      </c>
      <c r="B4" s="57" t="s">
        <v>274</v>
      </c>
      <c r="C4" s="93"/>
      <c r="D4" s="93"/>
      <c r="E4" s="93"/>
      <c r="K4" s="37"/>
      <c r="L4" s="37"/>
      <c r="N4" s="35"/>
    </row>
    <row r="5" spans="1:16" s="7" customFormat="1" ht="13.5" x14ac:dyDescent="0.25">
      <c r="A5" s="58">
        <v>1</v>
      </c>
      <c r="B5" s="58" t="s">
        <v>275</v>
      </c>
      <c r="C5" s="59">
        <f>C27</f>
        <v>79179999.021311045</v>
      </c>
      <c r="D5" s="59">
        <f>D27</f>
        <v>28459900</v>
      </c>
      <c r="E5" s="231">
        <f>D5-C5</f>
        <v>-50720099.021311045</v>
      </c>
      <c r="F5" s="16">
        <f>D5*5%</f>
        <v>1422995</v>
      </c>
      <c r="G5" s="16">
        <f>D5-F5</f>
        <v>27036905</v>
      </c>
      <c r="H5" s="16">
        <f>G5-C5</f>
        <v>-52143094.021311045</v>
      </c>
      <c r="J5" s="71">
        <f>C5*10%+C5</f>
        <v>87097998.923442155</v>
      </c>
      <c r="K5" s="37"/>
      <c r="L5" s="37"/>
      <c r="N5" s="35"/>
    </row>
    <row r="6" spans="1:16" s="7" customFormat="1" ht="13.5" x14ac:dyDescent="0.25">
      <c r="A6" s="58">
        <v>2</v>
      </c>
      <c r="B6" s="58" t="s">
        <v>276</v>
      </c>
      <c r="C6" s="59">
        <f>C39</f>
        <v>21681566.650781497</v>
      </c>
      <c r="D6" s="59">
        <f>D39</f>
        <v>5086560</v>
      </c>
      <c r="E6" s="231">
        <f t="shared" ref="E6:E11" si="0">D6-C6</f>
        <v>-16595006.650781497</v>
      </c>
      <c r="F6" s="7">
        <f t="shared" ref="F6:F40" si="1">D6*5%</f>
        <v>254328</v>
      </c>
      <c r="G6" s="16">
        <f t="shared" ref="G6:G40" si="2">D6-F6</f>
        <v>4832232</v>
      </c>
      <c r="H6" s="16">
        <f t="shared" ref="H6:H40" si="3">G6-C6</f>
        <v>-16849334.650781497</v>
      </c>
      <c r="J6" s="71">
        <f t="shared" ref="J6:J40" si="4">C6*10%+C6</f>
        <v>23849723.315859646</v>
      </c>
      <c r="K6" s="37"/>
      <c r="L6" s="37"/>
      <c r="N6" s="35"/>
    </row>
    <row r="7" spans="1:16" s="7" customFormat="1" ht="15" x14ac:dyDescent="0.3">
      <c r="A7" s="58"/>
      <c r="B7" s="65" t="s">
        <v>277</v>
      </c>
      <c r="C7" s="82">
        <f>SUM(C5:C6)</f>
        <v>100861565.67209254</v>
      </c>
      <c r="D7" s="82">
        <f>SUM(D5:D6)</f>
        <v>33546460</v>
      </c>
      <c r="E7" s="232">
        <f t="shared" si="0"/>
        <v>-67315105.672092542</v>
      </c>
      <c r="F7" s="7">
        <f t="shared" si="1"/>
        <v>1677323</v>
      </c>
      <c r="G7" s="16">
        <f t="shared" si="2"/>
        <v>31869137</v>
      </c>
      <c r="H7" s="16">
        <f t="shared" si="3"/>
        <v>-68992428.672092542</v>
      </c>
      <c r="J7" s="71">
        <f t="shared" si="4"/>
        <v>110947722.2393018</v>
      </c>
      <c r="K7" s="37"/>
      <c r="L7" s="37"/>
      <c r="N7" s="35"/>
    </row>
    <row r="8" spans="1:16" s="7" customFormat="1" ht="13.5" x14ac:dyDescent="0.25">
      <c r="A8" s="113" t="s">
        <v>187</v>
      </c>
      <c r="B8" s="58" t="s">
        <v>298</v>
      </c>
      <c r="C8" s="59">
        <f>'RKP 08'!G94</f>
        <v>1900000</v>
      </c>
      <c r="D8" s="59">
        <v>2050000</v>
      </c>
      <c r="E8" s="231">
        <f t="shared" si="0"/>
        <v>150000</v>
      </c>
      <c r="F8" s="7">
        <f t="shared" si="1"/>
        <v>102500</v>
      </c>
      <c r="G8" s="16">
        <f t="shared" si="2"/>
        <v>1947500</v>
      </c>
      <c r="H8" s="16">
        <f t="shared" si="3"/>
        <v>47500</v>
      </c>
      <c r="J8" s="71">
        <f t="shared" si="4"/>
        <v>2090000</v>
      </c>
      <c r="K8" s="37"/>
      <c r="L8" s="37"/>
      <c r="N8" s="35"/>
    </row>
    <row r="9" spans="1:16" s="11" customFormat="1" ht="15" x14ac:dyDescent="0.3">
      <c r="A9" s="65"/>
      <c r="B9" s="65" t="s">
        <v>304</v>
      </c>
      <c r="C9" s="82">
        <f>C7+C8</f>
        <v>102761565.67209254</v>
      </c>
      <c r="D9" s="82">
        <f>D7+D8</f>
        <v>35596460</v>
      </c>
      <c r="E9" s="232">
        <f t="shared" si="0"/>
        <v>-67165105.672092542</v>
      </c>
      <c r="F9" s="11">
        <f t="shared" si="1"/>
        <v>1779823</v>
      </c>
      <c r="G9" s="16">
        <f t="shared" si="2"/>
        <v>33816637</v>
      </c>
      <c r="H9" s="16">
        <f t="shared" si="3"/>
        <v>-68944928.672092542</v>
      </c>
      <c r="J9" s="71">
        <f t="shared" si="4"/>
        <v>113037722.2393018</v>
      </c>
      <c r="K9" s="247"/>
      <c r="L9" s="247"/>
      <c r="N9" s="249"/>
    </row>
    <row r="10" spans="1:16" s="11" customFormat="1" ht="15" x14ac:dyDescent="0.3">
      <c r="A10" s="65"/>
      <c r="B10" s="91" t="s">
        <v>301</v>
      </c>
      <c r="C10" s="82">
        <f>'RKP 08'!G97</f>
        <v>5679792.5693189129</v>
      </c>
      <c r="D10" s="82"/>
      <c r="E10" s="232">
        <f t="shared" si="0"/>
        <v>-5679792.5693189129</v>
      </c>
      <c r="F10" s="11">
        <f t="shared" si="1"/>
        <v>0</v>
      </c>
      <c r="G10" s="16">
        <f t="shared" si="2"/>
        <v>0</v>
      </c>
      <c r="H10" s="16">
        <f t="shared" si="3"/>
        <v>-5679792.5693189129</v>
      </c>
      <c r="J10" s="71">
        <f>C10*10%+C10</f>
        <v>6247771.8262508046</v>
      </c>
      <c r="K10" s="247"/>
      <c r="L10" s="247"/>
      <c r="N10" s="249"/>
    </row>
    <row r="11" spans="1:16" s="11" customFormat="1" ht="15" x14ac:dyDescent="0.3">
      <c r="A11" s="138"/>
      <c r="B11" s="138" t="s">
        <v>303</v>
      </c>
      <c r="C11" s="139">
        <f>C9+C10</f>
        <v>108441358.24141145</v>
      </c>
      <c r="D11" s="139">
        <f>D9</f>
        <v>35596460</v>
      </c>
      <c r="E11" s="233">
        <f t="shared" si="0"/>
        <v>-72844898.241411448</v>
      </c>
      <c r="F11" s="11">
        <f t="shared" si="1"/>
        <v>1779823</v>
      </c>
      <c r="G11" s="16">
        <f t="shared" si="2"/>
        <v>33816637</v>
      </c>
      <c r="H11" s="16">
        <f t="shared" si="3"/>
        <v>-74624721.241411448</v>
      </c>
      <c r="I11" s="143"/>
      <c r="J11" s="71">
        <f t="shared" si="4"/>
        <v>119285494.06555259</v>
      </c>
      <c r="K11" s="247"/>
      <c r="L11" s="247"/>
      <c r="N11" s="249"/>
      <c r="O11" s="247">
        <f>C11-'RKP 08'!G99</f>
        <v>-10834285.714285731</v>
      </c>
      <c r="P11" s="247">
        <f>'RKP 08'!G97</f>
        <v>5679792.5693189129</v>
      </c>
    </row>
    <row r="12" spans="1:16" s="7" customFormat="1" ht="13.5" hidden="1" x14ac:dyDescent="0.25">
      <c r="A12" s="56" t="s">
        <v>278</v>
      </c>
      <c r="B12" s="67" t="s">
        <v>279</v>
      </c>
      <c r="C12" s="132"/>
      <c r="D12" s="133">
        <f>8369944375/1000</f>
        <v>8369944.375</v>
      </c>
      <c r="E12" s="234">
        <f>C12-D12</f>
        <v>-8369944.375</v>
      </c>
      <c r="F12" s="7">
        <f t="shared" si="1"/>
        <v>418497.21875</v>
      </c>
      <c r="G12" s="16">
        <f t="shared" si="2"/>
        <v>7951447.15625</v>
      </c>
      <c r="H12" s="16">
        <f t="shared" si="3"/>
        <v>7951447.15625</v>
      </c>
      <c r="J12" s="71">
        <f t="shared" si="4"/>
        <v>0</v>
      </c>
      <c r="K12" s="37"/>
      <c r="L12" s="37"/>
      <c r="N12" s="35"/>
      <c r="O12" s="37"/>
      <c r="P12" s="37"/>
    </row>
    <row r="13" spans="1:16" s="7" customFormat="1" ht="15" hidden="1" x14ac:dyDescent="0.3">
      <c r="A13" s="66"/>
      <c r="B13" s="66" t="s">
        <v>280</v>
      </c>
      <c r="C13" s="63">
        <f>C9+C12</f>
        <v>102761565.67209254</v>
      </c>
      <c r="D13" s="63">
        <f>D9+D12</f>
        <v>43966404.375</v>
      </c>
      <c r="E13" s="235">
        <f>C13-D13</f>
        <v>58795161.297092542</v>
      </c>
      <c r="F13" s="7">
        <f t="shared" si="1"/>
        <v>2198320.21875</v>
      </c>
      <c r="G13" s="16">
        <f t="shared" si="2"/>
        <v>41768084.15625</v>
      </c>
      <c r="H13" s="16">
        <f t="shared" si="3"/>
        <v>-60993481.515842542</v>
      </c>
      <c r="J13" s="71">
        <f t="shared" si="4"/>
        <v>113037722.2393018</v>
      </c>
      <c r="K13" s="37"/>
      <c r="L13" s="37"/>
      <c r="N13" s="35"/>
      <c r="O13" s="37"/>
      <c r="P13" s="37"/>
    </row>
    <row r="14" spans="1:16" s="7" customFormat="1" ht="15" x14ac:dyDescent="0.3">
      <c r="A14" s="11"/>
      <c r="B14" s="11"/>
      <c r="C14" s="83"/>
      <c r="E14" s="234"/>
      <c r="F14" s="7">
        <f t="shared" si="1"/>
        <v>0</v>
      </c>
      <c r="G14" s="16">
        <f t="shared" si="2"/>
        <v>0</v>
      </c>
      <c r="H14" s="16">
        <f t="shared" si="3"/>
        <v>0</v>
      </c>
      <c r="J14" s="71">
        <f t="shared" si="4"/>
        <v>0</v>
      </c>
      <c r="K14" s="37"/>
      <c r="L14" s="37"/>
      <c r="N14" s="35"/>
      <c r="O14" s="37"/>
      <c r="P14" s="37">
        <f>O11+P11</f>
        <v>-5154493.1449668184</v>
      </c>
    </row>
    <row r="15" spans="1:16" s="7" customFormat="1" ht="15" x14ac:dyDescent="0.3">
      <c r="A15" s="651" t="s">
        <v>183</v>
      </c>
      <c r="B15" s="651" t="s">
        <v>184</v>
      </c>
      <c r="C15" s="92" t="s">
        <v>293</v>
      </c>
      <c r="D15" s="153"/>
      <c r="E15" s="236"/>
      <c r="F15" s="7">
        <f t="shared" si="1"/>
        <v>0</v>
      </c>
      <c r="G15" s="16">
        <f t="shared" si="2"/>
        <v>0</v>
      </c>
      <c r="H15" s="16" t="e">
        <f t="shared" si="3"/>
        <v>#VALUE!</v>
      </c>
      <c r="J15" s="71"/>
      <c r="K15" s="37"/>
      <c r="L15" s="37"/>
      <c r="N15" s="35"/>
      <c r="O15" s="37"/>
      <c r="P15" s="37"/>
    </row>
    <row r="16" spans="1:16" s="7" customFormat="1" ht="15" x14ac:dyDescent="0.3">
      <c r="A16" s="651"/>
      <c r="B16" s="651"/>
      <c r="C16" s="68" t="s">
        <v>484</v>
      </c>
      <c r="D16" s="92" t="s">
        <v>295</v>
      </c>
      <c r="E16" s="237" t="s">
        <v>300</v>
      </c>
      <c r="F16" s="7" t="e">
        <f t="shared" si="1"/>
        <v>#VALUE!</v>
      </c>
      <c r="G16" s="16" t="e">
        <f t="shared" si="2"/>
        <v>#VALUE!</v>
      </c>
      <c r="H16" s="16" t="e">
        <f t="shared" si="3"/>
        <v>#VALUE!</v>
      </c>
      <c r="J16" s="71"/>
      <c r="K16" s="37"/>
      <c r="L16" s="37"/>
      <c r="N16" s="35"/>
    </row>
    <row r="17" spans="1:14" s="7" customFormat="1" ht="15" x14ac:dyDescent="0.3">
      <c r="A17" s="84" t="s">
        <v>185</v>
      </c>
      <c r="B17" s="86" t="s">
        <v>275</v>
      </c>
      <c r="C17" s="85"/>
      <c r="D17" s="57"/>
      <c r="E17" s="238"/>
      <c r="F17" s="7">
        <f t="shared" si="1"/>
        <v>0</v>
      </c>
      <c r="G17" s="16">
        <f t="shared" si="2"/>
        <v>0</v>
      </c>
      <c r="H17" s="16">
        <f t="shared" si="3"/>
        <v>0</v>
      </c>
      <c r="J17" s="71">
        <f t="shared" si="4"/>
        <v>0</v>
      </c>
      <c r="K17" s="37"/>
      <c r="L17" s="37"/>
      <c r="N17" s="35"/>
    </row>
    <row r="18" spans="1:14" s="7" customFormat="1" ht="13.5" x14ac:dyDescent="0.25">
      <c r="A18" s="58">
        <v>1</v>
      </c>
      <c r="B18" s="58" t="s">
        <v>281</v>
      </c>
      <c r="C18" s="59">
        <f>'LC Mekanis'!G40</f>
        <v>10316300.189999999</v>
      </c>
      <c r="D18" s="59">
        <v>3990300</v>
      </c>
      <c r="E18" s="239">
        <f t="shared" ref="E18:E40" si="5">D18-C18</f>
        <v>-6326000.1899999995</v>
      </c>
      <c r="F18" s="7">
        <f t="shared" si="1"/>
        <v>199515</v>
      </c>
      <c r="G18" s="16">
        <f t="shared" si="2"/>
        <v>3790785</v>
      </c>
      <c r="H18" s="16">
        <f t="shared" si="3"/>
        <v>-6525515.1899999995</v>
      </c>
      <c r="I18" s="71">
        <f>C18/4.5</f>
        <v>2292511.1533333333</v>
      </c>
      <c r="J18" s="71">
        <f t="shared" si="4"/>
        <v>11347930.208999999</v>
      </c>
      <c r="K18" s="37">
        <f>3990316-190015</f>
        <v>3800301</v>
      </c>
      <c r="L18" s="37">
        <f>K18-C18</f>
        <v>-6515999.1899999995</v>
      </c>
      <c r="N18" s="35"/>
    </row>
    <row r="19" spans="1:14" s="7" customFormat="1" ht="15" x14ac:dyDescent="0.3">
      <c r="A19" s="58"/>
      <c r="B19" s="686" t="s">
        <v>1</v>
      </c>
      <c r="C19" s="687">
        <f>'Cost PN'!L43</f>
        <v>2098329.2392857145</v>
      </c>
      <c r="D19" s="144">
        <v>1771876</v>
      </c>
      <c r="E19" s="239">
        <f t="shared" si="5"/>
        <v>-326453.23928571446</v>
      </c>
      <c r="F19" s="7">
        <f t="shared" si="1"/>
        <v>88593.8</v>
      </c>
      <c r="G19" s="16">
        <f t="shared" si="2"/>
        <v>1683282.2</v>
      </c>
      <c r="H19" s="16">
        <f t="shared" si="3"/>
        <v>-415047.03928571451</v>
      </c>
      <c r="J19" s="71">
        <f t="shared" si="4"/>
        <v>2308162.1632142859</v>
      </c>
      <c r="K19" s="37"/>
      <c r="L19" s="37">
        <f t="shared" ref="L19:L40" si="6">K19-C19</f>
        <v>-2098329.2392857145</v>
      </c>
      <c r="N19" s="35"/>
    </row>
    <row r="20" spans="1:14" s="7" customFormat="1" ht="15" x14ac:dyDescent="0.3">
      <c r="A20" s="58"/>
      <c r="B20" s="686" t="s">
        <v>43</v>
      </c>
      <c r="C20" s="687">
        <f>'Cost MN'!M55</f>
        <v>6046531.3310748786</v>
      </c>
      <c r="D20" s="144">
        <v>1944832</v>
      </c>
      <c r="E20" s="239">
        <f t="shared" si="5"/>
        <v>-4101699.3310748786</v>
      </c>
      <c r="F20" s="7">
        <f t="shared" si="1"/>
        <v>97241.600000000006</v>
      </c>
      <c r="G20" s="16">
        <f t="shared" si="2"/>
        <v>1847590.4</v>
      </c>
      <c r="H20" s="16">
        <f t="shared" si="3"/>
        <v>-4198940.9310748782</v>
      </c>
      <c r="J20" s="71">
        <f t="shared" si="4"/>
        <v>6651184.4641823666</v>
      </c>
      <c r="K20" s="37"/>
      <c r="L20" s="37">
        <f t="shared" si="6"/>
        <v>-6046531.3310748786</v>
      </c>
      <c r="N20" s="35"/>
    </row>
    <row r="21" spans="1:14" s="7" customFormat="1" ht="13.5" x14ac:dyDescent="0.25">
      <c r="A21" s="58">
        <v>2</v>
      </c>
      <c r="B21" s="58" t="s">
        <v>186</v>
      </c>
      <c r="C21" s="59">
        <f>SUM(C19:C20)</f>
        <v>8144860.5703605935</v>
      </c>
      <c r="D21" s="59">
        <v>3716700</v>
      </c>
      <c r="E21" s="239">
        <f t="shared" si="5"/>
        <v>-4428160.5703605935</v>
      </c>
      <c r="F21" s="7">
        <f t="shared" si="1"/>
        <v>185835</v>
      </c>
      <c r="G21" s="16">
        <f t="shared" si="2"/>
        <v>3530865</v>
      </c>
      <c r="H21" s="16">
        <f t="shared" si="3"/>
        <v>-4613995.5703605935</v>
      </c>
      <c r="I21" s="71">
        <f>C21/136</f>
        <v>59888.680664416126</v>
      </c>
      <c r="J21" s="71">
        <f t="shared" si="4"/>
        <v>8959346.6273966525</v>
      </c>
      <c r="K21" s="37">
        <f>C21</f>
        <v>8144860.5703605935</v>
      </c>
      <c r="L21" s="37">
        <f t="shared" si="6"/>
        <v>0</v>
      </c>
      <c r="N21" s="35"/>
    </row>
    <row r="22" spans="1:14" s="7" customFormat="1" ht="13.5" x14ac:dyDescent="0.25">
      <c r="A22" s="58">
        <v>3</v>
      </c>
      <c r="B22" s="58" t="s">
        <v>282</v>
      </c>
      <c r="C22" s="59">
        <f>'BHN ORGNK'!G34</f>
        <v>2639267.9900000002</v>
      </c>
      <c r="D22" s="109">
        <v>2552800</v>
      </c>
      <c r="E22" s="239">
        <f t="shared" si="5"/>
        <v>-86467.990000000224</v>
      </c>
      <c r="F22" s="7">
        <f t="shared" si="1"/>
        <v>127640</v>
      </c>
      <c r="G22" s="16">
        <f t="shared" si="2"/>
        <v>2425160</v>
      </c>
      <c r="H22" s="16">
        <f t="shared" si="3"/>
        <v>-214107.99000000022</v>
      </c>
      <c r="J22" s="71">
        <f t="shared" si="4"/>
        <v>2903194.7890000003</v>
      </c>
      <c r="K22" s="248">
        <f>2552800-121561</f>
        <v>2431239</v>
      </c>
      <c r="L22" s="37">
        <f t="shared" si="6"/>
        <v>-208028.99000000022</v>
      </c>
      <c r="N22" s="35"/>
    </row>
    <row r="23" spans="1:14" s="7" customFormat="1" ht="13.5" x14ac:dyDescent="0.25">
      <c r="A23" s="58">
        <v>4</v>
      </c>
      <c r="B23" s="58" t="s">
        <v>283</v>
      </c>
      <c r="C23" s="59">
        <f>Tanam!G45</f>
        <v>4126190.12</v>
      </c>
      <c r="D23" s="64">
        <v>1558200</v>
      </c>
      <c r="E23" s="239">
        <f t="shared" si="5"/>
        <v>-2567990.12</v>
      </c>
      <c r="F23" s="7">
        <f t="shared" si="1"/>
        <v>77910</v>
      </c>
      <c r="G23" s="16">
        <f t="shared" si="2"/>
        <v>1480290</v>
      </c>
      <c r="H23" s="16">
        <f t="shared" si="3"/>
        <v>-2645900.12</v>
      </c>
      <c r="J23" s="71">
        <f t="shared" si="4"/>
        <v>4538809.1320000002</v>
      </c>
      <c r="K23" s="248">
        <f>D23</f>
        <v>1558200</v>
      </c>
      <c r="L23" s="37">
        <f t="shared" si="6"/>
        <v>-2567990.12</v>
      </c>
      <c r="N23" s="35"/>
    </row>
    <row r="24" spans="1:14" s="7" customFormat="1" ht="13.5" x14ac:dyDescent="0.25">
      <c r="A24" s="58">
        <v>5</v>
      </c>
      <c r="B24" s="58" t="s">
        <v>188</v>
      </c>
      <c r="C24" s="59">
        <f>'TBM 1'!Q34</f>
        <v>14044331.454</v>
      </c>
      <c r="D24" s="64">
        <v>4441000</v>
      </c>
      <c r="E24" s="239">
        <f t="shared" si="5"/>
        <v>-9603331.4539999999</v>
      </c>
      <c r="F24" s="7">
        <f t="shared" si="1"/>
        <v>222050</v>
      </c>
      <c r="G24" s="16">
        <f t="shared" si="2"/>
        <v>4218950</v>
      </c>
      <c r="H24" s="16">
        <f t="shared" si="3"/>
        <v>-9825381.4539999999</v>
      </c>
      <c r="J24" s="71">
        <f t="shared" si="4"/>
        <v>15448764.599400001</v>
      </c>
      <c r="K24" s="37">
        <f>4441000-211478</f>
        <v>4229522</v>
      </c>
      <c r="L24" s="37">
        <f t="shared" si="6"/>
        <v>-9814809.4539999999</v>
      </c>
      <c r="N24" s="35"/>
    </row>
    <row r="25" spans="1:14" s="7" customFormat="1" ht="13.5" x14ac:dyDescent="0.25">
      <c r="A25" s="58">
        <v>6</v>
      </c>
      <c r="B25" s="58" t="s">
        <v>189</v>
      </c>
      <c r="C25" s="59">
        <f>'TBM 2'!Q35</f>
        <v>18644091.250935495</v>
      </c>
      <c r="D25" s="64">
        <v>6238900</v>
      </c>
      <c r="E25" s="239">
        <f t="shared" si="5"/>
        <v>-12405191.250935495</v>
      </c>
      <c r="F25" s="7">
        <f t="shared" si="1"/>
        <v>311945</v>
      </c>
      <c r="G25" s="16">
        <f t="shared" si="2"/>
        <v>5926955</v>
      </c>
      <c r="H25" s="16">
        <f t="shared" si="3"/>
        <v>-12717136.250935495</v>
      </c>
      <c r="J25" s="71">
        <f t="shared" si="4"/>
        <v>20508500.376029044</v>
      </c>
      <c r="K25" s="37">
        <f>6238900-297091</f>
        <v>5941809</v>
      </c>
      <c r="L25" s="37">
        <f t="shared" si="6"/>
        <v>-12702282.250935495</v>
      </c>
      <c r="N25" s="35"/>
    </row>
    <row r="26" spans="1:14" s="7" customFormat="1" ht="13.5" x14ac:dyDescent="0.25">
      <c r="A26" s="60">
        <v>7</v>
      </c>
      <c r="B26" s="60" t="s">
        <v>190</v>
      </c>
      <c r="C26" s="61">
        <f>'TBM 3'!Q39</f>
        <v>21264957.446014963</v>
      </c>
      <c r="D26" s="110">
        <v>5962000</v>
      </c>
      <c r="E26" s="240">
        <f t="shared" si="5"/>
        <v>-15302957.446014963</v>
      </c>
      <c r="F26" s="7">
        <f t="shared" si="1"/>
        <v>298100</v>
      </c>
      <c r="G26" s="16">
        <f t="shared" si="2"/>
        <v>5663900</v>
      </c>
      <c r="H26" s="16">
        <f t="shared" si="3"/>
        <v>-15601057.446014963</v>
      </c>
      <c r="J26" s="71">
        <f t="shared" si="4"/>
        <v>23391453.190616459</v>
      </c>
      <c r="K26" s="37">
        <f>5962000-283906</f>
        <v>5678094</v>
      </c>
      <c r="L26" s="37">
        <f t="shared" si="6"/>
        <v>-15586863.446014963</v>
      </c>
      <c r="N26" s="35"/>
    </row>
    <row r="27" spans="1:14" s="11" customFormat="1" ht="15" x14ac:dyDescent="0.3">
      <c r="A27" s="66"/>
      <c r="B27" s="66" t="s">
        <v>292</v>
      </c>
      <c r="C27" s="63">
        <f>C18+C21+C22+C23+C24+C25+C26</f>
        <v>79179999.021311045</v>
      </c>
      <c r="D27" s="63">
        <f>SUM(D21:D26)+D18</f>
        <v>28459900</v>
      </c>
      <c r="E27" s="241">
        <f t="shared" si="5"/>
        <v>-50720099.021311045</v>
      </c>
      <c r="F27" s="11">
        <f t="shared" si="1"/>
        <v>1422995</v>
      </c>
      <c r="G27" s="16">
        <f t="shared" si="2"/>
        <v>27036905</v>
      </c>
      <c r="H27" s="16">
        <f t="shared" si="3"/>
        <v>-52143094.021311045</v>
      </c>
      <c r="J27" s="71">
        <f t="shared" si="4"/>
        <v>87097998.923442155</v>
      </c>
      <c r="K27" s="63">
        <f>SUM(K21:K26)+K18</f>
        <v>31784025.570360593</v>
      </c>
      <c r="L27" s="37">
        <f t="shared" si="6"/>
        <v>-47395973.450950451</v>
      </c>
      <c r="N27" s="249"/>
    </row>
    <row r="28" spans="1:14" s="11" customFormat="1" ht="15" x14ac:dyDescent="0.3">
      <c r="A28" s="90" t="s">
        <v>187</v>
      </c>
      <c r="B28" s="87" t="s">
        <v>284</v>
      </c>
      <c r="C28" s="88"/>
      <c r="D28" s="94"/>
      <c r="E28" s="242">
        <f t="shared" si="5"/>
        <v>0</v>
      </c>
      <c r="F28" s="11">
        <f t="shared" si="1"/>
        <v>0</v>
      </c>
      <c r="G28" s="16">
        <f t="shared" si="2"/>
        <v>0</v>
      </c>
      <c r="H28" s="16">
        <f t="shared" si="3"/>
        <v>0</v>
      </c>
      <c r="J28" s="71">
        <f t="shared" si="4"/>
        <v>0</v>
      </c>
      <c r="K28" s="247"/>
      <c r="L28" s="37">
        <f t="shared" si="6"/>
        <v>0</v>
      </c>
      <c r="N28" s="249"/>
    </row>
    <row r="29" spans="1:14" s="11" customFormat="1" ht="15" x14ac:dyDescent="0.3">
      <c r="A29" s="89" t="s">
        <v>285</v>
      </c>
      <c r="B29" s="87" t="s">
        <v>286</v>
      </c>
      <c r="C29" s="88"/>
      <c r="D29" s="111"/>
      <c r="E29" s="243">
        <f t="shared" si="5"/>
        <v>0</v>
      </c>
      <c r="F29" s="11">
        <f t="shared" si="1"/>
        <v>0</v>
      </c>
      <c r="G29" s="16">
        <f t="shared" si="2"/>
        <v>0</v>
      </c>
      <c r="H29" s="16">
        <f t="shared" si="3"/>
        <v>0</v>
      </c>
      <c r="J29" s="71">
        <f t="shared" si="4"/>
        <v>0</v>
      </c>
      <c r="K29" s="247"/>
      <c r="L29" s="37">
        <f t="shared" si="6"/>
        <v>0</v>
      </c>
      <c r="N29" s="249"/>
    </row>
    <row r="30" spans="1:14" s="7" customFormat="1" ht="13.5" x14ac:dyDescent="0.25">
      <c r="A30" s="58">
        <v>1</v>
      </c>
      <c r="B30" s="58" t="s">
        <v>263</v>
      </c>
      <c r="C30" s="59">
        <f>'RKP 08'!G66</f>
        <v>261234.30900000001</v>
      </c>
      <c r="D30" s="64">
        <v>471450</v>
      </c>
      <c r="E30" s="239">
        <f t="shared" si="5"/>
        <v>210215.69099999999</v>
      </c>
      <c r="F30" s="7">
        <f t="shared" si="1"/>
        <v>23572.5</v>
      </c>
      <c r="G30" s="16">
        <f t="shared" si="2"/>
        <v>447877.5</v>
      </c>
      <c r="H30" s="16">
        <f t="shared" si="3"/>
        <v>186643.19099999999</v>
      </c>
      <c r="J30" s="71">
        <f t="shared" si="4"/>
        <v>287357.73989999999</v>
      </c>
      <c r="K30" s="37">
        <f>471450-22450</f>
        <v>449000</v>
      </c>
      <c r="L30" s="37">
        <f t="shared" si="6"/>
        <v>187765.69099999999</v>
      </c>
      <c r="N30" s="35"/>
    </row>
    <row r="31" spans="1:14" s="7" customFormat="1" ht="13.5" x14ac:dyDescent="0.25">
      <c r="A31" s="58">
        <v>2</v>
      </c>
      <c r="B31" s="58" t="s">
        <v>264</v>
      </c>
      <c r="C31" s="59">
        <f>'RKP 08'!I67</f>
        <v>774176.50000000012</v>
      </c>
      <c r="D31" s="64">
        <v>733950</v>
      </c>
      <c r="E31" s="239">
        <f t="shared" si="5"/>
        <v>-40226.500000000116</v>
      </c>
      <c r="F31" s="7">
        <f t="shared" si="1"/>
        <v>36697.5</v>
      </c>
      <c r="G31" s="16">
        <f t="shared" si="2"/>
        <v>697252.5</v>
      </c>
      <c r="H31" s="16">
        <f t="shared" si="3"/>
        <v>-76924.000000000116</v>
      </c>
      <c r="J31" s="71">
        <f t="shared" si="4"/>
        <v>851594.15000000014</v>
      </c>
      <c r="K31" s="37">
        <f>733950-34950</f>
        <v>699000</v>
      </c>
      <c r="L31" s="37">
        <f t="shared" si="6"/>
        <v>-75176.500000000116</v>
      </c>
      <c r="N31" s="35"/>
    </row>
    <row r="32" spans="1:14" s="7" customFormat="1" ht="13.5" x14ac:dyDescent="0.25">
      <c r="A32" s="58">
        <v>3</v>
      </c>
      <c r="B32" s="58" t="s">
        <v>171</v>
      </c>
      <c r="C32" s="59">
        <f>'RKP 08'!I63</f>
        <v>11506163.8729815</v>
      </c>
      <c r="D32" s="110">
        <v>1288350</v>
      </c>
      <c r="E32" s="240">
        <f t="shared" si="5"/>
        <v>-10217813.8729815</v>
      </c>
      <c r="F32" s="7">
        <f t="shared" si="1"/>
        <v>64417.5</v>
      </c>
      <c r="G32" s="16">
        <f t="shared" si="2"/>
        <v>1223932.5</v>
      </c>
      <c r="H32" s="16">
        <f t="shared" si="3"/>
        <v>-10282231.3729815</v>
      </c>
      <c r="J32" s="71">
        <f t="shared" si="4"/>
        <v>12656780.26027965</v>
      </c>
      <c r="K32" s="37">
        <f>1288350-61350</f>
        <v>1227000</v>
      </c>
      <c r="L32" s="37">
        <f t="shared" si="6"/>
        <v>-10279163.8729815</v>
      </c>
      <c r="N32" s="35"/>
    </row>
    <row r="33" spans="1:14" s="7" customFormat="1" ht="15" x14ac:dyDescent="0.3">
      <c r="A33" s="66"/>
      <c r="B33" s="66" t="s">
        <v>287</v>
      </c>
      <c r="C33" s="63">
        <f>SUM(C30:C32)</f>
        <v>12541574.6819815</v>
      </c>
      <c r="D33" s="63">
        <f>SUM(D30:D32)</f>
        <v>2493750</v>
      </c>
      <c r="E33" s="241">
        <f t="shared" si="5"/>
        <v>-10047824.6819815</v>
      </c>
      <c r="F33" s="7">
        <f t="shared" si="1"/>
        <v>124687.5</v>
      </c>
      <c r="G33" s="16">
        <f t="shared" si="2"/>
        <v>2369062.5</v>
      </c>
      <c r="H33" s="16">
        <f t="shared" si="3"/>
        <v>-10172512.1819815</v>
      </c>
      <c r="J33" s="71">
        <f t="shared" si="4"/>
        <v>13795732.150179651</v>
      </c>
      <c r="K33" s="63">
        <f>SUM(K30:K32)</f>
        <v>2375000</v>
      </c>
      <c r="L33" s="37">
        <f t="shared" si="6"/>
        <v>-10166574.6819815</v>
      </c>
      <c r="N33" s="35"/>
    </row>
    <row r="34" spans="1:14" s="7" customFormat="1" ht="15" x14ac:dyDescent="0.3">
      <c r="A34" s="91" t="s">
        <v>288</v>
      </c>
      <c r="B34" s="65" t="s">
        <v>289</v>
      </c>
      <c r="C34" s="59"/>
      <c r="D34" s="69"/>
      <c r="E34" s="238">
        <f t="shared" si="5"/>
        <v>0</v>
      </c>
      <c r="F34" s="7">
        <f t="shared" si="1"/>
        <v>0</v>
      </c>
      <c r="G34" s="16">
        <f t="shared" si="2"/>
        <v>0</v>
      </c>
      <c r="H34" s="16">
        <f t="shared" si="3"/>
        <v>0</v>
      </c>
      <c r="J34" s="71">
        <f t="shared" si="4"/>
        <v>0</v>
      </c>
      <c r="K34" s="37"/>
      <c r="L34" s="37">
        <f t="shared" si="6"/>
        <v>0</v>
      </c>
      <c r="N34" s="35"/>
    </row>
    <row r="35" spans="1:14" s="7" customFormat="1" ht="13.5" x14ac:dyDescent="0.25">
      <c r="A35" s="58">
        <v>4</v>
      </c>
      <c r="B35" s="58" t="s">
        <v>265</v>
      </c>
      <c r="C35" s="59">
        <f>'RKP 08'!I70</f>
        <v>4569995.9843999995</v>
      </c>
      <c r="D35" s="64">
        <v>752252</v>
      </c>
      <c r="E35" s="239">
        <f t="shared" si="5"/>
        <v>-3817743.9843999995</v>
      </c>
      <c r="F35" s="7">
        <f t="shared" si="1"/>
        <v>37612.6</v>
      </c>
      <c r="G35" s="16">
        <f t="shared" si="2"/>
        <v>714639.4</v>
      </c>
      <c r="H35" s="16">
        <f t="shared" si="3"/>
        <v>-3855356.5843999996</v>
      </c>
      <c r="J35" s="71">
        <f t="shared" si="4"/>
        <v>5026995.5828399993</v>
      </c>
      <c r="K35" s="37">
        <f>752252-35822</f>
        <v>716430</v>
      </c>
      <c r="L35" s="37">
        <f t="shared" si="6"/>
        <v>-3853565.9843999995</v>
      </c>
      <c r="N35" s="35"/>
    </row>
    <row r="36" spans="1:14" s="7" customFormat="1" ht="13.5" x14ac:dyDescent="0.25">
      <c r="A36" s="60">
        <v>5</v>
      </c>
      <c r="B36" s="58" t="s">
        <v>266</v>
      </c>
      <c r="C36" s="61">
        <f>'RKP 08'!I71</f>
        <v>4569995.9843999995</v>
      </c>
      <c r="D36" s="64">
        <v>1316293</v>
      </c>
      <c r="E36" s="239">
        <f t="shared" si="5"/>
        <v>-3253702.9843999995</v>
      </c>
      <c r="F36" s="7">
        <f t="shared" si="1"/>
        <v>65814.650000000009</v>
      </c>
      <c r="G36" s="16">
        <f t="shared" si="2"/>
        <v>1250478.3500000001</v>
      </c>
      <c r="H36" s="16">
        <f t="shared" si="3"/>
        <v>-3319517.6343999994</v>
      </c>
      <c r="J36" s="71">
        <f t="shared" si="4"/>
        <v>5026995.5828399993</v>
      </c>
      <c r="K36" s="37">
        <f>1316293-62681</f>
        <v>1253612</v>
      </c>
      <c r="L36" s="37">
        <f t="shared" si="6"/>
        <v>-3316383.9843999995</v>
      </c>
      <c r="N36" s="35"/>
    </row>
    <row r="37" spans="1:14" s="7" customFormat="1" ht="13.5" x14ac:dyDescent="0.25">
      <c r="A37" s="60">
        <v>6</v>
      </c>
      <c r="B37" s="60" t="s">
        <v>267</v>
      </c>
      <c r="C37" s="61">
        <f>'RKP 08'!I62</f>
        <v>0</v>
      </c>
      <c r="D37" s="110">
        <v>524265</v>
      </c>
      <c r="E37" s="240">
        <f t="shared" si="5"/>
        <v>524265</v>
      </c>
      <c r="F37" s="7">
        <f t="shared" si="1"/>
        <v>26213.25</v>
      </c>
      <c r="G37" s="16">
        <f t="shared" si="2"/>
        <v>498051.75</v>
      </c>
      <c r="H37" s="16">
        <f t="shared" si="3"/>
        <v>498051.75</v>
      </c>
      <c r="J37" s="71">
        <f t="shared" si="4"/>
        <v>0</v>
      </c>
      <c r="K37" s="37">
        <f>524265-24965</f>
        <v>499300</v>
      </c>
      <c r="L37" s="37">
        <f t="shared" si="6"/>
        <v>499300</v>
      </c>
      <c r="N37" s="35"/>
    </row>
    <row r="38" spans="1:14" s="7" customFormat="1" ht="15" x14ac:dyDescent="0.3">
      <c r="A38" s="66"/>
      <c r="B38" s="66" t="s">
        <v>290</v>
      </c>
      <c r="C38" s="63">
        <f>SUM(C35:C37)</f>
        <v>9139991.968799999</v>
      </c>
      <c r="D38" s="63">
        <f>SUM(D35:D37)</f>
        <v>2592810</v>
      </c>
      <c r="E38" s="241">
        <f t="shared" si="5"/>
        <v>-6547181.968799999</v>
      </c>
      <c r="F38" s="7">
        <f t="shared" si="1"/>
        <v>129640.5</v>
      </c>
      <c r="G38" s="16">
        <f t="shared" si="2"/>
        <v>2463169.5</v>
      </c>
      <c r="H38" s="16">
        <f t="shared" si="3"/>
        <v>-6676822.468799999</v>
      </c>
      <c r="J38" s="71">
        <f t="shared" si="4"/>
        <v>10053991.165679999</v>
      </c>
      <c r="K38" s="63">
        <f>SUM(K35:K37)</f>
        <v>2469342</v>
      </c>
      <c r="L38" s="37">
        <f t="shared" si="6"/>
        <v>-6670649.968799999</v>
      </c>
      <c r="N38" s="35"/>
    </row>
    <row r="39" spans="1:14" s="7" customFormat="1" ht="15" x14ac:dyDescent="0.3">
      <c r="A39" s="66"/>
      <c r="B39" s="66" t="s">
        <v>291</v>
      </c>
      <c r="C39" s="63">
        <f>C33+C38</f>
        <v>21681566.650781497</v>
      </c>
      <c r="D39" s="63">
        <f>D33+D38</f>
        <v>5086560</v>
      </c>
      <c r="E39" s="241">
        <f t="shared" si="5"/>
        <v>-16595006.650781497</v>
      </c>
      <c r="F39" s="7">
        <f t="shared" si="1"/>
        <v>254328</v>
      </c>
      <c r="G39" s="16">
        <f t="shared" si="2"/>
        <v>4832232</v>
      </c>
      <c r="H39" s="16">
        <f t="shared" si="3"/>
        <v>-16849334.650781497</v>
      </c>
      <c r="J39" s="71">
        <f t="shared" si="4"/>
        <v>23849723.315859646</v>
      </c>
      <c r="K39" s="63">
        <f>K33+K38</f>
        <v>4844342</v>
      </c>
      <c r="L39" s="37">
        <f t="shared" si="6"/>
        <v>-16837224.650781497</v>
      </c>
      <c r="N39" s="35"/>
    </row>
    <row r="40" spans="1:14" s="7" customFormat="1" ht="16.5" x14ac:dyDescent="0.3">
      <c r="A40" s="95" t="s">
        <v>296</v>
      </c>
      <c r="B40" s="95"/>
      <c r="C40" s="96">
        <f>C27+C39</f>
        <v>100861565.67209254</v>
      </c>
      <c r="D40" s="96">
        <f>D27+D39</f>
        <v>33546460</v>
      </c>
      <c r="E40" s="241">
        <f t="shared" si="5"/>
        <v>-67315105.672092542</v>
      </c>
      <c r="F40" s="7">
        <f t="shared" si="1"/>
        <v>1677323</v>
      </c>
      <c r="G40" s="16">
        <f t="shared" si="2"/>
        <v>31869137</v>
      </c>
      <c r="H40" s="16">
        <f t="shared" si="3"/>
        <v>-68992428.672092542</v>
      </c>
      <c r="J40" s="71">
        <f t="shared" si="4"/>
        <v>110947722.2393018</v>
      </c>
      <c r="K40" s="96">
        <f>K27+K39</f>
        <v>36628367.570360593</v>
      </c>
      <c r="L40" s="37">
        <f t="shared" si="6"/>
        <v>-64233198.101731949</v>
      </c>
      <c r="N40" s="35"/>
    </row>
    <row r="41" spans="1:14" s="7" customFormat="1" ht="13.5" x14ac:dyDescent="0.25">
      <c r="K41" s="37"/>
      <c r="L41" s="37"/>
      <c r="N41" s="35"/>
    </row>
    <row r="42" spans="1:14" s="7" customFormat="1" ht="13.5" x14ac:dyDescent="0.25">
      <c r="K42" s="37"/>
      <c r="L42" s="37"/>
      <c r="N42" s="35"/>
    </row>
    <row r="43" spans="1:14" s="7" customFormat="1" ht="13.5" x14ac:dyDescent="0.25">
      <c r="K43" s="37"/>
      <c r="L43" s="37"/>
      <c r="N43" s="35"/>
    </row>
    <row r="44" spans="1:14" s="7" customFormat="1" ht="13.5" x14ac:dyDescent="0.25">
      <c r="K44" s="37"/>
      <c r="L44" s="37"/>
      <c r="N44" s="35"/>
    </row>
    <row r="45" spans="1:14" s="7" customFormat="1" ht="13.5" x14ac:dyDescent="0.25">
      <c r="B45" s="142"/>
      <c r="K45" s="37"/>
      <c r="L45" s="37"/>
      <c r="N45" s="35"/>
    </row>
    <row r="46" spans="1:14" s="7" customFormat="1" ht="13.5" x14ac:dyDescent="0.25">
      <c r="K46" s="37"/>
      <c r="L46" s="37"/>
      <c r="N46" s="35"/>
    </row>
    <row r="47" spans="1:14" s="7" customFormat="1" ht="13.5" x14ac:dyDescent="0.25">
      <c r="K47" s="37"/>
      <c r="L47" s="37"/>
      <c r="N47" s="35"/>
    </row>
    <row r="48" spans="1:14" s="7" customFormat="1" ht="13.5" x14ac:dyDescent="0.25">
      <c r="K48" s="37"/>
      <c r="L48" s="37"/>
      <c r="N48" s="35"/>
    </row>
    <row r="49" spans="11:14" s="7" customFormat="1" ht="13.5" x14ac:dyDescent="0.25">
      <c r="K49" s="37"/>
      <c r="L49" s="37"/>
      <c r="N49" s="35"/>
    </row>
    <row r="50" spans="11:14" s="7" customFormat="1" ht="13.5" x14ac:dyDescent="0.25">
      <c r="K50" s="37"/>
      <c r="L50" s="37"/>
      <c r="N50" s="35"/>
    </row>
    <row r="51" spans="11:14" s="7" customFormat="1" ht="13.5" x14ac:dyDescent="0.25">
      <c r="K51" s="37"/>
      <c r="L51" s="37"/>
      <c r="N51" s="35"/>
    </row>
    <row r="52" spans="11:14" s="7" customFormat="1" ht="13.5" x14ac:dyDescent="0.25">
      <c r="K52" s="37"/>
      <c r="L52" s="37"/>
      <c r="N52" s="35"/>
    </row>
    <row r="53" spans="11:14" s="7" customFormat="1" ht="13.5" x14ac:dyDescent="0.25">
      <c r="K53" s="37"/>
      <c r="L53" s="37"/>
      <c r="N53" s="35"/>
    </row>
    <row r="54" spans="11:14" s="7" customFormat="1" ht="13.5" x14ac:dyDescent="0.25">
      <c r="K54" s="37"/>
      <c r="L54" s="37"/>
      <c r="N54" s="35"/>
    </row>
    <row r="55" spans="11:14" s="7" customFormat="1" ht="13.5" x14ac:dyDescent="0.25">
      <c r="K55" s="37"/>
      <c r="L55" s="37"/>
      <c r="N55" s="35"/>
    </row>
    <row r="56" spans="11:14" s="7" customFormat="1" ht="13.5" x14ac:dyDescent="0.25">
      <c r="K56" s="37"/>
      <c r="L56" s="37"/>
      <c r="N56" s="35"/>
    </row>
    <row r="57" spans="11:14" s="7" customFormat="1" ht="13.5" x14ac:dyDescent="0.25">
      <c r="K57" s="37"/>
      <c r="L57" s="37"/>
      <c r="N57" s="35"/>
    </row>
    <row r="58" spans="11:14" s="7" customFormat="1" ht="13.5" x14ac:dyDescent="0.25">
      <c r="K58" s="37"/>
      <c r="L58" s="37"/>
      <c r="N58" s="35"/>
    </row>
    <row r="59" spans="11:14" s="7" customFormat="1" ht="13.5" x14ac:dyDescent="0.25">
      <c r="K59" s="37"/>
      <c r="L59" s="37"/>
      <c r="N59" s="35"/>
    </row>
    <row r="60" spans="11:14" s="7" customFormat="1" ht="13.5" x14ac:dyDescent="0.25">
      <c r="K60" s="37"/>
      <c r="L60" s="37"/>
      <c r="N60" s="35"/>
    </row>
    <row r="61" spans="11:14" s="7" customFormat="1" ht="13.5" x14ac:dyDescent="0.25">
      <c r="K61" s="37"/>
      <c r="L61" s="37"/>
      <c r="N61" s="35"/>
    </row>
    <row r="62" spans="11:14" s="7" customFormat="1" ht="13.5" x14ac:dyDescent="0.25">
      <c r="K62" s="37"/>
      <c r="L62" s="37"/>
      <c r="N62" s="35"/>
    </row>
    <row r="63" spans="11:14" s="7" customFormat="1" ht="13.5" x14ac:dyDescent="0.25">
      <c r="K63" s="37"/>
      <c r="L63" s="37"/>
      <c r="N63" s="35"/>
    </row>
    <row r="64" spans="11:14" s="7" customFormat="1" ht="13.5" x14ac:dyDescent="0.25">
      <c r="K64" s="37"/>
      <c r="L64" s="37"/>
      <c r="N64" s="35"/>
    </row>
    <row r="65" spans="11:14" s="7" customFormat="1" ht="13.5" x14ac:dyDescent="0.25">
      <c r="K65" s="37"/>
      <c r="L65" s="37"/>
      <c r="N65" s="35"/>
    </row>
    <row r="66" spans="11:14" s="7" customFormat="1" ht="13.5" x14ac:dyDescent="0.25">
      <c r="K66" s="37"/>
      <c r="L66" s="37"/>
      <c r="N66" s="35"/>
    </row>
    <row r="67" spans="11:14" s="7" customFormat="1" ht="13.5" x14ac:dyDescent="0.25">
      <c r="K67" s="37"/>
      <c r="L67" s="37"/>
      <c r="N67" s="35"/>
    </row>
    <row r="68" spans="11:14" s="7" customFormat="1" ht="13.5" x14ac:dyDescent="0.25">
      <c r="K68" s="37"/>
      <c r="L68" s="37"/>
      <c r="N68" s="35"/>
    </row>
    <row r="69" spans="11:14" s="7" customFormat="1" ht="13.5" x14ac:dyDescent="0.25">
      <c r="K69" s="37"/>
      <c r="L69" s="37"/>
      <c r="N69" s="35"/>
    </row>
    <row r="70" spans="11:14" s="7" customFormat="1" ht="13.5" x14ac:dyDescent="0.25">
      <c r="K70" s="37"/>
      <c r="L70" s="37"/>
      <c r="N70" s="35"/>
    </row>
    <row r="71" spans="11:14" s="7" customFormat="1" ht="13.5" x14ac:dyDescent="0.25">
      <c r="K71" s="37"/>
      <c r="L71" s="37"/>
      <c r="N71" s="35"/>
    </row>
    <row r="72" spans="11:14" s="7" customFormat="1" ht="13.5" x14ac:dyDescent="0.25">
      <c r="K72" s="37"/>
      <c r="L72" s="37"/>
      <c r="N72" s="35"/>
    </row>
    <row r="73" spans="11:14" s="7" customFormat="1" ht="13.5" x14ac:dyDescent="0.25">
      <c r="K73" s="37"/>
      <c r="L73" s="37"/>
      <c r="N73" s="35"/>
    </row>
    <row r="74" spans="11:14" s="7" customFormat="1" ht="13.5" x14ac:dyDescent="0.25">
      <c r="K74" s="37"/>
      <c r="L74" s="37"/>
      <c r="N74" s="35"/>
    </row>
    <row r="75" spans="11:14" s="7" customFormat="1" ht="13.5" x14ac:dyDescent="0.25">
      <c r="K75" s="37"/>
      <c r="L75" s="37"/>
      <c r="N75" s="35"/>
    </row>
    <row r="76" spans="11:14" s="7" customFormat="1" ht="13.5" x14ac:dyDescent="0.25">
      <c r="K76" s="37"/>
      <c r="L76" s="37"/>
      <c r="N76" s="35"/>
    </row>
    <row r="77" spans="11:14" s="7" customFormat="1" ht="13.5" x14ac:dyDescent="0.25">
      <c r="K77" s="37"/>
      <c r="L77" s="37"/>
      <c r="N77" s="35"/>
    </row>
    <row r="78" spans="11:14" s="7" customFormat="1" ht="13.5" x14ac:dyDescent="0.25">
      <c r="K78" s="37"/>
      <c r="L78" s="37"/>
      <c r="N78" s="35"/>
    </row>
    <row r="79" spans="11:14" s="7" customFormat="1" ht="13.5" x14ac:dyDescent="0.25">
      <c r="K79" s="37"/>
      <c r="L79" s="37"/>
      <c r="N79" s="35"/>
    </row>
    <row r="80" spans="11:14" s="7" customFormat="1" ht="13.5" x14ac:dyDescent="0.25">
      <c r="K80" s="37"/>
      <c r="L80" s="37"/>
      <c r="N80" s="35"/>
    </row>
    <row r="81" spans="11:14" s="7" customFormat="1" ht="13.5" x14ac:dyDescent="0.25">
      <c r="K81" s="37"/>
      <c r="L81" s="37"/>
      <c r="N81" s="35"/>
    </row>
    <row r="82" spans="11:14" s="7" customFormat="1" ht="13.5" x14ac:dyDescent="0.25">
      <c r="K82" s="37"/>
      <c r="L82" s="37"/>
      <c r="N82" s="35"/>
    </row>
    <row r="83" spans="11:14" s="7" customFormat="1" ht="13.5" x14ac:dyDescent="0.25">
      <c r="K83" s="37"/>
      <c r="L83" s="37"/>
      <c r="N83" s="35"/>
    </row>
    <row r="84" spans="11:14" s="7" customFormat="1" ht="13.5" x14ac:dyDescent="0.25">
      <c r="K84" s="37"/>
      <c r="L84" s="37"/>
      <c r="N84" s="35"/>
    </row>
    <row r="85" spans="11:14" s="7" customFormat="1" ht="13.5" x14ac:dyDescent="0.25">
      <c r="K85" s="37"/>
      <c r="L85" s="37"/>
      <c r="N85" s="35"/>
    </row>
    <row r="86" spans="11:14" s="7" customFormat="1" ht="13.5" x14ac:dyDescent="0.25">
      <c r="K86" s="37"/>
      <c r="L86" s="37"/>
      <c r="N86" s="35"/>
    </row>
    <row r="87" spans="11:14" s="7" customFormat="1" ht="13.5" x14ac:dyDescent="0.25">
      <c r="K87" s="37"/>
      <c r="L87" s="37"/>
      <c r="N87" s="35"/>
    </row>
    <row r="88" spans="11:14" s="7" customFormat="1" ht="13.5" x14ac:dyDescent="0.25">
      <c r="K88" s="37"/>
      <c r="L88" s="37"/>
      <c r="N88" s="35"/>
    </row>
    <row r="89" spans="11:14" s="7" customFormat="1" ht="13.5" x14ac:dyDescent="0.25">
      <c r="K89" s="37"/>
      <c r="L89" s="37"/>
      <c r="N89" s="35"/>
    </row>
    <row r="90" spans="11:14" s="7" customFormat="1" ht="13.5" x14ac:dyDescent="0.25">
      <c r="K90" s="37"/>
      <c r="L90" s="37"/>
      <c r="N90" s="35"/>
    </row>
    <row r="91" spans="11:14" s="7" customFormat="1" ht="13.5" x14ac:dyDescent="0.25">
      <c r="K91" s="37"/>
      <c r="L91" s="37"/>
      <c r="N91" s="35"/>
    </row>
    <row r="92" spans="11:14" s="7" customFormat="1" ht="13.5" x14ac:dyDescent="0.25">
      <c r="K92" s="37"/>
      <c r="L92" s="37"/>
      <c r="N92" s="35"/>
    </row>
    <row r="93" spans="11:14" s="7" customFormat="1" ht="13.5" x14ac:dyDescent="0.25">
      <c r="K93" s="37"/>
      <c r="L93" s="37"/>
      <c r="N93" s="35"/>
    </row>
    <row r="94" spans="11:14" s="7" customFormat="1" ht="13.5" x14ac:dyDescent="0.25">
      <c r="K94" s="37"/>
      <c r="L94" s="37"/>
      <c r="N94" s="35"/>
    </row>
    <row r="95" spans="11:14" s="7" customFormat="1" ht="13.5" x14ac:dyDescent="0.25">
      <c r="K95" s="37"/>
      <c r="L95" s="37"/>
      <c r="N95" s="35"/>
    </row>
    <row r="96" spans="11:14" s="7" customFormat="1" ht="13.5" x14ac:dyDescent="0.25">
      <c r="K96" s="37"/>
      <c r="L96" s="37"/>
      <c r="N96" s="35"/>
    </row>
    <row r="97" spans="11:14" s="7" customFormat="1" ht="13.5" x14ac:dyDescent="0.25">
      <c r="K97" s="37"/>
      <c r="L97" s="37"/>
      <c r="N97" s="35"/>
    </row>
    <row r="98" spans="11:14" s="7" customFormat="1" ht="13.5" x14ac:dyDescent="0.25">
      <c r="K98" s="37"/>
      <c r="L98" s="37"/>
      <c r="N98" s="35"/>
    </row>
    <row r="99" spans="11:14" s="7" customFormat="1" ht="13.5" x14ac:dyDescent="0.25">
      <c r="K99" s="37"/>
      <c r="L99" s="37"/>
      <c r="N99" s="35"/>
    </row>
    <row r="100" spans="11:14" s="7" customFormat="1" ht="13.5" x14ac:dyDescent="0.25">
      <c r="K100" s="37"/>
      <c r="L100" s="37"/>
      <c r="N100" s="35"/>
    </row>
    <row r="101" spans="11:14" s="7" customFormat="1" ht="13.5" x14ac:dyDescent="0.25">
      <c r="K101" s="37"/>
      <c r="L101" s="37"/>
      <c r="N101" s="35"/>
    </row>
    <row r="102" spans="11:14" s="7" customFormat="1" ht="13.5" x14ac:dyDescent="0.25">
      <c r="K102" s="37"/>
      <c r="L102" s="37"/>
      <c r="N102" s="35"/>
    </row>
    <row r="103" spans="11:14" s="7" customFormat="1" ht="13.5" x14ac:dyDescent="0.25">
      <c r="K103" s="37"/>
      <c r="L103" s="37"/>
      <c r="N103" s="35"/>
    </row>
    <row r="104" spans="11:14" s="7" customFormat="1" ht="13.5" x14ac:dyDescent="0.25">
      <c r="K104" s="37"/>
      <c r="L104" s="37"/>
      <c r="N104" s="35"/>
    </row>
    <row r="105" spans="11:14" s="7" customFormat="1" ht="13.5" x14ac:dyDescent="0.25">
      <c r="K105" s="37"/>
      <c r="L105" s="37"/>
      <c r="N105" s="35"/>
    </row>
    <row r="106" spans="11:14" s="7" customFormat="1" ht="13.5" x14ac:dyDescent="0.25">
      <c r="K106" s="37"/>
      <c r="L106" s="37"/>
      <c r="N106" s="35"/>
    </row>
    <row r="107" spans="11:14" s="7" customFormat="1" ht="13.5" x14ac:dyDescent="0.25">
      <c r="K107" s="37"/>
      <c r="L107" s="37"/>
      <c r="N107" s="35"/>
    </row>
    <row r="108" spans="11:14" s="7" customFormat="1" ht="13.5" x14ac:dyDescent="0.25">
      <c r="K108" s="37"/>
      <c r="L108" s="37"/>
      <c r="N108" s="35"/>
    </row>
    <row r="109" spans="11:14" s="7" customFormat="1" ht="13.5" x14ac:dyDescent="0.25">
      <c r="K109" s="37"/>
      <c r="L109" s="37"/>
      <c r="N109" s="35"/>
    </row>
    <row r="110" spans="11:14" s="7" customFormat="1" ht="13.5" x14ac:dyDescent="0.25">
      <c r="K110" s="37"/>
      <c r="L110" s="37"/>
      <c r="N110" s="35"/>
    </row>
    <row r="111" spans="11:14" s="7" customFormat="1" ht="13.5" x14ac:dyDescent="0.25">
      <c r="K111" s="37"/>
      <c r="L111" s="37"/>
      <c r="N111" s="35"/>
    </row>
    <row r="112" spans="11:14" s="7" customFormat="1" ht="13.5" x14ac:dyDescent="0.25">
      <c r="K112" s="37"/>
      <c r="L112" s="37"/>
      <c r="N112" s="35"/>
    </row>
    <row r="113" spans="11:14" s="7" customFormat="1" ht="13.5" x14ac:dyDescent="0.25">
      <c r="K113" s="37"/>
      <c r="L113" s="37"/>
      <c r="N113" s="35"/>
    </row>
    <row r="114" spans="11:14" s="7" customFormat="1" ht="13.5" x14ac:dyDescent="0.25">
      <c r="K114" s="37"/>
      <c r="L114" s="37"/>
      <c r="N114" s="35"/>
    </row>
    <row r="115" spans="11:14" s="7" customFormat="1" ht="13.5" x14ac:dyDescent="0.25">
      <c r="K115" s="37"/>
      <c r="L115" s="37"/>
      <c r="N115" s="35"/>
    </row>
    <row r="116" spans="11:14" s="7" customFormat="1" ht="13.5" x14ac:dyDescent="0.25">
      <c r="K116" s="37"/>
      <c r="L116" s="37"/>
      <c r="N116" s="35"/>
    </row>
    <row r="117" spans="11:14" s="7" customFormat="1" ht="13.5" x14ac:dyDescent="0.25">
      <c r="K117" s="37"/>
      <c r="L117" s="37"/>
      <c r="N117" s="35"/>
    </row>
    <row r="118" spans="11:14" s="7" customFormat="1" ht="13.5" x14ac:dyDescent="0.25">
      <c r="K118" s="37"/>
      <c r="L118" s="37"/>
      <c r="N118" s="35"/>
    </row>
    <row r="119" spans="11:14" s="7" customFormat="1" ht="13.5" x14ac:dyDescent="0.25">
      <c r="K119" s="37"/>
      <c r="L119" s="37"/>
      <c r="N119" s="35"/>
    </row>
    <row r="120" spans="11:14" s="7" customFormat="1" ht="13.5" x14ac:dyDescent="0.25">
      <c r="K120" s="37"/>
      <c r="L120" s="37"/>
      <c r="N120" s="35"/>
    </row>
    <row r="121" spans="11:14" s="7" customFormat="1" ht="13.5" x14ac:dyDescent="0.25">
      <c r="K121" s="37"/>
      <c r="L121" s="37"/>
      <c r="N121" s="35"/>
    </row>
    <row r="122" spans="11:14" s="7" customFormat="1" ht="13.5" x14ac:dyDescent="0.25">
      <c r="K122" s="37"/>
      <c r="L122" s="37"/>
      <c r="N122" s="35"/>
    </row>
    <row r="123" spans="11:14" s="7" customFormat="1" ht="13.5" x14ac:dyDescent="0.25">
      <c r="K123" s="37"/>
      <c r="L123" s="37"/>
      <c r="N123" s="35"/>
    </row>
    <row r="124" spans="11:14" s="7" customFormat="1" ht="13.5" x14ac:dyDescent="0.25">
      <c r="K124" s="37"/>
      <c r="L124" s="37"/>
      <c r="N124" s="35"/>
    </row>
    <row r="125" spans="11:14" s="7" customFormat="1" ht="13.5" x14ac:dyDescent="0.25">
      <c r="K125" s="37"/>
      <c r="L125" s="37"/>
      <c r="N125" s="35"/>
    </row>
    <row r="126" spans="11:14" s="7" customFormat="1" ht="13.5" x14ac:dyDescent="0.25">
      <c r="K126" s="37"/>
      <c r="L126" s="37"/>
      <c r="N126" s="35"/>
    </row>
    <row r="127" spans="11:14" s="7" customFormat="1" ht="13.5" x14ac:dyDescent="0.25">
      <c r="K127" s="37"/>
      <c r="L127" s="37"/>
      <c r="N127" s="35"/>
    </row>
    <row r="128" spans="11:14" s="7" customFormat="1" ht="13.5" x14ac:dyDescent="0.25">
      <c r="K128" s="37"/>
      <c r="L128" s="37"/>
      <c r="N128" s="35"/>
    </row>
    <row r="129" spans="11:14" s="7" customFormat="1" ht="13.5" x14ac:dyDescent="0.25">
      <c r="K129" s="37"/>
      <c r="L129" s="37"/>
      <c r="N129" s="35"/>
    </row>
    <row r="130" spans="11:14" s="7" customFormat="1" ht="13.5" x14ac:dyDescent="0.25">
      <c r="K130" s="37"/>
      <c r="L130" s="37"/>
      <c r="N130" s="35"/>
    </row>
    <row r="131" spans="11:14" s="7" customFormat="1" ht="13.5" x14ac:dyDescent="0.25">
      <c r="K131" s="37"/>
      <c r="L131" s="37"/>
      <c r="N131" s="35"/>
    </row>
    <row r="132" spans="11:14" s="7" customFormat="1" ht="13.5" x14ac:dyDescent="0.25">
      <c r="K132" s="37"/>
      <c r="L132" s="37"/>
      <c r="N132" s="35"/>
    </row>
  </sheetData>
  <mergeCells count="5">
    <mergeCell ref="A15:A16"/>
    <mergeCell ref="B15:B16"/>
    <mergeCell ref="E2:E3"/>
    <mergeCell ref="A2:A3"/>
    <mergeCell ref="B2:B3"/>
  </mergeCells>
  <phoneticPr fontId="0" type="noConversion"/>
  <pageMargins left="1.5" right="1" top="0.75" bottom="0.75" header="0.5" footer="0.5"/>
  <pageSetup paperSize="9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B2:AI42"/>
  <sheetViews>
    <sheetView topLeftCell="E6" zoomScale="123" zoomScaleNormal="100" workbookViewId="0">
      <selection activeCell="O23" sqref="O23"/>
    </sheetView>
  </sheetViews>
  <sheetFormatPr defaultColWidth="8.6640625" defaultRowHeight="11.25" x14ac:dyDescent="0.2"/>
  <cols>
    <col min="1" max="1" width="1" customWidth="1"/>
    <col min="2" max="2" width="3.6640625" customWidth="1"/>
    <col min="3" max="3" width="21" customWidth="1"/>
    <col min="4" max="4" width="6.6640625" customWidth="1"/>
    <col min="5" max="5" width="7" customWidth="1"/>
    <col min="6" max="6" width="13.6640625" customWidth="1"/>
    <col min="7" max="7" width="16.1640625" customWidth="1"/>
    <col min="8" max="9" width="9" hidden="1" customWidth="1"/>
    <col min="10" max="10" width="11" hidden="1" customWidth="1"/>
    <col min="11" max="12" width="5" customWidth="1"/>
    <col min="13" max="13" width="22" customWidth="1"/>
    <col min="14" max="14" width="9" customWidth="1"/>
    <col min="15" max="15" width="8.1640625" customWidth="1"/>
    <col min="16" max="16" width="11.6640625" customWidth="1"/>
    <col min="17" max="17" width="17.6640625" customWidth="1"/>
    <col min="18" max="19" width="10" hidden="1" customWidth="1"/>
    <col min="20" max="21" width="0" hidden="1" customWidth="1"/>
    <col min="22" max="22" width="4" customWidth="1"/>
    <col min="32" max="32" width="14.6640625" style="244" customWidth="1"/>
    <col min="33" max="33" width="12" style="244" customWidth="1"/>
    <col min="34" max="34" width="16" style="244" customWidth="1"/>
    <col min="35" max="35" width="12" style="244" customWidth="1"/>
  </cols>
  <sheetData>
    <row r="2" spans="2:35" ht="16.5" x14ac:dyDescent="0.3">
      <c r="B2" s="654" t="s">
        <v>0</v>
      </c>
      <c r="C2" s="654"/>
      <c r="D2" s="654"/>
      <c r="E2" s="654"/>
      <c r="F2" s="654"/>
      <c r="G2" s="654"/>
      <c r="H2" s="654"/>
      <c r="I2" s="654"/>
      <c r="J2" s="654"/>
      <c r="L2" s="654" t="s">
        <v>0</v>
      </c>
      <c r="M2" s="654"/>
      <c r="N2" s="654"/>
      <c r="O2" s="654"/>
      <c r="P2" s="654"/>
      <c r="Q2" s="654"/>
      <c r="R2" s="654"/>
      <c r="S2" s="654"/>
      <c r="T2" s="654"/>
    </row>
    <row r="3" spans="2:35" ht="16.5" x14ac:dyDescent="0.3">
      <c r="B3" s="654" t="s">
        <v>167</v>
      </c>
      <c r="C3" s="654"/>
      <c r="D3" s="654"/>
      <c r="E3" s="654"/>
      <c r="F3" s="654"/>
      <c r="G3" s="654"/>
      <c r="H3" s="654"/>
      <c r="I3" s="654"/>
      <c r="J3" s="654"/>
      <c r="L3" s="654" t="s">
        <v>168</v>
      </c>
      <c r="M3" s="654"/>
      <c r="N3" s="654"/>
      <c r="O3" s="654"/>
      <c r="P3" s="654"/>
      <c r="Q3" s="654"/>
      <c r="R3" s="654"/>
      <c r="S3" s="654"/>
      <c r="T3" s="654"/>
    </row>
    <row r="4" spans="2:35" ht="16.5" x14ac:dyDescent="0.3">
      <c r="B4" s="654" t="s">
        <v>166</v>
      </c>
      <c r="C4" s="654"/>
      <c r="D4" s="654"/>
      <c r="E4" s="654"/>
      <c r="F4" s="654"/>
      <c r="G4" s="654"/>
      <c r="H4" s="654"/>
      <c r="I4" s="654"/>
      <c r="J4" s="654"/>
      <c r="L4" s="654" t="s">
        <v>166</v>
      </c>
      <c r="M4" s="654"/>
      <c r="N4" s="654"/>
      <c r="O4" s="654"/>
      <c r="P4" s="654"/>
      <c r="Q4" s="654"/>
      <c r="R4" s="654"/>
      <c r="S4" s="654"/>
      <c r="T4" s="654"/>
    </row>
    <row r="5" spans="2:35" s="7" customFormat="1" ht="13.5" x14ac:dyDescent="0.25">
      <c r="AF5" s="35">
        <v>47000</v>
      </c>
      <c r="AG5" s="35">
        <v>47000</v>
      </c>
      <c r="AH5" s="35">
        <v>47000</v>
      </c>
      <c r="AI5" s="35"/>
    </row>
    <row r="6" spans="2:35" s="7" customFormat="1" ht="15" x14ac:dyDescent="0.3">
      <c r="B6" s="9"/>
      <c r="C6" s="9"/>
      <c r="D6" s="9"/>
      <c r="E6" s="649">
        <v>1</v>
      </c>
      <c r="F6" s="649"/>
      <c r="G6" s="649"/>
      <c r="H6" s="42">
        <v>0.7</v>
      </c>
      <c r="I6" s="42">
        <v>0.8</v>
      </c>
      <c r="J6" s="10" t="s">
        <v>40</v>
      </c>
      <c r="L6" s="9"/>
      <c r="M6" s="9"/>
      <c r="N6" s="9"/>
      <c r="O6" s="649">
        <v>1</v>
      </c>
      <c r="P6" s="649"/>
      <c r="Q6" s="649"/>
      <c r="R6" s="42">
        <v>0.7</v>
      </c>
      <c r="S6" s="42">
        <v>0.8</v>
      </c>
      <c r="T6" s="10" t="s">
        <v>40</v>
      </c>
      <c r="AF6" s="35">
        <v>192000</v>
      </c>
      <c r="AG6" s="35">
        <v>192000</v>
      </c>
      <c r="AH6" s="35">
        <v>160000</v>
      </c>
      <c r="AI6" s="35"/>
    </row>
    <row r="7" spans="2:35" s="7" customFormat="1" ht="15" x14ac:dyDescent="0.3">
      <c r="C7" s="11" t="s">
        <v>31</v>
      </c>
      <c r="D7" s="611" t="s">
        <v>35</v>
      </c>
      <c r="E7" s="611"/>
      <c r="F7" s="55" t="s">
        <v>37</v>
      </c>
      <c r="G7" s="55" t="s">
        <v>87</v>
      </c>
      <c r="H7" s="53"/>
      <c r="I7" s="53"/>
      <c r="J7" s="53"/>
      <c r="M7" s="11" t="s">
        <v>31</v>
      </c>
      <c r="N7" s="611" t="s">
        <v>35</v>
      </c>
      <c r="O7" s="611"/>
      <c r="P7" s="55" t="s">
        <v>37</v>
      </c>
      <c r="Q7" s="55" t="s">
        <v>87</v>
      </c>
      <c r="R7" s="53"/>
      <c r="S7" s="53"/>
      <c r="T7" s="53"/>
      <c r="AF7" s="35">
        <v>150000</v>
      </c>
      <c r="AG7" s="35">
        <v>300000</v>
      </c>
      <c r="AH7" s="35">
        <v>180000</v>
      </c>
      <c r="AI7" s="35"/>
    </row>
    <row r="8" spans="2:35" s="7" customFormat="1" ht="15" x14ac:dyDescent="0.3">
      <c r="C8" s="11"/>
      <c r="F8" s="12"/>
      <c r="G8" s="12"/>
      <c r="M8" s="11"/>
      <c r="P8" s="12"/>
      <c r="Q8" s="12"/>
      <c r="AF8" s="35">
        <v>60000</v>
      </c>
      <c r="AG8" s="35">
        <v>160000</v>
      </c>
      <c r="AH8" s="35">
        <v>300000</v>
      </c>
      <c r="AI8" s="35"/>
    </row>
    <row r="9" spans="2:35" s="7" customFormat="1" ht="15" x14ac:dyDescent="0.3">
      <c r="B9" s="11" t="s">
        <v>12</v>
      </c>
      <c r="C9" s="11" t="s">
        <v>82</v>
      </c>
      <c r="F9" s="12"/>
      <c r="G9" s="12"/>
      <c r="L9" s="11" t="s">
        <v>12</v>
      </c>
      <c r="M9" s="11" t="s">
        <v>82</v>
      </c>
      <c r="P9" s="12"/>
      <c r="Q9" s="12"/>
      <c r="AF9" s="35">
        <f>SUM(AF5:AF8)</f>
        <v>449000</v>
      </c>
      <c r="AG9" s="35">
        <f>SUM(AG5:AG8)</f>
        <v>699000</v>
      </c>
      <c r="AH9" s="35">
        <v>540000</v>
      </c>
      <c r="AI9" s="35"/>
    </row>
    <row r="10" spans="2:35" s="7" customFormat="1" ht="13.5" x14ac:dyDescent="0.25">
      <c r="B10" s="7">
        <v>1</v>
      </c>
      <c r="C10" s="7" t="s">
        <v>83</v>
      </c>
      <c r="D10" s="13" t="s">
        <v>131</v>
      </c>
      <c r="E10" s="7">
        <v>0.5</v>
      </c>
      <c r="F10" s="12">
        <f>Harga!D5</f>
        <v>815200</v>
      </c>
      <c r="G10" s="12">
        <f>E10*F10</f>
        <v>407600</v>
      </c>
      <c r="H10" s="16">
        <f>$G10*H$6</f>
        <v>285320</v>
      </c>
      <c r="I10" s="16">
        <f>$G10*I$6</f>
        <v>326080</v>
      </c>
      <c r="L10" s="7">
        <v>1</v>
      </c>
      <c r="M10" s="7" t="s">
        <v>83</v>
      </c>
      <c r="N10" s="13" t="s">
        <v>131</v>
      </c>
      <c r="O10" s="7">
        <v>1</v>
      </c>
      <c r="P10" s="12">
        <f>Harga!D5</f>
        <v>815200</v>
      </c>
      <c r="Q10" s="12">
        <f>O10*P10</f>
        <v>815200</v>
      </c>
      <c r="R10" s="16">
        <f>$Q10*H$6</f>
        <v>570640</v>
      </c>
      <c r="S10" s="16">
        <f>$Q10*I$6</f>
        <v>652160</v>
      </c>
      <c r="AF10" s="35">
        <f>AF9*5%</f>
        <v>22450</v>
      </c>
      <c r="AG10" s="35">
        <f>AG9*5%</f>
        <v>34950</v>
      </c>
      <c r="AH10" s="35">
        <f>SUM(AH5:AH9)</f>
        <v>1227000</v>
      </c>
      <c r="AI10" s="35"/>
    </row>
    <row r="11" spans="2:35" s="7" customFormat="1" ht="13.5" x14ac:dyDescent="0.25">
      <c r="B11" s="7">
        <v>2</v>
      </c>
      <c r="C11" s="7" t="s">
        <v>84</v>
      </c>
      <c r="D11" s="13" t="s">
        <v>131</v>
      </c>
      <c r="E11" s="7">
        <v>0.3</v>
      </c>
      <c r="F11" s="12">
        <f>Harga!D6</f>
        <v>663600</v>
      </c>
      <c r="G11" s="12">
        <f>E11*F11</f>
        <v>199080</v>
      </c>
      <c r="H11" s="16">
        <f>$G11*H$6</f>
        <v>139356</v>
      </c>
      <c r="I11" s="16">
        <f>$G11*I$6</f>
        <v>159264</v>
      </c>
      <c r="L11" s="7">
        <v>2</v>
      </c>
      <c r="M11" s="7" t="s">
        <v>84</v>
      </c>
      <c r="N11" s="13" t="s">
        <v>131</v>
      </c>
      <c r="O11" s="7">
        <v>0.7</v>
      </c>
      <c r="P11" s="12">
        <f>Harga!D6</f>
        <v>663600</v>
      </c>
      <c r="Q11" s="12">
        <f>O11*P11</f>
        <v>464519.99999999994</v>
      </c>
      <c r="R11" s="16">
        <f>$Q11*H$6</f>
        <v>325163.99999999994</v>
      </c>
      <c r="S11" s="16">
        <f>$Q11*I$6</f>
        <v>371616</v>
      </c>
      <c r="AF11" s="35">
        <f>AF10+AF9</f>
        <v>471450</v>
      </c>
      <c r="AG11" s="35">
        <f>AG10+AG9</f>
        <v>733950</v>
      </c>
      <c r="AH11" s="35">
        <f>AH10*5%</f>
        <v>61350</v>
      </c>
      <c r="AI11" s="35"/>
    </row>
    <row r="12" spans="2:35" s="7" customFormat="1" ht="15" x14ac:dyDescent="0.3">
      <c r="C12" s="8"/>
      <c r="D12" s="9"/>
      <c r="E12" s="9"/>
      <c r="F12" s="21"/>
      <c r="G12" s="20">
        <f>SUM(G10:G11)</f>
        <v>606680</v>
      </c>
      <c r="H12" s="20">
        <f>SUM(H10:H11)</f>
        <v>424676</v>
      </c>
      <c r="I12" s="20">
        <f>SUM(I10:I11)</f>
        <v>485344</v>
      </c>
      <c r="J12" s="9"/>
      <c r="M12" s="8"/>
      <c r="N12" s="9"/>
      <c r="O12" s="9"/>
      <c r="P12" s="21"/>
      <c r="Q12" s="20">
        <f>SUM(Q10:Q11)</f>
        <v>1279720</v>
      </c>
      <c r="R12" s="20">
        <f>SUM(R10:R11)</f>
        <v>895804</v>
      </c>
      <c r="S12" s="20">
        <f>SUM(S10:S11)</f>
        <v>1023776</v>
      </c>
      <c r="T12" s="9"/>
      <c r="AF12" s="35"/>
      <c r="AG12" s="35"/>
      <c r="AH12" s="35">
        <f>AH11+AH10</f>
        <v>1288350</v>
      </c>
      <c r="AI12" s="35"/>
    </row>
    <row r="13" spans="2:35" s="7" customFormat="1" ht="15" x14ac:dyDescent="0.3">
      <c r="C13" s="11"/>
      <c r="F13" s="12"/>
      <c r="G13" s="12"/>
      <c r="M13" s="11"/>
      <c r="P13" s="12"/>
      <c r="Q13" s="12"/>
      <c r="AF13" s="35"/>
      <c r="AG13" s="35"/>
      <c r="AH13" s="35"/>
      <c r="AI13" s="35"/>
    </row>
    <row r="14" spans="2:35" s="7" customFormat="1" ht="15" x14ac:dyDescent="0.3">
      <c r="B14" s="11" t="s">
        <v>18</v>
      </c>
      <c r="C14" s="11" t="s">
        <v>39</v>
      </c>
      <c r="F14" s="12"/>
      <c r="G14" s="12"/>
      <c r="L14" s="11" t="s">
        <v>18</v>
      </c>
      <c r="M14" s="11" t="s">
        <v>39</v>
      </c>
      <c r="P14" s="12"/>
      <c r="Q14" s="12"/>
      <c r="AF14" s="35"/>
      <c r="AG14" s="35"/>
      <c r="AH14" s="35"/>
      <c r="AI14" s="35"/>
    </row>
    <row r="15" spans="2:35" s="7" customFormat="1" ht="13.5" x14ac:dyDescent="0.25">
      <c r="B15" s="7">
        <v>1</v>
      </c>
      <c r="C15" s="7" t="s">
        <v>2</v>
      </c>
      <c r="D15" s="13" t="s">
        <v>135</v>
      </c>
      <c r="E15" s="7">
        <v>1</v>
      </c>
      <c r="F15" s="12">
        <f>Harga!D68</f>
        <v>148028</v>
      </c>
      <c r="G15" s="12">
        <f>E15*F15</f>
        <v>148028</v>
      </c>
      <c r="H15" s="16">
        <f>$G15*H$6</f>
        <v>103619.59999999999</v>
      </c>
      <c r="I15" s="16">
        <f>$G15*I$6</f>
        <v>118422.40000000001</v>
      </c>
      <c r="L15" s="7">
        <v>1</v>
      </c>
      <c r="M15" s="7" t="s">
        <v>2</v>
      </c>
      <c r="N15" s="13" t="s">
        <v>135</v>
      </c>
      <c r="O15" s="7">
        <v>1</v>
      </c>
      <c r="P15" s="12">
        <f>Harga!D68</f>
        <v>148028</v>
      </c>
      <c r="Q15" s="12">
        <f>O15*P15</f>
        <v>148028</v>
      </c>
      <c r="R15" s="16">
        <f>$Q15*H$6</f>
        <v>103619.59999999999</v>
      </c>
      <c r="S15" s="16">
        <f>$Q15*I$6</f>
        <v>118422.40000000001</v>
      </c>
      <c r="AF15" s="35"/>
      <c r="AG15" s="35"/>
      <c r="AH15" s="35"/>
      <c r="AI15" s="35"/>
    </row>
    <row r="16" spans="2:35" s="7" customFormat="1" ht="13.5" x14ac:dyDescent="0.25">
      <c r="B16" s="7">
        <v>2</v>
      </c>
      <c r="C16" s="7" t="s">
        <v>11</v>
      </c>
      <c r="D16" s="13" t="s">
        <v>135</v>
      </c>
      <c r="E16" s="7">
        <v>5</v>
      </c>
      <c r="F16" s="12">
        <f>Harga!D69</f>
        <v>0</v>
      </c>
      <c r="G16" s="12">
        <f>E16*F16</f>
        <v>0</v>
      </c>
      <c r="H16" s="16">
        <f>$G16*H$6</f>
        <v>0</v>
      </c>
      <c r="I16" s="16">
        <f>$G16*I$6</f>
        <v>0</v>
      </c>
      <c r="L16" s="7">
        <v>2</v>
      </c>
      <c r="M16" s="7" t="s">
        <v>11</v>
      </c>
      <c r="N16" s="13" t="s">
        <v>135</v>
      </c>
      <c r="O16" s="7">
        <v>6</v>
      </c>
      <c r="P16" s="12">
        <f>Harga!D69</f>
        <v>0</v>
      </c>
      <c r="Q16" s="12">
        <f>O16*P16</f>
        <v>0</v>
      </c>
      <c r="R16" s="16">
        <f>$Q16*H$6</f>
        <v>0</v>
      </c>
      <c r="S16" s="16">
        <f>$Q16*I$6</f>
        <v>0</v>
      </c>
      <c r="Z16" s="7" t="s">
        <v>197</v>
      </c>
      <c r="AF16" s="35"/>
      <c r="AG16" s="35"/>
      <c r="AH16" s="35"/>
      <c r="AI16" s="35"/>
    </row>
    <row r="17" spans="2:35" s="7" customFormat="1" ht="15" x14ac:dyDescent="0.3">
      <c r="C17" s="8"/>
      <c r="D17" s="9"/>
      <c r="E17" s="9"/>
      <c r="F17" s="21"/>
      <c r="G17" s="20">
        <f>SUM(G15:G16)</f>
        <v>148028</v>
      </c>
      <c r="H17" s="20">
        <f>SUM(H15:H16)</f>
        <v>103619.59999999999</v>
      </c>
      <c r="I17" s="20">
        <f>SUM(I15:I16)</f>
        <v>118422.40000000001</v>
      </c>
      <c r="J17" s="9"/>
      <c r="M17" s="8"/>
      <c r="N17" s="9"/>
      <c r="O17" s="9"/>
      <c r="P17" s="21"/>
      <c r="Q17" s="20">
        <f>SUM(Q15:Q16)</f>
        <v>148028</v>
      </c>
      <c r="R17" s="20">
        <f>SUM(R15:R16)</f>
        <v>103619.59999999999</v>
      </c>
      <c r="S17" s="20">
        <f>SUM(S15:S16)</f>
        <v>118422.40000000001</v>
      </c>
      <c r="T17" s="9"/>
      <c r="AF17" s="35"/>
      <c r="AG17" s="35"/>
      <c r="AH17" s="35"/>
      <c r="AI17" s="35"/>
    </row>
    <row r="18" spans="2:35" s="7" customFormat="1" ht="13.5" x14ac:dyDescent="0.25">
      <c r="F18" s="12"/>
      <c r="G18" s="12"/>
      <c r="P18" s="12"/>
      <c r="Q18" s="12"/>
      <c r="AF18" s="35"/>
      <c r="AG18" s="35"/>
      <c r="AH18" s="35"/>
      <c r="AI18" s="35"/>
    </row>
    <row r="19" spans="2:35" s="7" customFormat="1" ht="15.75" thickBot="1" x14ac:dyDescent="0.35">
      <c r="B19" s="44"/>
      <c r="C19" s="45" t="s">
        <v>196</v>
      </c>
      <c r="D19" s="44"/>
      <c r="E19" s="44"/>
      <c r="F19" s="46"/>
      <c r="G19" s="47">
        <f>G12+G17</f>
        <v>754708</v>
      </c>
      <c r="H19" s="47">
        <f>H12+H17</f>
        <v>528295.6</v>
      </c>
      <c r="I19" s="47">
        <f>I12+I17</f>
        <v>603766.4</v>
      </c>
      <c r="J19" s="44"/>
      <c r="L19" s="44"/>
      <c r="M19" s="45" t="s">
        <v>196</v>
      </c>
      <c r="N19" s="44"/>
      <c r="O19" s="44"/>
      <c r="P19" s="46"/>
      <c r="Q19" s="47">
        <f>Q12+Q17</f>
        <v>1427748</v>
      </c>
      <c r="R19" s="47">
        <f>R12+R17</f>
        <v>999423.6</v>
      </c>
      <c r="S19" s="47">
        <f>S12+S17</f>
        <v>1142198.3999999999</v>
      </c>
      <c r="T19" s="44"/>
      <c r="AF19" s="35"/>
      <c r="AG19" s="35"/>
      <c r="AH19" s="35"/>
      <c r="AI19" s="35"/>
    </row>
    <row r="20" spans="2:35" s="7" customFormat="1" ht="13.5" x14ac:dyDescent="0.25">
      <c r="AF20" s="35"/>
      <c r="AG20" s="35"/>
      <c r="AH20" s="35"/>
      <c r="AI20" s="35"/>
    </row>
    <row r="21" spans="2:35" s="7" customFormat="1" ht="13.5" x14ac:dyDescent="0.25">
      <c r="AF21" s="35"/>
      <c r="AG21" s="35"/>
      <c r="AH21" s="35"/>
      <c r="AI21" s="35"/>
    </row>
    <row r="22" spans="2:35" s="7" customFormat="1" ht="13.5" x14ac:dyDescent="0.25">
      <c r="AF22" s="35"/>
      <c r="AG22" s="35"/>
      <c r="AH22" s="35"/>
      <c r="AI22" s="35"/>
    </row>
    <row r="23" spans="2:35" s="7" customFormat="1" ht="13.5" x14ac:dyDescent="0.25">
      <c r="AF23" s="35"/>
      <c r="AG23" s="35"/>
      <c r="AH23" s="35"/>
      <c r="AI23" s="35"/>
    </row>
    <row r="24" spans="2:35" s="7" customFormat="1" ht="13.5" x14ac:dyDescent="0.25">
      <c r="AF24" s="35"/>
      <c r="AG24" s="35"/>
      <c r="AH24" s="35"/>
      <c r="AI24" s="35"/>
    </row>
    <row r="25" spans="2:35" s="7" customFormat="1" ht="13.5" x14ac:dyDescent="0.25">
      <c r="P25" s="7" t="s">
        <v>335</v>
      </c>
      <c r="AF25" s="35"/>
      <c r="AG25" s="35"/>
      <c r="AH25" s="35"/>
      <c r="AI25" s="35"/>
    </row>
    <row r="26" spans="2:35" s="7" customFormat="1" ht="13.5" x14ac:dyDescent="0.25">
      <c r="AF26" s="35"/>
      <c r="AG26" s="35"/>
      <c r="AH26" s="35"/>
      <c r="AI26" s="35"/>
    </row>
    <row r="27" spans="2:35" s="7" customFormat="1" ht="13.5" x14ac:dyDescent="0.25">
      <c r="AF27" s="35"/>
      <c r="AG27" s="35"/>
      <c r="AH27" s="35"/>
      <c r="AI27" s="35"/>
    </row>
    <row r="28" spans="2:35" s="7" customFormat="1" ht="13.5" x14ac:dyDescent="0.25">
      <c r="Z28" s="7" t="s">
        <v>198</v>
      </c>
      <c r="AF28" s="35"/>
      <c r="AG28" s="35"/>
      <c r="AH28" s="35"/>
      <c r="AI28" s="35"/>
    </row>
    <row r="29" spans="2:35" s="7" customFormat="1" ht="13.5" x14ac:dyDescent="0.25">
      <c r="AF29" s="35"/>
      <c r="AG29" s="35"/>
      <c r="AH29" s="35"/>
      <c r="AI29" s="35"/>
    </row>
    <row r="30" spans="2:35" s="7" customFormat="1" ht="13.5" x14ac:dyDescent="0.25">
      <c r="AF30" s="35"/>
      <c r="AG30" s="35"/>
      <c r="AH30" s="35"/>
      <c r="AI30" s="35"/>
    </row>
    <row r="31" spans="2:35" s="7" customFormat="1" ht="13.5" x14ac:dyDescent="0.25">
      <c r="AF31" s="35"/>
      <c r="AG31" s="35"/>
      <c r="AH31" s="35"/>
      <c r="AI31" s="35"/>
    </row>
    <row r="32" spans="2:35" s="7" customFormat="1" ht="13.5" x14ac:dyDescent="0.25">
      <c r="Z32" s="7" t="s">
        <v>199</v>
      </c>
      <c r="AB32" s="7" t="s">
        <v>200</v>
      </c>
      <c r="AF32" s="35"/>
      <c r="AG32" s="35"/>
      <c r="AH32" s="35"/>
      <c r="AI32" s="35"/>
    </row>
    <row r="33" spans="3:35" s="7" customFormat="1" ht="13.5" x14ac:dyDescent="0.25">
      <c r="AF33" s="35"/>
      <c r="AG33" s="35"/>
      <c r="AH33" s="35"/>
      <c r="AI33" s="35"/>
    </row>
    <row r="34" spans="3:35" s="7" customFormat="1" ht="13.5" x14ac:dyDescent="0.25">
      <c r="AF34" s="35"/>
      <c r="AG34" s="35"/>
      <c r="AH34" s="35"/>
      <c r="AI34" s="35"/>
    </row>
    <row r="35" spans="3:35" s="7" customFormat="1" ht="13.5" x14ac:dyDescent="0.25">
      <c r="AF35" s="35"/>
      <c r="AG35" s="35"/>
      <c r="AH35" s="35"/>
      <c r="AI35" s="35"/>
    </row>
    <row r="36" spans="3:35" s="7" customFormat="1" ht="13.5" x14ac:dyDescent="0.25">
      <c r="AF36" s="35"/>
      <c r="AG36" s="35"/>
      <c r="AH36" s="35"/>
      <c r="AI36" s="35"/>
    </row>
    <row r="37" spans="3:35" s="7" customFormat="1" ht="13.5" x14ac:dyDescent="0.25">
      <c r="AF37" s="35"/>
      <c r="AG37" s="35"/>
      <c r="AH37" s="35"/>
      <c r="AI37" s="35"/>
    </row>
    <row r="38" spans="3:35" s="7" customFormat="1" ht="13.5" x14ac:dyDescent="0.25">
      <c r="AF38" s="35"/>
      <c r="AG38" s="35"/>
      <c r="AH38" s="35"/>
      <c r="AI38" s="35"/>
    </row>
    <row r="39" spans="3:35" s="7" customFormat="1" ht="13.5" x14ac:dyDescent="0.25">
      <c r="AF39" s="35"/>
      <c r="AG39" s="35"/>
      <c r="AH39" s="35"/>
      <c r="AI39" s="35"/>
    </row>
    <row r="40" spans="3:35" s="7" customFormat="1" ht="13.5" x14ac:dyDescent="0.25">
      <c r="C40" s="7" t="s">
        <v>191</v>
      </c>
      <c r="G40" s="16" t="e">
        <f>(#REF!*2500)/1000</f>
        <v>#REF!</v>
      </c>
      <c r="AF40" s="35"/>
      <c r="AG40" s="35"/>
      <c r="AH40" s="35"/>
      <c r="AI40" s="35"/>
    </row>
    <row r="41" spans="3:35" s="7" customFormat="1" ht="13.5" x14ac:dyDescent="0.25">
      <c r="G41" s="16" t="e">
        <f>G40/2</f>
        <v>#REF!</v>
      </c>
      <c r="AF41" s="35"/>
      <c r="AG41" s="35"/>
      <c r="AH41" s="35"/>
      <c r="AI41" s="35"/>
    </row>
    <row r="42" spans="3:35" s="7" customFormat="1" ht="13.5" x14ac:dyDescent="0.25">
      <c r="AF42" s="35"/>
      <c r="AG42" s="35"/>
      <c r="AH42" s="35"/>
      <c r="AI42" s="35"/>
    </row>
  </sheetData>
  <mergeCells count="10">
    <mergeCell ref="N7:O7"/>
    <mergeCell ref="L3:T3"/>
    <mergeCell ref="O6:Q6"/>
    <mergeCell ref="B2:J2"/>
    <mergeCell ref="B3:J3"/>
    <mergeCell ref="E6:G6"/>
    <mergeCell ref="L2:T2"/>
    <mergeCell ref="B4:J4"/>
    <mergeCell ref="L4:T4"/>
    <mergeCell ref="D7:E7"/>
  </mergeCells>
  <phoneticPr fontId="0" type="noConversion"/>
  <pageMargins left="1.5" right="0.39" top="0.64" bottom="1" header="0.5" footer="0.5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B2:T41"/>
  <sheetViews>
    <sheetView showGridLines="0" topLeftCell="G10" zoomScale="138" zoomScaleNormal="70" workbookViewId="0">
      <selection activeCell="B3" sqref="B3:J3"/>
    </sheetView>
  </sheetViews>
  <sheetFormatPr defaultColWidth="8.6640625" defaultRowHeight="11.25" x14ac:dyDescent="0.2"/>
  <cols>
    <col min="1" max="1" width="1" customWidth="1"/>
    <col min="2" max="2" width="3.6640625" customWidth="1"/>
    <col min="3" max="3" width="40" customWidth="1"/>
    <col min="4" max="4" width="7.5" customWidth="1"/>
    <col min="5" max="5" width="8" customWidth="1"/>
    <col min="6" max="6" width="15.1640625" bestFit="1" customWidth="1"/>
    <col min="7" max="7" width="15.6640625" bestFit="1" customWidth="1"/>
    <col min="8" max="9" width="10.5" hidden="1" customWidth="1"/>
    <col min="10" max="10" width="11" hidden="1" customWidth="1"/>
    <col min="11" max="11" width="3.6640625" customWidth="1"/>
    <col min="12" max="12" width="4.5" customWidth="1"/>
    <col min="13" max="13" width="36" customWidth="1"/>
    <col min="14" max="14" width="8" customWidth="1"/>
    <col min="15" max="15" width="7.1640625" customWidth="1"/>
    <col min="16" max="16" width="14.1640625" bestFit="1" customWidth="1"/>
    <col min="17" max="17" width="12" customWidth="1"/>
    <col min="18" max="21" width="0" hidden="1" customWidth="1"/>
  </cols>
  <sheetData>
    <row r="2" spans="2:20" ht="16.5" x14ac:dyDescent="0.3">
      <c r="B2" s="654" t="s">
        <v>0</v>
      </c>
      <c r="C2" s="654"/>
      <c r="D2" s="654"/>
      <c r="E2" s="654"/>
      <c r="F2" s="654"/>
      <c r="G2" s="654"/>
      <c r="H2" s="654"/>
      <c r="I2" s="654"/>
      <c r="J2" s="654"/>
      <c r="L2" s="654" t="s">
        <v>0</v>
      </c>
      <c r="M2" s="654"/>
      <c r="N2" s="654"/>
      <c r="O2" s="654"/>
      <c r="P2" s="654"/>
      <c r="Q2" s="654"/>
      <c r="R2" s="654"/>
      <c r="S2" s="654"/>
      <c r="T2" s="654"/>
    </row>
    <row r="3" spans="2:20" ht="16.5" x14ac:dyDescent="0.3">
      <c r="B3" s="654" t="s">
        <v>171</v>
      </c>
      <c r="C3" s="654"/>
      <c r="D3" s="654"/>
      <c r="E3" s="654"/>
      <c r="F3" s="654"/>
      <c r="G3" s="654"/>
      <c r="H3" s="654"/>
      <c r="I3" s="654"/>
      <c r="J3" s="654"/>
      <c r="L3" s="654" t="s">
        <v>81</v>
      </c>
      <c r="M3" s="654"/>
      <c r="N3" s="654"/>
      <c r="O3" s="654"/>
      <c r="P3" s="654"/>
      <c r="Q3" s="654"/>
      <c r="R3" s="654"/>
      <c r="S3" s="654"/>
      <c r="T3" s="654"/>
    </row>
    <row r="4" spans="2:20" ht="16.5" x14ac:dyDescent="0.3">
      <c r="B4" s="654" t="s">
        <v>166</v>
      </c>
      <c r="C4" s="654"/>
      <c r="D4" s="654"/>
      <c r="E4" s="654"/>
      <c r="F4" s="654"/>
      <c r="G4" s="654"/>
      <c r="H4" s="654"/>
      <c r="I4" s="654"/>
      <c r="J4" s="654"/>
      <c r="L4" s="654" t="s">
        <v>166</v>
      </c>
      <c r="M4" s="654"/>
      <c r="N4" s="654"/>
      <c r="O4" s="654"/>
      <c r="P4" s="654"/>
      <c r="Q4" s="654"/>
      <c r="R4" s="654"/>
      <c r="S4" s="654"/>
      <c r="T4" s="654"/>
    </row>
    <row r="5" spans="2:20" s="7" customFormat="1" ht="13.5" x14ac:dyDescent="0.25"/>
    <row r="6" spans="2:20" s="7" customFormat="1" ht="15" x14ac:dyDescent="0.3">
      <c r="B6" s="9"/>
      <c r="C6" s="9"/>
      <c r="D6" s="9"/>
      <c r="E6" s="649"/>
      <c r="F6" s="649"/>
      <c r="G6" s="649"/>
      <c r="H6" s="42">
        <v>0.7</v>
      </c>
      <c r="I6" s="42">
        <v>0.8</v>
      </c>
      <c r="J6" s="10" t="s">
        <v>40</v>
      </c>
      <c r="L6" s="9"/>
      <c r="M6" s="9"/>
      <c r="N6" s="9"/>
      <c r="O6" s="649"/>
      <c r="P6" s="649"/>
      <c r="Q6" s="649"/>
      <c r="R6" s="42">
        <v>0.7</v>
      </c>
      <c r="S6" s="42">
        <v>0.8</v>
      </c>
      <c r="T6" s="10" t="s">
        <v>40</v>
      </c>
    </row>
    <row r="7" spans="2:20" s="7" customFormat="1" ht="15" x14ac:dyDescent="0.3">
      <c r="C7" s="11" t="s">
        <v>31</v>
      </c>
      <c r="D7" s="611" t="s">
        <v>35</v>
      </c>
      <c r="E7" s="611"/>
      <c r="F7" s="55" t="s">
        <v>37</v>
      </c>
      <c r="G7" s="55" t="s">
        <v>87</v>
      </c>
      <c r="H7" s="53"/>
      <c r="I7" s="53"/>
      <c r="J7" s="53"/>
      <c r="M7" s="11" t="s">
        <v>31</v>
      </c>
      <c r="N7" s="611" t="s">
        <v>35</v>
      </c>
      <c r="O7" s="611"/>
      <c r="P7" s="55" t="s">
        <v>37</v>
      </c>
      <c r="Q7" s="55" t="s">
        <v>87</v>
      </c>
      <c r="R7" s="53"/>
      <c r="S7" s="53"/>
      <c r="T7" s="53"/>
    </row>
    <row r="8" spans="2:20" s="7" customFormat="1" ht="15" x14ac:dyDescent="0.3">
      <c r="C8" s="11"/>
      <c r="F8" s="12"/>
      <c r="G8" s="12"/>
      <c r="M8" s="11"/>
      <c r="P8" s="12"/>
      <c r="Q8" s="12"/>
    </row>
    <row r="9" spans="2:20" s="7" customFormat="1" ht="15" x14ac:dyDescent="0.3">
      <c r="B9" s="11" t="s">
        <v>12</v>
      </c>
      <c r="C9" s="11" t="s">
        <v>79</v>
      </c>
      <c r="F9" s="12"/>
      <c r="G9" s="12"/>
      <c r="L9" s="11" t="s">
        <v>12</v>
      </c>
      <c r="M9" s="11" t="s">
        <v>79</v>
      </c>
      <c r="P9" s="12"/>
      <c r="Q9" s="12"/>
    </row>
    <row r="10" spans="2:20" s="7" customFormat="1" ht="13.5" x14ac:dyDescent="0.25">
      <c r="B10" s="7">
        <v>1</v>
      </c>
      <c r="C10" s="7" t="s">
        <v>80</v>
      </c>
      <c r="D10" s="13" t="s">
        <v>131</v>
      </c>
      <c r="E10" s="7">
        <v>0.6</v>
      </c>
      <c r="F10" s="12">
        <f>Harga!D7</f>
        <v>691200</v>
      </c>
      <c r="G10" s="12">
        <f>E10*F10</f>
        <v>414720</v>
      </c>
      <c r="H10" s="16">
        <f t="shared" ref="H10:I12" si="0">$G10*H$6</f>
        <v>290304</v>
      </c>
      <c r="I10" s="16">
        <f t="shared" si="0"/>
        <v>331776</v>
      </c>
      <c r="L10" s="7">
        <v>1</v>
      </c>
      <c r="M10" s="7" t="s">
        <v>80</v>
      </c>
      <c r="N10" s="13" t="s">
        <v>131</v>
      </c>
      <c r="O10" s="7">
        <v>0.2</v>
      </c>
      <c r="P10" s="12">
        <f>F10</f>
        <v>691200</v>
      </c>
      <c r="Q10" s="12">
        <f>O10*P10</f>
        <v>138240</v>
      </c>
      <c r="R10" s="16">
        <f t="shared" ref="R10:S12" si="1">$Q10*H$6</f>
        <v>96768</v>
      </c>
      <c r="S10" s="16">
        <f t="shared" si="1"/>
        <v>110592</v>
      </c>
    </row>
    <row r="11" spans="2:20" s="7" customFormat="1" ht="13.5" x14ac:dyDescent="0.25">
      <c r="B11" s="7">
        <v>2</v>
      </c>
      <c r="C11" s="7" t="s">
        <v>164</v>
      </c>
      <c r="D11" s="13" t="s">
        <v>100</v>
      </c>
      <c r="E11" s="37">
        <v>0.02</v>
      </c>
      <c r="F11" s="12">
        <v>15000000</v>
      </c>
      <c r="G11" s="12">
        <f>E11*F11</f>
        <v>300000</v>
      </c>
      <c r="H11" s="16">
        <f t="shared" si="0"/>
        <v>210000</v>
      </c>
      <c r="I11" s="16">
        <f t="shared" si="0"/>
        <v>240000</v>
      </c>
      <c r="L11" s="7">
        <v>2</v>
      </c>
      <c r="M11" s="7" t="s">
        <v>164</v>
      </c>
      <c r="N11" s="13" t="s">
        <v>100</v>
      </c>
      <c r="O11" s="7">
        <v>0.02</v>
      </c>
      <c r="P11" s="12">
        <f>F11*30%</f>
        <v>4500000</v>
      </c>
      <c r="Q11" s="12">
        <f>O11*P11</f>
        <v>90000</v>
      </c>
      <c r="R11" s="16">
        <f t="shared" si="1"/>
        <v>62999.999999999993</v>
      </c>
      <c r="S11" s="16">
        <f t="shared" si="1"/>
        <v>72000</v>
      </c>
    </row>
    <row r="12" spans="2:20" s="7" customFormat="1" ht="13.5" x14ac:dyDescent="0.25">
      <c r="B12" s="7">
        <v>3</v>
      </c>
      <c r="C12" s="655" t="s">
        <v>165</v>
      </c>
      <c r="D12" s="13" t="s">
        <v>100</v>
      </c>
      <c r="E12" s="43">
        <v>0.06</v>
      </c>
      <c r="F12" s="12">
        <v>9000000</v>
      </c>
      <c r="G12" s="12">
        <f>E12*F12</f>
        <v>540000</v>
      </c>
      <c r="H12" s="16">
        <f t="shared" si="0"/>
        <v>378000</v>
      </c>
      <c r="I12" s="16">
        <f t="shared" si="0"/>
        <v>432000</v>
      </c>
      <c r="L12" s="7">
        <v>3</v>
      </c>
      <c r="M12" s="655" t="s">
        <v>165</v>
      </c>
      <c r="N12" s="13" t="s">
        <v>100</v>
      </c>
      <c r="O12" s="7">
        <v>6.5000000000000002E-2</v>
      </c>
      <c r="P12" s="12">
        <f>F12*30%</f>
        <v>2700000</v>
      </c>
      <c r="Q12" s="12">
        <f>O12*P12</f>
        <v>175500</v>
      </c>
      <c r="R12" s="16">
        <f t="shared" si="1"/>
        <v>122849.99999999999</v>
      </c>
      <c r="S12" s="16">
        <f t="shared" si="1"/>
        <v>140400</v>
      </c>
    </row>
    <row r="13" spans="2:20" s="7" customFormat="1" ht="13.5" x14ac:dyDescent="0.25">
      <c r="C13" s="656"/>
      <c r="D13" s="13"/>
      <c r="F13" s="12"/>
      <c r="G13" s="12"/>
      <c r="H13" s="16"/>
      <c r="I13" s="16"/>
      <c r="M13" s="656"/>
      <c r="N13" s="13"/>
      <c r="P13" s="12"/>
      <c r="Q13" s="12"/>
      <c r="R13" s="16"/>
      <c r="S13" s="16"/>
    </row>
    <row r="14" spans="2:20" s="7" customFormat="1" ht="15" x14ac:dyDescent="0.3">
      <c r="C14" s="8"/>
      <c r="D14" s="9"/>
      <c r="E14" s="9"/>
      <c r="F14" s="21"/>
      <c r="G14" s="20">
        <f>SUM(G10:G12)</f>
        <v>1254720</v>
      </c>
      <c r="H14" s="20">
        <f>SUM(H10:H12)</f>
        <v>878304</v>
      </c>
      <c r="I14" s="20">
        <f>SUM(I10:I12)</f>
        <v>1003776</v>
      </c>
      <c r="J14" s="9"/>
      <c r="M14" s="8"/>
      <c r="N14" s="9"/>
      <c r="O14" s="9"/>
      <c r="P14" s="21"/>
      <c r="Q14" s="20">
        <f>SUM(Q10:Q12)</f>
        <v>403740</v>
      </c>
      <c r="R14" s="20">
        <f>SUM(R10:R12)</f>
        <v>282618</v>
      </c>
      <c r="S14" s="20">
        <f>SUM(S10:S12)</f>
        <v>322992</v>
      </c>
      <c r="T14" s="9"/>
    </row>
    <row r="15" spans="2:20" s="7" customFormat="1" ht="15" x14ac:dyDescent="0.3">
      <c r="C15" s="11"/>
      <c r="F15" s="12"/>
      <c r="G15" s="12"/>
      <c r="M15" s="11"/>
      <c r="P15" s="12"/>
      <c r="Q15" s="12"/>
    </row>
    <row r="16" spans="2:20" s="7" customFormat="1" ht="15" x14ac:dyDescent="0.3">
      <c r="B16" s="11" t="s">
        <v>18</v>
      </c>
      <c r="C16" s="11" t="s">
        <v>39</v>
      </c>
      <c r="F16" s="12"/>
      <c r="G16" s="12"/>
      <c r="L16" s="11" t="s">
        <v>18</v>
      </c>
      <c r="M16" s="11" t="s">
        <v>39</v>
      </c>
      <c r="P16" s="12"/>
      <c r="Q16" s="12"/>
    </row>
    <row r="17" spans="2:20" s="7" customFormat="1" ht="13.5" x14ac:dyDescent="0.25">
      <c r="B17" s="7">
        <v>1</v>
      </c>
      <c r="C17" s="7" t="s">
        <v>2</v>
      </c>
      <c r="D17" s="13" t="s">
        <v>135</v>
      </c>
      <c r="E17" s="7">
        <v>1</v>
      </c>
      <c r="F17" s="12">
        <f>Harga!D68</f>
        <v>148028</v>
      </c>
      <c r="G17" s="12">
        <f>E17*F17</f>
        <v>148028</v>
      </c>
      <c r="H17" s="16">
        <f>$G17*H$6</f>
        <v>103619.59999999999</v>
      </c>
      <c r="I17" s="16">
        <f>$G17*I$6</f>
        <v>118422.40000000001</v>
      </c>
      <c r="L17" s="7">
        <v>1</v>
      </c>
      <c r="M17" s="7" t="s">
        <v>2</v>
      </c>
      <c r="N17" s="13" t="s">
        <v>135</v>
      </c>
      <c r="O17" s="7">
        <v>1</v>
      </c>
      <c r="P17" s="12">
        <f>50000</f>
        <v>50000</v>
      </c>
      <c r="Q17" s="12">
        <f>O17*P17</f>
        <v>50000</v>
      </c>
      <c r="R17" s="16">
        <f>$Q17*H$6</f>
        <v>35000</v>
      </c>
      <c r="S17" s="16">
        <f>$Q17*I$6</f>
        <v>40000</v>
      </c>
    </row>
    <row r="18" spans="2:20" s="7" customFormat="1" ht="13.5" x14ac:dyDescent="0.25">
      <c r="B18" s="7">
        <v>2</v>
      </c>
      <c r="C18" s="7" t="s">
        <v>11</v>
      </c>
      <c r="D18" s="13" t="s">
        <v>135</v>
      </c>
      <c r="E18" s="7">
        <v>5</v>
      </c>
      <c r="F18" s="12">
        <f>Harga!D69</f>
        <v>0</v>
      </c>
      <c r="G18" s="12">
        <f>E18*F18</f>
        <v>0</v>
      </c>
      <c r="H18" s="16">
        <f>$G18*H$6</f>
        <v>0</v>
      </c>
      <c r="I18" s="16">
        <f>$G18*I$6</f>
        <v>0</v>
      </c>
      <c r="L18" s="7">
        <v>2</v>
      </c>
      <c r="M18" s="7" t="s">
        <v>11</v>
      </c>
      <c r="N18" s="13" t="s">
        <v>135</v>
      </c>
      <c r="O18" s="7">
        <v>4</v>
      </c>
      <c r="P18" s="12">
        <f>32000</f>
        <v>32000</v>
      </c>
      <c r="Q18" s="12">
        <f>O18*P18</f>
        <v>128000</v>
      </c>
      <c r="R18" s="16">
        <f>$Q18*H$6</f>
        <v>89600</v>
      </c>
      <c r="S18" s="16">
        <f>$Q18*I$6</f>
        <v>102400</v>
      </c>
    </row>
    <row r="19" spans="2:20" s="7" customFormat="1" ht="15" x14ac:dyDescent="0.3">
      <c r="C19" s="8"/>
      <c r="D19" s="9"/>
      <c r="E19" s="9"/>
      <c r="F19" s="21"/>
      <c r="G19" s="20">
        <f>SUM(G17:G18)</f>
        <v>148028</v>
      </c>
      <c r="H19" s="20">
        <f>SUM(H17:H18)</f>
        <v>103619.59999999999</v>
      </c>
      <c r="I19" s="20">
        <f>SUM(I17:I18)</f>
        <v>118422.40000000001</v>
      </c>
      <c r="J19" s="9"/>
      <c r="M19" s="8"/>
      <c r="N19" s="9"/>
      <c r="O19" s="9"/>
      <c r="P19" s="21"/>
      <c r="Q19" s="20">
        <f>SUM(Q17:Q18)</f>
        <v>178000</v>
      </c>
      <c r="R19" s="20">
        <f>SUM(R17:R18)</f>
        <v>124600</v>
      </c>
      <c r="S19" s="20">
        <f>SUM(S17:S18)</f>
        <v>142400</v>
      </c>
      <c r="T19" s="9"/>
    </row>
    <row r="20" spans="2:20" s="7" customFormat="1" ht="13.5" x14ac:dyDescent="0.25">
      <c r="F20" s="12"/>
      <c r="G20" s="12"/>
      <c r="P20" s="12"/>
      <c r="Q20" s="12"/>
    </row>
    <row r="21" spans="2:20" s="7" customFormat="1" ht="15.75" thickBot="1" x14ac:dyDescent="0.35">
      <c r="B21" s="44"/>
      <c r="C21" s="45" t="s">
        <v>196</v>
      </c>
      <c r="D21" s="44"/>
      <c r="E21" s="44"/>
      <c r="F21" s="46"/>
      <c r="G21" s="47">
        <f>G14+G19</f>
        <v>1402748</v>
      </c>
      <c r="H21" s="47">
        <f>H14+H19</f>
        <v>981923.6</v>
      </c>
      <c r="I21" s="47">
        <f>I14+I19</f>
        <v>1122198.3999999999</v>
      </c>
      <c r="J21" s="44"/>
      <c r="L21" s="44"/>
      <c r="M21" s="45" t="s">
        <v>196</v>
      </c>
      <c r="N21" s="44"/>
      <c r="O21" s="44"/>
      <c r="P21" s="46"/>
      <c r="Q21" s="47">
        <f>Q14+Q19</f>
        <v>581740</v>
      </c>
      <c r="R21" s="47">
        <f>R14+R19</f>
        <v>407218</v>
      </c>
      <c r="S21" s="47">
        <f>S14+S19</f>
        <v>465392</v>
      </c>
      <c r="T21" s="44"/>
    </row>
    <row r="22" spans="2:20" s="7" customFormat="1" ht="13.5" x14ac:dyDescent="0.25"/>
    <row r="23" spans="2:20" s="7" customFormat="1" ht="13.5" x14ac:dyDescent="0.25"/>
    <row r="24" spans="2:20" s="7" customFormat="1" ht="13.5" x14ac:dyDescent="0.25"/>
    <row r="25" spans="2:20" s="7" customFormat="1" ht="13.5" x14ac:dyDescent="0.25"/>
    <row r="26" spans="2:20" s="7" customFormat="1" ht="13.5" x14ac:dyDescent="0.25"/>
    <row r="27" spans="2:20" s="7" customFormat="1" ht="13.5" x14ac:dyDescent="0.25"/>
    <row r="28" spans="2:20" s="7" customFormat="1" ht="13.5" x14ac:dyDescent="0.25"/>
    <row r="29" spans="2:20" s="7" customFormat="1" ht="13.5" x14ac:dyDescent="0.25"/>
    <row r="30" spans="2:20" s="7" customFormat="1" ht="13.5" x14ac:dyDescent="0.25"/>
    <row r="31" spans="2:20" s="7" customFormat="1" ht="13.5" x14ac:dyDescent="0.25"/>
    <row r="32" spans="2:20" s="7" customFormat="1" ht="13.5" x14ac:dyDescent="0.25"/>
    <row r="33" spans="7:13" s="7" customFormat="1" ht="13.5" x14ac:dyDescent="0.25"/>
    <row r="34" spans="7:13" s="7" customFormat="1" ht="13.5" x14ac:dyDescent="0.25">
      <c r="L34" s="16"/>
      <c r="M34" s="16"/>
    </row>
    <row r="35" spans="7:13" s="7" customFormat="1" ht="13.5" x14ac:dyDescent="0.25">
      <c r="H35" s="48">
        <f>R21/Q21</f>
        <v>0.7</v>
      </c>
      <c r="I35" s="48">
        <f>S21/Q21</f>
        <v>0.8</v>
      </c>
    </row>
    <row r="37" spans="7:13" x14ac:dyDescent="0.2">
      <c r="G37" s="3"/>
    </row>
    <row r="39" spans="7:13" x14ac:dyDescent="0.2">
      <c r="G39" s="3"/>
    </row>
    <row r="41" spans="7:13" x14ac:dyDescent="0.2">
      <c r="G41" s="3"/>
    </row>
  </sheetData>
  <mergeCells count="12">
    <mergeCell ref="B2:J2"/>
    <mergeCell ref="B3:J3"/>
    <mergeCell ref="E6:G6"/>
    <mergeCell ref="L2:T2"/>
    <mergeCell ref="B4:J4"/>
    <mergeCell ref="L4:T4"/>
    <mergeCell ref="C12:C13"/>
    <mergeCell ref="M12:M13"/>
    <mergeCell ref="N7:O7"/>
    <mergeCell ref="L3:T3"/>
    <mergeCell ref="O6:Q6"/>
    <mergeCell ref="D7:E7"/>
  </mergeCells>
  <phoneticPr fontId="0" type="noConversion"/>
  <pageMargins left="0.5" right="0.23" top="0.87" bottom="1" header="0.5" footer="0.5"/>
  <pageSetup paperSize="9" scale="95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B2:AC33"/>
  <sheetViews>
    <sheetView topLeftCell="F7" zoomScale="136" zoomScaleNormal="100" workbookViewId="0">
      <selection activeCell="Q21" sqref="Q21"/>
    </sheetView>
  </sheetViews>
  <sheetFormatPr defaultColWidth="8.6640625" defaultRowHeight="11.25" x14ac:dyDescent="0.2"/>
  <cols>
    <col min="1" max="1" width="1" customWidth="1"/>
    <col min="2" max="2" width="4.6640625" customWidth="1"/>
    <col min="3" max="3" width="29.5" customWidth="1"/>
    <col min="4" max="4" width="6" customWidth="1"/>
    <col min="5" max="5" width="8.5" customWidth="1"/>
    <col min="6" max="6" width="12.6640625" customWidth="1"/>
    <col min="7" max="7" width="16.6640625" customWidth="1"/>
    <col min="8" max="9" width="10.5" hidden="1" customWidth="1"/>
    <col min="10" max="10" width="11" hidden="1" customWidth="1"/>
    <col min="11" max="11" width="6.6640625" customWidth="1"/>
    <col min="12" max="12" width="4.6640625" customWidth="1"/>
    <col min="13" max="13" width="29" bestFit="1" customWidth="1"/>
    <col min="14" max="14" width="9" customWidth="1"/>
    <col min="15" max="15" width="7.6640625" customWidth="1"/>
    <col min="16" max="16" width="12.1640625" bestFit="1" customWidth="1"/>
    <col min="17" max="17" width="17.6640625" bestFit="1" customWidth="1"/>
    <col min="18" max="20" width="0" hidden="1" customWidth="1"/>
    <col min="25" max="29" width="16.1640625" style="244" customWidth="1"/>
  </cols>
  <sheetData>
    <row r="2" spans="2:29" ht="16.5" x14ac:dyDescent="0.3">
      <c r="B2" s="654" t="s">
        <v>0</v>
      </c>
      <c r="C2" s="654"/>
      <c r="D2" s="654"/>
      <c r="E2" s="654"/>
      <c r="F2" s="654"/>
      <c r="G2" s="654"/>
      <c r="H2" s="654"/>
      <c r="I2" s="654"/>
      <c r="J2" s="654"/>
      <c r="L2" s="654" t="s">
        <v>0</v>
      </c>
      <c r="M2" s="654"/>
      <c r="N2" s="654"/>
      <c r="O2" s="654"/>
      <c r="P2" s="654"/>
      <c r="Q2" s="654"/>
      <c r="R2" s="654"/>
      <c r="S2" s="654"/>
      <c r="T2" s="654"/>
    </row>
    <row r="3" spans="2:29" ht="16.5" x14ac:dyDescent="0.3">
      <c r="B3" s="654" t="s">
        <v>169</v>
      </c>
      <c r="C3" s="654"/>
      <c r="D3" s="654"/>
      <c r="E3" s="654"/>
      <c r="F3" s="654"/>
      <c r="G3" s="654"/>
      <c r="H3" s="654"/>
      <c r="I3" s="654"/>
      <c r="J3" s="654"/>
      <c r="L3" s="654" t="s">
        <v>170</v>
      </c>
      <c r="M3" s="654"/>
      <c r="N3" s="654"/>
      <c r="O3" s="654"/>
      <c r="P3" s="654"/>
      <c r="Q3" s="654"/>
      <c r="R3" s="654"/>
      <c r="S3" s="654"/>
      <c r="T3" s="654"/>
    </row>
    <row r="4" spans="2:29" ht="16.5" x14ac:dyDescent="0.3">
      <c r="B4" s="654" t="s">
        <v>166</v>
      </c>
      <c r="C4" s="654"/>
      <c r="D4" s="654"/>
      <c r="E4" s="654"/>
      <c r="F4" s="654"/>
      <c r="G4" s="654"/>
      <c r="H4" s="654"/>
      <c r="I4" s="654"/>
      <c r="J4" s="654"/>
      <c r="L4" s="654" t="s">
        <v>166</v>
      </c>
      <c r="M4" s="654"/>
      <c r="N4" s="654"/>
      <c r="O4" s="654"/>
      <c r="P4" s="654"/>
      <c r="Q4" s="654"/>
      <c r="R4" s="654"/>
      <c r="S4" s="654"/>
      <c r="T4" s="654"/>
      <c r="Y4" s="244">
        <v>56870</v>
      </c>
      <c r="Z4" s="244">
        <v>56870</v>
      </c>
      <c r="AA4" s="244">
        <v>51700</v>
      </c>
    </row>
    <row r="5" spans="2:29" s="7" customFormat="1" ht="13.5" x14ac:dyDescent="0.25">
      <c r="Y5" s="35">
        <v>77440</v>
      </c>
      <c r="Z5" s="35">
        <v>154880</v>
      </c>
      <c r="AA5" s="35">
        <v>105600</v>
      </c>
      <c r="AB5" s="35"/>
      <c r="AC5" s="35"/>
    </row>
    <row r="6" spans="2:29" s="7" customFormat="1" ht="15" x14ac:dyDescent="0.3">
      <c r="B6" s="9"/>
      <c r="C6" s="9"/>
      <c r="D6" s="9"/>
      <c r="E6" s="649"/>
      <c r="F6" s="649"/>
      <c r="G6" s="649"/>
      <c r="H6" s="42">
        <v>0.7</v>
      </c>
      <c r="I6" s="42">
        <v>0.8</v>
      </c>
      <c r="J6" s="10" t="s">
        <v>40</v>
      </c>
      <c r="L6" s="9"/>
      <c r="M6" s="9"/>
      <c r="N6" s="9"/>
      <c r="O6" s="42"/>
      <c r="P6" s="42"/>
      <c r="Q6" s="42"/>
      <c r="R6" s="42">
        <v>0.7</v>
      </c>
      <c r="S6" s="42">
        <v>0.8</v>
      </c>
      <c r="T6" s="10" t="s">
        <v>40</v>
      </c>
      <c r="Y6" s="35">
        <v>44100</v>
      </c>
      <c r="Z6" s="35">
        <v>110250</v>
      </c>
      <c r="AA6" s="35">
        <v>63000</v>
      </c>
      <c r="AB6" s="35"/>
      <c r="AC6" s="35"/>
    </row>
    <row r="7" spans="2:29" s="7" customFormat="1" ht="15" x14ac:dyDescent="0.3">
      <c r="C7" s="11" t="s">
        <v>31</v>
      </c>
      <c r="D7" s="611" t="s">
        <v>35</v>
      </c>
      <c r="E7" s="611"/>
      <c r="F7" s="55" t="s">
        <v>37</v>
      </c>
      <c r="G7" s="55" t="s">
        <v>87</v>
      </c>
      <c r="H7" s="53"/>
      <c r="I7" s="53"/>
      <c r="J7" s="53"/>
      <c r="L7" s="9"/>
      <c r="M7" s="8" t="s">
        <v>31</v>
      </c>
      <c r="N7" s="611" t="s">
        <v>35</v>
      </c>
      <c r="O7" s="611"/>
      <c r="P7" s="55" t="s">
        <v>37</v>
      </c>
      <c r="Q7" s="55" t="s">
        <v>87</v>
      </c>
      <c r="R7" s="53"/>
      <c r="S7" s="53"/>
      <c r="T7" s="53"/>
      <c r="Y7" s="35">
        <v>41895</v>
      </c>
      <c r="Z7" s="35">
        <v>104738</v>
      </c>
      <c r="AA7" s="35">
        <v>90000</v>
      </c>
      <c r="AB7" s="35"/>
      <c r="AC7" s="35"/>
    </row>
    <row r="8" spans="2:29" s="7" customFormat="1" ht="15" x14ac:dyDescent="0.3">
      <c r="C8" s="11"/>
      <c r="F8" s="12"/>
      <c r="G8" s="12"/>
      <c r="M8" s="11"/>
      <c r="P8" s="12"/>
      <c r="Q8" s="12"/>
      <c r="Y8" s="35">
        <v>496125</v>
      </c>
      <c r="Z8" s="35">
        <v>826875</v>
      </c>
      <c r="AA8" s="35">
        <v>189000</v>
      </c>
      <c r="AB8" s="35"/>
      <c r="AC8" s="35"/>
    </row>
    <row r="9" spans="2:29" s="7" customFormat="1" ht="15" x14ac:dyDescent="0.3">
      <c r="B9" s="11" t="s">
        <v>12</v>
      </c>
      <c r="C9" s="11" t="s">
        <v>82</v>
      </c>
      <c r="F9" s="12"/>
      <c r="G9" s="12"/>
      <c r="L9" s="11" t="s">
        <v>12</v>
      </c>
      <c r="M9" s="11" t="s">
        <v>82</v>
      </c>
      <c r="P9" s="12"/>
      <c r="Q9" s="12"/>
      <c r="Y9" s="35"/>
      <c r="Z9" s="35"/>
      <c r="AA9" s="35"/>
      <c r="AB9" s="35"/>
      <c r="AC9" s="35"/>
    </row>
    <row r="10" spans="2:29" s="7" customFormat="1" ht="13.5" x14ac:dyDescent="0.25">
      <c r="B10" s="7">
        <v>1</v>
      </c>
      <c r="C10" s="7" t="s">
        <v>84</v>
      </c>
      <c r="D10" s="13" t="s">
        <v>131</v>
      </c>
      <c r="E10" s="7">
        <v>0.32</v>
      </c>
      <c r="F10" s="12">
        <f>Harga!D6</f>
        <v>663600</v>
      </c>
      <c r="G10" s="12">
        <f>E10*F10</f>
        <v>212352</v>
      </c>
      <c r="H10" s="16">
        <f t="shared" ref="H10:I12" si="0">$G10*H$6</f>
        <v>148646.39999999999</v>
      </c>
      <c r="I10" s="16">
        <f>$G10*I$6</f>
        <v>169881.60000000001</v>
      </c>
      <c r="L10" s="7">
        <v>1</v>
      </c>
      <c r="M10" s="7" t="s">
        <v>84</v>
      </c>
      <c r="N10" s="13" t="s">
        <v>131</v>
      </c>
      <c r="O10" s="7">
        <v>0.5</v>
      </c>
      <c r="P10" s="12">
        <f>Harga!D6</f>
        <v>663600</v>
      </c>
      <c r="Q10" s="12">
        <f>O10*P10</f>
        <v>331800</v>
      </c>
      <c r="R10" s="16">
        <f t="shared" ref="R10:S12" si="1">$Q10*H$6</f>
        <v>232259.99999999997</v>
      </c>
      <c r="S10" s="16">
        <f t="shared" si="1"/>
        <v>265440</v>
      </c>
      <c r="Y10" s="35"/>
      <c r="Z10" s="35"/>
      <c r="AA10" s="35"/>
      <c r="AB10" s="35"/>
      <c r="AC10" s="35"/>
    </row>
    <row r="11" spans="2:29" s="7" customFormat="1" ht="13.5" x14ac:dyDescent="0.25">
      <c r="B11" s="7">
        <v>2</v>
      </c>
      <c r="C11" s="7" t="s">
        <v>85</v>
      </c>
      <c r="D11" s="13" t="s">
        <v>131</v>
      </c>
      <c r="E11" s="7">
        <v>0.3</v>
      </c>
      <c r="F11" s="12">
        <f>Harga!D8</f>
        <v>579200</v>
      </c>
      <c r="G11" s="12">
        <f>E11*F11</f>
        <v>173760</v>
      </c>
      <c r="H11" s="16">
        <f t="shared" si="0"/>
        <v>121631.99999999999</v>
      </c>
      <c r="I11" s="16">
        <f t="shared" si="0"/>
        <v>139008</v>
      </c>
      <c r="L11" s="7">
        <v>2</v>
      </c>
      <c r="M11" s="7" t="s">
        <v>85</v>
      </c>
      <c r="N11" s="13" t="s">
        <v>131</v>
      </c>
      <c r="O11" s="246">
        <v>0.48</v>
      </c>
      <c r="P11" s="12">
        <f>Harga!D8</f>
        <v>579200</v>
      </c>
      <c r="Q11" s="12">
        <f>O11*P11</f>
        <v>278016</v>
      </c>
      <c r="R11" s="16">
        <f t="shared" si="1"/>
        <v>194611.19999999998</v>
      </c>
      <c r="S11" s="16">
        <f t="shared" si="1"/>
        <v>222412.80000000002</v>
      </c>
      <c r="Y11" s="35">
        <f>SUM(Y4:Y10)</f>
        <v>716430</v>
      </c>
      <c r="Z11" s="35">
        <f>SUM(Z4:Z10)</f>
        <v>1253613</v>
      </c>
      <c r="AA11" s="35">
        <f>SUM(AA4:AA10)</f>
        <v>499300</v>
      </c>
      <c r="AB11" s="35">
        <f>SUM(AB4:AB10)</f>
        <v>0</v>
      </c>
      <c r="AC11" s="35">
        <f>SUM(AC4:AC10)</f>
        <v>0</v>
      </c>
    </row>
    <row r="12" spans="2:29" s="7" customFormat="1" ht="13.5" x14ac:dyDescent="0.25">
      <c r="B12" s="7">
        <v>3</v>
      </c>
      <c r="C12" s="7" t="s">
        <v>86</v>
      </c>
      <c r="D12" s="13" t="s">
        <v>181</v>
      </c>
      <c r="E12" s="7">
        <v>6</v>
      </c>
      <c r="F12" s="12">
        <v>75000</v>
      </c>
      <c r="G12" s="12">
        <f>E12*F12</f>
        <v>450000</v>
      </c>
      <c r="H12" s="16">
        <f t="shared" si="0"/>
        <v>315000</v>
      </c>
      <c r="I12" s="16">
        <f>$G12*I$6</f>
        <v>360000</v>
      </c>
      <c r="L12" s="7">
        <v>3</v>
      </c>
      <c r="M12" s="7" t="s">
        <v>86</v>
      </c>
      <c r="N12" s="13" t="s">
        <v>181</v>
      </c>
      <c r="O12" s="7">
        <v>10</v>
      </c>
      <c r="P12" s="12">
        <v>75000</v>
      </c>
      <c r="Q12" s="12">
        <f>O12*P12</f>
        <v>750000</v>
      </c>
      <c r="R12" s="16">
        <f t="shared" si="1"/>
        <v>525000</v>
      </c>
      <c r="S12" s="16">
        <f t="shared" si="1"/>
        <v>600000</v>
      </c>
      <c r="Y12" s="35">
        <f>Y11*5%</f>
        <v>35821.5</v>
      </c>
      <c r="Z12" s="35">
        <f>Z11*5%</f>
        <v>62680.65</v>
      </c>
      <c r="AA12" s="35">
        <f>AA11*5%</f>
        <v>24965</v>
      </c>
      <c r="AB12" s="35">
        <f>AB11*5%</f>
        <v>0</v>
      </c>
      <c r="AC12" s="35">
        <f>AC11*5%</f>
        <v>0</v>
      </c>
    </row>
    <row r="13" spans="2:29" s="7" customFormat="1" ht="15" x14ac:dyDescent="0.3">
      <c r="C13" s="8"/>
      <c r="D13" s="9"/>
      <c r="E13" s="9"/>
      <c r="F13" s="21"/>
      <c r="G13" s="20">
        <f>SUM(G10:G12)</f>
        <v>836112</v>
      </c>
      <c r="H13" s="20">
        <f>SUM(H10:H12)</f>
        <v>585278.39999999991</v>
      </c>
      <c r="I13" s="20">
        <f>SUM(I10:I12)</f>
        <v>668889.59999999998</v>
      </c>
      <c r="J13" s="9"/>
      <c r="M13" s="8"/>
      <c r="N13" s="9"/>
      <c r="O13" s="9"/>
      <c r="P13" s="21"/>
      <c r="Q13" s="20">
        <f>SUM(Q10:Q12)</f>
        <v>1359816</v>
      </c>
      <c r="R13" s="20">
        <f>SUM(R10:R12)</f>
        <v>951871.2</v>
      </c>
      <c r="S13" s="20">
        <f>SUM(S10:S12)</f>
        <v>1087852.8</v>
      </c>
      <c r="T13" s="9"/>
      <c r="Y13" s="35">
        <f>Y12+Y11</f>
        <v>752251.5</v>
      </c>
      <c r="Z13" s="35">
        <f>Z12+Z11</f>
        <v>1316293.6499999999</v>
      </c>
      <c r="AA13" s="35">
        <f>AA12+AA11</f>
        <v>524265</v>
      </c>
      <c r="AB13" s="35">
        <f>AB12+AB11</f>
        <v>0</v>
      </c>
      <c r="AC13" s="35">
        <f>AC12+AC11</f>
        <v>0</v>
      </c>
    </row>
    <row r="14" spans="2:29" s="7" customFormat="1" ht="15" x14ac:dyDescent="0.3">
      <c r="C14" s="11"/>
      <c r="F14" s="12"/>
      <c r="G14" s="12"/>
      <c r="M14" s="11"/>
      <c r="P14" s="12"/>
      <c r="Q14" s="12"/>
      <c r="Y14" s="35"/>
      <c r="Z14" s="35"/>
      <c r="AA14" s="35"/>
      <c r="AB14" s="35"/>
      <c r="AC14" s="35"/>
    </row>
    <row r="15" spans="2:29" s="7" customFormat="1" ht="15" x14ac:dyDescent="0.3">
      <c r="B15" s="11" t="s">
        <v>18</v>
      </c>
      <c r="C15" s="11" t="s">
        <v>39</v>
      </c>
      <c r="F15" s="12"/>
      <c r="G15" s="12"/>
      <c r="L15" s="11" t="s">
        <v>18</v>
      </c>
      <c r="M15" s="11" t="s">
        <v>39</v>
      </c>
      <c r="P15" s="12"/>
      <c r="Q15" s="12"/>
      <c r="Y15" s="35"/>
      <c r="Z15" s="35"/>
      <c r="AA15" s="35"/>
      <c r="AB15" s="35"/>
      <c r="AC15" s="35"/>
    </row>
    <row r="16" spans="2:29" s="7" customFormat="1" ht="13.5" x14ac:dyDescent="0.25">
      <c r="B16" s="7">
        <v>1</v>
      </c>
      <c r="C16" s="7" t="s">
        <v>2</v>
      </c>
      <c r="D16" s="13" t="s">
        <v>135</v>
      </c>
      <c r="E16" s="7">
        <v>1</v>
      </c>
      <c r="F16" s="12">
        <f>'Buat Jalan Tnh Mineral'!F15+('Buat Jalan Tnh Mineral'!F15*10%)</f>
        <v>162830.79999999999</v>
      </c>
      <c r="G16" s="12">
        <f>E16*F16</f>
        <v>162830.79999999999</v>
      </c>
      <c r="H16" s="16">
        <f>$G16*H$6</f>
        <v>113981.55999999998</v>
      </c>
      <c r="I16" s="16">
        <f>$G16*I$6</f>
        <v>130264.64</v>
      </c>
      <c r="L16" s="7">
        <v>1</v>
      </c>
      <c r="M16" s="7" t="s">
        <v>2</v>
      </c>
      <c r="N16" s="13" t="s">
        <v>135</v>
      </c>
      <c r="O16" s="7">
        <v>1</v>
      </c>
      <c r="P16" s="12">
        <f>'Buat Jalan Tnh Mineral'!P15+('Buat Jalan Tnh Mineral'!P15*10%)</f>
        <v>162830.79999999999</v>
      </c>
      <c r="Q16" s="12">
        <f>O16*P16</f>
        <v>162830.79999999999</v>
      </c>
      <c r="R16" s="16">
        <f>$Q16*H$6</f>
        <v>113981.55999999998</v>
      </c>
      <c r="S16" s="16">
        <f>$Q16*I$6</f>
        <v>130264.64</v>
      </c>
      <c r="Y16" s="35"/>
      <c r="Z16" s="35"/>
      <c r="AA16" s="35"/>
      <c r="AB16" s="35"/>
      <c r="AC16" s="35"/>
    </row>
    <row r="17" spans="2:29" s="7" customFormat="1" ht="13.5" x14ac:dyDescent="0.25">
      <c r="B17" s="7">
        <v>2</v>
      </c>
      <c r="C17" s="7" t="s">
        <v>11</v>
      </c>
      <c r="D17" s="13" t="s">
        <v>135</v>
      </c>
      <c r="E17" s="7">
        <v>2</v>
      </c>
      <c r="F17" s="12">
        <f>'Buat Jalan Tnh Mineral'!F16+('Buat Jalan Tnh Mineral'!F16*10%)</f>
        <v>0</v>
      </c>
      <c r="G17" s="12">
        <f>E17*F17</f>
        <v>0</v>
      </c>
      <c r="H17" s="16">
        <f>$G17*H$6</f>
        <v>0</v>
      </c>
      <c r="I17" s="16">
        <f>$G17*I$6</f>
        <v>0</v>
      </c>
      <c r="L17" s="7">
        <v>2</v>
      </c>
      <c r="M17" s="7" t="s">
        <v>11</v>
      </c>
      <c r="N17" s="13" t="s">
        <v>135</v>
      </c>
      <c r="O17" s="50">
        <v>6.1</v>
      </c>
      <c r="P17" s="12">
        <f>'Buat Jalan Tnh Mineral'!P16+('Buat Jalan Tnh Mineral'!P16*10%)</f>
        <v>0</v>
      </c>
      <c r="Q17" s="12">
        <f>O17*P17</f>
        <v>0</v>
      </c>
      <c r="R17" s="16">
        <f>$Q17*H$6</f>
        <v>0</v>
      </c>
      <c r="S17" s="16">
        <f>$Q17*I$6</f>
        <v>0</v>
      </c>
      <c r="Y17" s="35"/>
      <c r="Z17" s="35"/>
      <c r="AA17" s="35"/>
      <c r="AB17" s="35"/>
      <c r="AC17" s="35"/>
    </row>
    <row r="18" spans="2:29" s="7" customFormat="1" ht="15" x14ac:dyDescent="0.3">
      <c r="C18" s="8"/>
      <c r="D18" s="9"/>
      <c r="E18" s="9"/>
      <c r="F18" s="21"/>
      <c r="G18" s="20">
        <f>SUM(G16:G17)</f>
        <v>162830.79999999999</v>
      </c>
      <c r="H18" s="20">
        <f>SUM(H16:H17)</f>
        <v>113981.55999999998</v>
      </c>
      <c r="I18" s="20">
        <f>SUM(I16:I17)</f>
        <v>130264.64</v>
      </c>
      <c r="J18" s="9"/>
      <c r="M18" s="8"/>
      <c r="N18" s="9"/>
      <c r="O18" s="9"/>
      <c r="P18" s="21"/>
      <c r="Q18" s="20">
        <f>SUM(Q16:Q17)</f>
        <v>162830.79999999999</v>
      </c>
      <c r="R18" s="20">
        <f>SUM(R16:R17)</f>
        <v>113981.55999999998</v>
      </c>
      <c r="S18" s="20">
        <f>SUM(S16:S17)</f>
        <v>130264.64</v>
      </c>
      <c r="T18" s="9"/>
      <c r="Y18" s="35"/>
      <c r="Z18" s="35"/>
      <c r="AA18" s="35"/>
      <c r="AB18" s="35"/>
      <c r="AC18" s="35"/>
    </row>
    <row r="19" spans="2:29" s="7" customFormat="1" ht="13.5" x14ac:dyDescent="0.25">
      <c r="F19" s="12"/>
      <c r="G19" s="12"/>
      <c r="P19" s="12"/>
      <c r="Q19" s="12"/>
      <c r="Y19" s="35"/>
      <c r="Z19" s="35"/>
      <c r="AA19" s="35"/>
      <c r="AB19" s="35"/>
      <c r="AC19" s="35"/>
    </row>
    <row r="20" spans="2:29" s="7" customFormat="1" ht="15.75" thickBot="1" x14ac:dyDescent="0.35">
      <c r="B20" s="44"/>
      <c r="C20" s="45" t="s">
        <v>41</v>
      </c>
      <c r="D20" s="44"/>
      <c r="E20" s="44"/>
      <c r="F20" s="46"/>
      <c r="G20" s="47">
        <f>G13+G18</f>
        <v>998942.8</v>
      </c>
      <c r="H20" s="47">
        <f>H13+H18</f>
        <v>699259.95999999985</v>
      </c>
      <c r="I20" s="47">
        <f>I13+I18</f>
        <v>799154.24</v>
      </c>
      <c r="J20" s="44"/>
      <c r="L20" s="44"/>
      <c r="M20" s="45" t="s">
        <v>196</v>
      </c>
      <c r="N20" s="44"/>
      <c r="O20" s="44"/>
      <c r="P20" s="46"/>
      <c r="Q20" s="47">
        <f>Q13+Q18</f>
        <v>1522646.8</v>
      </c>
      <c r="R20" s="47">
        <f>R13+R18</f>
        <v>1065852.76</v>
      </c>
      <c r="S20" s="47">
        <f>S13+S18</f>
        <v>1218117.44</v>
      </c>
      <c r="T20" s="44"/>
      <c r="Y20" s="35"/>
      <c r="Z20" s="35"/>
      <c r="AA20" s="35"/>
      <c r="AB20" s="35"/>
      <c r="AC20" s="35"/>
    </row>
    <row r="21" spans="2:29" s="7" customFormat="1" ht="13.5" x14ac:dyDescent="0.25">
      <c r="Y21" s="35"/>
      <c r="Z21" s="35"/>
      <c r="AA21" s="35"/>
      <c r="AB21" s="35"/>
      <c r="AC21" s="35"/>
    </row>
    <row r="22" spans="2:29" s="7" customFormat="1" ht="13.5" x14ac:dyDescent="0.25">
      <c r="Y22" s="35"/>
      <c r="Z22" s="35"/>
      <c r="AA22" s="35"/>
      <c r="AB22" s="35"/>
      <c r="AC22" s="35"/>
    </row>
    <row r="23" spans="2:29" s="7" customFormat="1" ht="13.5" x14ac:dyDescent="0.25">
      <c r="Y23" s="35"/>
      <c r="Z23" s="35"/>
      <c r="AA23" s="35"/>
      <c r="AB23" s="35"/>
      <c r="AC23" s="35"/>
    </row>
    <row r="24" spans="2:29" s="7" customFormat="1" ht="13.5" x14ac:dyDescent="0.25">
      <c r="Y24" s="35"/>
      <c r="Z24" s="35"/>
      <c r="AA24" s="35"/>
      <c r="AB24" s="35"/>
      <c r="AC24" s="35"/>
    </row>
    <row r="25" spans="2:29" s="7" customFormat="1" ht="13.5" x14ac:dyDescent="0.25">
      <c r="Y25" s="35"/>
      <c r="Z25" s="35"/>
      <c r="AA25" s="35"/>
      <c r="AB25" s="35"/>
      <c r="AC25" s="35"/>
    </row>
    <row r="26" spans="2:29" s="7" customFormat="1" ht="13.5" x14ac:dyDescent="0.25">
      <c r="Y26" s="35"/>
      <c r="Z26" s="35"/>
      <c r="AA26" s="35"/>
      <c r="AB26" s="35"/>
      <c r="AC26" s="35"/>
    </row>
    <row r="27" spans="2:29" s="7" customFormat="1" ht="13.5" x14ac:dyDescent="0.25">
      <c r="Y27" s="35"/>
      <c r="Z27" s="35"/>
      <c r="AA27" s="35"/>
      <c r="AB27" s="35"/>
      <c r="AC27" s="35"/>
    </row>
    <row r="29" spans="2:29" x14ac:dyDescent="0.2">
      <c r="G29" s="3"/>
    </row>
    <row r="30" spans="2:29" x14ac:dyDescent="0.2">
      <c r="G30" s="3"/>
    </row>
    <row r="31" spans="2:29" x14ac:dyDescent="0.2">
      <c r="G31" s="3"/>
    </row>
    <row r="32" spans="2:29" x14ac:dyDescent="0.2">
      <c r="G32" s="3"/>
    </row>
    <row r="33" spans="7:7" x14ac:dyDescent="0.2">
      <c r="G33" s="3"/>
    </row>
  </sheetData>
  <mergeCells count="9">
    <mergeCell ref="L4:T4"/>
    <mergeCell ref="N7:O7"/>
    <mergeCell ref="B2:J2"/>
    <mergeCell ref="B3:J3"/>
    <mergeCell ref="E6:G6"/>
    <mergeCell ref="L2:T2"/>
    <mergeCell ref="B4:J4"/>
    <mergeCell ref="L3:T3"/>
    <mergeCell ref="D7:E7"/>
  </mergeCells>
  <phoneticPr fontId="0" type="noConversion"/>
  <pageMargins left="1" right="0.5" top="0.66" bottom="1" header="0.5" footer="0.5"/>
  <pageSetup paperSize="9" scale="95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1"/>
  <sheetViews>
    <sheetView showGridLines="0" zoomScaleNormal="100" workbookViewId="0">
      <pane ySplit="8" topLeftCell="A12" activePane="bottomLeft" state="frozen"/>
      <selection activeCell="C40" sqref="C40"/>
      <selection pane="bottomLeft" activeCell="G12" sqref="G12"/>
    </sheetView>
  </sheetViews>
  <sheetFormatPr defaultColWidth="12" defaultRowHeight="15.75" x14ac:dyDescent="0.25"/>
  <cols>
    <col min="1" max="1" width="2.6640625" style="251" customWidth="1"/>
    <col min="2" max="2" width="34.1640625" style="413" customWidth="1"/>
    <col min="3" max="3" width="16.6640625" style="250" customWidth="1"/>
    <col min="4" max="5" width="16.6640625" style="251" customWidth="1"/>
    <col min="6" max="6" width="16.6640625" style="254" customWidth="1"/>
    <col min="7" max="7" width="16.6640625" style="251" customWidth="1"/>
    <col min="8" max="10" width="12" style="251"/>
    <col min="11" max="11" width="13.5" style="427" bestFit="1" customWidth="1"/>
    <col min="12" max="16384" width="12" style="251"/>
  </cols>
  <sheetData>
    <row r="1" spans="2:17" x14ac:dyDescent="0.25">
      <c r="B1" s="253" t="s">
        <v>343</v>
      </c>
      <c r="E1" s="252"/>
      <c r="F1" s="251"/>
    </row>
    <row r="2" spans="2:17" x14ac:dyDescent="0.25">
      <c r="B2" s="253" t="s">
        <v>349</v>
      </c>
      <c r="E2" s="252"/>
      <c r="F2" s="251"/>
    </row>
    <row r="3" spans="2:17" x14ac:dyDescent="0.25">
      <c r="B3" s="253"/>
      <c r="E3" s="252"/>
      <c r="F3" s="251"/>
    </row>
    <row r="4" spans="2:17" x14ac:dyDescent="0.25">
      <c r="B4" s="253" t="s">
        <v>342</v>
      </c>
      <c r="E4" s="252"/>
      <c r="F4" s="251"/>
    </row>
    <row r="5" spans="2:17" x14ac:dyDescent="0.25">
      <c r="E5" s="252"/>
      <c r="F5" s="251"/>
    </row>
    <row r="6" spans="2:17" ht="14.25" customHeight="1" x14ac:dyDescent="0.25">
      <c r="B6" s="661" t="s">
        <v>336</v>
      </c>
      <c r="C6" s="657" t="s">
        <v>337</v>
      </c>
      <c r="D6" s="657" t="s">
        <v>338</v>
      </c>
      <c r="E6" s="657" t="s">
        <v>339</v>
      </c>
      <c r="F6" s="659" t="s">
        <v>340</v>
      </c>
      <c r="G6" s="657" t="s">
        <v>341</v>
      </c>
      <c r="I6" s="413"/>
    </row>
    <row r="7" spans="2:17" ht="15" customHeight="1" x14ac:dyDescent="0.25">
      <c r="B7" s="661"/>
      <c r="C7" s="658"/>
      <c r="D7" s="658"/>
      <c r="E7" s="658"/>
      <c r="F7" s="660"/>
      <c r="G7" s="658"/>
      <c r="I7" s="413" t="s">
        <v>505</v>
      </c>
    </row>
    <row r="8" spans="2:17" ht="15" customHeight="1" x14ac:dyDescent="0.2">
      <c r="B8" s="661"/>
      <c r="C8" s="658"/>
      <c r="D8" s="658"/>
      <c r="E8" s="658"/>
      <c r="F8" s="660"/>
      <c r="G8" s="658"/>
    </row>
    <row r="9" spans="2:17" x14ac:dyDescent="0.25">
      <c r="B9" s="414"/>
      <c r="C9" s="459" t="s">
        <v>609</v>
      </c>
      <c r="D9" s="460">
        <v>2024</v>
      </c>
      <c r="E9" s="461">
        <v>24.53</v>
      </c>
      <c r="F9" s="462">
        <f>E9*143</f>
        <v>3507.79</v>
      </c>
      <c r="G9" s="463">
        <f>(F9/E9)</f>
        <v>143</v>
      </c>
      <c r="I9" s="431"/>
      <c r="J9" s="432"/>
      <c r="K9" s="433"/>
      <c r="L9" s="431"/>
      <c r="M9" s="431"/>
      <c r="N9" s="431"/>
      <c r="O9" s="431"/>
      <c r="P9" s="431"/>
      <c r="Q9" s="431"/>
    </row>
    <row r="10" spans="2:17" x14ac:dyDescent="0.25">
      <c r="B10" s="415"/>
      <c r="C10" s="459" t="s">
        <v>608</v>
      </c>
      <c r="D10" s="460">
        <v>2024</v>
      </c>
      <c r="E10" s="461">
        <v>48.24</v>
      </c>
      <c r="F10" s="462">
        <f t="shared" ref="F10:F21" si="0">E10*143</f>
        <v>6898.3200000000006</v>
      </c>
      <c r="G10" s="463">
        <f t="shared" ref="G10:G21" si="1">(F10/E10)</f>
        <v>143</v>
      </c>
      <c r="I10" s="413"/>
      <c r="J10" s="430"/>
      <c r="K10" s="428"/>
      <c r="L10" s="413"/>
    </row>
    <row r="11" spans="2:17" x14ac:dyDescent="0.25">
      <c r="B11" s="415"/>
      <c r="C11" s="459" t="s">
        <v>610</v>
      </c>
      <c r="D11" s="460">
        <v>2024</v>
      </c>
      <c r="E11" s="461">
        <v>62.9</v>
      </c>
      <c r="F11" s="462">
        <f t="shared" si="0"/>
        <v>8994.6999999999989</v>
      </c>
      <c r="G11" s="463">
        <f t="shared" si="1"/>
        <v>143</v>
      </c>
      <c r="J11" s="250"/>
      <c r="K11" s="437"/>
    </row>
    <row r="12" spans="2:17" x14ac:dyDescent="0.25">
      <c r="B12" s="415"/>
      <c r="C12" s="459" t="s">
        <v>611</v>
      </c>
      <c r="D12" s="460">
        <v>2024</v>
      </c>
      <c r="E12" s="461">
        <v>74.400000000000006</v>
      </c>
      <c r="F12" s="462">
        <f t="shared" si="0"/>
        <v>10639.2</v>
      </c>
      <c r="G12" s="463">
        <f t="shared" si="1"/>
        <v>143</v>
      </c>
      <c r="I12" s="413"/>
      <c r="J12" s="430"/>
      <c r="K12" s="428"/>
      <c r="L12" s="413"/>
    </row>
    <row r="13" spans="2:17" x14ac:dyDescent="0.25">
      <c r="B13" s="415"/>
      <c r="C13" s="459" t="s">
        <v>612</v>
      </c>
      <c r="D13" s="460">
        <v>2024</v>
      </c>
      <c r="E13" s="461">
        <v>66.7</v>
      </c>
      <c r="F13" s="462">
        <f t="shared" si="0"/>
        <v>9538.1</v>
      </c>
      <c r="G13" s="463">
        <f t="shared" si="1"/>
        <v>143</v>
      </c>
    </row>
    <row r="14" spans="2:17" x14ac:dyDescent="0.25">
      <c r="B14" s="415"/>
      <c r="C14" s="459" t="s">
        <v>613</v>
      </c>
      <c r="D14" s="460">
        <v>2024</v>
      </c>
      <c r="E14" s="461">
        <v>28.59</v>
      </c>
      <c r="F14" s="462">
        <f t="shared" si="0"/>
        <v>4088.37</v>
      </c>
      <c r="G14" s="463">
        <f t="shared" si="1"/>
        <v>143</v>
      </c>
    </row>
    <row r="15" spans="2:17" x14ac:dyDescent="0.25">
      <c r="B15" s="415"/>
      <c r="C15" s="459" t="s">
        <v>614</v>
      </c>
      <c r="D15" s="460">
        <v>2024</v>
      </c>
      <c r="E15" s="461">
        <v>27.89</v>
      </c>
      <c r="F15" s="462">
        <f t="shared" si="0"/>
        <v>3988.27</v>
      </c>
      <c r="G15" s="463">
        <f t="shared" si="1"/>
        <v>143</v>
      </c>
    </row>
    <row r="16" spans="2:17" x14ac:dyDescent="0.25">
      <c r="B16" s="415"/>
      <c r="C16" s="459" t="s">
        <v>615</v>
      </c>
      <c r="D16" s="460">
        <v>2024</v>
      </c>
      <c r="E16" s="461">
        <v>27.89</v>
      </c>
      <c r="F16" s="462">
        <f t="shared" si="0"/>
        <v>3988.27</v>
      </c>
      <c r="G16" s="463">
        <f t="shared" si="1"/>
        <v>143</v>
      </c>
    </row>
    <row r="17" spans="2:11" x14ac:dyDescent="0.25">
      <c r="B17" s="415"/>
      <c r="C17" s="459" t="s">
        <v>616</v>
      </c>
      <c r="D17" s="460">
        <v>2024</v>
      </c>
      <c r="E17" s="461">
        <v>27.59</v>
      </c>
      <c r="F17" s="462">
        <f t="shared" si="0"/>
        <v>3945.37</v>
      </c>
      <c r="G17" s="463">
        <f t="shared" si="1"/>
        <v>143</v>
      </c>
    </row>
    <row r="18" spans="2:11" x14ac:dyDescent="0.25">
      <c r="B18" s="415"/>
      <c r="C18" s="459" t="s">
        <v>617</v>
      </c>
      <c r="D18" s="460">
        <v>2024</v>
      </c>
      <c r="E18" s="461">
        <v>26.52</v>
      </c>
      <c r="F18" s="462">
        <f t="shared" si="0"/>
        <v>3792.36</v>
      </c>
      <c r="G18" s="463">
        <f t="shared" si="1"/>
        <v>143</v>
      </c>
    </row>
    <row r="19" spans="2:11" x14ac:dyDescent="0.25">
      <c r="B19" s="415"/>
      <c r="C19" s="459" t="s">
        <v>618</v>
      </c>
      <c r="D19" s="460">
        <v>2024</v>
      </c>
      <c r="E19" s="461">
        <v>25.53</v>
      </c>
      <c r="F19" s="462">
        <f t="shared" si="0"/>
        <v>3650.79</v>
      </c>
      <c r="G19" s="463">
        <f t="shared" si="1"/>
        <v>143</v>
      </c>
    </row>
    <row r="20" spans="2:11" x14ac:dyDescent="0.25">
      <c r="B20" s="415"/>
      <c r="C20" s="459" t="s">
        <v>619</v>
      </c>
      <c r="D20" s="460">
        <v>2024</v>
      </c>
      <c r="E20" s="461">
        <v>10.039999999999999</v>
      </c>
      <c r="F20" s="462">
        <f t="shared" si="0"/>
        <v>1435.7199999999998</v>
      </c>
      <c r="G20" s="463">
        <f t="shared" si="1"/>
        <v>143</v>
      </c>
    </row>
    <row r="21" spans="2:11" x14ac:dyDescent="0.25">
      <c r="B21" s="417"/>
      <c r="C21" s="464" t="s">
        <v>620</v>
      </c>
      <c r="D21" s="460">
        <v>2024</v>
      </c>
      <c r="E21" s="461">
        <v>7.54</v>
      </c>
      <c r="F21" s="462">
        <f t="shared" si="0"/>
        <v>1078.22</v>
      </c>
      <c r="G21" s="463">
        <f t="shared" si="1"/>
        <v>143</v>
      </c>
    </row>
    <row r="22" spans="2:11" s="413" customFormat="1" x14ac:dyDescent="0.25">
      <c r="B22" s="418" t="s">
        <v>504</v>
      </c>
      <c r="C22" s="419"/>
      <c r="D22" s="420"/>
      <c r="E22" s="465">
        <f>SUM(E9:E21)</f>
        <v>458.36</v>
      </c>
      <c r="F22" s="421">
        <f>SUM(F9:F21)</f>
        <v>65545.48</v>
      </c>
      <c r="G22" s="416">
        <v>143</v>
      </c>
      <c r="K22" s="428"/>
    </row>
    <row r="23" spans="2:11" x14ac:dyDescent="0.25">
      <c r="B23" s="422"/>
      <c r="C23" s="423"/>
      <c r="D23" s="424"/>
      <c r="E23" s="425"/>
      <c r="F23" s="426"/>
      <c r="G23" s="426"/>
      <c r="K23" s="429"/>
    </row>
    <row r="24" spans="2:11" x14ac:dyDescent="0.25">
      <c r="G24" s="254"/>
    </row>
    <row r="25" spans="2:11" x14ac:dyDescent="0.25">
      <c r="D25" s="296"/>
      <c r="G25" s="254"/>
    </row>
    <row r="26" spans="2:11" x14ac:dyDescent="0.25">
      <c r="G26" s="254"/>
    </row>
    <row r="27" spans="2:11" x14ac:dyDescent="0.25">
      <c r="G27" s="254"/>
    </row>
    <row r="28" spans="2:11" x14ac:dyDescent="0.25">
      <c r="G28" s="254"/>
    </row>
    <row r="29" spans="2:11" x14ac:dyDescent="0.25">
      <c r="G29" s="254"/>
    </row>
    <row r="30" spans="2:11" x14ac:dyDescent="0.25">
      <c r="G30" s="254"/>
    </row>
    <row r="31" spans="2:11" x14ac:dyDescent="0.25">
      <c r="G31" s="254"/>
    </row>
  </sheetData>
  <mergeCells count="6">
    <mergeCell ref="E6:E8"/>
    <mergeCell ref="F6:F8"/>
    <mergeCell ref="G6:G8"/>
    <mergeCell ref="B6:B8"/>
    <mergeCell ref="C6:C8"/>
    <mergeCell ref="D6:D8"/>
  </mergeCells>
  <phoneticPr fontId="29" type="noConversion"/>
  <pageMargins left="1" right="0.7" top="0.36" bottom="0.36" header="0.3" footer="0.3"/>
  <pageSetup paperSize="9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39"/>
  <sheetViews>
    <sheetView showGridLines="0" zoomScale="160" zoomScaleNormal="160" zoomScaleSheetLayoutView="85" workbookViewId="0">
      <selection activeCell="C3" sqref="C3"/>
    </sheetView>
  </sheetViews>
  <sheetFormatPr defaultColWidth="8.6640625" defaultRowHeight="11.25" x14ac:dyDescent="0.2"/>
  <cols>
    <col min="1" max="1" width="2" customWidth="1"/>
  </cols>
  <sheetData>
    <row r="3" ht="9" customHeight="1" x14ac:dyDescent="0.2"/>
    <row r="5" ht="6.75" customHeight="1" x14ac:dyDescent="0.2"/>
    <row r="35" spans="3:3" x14ac:dyDescent="0.2">
      <c r="C35">
        <f>'Tingkat Jalan Mineral'!G20</f>
        <v>998942.8</v>
      </c>
    </row>
    <row r="36" spans="3:3" x14ac:dyDescent="0.2">
      <c r="C36">
        <f>'Tingkat Jalan Mineral'!Q20</f>
        <v>1522646.8</v>
      </c>
    </row>
    <row r="37" spans="3:3" x14ac:dyDescent="0.2">
      <c r="C37">
        <f>'Drainase Tnh Mineral '!Q21</f>
        <v>581740</v>
      </c>
    </row>
    <row r="38" spans="3:3" x14ac:dyDescent="0.2">
      <c r="C38">
        <f>SUM(C35:C37)</f>
        <v>3103329.6</v>
      </c>
    </row>
    <row r="39" spans="3:3" x14ac:dyDescent="0.2">
      <c r="C39">
        <f>C33+C38</f>
        <v>3103329.6</v>
      </c>
    </row>
  </sheetData>
  <phoneticPr fontId="0" type="noConversion"/>
  <pageMargins left="0.75" right="0.75" top="0.63" bottom="1" header="0.5" footer="0.5"/>
  <pageSetup paperSize="9" orientation="landscape" horizontalDpi="4294967292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G132"/>
  <sheetViews>
    <sheetView topLeftCell="A7" workbookViewId="0">
      <selection activeCell="D5" sqref="D5"/>
    </sheetView>
  </sheetViews>
  <sheetFormatPr defaultColWidth="8.6640625" defaultRowHeight="11.25" x14ac:dyDescent="0.2"/>
  <cols>
    <col min="2" max="2" width="60.6640625" bestFit="1" customWidth="1"/>
    <col min="3" max="3" width="20.6640625" customWidth="1"/>
    <col min="4" max="4" width="19.6640625" customWidth="1"/>
    <col min="5" max="5" width="17.6640625" customWidth="1"/>
    <col min="7" max="7" width="20" bestFit="1" customWidth="1"/>
  </cols>
  <sheetData>
    <row r="1" spans="1:7" ht="16.5" x14ac:dyDescent="0.3">
      <c r="A1" s="97" t="s">
        <v>299</v>
      </c>
    </row>
    <row r="2" spans="1:7" s="7" customFormat="1" ht="15" x14ac:dyDescent="0.3">
      <c r="A2" s="651" t="s">
        <v>183</v>
      </c>
      <c r="B2" s="651" t="s">
        <v>184</v>
      </c>
      <c r="C2" s="662" t="s">
        <v>293</v>
      </c>
      <c r="D2" s="663"/>
      <c r="E2" s="652" t="s">
        <v>300</v>
      </c>
    </row>
    <row r="3" spans="1:7" s="7" customFormat="1" ht="15" x14ac:dyDescent="0.3">
      <c r="A3" s="651"/>
      <c r="B3" s="651"/>
      <c r="C3" s="68" t="s">
        <v>330</v>
      </c>
      <c r="D3" s="92" t="s">
        <v>328</v>
      </c>
      <c r="E3" s="653"/>
    </row>
    <row r="4" spans="1:7" s="7" customFormat="1" ht="13.5" x14ac:dyDescent="0.25">
      <c r="A4" s="112" t="s">
        <v>185</v>
      </c>
      <c r="B4" s="57" t="s">
        <v>274</v>
      </c>
      <c r="C4" s="93"/>
      <c r="D4" s="93"/>
      <c r="E4" s="93"/>
    </row>
    <row r="5" spans="1:7" s="7" customFormat="1" ht="13.5" x14ac:dyDescent="0.25">
      <c r="A5" s="58">
        <v>1</v>
      </c>
      <c r="B5" s="58" t="s">
        <v>275</v>
      </c>
      <c r="C5" s="59">
        <f>C27</f>
        <v>73133473.690236181</v>
      </c>
      <c r="D5" s="64">
        <v>27461600</v>
      </c>
      <c r="E5" s="59">
        <f>C5-D5</f>
        <v>45671873.690236181</v>
      </c>
    </row>
    <row r="6" spans="1:7" s="7" customFormat="1" ht="13.5" x14ac:dyDescent="0.25">
      <c r="A6" s="58">
        <v>2</v>
      </c>
      <c r="B6" s="58" t="s">
        <v>276</v>
      </c>
      <c r="C6" s="59">
        <f>C39</f>
        <v>6688533.5999999996</v>
      </c>
      <c r="D6" s="64">
        <v>2890650</v>
      </c>
      <c r="E6" s="59">
        <f>C6-D6</f>
        <v>3797883.5999999996</v>
      </c>
    </row>
    <row r="7" spans="1:7" s="7" customFormat="1" ht="15" x14ac:dyDescent="0.3">
      <c r="A7" s="58"/>
      <c r="B7" s="65" t="s">
        <v>277</v>
      </c>
      <c r="C7" s="82">
        <f>SUM(C5:C6)</f>
        <v>79822007.290236175</v>
      </c>
      <c r="D7" s="82">
        <f>SUM(D5:D6)</f>
        <v>30352250</v>
      </c>
      <c r="E7" s="82">
        <f>C7-D7</f>
        <v>49469757.290236175</v>
      </c>
    </row>
    <row r="8" spans="1:7" s="7" customFormat="1" ht="13.5" x14ac:dyDescent="0.25">
      <c r="A8" s="113" t="s">
        <v>187</v>
      </c>
      <c r="B8" s="58" t="s">
        <v>298</v>
      </c>
      <c r="C8" s="59">
        <f>'RKP 08'!G94</f>
        <v>1900000</v>
      </c>
      <c r="D8" s="59">
        <v>2657045</v>
      </c>
      <c r="E8" s="59">
        <f>C8-D8</f>
        <v>-757045</v>
      </c>
    </row>
    <row r="9" spans="1:7" s="11" customFormat="1" ht="15" x14ac:dyDescent="0.3">
      <c r="A9" s="65"/>
      <c r="B9" s="65" t="s">
        <v>304</v>
      </c>
      <c r="C9" s="82">
        <f>C7+C8</f>
        <v>81722007.290236175</v>
      </c>
      <c r="D9" s="82">
        <f>D7+D8</f>
        <v>33009295</v>
      </c>
      <c r="E9" s="82"/>
    </row>
    <row r="10" spans="1:7" s="11" customFormat="1" ht="15" x14ac:dyDescent="0.3">
      <c r="A10" s="65"/>
      <c r="B10" s="91" t="s">
        <v>301</v>
      </c>
      <c r="C10" s="82">
        <f>C9*5%</f>
        <v>4086100.3645118088</v>
      </c>
      <c r="D10" s="134" t="s">
        <v>302</v>
      </c>
      <c r="E10" s="82"/>
    </row>
    <row r="11" spans="1:7" s="11" customFormat="1" ht="15" x14ac:dyDescent="0.3">
      <c r="A11" s="138"/>
      <c r="B11" s="138" t="s">
        <v>303</v>
      </c>
      <c r="C11" s="139">
        <f>C9+C10</f>
        <v>85808107.654747978</v>
      </c>
      <c r="D11" s="139">
        <f>D9</f>
        <v>33009295</v>
      </c>
      <c r="E11" s="139">
        <f>C11-D11</f>
        <v>52798812.654747978</v>
      </c>
      <c r="G11" s="143"/>
    </row>
    <row r="12" spans="1:7" s="7" customFormat="1" ht="13.5" hidden="1" x14ac:dyDescent="0.25">
      <c r="A12" s="56" t="s">
        <v>278</v>
      </c>
      <c r="B12" s="67" t="s">
        <v>279</v>
      </c>
      <c r="C12" s="132"/>
      <c r="D12" s="133">
        <f>8369944375/1000</f>
        <v>8369944.375</v>
      </c>
      <c r="E12" s="16">
        <f>C12-D12</f>
        <v>-8369944.375</v>
      </c>
    </row>
    <row r="13" spans="1:7" s="7" customFormat="1" ht="15" hidden="1" x14ac:dyDescent="0.3">
      <c r="A13" s="66"/>
      <c r="B13" s="66" t="s">
        <v>280</v>
      </c>
      <c r="C13" s="63">
        <f>C9+C12</f>
        <v>81722007.290236175</v>
      </c>
      <c r="D13" s="63">
        <f>D9+D12</f>
        <v>41379239.375</v>
      </c>
      <c r="E13" s="83">
        <f>C13-D13</f>
        <v>40342767.915236175</v>
      </c>
    </row>
    <row r="14" spans="1:7" s="7" customFormat="1" ht="15" x14ac:dyDescent="0.3">
      <c r="A14" s="11"/>
      <c r="B14" s="11"/>
      <c r="C14" s="83"/>
    </row>
    <row r="15" spans="1:7" s="7" customFormat="1" ht="15" x14ac:dyDescent="0.3">
      <c r="A15" s="651" t="s">
        <v>183</v>
      </c>
      <c r="B15" s="651" t="s">
        <v>184</v>
      </c>
      <c r="C15" s="662" t="s">
        <v>293</v>
      </c>
      <c r="D15" s="663"/>
      <c r="E15" s="62"/>
    </row>
    <row r="16" spans="1:7" s="7" customFormat="1" ht="15" x14ac:dyDescent="0.3">
      <c r="A16" s="651"/>
      <c r="B16" s="651"/>
      <c r="C16" s="68" t="s">
        <v>294</v>
      </c>
      <c r="D16" s="92" t="s">
        <v>295</v>
      </c>
      <c r="E16" s="92" t="s">
        <v>300</v>
      </c>
    </row>
    <row r="17" spans="1:5" s="7" customFormat="1" ht="15" x14ac:dyDescent="0.3">
      <c r="A17" s="84" t="s">
        <v>185</v>
      </c>
      <c r="B17" s="86" t="s">
        <v>275</v>
      </c>
      <c r="C17" s="85"/>
      <c r="D17" s="57"/>
      <c r="E17" s="93"/>
    </row>
    <row r="18" spans="1:5" s="7" customFormat="1" ht="13.5" x14ac:dyDescent="0.25">
      <c r="A18" s="58">
        <v>1</v>
      </c>
      <c r="B18" s="58" t="s">
        <v>281</v>
      </c>
      <c r="C18" s="59">
        <f>'LC Mekanis'!G40</f>
        <v>10316300.189999999</v>
      </c>
      <c r="D18" s="59">
        <v>3990316</v>
      </c>
      <c r="E18" s="70">
        <f>C18-D18</f>
        <v>6325984.1899999995</v>
      </c>
    </row>
    <row r="19" spans="1:5" s="7" customFormat="1" ht="15" hidden="1" x14ac:dyDescent="0.3">
      <c r="A19" s="58"/>
      <c r="B19" s="107" t="s">
        <v>1</v>
      </c>
      <c r="C19" s="108">
        <f>'Cost PN'!L43</f>
        <v>2098329.2392857145</v>
      </c>
      <c r="D19" s="82">
        <v>0</v>
      </c>
      <c r="E19" s="69"/>
    </row>
    <row r="20" spans="1:5" s="7" customFormat="1" ht="15" hidden="1" x14ac:dyDescent="0.3">
      <c r="A20" s="58"/>
      <c r="B20" s="107" t="s">
        <v>43</v>
      </c>
      <c r="C20" s="108">
        <f>'Cost MN'!M39</f>
        <v>6</v>
      </c>
      <c r="D20" s="82">
        <v>0</v>
      </c>
      <c r="E20" s="69"/>
    </row>
    <row r="21" spans="1:5" s="7" customFormat="1" ht="13.5" x14ac:dyDescent="0.25">
      <c r="A21" s="58">
        <v>2</v>
      </c>
      <c r="B21" s="58" t="s">
        <v>186</v>
      </c>
      <c r="C21" s="59">
        <f>SUM(C19:C20)</f>
        <v>2098335.2392857145</v>
      </c>
      <c r="D21" s="59">
        <v>3716700</v>
      </c>
      <c r="E21" s="70">
        <f t="shared" ref="E21:E27" si="0">C21-D21</f>
        <v>-1618364.7607142855</v>
      </c>
    </row>
    <row r="22" spans="1:5" s="7" customFormat="1" ht="13.5" x14ac:dyDescent="0.25">
      <c r="A22" s="58">
        <v>3</v>
      </c>
      <c r="B22" s="58" t="s">
        <v>282</v>
      </c>
      <c r="C22" s="59">
        <f>'BHN ORGNK'!G34</f>
        <v>2639267.9900000002</v>
      </c>
      <c r="D22" s="109">
        <v>2552800</v>
      </c>
      <c r="E22" s="70">
        <f t="shared" si="0"/>
        <v>86467.990000000224</v>
      </c>
    </row>
    <row r="23" spans="1:5" s="7" customFormat="1" ht="13.5" x14ac:dyDescent="0.25">
      <c r="A23" s="58">
        <v>4</v>
      </c>
      <c r="B23" s="58" t="s">
        <v>283</v>
      </c>
      <c r="C23" s="59">
        <f>Tanam!G45</f>
        <v>4126190.12</v>
      </c>
      <c r="D23" s="64">
        <v>1558200</v>
      </c>
      <c r="E23" s="70">
        <f t="shared" si="0"/>
        <v>2567990.12</v>
      </c>
    </row>
    <row r="24" spans="1:5" s="7" customFormat="1" ht="13.5" x14ac:dyDescent="0.25">
      <c r="A24" s="58">
        <v>5</v>
      </c>
      <c r="B24" s="58" t="s">
        <v>188</v>
      </c>
      <c r="C24" s="59">
        <f>'TBM 1'!Q34</f>
        <v>14044331.454</v>
      </c>
      <c r="D24" s="64">
        <v>4441000</v>
      </c>
      <c r="E24" s="70">
        <f t="shared" si="0"/>
        <v>9603331.4539999999</v>
      </c>
    </row>
    <row r="25" spans="1:5" s="7" customFormat="1" ht="13.5" x14ac:dyDescent="0.25">
      <c r="A25" s="58">
        <v>6</v>
      </c>
      <c r="B25" s="58" t="s">
        <v>189</v>
      </c>
      <c r="C25" s="59">
        <f>'TBM 2'!Q35</f>
        <v>18644091.250935495</v>
      </c>
      <c r="D25" s="64">
        <v>6238900</v>
      </c>
      <c r="E25" s="70">
        <f t="shared" si="0"/>
        <v>12405191.250935495</v>
      </c>
    </row>
    <row r="26" spans="1:5" s="7" customFormat="1" ht="13.5" x14ac:dyDescent="0.25">
      <c r="A26" s="60">
        <v>7</v>
      </c>
      <c r="B26" s="60" t="s">
        <v>190</v>
      </c>
      <c r="C26" s="61">
        <f>'TBM 3'!Q39</f>
        <v>21264957.446014963</v>
      </c>
      <c r="D26" s="110">
        <v>7077300</v>
      </c>
      <c r="E26" s="132">
        <f t="shared" si="0"/>
        <v>14187657.446014963</v>
      </c>
    </row>
    <row r="27" spans="1:5" s="11" customFormat="1" ht="15" x14ac:dyDescent="0.3">
      <c r="A27" s="66"/>
      <c r="B27" s="66" t="s">
        <v>292</v>
      </c>
      <c r="C27" s="63">
        <f>C18+C21+C22+C23+C24+C25+C26</f>
        <v>73133473.690236181</v>
      </c>
      <c r="D27" s="63">
        <f>D18+D21+D22+D23+D24+D25+D26</f>
        <v>29575216</v>
      </c>
      <c r="E27" s="63">
        <f t="shared" si="0"/>
        <v>43558257.690236181</v>
      </c>
    </row>
    <row r="28" spans="1:5" s="11" customFormat="1" ht="15" x14ac:dyDescent="0.3">
      <c r="A28" s="90" t="s">
        <v>187</v>
      </c>
      <c r="B28" s="87" t="s">
        <v>284</v>
      </c>
      <c r="C28" s="88"/>
      <c r="D28" s="94"/>
      <c r="E28" s="140"/>
    </row>
    <row r="29" spans="1:5" s="11" customFormat="1" ht="15" x14ac:dyDescent="0.3">
      <c r="A29" s="89" t="s">
        <v>285</v>
      </c>
      <c r="B29" s="87" t="s">
        <v>286</v>
      </c>
      <c r="C29" s="88"/>
      <c r="D29" s="111"/>
      <c r="E29" s="141"/>
    </row>
    <row r="30" spans="1:5" s="7" customFormat="1" ht="13.5" x14ac:dyDescent="0.25">
      <c r="A30" s="58">
        <v>1</v>
      </c>
      <c r="B30" s="58" t="s">
        <v>263</v>
      </c>
      <c r="C30" s="59">
        <f>'Buat Jalan Tnh Mineral'!G19</f>
        <v>754708</v>
      </c>
      <c r="D30" s="64">
        <v>471450</v>
      </c>
      <c r="E30" s="70">
        <f>C30-D30</f>
        <v>283258</v>
      </c>
    </row>
    <row r="31" spans="1:5" s="7" customFormat="1" ht="13.5" x14ac:dyDescent="0.25">
      <c r="A31" s="58">
        <v>2</v>
      </c>
      <c r="B31" s="58" t="s">
        <v>264</v>
      </c>
      <c r="C31" s="59">
        <f>'Buat Jalan Tnh Mineral'!Q19</f>
        <v>1427748</v>
      </c>
      <c r="D31" s="64">
        <v>733950</v>
      </c>
      <c r="E31" s="70">
        <f>C31-D31</f>
        <v>693798</v>
      </c>
    </row>
    <row r="32" spans="1:5" s="7" customFormat="1" ht="13.5" x14ac:dyDescent="0.25">
      <c r="A32" s="58">
        <v>3</v>
      </c>
      <c r="B32" s="58" t="s">
        <v>171</v>
      </c>
      <c r="C32" s="59">
        <f>'Drainase Tnh Mineral '!G21</f>
        <v>1402748</v>
      </c>
      <c r="D32" s="110">
        <v>1288350</v>
      </c>
      <c r="E32" s="132">
        <f>C32-D32</f>
        <v>114398</v>
      </c>
    </row>
    <row r="33" spans="1:5" s="7" customFormat="1" ht="15" x14ac:dyDescent="0.3">
      <c r="A33" s="66"/>
      <c r="B33" s="66" t="s">
        <v>287</v>
      </c>
      <c r="C33" s="63">
        <f>SUM(C30:C32)</f>
        <v>3585204</v>
      </c>
      <c r="D33" s="63">
        <f>SUM(D30:D32)</f>
        <v>2493750</v>
      </c>
      <c r="E33" s="63">
        <f>C33-D33</f>
        <v>1091454</v>
      </c>
    </row>
    <row r="34" spans="1:5" s="7" customFormat="1" ht="15" x14ac:dyDescent="0.3">
      <c r="A34" s="91" t="s">
        <v>288</v>
      </c>
      <c r="B34" s="65" t="s">
        <v>289</v>
      </c>
      <c r="C34" s="59"/>
      <c r="D34" s="69"/>
      <c r="E34" s="93"/>
    </row>
    <row r="35" spans="1:5" s="7" customFormat="1" ht="13.5" x14ac:dyDescent="0.25">
      <c r="A35" s="58">
        <v>4</v>
      </c>
      <c r="B35" s="58" t="s">
        <v>265</v>
      </c>
      <c r="C35" s="59">
        <f>'Tingkat Jalan Mineral'!G20</f>
        <v>998942.8</v>
      </c>
      <c r="D35" s="64">
        <v>752252</v>
      </c>
      <c r="E35" s="70">
        <f t="shared" ref="E35:E40" si="1">C35-D35</f>
        <v>246690.80000000005</v>
      </c>
    </row>
    <row r="36" spans="1:5" s="7" customFormat="1" ht="13.5" x14ac:dyDescent="0.25">
      <c r="A36" s="60">
        <v>5</v>
      </c>
      <c r="B36" s="58" t="s">
        <v>266</v>
      </c>
      <c r="C36" s="61">
        <f>'Tingkat Jalan Mineral'!Q20</f>
        <v>1522646.8</v>
      </c>
      <c r="D36" s="64">
        <v>1316293</v>
      </c>
      <c r="E36" s="70">
        <f t="shared" si="1"/>
        <v>206353.80000000005</v>
      </c>
    </row>
    <row r="37" spans="1:5" s="7" customFormat="1" ht="13.5" x14ac:dyDescent="0.25">
      <c r="A37" s="60">
        <v>6</v>
      </c>
      <c r="B37" s="60" t="s">
        <v>267</v>
      </c>
      <c r="C37" s="61">
        <f>'Drainase Tnh Mineral '!Q21</f>
        <v>581740</v>
      </c>
      <c r="D37" s="110">
        <v>524265</v>
      </c>
      <c r="E37" s="132">
        <f t="shared" si="1"/>
        <v>57475</v>
      </c>
    </row>
    <row r="38" spans="1:5" s="7" customFormat="1" ht="15" x14ac:dyDescent="0.3">
      <c r="A38" s="66"/>
      <c r="B38" s="66" t="s">
        <v>290</v>
      </c>
      <c r="C38" s="63">
        <f>SUM(C35:C37)</f>
        <v>3103329.6</v>
      </c>
      <c r="D38" s="63">
        <f>SUM(D35:D37)</f>
        <v>2592810</v>
      </c>
      <c r="E38" s="63">
        <f t="shared" si="1"/>
        <v>510519.60000000009</v>
      </c>
    </row>
    <row r="39" spans="1:5" s="7" customFormat="1" ht="15" x14ac:dyDescent="0.3">
      <c r="A39" s="66"/>
      <c r="B39" s="66" t="s">
        <v>291</v>
      </c>
      <c r="C39" s="63">
        <f>C33+C38</f>
        <v>6688533.5999999996</v>
      </c>
      <c r="D39" s="63">
        <f>D33+D38</f>
        <v>5086560</v>
      </c>
      <c r="E39" s="63">
        <f t="shared" si="1"/>
        <v>1601973.5999999996</v>
      </c>
    </row>
    <row r="40" spans="1:5" s="7" customFormat="1" ht="16.5" x14ac:dyDescent="0.3">
      <c r="A40" s="95" t="s">
        <v>296</v>
      </c>
      <c r="B40" s="95"/>
      <c r="C40" s="96">
        <f>C27+C39</f>
        <v>79822007.290236175</v>
      </c>
      <c r="D40" s="96">
        <f>D27+D39</f>
        <v>34661776</v>
      </c>
      <c r="E40" s="63">
        <f t="shared" si="1"/>
        <v>45160231.290236175</v>
      </c>
    </row>
    <row r="41" spans="1:5" s="7" customFormat="1" ht="13.5" x14ac:dyDescent="0.25"/>
    <row r="42" spans="1:5" s="7" customFormat="1" ht="13.5" x14ac:dyDescent="0.25">
      <c r="A42" s="7" t="s">
        <v>329</v>
      </c>
    </row>
    <row r="43" spans="1:5" s="7" customFormat="1" ht="13.5" x14ac:dyDescent="0.25"/>
    <row r="44" spans="1:5" s="7" customFormat="1" ht="13.5" x14ac:dyDescent="0.25"/>
    <row r="45" spans="1:5" s="7" customFormat="1" ht="13.5" x14ac:dyDescent="0.25">
      <c r="B45" s="142"/>
    </row>
    <row r="46" spans="1:5" s="7" customFormat="1" ht="13.5" x14ac:dyDescent="0.25"/>
    <row r="47" spans="1:5" s="7" customFormat="1" ht="13.5" x14ac:dyDescent="0.25"/>
    <row r="48" spans="1:5" s="7" customFormat="1" ht="13.5" x14ac:dyDescent="0.25"/>
    <row r="49" s="7" customFormat="1" ht="13.5" x14ac:dyDescent="0.25"/>
    <row r="50" s="7" customFormat="1" ht="13.5" x14ac:dyDescent="0.25"/>
    <row r="51" s="7" customFormat="1" ht="13.5" x14ac:dyDescent="0.25"/>
    <row r="52" s="7" customFormat="1" ht="13.5" x14ac:dyDescent="0.25"/>
    <row r="53" s="7" customFormat="1" ht="13.5" x14ac:dyDescent="0.25"/>
    <row r="54" s="7" customFormat="1" ht="13.5" x14ac:dyDescent="0.25"/>
    <row r="55" s="7" customFormat="1" ht="13.5" x14ac:dyDescent="0.25"/>
    <row r="56" s="7" customFormat="1" ht="13.5" x14ac:dyDescent="0.25"/>
    <row r="57" s="7" customFormat="1" ht="13.5" x14ac:dyDescent="0.25"/>
    <row r="58" s="7" customFormat="1" ht="13.5" x14ac:dyDescent="0.25"/>
    <row r="59" s="7" customFormat="1" ht="13.5" x14ac:dyDescent="0.25"/>
    <row r="60" s="7" customFormat="1" ht="13.5" x14ac:dyDescent="0.25"/>
    <row r="61" s="7" customFormat="1" ht="13.5" x14ac:dyDescent="0.25"/>
    <row r="62" s="7" customFormat="1" ht="13.5" x14ac:dyDescent="0.25"/>
    <row r="63" s="7" customFormat="1" ht="13.5" x14ac:dyDescent="0.25"/>
    <row r="64" s="7" customFormat="1" ht="13.5" x14ac:dyDescent="0.25"/>
    <row r="65" s="7" customFormat="1" ht="13.5" x14ac:dyDescent="0.25"/>
    <row r="66" s="7" customFormat="1" ht="13.5" x14ac:dyDescent="0.25"/>
    <row r="67" s="7" customFormat="1" ht="13.5" x14ac:dyDescent="0.25"/>
    <row r="68" s="7" customFormat="1" ht="13.5" x14ac:dyDescent="0.25"/>
    <row r="69" s="7" customFormat="1" ht="13.5" x14ac:dyDescent="0.25"/>
    <row r="70" s="7" customFormat="1" ht="13.5" x14ac:dyDescent="0.25"/>
    <row r="71" s="7" customFormat="1" ht="13.5" x14ac:dyDescent="0.25"/>
    <row r="72" s="7" customFormat="1" ht="13.5" x14ac:dyDescent="0.25"/>
    <row r="73" s="7" customFormat="1" ht="13.5" x14ac:dyDescent="0.25"/>
    <row r="74" s="7" customFormat="1" ht="13.5" x14ac:dyDescent="0.25"/>
    <row r="75" s="7" customFormat="1" ht="13.5" x14ac:dyDescent="0.25"/>
    <row r="76" s="7" customFormat="1" ht="13.5" x14ac:dyDescent="0.25"/>
    <row r="77" s="7" customFormat="1" ht="13.5" x14ac:dyDescent="0.25"/>
    <row r="78" s="7" customFormat="1" ht="13.5" x14ac:dyDescent="0.25"/>
    <row r="79" s="7" customFormat="1" ht="13.5" x14ac:dyDescent="0.25"/>
    <row r="80" s="7" customFormat="1" ht="13.5" x14ac:dyDescent="0.25"/>
    <row r="81" s="7" customFormat="1" ht="13.5" x14ac:dyDescent="0.25"/>
    <row r="82" s="7" customFormat="1" ht="13.5" x14ac:dyDescent="0.25"/>
    <row r="83" s="7" customFormat="1" ht="13.5" x14ac:dyDescent="0.25"/>
    <row r="84" s="7" customFormat="1" ht="13.5" x14ac:dyDescent="0.25"/>
    <row r="85" s="7" customFormat="1" ht="13.5" x14ac:dyDescent="0.25"/>
    <row r="86" s="7" customFormat="1" ht="13.5" x14ac:dyDescent="0.25"/>
    <row r="87" s="7" customFormat="1" ht="13.5" x14ac:dyDescent="0.25"/>
    <row r="88" s="7" customFormat="1" ht="13.5" x14ac:dyDescent="0.25"/>
    <row r="89" s="7" customFormat="1" ht="13.5" x14ac:dyDescent="0.25"/>
    <row r="90" s="7" customFormat="1" ht="13.5" x14ac:dyDescent="0.25"/>
    <row r="91" s="7" customFormat="1" ht="13.5" x14ac:dyDescent="0.25"/>
    <row r="92" s="7" customFormat="1" ht="13.5" x14ac:dyDescent="0.25"/>
    <row r="93" s="7" customFormat="1" ht="13.5" x14ac:dyDescent="0.25"/>
    <row r="94" s="7" customFormat="1" ht="13.5" x14ac:dyDescent="0.25"/>
    <row r="95" s="7" customFormat="1" ht="13.5" x14ac:dyDescent="0.25"/>
    <row r="96" s="7" customFormat="1" ht="13.5" x14ac:dyDescent="0.25"/>
    <row r="97" s="7" customFormat="1" ht="13.5" x14ac:dyDescent="0.25"/>
    <row r="98" s="7" customFormat="1" ht="13.5" x14ac:dyDescent="0.25"/>
    <row r="99" s="7" customFormat="1" ht="13.5" x14ac:dyDescent="0.25"/>
    <row r="100" s="7" customFormat="1" ht="13.5" x14ac:dyDescent="0.25"/>
    <row r="101" s="7" customFormat="1" ht="13.5" x14ac:dyDescent="0.25"/>
    <row r="102" s="7" customFormat="1" ht="13.5" x14ac:dyDescent="0.25"/>
    <row r="103" s="7" customFormat="1" ht="13.5" x14ac:dyDescent="0.25"/>
    <row r="104" s="7" customFormat="1" ht="13.5" x14ac:dyDescent="0.25"/>
    <row r="105" s="7" customFormat="1" ht="13.5" x14ac:dyDescent="0.25"/>
    <row r="106" s="7" customFormat="1" ht="13.5" x14ac:dyDescent="0.25"/>
    <row r="107" s="7" customFormat="1" ht="13.5" x14ac:dyDescent="0.25"/>
    <row r="108" s="7" customFormat="1" ht="13.5" x14ac:dyDescent="0.25"/>
    <row r="109" s="7" customFormat="1" ht="13.5" x14ac:dyDescent="0.25"/>
    <row r="110" s="7" customFormat="1" ht="13.5" x14ac:dyDescent="0.25"/>
    <row r="111" s="7" customFormat="1" ht="13.5" x14ac:dyDescent="0.25"/>
    <row r="112" s="7" customFormat="1" ht="13.5" x14ac:dyDescent="0.25"/>
    <row r="113" s="7" customFormat="1" ht="13.5" x14ac:dyDescent="0.25"/>
    <row r="114" s="7" customFormat="1" ht="13.5" x14ac:dyDescent="0.25"/>
    <row r="115" s="7" customFormat="1" ht="13.5" x14ac:dyDescent="0.25"/>
    <row r="116" s="7" customFormat="1" ht="13.5" x14ac:dyDescent="0.25"/>
    <row r="117" s="7" customFormat="1" ht="13.5" x14ac:dyDescent="0.25"/>
    <row r="118" s="7" customFormat="1" ht="13.5" x14ac:dyDescent="0.25"/>
    <row r="119" s="7" customFormat="1" ht="13.5" x14ac:dyDescent="0.25"/>
    <row r="120" s="7" customFormat="1" ht="13.5" x14ac:dyDescent="0.25"/>
    <row r="121" s="7" customFormat="1" ht="13.5" x14ac:dyDescent="0.25"/>
    <row r="122" s="7" customFormat="1" ht="13.5" x14ac:dyDescent="0.25"/>
    <row r="123" s="7" customFormat="1" ht="13.5" x14ac:dyDescent="0.25"/>
    <row r="124" s="7" customFormat="1" ht="13.5" x14ac:dyDescent="0.25"/>
    <row r="125" s="7" customFormat="1" ht="13.5" x14ac:dyDescent="0.25"/>
    <row r="126" s="7" customFormat="1" ht="13.5" x14ac:dyDescent="0.25"/>
    <row r="127" s="7" customFormat="1" ht="13.5" x14ac:dyDescent="0.25"/>
    <row r="128" s="7" customFormat="1" ht="13.5" x14ac:dyDescent="0.25"/>
    <row r="129" s="7" customFormat="1" ht="13.5" x14ac:dyDescent="0.25"/>
    <row r="130" s="7" customFormat="1" ht="13.5" x14ac:dyDescent="0.25"/>
    <row r="131" s="7" customFormat="1" ht="13.5" x14ac:dyDescent="0.25"/>
    <row r="132" s="7" customFormat="1" ht="13.5" x14ac:dyDescent="0.25"/>
  </sheetData>
  <mergeCells count="7">
    <mergeCell ref="C15:D15"/>
    <mergeCell ref="A15:A16"/>
    <mergeCell ref="B15:B16"/>
    <mergeCell ref="E2:E3"/>
    <mergeCell ref="A2:A3"/>
    <mergeCell ref="B2:B3"/>
    <mergeCell ref="C2:D2"/>
  </mergeCells>
  <phoneticPr fontId="0" type="noConversion"/>
  <printOptions horizontalCentered="1"/>
  <pageMargins left="1.5" right="1" top="0.75" bottom="0.75" header="0.5" footer="0.5"/>
  <pageSetup paperSize="9" scale="9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17</vt:i4>
      </vt:variant>
    </vt:vector>
  </HeadingPairs>
  <TitlesOfParts>
    <vt:vector size="41" baseType="lpstr">
      <vt:lpstr>Sheet1</vt:lpstr>
      <vt:lpstr>Cover RKP</vt:lpstr>
      <vt:lpstr>Harga</vt:lpstr>
      <vt:lpstr>RKP 08</vt:lpstr>
      <vt:lpstr>RKT 18_19 Infra</vt:lpstr>
      <vt:lpstr>Non Tanaman</vt:lpstr>
      <vt:lpstr>Rekap Non Tanaman</vt:lpstr>
      <vt:lpstr>Lampiran</vt:lpstr>
      <vt:lpstr>LC Manual</vt:lpstr>
      <vt:lpstr>Cost PN</vt:lpstr>
      <vt:lpstr>Cost MN</vt:lpstr>
      <vt:lpstr>LC Mekanis</vt:lpstr>
      <vt:lpstr>BHN ORGNK</vt:lpstr>
      <vt:lpstr>Tanam</vt:lpstr>
      <vt:lpstr>TBM 1</vt:lpstr>
      <vt:lpstr>TBM 2</vt:lpstr>
      <vt:lpstr>TBM 3</vt:lpstr>
      <vt:lpstr>Rekapitulasi Biaya</vt:lpstr>
      <vt:lpstr>Buat Jalan Tnh Mineral</vt:lpstr>
      <vt:lpstr>Drainase Tnh Mineral </vt:lpstr>
      <vt:lpstr>Tingkat Jalan Mineral</vt:lpstr>
      <vt:lpstr>ARSTAT</vt:lpstr>
      <vt:lpstr>PETA</vt:lpstr>
      <vt:lpstr>Rekapitulasi Biaya (2)</vt:lpstr>
      <vt:lpstr>'BHN ORGNK'!Print_Area</vt:lpstr>
      <vt:lpstr>'Buat Jalan Tnh Mineral'!Print_Area</vt:lpstr>
      <vt:lpstr>'Cost MN'!Print_Area</vt:lpstr>
      <vt:lpstr>'Cost PN'!Print_Area</vt:lpstr>
      <vt:lpstr>'Cover RKP'!Print_Area</vt:lpstr>
      <vt:lpstr>'Drainase Tnh Mineral '!Print_Area</vt:lpstr>
      <vt:lpstr>Harga!Print_Area</vt:lpstr>
      <vt:lpstr>'LC Mekanis'!Print_Area</vt:lpstr>
      <vt:lpstr>'RKP 08'!Print_Area</vt:lpstr>
      <vt:lpstr>'RKT 18_19 Infra'!Print_Area</vt:lpstr>
      <vt:lpstr>Tanam!Print_Area</vt:lpstr>
      <vt:lpstr>'TBM 1'!Print_Area</vt:lpstr>
      <vt:lpstr>'TBM 2'!Print_Area</vt:lpstr>
      <vt:lpstr>'TBM 3'!Print_Area</vt:lpstr>
      <vt:lpstr>'Tingkat Jalan Mineral'!Print_Area</vt:lpstr>
      <vt:lpstr>'RKP 08'!Print_Titles</vt:lpstr>
      <vt:lpstr>'RKT 18_19 Infra'!Print_Titles</vt:lpstr>
    </vt:vector>
  </TitlesOfParts>
  <Company>cendy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satoto</dc:creator>
  <cp:lastModifiedBy>fahrudin</cp:lastModifiedBy>
  <cp:lastPrinted>2026-03-05T03:04:22Z</cp:lastPrinted>
  <dcterms:created xsi:type="dcterms:W3CDTF">2000-06-14T03:16:28Z</dcterms:created>
  <dcterms:modified xsi:type="dcterms:W3CDTF">2026-03-05T03:40:13Z</dcterms:modified>
</cp:coreProperties>
</file>