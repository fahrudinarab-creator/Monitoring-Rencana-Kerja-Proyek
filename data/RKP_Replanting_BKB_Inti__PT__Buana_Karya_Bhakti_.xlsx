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tor\RKP\Gabungan\"/>
    </mc:Choice>
  </mc:AlternateContent>
  <xr:revisionPtr revIDLastSave="0" documentId="8_{CF9D43CE-ADA4-4E12-9E69-91FAD57407E9}" xr6:coauthVersionLast="47" xr6:coauthVersionMax="47" xr10:uidLastSave="{00000000-0000-0000-0000-000000000000}"/>
  <bookViews>
    <workbookView xWindow="-110" yWindow="-110" windowWidth="19420" windowHeight="10300" xr2:uid="{9CBD680A-AAEF-485A-8A27-D0EFE61B3BAE}"/>
  </bookViews>
  <sheets>
    <sheet name="RKP" sheetId="1" r:id="rId1"/>
    <sheet name="REKAP BIAYA" sheetId="2" r:id="rId2"/>
    <sheet name="SI TB CECT" sheetId="3" r:id="rId3"/>
    <sheet name="SI TB SERAK" sheetId="4" r:id="rId4"/>
    <sheet name="S1 TBM 1" sheetId="5" r:id="rId5"/>
    <sheet name="S1 TBM 2" sheetId="6" r:id="rId6"/>
    <sheet name="S1 TBM 3" sheetId="7" r:id="rId7"/>
  </sheets>
  <definedNames>
    <definedName name="\0">#REF!</definedName>
    <definedName name="\a">#N/A</definedName>
    <definedName name="\b">#N/A</definedName>
    <definedName name="\g">#N/A</definedName>
    <definedName name="\n">#N/A</definedName>
    <definedName name="__123Graph_A" hidden="1">#REF!</definedName>
    <definedName name="__123Graph_ACURAH" hidden="1">#REF!</definedName>
    <definedName name="__123Graph_AHARI" hidden="1">#REF!</definedName>
    <definedName name="__123Graph_B" hidden="1">#REF!</definedName>
    <definedName name="__123Graph_BCURAH" hidden="1">#REF!</definedName>
    <definedName name="__123Graph_BHARI" hidden="1">#REF!</definedName>
    <definedName name="__123Graph_C" hidden="1">#REF!</definedName>
    <definedName name="__123Graph_CCURAH" hidden="1">#REF!</definedName>
    <definedName name="__123Graph_CHARI" hidden="1">#REF!</definedName>
    <definedName name="__123Graph_D" hidden="1">#REF!</definedName>
    <definedName name="__123Graph_DCURAH" hidden="1">#REF!</definedName>
    <definedName name="__123Graph_DHARI" hidden="1">#REF!</definedName>
    <definedName name="__123Graph_E" hidden="1">#REF!</definedName>
    <definedName name="__123Graph_ECURAH" hidden="1">#REF!</definedName>
    <definedName name="__123Graph_EHARI" hidden="1">#REF!</definedName>
    <definedName name="__123Graph_F" hidden="1">#REF!</definedName>
    <definedName name="__123Graph_X" hidden="1">#REF!</definedName>
    <definedName name="__123Graph_XCURAH" hidden="1">#REF!</definedName>
    <definedName name="__123Graph_XHARI" hidden="1">#REF!</definedName>
    <definedName name="__kop2">#REF!</definedName>
    <definedName name="__s2">#REF!</definedName>
    <definedName name="__SKF1">#REF!</definedName>
    <definedName name="__SKF2">#REF!</definedName>
    <definedName name="_0">#REF!</definedName>
    <definedName name="_1__123Graph_AGAE_2" hidden="1">#REF!</definedName>
    <definedName name="_10_b_1">#REF!</definedName>
    <definedName name="_11_g_1">#REF!</definedName>
    <definedName name="_12_n_1">#REF!</definedName>
    <definedName name="_13Excel_BuiltIn_Database_1">#REF!</definedName>
    <definedName name="_14Excel_BuiltIn_Print_Area_1">#REF!</definedName>
    <definedName name="_15Excel_BuiltIn_Print_Area_31_1">#REF!</definedName>
    <definedName name="_16Excel_BuiltIn_Print_Titles_1">#REF!</definedName>
    <definedName name="_2__123Graph_BGAE_2" hidden="1">#REF!</definedName>
    <definedName name="_3__123Graph_CGAE_2" hidden="1">#REF!</definedName>
    <definedName name="_4__123Graph_DGAE_2" hidden="1">#REF!</definedName>
    <definedName name="_432">432</definedName>
    <definedName name="_5__123Graph_EGAE_2" hidden="1">#REF!</definedName>
    <definedName name="_6__123Graph_FGAE_2" hidden="1">#REF!</definedName>
    <definedName name="_7__123Graph_XGAE_2" hidden="1">#REF!</definedName>
    <definedName name="_8_0_1">#REF!</definedName>
    <definedName name="_8311">#REF!</definedName>
    <definedName name="_9_A_1">#REF!</definedName>
    <definedName name="_A">#REF!</definedName>
    <definedName name="_A_1">#REF!</definedName>
    <definedName name="_A_2">#REF!</definedName>
    <definedName name="_A_28">#REF!</definedName>
    <definedName name="_A_3">#REF!</definedName>
    <definedName name="_A_31">#REF!</definedName>
    <definedName name="_A_58">#REF!</definedName>
    <definedName name="_A_7">#REF!</definedName>
    <definedName name="_A_8">#REF!</definedName>
    <definedName name="_A_86">#REF!</definedName>
    <definedName name="_A_87">#REF!</definedName>
    <definedName name="_A_9">#REF!</definedName>
    <definedName name="_b">#REF!</definedName>
    <definedName name="_Fill" hidden="1">#REF!</definedName>
    <definedName name="_g">#REF!</definedName>
    <definedName name="_HOME___FR_PGSE">#REF!</definedName>
    <definedName name="_HOME___PG_FRSE">#REF!</definedName>
    <definedName name="_Key1" hidden="1">#REF!</definedName>
    <definedName name="_Key2" hidden="1">#REF!</definedName>
    <definedName name="_kop2">#REF!</definedName>
    <definedName name="_n">#REF!</definedName>
    <definedName name="_Order1" hidden="1">255</definedName>
    <definedName name="_Order2" hidden="1">0</definedName>
    <definedName name="_PG">#REF!</definedName>
    <definedName name="_Regression_Int">1</definedName>
    <definedName name="_s2">#REF!</definedName>
    <definedName name="_SKF1">#REF!</definedName>
    <definedName name="_SKF2">#REF!</definedName>
    <definedName name="_Sort" hidden="1">#REF!</definedName>
    <definedName name="A">#N/A</definedName>
    <definedName name="aa">#N/A</definedName>
    <definedName name="are">#REF!</definedName>
    <definedName name="ari">#REF!</definedName>
    <definedName name="ASE" hidden="1">#REF!</definedName>
    <definedName name="bab" hidden="1">#REF!</definedName>
    <definedName name="BBB" hidden="1">#REF!</definedName>
    <definedName name="bln">#N/A</definedName>
    <definedName name="bulanan" hidden="1">#REF!</definedName>
    <definedName name="capital">#N/A</definedName>
    <definedName name="CC">#REF!</definedName>
    <definedName name="CC_31">#REF!</definedName>
    <definedName name="CC_7">#REF!</definedName>
    <definedName name="CCC">#REF!</definedName>
    <definedName name="Cetak">#REF!</definedName>
    <definedName name="_xlnm.Database">#REF!</definedName>
    <definedName name="dea">#N/A</definedName>
    <definedName name="df">#REF!</definedName>
    <definedName name="edar">#N/A</definedName>
    <definedName name="ee" hidden="1">#REF!</definedName>
    <definedName name="er">#REF!</definedName>
    <definedName name="Excel_BuiltIn_Database">#REF!</definedName>
    <definedName name="Excel_BuiltIn_Print_Area">#REF!</definedName>
    <definedName name="Excel_BuiltIn_Print_Area_1">"$#REF!.$A$2:$R$24"</definedName>
    <definedName name="Excel_BuiltIn_Print_Area_18">#REF!</definedName>
    <definedName name="Excel_BuiltIn_Print_Area_19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0">#REF!</definedName>
    <definedName name="Excel_BuiltIn_Print_Area_31">#REF!</definedName>
    <definedName name="Excel_BuiltIn_Print_Area_32">#REF!</definedName>
    <definedName name="Excel_BuiltIn_Print_Area_33">#REF!</definedName>
    <definedName name="Excel_BuiltIn_Print_Area_34">#REF!</definedName>
    <definedName name="Excel_BuiltIn_Print_Area_35">#REF!</definedName>
    <definedName name="Excel_BuiltIn_Print_Area_36">#REF!</definedName>
    <definedName name="Excel_BuiltIn_Print_Area_38">#REF!</definedName>
    <definedName name="Excel_BuiltIn_Print_Area_84">#REF!</definedName>
    <definedName name="Excel_BuiltIn_Print_Titles">#REF!</definedName>
    <definedName name="Excel_BuiltIn_Print_Titles_7">#REF!</definedName>
    <definedName name="f">#REF!</definedName>
    <definedName name="f_2">#REF!</definedName>
    <definedName name="f_28">#REF!</definedName>
    <definedName name="f_3">#REF!</definedName>
    <definedName name="f_31">#REF!</definedName>
    <definedName name="f_58">#REF!</definedName>
    <definedName name="f_7">#REF!</definedName>
    <definedName name="f_8">#REF!</definedName>
    <definedName name="f_86">#REF!</definedName>
    <definedName name="f_87">#REF!</definedName>
    <definedName name="f_9">#REF!</definedName>
    <definedName name="ffff">#REF!</definedName>
    <definedName name="FFFFFFFFFFFFFFFFFFFFFFFFFFFFFFFFF">#REF!</definedName>
    <definedName name="FORM">#REF!</definedName>
    <definedName name="FORM_31">#REF!</definedName>
    <definedName name="gae">#REF!</definedName>
    <definedName name="gae_2">#REF!</definedName>
    <definedName name="gae_28">#REF!</definedName>
    <definedName name="gae_3">#REF!</definedName>
    <definedName name="gae_31">#REF!</definedName>
    <definedName name="gae_58">#REF!</definedName>
    <definedName name="gae_7">#REF!</definedName>
    <definedName name="gae_8">#REF!</definedName>
    <definedName name="gae_86">#REF!</definedName>
    <definedName name="gae_87">#REF!</definedName>
    <definedName name="gae_9">#REF!</definedName>
    <definedName name="gusdur">#REF!</definedName>
    <definedName name="gusdur2">#REF!</definedName>
    <definedName name="H">#REF!</definedName>
    <definedName name="Harga">#REF!</definedName>
    <definedName name="HGB" hidden="1">#REF!</definedName>
    <definedName name="hh">#REF!</definedName>
    <definedName name="HHHHHHHHH">#REF!</definedName>
    <definedName name="HHHHHHHHH_2">#REF!</definedName>
    <definedName name="HHHHHHHHH_3">#REF!</definedName>
    <definedName name="HHHHHHHHH_31">#REF!</definedName>
    <definedName name="HHHHHHHHH_7">#REF!</definedName>
    <definedName name="HHHHHHHHH_8">#REF!</definedName>
    <definedName name="HHHHHHHHH_86">#REF!</definedName>
    <definedName name="HHHHHHHHH_9">#REF!</definedName>
    <definedName name="I">#REF!</definedName>
    <definedName name="I_26">#REF!</definedName>
    <definedName name="I_27">#REF!</definedName>
    <definedName name="I_28">#REF!</definedName>
    <definedName name="I_31">#REF!</definedName>
    <definedName name="I_7">#REF!</definedName>
    <definedName name="jj">#N/A</definedName>
    <definedName name="JUDUL">#REF!</definedName>
    <definedName name="JUDUL_2">#REF!</definedName>
    <definedName name="JUDUL_28">#REF!</definedName>
    <definedName name="JUDUL_3">#REF!</definedName>
    <definedName name="JUDUL_31">#REF!</definedName>
    <definedName name="JUDUL_58">#REF!</definedName>
    <definedName name="JUDUL_7">#REF!</definedName>
    <definedName name="JUDUL_8">#REF!</definedName>
    <definedName name="JUDUL_86">#REF!</definedName>
    <definedName name="JUDUL_87">#REF!</definedName>
    <definedName name="JUDUL_9">#REF!</definedName>
    <definedName name="kajfak">#REF!</definedName>
    <definedName name="kap" hidden="1">#REF!</definedName>
    <definedName name="kapital" hidden="1">#REF!</definedName>
    <definedName name="Kd_Acc">#REF!</definedName>
    <definedName name="Kd_Afd">#REF!</definedName>
    <definedName name="knj">#REF!</definedName>
    <definedName name="knj_2">#REF!</definedName>
    <definedName name="knj_28">#REF!</definedName>
    <definedName name="knj_3">#REF!</definedName>
    <definedName name="knj_31">#REF!</definedName>
    <definedName name="knj_58">#REF!</definedName>
    <definedName name="knj_7">#REF!</definedName>
    <definedName name="knj_8">#REF!</definedName>
    <definedName name="knj_86">#REF!</definedName>
    <definedName name="knj_87">#REF!</definedName>
    <definedName name="knj_9">#REF!</definedName>
    <definedName name="kop">#REF!</definedName>
    <definedName name="kop_2">#REF!</definedName>
    <definedName name="kop_28">#REF!</definedName>
    <definedName name="kop_3">#REF!</definedName>
    <definedName name="kop_31">#REF!</definedName>
    <definedName name="kop_58">#REF!</definedName>
    <definedName name="kop_7">#REF!</definedName>
    <definedName name="kop_8">#REF!</definedName>
    <definedName name="kop_86">#REF!</definedName>
    <definedName name="kop_87">#REF!</definedName>
    <definedName name="kop_9">#REF!</definedName>
    <definedName name="kop2_2">#REF!</definedName>
    <definedName name="kop2_28">#REF!</definedName>
    <definedName name="kop2_3">#REF!</definedName>
    <definedName name="kop2_31">#REF!</definedName>
    <definedName name="kop2_58">#REF!</definedName>
    <definedName name="kop2_7">#REF!</definedName>
    <definedName name="kop2_8">#REF!</definedName>
    <definedName name="kop2_86">#REF!</definedName>
    <definedName name="kop2_87">#REF!</definedName>
    <definedName name="kop2_9">#REF!</definedName>
    <definedName name="LINE">#REF!</definedName>
    <definedName name="LINE_31">#REF!</definedName>
    <definedName name="M" hidden="1">#REF!</definedName>
    <definedName name="mmmmmmmmmm">#REF!</definedName>
    <definedName name="ok">#REF!</definedName>
    <definedName name="peot">#REF!</definedName>
    <definedName name="pr">#REF!</definedName>
    <definedName name="pr_2">#REF!</definedName>
    <definedName name="pr_28">#REF!</definedName>
    <definedName name="pr_3">#REF!</definedName>
    <definedName name="pr_31">#REF!</definedName>
    <definedName name="pr_58">#REF!</definedName>
    <definedName name="pr_7">#REF!</definedName>
    <definedName name="pr_8">#REF!</definedName>
    <definedName name="pr_86">#REF!</definedName>
    <definedName name="pr_87">#REF!</definedName>
    <definedName name="pr_9">#REF!</definedName>
    <definedName name="print">#N/A</definedName>
    <definedName name="PRINT_A">#REF!</definedName>
    <definedName name="_xlnm.Print_Area" localSheetId="1">'REKAP BIAYA'!$AB$3:$AH$43</definedName>
    <definedName name="_xlnm.Print_Area" localSheetId="0">RKP!$A$1:$AU$24</definedName>
    <definedName name="_xlnm.Print_Area" localSheetId="4">'S1 TBM 1'!$A$1:$Z$388</definedName>
    <definedName name="_xlnm.Print_Area" localSheetId="5">'S1 TBM 2'!$A$1:$Z$401</definedName>
    <definedName name="_xlnm.Print_Area" localSheetId="6">'S1 TBM 3'!$A$1:$Z$403</definedName>
    <definedName name="_xlnm.Print_Area" localSheetId="2">'SI TB CECT'!$B$1:$AB$332</definedName>
    <definedName name="_xlnm.Print_Area" localSheetId="3">'SI TB SERAK'!$B$2:$X$315</definedName>
    <definedName name="_xlnm.Print_Area">#REF!</definedName>
    <definedName name="Print_Area_MI">#REF!</definedName>
    <definedName name="Print_Area_MI_26">#REF!</definedName>
    <definedName name="Print_Area_MI_27">#REF!</definedName>
    <definedName name="Print_Area_MI_28">#REF!</definedName>
    <definedName name="Print_Area_MI_31">#REF!</definedName>
    <definedName name="Print_Area_MI_7">#REF!</definedName>
    <definedName name="_xlnm.Print_Titles" localSheetId="4">'S1 TBM 1'!$2:$4</definedName>
    <definedName name="_xlnm.Print_Titles" localSheetId="5">'S1 TBM 2'!$2:$4</definedName>
    <definedName name="_xlnm.Print_Titles" localSheetId="6">'S1 TBM 3'!$2:$4</definedName>
    <definedName name="_xlnm.Print_Titles" localSheetId="2">'SI TB CECT'!$3:$5</definedName>
    <definedName name="_xlnm.Print_Titles" localSheetId="3">'SI TB SERAK'!$2:$4</definedName>
    <definedName name="_xlnm.Print_Titles">#N/A</definedName>
    <definedName name="PRINT_TITLES_MI">#N/A</definedName>
    <definedName name="q" hidden="1">#REF!</definedName>
    <definedName name="QQ">#REF!</definedName>
    <definedName name="QQ_31">#REF!</definedName>
    <definedName name="QQ_7">#REF!</definedName>
    <definedName name="rar">#REF!</definedName>
    <definedName name="RAY">#REF!</definedName>
    <definedName name="raye">#REF!</definedName>
    <definedName name="re">#REF!</definedName>
    <definedName name="rr">#REF!</definedName>
    <definedName name="s">#REF!</definedName>
    <definedName name="sde">#N/A</definedName>
    <definedName name="SDER">#REF!</definedName>
    <definedName name="sgsgs">#REF!</definedName>
    <definedName name="SKF1_2">#REF!</definedName>
    <definedName name="SKF1_28">#REF!</definedName>
    <definedName name="SKF1_3">#REF!</definedName>
    <definedName name="SKF1_31">#REF!</definedName>
    <definedName name="SKF1_58">#REF!</definedName>
    <definedName name="SKF1_7">#REF!</definedName>
    <definedName name="SKF1_8">#REF!</definedName>
    <definedName name="SKF1_86">#REF!</definedName>
    <definedName name="SKF1_87">#REF!</definedName>
    <definedName name="SKF1_9">#REF!</definedName>
    <definedName name="SKF2_2">#REF!</definedName>
    <definedName name="SKF2_28">#REF!</definedName>
    <definedName name="SKF2_3">#REF!</definedName>
    <definedName name="SKF2_31">#REF!</definedName>
    <definedName name="SKF2_58">#REF!</definedName>
    <definedName name="SKF2_7">#REF!</definedName>
    <definedName name="SKF2_8">#REF!</definedName>
    <definedName name="SKF2_86">#REF!</definedName>
    <definedName name="SKF2_87">#REF!</definedName>
    <definedName name="SKF2_9">#REF!</definedName>
    <definedName name="sku" hidden="1">#REF!</definedName>
    <definedName name="SPACE">#REF!</definedName>
    <definedName name="SPACE_31">#REF!</definedName>
    <definedName name="SS">#REF!</definedName>
    <definedName name="SS_7">#REF!</definedName>
    <definedName name="sss">#REF!</definedName>
    <definedName name="TES" hidden="1">#REF!</definedName>
    <definedName name="TT">#REF!</definedName>
    <definedName name="twr">#N/A</definedName>
    <definedName name="upah">#N/A</definedName>
    <definedName name="v">#REF!</definedName>
    <definedName name="v_2">#REF!</definedName>
    <definedName name="v_28">#REF!</definedName>
    <definedName name="v_3">#REF!</definedName>
    <definedName name="v_31">#REF!</definedName>
    <definedName name="v_58">#REF!</definedName>
    <definedName name="v_7">#REF!</definedName>
    <definedName name="v_8">#REF!</definedName>
    <definedName name="v_86">#REF!</definedName>
    <definedName name="v_87">#REF!</definedName>
    <definedName name="v_9">#REF!</definedName>
    <definedName name="VV">#REF!</definedName>
    <definedName name="VV_28">#REF!</definedName>
    <definedName name="VV_31">#REF!</definedName>
    <definedName name="vvvvvvvvvvvvvvvvvvv">#REF!</definedName>
    <definedName name="wewewe">#REF!</definedName>
    <definedName name="ww">#REF!</definedName>
    <definedName name="ww_7">#REF!</definedName>
    <definedName name="www">#REF!</definedName>
    <definedName name="www_7">#REF!</definedName>
    <definedName name="X">#REF!</definedName>
    <definedName name="xx">#REF!</definedName>
    <definedName name="xxxxx">#REF!</definedName>
    <definedName name="XXXXXX">#REF!</definedName>
    <definedName name="XXXXXX_31">#REF!</definedName>
    <definedName name="XXXXXX_7">#REF!</definedName>
    <definedName name="XXXXXXXXXXXXXXXXXXXXXX" hidden="1">#REF!</definedName>
    <definedName name="zzzzz">#REF!</definedName>
    <definedName name="zzzzz_31">#REF!</definedName>
    <definedName name="ZZZZZZZ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03" i="7" l="1"/>
  <c r="Q35" i="7"/>
  <c r="M44" i="7"/>
  <c r="O44" i="7"/>
  <c r="Q44" i="7"/>
  <c r="O45" i="7"/>
  <c r="Q45" i="7"/>
  <c r="O46" i="7"/>
  <c r="Q46" i="7"/>
  <c r="Q47" i="7"/>
  <c r="Q57" i="7"/>
  <c r="O60" i="7"/>
  <c r="Q60" i="7"/>
  <c r="O61" i="7"/>
  <c r="Q61" i="7"/>
  <c r="M62" i="7"/>
  <c r="O62" i="7"/>
  <c r="Q62" i="7"/>
  <c r="Q63" i="7"/>
  <c r="O67" i="7"/>
  <c r="Q67" i="7"/>
  <c r="O68" i="7"/>
  <c r="Q68" i="7"/>
  <c r="M69" i="7"/>
  <c r="O69" i="7"/>
  <c r="Q69" i="7"/>
  <c r="Q70" i="7"/>
  <c r="O72" i="7"/>
  <c r="Q72" i="7"/>
  <c r="O73" i="7"/>
  <c r="Q73" i="7"/>
  <c r="M74" i="7"/>
  <c r="O74" i="7"/>
  <c r="Q74" i="7"/>
  <c r="O75" i="7"/>
  <c r="Q75" i="7"/>
  <c r="M83" i="7"/>
  <c r="O83" i="7"/>
  <c r="Q83" i="7"/>
  <c r="M82" i="7"/>
  <c r="O82" i="7"/>
  <c r="Q82" i="7"/>
  <c r="M81" i="7"/>
  <c r="O81" i="7"/>
  <c r="Q81" i="7"/>
  <c r="M80" i="7"/>
  <c r="O80" i="7"/>
  <c r="Q80" i="7"/>
  <c r="M79" i="7"/>
  <c r="O79" i="7"/>
  <c r="Q79" i="7"/>
  <c r="M78" i="7"/>
  <c r="O78" i="7"/>
  <c r="Q78" i="7"/>
  <c r="M77" i="7"/>
  <c r="O77" i="7"/>
  <c r="Q77" i="7"/>
  <c r="O76" i="7"/>
  <c r="Q76" i="7"/>
  <c r="Q84" i="7"/>
  <c r="O107" i="7"/>
  <c r="Q107" i="7"/>
  <c r="M108" i="7"/>
  <c r="O108" i="7"/>
  <c r="Q108" i="7"/>
  <c r="M109" i="7"/>
  <c r="O109" i="7"/>
  <c r="Q109" i="7"/>
  <c r="Q110" i="7"/>
  <c r="O151" i="7"/>
  <c r="Q151" i="7"/>
  <c r="O152" i="7"/>
  <c r="Q152" i="7"/>
  <c r="O153" i="7"/>
  <c r="Q153" i="7"/>
  <c r="O154" i="7"/>
  <c r="Q154" i="7"/>
  <c r="M172" i="7"/>
  <c r="O172" i="7"/>
  <c r="Q172" i="7"/>
  <c r="M169" i="7"/>
  <c r="O169" i="7"/>
  <c r="Q169" i="7"/>
  <c r="M168" i="7"/>
  <c r="O168" i="7"/>
  <c r="Q168" i="7"/>
  <c r="M167" i="7"/>
  <c r="O167" i="7"/>
  <c r="Q167" i="7"/>
  <c r="M166" i="7"/>
  <c r="O166" i="7"/>
  <c r="Q166" i="7"/>
  <c r="M165" i="7"/>
  <c r="O165" i="7"/>
  <c r="Q165" i="7"/>
  <c r="M164" i="7"/>
  <c r="O164" i="7"/>
  <c r="Q164" i="7"/>
  <c r="O163" i="7"/>
  <c r="Q163" i="7"/>
  <c r="O162" i="7"/>
  <c r="Q162" i="7"/>
  <c r="O161" i="7"/>
  <c r="Q161" i="7"/>
  <c r="M160" i="7"/>
  <c r="O160" i="7"/>
  <c r="Q160" i="7"/>
  <c r="M159" i="7"/>
  <c r="O159" i="7"/>
  <c r="Q159" i="7"/>
  <c r="M158" i="7"/>
  <c r="O158" i="7"/>
  <c r="Q158" i="7"/>
  <c r="M157" i="7"/>
  <c r="O157" i="7"/>
  <c r="Q157" i="7"/>
  <c r="M156" i="7"/>
  <c r="O156" i="7"/>
  <c r="Q156" i="7"/>
  <c r="O155" i="7"/>
  <c r="Q155" i="7"/>
  <c r="Q173" i="7"/>
  <c r="O114" i="7"/>
  <c r="Q114" i="7"/>
  <c r="O115" i="7"/>
  <c r="Q115" i="7"/>
  <c r="O116" i="7"/>
  <c r="Q116" i="7"/>
  <c r="O117" i="7"/>
  <c r="Q117" i="7"/>
  <c r="M125" i="7"/>
  <c r="O125" i="7"/>
  <c r="Q125" i="7"/>
  <c r="M124" i="7"/>
  <c r="O124" i="7"/>
  <c r="Q124" i="7"/>
  <c r="M123" i="7"/>
  <c r="O123" i="7"/>
  <c r="Q123" i="7"/>
  <c r="M122" i="7"/>
  <c r="O122" i="7"/>
  <c r="Q122" i="7"/>
  <c r="M121" i="7"/>
  <c r="O121" i="7"/>
  <c r="Q121" i="7"/>
  <c r="M120" i="7"/>
  <c r="O120" i="7"/>
  <c r="Q120" i="7"/>
  <c r="M119" i="7"/>
  <c r="O119" i="7"/>
  <c r="Q119" i="7"/>
  <c r="O118" i="7"/>
  <c r="Q118" i="7"/>
  <c r="Q126" i="7"/>
  <c r="Q174" i="7"/>
  <c r="O176" i="7"/>
  <c r="Q176" i="7"/>
  <c r="O177" i="7"/>
  <c r="Q177" i="7"/>
  <c r="O178" i="7"/>
  <c r="Q178" i="7"/>
  <c r="O179" i="7"/>
  <c r="Q179" i="7"/>
  <c r="Q180" i="7"/>
  <c r="O181" i="7"/>
  <c r="Q181" i="7"/>
  <c r="M182" i="7"/>
  <c r="O182" i="7"/>
  <c r="Q182" i="7"/>
  <c r="M183" i="7"/>
  <c r="O183" i="7"/>
  <c r="Q183" i="7"/>
  <c r="M184" i="7"/>
  <c r="O184" i="7"/>
  <c r="Q184" i="7"/>
  <c r="M185" i="7"/>
  <c r="O185" i="7"/>
  <c r="Q185" i="7"/>
  <c r="Q186" i="7"/>
  <c r="L188" i="7"/>
  <c r="O188" i="7"/>
  <c r="Q188" i="7"/>
  <c r="P189" i="7"/>
  <c r="L189" i="7"/>
  <c r="O189" i="7"/>
  <c r="Q189" i="7"/>
  <c r="L190" i="7"/>
  <c r="O190" i="7"/>
  <c r="Q190" i="7"/>
  <c r="L191" i="7"/>
  <c r="M191" i="7"/>
  <c r="O191" i="7"/>
  <c r="Q191" i="7"/>
  <c r="Q193" i="7"/>
  <c r="O196" i="7"/>
  <c r="Q196" i="7"/>
  <c r="O197" i="7"/>
  <c r="Q197" i="7"/>
  <c r="Q198" i="7"/>
  <c r="Q199" i="7"/>
  <c r="M389" i="7"/>
  <c r="O389" i="7"/>
  <c r="Q389" i="7"/>
  <c r="O390" i="7"/>
  <c r="Q390" i="7"/>
  <c r="O391" i="7"/>
  <c r="Q391" i="7"/>
  <c r="M392" i="7"/>
  <c r="O392" i="7"/>
  <c r="Q392" i="7"/>
  <c r="O393" i="7"/>
  <c r="Q393" i="7"/>
  <c r="Q394" i="7"/>
  <c r="O324" i="7"/>
  <c r="Q324" i="7"/>
  <c r="N325" i="7"/>
  <c r="O325" i="7"/>
  <c r="Q325" i="7"/>
  <c r="M326" i="7"/>
  <c r="N326" i="7"/>
  <c r="O326" i="7"/>
  <c r="Q326" i="7"/>
  <c r="N327" i="7"/>
  <c r="M327" i="7"/>
  <c r="O327" i="7"/>
  <c r="Q327" i="7"/>
  <c r="M332" i="7"/>
  <c r="N328" i="7"/>
  <c r="N329" i="7"/>
  <c r="N330" i="7"/>
  <c r="N331" i="7"/>
  <c r="N332" i="7"/>
  <c r="O332" i="7"/>
  <c r="Q332" i="7"/>
  <c r="N345" i="7"/>
  <c r="N346" i="7"/>
  <c r="N347" i="7"/>
  <c r="N348" i="7"/>
  <c r="N349" i="7"/>
  <c r="M349" i="7"/>
  <c r="N335" i="7"/>
  <c r="N336" i="7"/>
  <c r="N337" i="7"/>
  <c r="N338" i="7"/>
  <c r="N339" i="7"/>
  <c r="M339" i="7"/>
  <c r="M331" i="7"/>
  <c r="O331" i="7"/>
  <c r="Q331" i="7"/>
  <c r="M330" i="7"/>
  <c r="O330" i="7"/>
  <c r="Q330" i="7"/>
  <c r="M329" i="7"/>
  <c r="O329" i="7"/>
  <c r="Q329" i="7"/>
  <c r="M328" i="7"/>
  <c r="O328" i="7"/>
  <c r="Q328" i="7"/>
  <c r="Q333" i="7"/>
  <c r="O334" i="7"/>
  <c r="Q334" i="7"/>
  <c r="O335" i="7"/>
  <c r="Q335" i="7"/>
  <c r="M336" i="7"/>
  <c r="O336" i="7"/>
  <c r="Q336" i="7"/>
  <c r="M337" i="7"/>
  <c r="O337" i="7"/>
  <c r="Q337" i="7"/>
  <c r="M342" i="7"/>
  <c r="O342" i="7"/>
  <c r="Q342" i="7"/>
  <c r="N340" i="7"/>
  <c r="N341" i="7"/>
  <c r="M341" i="7"/>
  <c r="O341" i="7"/>
  <c r="Q341" i="7"/>
  <c r="M340" i="7"/>
  <c r="O340" i="7"/>
  <c r="Q340" i="7"/>
  <c r="O339" i="7"/>
  <c r="Q339" i="7"/>
  <c r="M338" i="7"/>
  <c r="O338" i="7"/>
  <c r="Q338" i="7"/>
  <c r="Q343" i="7"/>
  <c r="O344" i="7"/>
  <c r="Q344" i="7"/>
  <c r="O345" i="7"/>
  <c r="Q345" i="7"/>
  <c r="M346" i="7"/>
  <c r="O346" i="7"/>
  <c r="Q346" i="7"/>
  <c r="M347" i="7"/>
  <c r="O347" i="7"/>
  <c r="Q347" i="7"/>
  <c r="M352" i="7"/>
  <c r="O352" i="7"/>
  <c r="Q352" i="7"/>
  <c r="N350" i="7"/>
  <c r="N351" i="7"/>
  <c r="M351" i="7"/>
  <c r="O351" i="7"/>
  <c r="Q351" i="7"/>
  <c r="M350" i="7"/>
  <c r="O350" i="7"/>
  <c r="Q350" i="7"/>
  <c r="O349" i="7"/>
  <c r="Q349" i="7"/>
  <c r="M348" i="7"/>
  <c r="O348" i="7"/>
  <c r="Q348" i="7"/>
  <c r="Q353" i="7"/>
  <c r="O354" i="7"/>
  <c r="Q354" i="7"/>
  <c r="N355" i="7"/>
  <c r="O355" i="7"/>
  <c r="Q355" i="7"/>
  <c r="M356" i="7"/>
  <c r="N356" i="7"/>
  <c r="O356" i="7"/>
  <c r="Q356" i="7"/>
  <c r="N357" i="7"/>
  <c r="M357" i="7"/>
  <c r="O357" i="7"/>
  <c r="Q357" i="7"/>
  <c r="M362" i="7"/>
  <c r="O362" i="7"/>
  <c r="Q362" i="7"/>
  <c r="N358" i="7"/>
  <c r="N359" i="7"/>
  <c r="N360" i="7"/>
  <c r="N361" i="7"/>
  <c r="M361" i="7"/>
  <c r="O361" i="7"/>
  <c r="Q361" i="7"/>
  <c r="M360" i="7"/>
  <c r="O360" i="7"/>
  <c r="Q360" i="7"/>
  <c r="M359" i="7"/>
  <c r="O359" i="7"/>
  <c r="Q359" i="7"/>
  <c r="M358" i="7"/>
  <c r="O358" i="7"/>
  <c r="Q358" i="7"/>
  <c r="Q363" i="7"/>
  <c r="L372" i="7"/>
  <c r="O372" i="7"/>
  <c r="Q372" i="7"/>
  <c r="L374" i="7"/>
  <c r="O374" i="7"/>
  <c r="Q374" i="7"/>
  <c r="L375" i="7"/>
  <c r="O375" i="7"/>
  <c r="Q375" i="7"/>
  <c r="Q377" i="7"/>
  <c r="O364" i="7"/>
  <c r="Q364" i="7"/>
  <c r="M365" i="7"/>
  <c r="O365" i="7"/>
  <c r="Q365" i="7"/>
  <c r="O366" i="7"/>
  <c r="Q366" i="7"/>
  <c r="O368" i="7"/>
  <c r="Q368" i="7"/>
  <c r="Q369" i="7"/>
  <c r="Q378" i="7"/>
  <c r="O283" i="7"/>
  <c r="Q283" i="7"/>
  <c r="O284" i="7"/>
  <c r="Q284" i="7"/>
  <c r="Q285" i="7"/>
  <c r="O287" i="7"/>
  <c r="Q287" i="7"/>
  <c r="O288" i="7"/>
  <c r="Q288" i="7"/>
  <c r="O289" i="7"/>
  <c r="Q289" i="7"/>
  <c r="M290" i="7"/>
  <c r="O290" i="7"/>
  <c r="Q290" i="7"/>
  <c r="M295" i="7"/>
  <c r="O295" i="7"/>
  <c r="Q295" i="7"/>
  <c r="M294" i="7"/>
  <c r="O294" i="7"/>
  <c r="Q294" i="7"/>
  <c r="M293" i="7"/>
  <c r="O293" i="7"/>
  <c r="Q293" i="7"/>
  <c r="M292" i="7"/>
  <c r="O292" i="7"/>
  <c r="Q292" i="7"/>
  <c r="O291" i="7"/>
  <c r="Q291" i="7"/>
  <c r="Q296" i="7"/>
  <c r="O299" i="7"/>
  <c r="Q299" i="7"/>
  <c r="M300" i="7"/>
  <c r="O300" i="7"/>
  <c r="Q300" i="7"/>
  <c r="M301" i="7"/>
  <c r="O301" i="7"/>
  <c r="Q301" i="7"/>
  <c r="O302" i="7"/>
  <c r="Q302" i="7"/>
  <c r="L313" i="7"/>
  <c r="M313" i="7"/>
  <c r="O313" i="7"/>
  <c r="Q313" i="7"/>
  <c r="L312" i="7"/>
  <c r="M312" i="7"/>
  <c r="O312" i="7"/>
  <c r="Q312" i="7"/>
  <c r="L311" i="7"/>
  <c r="O311" i="7"/>
  <c r="Q311" i="7"/>
  <c r="M310" i="7"/>
  <c r="O310" i="7"/>
  <c r="Q310" i="7"/>
  <c r="L309" i="7"/>
  <c r="M309" i="7"/>
  <c r="O309" i="7"/>
  <c r="Q309" i="7"/>
  <c r="L308" i="7"/>
  <c r="M308" i="7"/>
  <c r="O308" i="7"/>
  <c r="Q308" i="7"/>
  <c r="L307" i="7"/>
  <c r="M307" i="7"/>
  <c r="O307" i="7"/>
  <c r="Q307" i="7"/>
  <c r="L306" i="7"/>
  <c r="M306" i="7"/>
  <c r="O306" i="7"/>
  <c r="Q306" i="7"/>
  <c r="O305" i="7"/>
  <c r="Q305" i="7"/>
  <c r="L304" i="7"/>
  <c r="M304" i="7"/>
  <c r="O304" i="7"/>
  <c r="Q304" i="7"/>
  <c r="O303" i="7"/>
  <c r="Q303" i="7"/>
  <c r="Q314" i="7"/>
  <c r="Q321" i="7"/>
  <c r="L277" i="7"/>
  <c r="O277" i="7"/>
  <c r="Q277" i="7"/>
  <c r="L278" i="7"/>
  <c r="O278" i="7"/>
  <c r="Q278" i="7"/>
  <c r="Q281" i="7"/>
  <c r="O202" i="7"/>
  <c r="Q202" i="7"/>
  <c r="O203" i="7"/>
  <c r="Q203" i="7"/>
  <c r="M204" i="7"/>
  <c r="O204" i="7"/>
  <c r="Q204" i="7"/>
  <c r="O205" i="7"/>
  <c r="Q205" i="7"/>
  <c r="M230" i="7"/>
  <c r="O230" i="7"/>
  <c r="Q230" i="7"/>
  <c r="M229" i="7"/>
  <c r="O229" i="7"/>
  <c r="Q229" i="7"/>
  <c r="O228" i="7"/>
  <c r="Q228" i="7"/>
  <c r="M227" i="7"/>
  <c r="O227" i="7"/>
  <c r="Q227" i="7"/>
  <c r="O226" i="7"/>
  <c r="Q226" i="7"/>
  <c r="M225" i="7"/>
  <c r="O225" i="7"/>
  <c r="Q225" i="7"/>
  <c r="M224" i="7"/>
  <c r="O224" i="7"/>
  <c r="Q224" i="7"/>
  <c r="O223" i="7"/>
  <c r="Q223" i="7"/>
  <c r="M222" i="7"/>
  <c r="O222" i="7"/>
  <c r="Q222" i="7"/>
  <c r="Q221" i="7"/>
  <c r="O220" i="7"/>
  <c r="Q220" i="7"/>
  <c r="M219" i="7"/>
  <c r="O219" i="7"/>
  <c r="Q219" i="7"/>
  <c r="M218" i="7"/>
  <c r="O218" i="7"/>
  <c r="Q218" i="7"/>
  <c r="O217" i="7"/>
  <c r="Q217" i="7"/>
  <c r="M216" i="7"/>
  <c r="O216" i="7"/>
  <c r="Q216" i="7"/>
  <c r="O214" i="7"/>
  <c r="Q214" i="7"/>
  <c r="M213" i="7"/>
  <c r="O213" i="7"/>
  <c r="Q213" i="7"/>
  <c r="M212" i="7"/>
  <c r="O212" i="7"/>
  <c r="Q212" i="7"/>
  <c r="O211" i="7"/>
  <c r="Q211" i="7"/>
  <c r="M210" i="7"/>
  <c r="O210" i="7"/>
  <c r="Q210" i="7"/>
  <c r="O208" i="7"/>
  <c r="Q208" i="7"/>
  <c r="M207" i="7"/>
  <c r="O207" i="7"/>
  <c r="Q207" i="7"/>
  <c r="M206" i="7"/>
  <c r="O206" i="7"/>
  <c r="Q206" i="7"/>
  <c r="Q231" i="7"/>
  <c r="O233" i="7"/>
  <c r="Q233" i="7"/>
  <c r="O234" i="7"/>
  <c r="Q234" i="7"/>
  <c r="P235" i="7"/>
  <c r="O235" i="7"/>
  <c r="Q235" i="7"/>
  <c r="P236" i="7"/>
  <c r="O236" i="7"/>
  <c r="Q236" i="7"/>
  <c r="O257" i="7"/>
  <c r="Q257" i="7"/>
  <c r="O256" i="7"/>
  <c r="Q256" i="7"/>
  <c r="O255" i="7"/>
  <c r="Q255" i="7"/>
  <c r="O254" i="7"/>
  <c r="Q254" i="7"/>
  <c r="O253" i="7"/>
  <c r="Q253" i="7"/>
  <c r="O252" i="7"/>
  <c r="Q252" i="7"/>
  <c r="O251" i="7"/>
  <c r="Q251" i="7"/>
  <c r="O250" i="7"/>
  <c r="Q250" i="7"/>
  <c r="O249" i="7"/>
  <c r="Q249" i="7"/>
  <c r="O245" i="7"/>
  <c r="Q245" i="7"/>
  <c r="O244" i="7"/>
  <c r="Q244" i="7"/>
  <c r="P243" i="7"/>
  <c r="O243" i="7"/>
  <c r="Q243" i="7"/>
  <c r="O242" i="7"/>
  <c r="Q242" i="7"/>
  <c r="O241" i="7"/>
  <c r="Q241" i="7"/>
  <c r="P240" i="7"/>
  <c r="O240" i="7"/>
  <c r="Q240" i="7"/>
  <c r="P239" i="7"/>
  <c r="O239" i="7"/>
  <c r="Q239" i="7"/>
  <c r="P238" i="7"/>
  <c r="O238" i="7"/>
  <c r="Q238" i="7"/>
  <c r="P237" i="7"/>
  <c r="O237" i="7"/>
  <c r="Q237" i="7"/>
  <c r="Q258" i="7"/>
  <c r="Q275" i="7"/>
  <c r="Q395" i="7"/>
  <c r="Z395" i="7"/>
  <c r="Y395" i="7"/>
  <c r="S389" i="7"/>
  <c r="S390" i="7"/>
  <c r="S391" i="7"/>
  <c r="S392" i="7"/>
  <c r="Z394" i="7"/>
  <c r="Y394" i="7"/>
  <c r="Y393" i="7"/>
  <c r="U393" i="7"/>
  <c r="Y392" i="7"/>
  <c r="U392" i="7"/>
  <c r="W392" i="7"/>
  <c r="V392" i="7"/>
  <c r="Y391" i="7"/>
  <c r="U391" i="7"/>
  <c r="W391" i="7"/>
  <c r="V391" i="7"/>
  <c r="Y390" i="7"/>
  <c r="U390" i="7"/>
  <c r="W390" i="7"/>
  <c r="V390" i="7"/>
  <c r="Y389" i="7"/>
  <c r="U389" i="7"/>
  <c r="W389" i="7"/>
  <c r="V389" i="7"/>
  <c r="T388" i="7"/>
  <c r="U388" i="7"/>
  <c r="M384" i="7"/>
  <c r="Z378" i="7"/>
  <c r="Y378" i="7"/>
  <c r="S372" i="7"/>
  <c r="S374" i="7"/>
  <c r="S375" i="7"/>
  <c r="L376" i="7"/>
  <c r="O376" i="7"/>
  <c r="S376" i="7"/>
  <c r="S352" i="7"/>
  <c r="S342" i="7"/>
  <c r="S332" i="7"/>
  <c r="S324" i="7"/>
  <c r="S325" i="7"/>
  <c r="S326" i="7"/>
  <c r="S327" i="7"/>
  <c r="S331" i="7"/>
  <c r="S330" i="7"/>
  <c r="S329" i="7"/>
  <c r="S328" i="7"/>
  <c r="S333" i="7"/>
  <c r="S334" i="7"/>
  <c r="S335" i="7"/>
  <c r="S341" i="7"/>
  <c r="S340" i="7"/>
  <c r="S339" i="7"/>
  <c r="S338" i="7"/>
  <c r="S337" i="7"/>
  <c r="S336" i="7"/>
  <c r="S343" i="7"/>
  <c r="S344" i="7"/>
  <c r="S345" i="7"/>
  <c r="S351" i="7"/>
  <c r="S350" i="7"/>
  <c r="S349" i="7"/>
  <c r="S348" i="7"/>
  <c r="S347" i="7"/>
  <c r="S346" i="7"/>
  <c r="S353" i="7"/>
  <c r="S363" i="7"/>
  <c r="S369" i="7"/>
  <c r="S377" i="7"/>
  <c r="S378" i="7"/>
  <c r="Z377" i="7"/>
  <c r="Y377" i="7"/>
  <c r="U376" i="7"/>
  <c r="Y375" i="7"/>
  <c r="U375" i="7"/>
  <c r="W375" i="7"/>
  <c r="V375" i="7"/>
  <c r="Y374" i="7"/>
  <c r="U374" i="7"/>
  <c r="W374" i="7"/>
  <c r="V374" i="7"/>
  <c r="V373" i="7"/>
  <c r="Y372" i="7"/>
  <c r="U372" i="7"/>
  <c r="W372" i="7"/>
  <c r="V372" i="7"/>
  <c r="Z369" i="7"/>
  <c r="Y369" i="7"/>
  <c r="Y368" i="7"/>
  <c r="Y367" i="7"/>
  <c r="O367" i="7"/>
  <c r="Y366" i="7"/>
  <c r="Y365" i="7"/>
  <c r="Y364" i="7"/>
  <c r="Z363" i="7"/>
  <c r="Y363" i="7"/>
  <c r="Y362" i="7"/>
  <c r="Y361" i="7"/>
  <c r="Y360" i="7"/>
  <c r="Y359" i="7"/>
  <c r="Y358" i="7"/>
  <c r="Y357" i="7"/>
  <c r="Y356" i="7"/>
  <c r="Y355" i="7"/>
  <c r="Y354" i="7"/>
  <c r="Z353" i="7"/>
  <c r="Y353" i="7"/>
  <c r="Y352" i="7"/>
  <c r="U352" i="7"/>
  <c r="W352" i="7"/>
  <c r="V352" i="7"/>
  <c r="Y351" i="7"/>
  <c r="U351" i="7"/>
  <c r="W351" i="7"/>
  <c r="V351" i="7"/>
  <c r="Y350" i="7"/>
  <c r="U350" i="7"/>
  <c r="W350" i="7"/>
  <c r="V350" i="7"/>
  <c r="Y349" i="7"/>
  <c r="U349" i="7"/>
  <c r="W349" i="7"/>
  <c r="V349" i="7"/>
  <c r="Y348" i="7"/>
  <c r="U348" i="7"/>
  <c r="W348" i="7"/>
  <c r="V348" i="7"/>
  <c r="Y347" i="7"/>
  <c r="U347" i="7"/>
  <c r="W347" i="7"/>
  <c r="V347" i="7"/>
  <c r="Y346" i="7"/>
  <c r="U346" i="7"/>
  <c r="W346" i="7"/>
  <c r="V346" i="7"/>
  <c r="Y345" i="7"/>
  <c r="U345" i="7"/>
  <c r="W345" i="7"/>
  <c r="V345" i="7"/>
  <c r="Y344" i="7"/>
  <c r="U344" i="7"/>
  <c r="W344" i="7"/>
  <c r="V344" i="7"/>
  <c r="Z343" i="7"/>
  <c r="Y343" i="7"/>
  <c r="Y342" i="7"/>
  <c r="U342" i="7"/>
  <c r="W342" i="7"/>
  <c r="V342" i="7"/>
  <c r="Y341" i="7"/>
  <c r="U341" i="7"/>
  <c r="W341" i="7"/>
  <c r="V341" i="7"/>
  <c r="Y340" i="7"/>
  <c r="U340" i="7"/>
  <c r="W340" i="7"/>
  <c r="V340" i="7"/>
  <c r="Y339" i="7"/>
  <c r="U339" i="7"/>
  <c r="W339" i="7"/>
  <c r="V339" i="7"/>
  <c r="Y338" i="7"/>
  <c r="U338" i="7"/>
  <c r="W338" i="7"/>
  <c r="V338" i="7"/>
  <c r="Y337" i="7"/>
  <c r="U337" i="7"/>
  <c r="W337" i="7"/>
  <c r="V337" i="7"/>
  <c r="Y336" i="7"/>
  <c r="U336" i="7"/>
  <c r="W336" i="7"/>
  <c r="V336" i="7"/>
  <c r="Y335" i="7"/>
  <c r="U335" i="7"/>
  <c r="W335" i="7"/>
  <c r="V335" i="7"/>
  <c r="Y334" i="7"/>
  <c r="U334" i="7"/>
  <c r="W334" i="7"/>
  <c r="V334" i="7"/>
  <c r="Z333" i="7"/>
  <c r="Y333" i="7"/>
  <c r="Y332" i="7"/>
  <c r="U332" i="7"/>
  <c r="W332" i="7"/>
  <c r="V332" i="7"/>
  <c r="Y331" i="7"/>
  <c r="U331" i="7"/>
  <c r="W331" i="7"/>
  <c r="V331" i="7"/>
  <c r="Y330" i="7"/>
  <c r="U330" i="7"/>
  <c r="W330" i="7"/>
  <c r="V330" i="7"/>
  <c r="Y329" i="7"/>
  <c r="U329" i="7"/>
  <c r="W329" i="7"/>
  <c r="V329" i="7"/>
  <c r="Y328" i="7"/>
  <c r="U328" i="7"/>
  <c r="W328" i="7"/>
  <c r="V328" i="7"/>
  <c r="Y327" i="7"/>
  <c r="U327" i="7"/>
  <c r="W327" i="7"/>
  <c r="V327" i="7"/>
  <c r="Y326" i="7"/>
  <c r="U326" i="7"/>
  <c r="W326" i="7"/>
  <c r="V326" i="7"/>
  <c r="Y325" i="7"/>
  <c r="U325" i="7"/>
  <c r="W325" i="7"/>
  <c r="V325" i="7"/>
  <c r="Y324" i="7"/>
  <c r="U324" i="7"/>
  <c r="W324" i="7"/>
  <c r="V324" i="7"/>
  <c r="Z321" i="7"/>
  <c r="Y321" i="7"/>
  <c r="S287" i="7"/>
  <c r="S288" i="7"/>
  <c r="S289" i="7"/>
  <c r="S290" i="7"/>
  <c r="S296" i="7"/>
  <c r="S299" i="7"/>
  <c r="S300" i="7"/>
  <c r="S301" i="7"/>
  <c r="S314" i="7"/>
  <c r="S321" i="7"/>
  <c r="M319" i="7"/>
  <c r="M318" i="7"/>
  <c r="Z314" i="7"/>
  <c r="Y314" i="7"/>
  <c r="Y313" i="7"/>
  <c r="Y312" i="7"/>
  <c r="Y311" i="7"/>
  <c r="Y310" i="7"/>
  <c r="Y309" i="7"/>
  <c r="Y308" i="7"/>
  <c r="Y307" i="7"/>
  <c r="Y306" i="7"/>
  <c r="Y305" i="7"/>
  <c r="Y304" i="7"/>
  <c r="Y303" i="7"/>
  <c r="Y302" i="7"/>
  <c r="Y301" i="7"/>
  <c r="U301" i="7"/>
  <c r="W301" i="7"/>
  <c r="V301" i="7"/>
  <c r="Y300" i="7"/>
  <c r="U300" i="7"/>
  <c r="W300" i="7"/>
  <c r="V300" i="7"/>
  <c r="Y299" i="7"/>
  <c r="U299" i="7"/>
  <c r="W299" i="7"/>
  <c r="V299" i="7"/>
  <c r="Z296" i="7"/>
  <c r="Y296" i="7"/>
  <c r="Y295" i="7"/>
  <c r="Y294" i="7"/>
  <c r="Y293" i="7"/>
  <c r="Y292" i="7"/>
  <c r="Y291" i="7"/>
  <c r="Y290" i="7"/>
  <c r="U290" i="7"/>
  <c r="W290" i="7"/>
  <c r="V290" i="7"/>
  <c r="Y289" i="7"/>
  <c r="U289" i="7"/>
  <c r="W289" i="7"/>
  <c r="V289" i="7"/>
  <c r="Y288" i="7"/>
  <c r="U288" i="7"/>
  <c r="W288" i="7"/>
  <c r="V288" i="7"/>
  <c r="Y287" i="7"/>
  <c r="U287" i="7"/>
  <c r="W287" i="7"/>
  <c r="V287" i="7"/>
  <c r="Z285" i="7"/>
  <c r="Y285" i="7"/>
  <c r="S275" i="7"/>
  <c r="S281" i="7"/>
  <c r="S283" i="7"/>
  <c r="S284" i="7"/>
  <c r="S285" i="7"/>
  <c r="Y284" i="7"/>
  <c r="U284" i="7"/>
  <c r="W284" i="7"/>
  <c r="V284" i="7"/>
  <c r="Y283" i="7"/>
  <c r="U283" i="7"/>
  <c r="W283" i="7"/>
  <c r="V283" i="7"/>
  <c r="Z281" i="7"/>
  <c r="Y281" i="7"/>
  <c r="M279" i="7"/>
  <c r="Y278" i="7"/>
  <c r="Y277" i="7"/>
  <c r="Z275" i="7"/>
  <c r="Y275" i="7"/>
  <c r="M270" i="7"/>
  <c r="M265" i="7"/>
  <c r="M264" i="7"/>
  <c r="M263" i="7"/>
  <c r="M261" i="7"/>
  <c r="Z258" i="7"/>
  <c r="Y258" i="7"/>
  <c r="S256" i="7"/>
  <c r="S257" i="7"/>
  <c r="S258" i="7"/>
  <c r="Y257" i="7"/>
  <c r="U257" i="7"/>
  <c r="W257" i="7"/>
  <c r="V257" i="7"/>
  <c r="Y256" i="7"/>
  <c r="U256" i="7"/>
  <c r="W256" i="7"/>
  <c r="V256" i="7"/>
  <c r="Y255" i="7"/>
  <c r="Y254" i="7"/>
  <c r="Y253" i="7"/>
  <c r="Y252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Y239" i="7"/>
  <c r="Y238" i="7"/>
  <c r="S238" i="7"/>
  <c r="W238" i="7"/>
  <c r="V238" i="7"/>
  <c r="U238" i="7"/>
  <c r="Y237" i="7"/>
  <c r="Y236" i="7"/>
  <c r="Y235" i="7"/>
  <c r="Y234" i="7"/>
  <c r="Y233" i="7"/>
  <c r="Z231" i="7"/>
  <c r="Y231" i="7"/>
  <c r="S226" i="7"/>
  <c r="S231" i="7"/>
  <c r="Y230" i="7"/>
  <c r="Y229" i="7"/>
  <c r="Y228" i="7"/>
  <c r="Y227" i="7"/>
  <c r="Y226" i="7"/>
  <c r="U226" i="7"/>
  <c r="W226" i="7"/>
  <c r="V226" i="7"/>
  <c r="Y225" i="7"/>
  <c r="Y224" i="7"/>
  <c r="Y223" i="7"/>
  <c r="Y222" i="7"/>
  <c r="Y221" i="7"/>
  <c r="Y220" i="7"/>
  <c r="Y219" i="7"/>
  <c r="S219" i="7"/>
  <c r="U219" i="7"/>
  <c r="W219" i="7"/>
  <c r="V219" i="7"/>
  <c r="Y218" i="7"/>
  <c r="S218" i="7"/>
  <c r="U218" i="7"/>
  <c r="W218" i="7"/>
  <c r="V218" i="7"/>
  <c r="Y217" i="7"/>
  <c r="Y216" i="7"/>
  <c r="S216" i="7"/>
  <c r="U216" i="7"/>
  <c r="W216" i="7"/>
  <c r="V216" i="7"/>
  <c r="Y215" i="7"/>
  <c r="Y214" i="7"/>
  <c r="S214" i="7"/>
  <c r="U214" i="7"/>
  <c r="W214" i="7"/>
  <c r="V214" i="7"/>
  <c r="Y213" i="7"/>
  <c r="S213" i="7"/>
  <c r="U213" i="7"/>
  <c r="W213" i="7"/>
  <c r="V213" i="7"/>
  <c r="Y212" i="7"/>
  <c r="S212" i="7"/>
  <c r="U212" i="7"/>
  <c r="W212" i="7"/>
  <c r="V212" i="7"/>
  <c r="Y211" i="7"/>
  <c r="Y210" i="7"/>
  <c r="S210" i="7"/>
  <c r="U210" i="7"/>
  <c r="W210" i="7"/>
  <c r="V210" i="7"/>
  <c r="Y209" i="7"/>
  <c r="Y208" i="7"/>
  <c r="S208" i="7"/>
  <c r="U208" i="7"/>
  <c r="W208" i="7"/>
  <c r="V208" i="7"/>
  <c r="Y207" i="7"/>
  <c r="Y206" i="7"/>
  <c r="Y205" i="7"/>
  <c r="Y204" i="7"/>
  <c r="Y203" i="7"/>
  <c r="Y202" i="7"/>
  <c r="Z199" i="7"/>
  <c r="Y199" i="7"/>
  <c r="S188" i="7"/>
  <c r="S189" i="7"/>
  <c r="S190" i="7"/>
  <c r="S182" i="7"/>
  <c r="S183" i="7"/>
  <c r="S184" i="7"/>
  <c r="S185" i="7"/>
  <c r="S176" i="7"/>
  <c r="S177" i="7"/>
  <c r="S178" i="7"/>
  <c r="S179" i="7"/>
  <c r="S181" i="7"/>
  <c r="S169" i="7"/>
  <c r="S172" i="7"/>
  <c r="S162" i="7"/>
  <c r="S163" i="7"/>
  <c r="S164" i="7"/>
  <c r="S165" i="7"/>
  <c r="S168" i="7"/>
  <c r="S167" i="7"/>
  <c r="S166" i="7"/>
  <c r="S173" i="7"/>
  <c r="S174" i="7"/>
  <c r="S180" i="7"/>
  <c r="S186" i="7"/>
  <c r="S193" i="7"/>
  <c r="Z198" i="7"/>
  <c r="Y198" i="7"/>
  <c r="Y197" i="7"/>
  <c r="Y196" i="7"/>
  <c r="U196" i="7"/>
  <c r="M194" i="7"/>
  <c r="M195" i="7"/>
  <c r="Z193" i="7"/>
  <c r="Y193" i="7"/>
  <c r="Y191" i="7"/>
  <c r="Y190" i="7"/>
  <c r="U190" i="7"/>
  <c r="W190" i="7"/>
  <c r="V190" i="7"/>
  <c r="Y189" i="7"/>
  <c r="U189" i="7"/>
  <c r="W189" i="7"/>
  <c r="V189" i="7"/>
  <c r="Y188" i="7"/>
  <c r="U188" i="7"/>
  <c r="W188" i="7"/>
  <c r="V188" i="7"/>
  <c r="Z186" i="7"/>
  <c r="Y186" i="7"/>
  <c r="Y185" i="7"/>
  <c r="U185" i="7"/>
  <c r="W185" i="7"/>
  <c r="V185" i="7"/>
  <c r="Y184" i="7"/>
  <c r="U184" i="7"/>
  <c r="W184" i="7"/>
  <c r="V184" i="7"/>
  <c r="Y183" i="7"/>
  <c r="U183" i="7"/>
  <c r="W183" i="7"/>
  <c r="V183" i="7"/>
  <c r="Y182" i="7"/>
  <c r="U182" i="7"/>
  <c r="W182" i="7"/>
  <c r="V182" i="7"/>
  <c r="Y181" i="7"/>
  <c r="U181" i="7"/>
  <c r="W181" i="7"/>
  <c r="V181" i="7"/>
  <c r="Z180" i="7"/>
  <c r="Y180" i="7"/>
  <c r="Y179" i="7"/>
  <c r="U179" i="7"/>
  <c r="W179" i="7"/>
  <c r="V179" i="7"/>
  <c r="Y178" i="7"/>
  <c r="U178" i="7"/>
  <c r="W178" i="7"/>
  <c r="V178" i="7"/>
  <c r="Y177" i="7"/>
  <c r="U177" i="7"/>
  <c r="W177" i="7"/>
  <c r="V177" i="7"/>
  <c r="Y176" i="7"/>
  <c r="U176" i="7"/>
  <c r="W176" i="7"/>
  <c r="V176" i="7"/>
  <c r="Z174" i="7"/>
  <c r="Y174" i="7"/>
  <c r="Z173" i="7"/>
  <c r="Y173" i="7"/>
  <c r="Y172" i="7"/>
  <c r="U172" i="7"/>
  <c r="W172" i="7"/>
  <c r="V172" i="7"/>
  <c r="Y171" i="7"/>
  <c r="Y170" i="7"/>
  <c r="Y169" i="7"/>
  <c r="U169" i="7"/>
  <c r="W169" i="7"/>
  <c r="V169" i="7"/>
  <c r="Y168" i="7"/>
  <c r="U168" i="7"/>
  <c r="W168" i="7"/>
  <c r="V168" i="7"/>
  <c r="Y167" i="7"/>
  <c r="U167" i="7"/>
  <c r="W167" i="7"/>
  <c r="V167" i="7"/>
  <c r="Y166" i="7"/>
  <c r="U166" i="7"/>
  <c r="W166" i="7"/>
  <c r="V166" i="7"/>
  <c r="Y165" i="7"/>
  <c r="U165" i="7"/>
  <c r="W165" i="7"/>
  <c r="V165" i="7"/>
  <c r="Y164" i="7"/>
  <c r="U164" i="7"/>
  <c r="W164" i="7"/>
  <c r="V164" i="7"/>
  <c r="Y163" i="7"/>
  <c r="U163" i="7"/>
  <c r="W163" i="7"/>
  <c r="V163" i="7"/>
  <c r="Y162" i="7"/>
  <c r="U162" i="7"/>
  <c r="W162" i="7"/>
  <c r="V162" i="7"/>
  <c r="Y161" i="7"/>
  <c r="S161" i="7"/>
  <c r="U161" i="7"/>
  <c r="W161" i="7"/>
  <c r="V161" i="7"/>
  <c r="S160" i="7"/>
  <c r="U160" i="7"/>
  <c r="W160" i="7"/>
  <c r="V160" i="7"/>
  <c r="S159" i="7"/>
  <c r="U159" i="7"/>
  <c r="W159" i="7"/>
  <c r="V159" i="7"/>
  <c r="S158" i="7"/>
  <c r="U158" i="7"/>
  <c r="W158" i="7"/>
  <c r="V158" i="7"/>
  <c r="S157" i="7"/>
  <c r="U157" i="7"/>
  <c r="W157" i="7"/>
  <c r="V157" i="7"/>
  <c r="S156" i="7"/>
  <c r="U156" i="7"/>
  <c r="W156" i="7"/>
  <c r="V156" i="7"/>
  <c r="S155" i="7"/>
  <c r="U155" i="7"/>
  <c r="W155" i="7"/>
  <c r="V155" i="7"/>
  <c r="S154" i="7"/>
  <c r="U154" i="7"/>
  <c r="W154" i="7"/>
  <c r="V154" i="7"/>
  <c r="S153" i="7"/>
  <c r="U153" i="7"/>
  <c r="W153" i="7"/>
  <c r="V153" i="7"/>
  <c r="S152" i="7"/>
  <c r="U152" i="7"/>
  <c r="W152" i="7"/>
  <c r="V152" i="7"/>
  <c r="S151" i="7"/>
  <c r="U151" i="7"/>
  <c r="W151" i="7"/>
  <c r="V151" i="7"/>
  <c r="M150" i="7"/>
  <c r="M149" i="7"/>
  <c r="M148" i="7"/>
  <c r="M147" i="7"/>
  <c r="M146" i="7"/>
  <c r="M145" i="7"/>
  <c r="M138" i="7"/>
  <c r="M137" i="7"/>
  <c r="M136" i="7"/>
  <c r="M135" i="7"/>
  <c r="M134" i="7"/>
  <c r="M133" i="7"/>
  <c r="M129" i="7"/>
  <c r="Z126" i="7"/>
  <c r="Y126" i="7"/>
  <c r="S115" i="7"/>
  <c r="S116" i="7"/>
  <c r="S117" i="7"/>
  <c r="S118" i="7"/>
  <c r="S125" i="7"/>
  <c r="S124" i="7"/>
  <c r="S123" i="7"/>
  <c r="S122" i="7"/>
  <c r="S121" i="7"/>
  <c r="S120" i="7"/>
  <c r="S119" i="7"/>
  <c r="S126" i="7"/>
  <c r="Y125" i="7"/>
  <c r="U125" i="7"/>
  <c r="W125" i="7"/>
  <c r="V125" i="7"/>
  <c r="Y124" i="7"/>
  <c r="U124" i="7"/>
  <c r="W124" i="7"/>
  <c r="V124" i="7"/>
  <c r="Y123" i="7"/>
  <c r="U123" i="7"/>
  <c r="W123" i="7"/>
  <c r="V123" i="7"/>
  <c r="Y122" i="7"/>
  <c r="U122" i="7"/>
  <c r="W122" i="7"/>
  <c r="V122" i="7"/>
  <c r="Y121" i="7"/>
  <c r="U121" i="7"/>
  <c r="W121" i="7"/>
  <c r="V121" i="7"/>
  <c r="Y120" i="7"/>
  <c r="U120" i="7"/>
  <c r="W120" i="7"/>
  <c r="V120" i="7"/>
  <c r="Y119" i="7"/>
  <c r="U119" i="7"/>
  <c r="W119" i="7"/>
  <c r="V119" i="7"/>
  <c r="Y118" i="7"/>
  <c r="U118" i="7"/>
  <c r="W118" i="7"/>
  <c r="V118" i="7"/>
  <c r="Y117" i="7"/>
  <c r="U117" i="7"/>
  <c r="W117" i="7"/>
  <c r="V117" i="7"/>
  <c r="Y116" i="7"/>
  <c r="U116" i="7"/>
  <c r="W116" i="7"/>
  <c r="V116" i="7"/>
  <c r="Y115" i="7"/>
  <c r="U115" i="7"/>
  <c r="W115" i="7"/>
  <c r="V115" i="7"/>
  <c r="Y114" i="7"/>
  <c r="S114" i="7"/>
  <c r="U114" i="7"/>
  <c r="W114" i="7"/>
  <c r="V114" i="7"/>
  <c r="M113" i="7"/>
  <c r="Z110" i="7"/>
  <c r="Y110" i="7"/>
  <c r="S107" i="7"/>
  <c r="S108" i="7"/>
  <c r="S109" i="7"/>
  <c r="S110" i="7"/>
  <c r="Y109" i="7"/>
  <c r="U109" i="7"/>
  <c r="W109" i="7"/>
  <c r="V109" i="7"/>
  <c r="Y108" i="7"/>
  <c r="U108" i="7"/>
  <c r="W108" i="7"/>
  <c r="V108" i="7"/>
  <c r="Y107" i="7"/>
  <c r="U107" i="7"/>
  <c r="W107" i="7"/>
  <c r="V107" i="7"/>
  <c r="Z84" i="7"/>
  <c r="Y84" i="7"/>
  <c r="S72" i="7"/>
  <c r="S73" i="7"/>
  <c r="S74" i="7"/>
  <c r="S75" i="7"/>
  <c r="S83" i="7"/>
  <c r="S82" i="7"/>
  <c r="S81" i="7"/>
  <c r="S80" i="7"/>
  <c r="S79" i="7"/>
  <c r="S78" i="7"/>
  <c r="S77" i="7"/>
  <c r="S84" i="7"/>
  <c r="Y83" i="7"/>
  <c r="U83" i="7"/>
  <c r="W83" i="7"/>
  <c r="V83" i="7"/>
  <c r="Y82" i="7"/>
  <c r="U82" i="7"/>
  <c r="W82" i="7"/>
  <c r="V82" i="7"/>
  <c r="Y81" i="7"/>
  <c r="U81" i="7"/>
  <c r="W81" i="7"/>
  <c r="V81" i="7"/>
  <c r="Y80" i="7"/>
  <c r="U80" i="7"/>
  <c r="W80" i="7"/>
  <c r="V80" i="7"/>
  <c r="Y79" i="7"/>
  <c r="U79" i="7"/>
  <c r="W79" i="7"/>
  <c r="V79" i="7"/>
  <c r="Y78" i="7"/>
  <c r="U78" i="7"/>
  <c r="W78" i="7"/>
  <c r="V78" i="7"/>
  <c r="Y77" i="7"/>
  <c r="U77" i="7"/>
  <c r="W77" i="7"/>
  <c r="V77" i="7"/>
  <c r="Y76" i="7"/>
  <c r="Y75" i="7"/>
  <c r="U75" i="7"/>
  <c r="W75" i="7"/>
  <c r="V75" i="7"/>
  <c r="Y74" i="7"/>
  <c r="U74" i="7"/>
  <c r="W74" i="7"/>
  <c r="V74" i="7"/>
  <c r="Y73" i="7"/>
  <c r="U73" i="7"/>
  <c r="W73" i="7"/>
  <c r="V73" i="7"/>
  <c r="Y72" i="7"/>
  <c r="U72" i="7"/>
  <c r="W72" i="7"/>
  <c r="V72" i="7"/>
  <c r="Z70" i="7"/>
  <c r="Y70" i="7"/>
  <c r="S60" i="7"/>
  <c r="O38" i="7"/>
  <c r="S38" i="7"/>
  <c r="S44" i="7"/>
  <c r="S47" i="7"/>
  <c r="O48" i="7"/>
  <c r="S48" i="7"/>
  <c r="O49" i="7"/>
  <c r="S49" i="7"/>
  <c r="S57" i="7"/>
  <c r="S63" i="7"/>
  <c r="S67" i="7"/>
  <c r="S70" i="7"/>
  <c r="Y69" i="7"/>
  <c r="Y68" i="7"/>
  <c r="Y67" i="7"/>
  <c r="U67" i="7"/>
  <c r="W67" i="7"/>
  <c r="V67" i="7"/>
  <c r="Z63" i="7"/>
  <c r="Y63" i="7"/>
  <c r="Y62" i="7"/>
  <c r="Y61" i="7"/>
  <c r="Y60" i="7"/>
  <c r="U60" i="7"/>
  <c r="W60" i="7"/>
  <c r="V60" i="7"/>
  <c r="Z57" i="7"/>
  <c r="Y57" i="7"/>
  <c r="M53" i="7"/>
  <c r="Q49" i="7"/>
  <c r="U49" i="7"/>
  <c r="W49" i="7"/>
  <c r="V49" i="7"/>
  <c r="Q48" i="7"/>
  <c r="U48" i="7"/>
  <c r="W48" i="7"/>
  <c r="V48" i="7"/>
  <c r="Z47" i="7"/>
  <c r="Y47" i="7"/>
  <c r="Y46" i="7"/>
  <c r="Y45" i="7"/>
  <c r="Y44" i="7"/>
  <c r="U44" i="7"/>
  <c r="W44" i="7"/>
  <c r="V44" i="7"/>
  <c r="Q38" i="7"/>
  <c r="U38" i="7"/>
  <c r="W38" i="7"/>
  <c r="V38" i="7"/>
  <c r="AA35" i="7"/>
  <c r="Z35" i="7"/>
  <c r="Y35" i="7"/>
  <c r="X35" i="7"/>
  <c r="W35" i="7"/>
  <c r="V35" i="7"/>
  <c r="U35" i="7"/>
  <c r="T35" i="7"/>
  <c r="S35" i="7"/>
  <c r="R35" i="7"/>
  <c r="Q35" i="6"/>
  <c r="O38" i="6"/>
  <c r="Q38" i="6"/>
  <c r="O47" i="6"/>
  <c r="Q47" i="6"/>
  <c r="O48" i="6"/>
  <c r="Q48" i="6"/>
  <c r="Q56" i="6"/>
  <c r="O59" i="6"/>
  <c r="Q59" i="6"/>
  <c r="O60" i="6"/>
  <c r="Q60" i="6"/>
  <c r="M61" i="6"/>
  <c r="O61" i="6"/>
  <c r="Q61" i="6"/>
  <c r="Q68" i="6"/>
  <c r="O70" i="6"/>
  <c r="Q70" i="6"/>
  <c r="O71" i="6"/>
  <c r="Q71" i="6"/>
  <c r="M72" i="6"/>
  <c r="O72" i="6"/>
  <c r="Q72" i="6"/>
  <c r="O73" i="6"/>
  <c r="Q73" i="6"/>
  <c r="M81" i="6"/>
  <c r="O81" i="6"/>
  <c r="Q81" i="6"/>
  <c r="M80" i="6"/>
  <c r="O80" i="6"/>
  <c r="Q80" i="6"/>
  <c r="M79" i="6"/>
  <c r="O79" i="6"/>
  <c r="Q79" i="6"/>
  <c r="M78" i="6"/>
  <c r="O78" i="6"/>
  <c r="Q78" i="6"/>
  <c r="M77" i="6"/>
  <c r="O77" i="6"/>
  <c r="Q77" i="6"/>
  <c r="M76" i="6"/>
  <c r="O76" i="6"/>
  <c r="Q76" i="6"/>
  <c r="M75" i="6"/>
  <c r="O75" i="6"/>
  <c r="Q75" i="6"/>
  <c r="O74" i="6"/>
  <c r="Q74" i="6"/>
  <c r="Q82" i="6"/>
  <c r="O105" i="6"/>
  <c r="Q105" i="6"/>
  <c r="M106" i="6"/>
  <c r="O106" i="6"/>
  <c r="Q106" i="6"/>
  <c r="M107" i="6"/>
  <c r="O107" i="6"/>
  <c r="Q107" i="6"/>
  <c r="Q108" i="6"/>
  <c r="O112" i="6"/>
  <c r="Q112" i="6"/>
  <c r="O113" i="6"/>
  <c r="Q113" i="6"/>
  <c r="M114" i="6"/>
  <c r="O114" i="6"/>
  <c r="Q114" i="6"/>
  <c r="O115" i="6"/>
  <c r="Q115" i="6"/>
  <c r="M123" i="6"/>
  <c r="O123" i="6"/>
  <c r="Q123" i="6"/>
  <c r="M122" i="6"/>
  <c r="O122" i="6"/>
  <c r="Q122" i="6"/>
  <c r="M121" i="6"/>
  <c r="O121" i="6"/>
  <c r="Q121" i="6"/>
  <c r="M120" i="6"/>
  <c r="O120" i="6"/>
  <c r="Q120" i="6"/>
  <c r="M119" i="6"/>
  <c r="O119" i="6"/>
  <c r="Q119" i="6"/>
  <c r="M118" i="6"/>
  <c r="O118" i="6"/>
  <c r="Q118" i="6"/>
  <c r="M117" i="6"/>
  <c r="O117" i="6"/>
  <c r="Q117" i="6"/>
  <c r="O116" i="6"/>
  <c r="Q116" i="6"/>
  <c r="Q124" i="6"/>
  <c r="O149" i="6"/>
  <c r="Q149" i="6"/>
  <c r="O150" i="6"/>
  <c r="Q150" i="6"/>
  <c r="O151" i="6"/>
  <c r="Q151" i="6"/>
  <c r="O152" i="6"/>
  <c r="Q152" i="6"/>
  <c r="M170" i="6"/>
  <c r="O170" i="6"/>
  <c r="Q170" i="6"/>
  <c r="M167" i="6"/>
  <c r="O167" i="6"/>
  <c r="Q167" i="6"/>
  <c r="M166" i="6"/>
  <c r="O166" i="6"/>
  <c r="Q166" i="6"/>
  <c r="M165" i="6"/>
  <c r="O165" i="6"/>
  <c r="Q165" i="6"/>
  <c r="M164" i="6"/>
  <c r="O164" i="6"/>
  <c r="Q164" i="6"/>
  <c r="M163" i="6"/>
  <c r="O163" i="6"/>
  <c r="Q163" i="6"/>
  <c r="M162" i="6"/>
  <c r="O162" i="6"/>
  <c r="Q162" i="6"/>
  <c r="O161" i="6"/>
  <c r="Q161" i="6"/>
  <c r="O160" i="6"/>
  <c r="Q160" i="6"/>
  <c r="O159" i="6"/>
  <c r="Q159" i="6"/>
  <c r="M158" i="6"/>
  <c r="O158" i="6"/>
  <c r="Q158" i="6"/>
  <c r="M157" i="6"/>
  <c r="O157" i="6"/>
  <c r="Q157" i="6"/>
  <c r="M156" i="6"/>
  <c r="O156" i="6"/>
  <c r="Q156" i="6"/>
  <c r="M155" i="6"/>
  <c r="O155" i="6"/>
  <c r="Q155" i="6"/>
  <c r="M154" i="6"/>
  <c r="O154" i="6"/>
  <c r="Q154" i="6"/>
  <c r="O153" i="6"/>
  <c r="Q153" i="6"/>
  <c r="Q171" i="6"/>
  <c r="Q172" i="6"/>
  <c r="O178" i="6"/>
  <c r="Q178" i="6"/>
  <c r="M179" i="6"/>
  <c r="O179" i="6"/>
  <c r="Q179" i="6"/>
  <c r="M180" i="6"/>
  <c r="O180" i="6"/>
  <c r="Q180" i="6"/>
  <c r="M181" i="6"/>
  <c r="O181" i="6"/>
  <c r="Q181" i="6"/>
  <c r="M182" i="6"/>
  <c r="O182" i="6"/>
  <c r="Q182" i="6"/>
  <c r="Q183" i="6"/>
  <c r="L185" i="6"/>
  <c r="O185" i="6"/>
  <c r="Q185" i="6"/>
  <c r="L186" i="6"/>
  <c r="O186" i="6"/>
  <c r="Q186" i="6"/>
  <c r="L187" i="6"/>
  <c r="O187" i="6"/>
  <c r="Q187" i="6"/>
  <c r="L188" i="6"/>
  <c r="M188" i="6"/>
  <c r="O188" i="6"/>
  <c r="Q188" i="6"/>
  <c r="Q190" i="6"/>
  <c r="O193" i="6"/>
  <c r="Q193" i="6"/>
  <c r="M194" i="6"/>
  <c r="O194" i="6"/>
  <c r="Q194" i="6"/>
  <c r="Q195" i="6"/>
  <c r="Q196" i="6"/>
  <c r="M395" i="6"/>
  <c r="O395" i="6"/>
  <c r="Q395" i="6"/>
  <c r="O396" i="6"/>
  <c r="Q396" i="6"/>
  <c r="O397" i="6"/>
  <c r="Q397" i="6"/>
  <c r="M398" i="6"/>
  <c r="O398" i="6"/>
  <c r="Q398" i="6"/>
  <c r="O399" i="6"/>
  <c r="Q399" i="6"/>
  <c r="Q400" i="6"/>
  <c r="O330" i="6"/>
  <c r="Q330" i="6"/>
  <c r="N331" i="6"/>
  <c r="O331" i="6"/>
  <c r="Q331" i="6"/>
  <c r="M332" i="6"/>
  <c r="N332" i="6"/>
  <c r="O332" i="6"/>
  <c r="Q332" i="6"/>
  <c r="N333" i="6"/>
  <c r="M333" i="6"/>
  <c r="O333" i="6"/>
  <c r="Q333" i="6"/>
  <c r="M338" i="6"/>
  <c r="N334" i="6"/>
  <c r="N335" i="6"/>
  <c r="N336" i="6"/>
  <c r="N337" i="6"/>
  <c r="N338" i="6"/>
  <c r="O338" i="6"/>
  <c r="Q338" i="6"/>
  <c r="M337" i="6"/>
  <c r="O337" i="6"/>
  <c r="Q337" i="6"/>
  <c r="M336" i="6"/>
  <c r="O336" i="6"/>
  <c r="Q336" i="6"/>
  <c r="M335" i="6"/>
  <c r="O335" i="6"/>
  <c r="Q335" i="6"/>
  <c r="M334" i="6"/>
  <c r="O334" i="6"/>
  <c r="Q334" i="6"/>
  <c r="Q339" i="6"/>
  <c r="O340" i="6"/>
  <c r="Q340" i="6"/>
  <c r="N341" i="6"/>
  <c r="O341" i="6"/>
  <c r="Q341" i="6"/>
  <c r="M342" i="6"/>
  <c r="N342" i="6"/>
  <c r="O342" i="6"/>
  <c r="Q342" i="6"/>
  <c r="N343" i="6"/>
  <c r="M343" i="6"/>
  <c r="O343" i="6"/>
  <c r="Q343" i="6"/>
  <c r="M348" i="6"/>
  <c r="O348" i="6"/>
  <c r="Q348" i="6"/>
  <c r="N344" i="6"/>
  <c r="N345" i="6"/>
  <c r="N346" i="6"/>
  <c r="N347" i="6"/>
  <c r="M347" i="6"/>
  <c r="O347" i="6"/>
  <c r="Q347" i="6"/>
  <c r="M346" i="6"/>
  <c r="O346" i="6"/>
  <c r="Q346" i="6"/>
  <c r="M345" i="6"/>
  <c r="O345" i="6"/>
  <c r="Q345" i="6"/>
  <c r="M344" i="6"/>
  <c r="O344" i="6"/>
  <c r="Q344" i="6"/>
  <c r="Q349" i="6"/>
  <c r="O350" i="6"/>
  <c r="Q350" i="6"/>
  <c r="N351" i="6"/>
  <c r="O351" i="6"/>
  <c r="Q351" i="6"/>
  <c r="M352" i="6"/>
  <c r="N352" i="6"/>
  <c r="O352" i="6"/>
  <c r="Q352" i="6"/>
  <c r="N353" i="6"/>
  <c r="M353" i="6"/>
  <c r="O353" i="6"/>
  <c r="Q353" i="6"/>
  <c r="M358" i="6"/>
  <c r="O358" i="6"/>
  <c r="Q358" i="6"/>
  <c r="N354" i="6"/>
  <c r="N355" i="6"/>
  <c r="N356" i="6"/>
  <c r="N357" i="6"/>
  <c r="M357" i="6"/>
  <c r="O357" i="6"/>
  <c r="Q357" i="6"/>
  <c r="M356" i="6"/>
  <c r="O356" i="6"/>
  <c r="Q356" i="6"/>
  <c r="M355" i="6"/>
  <c r="O355" i="6"/>
  <c r="Q355" i="6"/>
  <c r="M354" i="6"/>
  <c r="O354" i="6"/>
  <c r="Q354" i="6"/>
  <c r="Q359" i="6"/>
  <c r="O360" i="6"/>
  <c r="Q360" i="6"/>
  <c r="N361" i="6"/>
  <c r="O361" i="6"/>
  <c r="Q361" i="6"/>
  <c r="M362" i="6"/>
  <c r="N362" i="6"/>
  <c r="O362" i="6"/>
  <c r="Q362" i="6"/>
  <c r="N363" i="6"/>
  <c r="M363" i="6"/>
  <c r="O363" i="6"/>
  <c r="Q363" i="6"/>
  <c r="M368" i="6"/>
  <c r="O368" i="6"/>
  <c r="Q368" i="6"/>
  <c r="N364" i="6"/>
  <c r="N365" i="6"/>
  <c r="N366" i="6"/>
  <c r="N367" i="6"/>
  <c r="M367" i="6"/>
  <c r="O367" i="6"/>
  <c r="Q367" i="6"/>
  <c r="M366" i="6"/>
  <c r="O366" i="6"/>
  <c r="Q366" i="6"/>
  <c r="M365" i="6"/>
  <c r="O365" i="6"/>
  <c r="Q365" i="6"/>
  <c r="M364" i="6"/>
  <c r="O364" i="6"/>
  <c r="Q364" i="6"/>
  <c r="Q369" i="6"/>
  <c r="L378" i="6"/>
  <c r="O378" i="6"/>
  <c r="Q378" i="6"/>
  <c r="L380" i="6"/>
  <c r="O380" i="6"/>
  <c r="Q380" i="6"/>
  <c r="L381" i="6"/>
  <c r="O381" i="6"/>
  <c r="Q381" i="6"/>
  <c r="L382" i="6"/>
  <c r="O382" i="6"/>
  <c r="Q382" i="6"/>
  <c r="Q383" i="6"/>
  <c r="O370" i="6"/>
  <c r="Q370" i="6"/>
  <c r="M371" i="6"/>
  <c r="O371" i="6"/>
  <c r="Q371" i="6"/>
  <c r="O372" i="6"/>
  <c r="Q372" i="6"/>
  <c r="O373" i="6"/>
  <c r="Q373" i="6"/>
  <c r="O374" i="6"/>
  <c r="Q374" i="6"/>
  <c r="Q375" i="6"/>
  <c r="Q384" i="6"/>
  <c r="O289" i="6"/>
  <c r="Q289" i="6"/>
  <c r="O290" i="6"/>
  <c r="Q290" i="6"/>
  <c r="Q291" i="6"/>
  <c r="O294" i="6"/>
  <c r="Q294" i="6"/>
  <c r="O295" i="6"/>
  <c r="Q295" i="6"/>
  <c r="O296" i="6"/>
  <c r="Q296" i="6"/>
  <c r="M297" i="6"/>
  <c r="O297" i="6"/>
  <c r="Q297" i="6"/>
  <c r="M302" i="6"/>
  <c r="O302" i="6"/>
  <c r="Q302" i="6"/>
  <c r="M301" i="6"/>
  <c r="O301" i="6"/>
  <c r="Q301" i="6"/>
  <c r="M300" i="6"/>
  <c r="O300" i="6"/>
  <c r="Q300" i="6"/>
  <c r="M299" i="6"/>
  <c r="O299" i="6"/>
  <c r="Q299" i="6"/>
  <c r="O298" i="6"/>
  <c r="Q298" i="6"/>
  <c r="Q303" i="6"/>
  <c r="O306" i="6"/>
  <c r="Q306" i="6"/>
  <c r="M307" i="6"/>
  <c r="O307" i="6"/>
  <c r="Q307" i="6"/>
  <c r="M308" i="6"/>
  <c r="O308" i="6"/>
  <c r="Q308" i="6"/>
  <c r="O309" i="6"/>
  <c r="Q309" i="6"/>
  <c r="L319" i="6"/>
  <c r="M319" i="6"/>
  <c r="O319" i="6"/>
  <c r="Q319" i="6"/>
  <c r="L318" i="6"/>
  <c r="O318" i="6"/>
  <c r="Q318" i="6"/>
  <c r="M317" i="6"/>
  <c r="O317" i="6"/>
  <c r="Q317" i="6"/>
  <c r="M316" i="6"/>
  <c r="O316" i="6"/>
  <c r="Q316" i="6"/>
  <c r="M315" i="6"/>
  <c r="O315" i="6"/>
  <c r="Q315" i="6"/>
  <c r="M314" i="6"/>
  <c r="O314" i="6"/>
  <c r="Q314" i="6"/>
  <c r="M313" i="6"/>
  <c r="O313" i="6"/>
  <c r="Q313" i="6"/>
  <c r="O312" i="6"/>
  <c r="Q312" i="6"/>
  <c r="M311" i="6"/>
  <c r="O311" i="6"/>
  <c r="Q311" i="6"/>
  <c r="O310" i="6"/>
  <c r="Q310" i="6"/>
  <c r="Q320" i="6"/>
  <c r="Q327" i="6"/>
  <c r="L283" i="6"/>
  <c r="O283" i="6"/>
  <c r="Q283" i="6"/>
  <c r="L284" i="6"/>
  <c r="O284" i="6"/>
  <c r="Q284" i="6"/>
  <c r="Q287" i="6"/>
  <c r="O199" i="6"/>
  <c r="Q199" i="6"/>
  <c r="O200" i="6"/>
  <c r="Q200" i="6"/>
  <c r="M201" i="6"/>
  <c r="O201" i="6"/>
  <c r="Q201" i="6"/>
  <c r="O202" i="6"/>
  <c r="Q202" i="6"/>
  <c r="M227" i="6"/>
  <c r="O227" i="6"/>
  <c r="Q227" i="6"/>
  <c r="M226" i="6"/>
  <c r="O226" i="6"/>
  <c r="Q226" i="6"/>
  <c r="O225" i="6"/>
  <c r="Q225" i="6"/>
  <c r="M224" i="6"/>
  <c r="O224" i="6"/>
  <c r="Q224" i="6"/>
  <c r="O223" i="6"/>
  <c r="Q223" i="6"/>
  <c r="M222" i="6"/>
  <c r="O222" i="6"/>
  <c r="Q222" i="6"/>
  <c r="M221" i="6"/>
  <c r="O221" i="6"/>
  <c r="Q221" i="6"/>
  <c r="O220" i="6"/>
  <c r="Q220" i="6"/>
  <c r="M219" i="6"/>
  <c r="O219" i="6"/>
  <c r="Q219" i="6"/>
  <c r="Q218" i="6"/>
  <c r="O217" i="6"/>
  <c r="Q217" i="6"/>
  <c r="M216" i="6"/>
  <c r="O216" i="6"/>
  <c r="Q216" i="6"/>
  <c r="M215" i="6"/>
  <c r="O215" i="6"/>
  <c r="Q215" i="6"/>
  <c r="O214" i="6"/>
  <c r="Q214" i="6"/>
  <c r="M213" i="6"/>
  <c r="O213" i="6"/>
  <c r="Q213" i="6"/>
  <c r="O211" i="6"/>
  <c r="Q211" i="6"/>
  <c r="M210" i="6"/>
  <c r="O210" i="6"/>
  <c r="Q210" i="6"/>
  <c r="M209" i="6"/>
  <c r="O209" i="6"/>
  <c r="Q209" i="6"/>
  <c r="O208" i="6"/>
  <c r="Q208" i="6"/>
  <c r="M207" i="6"/>
  <c r="O207" i="6"/>
  <c r="Q207" i="6"/>
  <c r="O205" i="6"/>
  <c r="Q205" i="6"/>
  <c r="M204" i="6"/>
  <c r="O204" i="6"/>
  <c r="Q204" i="6"/>
  <c r="M203" i="6"/>
  <c r="O203" i="6"/>
  <c r="Q203" i="6"/>
  <c r="Q234" i="6"/>
  <c r="P238" i="6"/>
  <c r="O238" i="6"/>
  <c r="Q238" i="6"/>
  <c r="P239" i="6"/>
  <c r="O239" i="6"/>
  <c r="Q239" i="6"/>
  <c r="P240" i="6"/>
  <c r="O240" i="6"/>
  <c r="Q240" i="6"/>
  <c r="P241" i="6"/>
  <c r="O241" i="6"/>
  <c r="Q241" i="6"/>
  <c r="O260" i="6"/>
  <c r="Q260" i="6"/>
  <c r="O259" i="6"/>
  <c r="Q259" i="6"/>
  <c r="O258" i="6"/>
  <c r="Q258" i="6"/>
  <c r="O257" i="6"/>
  <c r="Q257" i="6"/>
  <c r="O256" i="6"/>
  <c r="Q256" i="6"/>
  <c r="O255" i="6"/>
  <c r="Q255" i="6"/>
  <c r="O254" i="6"/>
  <c r="Q254" i="6"/>
  <c r="O253" i="6"/>
  <c r="Q253" i="6"/>
  <c r="O252" i="6"/>
  <c r="Q252" i="6"/>
  <c r="O248" i="6"/>
  <c r="Q248" i="6"/>
  <c r="O247" i="6"/>
  <c r="Q247" i="6"/>
  <c r="P246" i="6"/>
  <c r="O246" i="6"/>
  <c r="Q246" i="6"/>
  <c r="P244" i="6"/>
  <c r="O244" i="6"/>
  <c r="Q244" i="6"/>
  <c r="P243" i="6"/>
  <c r="O243" i="6"/>
  <c r="Q243" i="6"/>
  <c r="P242" i="6"/>
  <c r="O242" i="6"/>
  <c r="Q242" i="6"/>
  <c r="Q261" i="6"/>
  <c r="Q281" i="6"/>
  <c r="Q401" i="6"/>
  <c r="Z401" i="6"/>
  <c r="Y401" i="6"/>
  <c r="S395" i="6"/>
  <c r="S396" i="6"/>
  <c r="S397" i="6"/>
  <c r="S398" i="6"/>
  <c r="Z400" i="6"/>
  <c r="Y400" i="6"/>
  <c r="Y399" i="6"/>
  <c r="U399" i="6"/>
  <c r="Y398" i="6"/>
  <c r="U398" i="6"/>
  <c r="W398" i="6"/>
  <c r="V398" i="6"/>
  <c r="Y397" i="6"/>
  <c r="U397" i="6"/>
  <c r="W397" i="6"/>
  <c r="V397" i="6"/>
  <c r="Y396" i="6"/>
  <c r="U396" i="6"/>
  <c r="W396" i="6"/>
  <c r="V396" i="6"/>
  <c r="Y395" i="6"/>
  <c r="U395" i="6"/>
  <c r="W395" i="6"/>
  <c r="V395" i="6"/>
  <c r="T394" i="6"/>
  <c r="U394" i="6"/>
  <c r="M390" i="6"/>
  <c r="Z384" i="6"/>
  <c r="Y384" i="6"/>
  <c r="S378" i="6"/>
  <c r="S380" i="6"/>
  <c r="S381" i="6"/>
  <c r="S382" i="6"/>
  <c r="S348" i="6"/>
  <c r="S338" i="6"/>
  <c r="S330" i="6"/>
  <c r="S331" i="6"/>
  <c r="S332" i="6"/>
  <c r="S333" i="6"/>
  <c r="S337" i="6"/>
  <c r="S336" i="6"/>
  <c r="S335" i="6"/>
  <c r="S334" i="6"/>
  <c r="S339" i="6"/>
  <c r="S340" i="6"/>
  <c r="S341" i="6"/>
  <c r="S347" i="6"/>
  <c r="S346" i="6"/>
  <c r="S345" i="6"/>
  <c r="S344" i="6"/>
  <c r="S343" i="6"/>
  <c r="S342" i="6"/>
  <c r="S349" i="6"/>
  <c r="S350" i="6"/>
  <c r="S351" i="6"/>
  <c r="S358" i="6"/>
  <c r="S357" i="6"/>
  <c r="S356" i="6"/>
  <c r="S355" i="6"/>
  <c r="S354" i="6"/>
  <c r="S353" i="6"/>
  <c r="S352" i="6"/>
  <c r="S359" i="6"/>
  <c r="S369" i="6"/>
  <c r="S375" i="6"/>
  <c r="S383" i="6"/>
  <c r="S384" i="6"/>
  <c r="Z383" i="6"/>
  <c r="Y383" i="6"/>
  <c r="Y382" i="6"/>
  <c r="U382" i="6"/>
  <c r="Y381" i="6"/>
  <c r="U381" i="6"/>
  <c r="W381" i="6"/>
  <c r="V381" i="6"/>
  <c r="Y380" i="6"/>
  <c r="U380" i="6"/>
  <c r="W380" i="6"/>
  <c r="V380" i="6"/>
  <c r="Y379" i="6"/>
  <c r="V379" i="6"/>
  <c r="Y378" i="6"/>
  <c r="U378" i="6"/>
  <c r="W378" i="6"/>
  <c r="V378" i="6"/>
  <c r="Y377" i="6"/>
  <c r="Y376" i="6"/>
  <c r="Z375" i="6"/>
  <c r="Y375" i="6"/>
  <c r="Y374" i="6"/>
  <c r="Y373" i="6"/>
  <c r="Y372" i="6"/>
  <c r="Y371" i="6"/>
  <c r="Y370" i="6"/>
  <c r="Z369" i="6"/>
  <c r="Y369" i="6"/>
  <c r="Y368" i="6"/>
  <c r="Y367" i="6"/>
  <c r="Y366" i="6"/>
  <c r="Y365" i="6"/>
  <c r="Y364" i="6"/>
  <c r="Y363" i="6"/>
  <c r="Y362" i="6"/>
  <c r="Y361" i="6"/>
  <c r="Y360" i="6"/>
  <c r="Z359" i="6"/>
  <c r="Y359" i="6"/>
  <c r="Y358" i="6"/>
  <c r="U358" i="6"/>
  <c r="W358" i="6"/>
  <c r="V358" i="6"/>
  <c r="Y357" i="6"/>
  <c r="U357" i="6"/>
  <c r="W357" i="6"/>
  <c r="V357" i="6"/>
  <c r="Y356" i="6"/>
  <c r="U356" i="6"/>
  <c r="W356" i="6"/>
  <c r="V356" i="6"/>
  <c r="Y355" i="6"/>
  <c r="U355" i="6"/>
  <c r="W355" i="6"/>
  <c r="V355" i="6"/>
  <c r="Y354" i="6"/>
  <c r="U354" i="6"/>
  <c r="W354" i="6"/>
  <c r="V354" i="6"/>
  <c r="Y353" i="6"/>
  <c r="U353" i="6"/>
  <c r="W353" i="6"/>
  <c r="V353" i="6"/>
  <c r="Y352" i="6"/>
  <c r="U352" i="6"/>
  <c r="W352" i="6"/>
  <c r="V352" i="6"/>
  <c r="Y351" i="6"/>
  <c r="U351" i="6"/>
  <c r="W351" i="6"/>
  <c r="V351" i="6"/>
  <c r="Y350" i="6"/>
  <c r="U350" i="6"/>
  <c r="W350" i="6"/>
  <c r="V350" i="6"/>
  <c r="Z349" i="6"/>
  <c r="Y349" i="6"/>
  <c r="Y348" i="6"/>
  <c r="U348" i="6"/>
  <c r="W348" i="6"/>
  <c r="V348" i="6"/>
  <c r="Y347" i="6"/>
  <c r="U347" i="6"/>
  <c r="W347" i="6"/>
  <c r="V347" i="6"/>
  <c r="Y346" i="6"/>
  <c r="U346" i="6"/>
  <c r="W346" i="6"/>
  <c r="V346" i="6"/>
  <c r="Y345" i="6"/>
  <c r="U345" i="6"/>
  <c r="W345" i="6"/>
  <c r="V345" i="6"/>
  <c r="Y344" i="6"/>
  <c r="U344" i="6"/>
  <c r="W344" i="6"/>
  <c r="V344" i="6"/>
  <c r="Y343" i="6"/>
  <c r="U343" i="6"/>
  <c r="W343" i="6"/>
  <c r="V343" i="6"/>
  <c r="Y342" i="6"/>
  <c r="U342" i="6"/>
  <c r="W342" i="6"/>
  <c r="V342" i="6"/>
  <c r="Y341" i="6"/>
  <c r="U341" i="6"/>
  <c r="W341" i="6"/>
  <c r="V341" i="6"/>
  <c r="Y340" i="6"/>
  <c r="U340" i="6"/>
  <c r="W340" i="6"/>
  <c r="V340" i="6"/>
  <c r="Z339" i="6"/>
  <c r="Y339" i="6"/>
  <c r="Y338" i="6"/>
  <c r="U338" i="6"/>
  <c r="W338" i="6"/>
  <c r="V338" i="6"/>
  <c r="Y337" i="6"/>
  <c r="U337" i="6"/>
  <c r="W337" i="6"/>
  <c r="V337" i="6"/>
  <c r="Y336" i="6"/>
  <c r="U336" i="6"/>
  <c r="W336" i="6"/>
  <c r="V336" i="6"/>
  <c r="Y335" i="6"/>
  <c r="U335" i="6"/>
  <c r="W335" i="6"/>
  <c r="V335" i="6"/>
  <c r="Y334" i="6"/>
  <c r="U334" i="6"/>
  <c r="W334" i="6"/>
  <c r="V334" i="6"/>
  <c r="Y333" i="6"/>
  <c r="U333" i="6"/>
  <c r="W333" i="6"/>
  <c r="V333" i="6"/>
  <c r="Y332" i="6"/>
  <c r="U332" i="6"/>
  <c r="W332" i="6"/>
  <c r="V332" i="6"/>
  <c r="Y331" i="6"/>
  <c r="U331" i="6"/>
  <c r="W331" i="6"/>
  <c r="V331" i="6"/>
  <c r="Y330" i="6"/>
  <c r="U330" i="6"/>
  <c r="W330" i="6"/>
  <c r="V330" i="6"/>
  <c r="Z327" i="6"/>
  <c r="Y327" i="6"/>
  <c r="S319" i="6"/>
  <c r="S320" i="6"/>
  <c r="S327" i="6"/>
  <c r="M325" i="6"/>
  <c r="M324" i="6"/>
  <c r="Z320" i="6"/>
  <c r="Y320" i="6"/>
  <c r="Y319" i="6"/>
  <c r="U319" i="6"/>
  <c r="W319" i="6"/>
  <c r="V319" i="6"/>
  <c r="Y318" i="6"/>
  <c r="Y317" i="6"/>
  <c r="Y316" i="6"/>
  <c r="Y315" i="6"/>
  <c r="Y314" i="6"/>
  <c r="Y313" i="6"/>
  <c r="Y312" i="6"/>
  <c r="Y311" i="6"/>
  <c r="Y310" i="6"/>
  <c r="Y309" i="6"/>
  <c r="Y308" i="6"/>
  <c r="Y307" i="6"/>
  <c r="S307" i="6"/>
  <c r="U307" i="6"/>
  <c r="W307" i="6"/>
  <c r="V307" i="6"/>
  <c r="Y306" i="6"/>
  <c r="S306" i="6"/>
  <c r="U306" i="6"/>
  <c r="W306" i="6"/>
  <c r="V306" i="6"/>
  <c r="Z303" i="6"/>
  <c r="Y303" i="6"/>
  <c r="S294" i="6"/>
  <c r="S295" i="6"/>
  <c r="S296" i="6"/>
  <c r="S297" i="6"/>
  <c r="S303" i="6"/>
  <c r="Y302" i="6"/>
  <c r="Y301" i="6"/>
  <c r="Y300" i="6"/>
  <c r="Y299" i="6"/>
  <c r="Y298" i="6"/>
  <c r="Y297" i="6"/>
  <c r="T297" i="6"/>
  <c r="U297" i="6"/>
  <c r="W297" i="6"/>
  <c r="V297" i="6"/>
  <c r="Y296" i="6"/>
  <c r="T296" i="6"/>
  <c r="U296" i="6"/>
  <c r="W296" i="6"/>
  <c r="V296" i="6"/>
  <c r="Y295" i="6"/>
  <c r="U295" i="6"/>
  <c r="W295" i="6"/>
  <c r="V295" i="6"/>
  <c r="Y294" i="6"/>
  <c r="U294" i="6"/>
  <c r="W294" i="6"/>
  <c r="V294" i="6"/>
  <c r="Z291" i="6"/>
  <c r="Y291" i="6"/>
  <c r="S284" i="6"/>
  <c r="S281" i="6"/>
  <c r="S283" i="6"/>
  <c r="S287" i="6"/>
  <c r="S289" i="6"/>
  <c r="S290" i="6"/>
  <c r="S291" i="6"/>
  <c r="Y290" i="6"/>
  <c r="U290" i="6"/>
  <c r="W290" i="6"/>
  <c r="V290" i="6"/>
  <c r="Y289" i="6"/>
  <c r="U289" i="6"/>
  <c r="W289" i="6"/>
  <c r="V289" i="6"/>
  <c r="Z287" i="6"/>
  <c r="Y287" i="6"/>
  <c r="M285" i="6"/>
  <c r="Y284" i="6"/>
  <c r="U284" i="6"/>
  <c r="W284" i="6"/>
  <c r="V284" i="6"/>
  <c r="Y283" i="6"/>
  <c r="U283" i="6"/>
  <c r="W283" i="6"/>
  <c r="V283" i="6"/>
  <c r="Z281" i="6"/>
  <c r="Y281" i="6"/>
  <c r="M276" i="6"/>
  <c r="M270" i="6"/>
  <c r="M269" i="6"/>
  <c r="M267" i="6"/>
  <c r="M264" i="6"/>
  <c r="Z261" i="6"/>
  <c r="Y261" i="6"/>
  <c r="S259" i="6"/>
  <c r="S260" i="6"/>
  <c r="S261" i="6"/>
  <c r="Y260" i="6"/>
  <c r="U260" i="6"/>
  <c r="W260" i="6"/>
  <c r="V260" i="6"/>
  <c r="Y259" i="6"/>
  <c r="U259" i="6"/>
  <c r="W259" i="6"/>
  <c r="V259" i="6"/>
  <c r="Y258" i="6"/>
  <c r="Y257" i="6"/>
  <c r="Y256" i="6"/>
  <c r="Y255" i="6"/>
  <c r="Y254" i="6"/>
  <c r="Y253" i="6"/>
  <c r="Y252" i="6"/>
  <c r="Y251" i="6"/>
  <c r="Y250" i="6"/>
  <c r="Y249" i="6"/>
  <c r="Y248" i="6"/>
  <c r="Y247" i="6"/>
  <c r="Y246" i="6"/>
  <c r="Y245" i="6"/>
  <c r="O245" i="6"/>
  <c r="Y244" i="6"/>
  <c r="S244" i="6"/>
  <c r="U244" i="6"/>
  <c r="W244" i="6"/>
  <c r="V244" i="6"/>
  <c r="Y243" i="6"/>
  <c r="Y242" i="6"/>
  <c r="Y241" i="6"/>
  <c r="S241" i="6"/>
  <c r="W241" i="6"/>
  <c r="V241" i="6"/>
  <c r="U241" i="6"/>
  <c r="Y240" i="6"/>
  <c r="Y239" i="6"/>
  <c r="Y238" i="6"/>
  <c r="Y237" i="6"/>
  <c r="O237" i="6"/>
  <c r="Y236" i="6"/>
  <c r="O236" i="6"/>
  <c r="Z234" i="6"/>
  <c r="Y234" i="6"/>
  <c r="S223" i="6"/>
  <c r="S224" i="6"/>
  <c r="S227" i="6"/>
  <c r="M229" i="6"/>
  <c r="O229" i="6"/>
  <c r="S229" i="6"/>
  <c r="M233" i="6"/>
  <c r="O233" i="6"/>
  <c r="S233" i="6"/>
  <c r="M232" i="6"/>
  <c r="O232" i="6"/>
  <c r="S232" i="6"/>
  <c r="M230" i="6"/>
  <c r="O230" i="6"/>
  <c r="S230" i="6"/>
  <c r="S234" i="6"/>
  <c r="Q233" i="6"/>
  <c r="U233" i="6"/>
  <c r="W233" i="6"/>
  <c r="V233" i="6"/>
  <c r="Q232" i="6"/>
  <c r="U232" i="6"/>
  <c r="W232" i="6"/>
  <c r="V232" i="6"/>
  <c r="M231" i="6"/>
  <c r="Q230" i="6"/>
  <c r="U230" i="6"/>
  <c r="W230" i="6"/>
  <c r="V230" i="6"/>
  <c r="Q229" i="6"/>
  <c r="U229" i="6"/>
  <c r="W229" i="6"/>
  <c r="V229" i="6"/>
  <c r="M228" i="6"/>
  <c r="Y227" i="6"/>
  <c r="U227" i="6"/>
  <c r="W227" i="6"/>
  <c r="V227" i="6"/>
  <c r="Y226" i="6"/>
  <c r="Y225" i="6"/>
  <c r="Y224" i="6"/>
  <c r="U224" i="6"/>
  <c r="W224" i="6"/>
  <c r="V224" i="6"/>
  <c r="Y223" i="6"/>
  <c r="U223" i="6"/>
  <c r="W223" i="6"/>
  <c r="V223" i="6"/>
  <c r="Y222" i="6"/>
  <c r="Y221" i="6"/>
  <c r="Y220" i="6"/>
  <c r="Y219" i="6"/>
  <c r="Y218" i="6"/>
  <c r="Y217" i="6"/>
  <c r="Y216" i="6"/>
  <c r="S216" i="6"/>
  <c r="U216" i="6"/>
  <c r="W216" i="6"/>
  <c r="V216" i="6"/>
  <c r="Y215" i="6"/>
  <c r="S215" i="6"/>
  <c r="U215" i="6"/>
  <c r="W215" i="6"/>
  <c r="V215" i="6"/>
  <c r="Y214" i="6"/>
  <c r="Y213" i="6"/>
  <c r="S213" i="6"/>
  <c r="U213" i="6"/>
  <c r="W213" i="6"/>
  <c r="V213" i="6"/>
  <c r="Y212" i="6"/>
  <c r="Y211" i="6"/>
  <c r="S211" i="6"/>
  <c r="U211" i="6"/>
  <c r="W211" i="6"/>
  <c r="V211" i="6"/>
  <c r="Y210" i="6"/>
  <c r="S210" i="6"/>
  <c r="U210" i="6"/>
  <c r="W210" i="6"/>
  <c r="V210" i="6"/>
  <c r="Y209" i="6"/>
  <c r="S209" i="6"/>
  <c r="U209" i="6"/>
  <c r="W209" i="6"/>
  <c r="V209" i="6"/>
  <c r="Y208" i="6"/>
  <c r="Y207" i="6"/>
  <c r="S207" i="6"/>
  <c r="U207" i="6"/>
  <c r="W207" i="6"/>
  <c r="V207" i="6"/>
  <c r="Y206" i="6"/>
  <c r="Y205" i="6"/>
  <c r="S205" i="6"/>
  <c r="U205" i="6"/>
  <c r="W205" i="6"/>
  <c r="V205" i="6"/>
  <c r="Y204" i="6"/>
  <c r="Y203" i="6"/>
  <c r="Y202" i="6"/>
  <c r="Y201" i="6"/>
  <c r="Y200" i="6"/>
  <c r="Y199" i="6"/>
  <c r="Z196" i="6"/>
  <c r="Y196" i="6"/>
  <c r="S185" i="6"/>
  <c r="S186" i="6"/>
  <c r="S187" i="6"/>
  <c r="S179" i="6"/>
  <c r="S180" i="6"/>
  <c r="S181" i="6"/>
  <c r="S182" i="6"/>
  <c r="S160" i="6"/>
  <c r="S161" i="6"/>
  <c r="S162" i="6"/>
  <c r="S163" i="6"/>
  <c r="S170" i="6"/>
  <c r="S167" i="6"/>
  <c r="S166" i="6"/>
  <c r="S165" i="6"/>
  <c r="S164" i="6"/>
  <c r="S171" i="6"/>
  <c r="S172" i="6"/>
  <c r="S178" i="6"/>
  <c r="S183" i="6"/>
  <c r="S190" i="6"/>
  <c r="Z195" i="6"/>
  <c r="Y195" i="6"/>
  <c r="Y194" i="6"/>
  <c r="Y193" i="6"/>
  <c r="U193" i="6"/>
  <c r="M191" i="6"/>
  <c r="M192" i="6"/>
  <c r="Z190" i="6"/>
  <c r="Y190" i="6"/>
  <c r="Y188" i="6"/>
  <c r="Y187" i="6"/>
  <c r="U187" i="6"/>
  <c r="W187" i="6"/>
  <c r="V187" i="6"/>
  <c r="Y186" i="6"/>
  <c r="U186" i="6"/>
  <c r="W186" i="6"/>
  <c r="V186" i="6"/>
  <c r="Y185" i="6"/>
  <c r="U185" i="6"/>
  <c r="W185" i="6"/>
  <c r="V185" i="6"/>
  <c r="Z183" i="6"/>
  <c r="Y183" i="6"/>
  <c r="Y182" i="6"/>
  <c r="U182" i="6"/>
  <c r="W182" i="6"/>
  <c r="V182" i="6"/>
  <c r="Y181" i="6"/>
  <c r="U181" i="6"/>
  <c r="W181" i="6"/>
  <c r="V181" i="6"/>
  <c r="Y180" i="6"/>
  <c r="U180" i="6"/>
  <c r="W180" i="6"/>
  <c r="V180" i="6"/>
  <c r="Y179" i="6"/>
  <c r="U179" i="6"/>
  <c r="W179" i="6"/>
  <c r="V179" i="6"/>
  <c r="Y178" i="6"/>
  <c r="U178" i="6"/>
  <c r="W178" i="6"/>
  <c r="V178" i="6"/>
  <c r="Z172" i="6"/>
  <c r="Y172" i="6"/>
  <c r="Z171" i="6"/>
  <c r="Y171" i="6"/>
  <c r="Y170" i="6"/>
  <c r="U170" i="6"/>
  <c r="W170" i="6"/>
  <c r="V170" i="6"/>
  <c r="Y167" i="6"/>
  <c r="U167" i="6"/>
  <c r="W167" i="6"/>
  <c r="V167" i="6"/>
  <c r="Y166" i="6"/>
  <c r="U166" i="6"/>
  <c r="W166" i="6"/>
  <c r="V166" i="6"/>
  <c r="Y165" i="6"/>
  <c r="U165" i="6"/>
  <c r="W165" i="6"/>
  <c r="V165" i="6"/>
  <c r="Y164" i="6"/>
  <c r="U164" i="6"/>
  <c r="W164" i="6"/>
  <c r="V164" i="6"/>
  <c r="Y163" i="6"/>
  <c r="U163" i="6"/>
  <c r="W163" i="6"/>
  <c r="V163" i="6"/>
  <c r="Y162" i="6"/>
  <c r="U162" i="6"/>
  <c r="W162" i="6"/>
  <c r="V162" i="6"/>
  <c r="Y161" i="6"/>
  <c r="U161" i="6"/>
  <c r="W161" i="6"/>
  <c r="V161" i="6"/>
  <c r="Y160" i="6"/>
  <c r="U160" i="6"/>
  <c r="W160" i="6"/>
  <c r="V160" i="6"/>
  <c r="Y159" i="6"/>
  <c r="S159" i="6"/>
  <c r="U159" i="6"/>
  <c r="W159" i="6"/>
  <c r="V159" i="6"/>
  <c r="Y158" i="6"/>
  <c r="S158" i="6"/>
  <c r="U158" i="6"/>
  <c r="W158" i="6"/>
  <c r="V158" i="6"/>
  <c r="Y157" i="6"/>
  <c r="S157" i="6"/>
  <c r="U157" i="6"/>
  <c r="W157" i="6"/>
  <c r="V157" i="6"/>
  <c r="Y156" i="6"/>
  <c r="S156" i="6"/>
  <c r="U156" i="6"/>
  <c r="W156" i="6"/>
  <c r="V156" i="6"/>
  <c r="Y155" i="6"/>
  <c r="S155" i="6"/>
  <c r="U155" i="6"/>
  <c r="W155" i="6"/>
  <c r="V155" i="6"/>
  <c r="Y154" i="6"/>
  <c r="S154" i="6"/>
  <c r="U154" i="6"/>
  <c r="W154" i="6"/>
  <c r="V154" i="6"/>
  <c r="Y153" i="6"/>
  <c r="S153" i="6"/>
  <c r="U153" i="6"/>
  <c r="W153" i="6"/>
  <c r="V153" i="6"/>
  <c r="Y152" i="6"/>
  <c r="S152" i="6"/>
  <c r="U152" i="6"/>
  <c r="W152" i="6"/>
  <c r="V152" i="6"/>
  <c r="Y151" i="6"/>
  <c r="S151" i="6"/>
  <c r="U151" i="6"/>
  <c r="W151" i="6"/>
  <c r="V151" i="6"/>
  <c r="Y150" i="6"/>
  <c r="S150" i="6"/>
  <c r="U150" i="6"/>
  <c r="W150" i="6"/>
  <c r="V150" i="6"/>
  <c r="Y149" i="6"/>
  <c r="S149" i="6"/>
  <c r="U149" i="6"/>
  <c r="W149" i="6"/>
  <c r="V149" i="6"/>
  <c r="M148" i="6"/>
  <c r="M147" i="6"/>
  <c r="M146" i="6"/>
  <c r="M145" i="6"/>
  <c r="M144" i="6"/>
  <c r="M143" i="6"/>
  <c r="M136" i="6"/>
  <c r="M135" i="6"/>
  <c r="M134" i="6"/>
  <c r="M133" i="6"/>
  <c r="M132" i="6"/>
  <c r="M131" i="6"/>
  <c r="M127" i="6"/>
  <c r="Z124" i="6"/>
  <c r="Y124" i="6"/>
  <c r="S113" i="6"/>
  <c r="S114" i="6"/>
  <c r="S115" i="6"/>
  <c r="S116" i="6"/>
  <c r="S123" i="6"/>
  <c r="S122" i="6"/>
  <c r="S121" i="6"/>
  <c r="S120" i="6"/>
  <c r="S119" i="6"/>
  <c r="S118" i="6"/>
  <c r="S117" i="6"/>
  <c r="S124" i="6"/>
  <c r="Y123" i="6"/>
  <c r="U123" i="6"/>
  <c r="W123" i="6"/>
  <c r="V123" i="6"/>
  <c r="Y122" i="6"/>
  <c r="U122" i="6"/>
  <c r="W122" i="6"/>
  <c r="V122" i="6"/>
  <c r="Y121" i="6"/>
  <c r="U121" i="6"/>
  <c r="W121" i="6"/>
  <c r="V121" i="6"/>
  <c r="Y120" i="6"/>
  <c r="U120" i="6"/>
  <c r="W120" i="6"/>
  <c r="V120" i="6"/>
  <c r="Y119" i="6"/>
  <c r="U119" i="6"/>
  <c r="W119" i="6"/>
  <c r="V119" i="6"/>
  <c r="Y118" i="6"/>
  <c r="U118" i="6"/>
  <c r="W118" i="6"/>
  <c r="V118" i="6"/>
  <c r="Y117" i="6"/>
  <c r="U117" i="6"/>
  <c r="W117" i="6"/>
  <c r="V117" i="6"/>
  <c r="Y116" i="6"/>
  <c r="U116" i="6"/>
  <c r="W116" i="6"/>
  <c r="V116" i="6"/>
  <c r="Y115" i="6"/>
  <c r="U115" i="6"/>
  <c r="W115" i="6"/>
  <c r="V115" i="6"/>
  <c r="Y114" i="6"/>
  <c r="U114" i="6"/>
  <c r="W114" i="6"/>
  <c r="V114" i="6"/>
  <c r="Y113" i="6"/>
  <c r="U113" i="6"/>
  <c r="W113" i="6"/>
  <c r="V113" i="6"/>
  <c r="Y112" i="6"/>
  <c r="S112" i="6"/>
  <c r="U112" i="6"/>
  <c r="W112" i="6"/>
  <c r="V112" i="6"/>
  <c r="M111" i="6"/>
  <c r="Z108" i="6"/>
  <c r="Y108" i="6"/>
  <c r="S105" i="6"/>
  <c r="S106" i="6"/>
  <c r="S107" i="6"/>
  <c r="S108" i="6"/>
  <c r="Y107" i="6"/>
  <c r="U107" i="6"/>
  <c r="W107" i="6"/>
  <c r="V107" i="6"/>
  <c r="Y106" i="6"/>
  <c r="U106" i="6"/>
  <c r="W106" i="6"/>
  <c r="V106" i="6"/>
  <c r="Y105" i="6"/>
  <c r="U105" i="6"/>
  <c r="W105" i="6"/>
  <c r="V105" i="6"/>
  <c r="Z82" i="6"/>
  <c r="Y82" i="6"/>
  <c r="S70" i="6"/>
  <c r="S71" i="6"/>
  <c r="S72" i="6"/>
  <c r="S73" i="6"/>
  <c r="S81" i="6"/>
  <c r="S80" i="6"/>
  <c r="S79" i="6"/>
  <c r="S78" i="6"/>
  <c r="S77" i="6"/>
  <c r="S76" i="6"/>
  <c r="S75" i="6"/>
  <c r="S82" i="6"/>
  <c r="Y81" i="6"/>
  <c r="U81" i="6"/>
  <c r="W81" i="6"/>
  <c r="V81" i="6"/>
  <c r="Y80" i="6"/>
  <c r="U80" i="6"/>
  <c r="W80" i="6"/>
  <c r="V80" i="6"/>
  <c r="Y79" i="6"/>
  <c r="U79" i="6"/>
  <c r="W79" i="6"/>
  <c r="V79" i="6"/>
  <c r="Y78" i="6"/>
  <c r="U78" i="6"/>
  <c r="W78" i="6"/>
  <c r="V78" i="6"/>
  <c r="Y77" i="6"/>
  <c r="U77" i="6"/>
  <c r="W77" i="6"/>
  <c r="V77" i="6"/>
  <c r="Y76" i="6"/>
  <c r="U76" i="6"/>
  <c r="W76" i="6"/>
  <c r="V76" i="6"/>
  <c r="Y75" i="6"/>
  <c r="U75" i="6"/>
  <c r="W75" i="6"/>
  <c r="V75" i="6"/>
  <c r="Y74" i="6"/>
  <c r="Y73" i="6"/>
  <c r="U73" i="6"/>
  <c r="W73" i="6"/>
  <c r="V73" i="6"/>
  <c r="Y72" i="6"/>
  <c r="U72" i="6"/>
  <c r="W72" i="6"/>
  <c r="V72" i="6"/>
  <c r="Y71" i="6"/>
  <c r="U71" i="6"/>
  <c r="W71" i="6"/>
  <c r="V71" i="6"/>
  <c r="Y70" i="6"/>
  <c r="U70" i="6"/>
  <c r="W70" i="6"/>
  <c r="V70" i="6"/>
  <c r="Z68" i="6"/>
  <c r="Y68" i="6"/>
  <c r="S59" i="6"/>
  <c r="S68" i="6"/>
  <c r="M67" i="6"/>
  <c r="Y61" i="6"/>
  <c r="Y60" i="6"/>
  <c r="Y59" i="6"/>
  <c r="U59" i="6"/>
  <c r="W59" i="6"/>
  <c r="V59" i="6"/>
  <c r="Z56" i="6"/>
  <c r="Y56" i="6"/>
  <c r="X56" i="6"/>
  <c r="S38" i="6"/>
  <c r="U38" i="6"/>
  <c r="W38" i="6"/>
  <c r="S47" i="6"/>
  <c r="U47" i="6"/>
  <c r="W47" i="6"/>
  <c r="S48" i="6"/>
  <c r="U48" i="6"/>
  <c r="W48" i="6"/>
  <c r="W56" i="6"/>
  <c r="V38" i="6"/>
  <c r="V56" i="6"/>
  <c r="U56" i="6"/>
  <c r="T56" i="6"/>
  <c r="S56" i="6"/>
  <c r="R56" i="6"/>
  <c r="M52" i="6"/>
  <c r="V48" i="6"/>
  <c r="V47" i="6"/>
  <c r="S35" i="6"/>
  <c r="S35" i="5"/>
  <c r="O48" i="5"/>
  <c r="S48" i="5"/>
  <c r="O49" i="5"/>
  <c r="S49" i="5"/>
  <c r="O50" i="5"/>
  <c r="S50" i="5"/>
  <c r="S51" i="5"/>
  <c r="O38" i="5"/>
  <c r="S38" i="5"/>
  <c r="O39" i="5"/>
  <c r="S39" i="5"/>
  <c r="O40" i="5"/>
  <c r="S40" i="5"/>
  <c r="S41" i="5"/>
  <c r="S58" i="5"/>
  <c r="O61" i="5"/>
  <c r="S61" i="5"/>
  <c r="O62" i="5"/>
  <c r="S62" i="5"/>
  <c r="M63" i="5"/>
  <c r="O63" i="5"/>
  <c r="S63" i="5"/>
  <c r="S70" i="5"/>
  <c r="O72" i="5"/>
  <c r="S72" i="5"/>
  <c r="O73" i="5"/>
  <c r="S73" i="5"/>
  <c r="M74" i="5"/>
  <c r="O74" i="5"/>
  <c r="S74" i="5"/>
  <c r="O75" i="5"/>
  <c r="S75" i="5"/>
  <c r="M82" i="5"/>
  <c r="O82" i="5"/>
  <c r="S82" i="5"/>
  <c r="M81" i="5"/>
  <c r="O81" i="5"/>
  <c r="S81" i="5"/>
  <c r="M80" i="5"/>
  <c r="O80" i="5"/>
  <c r="S80" i="5"/>
  <c r="M79" i="5"/>
  <c r="O79" i="5"/>
  <c r="S79" i="5"/>
  <c r="M78" i="5"/>
  <c r="O78" i="5"/>
  <c r="S78" i="5"/>
  <c r="M77" i="5"/>
  <c r="O77" i="5"/>
  <c r="S77" i="5"/>
  <c r="O76" i="5"/>
  <c r="S76" i="5"/>
  <c r="S83" i="5"/>
  <c r="O106" i="5"/>
  <c r="S106" i="5"/>
  <c r="M107" i="5"/>
  <c r="O107" i="5"/>
  <c r="S107" i="5"/>
  <c r="M108" i="5"/>
  <c r="O108" i="5"/>
  <c r="S108" i="5"/>
  <c r="S112" i="5"/>
  <c r="O113" i="5"/>
  <c r="S113" i="5"/>
  <c r="O114" i="5"/>
  <c r="S114" i="5"/>
  <c r="M115" i="5"/>
  <c r="O115" i="5"/>
  <c r="S115" i="5"/>
  <c r="O116" i="5"/>
  <c r="S116" i="5"/>
  <c r="M124" i="5"/>
  <c r="O124" i="5"/>
  <c r="S124" i="5"/>
  <c r="M123" i="5"/>
  <c r="O123" i="5"/>
  <c r="S123" i="5"/>
  <c r="M122" i="5"/>
  <c r="O122" i="5"/>
  <c r="S122" i="5"/>
  <c r="M121" i="5"/>
  <c r="O121" i="5"/>
  <c r="S121" i="5"/>
  <c r="M120" i="5"/>
  <c r="O120" i="5"/>
  <c r="S120" i="5"/>
  <c r="M119" i="5"/>
  <c r="O119" i="5"/>
  <c r="S119" i="5"/>
  <c r="O118" i="5"/>
  <c r="S118" i="5"/>
  <c r="O117" i="5"/>
  <c r="S117" i="5"/>
  <c r="S125" i="5"/>
  <c r="O150" i="5"/>
  <c r="S150" i="5"/>
  <c r="O151" i="5"/>
  <c r="S151" i="5"/>
  <c r="O152" i="5"/>
  <c r="S152" i="5"/>
  <c r="O153" i="5"/>
  <c r="S153" i="5"/>
  <c r="M172" i="5"/>
  <c r="O172" i="5"/>
  <c r="S172" i="5"/>
  <c r="O170" i="5"/>
  <c r="S170" i="5"/>
  <c r="M169" i="5"/>
  <c r="O169" i="5"/>
  <c r="S169" i="5"/>
  <c r="M168" i="5"/>
  <c r="O168" i="5"/>
  <c r="S168" i="5"/>
  <c r="M167" i="5"/>
  <c r="O167" i="5"/>
  <c r="S167" i="5"/>
  <c r="M166" i="5"/>
  <c r="O166" i="5"/>
  <c r="S166" i="5"/>
  <c r="M165" i="5"/>
  <c r="O165" i="5"/>
  <c r="S165" i="5"/>
  <c r="O164" i="5"/>
  <c r="S164" i="5"/>
  <c r="M163" i="5"/>
  <c r="O163" i="5"/>
  <c r="S163" i="5"/>
  <c r="O162" i="5"/>
  <c r="S162" i="5"/>
  <c r="O161" i="5"/>
  <c r="S161" i="5"/>
  <c r="O160" i="5"/>
  <c r="S160" i="5"/>
  <c r="M159" i="5"/>
  <c r="O159" i="5"/>
  <c r="S159" i="5"/>
  <c r="M158" i="5"/>
  <c r="O158" i="5"/>
  <c r="S158" i="5"/>
  <c r="M157" i="5"/>
  <c r="O157" i="5"/>
  <c r="S157" i="5"/>
  <c r="M156" i="5"/>
  <c r="O156" i="5"/>
  <c r="S156" i="5"/>
  <c r="M155" i="5"/>
  <c r="O155" i="5"/>
  <c r="S155" i="5"/>
  <c r="O154" i="5"/>
  <c r="S154" i="5"/>
  <c r="S173" i="5"/>
  <c r="S174" i="5"/>
  <c r="L186" i="5"/>
  <c r="O186" i="5"/>
  <c r="S186" i="5"/>
  <c r="L187" i="5"/>
  <c r="O187" i="5"/>
  <c r="S187" i="5"/>
  <c r="L188" i="5"/>
  <c r="O188" i="5"/>
  <c r="S188" i="5"/>
  <c r="L189" i="5"/>
  <c r="M189" i="5"/>
  <c r="O189" i="5"/>
  <c r="S189" i="5"/>
  <c r="L192" i="5"/>
  <c r="M191" i="5"/>
  <c r="M192" i="5"/>
  <c r="O192" i="5"/>
  <c r="S192" i="5"/>
  <c r="L191" i="5"/>
  <c r="O191" i="5"/>
  <c r="S191" i="5"/>
  <c r="S193" i="5"/>
  <c r="O194" i="5"/>
  <c r="S194" i="5"/>
  <c r="M195" i="5"/>
  <c r="O195" i="5"/>
  <c r="S195" i="5"/>
  <c r="S196" i="5"/>
  <c r="S197" i="5"/>
  <c r="M382" i="5"/>
  <c r="O382" i="5"/>
  <c r="S382" i="5"/>
  <c r="O383" i="5"/>
  <c r="S383" i="5"/>
  <c r="O384" i="5"/>
  <c r="S384" i="5"/>
  <c r="M385" i="5"/>
  <c r="O385" i="5"/>
  <c r="S385" i="5"/>
  <c r="O386" i="5"/>
  <c r="S386" i="5"/>
  <c r="S387" i="5"/>
  <c r="O327" i="5"/>
  <c r="S327" i="5"/>
  <c r="N328" i="5"/>
  <c r="O328" i="5"/>
  <c r="S328" i="5"/>
  <c r="M329" i="5"/>
  <c r="N329" i="5"/>
  <c r="O329" i="5"/>
  <c r="S329" i="5"/>
  <c r="N330" i="5"/>
  <c r="M330" i="5"/>
  <c r="O330" i="5"/>
  <c r="S330" i="5"/>
  <c r="M335" i="5"/>
  <c r="O335" i="5"/>
  <c r="S335" i="5"/>
  <c r="N331" i="5"/>
  <c r="N332" i="5"/>
  <c r="N333" i="5"/>
  <c r="N334" i="5"/>
  <c r="M334" i="5"/>
  <c r="O334" i="5"/>
  <c r="S334" i="5"/>
  <c r="M333" i="5"/>
  <c r="O333" i="5"/>
  <c r="S333" i="5"/>
  <c r="M332" i="5"/>
  <c r="O332" i="5"/>
  <c r="S332" i="5"/>
  <c r="M331" i="5"/>
  <c r="O331" i="5"/>
  <c r="S331" i="5"/>
  <c r="S336" i="5"/>
  <c r="O337" i="5"/>
  <c r="S337" i="5"/>
  <c r="N338" i="5"/>
  <c r="O338" i="5"/>
  <c r="S338" i="5"/>
  <c r="M339" i="5"/>
  <c r="N339" i="5"/>
  <c r="O339" i="5"/>
  <c r="S339" i="5"/>
  <c r="M340" i="5"/>
  <c r="O340" i="5"/>
  <c r="S340" i="5"/>
  <c r="M345" i="5"/>
  <c r="O345" i="5"/>
  <c r="S345" i="5"/>
  <c r="N341" i="5"/>
  <c r="N342" i="5"/>
  <c r="N343" i="5"/>
  <c r="N344" i="5"/>
  <c r="M344" i="5"/>
  <c r="O344" i="5"/>
  <c r="S344" i="5"/>
  <c r="M343" i="5"/>
  <c r="O343" i="5"/>
  <c r="S343" i="5"/>
  <c r="M342" i="5"/>
  <c r="O342" i="5"/>
  <c r="S342" i="5"/>
  <c r="M341" i="5"/>
  <c r="O341" i="5"/>
  <c r="S341" i="5"/>
  <c r="S346" i="5"/>
  <c r="O347" i="5"/>
  <c r="S347" i="5"/>
  <c r="N348" i="5"/>
  <c r="O348" i="5"/>
  <c r="S348" i="5"/>
  <c r="M349" i="5"/>
  <c r="N349" i="5"/>
  <c r="O349" i="5"/>
  <c r="S349" i="5"/>
  <c r="N350" i="5"/>
  <c r="M350" i="5"/>
  <c r="O350" i="5"/>
  <c r="S350" i="5"/>
  <c r="M355" i="5"/>
  <c r="O355" i="5"/>
  <c r="S355" i="5"/>
  <c r="N351" i="5"/>
  <c r="N352" i="5"/>
  <c r="N353" i="5"/>
  <c r="N354" i="5"/>
  <c r="M354" i="5"/>
  <c r="O354" i="5"/>
  <c r="S354" i="5"/>
  <c r="M353" i="5"/>
  <c r="O353" i="5"/>
  <c r="S353" i="5"/>
  <c r="M352" i="5"/>
  <c r="O352" i="5"/>
  <c r="S352" i="5"/>
  <c r="M351" i="5"/>
  <c r="O351" i="5"/>
  <c r="S351" i="5"/>
  <c r="S356" i="5"/>
  <c r="O357" i="5"/>
  <c r="S357" i="5"/>
  <c r="M358" i="5"/>
  <c r="O358" i="5"/>
  <c r="S358" i="5"/>
  <c r="O359" i="5"/>
  <c r="S359" i="5"/>
  <c r="O360" i="5"/>
  <c r="S360" i="5"/>
  <c r="O361" i="5"/>
  <c r="S361" i="5"/>
  <c r="S362" i="5"/>
  <c r="L365" i="5"/>
  <c r="O365" i="5"/>
  <c r="S365" i="5"/>
  <c r="L367" i="5"/>
  <c r="O367" i="5"/>
  <c r="S367" i="5"/>
  <c r="L368" i="5"/>
  <c r="O368" i="5"/>
  <c r="S368" i="5"/>
  <c r="L369" i="5"/>
  <c r="O369" i="5"/>
  <c r="S369" i="5"/>
  <c r="S370" i="5"/>
  <c r="S371" i="5"/>
  <c r="O289" i="5"/>
  <c r="S289" i="5"/>
  <c r="O290" i="5"/>
  <c r="S290" i="5"/>
  <c r="S291" i="5"/>
  <c r="O293" i="5"/>
  <c r="S293" i="5"/>
  <c r="O294" i="5"/>
  <c r="S294" i="5"/>
  <c r="O295" i="5"/>
  <c r="S295" i="5"/>
  <c r="M296" i="5"/>
  <c r="O296" i="5"/>
  <c r="S296" i="5"/>
  <c r="M301" i="5"/>
  <c r="O301" i="5"/>
  <c r="S301" i="5"/>
  <c r="M300" i="5"/>
  <c r="O300" i="5"/>
  <c r="S300" i="5"/>
  <c r="M299" i="5"/>
  <c r="O299" i="5"/>
  <c r="S299" i="5"/>
  <c r="M298" i="5"/>
  <c r="O298" i="5"/>
  <c r="S298" i="5"/>
  <c r="O297" i="5"/>
  <c r="S297" i="5"/>
  <c r="S302" i="5"/>
  <c r="O305" i="5"/>
  <c r="S305" i="5"/>
  <c r="M306" i="5"/>
  <c r="O306" i="5"/>
  <c r="S306" i="5"/>
  <c r="M307" i="5"/>
  <c r="O307" i="5"/>
  <c r="S307" i="5"/>
  <c r="O308" i="5"/>
  <c r="S308" i="5"/>
  <c r="M316" i="5"/>
  <c r="O316" i="5"/>
  <c r="S316" i="5"/>
  <c r="M315" i="5"/>
  <c r="O315" i="5"/>
  <c r="S315" i="5"/>
  <c r="M314" i="5"/>
  <c r="O314" i="5"/>
  <c r="S314" i="5"/>
  <c r="M313" i="5"/>
  <c r="O313" i="5"/>
  <c r="S313" i="5"/>
  <c r="M312" i="5"/>
  <c r="O312" i="5"/>
  <c r="S312" i="5"/>
  <c r="M311" i="5"/>
  <c r="O311" i="5"/>
  <c r="S311" i="5"/>
  <c r="M310" i="5"/>
  <c r="O310" i="5"/>
  <c r="S310" i="5"/>
  <c r="M309" i="5"/>
  <c r="O309" i="5"/>
  <c r="S309" i="5"/>
  <c r="S317" i="5"/>
  <c r="S324" i="5"/>
  <c r="L283" i="5"/>
  <c r="M283" i="5"/>
  <c r="O283" i="5"/>
  <c r="S283" i="5"/>
  <c r="L284" i="5"/>
  <c r="M284" i="5"/>
  <c r="O284" i="5"/>
  <c r="S284" i="5"/>
  <c r="S287" i="5"/>
  <c r="O237" i="5"/>
  <c r="S237" i="5"/>
  <c r="O238" i="5"/>
  <c r="S238" i="5"/>
  <c r="O239" i="5"/>
  <c r="S239" i="5"/>
  <c r="R240" i="5"/>
  <c r="O240" i="5"/>
  <c r="S240" i="5"/>
  <c r="O261" i="5"/>
  <c r="S261" i="5"/>
  <c r="O260" i="5"/>
  <c r="S260" i="5"/>
  <c r="O259" i="5"/>
  <c r="S259" i="5"/>
  <c r="O258" i="5"/>
  <c r="S258" i="5"/>
  <c r="O257" i="5"/>
  <c r="S257" i="5"/>
  <c r="O256" i="5"/>
  <c r="S256" i="5"/>
  <c r="O255" i="5"/>
  <c r="S255" i="5"/>
  <c r="O254" i="5"/>
  <c r="S254" i="5"/>
  <c r="O253" i="5"/>
  <c r="S253" i="5"/>
  <c r="O249" i="5"/>
  <c r="S249" i="5"/>
  <c r="O248" i="5"/>
  <c r="S248" i="5"/>
  <c r="O247" i="5"/>
  <c r="S247" i="5"/>
  <c r="O246" i="5"/>
  <c r="S246" i="5"/>
  <c r="O245" i="5"/>
  <c r="S245" i="5"/>
  <c r="O244" i="5"/>
  <c r="S244" i="5"/>
  <c r="R243" i="5"/>
  <c r="O243" i="5"/>
  <c r="S243" i="5"/>
  <c r="R242" i="5"/>
  <c r="O242" i="5"/>
  <c r="S242" i="5"/>
  <c r="R241" i="5"/>
  <c r="O241" i="5"/>
  <c r="S241" i="5"/>
  <c r="S262" i="5"/>
  <c r="O200" i="5"/>
  <c r="S200" i="5"/>
  <c r="O201" i="5"/>
  <c r="S201" i="5"/>
  <c r="M202" i="5"/>
  <c r="O202" i="5"/>
  <c r="S202" i="5"/>
  <c r="O203" i="5"/>
  <c r="S203" i="5"/>
  <c r="M228" i="5"/>
  <c r="O228" i="5"/>
  <c r="S228" i="5"/>
  <c r="M227" i="5"/>
  <c r="O227" i="5"/>
  <c r="S227" i="5"/>
  <c r="O226" i="5"/>
  <c r="S226" i="5"/>
  <c r="M225" i="5"/>
  <c r="O225" i="5"/>
  <c r="S225" i="5"/>
  <c r="O224" i="5"/>
  <c r="S224" i="5"/>
  <c r="M223" i="5"/>
  <c r="O223" i="5"/>
  <c r="S223" i="5"/>
  <c r="M222" i="5"/>
  <c r="O222" i="5"/>
  <c r="S222" i="5"/>
  <c r="O221" i="5"/>
  <c r="S221" i="5"/>
  <c r="M220" i="5"/>
  <c r="O220" i="5"/>
  <c r="S220" i="5"/>
  <c r="O218" i="5"/>
  <c r="S218" i="5"/>
  <c r="M217" i="5"/>
  <c r="O217" i="5"/>
  <c r="S217" i="5"/>
  <c r="M216" i="5"/>
  <c r="O216" i="5"/>
  <c r="S216" i="5"/>
  <c r="O215" i="5"/>
  <c r="S215" i="5"/>
  <c r="M214" i="5"/>
  <c r="O214" i="5"/>
  <c r="S214" i="5"/>
  <c r="O212" i="5"/>
  <c r="S212" i="5"/>
  <c r="M211" i="5"/>
  <c r="O211" i="5"/>
  <c r="S211" i="5"/>
  <c r="M210" i="5"/>
  <c r="O210" i="5"/>
  <c r="S210" i="5"/>
  <c r="O209" i="5"/>
  <c r="S209" i="5"/>
  <c r="M208" i="5"/>
  <c r="O208" i="5"/>
  <c r="S208" i="5"/>
  <c r="O206" i="5"/>
  <c r="S206" i="5"/>
  <c r="M205" i="5"/>
  <c r="O205" i="5"/>
  <c r="S205" i="5"/>
  <c r="M204" i="5"/>
  <c r="O204" i="5"/>
  <c r="S204" i="5"/>
  <c r="S235" i="5"/>
  <c r="S281" i="5"/>
  <c r="S388" i="5"/>
  <c r="Z388" i="5"/>
  <c r="Y388" i="5"/>
  <c r="Q38" i="5"/>
  <c r="U38" i="5"/>
  <c r="W38" i="5"/>
  <c r="Q48" i="5"/>
  <c r="U48" i="5"/>
  <c r="W48" i="5"/>
  <c r="Q49" i="5"/>
  <c r="U49" i="5"/>
  <c r="W49" i="5"/>
  <c r="Q61" i="5"/>
  <c r="U61" i="5"/>
  <c r="W61" i="5"/>
  <c r="Q386" i="5"/>
  <c r="U386" i="5"/>
  <c r="W386" i="5"/>
  <c r="Q385" i="5"/>
  <c r="U385" i="5"/>
  <c r="W385" i="5"/>
  <c r="Q384" i="5"/>
  <c r="U384" i="5"/>
  <c r="W384" i="5"/>
  <c r="Q383" i="5"/>
  <c r="U383" i="5"/>
  <c r="W383" i="5"/>
  <c r="Q382" i="5"/>
  <c r="U382" i="5"/>
  <c r="W382" i="5"/>
  <c r="Q368" i="5"/>
  <c r="U368" i="5"/>
  <c r="W368" i="5"/>
  <c r="Q367" i="5"/>
  <c r="U367" i="5"/>
  <c r="W367" i="5"/>
  <c r="Q365" i="5"/>
  <c r="U365" i="5"/>
  <c r="W365" i="5"/>
  <c r="Q361" i="5"/>
  <c r="U361" i="5"/>
  <c r="W361" i="5"/>
  <c r="Q360" i="5"/>
  <c r="U360" i="5"/>
  <c r="W360" i="5"/>
  <c r="Q359" i="5"/>
  <c r="U359" i="5"/>
  <c r="W359" i="5"/>
  <c r="Q358" i="5"/>
  <c r="U358" i="5"/>
  <c r="W358" i="5"/>
  <c r="Q357" i="5"/>
  <c r="U357" i="5"/>
  <c r="W357" i="5"/>
  <c r="Q355" i="5"/>
  <c r="U355" i="5"/>
  <c r="W355" i="5"/>
  <c r="Q354" i="5"/>
  <c r="U354" i="5"/>
  <c r="W354" i="5"/>
  <c r="Q353" i="5"/>
  <c r="U353" i="5"/>
  <c r="W353" i="5"/>
  <c r="Q352" i="5"/>
  <c r="U352" i="5"/>
  <c r="W352" i="5"/>
  <c r="Q351" i="5"/>
  <c r="U351" i="5"/>
  <c r="W351" i="5"/>
  <c r="Q350" i="5"/>
  <c r="U350" i="5"/>
  <c r="W350" i="5"/>
  <c r="Q349" i="5"/>
  <c r="U349" i="5"/>
  <c r="W349" i="5"/>
  <c r="Q348" i="5"/>
  <c r="U348" i="5"/>
  <c r="W348" i="5"/>
  <c r="Q347" i="5"/>
  <c r="U347" i="5"/>
  <c r="W347" i="5"/>
  <c r="Q345" i="5"/>
  <c r="U345" i="5"/>
  <c r="W345" i="5"/>
  <c r="Q344" i="5"/>
  <c r="U344" i="5"/>
  <c r="W344" i="5"/>
  <c r="Q343" i="5"/>
  <c r="U343" i="5"/>
  <c r="W343" i="5"/>
  <c r="Q342" i="5"/>
  <c r="U342" i="5"/>
  <c r="W342" i="5"/>
  <c r="Q341" i="5"/>
  <c r="U341" i="5"/>
  <c r="W341" i="5"/>
  <c r="Q340" i="5"/>
  <c r="U340" i="5"/>
  <c r="W340" i="5"/>
  <c r="Q339" i="5"/>
  <c r="U339" i="5"/>
  <c r="W339" i="5"/>
  <c r="Q338" i="5"/>
  <c r="U338" i="5"/>
  <c r="W338" i="5"/>
  <c r="Q337" i="5"/>
  <c r="U337" i="5"/>
  <c r="W337" i="5"/>
  <c r="Q335" i="5"/>
  <c r="U335" i="5"/>
  <c r="W335" i="5"/>
  <c r="Q334" i="5"/>
  <c r="U334" i="5"/>
  <c r="W334" i="5"/>
  <c r="Q333" i="5"/>
  <c r="U333" i="5"/>
  <c r="W333" i="5"/>
  <c r="Q332" i="5"/>
  <c r="U332" i="5"/>
  <c r="W332" i="5"/>
  <c r="Q331" i="5"/>
  <c r="U331" i="5"/>
  <c r="W331" i="5"/>
  <c r="Q330" i="5"/>
  <c r="U330" i="5"/>
  <c r="W330" i="5"/>
  <c r="Q329" i="5"/>
  <c r="U329" i="5"/>
  <c r="W329" i="5"/>
  <c r="Q328" i="5"/>
  <c r="U328" i="5"/>
  <c r="W328" i="5"/>
  <c r="Q327" i="5"/>
  <c r="U327" i="5"/>
  <c r="W327" i="5"/>
  <c r="Q311" i="5"/>
  <c r="U311" i="5"/>
  <c r="W311" i="5"/>
  <c r="Q307" i="5"/>
  <c r="U307" i="5"/>
  <c r="W307" i="5"/>
  <c r="Q306" i="5"/>
  <c r="U306" i="5"/>
  <c r="W306" i="5"/>
  <c r="Q305" i="5"/>
  <c r="U305" i="5"/>
  <c r="W305" i="5"/>
  <c r="Q295" i="5"/>
  <c r="T295" i="5"/>
  <c r="U295" i="5"/>
  <c r="W295" i="5"/>
  <c r="Q294" i="5"/>
  <c r="U294" i="5"/>
  <c r="W294" i="5"/>
  <c r="Q293" i="5"/>
  <c r="U293" i="5"/>
  <c r="W293" i="5"/>
  <c r="Q290" i="5"/>
  <c r="U290" i="5"/>
  <c r="W290" i="5"/>
  <c r="Q289" i="5"/>
  <c r="U289" i="5"/>
  <c r="W289" i="5"/>
  <c r="Q261" i="5"/>
  <c r="U261" i="5"/>
  <c r="W261" i="5"/>
  <c r="Q260" i="5"/>
  <c r="U260" i="5"/>
  <c r="W260" i="5"/>
  <c r="M234" i="5"/>
  <c r="O234" i="5"/>
  <c r="Q234" i="5"/>
  <c r="S234" i="5"/>
  <c r="U234" i="5"/>
  <c r="W234" i="5"/>
  <c r="M233" i="5"/>
  <c r="O233" i="5"/>
  <c r="Q233" i="5"/>
  <c r="S233" i="5"/>
  <c r="U233" i="5"/>
  <c r="W233" i="5"/>
  <c r="M231" i="5"/>
  <c r="O231" i="5"/>
  <c r="Q231" i="5"/>
  <c r="S231" i="5"/>
  <c r="U231" i="5"/>
  <c r="W231" i="5"/>
  <c r="M230" i="5"/>
  <c r="O230" i="5"/>
  <c r="Q230" i="5"/>
  <c r="S230" i="5"/>
  <c r="U230" i="5"/>
  <c r="W230" i="5"/>
  <c r="Q217" i="5"/>
  <c r="U217" i="5"/>
  <c r="W217" i="5"/>
  <c r="Q216" i="5"/>
  <c r="U216" i="5"/>
  <c r="W216" i="5"/>
  <c r="Q214" i="5"/>
  <c r="U214" i="5"/>
  <c r="W214" i="5"/>
  <c r="Q212" i="5"/>
  <c r="U212" i="5"/>
  <c r="W212" i="5"/>
  <c r="Q211" i="5"/>
  <c r="U211" i="5"/>
  <c r="W211" i="5"/>
  <c r="Q210" i="5"/>
  <c r="U210" i="5"/>
  <c r="W210" i="5"/>
  <c r="Q208" i="5"/>
  <c r="U208" i="5"/>
  <c r="W208" i="5"/>
  <c r="Q206" i="5"/>
  <c r="U206" i="5"/>
  <c r="W206" i="5"/>
  <c r="Q194" i="5"/>
  <c r="U194" i="5"/>
  <c r="W194" i="5"/>
  <c r="Q189" i="5"/>
  <c r="U189" i="5"/>
  <c r="W189" i="5"/>
  <c r="Q188" i="5"/>
  <c r="U188" i="5"/>
  <c r="W188" i="5"/>
  <c r="Q187" i="5"/>
  <c r="U187" i="5"/>
  <c r="W187" i="5"/>
  <c r="Q186" i="5"/>
  <c r="U186" i="5"/>
  <c r="W186" i="5"/>
  <c r="M184" i="5"/>
  <c r="O184" i="5"/>
  <c r="Q184" i="5"/>
  <c r="S184" i="5"/>
  <c r="U184" i="5"/>
  <c r="W184" i="5"/>
  <c r="M183" i="5"/>
  <c r="O183" i="5"/>
  <c r="Q183" i="5"/>
  <c r="S183" i="5"/>
  <c r="U183" i="5"/>
  <c r="W183" i="5"/>
  <c r="M182" i="5"/>
  <c r="O182" i="5"/>
  <c r="Q182" i="5"/>
  <c r="S182" i="5"/>
  <c r="U182" i="5"/>
  <c r="W182" i="5"/>
  <c r="M181" i="5"/>
  <c r="O181" i="5"/>
  <c r="Q181" i="5"/>
  <c r="S181" i="5"/>
  <c r="U181" i="5"/>
  <c r="W181" i="5"/>
  <c r="O180" i="5"/>
  <c r="Q180" i="5"/>
  <c r="S180" i="5"/>
  <c r="U180" i="5"/>
  <c r="W180" i="5"/>
  <c r="Q172" i="5"/>
  <c r="U172" i="5"/>
  <c r="W172" i="5"/>
  <c r="Q169" i="5"/>
  <c r="U169" i="5"/>
  <c r="W169" i="5"/>
  <c r="Q168" i="5"/>
  <c r="U168" i="5"/>
  <c r="W168" i="5"/>
  <c r="Q167" i="5"/>
  <c r="U167" i="5"/>
  <c r="W167" i="5"/>
  <c r="Q166" i="5"/>
  <c r="U166" i="5"/>
  <c r="W166" i="5"/>
  <c r="Q165" i="5"/>
  <c r="U165" i="5"/>
  <c r="W165" i="5"/>
  <c r="Q164" i="5"/>
  <c r="U164" i="5"/>
  <c r="W164" i="5"/>
  <c r="Q163" i="5"/>
  <c r="U163" i="5"/>
  <c r="W163" i="5"/>
  <c r="Q162" i="5"/>
  <c r="U162" i="5"/>
  <c r="W162" i="5"/>
  <c r="Q161" i="5"/>
  <c r="U161" i="5"/>
  <c r="W161" i="5"/>
  <c r="Q160" i="5"/>
  <c r="U160" i="5"/>
  <c r="W160" i="5"/>
  <c r="Q159" i="5"/>
  <c r="U159" i="5"/>
  <c r="W159" i="5"/>
  <c r="Q158" i="5"/>
  <c r="U158" i="5"/>
  <c r="W158" i="5"/>
  <c r="Q157" i="5"/>
  <c r="U157" i="5"/>
  <c r="W157" i="5"/>
  <c r="Q156" i="5"/>
  <c r="U156" i="5"/>
  <c r="W156" i="5"/>
  <c r="Q155" i="5"/>
  <c r="U155" i="5"/>
  <c r="W155" i="5"/>
  <c r="Q154" i="5"/>
  <c r="U154" i="5"/>
  <c r="W154" i="5"/>
  <c r="Q153" i="5"/>
  <c r="U153" i="5"/>
  <c r="W153" i="5"/>
  <c r="Q152" i="5"/>
  <c r="U152" i="5"/>
  <c r="W152" i="5"/>
  <c r="Q151" i="5"/>
  <c r="U151" i="5"/>
  <c r="W151" i="5"/>
  <c r="Q150" i="5"/>
  <c r="U150" i="5"/>
  <c r="W150" i="5"/>
  <c r="Q124" i="5"/>
  <c r="U124" i="5"/>
  <c r="W124" i="5"/>
  <c r="Q123" i="5"/>
  <c r="U123" i="5"/>
  <c r="W123" i="5"/>
  <c r="Q122" i="5"/>
  <c r="U122" i="5"/>
  <c r="W122" i="5"/>
  <c r="Q121" i="5"/>
  <c r="U121" i="5"/>
  <c r="W121" i="5"/>
  <c r="Q120" i="5"/>
  <c r="U120" i="5"/>
  <c r="W120" i="5"/>
  <c r="Q119" i="5"/>
  <c r="U119" i="5"/>
  <c r="W119" i="5"/>
  <c r="Q118" i="5"/>
  <c r="U118" i="5"/>
  <c r="W118" i="5"/>
  <c r="Q117" i="5"/>
  <c r="U117" i="5"/>
  <c r="W117" i="5"/>
  <c r="Q116" i="5"/>
  <c r="U116" i="5"/>
  <c r="W116" i="5"/>
  <c r="Q115" i="5"/>
  <c r="U115" i="5"/>
  <c r="W115" i="5"/>
  <c r="Q114" i="5"/>
  <c r="U114" i="5"/>
  <c r="W114" i="5"/>
  <c r="Q113" i="5"/>
  <c r="U113" i="5"/>
  <c r="W113" i="5"/>
  <c r="Q108" i="5"/>
  <c r="U108" i="5"/>
  <c r="W108" i="5"/>
  <c r="Q107" i="5"/>
  <c r="U107" i="5"/>
  <c r="W107" i="5"/>
  <c r="Q106" i="5"/>
  <c r="U106" i="5"/>
  <c r="W106" i="5"/>
  <c r="Q82" i="5"/>
  <c r="U82" i="5"/>
  <c r="W82" i="5"/>
  <c r="Q81" i="5"/>
  <c r="U81" i="5"/>
  <c r="W81" i="5"/>
  <c r="Q80" i="5"/>
  <c r="U80" i="5"/>
  <c r="W80" i="5"/>
  <c r="Q79" i="5"/>
  <c r="U79" i="5"/>
  <c r="W79" i="5"/>
  <c r="Q78" i="5"/>
  <c r="U78" i="5"/>
  <c r="W78" i="5"/>
  <c r="Q77" i="5"/>
  <c r="U77" i="5"/>
  <c r="W77" i="5"/>
  <c r="Q76" i="5"/>
  <c r="U76" i="5"/>
  <c r="W76" i="5"/>
  <c r="Q75" i="5"/>
  <c r="U75" i="5"/>
  <c r="W75" i="5"/>
  <c r="Q74" i="5"/>
  <c r="U74" i="5"/>
  <c r="W74" i="5"/>
  <c r="Q73" i="5"/>
  <c r="U73" i="5"/>
  <c r="W73" i="5"/>
  <c r="Q72" i="5"/>
  <c r="U72" i="5"/>
  <c r="W72" i="5"/>
  <c r="W388" i="5"/>
  <c r="U388" i="5"/>
  <c r="Q62" i="5"/>
  <c r="Q63" i="5"/>
  <c r="Q170" i="5"/>
  <c r="Q191" i="5"/>
  <c r="Q369" i="5"/>
  <c r="Q315" i="5"/>
  <c r="Q314" i="5"/>
  <c r="Q313" i="5"/>
  <c r="Q312" i="5"/>
  <c r="Q310" i="5"/>
  <c r="Q309" i="5"/>
  <c r="Q284" i="5"/>
  <c r="Q283" i="5"/>
  <c r="Q259" i="5"/>
  <c r="Q258" i="5"/>
  <c r="Q257" i="5"/>
  <c r="Q256" i="5"/>
  <c r="Q255" i="5"/>
  <c r="Q254" i="5"/>
  <c r="Q253" i="5"/>
  <c r="Q195" i="5"/>
  <c r="Q388" i="5"/>
  <c r="Z387" i="5"/>
  <c r="Y387" i="5"/>
  <c r="Y386" i="5"/>
  <c r="V386" i="5"/>
  <c r="Y385" i="5"/>
  <c r="V385" i="5"/>
  <c r="Y384" i="5"/>
  <c r="V384" i="5"/>
  <c r="Y383" i="5"/>
  <c r="V383" i="5"/>
  <c r="Y382" i="5"/>
  <c r="V382" i="5"/>
  <c r="T381" i="5"/>
  <c r="U381" i="5"/>
  <c r="M377" i="5"/>
  <c r="Z371" i="5"/>
  <c r="Y371" i="5"/>
  <c r="Z370" i="5"/>
  <c r="Y370" i="5"/>
  <c r="U369" i="5"/>
  <c r="Y368" i="5"/>
  <c r="V368" i="5"/>
  <c r="Y367" i="5"/>
  <c r="V367" i="5"/>
  <c r="Y366" i="5"/>
  <c r="Y365" i="5"/>
  <c r="V365" i="5"/>
  <c r="Z362" i="5"/>
  <c r="Y362" i="5"/>
  <c r="Y361" i="5"/>
  <c r="V361" i="5"/>
  <c r="Y360" i="5"/>
  <c r="V360" i="5"/>
  <c r="Y359" i="5"/>
  <c r="V359" i="5"/>
  <c r="Y358" i="5"/>
  <c r="V358" i="5"/>
  <c r="Y357" i="5"/>
  <c r="V357" i="5"/>
  <c r="Z356" i="5"/>
  <c r="Y356" i="5"/>
  <c r="Y355" i="5"/>
  <c r="V355" i="5"/>
  <c r="Y354" i="5"/>
  <c r="V354" i="5"/>
  <c r="Y353" i="5"/>
  <c r="V353" i="5"/>
  <c r="Y352" i="5"/>
  <c r="V352" i="5"/>
  <c r="Y351" i="5"/>
  <c r="V351" i="5"/>
  <c r="Y350" i="5"/>
  <c r="V350" i="5"/>
  <c r="Y349" i="5"/>
  <c r="V349" i="5"/>
  <c r="Y348" i="5"/>
  <c r="V348" i="5"/>
  <c r="Y347" i="5"/>
  <c r="V347" i="5"/>
  <c r="Z346" i="5"/>
  <c r="Y346" i="5"/>
  <c r="Y345" i="5"/>
  <c r="V345" i="5"/>
  <c r="Y344" i="5"/>
  <c r="V344" i="5"/>
  <c r="Y343" i="5"/>
  <c r="V343" i="5"/>
  <c r="Y342" i="5"/>
  <c r="V342" i="5"/>
  <c r="Y341" i="5"/>
  <c r="V341" i="5"/>
  <c r="Y340" i="5"/>
  <c r="V340" i="5"/>
  <c r="Y339" i="5"/>
  <c r="V339" i="5"/>
  <c r="Y338" i="5"/>
  <c r="V338" i="5"/>
  <c r="Y337" i="5"/>
  <c r="V337" i="5"/>
  <c r="Z336" i="5"/>
  <c r="Y336" i="5"/>
  <c r="Y335" i="5"/>
  <c r="V335" i="5"/>
  <c r="Y334" i="5"/>
  <c r="V334" i="5"/>
  <c r="Y333" i="5"/>
  <c r="V333" i="5"/>
  <c r="Y332" i="5"/>
  <c r="V332" i="5"/>
  <c r="Y331" i="5"/>
  <c r="V331" i="5"/>
  <c r="Y330" i="5"/>
  <c r="V330" i="5"/>
  <c r="Y329" i="5"/>
  <c r="V329" i="5"/>
  <c r="Y328" i="5"/>
  <c r="Y327" i="5"/>
  <c r="V327" i="5"/>
  <c r="Z324" i="5"/>
  <c r="Y324" i="5"/>
  <c r="M322" i="5"/>
  <c r="M321" i="5"/>
  <c r="Z317" i="5"/>
  <c r="Y317" i="5"/>
  <c r="Y316" i="5"/>
  <c r="Y315" i="5"/>
  <c r="Y314" i="5"/>
  <c r="Y313" i="5"/>
  <c r="Y312" i="5"/>
  <c r="Y311" i="5"/>
  <c r="V311" i="5"/>
  <c r="Y310" i="5"/>
  <c r="Y309" i="5"/>
  <c r="Y308" i="5"/>
  <c r="Y307" i="5"/>
  <c r="V307" i="5"/>
  <c r="Y306" i="5"/>
  <c r="V306" i="5"/>
  <c r="Y305" i="5"/>
  <c r="V305" i="5"/>
  <c r="Z302" i="5"/>
  <c r="Y302" i="5"/>
  <c r="Y301" i="5"/>
  <c r="Y300" i="5"/>
  <c r="Y299" i="5"/>
  <c r="Y298" i="5"/>
  <c r="Y297" i="5"/>
  <c r="Y296" i="5"/>
  <c r="Y295" i="5"/>
  <c r="V295" i="5"/>
  <c r="Y294" i="5"/>
  <c r="V294" i="5"/>
  <c r="Y293" i="5"/>
  <c r="V293" i="5"/>
  <c r="Z291" i="5"/>
  <c r="Y291" i="5"/>
  <c r="Y290" i="5"/>
  <c r="V290" i="5"/>
  <c r="Y289" i="5"/>
  <c r="V289" i="5"/>
  <c r="Z287" i="5"/>
  <c r="Y287" i="5"/>
  <c r="M285" i="5"/>
  <c r="Y284" i="5"/>
  <c r="Y283" i="5"/>
  <c r="Z281" i="5"/>
  <c r="Y281" i="5"/>
  <c r="M276" i="5"/>
  <c r="M271" i="5"/>
  <c r="M270" i="5"/>
  <c r="M268" i="5"/>
  <c r="M265" i="5"/>
  <c r="Z262" i="5"/>
  <c r="Y262" i="5"/>
  <c r="Y261" i="5"/>
  <c r="V261" i="5"/>
  <c r="Y260" i="5"/>
  <c r="V260" i="5"/>
  <c r="Y259" i="5"/>
  <c r="Y258" i="5"/>
  <c r="Y257" i="5"/>
  <c r="Y256" i="5"/>
  <c r="Y255" i="5"/>
  <c r="Y254" i="5"/>
  <c r="Y253" i="5"/>
  <c r="Y249" i="5"/>
  <c r="Y248" i="5"/>
  <c r="Y247" i="5"/>
  <c r="Y246" i="5"/>
  <c r="Y245" i="5"/>
  <c r="Y244" i="5"/>
  <c r="Y243" i="5"/>
  <c r="Y242" i="5"/>
  <c r="Y241" i="5"/>
  <c r="Y240" i="5"/>
  <c r="Y239" i="5"/>
  <c r="Y238" i="5"/>
  <c r="Y237" i="5"/>
  <c r="Z235" i="5"/>
  <c r="Y235" i="5"/>
  <c r="V234" i="5"/>
  <c r="V233" i="5"/>
  <c r="M232" i="5"/>
  <c r="V231" i="5"/>
  <c r="V230" i="5"/>
  <c r="M229" i="5"/>
  <c r="Y228" i="5"/>
  <c r="Y227" i="5"/>
  <c r="Y226" i="5"/>
  <c r="Y225" i="5"/>
  <c r="Y224" i="5"/>
  <c r="Y223" i="5"/>
  <c r="Y222" i="5"/>
  <c r="Y221" i="5"/>
  <c r="Y220" i="5"/>
  <c r="Y218" i="5"/>
  <c r="Y217" i="5"/>
  <c r="V217" i="5"/>
  <c r="Y216" i="5"/>
  <c r="V216" i="5"/>
  <c r="Y215" i="5"/>
  <c r="Y214" i="5"/>
  <c r="V214" i="5"/>
  <c r="Y212" i="5"/>
  <c r="V212" i="5"/>
  <c r="Y211" i="5"/>
  <c r="V211" i="5"/>
  <c r="Y210" i="5"/>
  <c r="V210" i="5"/>
  <c r="Y209" i="5"/>
  <c r="Y208" i="5"/>
  <c r="V208" i="5"/>
  <c r="Y206" i="5"/>
  <c r="V206" i="5"/>
  <c r="Y205" i="5"/>
  <c r="Y204" i="5"/>
  <c r="Y203" i="5"/>
  <c r="Y202" i="5"/>
  <c r="Y200" i="5"/>
  <c r="Z197" i="5"/>
  <c r="Y197" i="5"/>
  <c r="Z196" i="5"/>
  <c r="Y196" i="5"/>
  <c r="Y195" i="5"/>
  <c r="Y194" i="5"/>
  <c r="V194" i="5"/>
  <c r="Z193" i="5"/>
  <c r="Y193" i="5"/>
  <c r="Y192" i="5"/>
  <c r="Y191" i="5"/>
  <c r="Y189" i="5"/>
  <c r="V189" i="5"/>
  <c r="Y188" i="5"/>
  <c r="V188" i="5"/>
  <c r="Y187" i="5"/>
  <c r="V187" i="5"/>
  <c r="Y186" i="5"/>
  <c r="V186" i="5"/>
  <c r="V184" i="5"/>
  <c r="V183" i="5"/>
  <c r="V182" i="5"/>
  <c r="V181" i="5"/>
  <c r="V180" i="5"/>
  <c r="Z174" i="5"/>
  <c r="Y174" i="5"/>
  <c r="Z173" i="5"/>
  <c r="Y173" i="5"/>
  <c r="Y172" i="5"/>
  <c r="V172" i="5"/>
  <c r="Y171" i="5"/>
  <c r="Y170" i="5"/>
  <c r="X170" i="5"/>
  <c r="Y169" i="5"/>
  <c r="V169" i="5"/>
  <c r="Y168" i="5"/>
  <c r="V168" i="5"/>
  <c r="Y167" i="5"/>
  <c r="V167" i="5"/>
  <c r="Y166" i="5"/>
  <c r="V166" i="5"/>
  <c r="Y165" i="5"/>
  <c r="V165" i="5"/>
  <c r="Y164" i="5"/>
  <c r="V164" i="5"/>
  <c r="Y163" i="5"/>
  <c r="V163" i="5"/>
  <c r="Y162" i="5"/>
  <c r="V162" i="5"/>
  <c r="Y161" i="5"/>
  <c r="V161" i="5"/>
  <c r="Y160" i="5"/>
  <c r="V160" i="5"/>
  <c r="Y159" i="5"/>
  <c r="V159" i="5"/>
  <c r="Y158" i="5"/>
  <c r="V158" i="5"/>
  <c r="Y157" i="5"/>
  <c r="V157" i="5"/>
  <c r="Y156" i="5"/>
  <c r="V156" i="5"/>
  <c r="Y155" i="5"/>
  <c r="V155" i="5"/>
  <c r="Y154" i="5"/>
  <c r="V154" i="5"/>
  <c r="Y153" i="5"/>
  <c r="V153" i="5"/>
  <c r="Y152" i="5"/>
  <c r="V152" i="5"/>
  <c r="Y151" i="5"/>
  <c r="V151" i="5"/>
  <c r="Y150" i="5"/>
  <c r="V150" i="5"/>
  <c r="M149" i="5"/>
  <c r="M148" i="5"/>
  <c r="M147" i="5"/>
  <c r="M146" i="5"/>
  <c r="M145" i="5"/>
  <c r="M144" i="5"/>
  <c r="M137" i="5"/>
  <c r="M136" i="5"/>
  <c r="M135" i="5"/>
  <c r="M134" i="5"/>
  <c r="M133" i="5"/>
  <c r="M132" i="5"/>
  <c r="M128" i="5"/>
  <c r="Z125" i="5"/>
  <c r="Y125" i="5"/>
  <c r="Y124" i="5"/>
  <c r="V124" i="5"/>
  <c r="Y123" i="5"/>
  <c r="V123" i="5"/>
  <c r="Y122" i="5"/>
  <c r="V122" i="5"/>
  <c r="Y121" i="5"/>
  <c r="V121" i="5"/>
  <c r="Y120" i="5"/>
  <c r="V120" i="5"/>
  <c r="Y119" i="5"/>
  <c r="V119" i="5"/>
  <c r="Y118" i="5"/>
  <c r="V118" i="5"/>
  <c r="Y117" i="5"/>
  <c r="V117" i="5"/>
  <c r="Y116" i="5"/>
  <c r="V116" i="5"/>
  <c r="Y115" i="5"/>
  <c r="V115" i="5"/>
  <c r="Y114" i="5"/>
  <c r="V114" i="5"/>
  <c r="Y113" i="5"/>
  <c r="V113" i="5"/>
  <c r="Z112" i="5"/>
  <c r="Y112" i="5"/>
  <c r="M111" i="5"/>
  <c r="Y108" i="5"/>
  <c r="V108" i="5"/>
  <c r="Y107" i="5"/>
  <c r="V107" i="5"/>
  <c r="Y106" i="5"/>
  <c r="V106" i="5"/>
  <c r="Z83" i="5"/>
  <c r="Y83" i="5"/>
  <c r="Y82" i="5"/>
  <c r="V82" i="5"/>
  <c r="Y81" i="5"/>
  <c r="V81" i="5"/>
  <c r="Y80" i="5"/>
  <c r="V80" i="5"/>
  <c r="Y79" i="5"/>
  <c r="V79" i="5"/>
  <c r="Y78" i="5"/>
  <c r="V78" i="5"/>
  <c r="Y77" i="5"/>
  <c r="V77" i="5"/>
  <c r="Y76" i="5"/>
  <c r="V76" i="5"/>
  <c r="Y75" i="5"/>
  <c r="V75" i="5"/>
  <c r="Y74" i="5"/>
  <c r="V74" i="5"/>
  <c r="Y73" i="5"/>
  <c r="V73" i="5"/>
  <c r="Y72" i="5"/>
  <c r="V72" i="5"/>
  <c r="Z70" i="5"/>
  <c r="Y70" i="5"/>
  <c r="M69" i="5"/>
  <c r="Y63" i="5"/>
  <c r="Y62" i="5"/>
  <c r="Y61" i="5"/>
  <c r="V61" i="5"/>
  <c r="Z58" i="5"/>
  <c r="Y58" i="5"/>
  <c r="M54" i="5"/>
  <c r="Z51" i="5"/>
  <c r="Y51" i="5"/>
  <c r="Y50" i="5"/>
  <c r="Y49" i="5"/>
  <c r="V49" i="5"/>
  <c r="Y48" i="5"/>
  <c r="V48" i="5"/>
  <c r="Z41" i="5"/>
  <c r="Y41" i="5"/>
  <c r="Y40" i="5"/>
  <c r="Y39" i="5"/>
  <c r="Y38" i="5"/>
  <c r="V38" i="5"/>
  <c r="M34" i="5"/>
  <c r="M33" i="5"/>
  <c r="M32" i="5"/>
  <c r="M31" i="5"/>
  <c r="M30" i="5"/>
  <c r="M24" i="5"/>
  <c r="M23" i="5"/>
  <c r="M22" i="5"/>
  <c r="M21" i="5"/>
  <c r="M20" i="5"/>
  <c r="M16" i="5"/>
  <c r="M12" i="5"/>
  <c r="W332" i="4"/>
  <c r="W333" i="4"/>
  <c r="W334" i="4"/>
  <c r="W335" i="4"/>
  <c r="O7" i="4"/>
  <c r="Q7" i="4"/>
  <c r="S7" i="4"/>
  <c r="U7" i="4"/>
  <c r="W7" i="4"/>
  <c r="M22" i="4"/>
  <c r="O22" i="4"/>
  <c r="Q22" i="4"/>
  <c r="S22" i="4"/>
  <c r="U22" i="4"/>
  <c r="W22" i="4"/>
  <c r="O26" i="4"/>
  <c r="Q26" i="4"/>
  <c r="S26" i="4"/>
  <c r="U26" i="4"/>
  <c r="W26" i="4"/>
  <c r="O27" i="4"/>
  <c r="Q27" i="4"/>
  <c r="S27" i="4"/>
  <c r="U27" i="4"/>
  <c r="W27" i="4"/>
  <c r="O143" i="4"/>
  <c r="Q143" i="4"/>
  <c r="S143" i="4"/>
  <c r="U143" i="4"/>
  <c r="W143" i="4"/>
  <c r="O141" i="4"/>
  <c r="Q141" i="4"/>
  <c r="S141" i="4"/>
  <c r="U141" i="4"/>
  <c r="W141" i="4"/>
  <c r="O113" i="4"/>
  <c r="Q113" i="4"/>
  <c r="S113" i="4"/>
  <c r="U113" i="4"/>
  <c r="W113" i="4"/>
  <c r="O111" i="4"/>
  <c r="Q111" i="4"/>
  <c r="S111" i="4"/>
  <c r="U111" i="4"/>
  <c r="W111" i="4"/>
  <c r="O109" i="4"/>
  <c r="Q109" i="4"/>
  <c r="S109" i="4"/>
  <c r="U109" i="4"/>
  <c r="W109" i="4"/>
  <c r="M105" i="4"/>
  <c r="O105" i="4"/>
  <c r="Q105" i="4"/>
  <c r="S105" i="4"/>
  <c r="U105" i="4"/>
  <c r="W105" i="4"/>
  <c r="P52" i="4"/>
  <c r="O52" i="4"/>
  <c r="Q52" i="4"/>
  <c r="S52" i="4"/>
  <c r="U52" i="4"/>
  <c r="W52" i="4"/>
  <c r="M51" i="4"/>
  <c r="O51" i="4"/>
  <c r="Q51" i="4"/>
  <c r="S51" i="4"/>
  <c r="U51" i="4"/>
  <c r="W51" i="4"/>
  <c r="M50" i="4"/>
  <c r="O50" i="4"/>
  <c r="Q50" i="4"/>
  <c r="S50" i="4"/>
  <c r="U50" i="4"/>
  <c r="W50" i="4"/>
  <c r="M49" i="4"/>
  <c r="O49" i="4"/>
  <c r="Q49" i="4"/>
  <c r="S49" i="4"/>
  <c r="U49" i="4"/>
  <c r="W49" i="4"/>
  <c r="M48" i="4"/>
  <c r="O48" i="4"/>
  <c r="Q48" i="4"/>
  <c r="S48" i="4"/>
  <c r="U48" i="4"/>
  <c r="W48" i="4"/>
  <c r="M47" i="4"/>
  <c r="O47" i="4"/>
  <c r="Q47" i="4"/>
  <c r="S47" i="4"/>
  <c r="U47" i="4"/>
  <c r="W47" i="4"/>
  <c r="M46" i="4"/>
  <c r="O46" i="4"/>
  <c r="Q46" i="4"/>
  <c r="S46" i="4"/>
  <c r="U46" i="4"/>
  <c r="W46" i="4"/>
  <c r="O45" i="4"/>
  <c r="Q45" i="4"/>
  <c r="S45" i="4"/>
  <c r="U45" i="4"/>
  <c r="W45" i="4"/>
  <c r="O44" i="4"/>
  <c r="Q44" i="4"/>
  <c r="S44" i="4"/>
  <c r="U44" i="4"/>
  <c r="W44" i="4"/>
  <c r="O43" i="4"/>
  <c r="Q43" i="4"/>
  <c r="S43" i="4"/>
  <c r="U43" i="4"/>
  <c r="W43" i="4"/>
  <c r="O41" i="4"/>
  <c r="Q41" i="4"/>
  <c r="S41" i="4"/>
  <c r="U41" i="4"/>
  <c r="W41" i="4"/>
  <c r="O40" i="4"/>
  <c r="Q40" i="4"/>
  <c r="S40" i="4"/>
  <c r="U40" i="4"/>
  <c r="W40" i="4"/>
  <c r="O37" i="4"/>
  <c r="Q37" i="4"/>
  <c r="S37" i="4"/>
  <c r="U37" i="4"/>
  <c r="W37" i="4"/>
  <c r="L36" i="4"/>
  <c r="O36" i="4"/>
  <c r="Q36" i="4"/>
  <c r="S36" i="4"/>
  <c r="U36" i="4"/>
  <c r="W36" i="4"/>
  <c r="O32" i="4"/>
  <c r="Q32" i="4"/>
  <c r="S32" i="4"/>
  <c r="U32" i="4"/>
  <c r="W32" i="4"/>
  <c r="O31" i="4"/>
  <c r="Q31" i="4"/>
  <c r="S31" i="4"/>
  <c r="U31" i="4"/>
  <c r="W31" i="4"/>
  <c r="W146" i="4"/>
  <c r="W328" i="4"/>
  <c r="W331" i="4"/>
  <c r="W336" i="4"/>
  <c r="U332" i="4"/>
  <c r="U333" i="4"/>
  <c r="U334" i="4"/>
  <c r="U335" i="4"/>
  <c r="U146" i="4"/>
  <c r="U328" i="4"/>
  <c r="U331" i="4"/>
  <c r="U336" i="4"/>
  <c r="S332" i="4"/>
  <c r="S333" i="4"/>
  <c r="S334" i="4"/>
  <c r="S335" i="4"/>
  <c r="S146" i="4"/>
  <c r="S328" i="4"/>
  <c r="S331" i="4"/>
  <c r="S336" i="4"/>
  <c r="Q332" i="4"/>
  <c r="Q333" i="4"/>
  <c r="Q334" i="4"/>
  <c r="Q335" i="4"/>
  <c r="Q328" i="4"/>
  <c r="Q329" i="4"/>
  <c r="Q331" i="4"/>
  <c r="Q336" i="4"/>
  <c r="O220" i="4"/>
  <c r="Q220" i="4"/>
  <c r="S220" i="4"/>
  <c r="U220" i="4"/>
  <c r="W220" i="4"/>
  <c r="O221" i="4"/>
  <c r="Q221" i="4"/>
  <c r="S221" i="4"/>
  <c r="U221" i="4"/>
  <c r="W221" i="4"/>
  <c r="O222" i="4"/>
  <c r="Q222" i="4"/>
  <c r="S222" i="4"/>
  <c r="U222" i="4"/>
  <c r="W222" i="4"/>
  <c r="M225" i="4"/>
  <c r="O225" i="4"/>
  <c r="Q225" i="4"/>
  <c r="S225" i="4"/>
  <c r="U225" i="4"/>
  <c r="W225" i="4"/>
  <c r="M269" i="4"/>
  <c r="N262" i="4"/>
  <c r="N263" i="4"/>
  <c r="N264" i="4"/>
  <c r="N265" i="4"/>
  <c r="N266" i="4"/>
  <c r="N267" i="4"/>
  <c r="N268" i="4"/>
  <c r="N269" i="4"/>
  <c r="O269" i="4"/>
  <c r="Q269" i="4"/>
  <c r="S269" i="4"/>
  <c r="U269" i="4"/>
  <c r="W269" i="4"/>
  <c r="M268" i="4"/>
  <c r="O268" i="4"/>
  <c r="Q268" i="4"/>
  <c r="S268" i="4"/>
  <c r="U268" i="4"/>
  <c r="W268" i="4"/>
  <c r="M267" i="4"/>
  <c r="O267" i="4"/>
  <c r="Q267" i="4"/>
  <c r="S267" i="4"/>
  <c r="U267" i="4"/>
  <c r="W267" i="4"/>
  <c r="M266" i="4"/>
  <c r="O266" i="4"/>
  <c r="Q266" i="4"/>
  <c r="S266" i="4"/>
  <c r="U266" i="4"/>
  <c r="W266" i="4"/>
  <c r="M265" i="4"/>
  <c r="O265" i="4"/>
  <c r="Q265" i="4"/>
  <c r="S265" i="4"/>
  <c r="U265" i="4"/>
  <c r="W265" i="4"/>
  <c r="M264" i="4"/>
  <c r="O264" i="4"/>
  <c r="Q264" i="4"/>
  <c r="S264" i="4"/>
  <c r="U264" i="4"/>
  <c r="W264" i="4"/>
  <c r="M263" i="4"/>
  <c r="O263" i="4"/>
  <c r="Q263" i="4"/>
  <c r="S263" i="4"/>
  <c r="U263" i="4"/>
  <c r="W263" i="4"/>
  <c r="O262" i="4"/>
  <c r="Q262" i="4"/>
  <c r="S262" i="4"/>
  <c r="U262" i="4"/>
  <c r="W262" i="4"/>
  <c r="O261" i="4"/>
  <c r="Q261" i="4"/>
  <c r="S261" i="4"/>
  <c r="U261" i="4"/>
  <c r="W261" i="4"/>
  <c r="O186" i="4"/>
  <c r="Q186" i="4"/>
  <c r="S186" i="4"/>
  <c r="U186" i="4"/>
  <c r="W186" i="4"/>
  <c r="O187" i="4"/>
  <c r="Q187" i="4"/>
  <c r="S187" i="4"/>
  <c r="U187" i="4"/>
  <c r="W187" i="4"/>
  <c r="O188" i="4"/>
  <c r="Q188" i="4"/>
  <c r="S188" i="4"/>
  <c r="U188" i="4"/>
  <c r="W188" i="4"/>
  <c r="O189" i="4"/>
  <c r="Q189" i="4"/>
  <c r="S189" i="4"/>
  <c r="U189" i="4"/>
  <c r="W189" i="4"/>
  <c r="O149" i="4"/>
  <c r="Q149" i="4"/>
  <c r="S149" i="4"/>
  <c r="U149" i="4"/>
  <c r="W149" i="4"/>
  <c r="O155" i="4"/>
  <c r="Q155" i="4"/>
  <c r="S155" i="4"/>
  <c r="U155" i="4"/>
  <c r="W155" i="4"/>
  <c r="O173" i="4"/>
  <c r="Q173" i="4"/>
  <c r="S173" i="4"/>
  <c r="U173" i="4"/>
  <c r="W173" i="4"/>
  <c r="O185" i="4"/>
  <c r="Q185" i="4"/>
  <c r="S185" i="4"/>
  <c r="U185" i="4"/>
  <c r="W185" i="4"/>
  <c r="M226" i="4"/>
  <c r="O226" i="4"/>
  <c r="U226" i="4"/>
  <c r="M229" i="4"/>
  <c r="O229" i="4"/>
  <c r="U229" i="4"/>
  <c r="M230" i="4"/>
  <c r="O230" i="4"/>
  <c r="U230" i="4"/>
  <c r="O231" i="4"/>
  <c r="U231" i="4"/>
  <c r="M190" i="4"/>
  <c r="O190" i="4"/>
  <c r="U190" i="4"/>
  <c r="M191" i="4"/>
  <c r="O191" i="4"/>
  <c r="U191" i="4"/>
  <c r="M192" i="4"/>
  <c r="O192" i="4"/>
  <c r="U192" i="4"/>
  <c r="M193" i="4"/>
  <c r="O193" i="4"/>
  <c r="U193" i="4"/>
  <c r="S226" i="4"/>
  <c r="S229" i="4"/>
  <c r="S230" i="4"/>
  <c r="S231" i="4"/>
  <c r="S190" i="4"/>
  <c r="S191" i="4"/>
  <c r="S192" i="4"/>
  <c r="S193" i="4"/>
  <c r="M152" i="4"/>
  <c r="O152" i="4"/>
  <c r="Q152" i="4"/>
  <c r="O153" i="4"/>
  <c r="Q153" i="4"/>
  <c r="M154" i="4"/>
  <c r="O154" i="4"/>
  <c r="Q154" i="4"/>
  <c r="O156" i="4"/>
  <c r="Q156" i="4"/>
  <c r="O172" i="4"/>
  <c r="Q172" i="4"/>
  <c r="M171" i="4"/>
  <c r="O171" i="4"/>
  <c r="Q171" i="4"/>
  <c r="M170" i="4"/>
  <c r="O170" i="4"/>
  <c r="Q170" i="4"/>
  <c r="O169" i="4"/>
  <c r="Q169" i="4"/>
  <c r="M168" i="4"/>
  <c r="O168" i="4"/>
  <c r="Q168" i="4"/>
  <c r="O167" i="4"/>
  <c r="Q167" i="4"/>
  <c r="O166" i="4"/>
  <c r="Q166" i="4"/>
  <c r="M165" i="4"/>
  <c r="O165" i="4"/>
  <c r="Q165" i="4"/>
  <c r="M164" i="4"/>
  <c r="O164" i="4"/>
  <c r="Q164" i="4"/>
  <c r="O163" i="4"/>
  <c r="Q163" i="4"/>
  <c r="M162" i="4"/>
  <c r="O162" i="4"/>
  <c r="Q162" i="4"/>
  <c r="M161" i="4"/>
  <c r="O161" i="4"/>
  <c r="Q161" i="4"/>
  <c r="M160" i="4"/>
  <c r="O160" i="4"/>
  <c r="Q160" i="4"/>
  <c r="O159" i="4"/>
  <c r="Q159" i="4"/>
  <c r="M158" i="4"/>
  <c r="O158" i="4"/>
  <c r="Q158" i="4"/>
  <c r="M157" i="4"/>
  <c r="O157" i="4"/>
  <c r="Q157" i="4"/>
  <c r="Q195" i="4"/>
  <c r="O198" i="4"/>
  <c r="Q198" i="4"/>
  <c r="N199" i="4"/>
  <c r="O199" i="4"/>
  <c r="Q199" i="4"/>
  <c r="N200" i="4"/>
  <c r="O200" i="4"/>
  <c r="Q200" i="4"/>
  <c r="O201" i="4"/>
  <c r="Q201" i="4"/>
  <c r="O216" i="4"/>
  <c r="Q216" i="4"/>
  <c r="O215" i="4"/>
  <c r="Q215" i="4"/>
  <c r="O213" i="4"/>
  <c r="Q213" i="4"/>
  <c r="O212" i="4"/>
  <c r="Q212" i="4"/>
  <c r="M207" i="4"/>
  <c r="O207" i="4"/>
  <c r="Q207" i="4"/>
  <c r="M206" i="4"/>
  <c r="O206" i="4"/>
  <c r="Q206" i="4"/>
  <c r="O205" i="4"/>
  <c r="Q205" i="4"/>
  <c r="O204" i="4"/>
  <c r="Q204" i="4"/>
  <c r="O203" i="4"/>
  <c r="Q203" i="4"/>
  <c r="O202" i="4"/>
  <c r="Q202" i="4"/>
  <c r="Q218" i="4"/>
  <c r="O235" i="4"/>
  <c r="Q235" i="4"/>
  <c r="O242" i="4"/>
  <c r="Q242" i="4"/>
  <c r="O243" i="4"/>
  <c r="Q243" i="4"/>
  <c r="O244" i="4"/>
  <c r="Q244" i="4"/>
  <c r="M245" i="4"/>
  <c r="O245" i="4"/>
  <c r="Q245" i="4"/>
  <c r="O256" i="4"/>
  <c r="Q256" i="4"/>
  <c r="O255" i="4"/>
  <c r="Q255" i="4"/>
  <c r="O254" i="4"/>
  <c r="Q254" i="4"/>
  <c r="O248" i="4"/>
  <c r="Q248" i="4"/>
  <c r="Q258" i="4"/>
  <c r="Q305" i="4"/>
  <c r="Q306" i="4"/>
  <c r="O308" i="4"/>
  <c r="Q308" i="4"/>
  <c r="O309" i="4"/>
  <c r="Q309" i="4"/>
  <c r="O310" i="4"/>
  <c r="Q310" i="4"/>
  <c r="Q314" i="4"/>
  <c r="Q330" i="4"/>
  <c r="W329" i="4"/>
  <c r="U329" i="4"/>
  <c r="S329" i="4"/>
  <c r="W325" i="4"/>
  <c r="W145" i="4"/>
  <c r="W318" i="4"/>
  <c r="W319" i="4"/>
  <c r="W321" i="4"/>
  <c r="W326" i="4"/>
  <c r="U325" i="4"/>
  <c r="U145" i="4"/>
  <c r="U318" i="4"/>
  <c r="U319" i="4"/>
  <c r="U321" i="4"/>
  <c r="U326" i="4"/>
  <c r="S325" i="4"/>
  <c r="S145" i="4"/>
  <c r="S318" i="4"/>
  <c r="S319" i="4"/>
  <c r="S321" i="4"/>
  <c r="S326" i="4"/>
  <c r="Q325" i="4"/>
  <c r="L23" i="4"/>
  <c r="M23" i="4"/>
  <c r="O23" i="4"/>
  <c r="Q23" i="4"/>
  <c r="L24" i="4"/>
  <c r="O24" i="4"/>
  <c r="Q24" i="4"/>
  <c r="L28" i="4"/>
  <c r="M28" i="4"/>
  <c r="O28" i="4"/>
  <c r="Q28" i="4"/>
  <c r="L29" i="4"/>
  <c r="O29" i="4"/>
  <c r="Q29" i="4"/>
  <c r="O42" i="4"/>
  <c r="Q42" i="4"/>
  <c r="L39" i="4"/>
  <c r="O39" i="4"/>
  <c r="Q39" i="4"/>
  <c r="L38" i="4"/>
  <c r="M38" i="4"/>
  <c r="O38" i="4"/>
  <c r="Q38" i="4"/>
  <c r="L34" i="4"/>
  <c r="O34" i="4"/>
  <c r="Q34" i="4"/>
  <c r="L33" i="4"/>
  <c r="M33" i="4"/>
  <c r="O33" i="4"/>
  <c r="Q33" i="4"/>
  <c r="O30" i="4"/>
  <c r="Q30" i="4"/>
  <c r="Q60" i="4"/>
  <c r="Q137" i="4"/>
  <c r="O124" i="4"/>
  <c r="Q124" i="4"/>
  <c r="M125" i="4"/>
  <c r="O125" i="4"/>
  <c r="Q125" i="4"/>
  <c r="M126" i="4"/>
  <c r="O126" i="4"/>
  <c r="Q126" i="4"/>
  <c r="Q129" i="4"/>
  <c r="Q118" i="4"/>
  <c r="Q114" i="4"/>
  <c r="Q142" i="4"/>
  <c r="Q75" i="4"/>
  <c r="Q98" i="4"/>
  <c r="M103" i="4"/>
  <c r="O103" i="4"/>
  <c r="Q103" i="4"/>
  <c r="O104" i="4"/>
  <c r="Q104" i="4"/>
  <c r="Q106" i="4"/>
  <c r="Q144" i="4"/>
  <c r="Q145" i="4"/>
  <c r="Q318" i="4"/>
  <c r="Q319" i="4"/>
  <c r="Q321" i="4"/>
  <c r="Q326" i="4"/>
  <c r="X320" i="4"/>
  <c r="Q320" i="4"/>
  <c r="Q315" i="4"/>
  <c r="AB315" i="4"/>
  <c r="AA315" i="4"/>
  <c r="S308" i="4"/>
  <c r="U308" i="4"/>
  <c r="W308" i="4"/>
  <c r="S309" i="4"/>
  <c r="U309" i="4"/>
  <c r="W309" i="4"/>
  <c r="S310" i="4"/>
  <c r="U310" i="4"/>
  <c r="W310" i="4"/>
  <c r="W314" i="4"/>
  <c r="U314" i="4"/>
  <c r="S314" i="4"/>
  <c r="V310" i="4"/>
  <c r="V309" i="4"/>
  <c r="Z308" i="4"/>
  <c r="V308" i="4"/>
  <c r="V269" i="4"/>
  <c r="V268" i="4"/>
  <c r="V267" i="4"/>
  <c r="V266" i="4"/>
  <c r="V265" i="4"/>
  <c r="V264" i="4"/>
  <c r="V263" i="4"/>
  <c r="V262" i="4"/>
  <c r="V261" i="4"/>
  <c r="N223" i="4"/>
  <c r="O223" i="4"/>
  <c r="Q223" i="4"/>
  <c r="N224" i="4"/>
  <c r="O224" i="4"/>
  <c r="Q224" i="4"/>
  <c r="Q226" i="4"/>
  <c r="M227" i="4"/>
  <c r="O227" i="4"/>
  <c r="Q227" i="4"/>
  <c r="O234" i="4"/>
  <c r="Q234" i="4"/>
  <c r="O233" i="4"/>
  <c r="Q233" i="4"/>
  <c r="O232" i="4"/>
  <c r="Q232" i="4"/>
  <c r="Q231" i="4"/>
  <c r="Q230" i="4"/>
  <c r="Q229" i="4"/>
  <c r="M228" i="4"/>
  <c r="O228" i="4"/>
  <c r="Q228" i="4"/>
  <c r="Q236" i="4"/>
  <c r="Y234" i="4"/>
  <c r="Z234" i="4"/>
  <c r="AB231" i="4"/>
  <c r="Y231" i="4"/>
  <c r="Z231" i="4"/>
  <c r="V225" i="4"/>
  <c r="Y223" i="4"/>
  <c r="Y222" i="4"/>
  <c r="Z222" i="4"/>
  <c r="V222" i="4"/>
  <c r="Y221" i="4"/>
  <c r="Z221" i="4"/>
  <c r="V221" i="4"/>
  <c r="Y220" i="4"/>
  <c r="Z220" i="4"/>
  <c r="V220" i="4"/>
  <c r="M214" i="4"/>
  <c r="M194" i="4"/>
  <c r="O194" i="4"/>
  <c r="Q194" i="4"/>
  <c r="Q193" i="4"/>
  <c r="Q192" i="4"/>
  <c r="Q191" i="4"/>
  <c r="Q190" i="4"/>
  <c r="V189" i="4"/>
  <c r="V188" i="4"/>
  <c r="V187" i="4"/>
  <c r="V186" i="4"/>
  <c r="V185" i="4"/>
  <c r="M184" i="4"/>
  <c r="M183" i="4"/>
  <c r="M182" i="4"/>
  <c r="M181" i="4"/>
  <c r="M180" i="4"/>
  <c r="M176" i="4"/>
  <c r="V173" i="4"/>
  <c r="Z155" i="4"/>
  <c r="V155" i="4"/>
  <c r="AA149" i="4"/>
  <c r="V149" i="4"/>
  <c r="AB145" i="4"/>
  <c r="AB144" i="4"/>
  <c r="V143" i="4"/>
  <c r="AB142" i="4"/>
  <c r="V141" i="4"/>
  <c r="AB129" i="4"/>
  <c r="AA129" i="4"/>
  <c r="AA126" i="4"/>
  <c r="AA125" i="4"/>
  <c r="AA124" i="4"/>
  <c r="M120" i="4"/>
  <c r="V113" i="4"/>
  <c r="V111" i="4"/>
  <c r="V109" i="4"/>
  <c r="V105" i="4"/>
  <c r="M101" i="4"/>
  <c r="M65" i="4"/>
  <c r="M64" i="4"/>
  <c r="AB60" i="4"/>
  <c r="AA60" i="4"/>
  <c r="V52" i="4"/>
  <c r="V51" i="4"/>
  <c r="V50" i="4"/>
  <c r="V49" i="4"/>
  <c r="V48" i="4"/>
  <c r="V47" i="4"/>
  <c r="V46" i="4"/>
  <c r="V45" i="4"/>
  <c r="V44" i="4"/>
  <c r="V43" i="4"/>
  <c r="V41" i="4"/>
  <c r="V40" i="4"/>
  <c r="AA38" i="4"/>
  <c r="AA37" i="4"/>
  <c r="Y37" i="4"/>
  <c r="V37" i="4"/>
  <c r="AA36" i="4"/>
  <c r="Y36" i="4"/>
  <c r="V36" i="4"/>
  <c r="AA33" i="4"/>
  <c r="AA32" i="4"/>
  <c r="V32" i="4"/>
  <c r="AA31" i="4"/>
  <c r="V31" i="4"/>
  <c r="AA30" i="4"/>
  <c r="AA28" i="4"/>
  <c r="AA27" i="4"/>
  <c r="AC27" i="4"/>
  <c r="Y27" i="4"/>
  <c r="Z27" i="4"/>
  <c r="V27" i="4"/>
  <c r="AA26" i="4"/>
  <c r="V26" i="4"/>
  <c r="AA23" i="4"/>
  <c r="AA22" i="4"/>
  <c r="Y22" i="4"/>
  <c r="V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V7" i="4"/>
  <c r="W349" i="3"/>
  <c r="W350" i="3"/>
  <c r="W351" i="3"/>
  <c r="W352" i="3"/>
  <c r="O8" i="3"/>
  <c r="Q8" i="3"/>
  <c r="S8" i="3"/>
  <c r="U8" i="3"/>
  <c r="W8" i="3"/>
  <c r="L23" i="3"/>
  <c r="M23" i="3"/>
  <c r="O23" i="3"/>
  <c r="Q23" i="3"/>
  <c r="S23" i="3"/>
  <c r="U23" i="3"/>
  <c r="W23" i="3"/>
  <c r="O27" i="3"/>
  <c r="Q27" i="3"/>
  <c r="S27" i="3"/>
  <c r="U27" i="3"/>
  <c r="W27" i="3"/>
  <c r="O28" i="3"/>
  <c r="Q28" i="3"/>
  <c r="S28" i="3"/>
  <c r="U28" i="3"/>
  <c r="W28" i="3"/>
  <c r="O157" i="3"/>
  <c r="Q157" i="3"/>
  <c r="S157" i="3"/>
  <c r="U157" i="3"/>
  <c r="W157" i="3"/>
  <c r="M156" i="3"/>
  <c r="O156" i="3"/>
  <c r="Q156" i="3"/>
  <c r="S156" i="3"/>
  <c r="U156" i="3"/>
  <c r="W156" i="3"/>
  <c r="M128" i="3"/>
  <c r="O128" i="3"/>
  <c r="Q128" i="3"/>
  <c r="S128" i="3"/>
  <c r="U128" i="3"/>
  <c r="W128" i="3"/>
  <c r="M126" i="3"/>
  <c r="O126" i="3"/>
  <c r="Q126" i="3"/>
  <c r="S126" i="3"/>
  <c r="U126" i="3"/>
  <c r="W126" i="3"/>
  <c r="M124" i="3"/>
  <c r="O124" i="3"/>
  <c r="Q124" i="3"/>
  <c r="S124" i="3"/>
  <c r="U124" i="3"/>
  <c r="W124" i="3"/>
  <c r="L120" i="3"/>
  <c r="M120" i="3"/>
  <c r="O120" i="3"/>
  <c r="Q120" i="3"/>
  <c r="S120" i="3"/>
  <c r="U120" i="3"/>
  <c r="W120" i="3"/>
  <c r="P56" i="3"/>
  <c r="O56" i="3"/>
  <c r="Q56" i="3"/>
  <c r="S56" i="3"/>
  <c r="U56" i="3"/>
  <c r="W56" i="3"/>
  <c r="M55" i="3"/>
  <c r="O55" i="3"/>
  <c r="Q55" i="3"/>
  <c r="S55" i="3"/>
  <c r="U55" i="3"/>
  <c r="W55" i="3"/>
  <c r="M54" i="3"/>
  <c r="O54" i="3"/>
  <c r="Q54" i="3"/>
  <c r="S54" i="3"/>
  <c r="U54" i="3"/>
  <c r="W54" i="3"/>
  <c r="M53" i="3"/>
  <c r="O53" i="3"/>
  <c r="Q53" i="3"/>
  <c r="S53" i="3"/>
  <c r="U53" i="3"/>
  <c r="W53" i="3"/>
  <c r="M52" i="3"/>
  <c r="O52" i="3"/>
  <c r="Q52" i="3"/>
  <c r="S52" i="3"/>
  <c r="U52" i="3"/>
  <c r="W52" i="3"/>
  <c r="M51" i="3"/>
  <c r="O51" i="3"/>
  <c r="Q51" i="3"/>
  <c r="S51" i="3"/>
  <c r="U51" i="3"/>
  <c r="W51" i="3"/>
  <c r="M50" i="3"/>
  <c r="O50" i="3"/>
  <c r="Q50" i="3"/>
  <c r="S50" i="3"/>
  <c r="U50" i="3"/>
  <c r="W50" i="3"/>
  <c r="O49" i="3"/>
  <c r="Q49" i="3"/>
  <c r="S49" i="3"/>
  <c r="U49" i="3"/>
  <c r="W49" i="3"/>
  <c r="O48" i="3"/>
  <c r="Q48" i="3"/>
  <c r="S48" i="3"/>
  <c r="U48" i="3"/>
  <c r="W48" i="3"/>
  <c r="O47" i="3"/>
  <c r="Q47" i="3"/>
  <c r="S47" i="3"/>
  <c r="U47" i="3"/>
  <c r="W47" i="3"/>
  <c r="O45" i="3"/>
  <c r="Q45" i="3"/>
  <c r="S45" i="3"/>
  <c r="U45" i="3"/>
  <c r="W45" i="3"/>
  <c r="O44" i="3"/>
  <c r="Q44" i="3"/>
  <c r="S44" i="3"/>
  <c r="U44" i="3"/>
  <c r="W44" i="3"/>
  <c r="O41" i="3"/>
  <c r="Q41" i="3"/>
  <c r="S41" i="3"/>
  <c r="U41" i="3"/>
  <c r="W41" i="3"/>
  <c r="L40" i="3"/>
  <c r="O40" i="3"/>
  <c r="Q40" i="3"/>
  <c r="S40" i="3"/>
  <c r="U40" i="3"/>
  <c r="W40" i="3"/>
  <c r="M36" i="3"/>
  <c r="O36" i="3"/>
  <c r="Q36" i="3"/>
  <c r="S36" i="3"/>
  <c r="U36" i="3"/>
  <c r="W36" i="3"/>
  <c r="O32" i="3"/>
  <c r="Q32" i="3"/>
  <c r="S32" i="3"/>
  <c r="U32" i="3"/>
  <c r="W32" i="3"/>
  <c r="W160" i="3"/>
  <c r="W345" i="3"/>
  <c r="W348" i="3"/>
  <c r="W353" i="3"/>
  <c r="U349" i="3"/>
  <c r="U350" i="3"/>
  <c r="U351" i="3"/>
  <c r="U352" i="3"/>
  <c r="U160" i="3"/>
  <c r="U345" i="3"/>
  <c r="U348" i="3"/>
  <c r="U353" i="3"/>
  <c r="S349" i="3"/>
  <c r="S350" i="3"/>
  <c r="S351" i="3"/>
  <c r="S352" i="3"/>
  <c r="S160" i="3"/>
  <c r="S345" i="3"/>
  <c r="S348" i="3"/>
  <c r="S353" i="3"/>
  <c r="Q349" i="3"/>
  <c r="Q350" i="3"/>
  <c r="Q351" i="3"/>
  <c r="Q352" i="3"/>
  <c r="Q345" i="3"/>
  <c r="O213" i="3"/>
  <c r="Q213" i="3"/>
  <c r="N214" i="3"/>
  <c r="O214" i="3"/>
  <c r="Q214" i="3"/>
  <c r="N215" i="3"/>
  <c r="O215" i="3"/>
  <c r="Q215" i="3"/>
  <c r="M216" i="3"/>
  <c r="O216" i="3"/>
  <c r="Q216" i="3"/>
  <c r="M222" i="3"/>
  <c r="O222" i="3"/>
  <c r="M221" i="3"/>
  <c r="O221" i="3"/>
  <c r="M168" i="3"/>
  <c r="O168" i="3"/>
  <c r="M240" i="3"/>
  <c r="O240" i="3"/>
  <c r="M285" i="3"/>
  <c r="N278" i="3"/>
  <c r="N279" i="3"/>
  <c r="N280" i="3"/>
  <c r="N281" i="3"/>
  <c r="N282" i="3"/>
  <c r="N283" i="3"/>
  <c r="N284" i="3"/>
  <c r="N285" i="3"/>
  <c r="O285" i="3"/>
  <c r="L266" i="3"/>
  <c r="M266" i="3"/>
  <c r="O266" i="3"/>
  <c r="L265" i="3"/>
  <c r="M265" i="3"/>
  <c r="O265" i="3"/>
  <c r="M244" i="3"/>
  <c r="O244" i="3"/>
  <c r="O243" i="3"/>
  <c r="M242" i="3"/>
  <c r="O242" i="3"/>
  <c r="L241" i="3"/>
  <c r="M241" i="3"/>
  <c r="O241" i="3"/>
  <c r="L227" i="3"/>
  <c r="L230" i="3"/>
  <c r="L231" i="3"/>
  <c r="O231" i="3"/>
  <c r="Q231" i="3"/>
  <c r="O230" i="3"/>
  <c r="Q230" i="3"/>
  <c r="L228" i="3"/>
  <c r="O228" i="3"/>
  <c r="Q228" i="3"/>
  <c r="O227" i="3"/>
  <c r="Q227" i="3"/>
  <c r="Q222" i="3"/>
  <c r="Q221" i="3"/>
  <c r="M220" i="3"/>
  <c r="O220" i="3"/>
  <c r="Q220" i="3"/>
  <c r="M219" i="3"/>
  <c r="O219" i="3"/>
  <c r="Q219" i="3"/>
  <c r="M218" i="3"/>
  <c r="O218" i="3"/>
  <c r="Q218" i="3"/>
  <c r="M217" i="3"/>
  <c r="O217" i="3"/>
  <c r="Q217" i="3"/>
  <c r="Q233" i="3"/>
  <c r="Q346" i="3"/>
  <c r="O163" i="3"/>
  <c r="Q163" i="3"/>
  <c r="P166" i="3"/>
  <c r="M166" i="3"/>
  <c r="O166" i="3"/>
  <c r="Q166" i="3"/>
  <c r="O167" i="3"/>
  <c r="Q167" i="3"/>
  <c r="Q168" i="3"/>
  <c r="O188" i="3"/>
  <c r="Q188" i="3"/>
  <c r="O187" i="3"/>
  <c r="Q187" i="3"/>
  <c r="M186" i="3"/>
  <c r="O186" i="3"/>
  <c r="Q186" i="3"/>
  <c r="M185" i="3"/>
  <c r="O185" i="3"/>
  <c r="Q185" i="3"/>
  <c r="O184" i="3"/>
  <c r="Q184" i="3"/>
  <c r="M183" i="3"/>
  <c r="O183" i="3"/>
  <c r="Q183" i="3"/>
  <c r="O182" i="3"/>
  <c r="Q182" i="3"/>
  <c r="O181" i="3"/>
  <c r="Q181" i="3"/>
  <c r="M180" i="3"/>
  <c r="O180" i="3"/>
  <c r="Q180" i="3"/>
  <c r="M179" i="3"/>
  <c r="O179" i="3"/>
  <c r="Q179" i="3"/>
  <c r="O178" i="3"/>
  <c r="Q178" i="3"/>
  <c r="M177" i="3"/>
  <c r="O177" i="3"/>
  <c r="Q177" i="3"/>
  <c r="L176" i="3"/>
  <c r="M176" i="3"/>
  <c r="O176" i="3"/>
  <c r="Q176" i="3"/>
  <c r="M175" i="3"/>
  <c r="O175" i="3"/>
  <c r="Q175" i="3"/>
  <c r="O174" i="3"/>
  <c r="Q174" i="3"/>
  <c r="L173" i="3"/>
  <c r="O173" i="3"/>
  <c r="Q173" i="3"/>
  <c r="M172" i="3"/>
  <c r="O172" i="3"/>
  <c r="Q172" i="3"/>
  <c r="M171" i="3"/>
  <c r="O171" i="3"/>
  <c r="Q171" i="3"/>
  <c r="O169" i="3"/>
  <c r="L170" i="3"/>
  <c r="O170" i="3"/>
  <c r="Q170" i="3"/>
  <c r="Q169" i="3"/>
  <c r="Q210" i="3"/>
  <c r="O235" i="3"/>
  <c r="Q235" i="3"/>
  <c r="O236" i="3"/>
  <c r="Q236" i="3"/>
  <c r="O237" i="3"/>
  <c r="Q237" i="3"/>
  <c r="N238" i="3"/>
  <c r="O238" i="3"/>
  <c r="Q238" i="3"/>
  <c r="O250" i="3"/>
  <c r="Q250" i="3"/>
  <c r="O249" i="3"/>
  <c r="Q249" i="3"/>
  <c r="O248" i="3"/>
  <c r="Q248" i="3"/>
  <c r="O247" i="3"/>
  <c r="Q247" i="3"/>
  <c r="O246" i="3"/>
  <c r="Q246" i="3"/>
  <c r="O245" i="3"/>
  <c r="Q245" i="3"/>
  <c r="Q244" i="3"/>
  <c r="Q243" i="3"/>
  <c r="Q242" i="3"/>
  <c r="Q241" i="3"/>
  <c r="Q240" i="3"/>
  <c r="M239" i="3"/>
  <c r="N239" i="3"/>
  <c r="O239" i="3"/>
  <c r="Q239" i="3"/>
  <c r="Q251" i="3"/>
  <c r="O257" i="3"/>
  <c r="Q257" i="3"/>
  <c r="O258" i="3"/>
  <c r="Q258" i="3"/>
  <c r="O259" i="3"/>
  <c r="Q259" i="3"/>
  <c r="M260" i="3"/>
  <c r="O260" i="3"/>
  <c r="Q260" i="3"/>
  <c r="O272" i="3"/>
  <c r="Q272" i="3"/>
  <c r="O271" i="3"/>
  <c r="Q271" i="3"/>
  <c r="O270" i="3"/>
  <c r="Q270" i="3"/>
  <c r="Q266" i="3"/>
  <c r="Q265" i="3"/>
  <c r="L264" i="3"/>
  <c r="O264" i="3"/>
  <c r="Q264" i="3"/>
  <c r="O263" i="3"/>
  <c r="Q263" i="3"/>
  <c r="Q274" i="3"/>
  <c r="O277" i="3"/>
  <c r="Q277" i="3"/>
  <c r="O278" i="3"/>
  <c r="Q278" i="3"/>
  <c r="M279" i="3"/>
  <c r="O279" i="3"/>
  <c r="Q279" i="3"/>
  <c r="M280" i="3"/>
  <c r="O280" i="3"/>
  <c r="Q280" i="3"/>
  <c r="Q285" i="3"/>
  <c r="M284" i="3"/>
  <c r="O284" i="3"/>
  <c r="Q284" i="3"/>
  <c r="M283" i="3"/>
  <c r="O283" i="3"/>
  <c r="Q283" i="3"/>
  <c r="M282" i="3"/>
  <c r="O282" i="3"/>
  <c r="Q282" i="3"/>
  <c r="M281" i="3"/>
  <c r="O281" i="3"/>
  <c r="Q281" i="3"/>
  <c r="Q322" i="3"/>
  <c r="Q323" i="3"/>
  <c r="O325" i="3"/>
  <c r="Q325" i="3"/>
  <c r="O326" i="3"/>
  <c r="Q326" i="3"/>
  <c r="O327" i="3"/>
  <c r="Q327" i="3"/>
  <c r="O328" i="3"/>
  <c r="Q328" i="3"/>
  <c r="O329" i="3"/>
  <c r="Q329" i="3"/>
  <c r="Q331" i="3"/>
  <c r="Q347" i="3"/>
  <c r="Q348" i="3"/>
  <c r="Q353" i="3"/>
  <c r="S235" i="3"/>
  <c r="U235" i="3"/>
  <c r="W235" i="3"/>
  <c r="S236" i="3"/>
  <c r="U236" i="3"/>
  <c r="W236" i="3"/>
  <c r="S237" i="3"/>
  <c r="U237" i="3"/>
  <c r="W237" i="3"/>
  <c r="S240" i="3"/>
  <c r="U240" i="3"/>
  <c r="W240" i="3"/>
  <c r="S285" i="3"/>
  <c r="U285" i="3"/>
  <c r="W285" i="3"/>
  <c r="S284" i="3"/>
  <c r="U284" i="3"/>
  <c r="W284" i="3"/>
  <c r="S283" i="3"/>
  <c r="U283" i="3"/>
  <c r="W283" i="3"/>
  <c r="S282" i="3"/>
  <c r="U282" i="3"/>
  <c r="W282" i="3"/>
  <c r="S281" i="3"/>
  <c r="U281" i="3"/>
  <c r="W281" i="3"/>
  <c r="S280" i="3"/>
  <c r="U280" i="3"/>
  <c r="W280" i="3"/>
  <c r="S279" i="3"/>
  <c r="U279" i="3"/>
  <c r="W279" i="3"/>
  <c r="S278" i="3"/>
  <c r="U278" i="3"/>
  <c r="W278" i="3"/>
  <c r="S277" i="3"/>
  <c r="U277" i="3"/>
  <c r="W277" i="3"/>
  <c r="O201" i="3"/>
  <c r="Q201" i="3"/>
  <c r="S201" i="3"/>
  <c r="U201" i="3"/>
  <c r="W201" i="3"/>
  <c r="O202" i="3"/>
  <c r="Q202" i="3"/>
  <c r="S202" i="3"/>
  <c r="U202" i="3"/>
  <c r="W202" i="3"/>
  <c r="O203" i="3"/>
  <c r="Q203" i="3"/>
  <c r="S203" i="3"/>
  <c r="U203" i="3"/>
  <c r="W203" i="3"/>
  <c r="O204" i="3"/>
  <c r="Q204" i="3"/>
  <c r="S204" i="3"/>
  <c r="U204" i="3"/>
  <c r="W204" i="3"/>
  <c r="S163" i="3"/>
  <c r="U163" i="3"/>
  <c r="W163" i="3"/>
  <c r="S169" i="3"/>
  <c r="U169" i="3"/>
  <c r="W169" i="3"/>
  <c r="S174" i="3"/>
  <c r="W174" i="3"/>
  <c r="W233" i="3"/>
  <c r="S231" i="3"/>
  <c r="U231" i="3"/>
  <c r="W231" i="3"/>
  <c r="S230" i="3"/>
  <c r="U230" i="3"/>
  <c r="W230" i="3"/>
  <c r="S227" i="3"/>
  <c r="U227" i="3"/>
  <c r="W227" i="3"/>
  <c r="S222" i="3"/>
  <c r="U222" i="3"/>
  <c r="W222" i="3"/>
  <c r="S213" i="3"/>
  <c r="U213" i="3"/>
  <c r="W213" i="3"/>
  <c r="M209" i="3"/>
  <c r="O209" i="3"/>
  <c r="Q209" i="3"/>
  <c r="S209" i="3"/>
  <c r="U209" i="3"/>
  <c r="W209" i="3"/>
  <c r="M208" i="3"/>
  <c r="O208" i="3"/>
  <c r="Q208" i="3"/>
  <c r="S208" i="3"/>
  <c r="U208" i="3"/>
  <c r="W208" i="3"/>
  <c r="M207" i="3"/>
  <c r="O207" i="3"/>
  <c r="Q207" i="3"/>
  <c r="S207" i="3"/>
  <c r="U207" i="3"/>
  <c r="W207" i="3"/>
  <c r="M206" i="3"/>
  <c r="O206" i="3"/>
  <c r="Q206" i="3"/>
  <c r="S206" i="3"/>
  <c r="U206" i="3"/>
  <c r="W206" i="3"/>
  <c r="M205" i="3"/>
  <c r="O205" i="3"/>
  <c r="Q205" i="3"/>
  <c r="S205" i="3"/>
  <c r="U205" i="3"/>
  <c r="W205" i="3"/>
  <c r="W274" i="3"/>
  <c r="S270" i="3"/>
  <c r="U270" i="3"/>
  <c r="W270" i="3"/>
  <c r="S258" i="3"/>
  <c r="U258" i="3"/>
  <c r="W258" i="3"/>
  <c r="S257" i="3"/>
  <c r="U257" i="3"/>
  <c r="W257" i="3"/>
  <c r="S188" i="3"/>
  <c r="U188" i="3"/>
  <c r="W188" i="3"/>
  <c r="O200" i="3"/>
  <c r="Q200" i="3"/>
  <c r="S200" i="3"/>
  <c r="U200" i="3"/>
  <c r="W200" i="3"/>
  <c r="W251" i="3"/>
  <c r="S250" i="3"/>
  <c r="U250" i="3"/>
  <c r="W250" i="3"/>
  <c r="S249" i="3"/>
  <c r="U249" i="3"/>
  <c r="W249" i="3"/>
  <c r="S248" i="3"/>
  <c r="U248" i="3"/>
  <c r="W248" i="3"/>
  <c r="S246" i="3"/>
  <c r="U246" i="3"/>
  <c r="W246" i="3"/>
  <c r="S245" i="3"/>
  <c r="U245" i="3"/>
  <c r="W245" i="3"/>
  <c r="S244" i="3"/>
  <c r="U244" i="3"/>
  <c r="W244" i="3"/>
  <c r="S241" i="3"/>
  <c r="U241" i="3"/>
  <c r="W241" i="3"/>
  <c r="W323" i="3"/>
  <c r="S325" i="3"/>
  <c r="U325" i="3"/>
  <c r="W325" i="3"/>
  <c r="S326" i="3"/>
  <c r="U326" i="3"/>
  <c r="W326" i="3"/>
  <c r="S327" i="3"/>
  <c r="U327" i="3"/>
  <c r="W327" i="3"/>
  <c r="W331" i="3"/>
  <c r="W347" i="3"/>
  <c r="U174" i="3"/>
  <c r="U233" i="3"/>
  <c r="U251" i="3"/>
  <c r="U323" i="3"/>
  <c r="U331" i="3"/>
  <c r="U347" i="3"/>
  <c r="S233" i="3"/>
  <c r="S251" i="3"/>
  <c r="S323" i="3"/>
  <c r="S328" i="3"/>
  <c r="S329" i="3"/>
  <c r="S331" i="3"/>
  <c r="S347" i="3"/>
  <c r="W346" i="3"/>
  <c r="U346" i="3"/>
  <c r="S346" i="3"/>
  <c r="W342" i="3"/>
  <c r="W159" i="3"/>
  <c r="W335" i="3"/>
  <c r="W336" i="3"/>
  <c r="W338" i="3"/>
  <c r="W343" i="3"/>
  <c r="U342" i="3"/>
  <c r="U159" i="3"/>
  <c r="U335" i="3"/>
  <c r="U336" i="3"/>
  <c r="U338" i="3"/>
  <c r="U343" i="3"/>
  <c r="S342" i="3"/>
  <c r="S159" i="3"/>
  <c r="S335" i="3"/>
  <c r="S336" i="3"/>
  <c r="S338" i="3"/>
  <c r="S343" i="3"/>
  <c r="Q342" i="3"/>
  <c r="L24" i="3"/>
  <c r="M24" i="3"/>
  <c r="O24" i="3"/>
  <c r="Q24" i="3"/>
  <c r="L25" i="3"/>
  <c r="O25" i="3"/>
  <c r="Q25" i="3"/>
  <c r="L29" i="3"/>
  <c r="M29" i="3"/>
  <c r="O29" i="3"/>
  <c r="Q29" i="3"/>
  <c r="L30" i="3"/>
  <c r="O30" i="3"/>
  <c r="Q30" i="3"/>
  <c r="O67" i="3"/>
  <c r="Q67" i="3"/>
  <c r="O66" i="3"/>
  <c r="Q66" i="3"/>
  <c r="O65" i="3"/>
  <c r="Q65" i="3"/>
  <c r="O64" i="3"/>
  <c r="Q64" i="3"/>
  <c r="O63" i="3"/>
  <c r="Q63" i="3"/>
  <c r="O62" i="3"/>
  <c r="Q62" i="3"/>
  <c r="O61" i="3"/>
  <c r="Q61" i="3"/>
  <c r="M60" i="3"/>
  <c r="O60" i="3"/>
  <c r="Q60" i="3"/>
  <c r="O59" i="3"/>
  <c r="Q59" i="3"/>
  <c r="O58" i="3"/>
  <c r="Q58" i="3"/>
  <c r="O57" i="3"/>
  <c r="Q57" i="3"/>
  <c r="O46" i="3"/>
  <c r="Q46" i="3"/>
  <c r="L43" i="3"/>
  <c r="O43" i="3"/>
  <c r="Q43" i="3"/>
  <c r="L42" i="3"/>
  <c r="M42" i="3"/>
  <c r="O42" i="3"/>
  <c r="Q42" i="3"/>
  <c r="L38" i="3"/>
  <c r="O38" i="3"/>
  <c r="Q38" i="3"/>
  <c r="L37" i="3"/>
  <c r="M37" i="3"/>
  <c r="O37" i="3"/>
  <c r="Q37" i="3"/>
  <c r="O33" i="3"/>
  <c r="L35" i="3"/>
  <c r="O35" i="3"/>
  <c r="Q35" i="3"/>
  <c r="L34" i="3"/>
  <c r="M34" i="3"/>
  <c r="O34" i="3"/>
  <c r="Q34" i="3"/>
  <c r="Q33" i="3"/>
  <c r="O31" i="3"/>
  <c r="Q31" i="3"/>
  <c r="Q75" i="3"/>
  <c r="Q152" i="3"/>
  <c r="O139" i="3"/>
  <c r="Q139" i="3"/>
  <c r="O140" i="3"/>
  <c r="Q140" i="3"/>
  <c r="M141" i="3"/>
  <c r="O141" i="3"/>
  <c r="Q141" i="3"/>
  <c r="Q144" i="3"/>
  <c r="Q133" i="3"/>
  <c r="O125" i="3"/>
  <c r="Q125" i="3"/>
  <c r="O127" i="3"/>
  <c r="Q127" i="3"/>
  <c r="Q129" i="3"/>
  <c r="Q90" i="3"/>
  <c r="Q113" i="3"/>
  <c r="M118" i="3"/>
  <c r="O118" i="3"/>
  <c r="Q118" i="3"/>
  <c r="O119" i="3"/>
  <c r="Q119" i="3"/>
  <c r="Q121" i="3"/>
  <c r="Q158" i="3"/>
  <c r="Q159" i="3"/>
  <c r="Q335" i="3"/>
  <c r="Q336" i="3"/>
  <c r="Q337" i="3"/>
  <c r="Q338" i="3"/>
  <c r="Q343" i="3"/>
  <c r="X337" i="3"/>
  <c r="W337" i="3"/>
  <c r="U337" i="3"/>
  <c r="S337" i="3"/>
  <c r="W333" i="3"/>
  <c r="U333" i="3"/>
  <c r="S333" i="3"/>
  <c r="Q332" i="3"/>
  <c r="AB332" i="3"/>
  <c r="AA332" i="3"/>
  <c r="W332" i="3"/>
  <c r="U332" i="3"/>
  <c r="S332" i="3"/>
  <c r="AB331" i="3"/>
  <c r="AA331" i="3"/>
  <c r="AA329" i="3"/>
  <c r="AA328" i="3"/>
  <c r="AA327" i="3"/>
  <c r="V327" i="3"/>
  <c r="V326" i="3"/>
  <c r="AA325" i="3"/>
  <c r="Z325" i="3"/>
  <c r="V325" i="3"/>
  <c r="AB323" i="3"/>
  <c r="AA323" i="3"/>
  <c r="AB322" i="3"/>
  <c r="AA322" i="3"/>
  <c r="W322" i="3"/>
  <c r="U322" i="3"/>
  <c r="S322" i="3"/>
  <c r="AA285" i="3"/>
  <c r="V285" i="3"/>
  <c r="AA284" i="3"/>
  <c r="V284" i="3"/>
  <c r="AA283" i="3"/>
  <c r="V283" i="3"/>
  <c r="AA282" i="3"/>
  <c r="V282" i="3"/>
  <c r="AA281" i="3"/>
  <c r="V281" i="3"/>
  <c r="AA280" i="3"/>
  <c r="V280" i="3"/>
  <c r="AA279" i="3"/>
  <c r="V279" i="3"/>
  <c r="AA278" i="3"/>
  <c r="V278" i="3"/>
  <c r="AA277" i="3"/>
  <c r="V277" i="3"/>
  <c r="AB274" i="3"/>
  <c r="AA274" i="3"/>
  <c r="U274" i="3"/>
  <c r="S274" i="3"/>
  <c r="AA271" i="3"/>
  <c r="AA270" i="3"/>
  <c r="V270" i="3"/>
  <c r="AA266" i="3"/>
  <c r="AA265" i="3"/>
  <c r="AA264" i="3"/>
  <c r="AA260" i="3"/>
  <c r="AA259" i="3"/>
  <c r="AA258" i="3"/>
  <c r="V258" i="3"/>
  <c r="AA257" i="3"/>
  <c r="V257" i="3"/>
  <c r="AB251" i="3"/>
  <c r="AA251" i="3"/>
  <c r="AA250" i="3"/>
  <c r="V250" i="3"/>
  <c r="AA249" i="3"/>
  <c r="Y249" i="3"/>
  <c r="Z249" i="3"/>
  <c r="V249" i="3"/>
  <c r="AA248" i="3"/>
  <c r="V248" i="3"/>
  <c r="AA247" i="3"/>
  <c r="AA246" i="3"/>
  <c r="Y246" i="3"/>
  <c r="Z246" i="3"/>
  <c r="V246" i="3"/>
  <c r="AC245" i="3" a="1"/>
  <c r="AA245" i="3"/>
  <c r="V245" i="3"/>
  <c r="AA244" i="3"/>
  <c r="V244" i="3"/>
  <c r="AA243" i="3"/>
  <c r="AA242" i="3"/>
  <c r="AA241" i="3"/>
  <c r="AC241" i="3"/>
  <c r="V241" i="3"/>
  <c r="AA240" i="3"/>
  <c r="V240" i="3"/>
  <c r="AA239" i="3"/>
  <c r="AB238" i="3"/>
  <c r="AA238" i="3"/>
  <c r="Y238" i="3"/>
  <c r="AA237" i="3"/>
  <c r="Y237" i="3"/>
  <c r="Z237" i="3"/>
  <c r="V237" i="3"/>
  <c r="AA236" i="3"/>
  <c r="Y236" i="3"/>
  <c r="Z236" i="3"/>
  <c r="V236" i="3"/>
  <c r="AA235" i="3"/>
  <c r="Y235" i="3"/>
  <c r="Z235" i="3"/>
  <c r="V235" i="3"/>
  <c r="AB233" i="3"/>
  <c r="AA233" i="3"/>
  <c r="AA231" i="3"/>
  <c r="Z231" i="3"/>
  <c r="V231" i="3"/>
  <c r="AA230" i="3"/>
  <c r="Z230" i="3"/>
  <c r="V230" i="3"/>
  <c r="M229" i="3"/>
  <c r="AA228" i="3"/>
  <c r="AA227" i="3"/>
  <c r="Z227" i="3"/>
  <c r="V227" i="3"/>
  <c r="AA222" i="3"/>
  <c r="Z222" i="3"/>
  <c r="V222" i="3"/>
  <c r="AA221" i="3"/>
  <c r="AA220" i="3"/>
  <c r="AA219" i="3"/>
  <c r="AA218" i="3"/>
  <c r="AA217" i="3"/>
  <c r="AA216" i="3"/>
  <c r="AA215" i="3"/>
  <c r="AA214" i="3"/>
  <c r="AA213" i="3"/>
  <c r="V213" i="3"/>
  <c r="AB210" i="3"/>
  <c r="AA210" i="3"/>
  <c r="V209" i="3"/>
  <c r="V208" i="3"/>
  <c r="V207" i="3"/>
  <c r="V206" i="3"/>
  <c r="V205" i="3"/>
  <c r="V204" i="3"/>
  <c r="V203" i="3"/>
  <c r="V202" i="3"/>
  <c r="V201" i="3"/>
  <c r="V200" i="3"/>
  <c r="M199" i="3"/>
  <c r="M198" i="3"/>
  <c r="M197" i="3"/>
  <c r="M196" i="3"/>
  <c r="M195" i="3"/>
  <c r="M191" i="3"/>
  <c r="AA188" i="3"/>
  <c r="V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V174" i="3"/>
  <c r="AA173" i="3"/>
  <c r="AA172" i="3"/>
  <c r="AA171" i="3"/>
  <c r="AA170" i="3"/>
  <c r="AA169" i="3"/>
  <c r="Z169" i="3"/>
  <c r="V169" i="3"/>
  <c r="AA168" i="3"/>
  <c r="AA167" i="3"/>
  <c r="AA166" i="3"/>
  <c r="AA165" i="3"/>
  <c r="AA164" i="3"/>
  <c r="AA163" i="3"/>
  <c r="Z163" i="3"/>
  <c r="V163" i="3"/>
  <c r="AB159" i="3"/>
  <c r="AA159" i="3"/>
  <c r="AB158" i="3"/>
  <c r="AA158" i="3"/>
  <c r="V157" i="3"/>
  <c r="V156" i="3"/>
  <c r="M135" i="3"/>
  <c r="AB129" i="3"/>
  <c r="AA129" i="3"/>
  <c r="AA128" i="3"/>
  <c r="V128" i="3"/>
  <c r="AA127" i="3"/>
  <c r="AA126" i="3"/>
  <c r="V126" i="3"/>
  <c r="AA125" i="3"/>
  <c r="V124" i="3"/>
  <c r="AB121" i="3"/>
  <c r="AA121" i="3"/>
  <c r="AA120" i="3"/>
  <c r="V120" i="3"/>
  <c r="AA119" i="3"/>
  <c r="M116" i="3"/>
  <c r="M80" i="3"/>
  <c r="M79" i="3"/>
  <c r="AB75" i="3"/>
  <c r="AA75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V56" i="3"/>
  <c r="AA55" i="3"/>
  <c r="V55" i="3"/>
  <c r="AA54" i="3"/>
  <c r="V54" i="3"/>
  <c r="AA53" i="3"/>
  <c r="V53" i="3"/>
  <c r="AA52" i="3"/>
  <c r="V52" i="3"/>
  <c r="AA51" i="3"/>
  <c r="V51" i="3"/>
  <c r="AA50" i="3"/>
  <c r="V50" i="3"/>
  <c r="AA49" i="3"/>
  <c r="V49" i="3"/>
  <c r="AA48" i="3"/>
  <c r="V48" i="3"/>
  <c r="AA47" i="3"/>
  <c r="V47" i="3"/>
  <c r="AA46" i="3"/>
  <c r="AA45" i="3"/>
  <c r="V45" i="3"/>
  <c r="AA44" i="3"/>
  <c r="V44" i="3"/>
  <c r="AA43" i="3"/>
  <c r="AA42" i="3"/>
  <c r="AA41" i="3"/>
  <c r="Y41" i="3"/>
  <c r="V41" i="3"/>
  <c r="AA40" i="3"/>
  <c r="Y40" i="3"/>
  <c r="V40" i="3"/>
  <c r="AA37" i="3"/>
  <c r="AA36" i="3"/>
  <c r="AE36" i="3"/>
  <c r="V36" i="3"/>
  <c r="AA35" i="3"/>
  <c r="AA34" i="3"/>
  <c r="AE33" i="3"/>
  <c r="AA33" i="3"/>
  <c r="AA32" i="3"/>
  <c r="V32" i="3"/>
  <c r="AA31" i="3"/>
  <c r="AA29" i="3"/>
  <c r="AA28" i="3"/>
  <c r="AD28" i="3"/>
  <c r="Y28" i="3"/>
  <c r="Z28" i="3"/>
  <c r="V28" i="3"/>
  <c r="AA27" i="3"/>
  <c r="V27" i="3"/>
  <c r="AD23" i="3"/>
  <c r="AA23" i="3"/>
  <c r="Y23" i="3"/>
  <c r="V23" i="3"/>
  <c r="AA8" i="3"/>
  <c r="V8" i="3"/>
  <c r="F7" i="2"/>
  <c r="F8" i="2"/>
  <c r="F9" i="2"/>
  <c r="F10" i="2"/>
  <c r="F12" i="2"/>
  <c r="F11" i="2"/>
  <c r="G7" i="2"/>
  <c r="F13" i="2"/>
  <c r="F14" i="2"/>
  <c r="F15" i="2"/>
  <c r="F16" i="2"/>
  <c r="F17" i="2"/>
  <c r="G13" i="2"/>
  <c r="F18" i="2"/>
  <c r="G18" i="2"/>
  <c r="F19" i="2"/>
  <c r="G19" i="2"/>
  <c r="F45" i="2"/>
  <c r="F46" i="2"/>
  <c r="G45" i="2"/>
  <c r="F40" i="2"/>
  <c r="F41" i="2"/>
  <c r="F42" i="2"/>
  <c r="F43" i="2"/>
  <c r="F44" i="2"/>
  <c r="G40" i="2"/>
  <c r="F39" i="2"/>
  <c r="G39" i="2"/>
  <c r="F36" i="2"/>
  <c r="F37" i="2"/>
  <c r="F38" i="2"/>
  <c r="G36" i="2"/>
  <c r="F34" i="2"/>
  <c r="F35" i="2"/>
  <c r="G34" i="2"/>
  <c r="F33" i="2"/>
  <c r="G33" i="2"/>
  <c r="F25" i="2"/>
  <c r="F26" i="2"/>
  <c r="F27" i="2"/>
  <c r="F28" i="2"/>
  <c r="F32" i="2"/>
  <c r="F31" i="2"/>
  <c r="F30" i="2"/>
  <c r="F29" i="2"/>
  <c r="G25" i="2"/>
  <c r="F20" i="2"/>
  <c r="F21" i="2"/>
  <c r="F22" i="2"/>
  <c r="F23" i="2"/>
  <c r="F24" i="2"/>
  <c r="G20" i="2"/>
  <c r="G47" i="2"/>
  <c r="A3" i="2"/>
  <c r="G48" i="2"/>
  <c r="D45" i="2"/>
  <c r="D46" i="2"/>
  <c r="I45" i="2"/>
  <c r="H45" i="2"/>
  <c r="D40" i="2"/>
  <c r="D41" i="2"/>
  <c r="D42" i="2"/>
  <c r="D43" i="2"/>
  <c r="D44" i="2"/>
  <c r="AE7" i="2"/>
  <c r="AE8" i="2"/>
  <c r="AE9" i="2"/>
  <c r="AE10" i="2"/>
  <c r="AE12" i="2"/>
  <c r="AE11" i="2"/>
  <c r="AF7" i="2"/>
  <c r="AE13" i="2"/>
  <c r="AE14" i="2"/>
  <c r="AF13" i="2"/>
  <c r="AE15" i="2"/>
  <c r="AE16" i="2"/>
  <c r="AE17" i="2"/>
  <c r="AE18" i="2"/>
  <c r="AF15" i="2"/>
  <c r="AE19" i="2"/>
  <c r="AE20" i="2"/>
  <c r="AE21" i="2"/>
  <c r="AE22" i="2"/>
  <c r="AE27" i="2"/>
  <c r="AE26" i="2"/>
  <c r="AE25" i="2"/>
  <c r="AE24" i="2"/>
  <c r="AE23" i="2"/>
  <c r="AF19" i="2"/>
  <c r="AE40" i="2"/>
  <c r="AE41" i="2"/>
  <c r="AF40" i="2"/>
  <c r="AE33" i="2"/>
  <c r="AE34" i="2"/>
  <c r="AE35" i="2"/>
  <c r="AE36" i="2"/>
  <c r="AE39" i="2"/>
  <c r="AE38" i="2"/>
  <c r="AE37" i="2"/>
  <c r="AF33" i="2"/>
  <c r="AE30" i="2"/>
  <c r="AE31" i="2"/>
  <c r="AE32" i="2"/>
  <c r="AF30" i="2"/>
  <c r="AE28" i="2"/>
  <c r="AE29" i="2"/>
  <c r="AF28" i="2"/>
  <c r="AF42" i="2"/>
  <c r="AF43" i="2"/>
  <c r="O7" i="2"/>
  <c r="O8" i="2"/>
  <c r="P7" i="2"/>
  <c r="O9" i="2"/>
  <c r="O10" i="2"/>
  <c r="O11" i="2"/>
  <c r="O12" i="2"/>
  <c r="P9" i="2"/>
  <c r="O13" i="2"/>
  <c r="O14" i="2"/>
  <c r="O15" i="2"/>
  <c r="P13" i="2"/>
  <c r="O16" i="2"/>
  <c r="O17" i="2"/>
  <c r="O18" i="2"/>
  <c r="P16" i="2"/>
  <c r="O39" i="2"/>
  <c r="O40" i="2"/>
  <c r="P39" i="2"/>
  <c r="O33" i="2"/>
  <c r="O34" i="2"/>
  <c r="O35" i="2"/>
  <c r="O36" i="2"/>
  <c r="O38" i="2"/>
  <c r="O37" i="2"/>
  <c r="P33" i="2"/>
  <c r="O30" i="2"/>
  <c r="O31" i="2"/>
  <c r="O32" i="2"/>
  <c r="P30" i="2"/>
  <c r="O28" i="2"/>
  <c r="O29" i="2"/>
  <c r="P28" i="2"/>
  <c r="O19" i="2"/>
  <c r="O20" i="2"/>
  <c r="O21" i="2"/>
  <c r="O22" i="2"/>
  <c r="O27" i="2"/>
  <c r="O26" i="2"/>
  <c r="O25" i="2"/>
  <c r="O24" i="2"/>
  <c r="O23" i="2"/>
  <c r="P19" i="2"/>
  <c r="P41" i="2"/>
  <c r="P42" i="2"/>
  <c r="W7" i="2"/>
  <c r="W8" i="2"/>
  <c r="W9" i="2"/>
  <c r="W10" i="2"/>
  <c r="X7" i="2"/>
  <c r="W11" i="2"/>
  <c r="W12" i="2"/>
  <c r="W13" i="2"/>
  <c r="X11" i="2"/>
  <c r="W14" i="2"/>
  <c r="W15" i="2"/>
  <c r="W16" i="2"/>
  <c r="X14" i="2"/>
  <c r="W17" i="2"/>
  <c r="W18" i="2"/>
  <c r="W19" i="2"/>
  <c r="W20" i="2"/>
  <c r="W25" i="2"/>
  <c r="W24" i="2"/>
  <c r="W23" i="2"/>
  <c r="W22" i="2"/>
  <c r="W21" i="2"/>
  <c r="X17" i="2"/>
  <c r="W38" i="2"/>
  <c r="W39" i="2"/>
  <c r="X38" i="2"/>
  <c r="W31" i="2"/>
  <c r="W32" i="2"/>
  <c r="W33" i="2"/>
  <c r="W34" i="2"/>
  <c r="W37" i="2"/>
  <c r="W36" i="2"/>
  <c r="W35" i="2"/>
  <c r="X31" i="2"/>
  <c r="W28" i="2"/>
  <c r="W29" i="2"/>
  <c r="W30" i="2"/>
  <c r="X28" i="2"/>
  <c r="W26" i="2"/>
  <c r="W27" i="2"/>
  <c r="X26" i="2"/>
  <c r="X40" i="2"/>
  <c r="X41" i="2"/>
  <c r="AH40" i="2"/>
  <c r="AG40" i="2"/>
  <c r="I40" i="2"/>
  <c r="H40" i="2"/>
  <c r="R39" i="2"/>
  <c r="Q39" i="2"/>
  <c r="I39" i="2"/>
  <c r="H39" i="2"/>
  <c r="D39" i="2"/>
  <c r="Z38" i="2"/>
  <c r="Y38" i="2"/>
  <c r="D36" i="2"/>
  <c r="D37" i="2"/>
  <c r="D38" i="2"/>
  <c r="I36" i="2"/>
  <c r="H36" i="2"/>
  <c r="D34" i="2"/>
  <c r="D35" i="2"/>
  <c r="I34" i="2"/>
  <c r="H34" i="2"/>
  <c r="AH33" i="2"/>
  <c r="AG33" i="2"/>
  <c r="R33" i="2"/>
  <c r="Q33" i="2"/>
  <c r="I33" i="2"/>
  <c r="H33" i="2"/>
  <c r="D33" i="2"/>
  <c r="D25" i="2"/>
  <c r="D26" i="2"/>
  <c r="D27" i="2"/>
  <c r="D28" i="2"/>
  <c r="D29" i="2"/>
  <c r="D30" i="2"/>
  <c r="D31" i="2"/>
  <c r="D32" i="2"/>
  <c r="Z31" i="2"/>
  <c r="Y31" i="2"/>
  <c r="AH30" i="2"/>
  <c r="AG30" i="2"/>
  <c r="R30" i="2"/>
  <c r="Q30" i="2"/>
  <c r="AH28" i="2"/>
  <c r="AG28" i="2"/>
  <c r="Z28" i="2"/>
  <c r="Y28" i="2"/>
  <c r="R28" i="2"/>
  <c r="Q28" i="2"/>
  <c r="Z26" i="2"/>
  <c r="Y26" i="2"/>
  <c r="I25" i="2"/>
  <c r="H25" i="2"/>
  <c r="H24" i="2"/>
  <c r="D20" i="2"/>
  <c r="D21" i="2"/>
  <c r="D22" i="2"/>
  <c r="D23" i="2"/>
  <c r="D24" i="2"/>
  <c r="H23" i="2"/>
  <c r="H22" i="2"/>
  <c r="H21" i="2"/>
  <c r="I20" i="2"/>
  <c r="H20" i="2"/>
  <c r="AH19" i="2"/>
  <c r="AG19" i="2"/>
  <c r="R19" i="2"/>
  <c r="Q19" i="2"/>
  <c r="I19" i="2"/>
  <c r="H19" i="2"/>
  <c r="D18" i="2"/>
  <c r="D19" i="2"/>
  <c r="I18" i="2"/>
  <c r="H18" i="2"/>
  <c r="Z17" i="2"/>
  <c r="Y17" i="2"/>
  <c r="D13" i="2"/>
  <c r="D14" i="2"/>
  <c r="D15" i="2"/>
  <c r="D16" i="2"/>
  <c r="D17" i="2"/>
  <c r="R16" i="2"/>
  <c r="Q16" i="2"/>
  <c r="AH15" i="2"/>
  <c r="AG15" i="2"/>
  <c r="Z14" i="2"/>
  <c r="Y14" i="2"/>
  <c r="K14" i="2"/>
  <c r="AH13" i="2"/>
  <c r="AG13" i="2"/>
  <c r="R13" i="2"/>
  <c r="Q13" i="2"/>
  <c r="I13" i="2"/>
  <c r="H13" i="2"/>
  <c r="D7" i="2"/>
  <c r="D8" i="2"/>
  <c r="D9" i="2"/>
  <c r="D10" i="2"/>
  <c r="D11" i="2"/>
  <c r="D12" i="2"/>
  <c r="Z11" i="2"/>
  <c r="Y11" i="2"/>
  <c r="K10" i="2"/>
  <c r="R9" i="2"/>
  <c r="Q9" i="2"/>
  <c r="K9" i="2"/>
  <c r="AH7" i="2"/>
  <c r="AG7" i="2"/>
  <c r="Z7" i="2"/>
  <c r="Y7" i="2"/>
  <c r="R7" i="2"/>
  <c r="Q7" i="2"/>
  <c r="I7" i="2"/>
  <c r="H7" i="2"/>
  <c r="G10" i="1"/>
  <c r="I10" i="1"/>
  <c r="K10" i="1"/>
  <c r="M10" i="1"/>
  <c r="O10" i="1"/>
  <c r="Q10" i="1"/>
  <c r="AA10" i="1"/>
  <c r="AK10" i="1"/>
  <c r="AU10" i="1"/>
  <c r="G11" i="1"/>
  <c r="AM11" i="1"/>
  <c r="AO11" i="1"/>
  <c r="AQ11" i="1"/>
  <c r="AS11" i="1"/>
  <c r="AC11" i="1"/>
  <c r="AE11" i="1"/>
  <c r="AG11" i="1"/>
  <c r="AI11" i="1"/>
  <c r="S11" i="1"/>
  <c r="U11" i="1"/>
  <c r="W11" i="1"/>
  <c r="Y11" i="1"/>
  <c r="I11" i="1"/>
  <c r="K11" i="1"/>
  <c r="M11" i="1"/>
  <c r="O11" i="1"/>
  <c r="Q11" i="1"/>
  <c r="AA11" i="1"/>
  <c r="AK11" i="1"/>
  <c r="AU11" i="1"/>
  <c r="AH11" i="1"/>
  <c r="AL12" i="1"/>
  <c r="G12" i="1"/>
  <c r="AM12" i="1"/>
  <c r="AN12" i="1"/>
  <c r="AO12" i="1"/>
  <c r="AP12" i="1"/>
  <c r="AQ12" i="1"/>
  <c r="AS12" i="1"/>
  <c r="X11" i="1"/>
  <c r="AB12" i="1"/>
  <c r="AC12" i="1"/>
  <c r="AD12" i="1"/>
  <c r="AE12" i="1"/>
  <c r="AF12" i="1"/>
  <c r="AG12" i="1"/>
  <c r="AI12" i="1"/>
  <c r="R12" i="1"/>
  <c r="S12" i="1"/>
  <c r="T12" i="1"/>
  <c r="U12" i="1"/>
  <c r="V12" i="1"/>
  <c r="W12" i="1"/>
  <c r="Y12" i="1"/>
  <c r="I12" i="1"/>
  <c r="K12" i="1"/>
  <c r="M12" i="1"/>
  <c r="O12" i="1"/>
  <c r="Q12" i="1"/>
  <c r="AA12" i="1"/>
  <c r="AK12" i="1"/>
  <c r="AU12" i="1"/>
  <c r="AL13" i="1"/>
  <c r="G13" i="1"/>
  <c r="AM13" i="1"/>
  <c r="AN13" i="1"/>
  <c r="AO13" i="1"/>
  <c r="AP13" i="1"/>
  <c r="AQ13" i="1"/>
  <c r="AS13" i="1"/>
  <c r="AB13" i="1"/>
  <c r="AC13" i="1"/>
  <c r="AD13" i="1"/>
  <c r="AE13" i="1"/>
  <c r="AF13" i="1"/>
  <c r="AG13" i="1"/>
  <c r="AI13" i="1"/>
  <c r="S13" i="1"/>
  <c r="U13" i="1"/>
  <c r="W13" i="1"/>
  <c r="Y13" i="1"/>
  <c r="I13" i="1"/>
  <c r="K13" i="1"/>
  <c r="M13" i="1"/>
  <c r="O13" i="1"/>
  <c r="Q13" i="1"/>
  <c r="AA13" i="1"/>
  <c r="AK13" i="1"/>
  <c r="AU13" i="1"/>
  <c r="AU14" i="1"/>
  <c r="AS14" i="1"/>
  <c r="AQ14" i="1"/>
  <c r="AO14" i="1"/>
  <c r="AM14" i="1"/>
  <c r="AK14" i="1"/>
  <c r="AI14" i="1"/>
  <c r="AG14" i="1"/>
  <c r="AE14" i="1"/>
  <c r="AC14" i="1"/>
  <c r="AA14" i="1"/>
  <c r="Y14" i="1"/>
  <c r="W14" i="1"/>
  <c r="U14" i="1"/>
  <c r="S14" i="1"/>
  <c r="Q14" i="1"/>
  <c r="O14" i="1"/>
  <c r="M14" i="1"/>
  <c r="K14" i="1"/>
  <c r="I14" i="1"/>
  <c r="F10" i="1"/>
  <c r="E11" i="1"/>
  <c r="F11" i="1"/>
  <c r="E12" i="1"/>
  <c r="F12" i="1"/>
  <c r="E13" i="1"/>
  <c r="F13" i="1"/>
  <c r="F14" i="1"/>
  <c r="E14" i="1"/>
  <c r="G14" i="1"/>
  <c r="AR13" i="1"/>
  <c r="AH13" i="1"/>
  <c r="X13" i="1"/>
  <c r="N13" i="1"/>
  <c r="P13" i="1"/>
  <c r="Z13" i="1"/>
  <c r="AJ13" i="1"/>
  <c r="AT13" i="1"/>
  <c r="AR12" i="1"/>
  <c r="AH12" i="1"/>
  <c r="X12" i="1"/>
  <c r="N12" i="1"/>
  <c r="P12" i="1"/>
  <c r="Z12" i="1"/>
  <c r="AJ12" i="1"/>
  <c r="AT12" i="1"/>
  <c r="AR11" i="1"/>
  <c r="N11" i="1"/>
  <c r="P11" i="1"/>
  <c r="Z11" i="1"/>
  <c r="AJ11" i="1"/>
  <c r="AT11" i="1"/>
  <c r="N10" i="1"/>
  <c r="P10" i="1"/>
  <c r="Z10" i="1"/>
  <c r="AJ10" i="1"/>
  <c r="AT10" i="1"/>
  <c r="S393" i="7"/>
  <c r="S394" i="7"/>
  <c r="S395" i="7"/>
  <c r="W393" i="7"/>
  <c r="V393" i="7"/>
  <c r="S196" i="7"/>
  <c r="S198" i="7"/>
  <c r="S199" i="7"/>
  <c r="W196" i="7"/>
  <c r="V196" i="7"/>
  <c r="S399" i="6"/>
  <c r="S400" i="6"/>
  <c r="S401" i="6"/>
  <c r="W399" i="6"/>
  <c r="V399" i="6"/>
  <c r="S193" i="6"/>
  <c r="S195" i="6"/>
  <c r="S196" i="6"/>
  <c r="W193" i="6"/>
  <c r="V193" i="6"/>
  <c r="W190" i="4"/>
  <c r="W191" i="4"/>
  <c r="W192" i="4"/>
  <c r="W193" i="4"/>
  <c r="S216" i="4"/>
  <c r="U216" i="4"/>
  <c r="W216" i="4"/>
  <c r="S215" i="4"/>
  <c r="U215" i="4"/>
  <c r="W215" i="4"/>
  <c r="S212" i="4"/>
  <c r="U212" i="4"/>
  <c r="W212" i="4"/>
  <c r="S207" i="4"/>
  <c r="U207" i="4"/>
  <c r="W207" i="4"/>
  <c r="S198" i="4"/>
  <c r="U198" i="4"/>
  <c r="W198" i="4"/>
  <c r="S194" i="4"/>
  <c r="U194" i="4"/>
  <c r="W194" i="4"/>
  <c r="W218" i="4"/>
  <c r="W226" i="4"/>
  <c r="W229" i="4"/>
  <c r="W230" i="4"/>
  <c r="W231" i="4"/>
  <c r="S254" i="4"/>
  <c r="U254" i="4"/>
  <c r="W254" i="4"/>
  <c r="S243" i="4"/>
  <c r="U243" i="4"/>
  <c r="W243" i="4"/>
  <c r="S242" i="4"/>
  <c r="U242" i="4"/>
  <c r="W242" i="4"/>
  <c r="U218" i="4"/>
  <c r="U233" i="4"/>
  <c r="U234" i="4"/>
  <c r="U235" i="4"/>
  <c r="U236" i="4"/>
  <c r="U258" i="4"/>
  <c r="U306" i="4"/>
  <c r="U330" i="4"/>
  <c r="S218" i="4"/>
  <c r="S233" i="4"/>
  <c r="S234" i="4"/>
  <c r="S235" i="4"/>
  <c r="S236" i="4"/>
  <c r="S258" i="4"/>
  <c r="S306" i="4"/>
  <c r="S330" i="4"/>
  <c r="U320" i="4"/>
  <c r="S320" i="4"/>
  <c r="U316" i="4"/>
  <c r="S316" i="4"/>
  <c r="U315" i="4"/>
  <c r="S315" i="4"/>
  <c r="U305" i="4"/>
  <c r="S305" i="4"/>
  <c r="V254" i="4"/>
  <c r="V243" i="4"/>
  <c r="V242" i="4"/>
  <c r="V231" i="4"/>
  <c r="V230" i="4"/>
  <c r="V229" i="4"/>
  <c r="V226" i="4"/>
  <c r="Z216" i="4"/>
  <c r="V216" i="4"/>
  <c r="Z215" i="4"/>
  <c r="V215" i="4"/>
  <c r="Z212" i="4"/>
  <c r="V212" i="4"/>
  <c r="Z207" i="4"/>
  <c r="V207" i="4"/>
  <c r="V198" i="4"/>
  <c r="V194" i="4"/>
  <c r="V193" i="4"/>
  <c r="V192" i="4"/>
  <c r="V191" i="4"/>
  <c r="V190" i="4"/>
  <c r="Z149" i="4"/>
  <c r="W233" i="4"/>
  <c r="W234" i="4"/>
  <c r="W235" i="4"/>
  <c r="W236" i="4"/>
  <c r="W258" i="4"/>
  <c r="W306" i="4"/>
  <c r="W330" i="4"/>
  <c r="W320" i="4"/>
  <c r="W316" i="4"/>
  <c r="W315" i="4"/>
  <c r="W305" i="4"/>
  <c r="V235" i="4"/>
  <c r="V234" i="4"/>
  <c r="V2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kasie</author>
  </authors>
  <commentList>
    <comment ref="F41" authorId="0" shapeId="0" xr:uid="{75688CD5-4F5F-4607-AC94-D23CC05F5AD3}">
      <text>
        <r>
          <rPr>
            <b/>
            <sz val="9"/>
            <color indexed="81"/>
            <rFont val="Tahoma"/>
            <family val="2"/>
          </rPr>
          <t>kasie:</t>
        </r>
        <r>
          <rPr>
            <sz val="9"/>
            <color indexed="81"/>
            <rFont val="Tahoma"/>
            <family val="2"/>
          </rPr>
          <t xml:space="preserve">
Auger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F37" authorId="0" shapeId="0" xr:uid="{B93ECBDB-713E-41B4-81AB-6B7FA2171CD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Auger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<sst xmlns="http://schemas.openxmlformats.org/spreadsheetml/2006/main" count="5244" uniqueCount="650">
  <si>
    <t xml:space="preserve">RENCANA KERJA PROYEK ( RKP ) </t>
  </si>
  <si>
    <t>PT Buana Karya Bhakti</t>
  </si>
  <si>
    <t>Kebun Inti BKB</t>
  </si>
  <si>
    <t>Tahun Tanam Tanaman 1998 &amp; 1999</t>
  </si>
  <si>
    <t>LUAS :</t>
  </si>
  <si>
    <t>192,08 Ha</t>
  </si>
  <si>
    <t>Periode Proyek : 2025 s.d 2029</t>
  </si>
  <si>
    <t>No.</t>
  </si>
  <si>
    <t>Pekerjaan</t>
  </si>
  <si>
    <t>Rencana</t>
  </si>
  <si>
    <t>Unit</t>
  </si>
  <si>
    <t>TAHUN I ( 2026 )</t>
  </si>
  <si>
    <t>TAHUN II ( 2027 )</t>
  </si>
  <si>
    <t>TAHUN III ( 2028 )</t>
  </si>
  <si>
    <t>TAHUN IV ( 2029 )</t>
  </si>
  <si>
    <t>Proyek 4 Tahun</t>
  </si>
  <si>
    <t>Catur Wulan 1</t>
  </si>
  <si>
    <t>Catur Wulan 2</t>
  </si>
  <si>
    <t>Catur Wulan 3</t>
  </si>
  <si>
    <t>Jumlah Tahun I</t>
  </si>
  <si>
    <t>Jumlah S/d Tahun I</t>
  </si>
  <si>
    <t>Jumlah Tahun II</t>
  </si>
  <si>
    <t>Jumlah S/d Tahun II</t>
  </si>
  <si>
    <t>Jumlah Tahun III</t>
  </si>
  <si>
    <t>Jumlah S/d Tahun III</t>
  </si>
  <si>
    <t>Jumlah Tahun IV</t>
  </si>
  <si>
    <t>Jumlah S/d Tahun IV</t>
  </si>
  <si>
    <t>Volume</t>
  </si>
  <si>
    <t>Biaya</t>
  </si>
  <si>
    <t>Cost</t>
  </si>
  <si>
    <t>Fisik</t>
  </si>
  <si>
    <t>( Ha )</t>
  </si>
  <si>
    <t>( Rp )</t>
  </si>
  <si>
    <t>( Rp / Ha )</t>
  </si>
  <si>
    <t>Replanting TB</t>
  </si>
  <si>
    <t>Pemeliharaan TBM-1</t>
  </si>
  <si>
    <t>Pemeliharaan TBM-2</t>
  </si>
  <si>
    <t>Pemeliharaan TBM-3</t>
  </si>
  <si>
    <t xml:space="preserve">GRAND TOTAL BIAYA </t>
  </si>
  <si>
    <t>Catatan:</t>
  </si>
  <si>
    <t>*Biaya pemeliharaan kacangan setelah revisi dari gliphosate ke fluroxyphr sebagai pengganti bahan aktif ada penambahan biaya Rp 231.924 per Ha</t>
  </si>
  <si>
    <t>Satui, 19 September 2025</t>
  </si>
  <si>
    <t>Disetujui Oleh ;</t>
  </si>
  <si>
    <t>Diperiksa Oleh ;</t>
  </si>
  <si>
    <t>Disusun Oleh ;</t>
  </si>
  <si>
    <t>Satui, 30 September 2025</t>
  </si>
  <si>
    <t>Diketahui Oleh ;</t>
  </si>
  <si>
    <t>Samsir Hadi</t>
  </si>
  <si>
    <t>Hairul Amri</t>
  </si>
  <si>
    <t>A r i f</t>
  </si>
  <si>
    <t>Direktur</t>
  </si>
  <si>
    <t>Pjs. GM Agronomy</t>
  </si>
  <si>
    <t>Askep Project Re-Planting &amp; Reklamasi</t>
  </si>
  <si>
    <t>Imam Satoto Yudiono</t>
  </si>
  <si>
    <t>Direktur Utama</t>
  </si>
  <si>
    <t>CECT</t>
  </si>
  <si>
    <t>SERAK</t>
  </si>
  <si>
    <t>REKAPITULASI RENCANA BIAYA REPLANTING TB BKB INTI TAHUN TANAM 1998 &amp; 1999</t>
  </si>
  <si>
    <t>REKAPITULASI RENCANA BIAYA TBM 01 BKB INTI TAHUN TANAM 1998 &amp; 1999</t>
  </si>
  <si>
    <t>REKAPITULASI RENCANA BIAYA TBM 02 BKB INTI TAHUN TANAM 1998 &amp; 1999</t>
  </si>
  <si>
    <t>REKAPITULASI RENCANA BIAYA TBM 03 BKB INTI TAHUN TANAM 1998 &amp; 1999</t>
  </si>
  <si>
    <t>RENCANA ANGGARAN TANAM BARU</t>
  </si>
  <si>
    <t>RENCANA ANGGARAN TBM 1</t>
  </si>
  <si>
    <t>RENCANA ANGGARAN TBM 2</t>
  </si>
  <si>
    <t>RENCANA ANGGARAN TBM 3</t>
  </si>
  <si>
    <t>No</t>
  </si>
  <si>
    <t>Jumlah Rp</t>
  </si>
  <si>
    <t>Total Rp</t>
  </si>
  <si>
    <t>Rp/Ha</t>
  </si>
  <si>
    <t>(%)</t>
  </si>
  <si>
    <t>Persentase
(%)</t>
  </si>
  <si>
    <t>Pembukaan Lahan CECT</t>
  </si>
  <si>
    <t>Identifikasi Blok</t>
  </si>
  <si>
    <t>Pembuatan Piringan &amp; Titi Pasar Rintis</t>
  </si>
  <si>
    <t>Pembuatan Piringan</t>
  </si>
  <si>
    <t>Pemeliharaan Piringan Gawangan Manual &amp; Chemist</t>
  </si>
  <si>
    <t>Pemeliharaan Piringan Manual</t>
  </si>
  <si>
    <t>Pembuatan TPH, Pemeliharaan Piringan Gawangan Manual &amp; Chemist</t>
  </si>
  <si>
    <t>Pembuatan TPH</t>
  </si>
  <si>
    <t>Pengolahan Tanah (Ripping)</t>
  </si>
  <si>
    <t>Pembuatan Titi Pasar Rintis</t>
  </si>
  <si>
    <t>Pemeliharaan Piringan /Pasar Rintis(Chemist)</t>
  </si>
  <si>
    <t>Tumbang Chipping</t>
  </si>
  <si>
    <t>Pemeliharaan Gawangan Manual</t>
  </si>
  <si>
    <t>Parit CECT</t>
  </si>
  <si>
    <t>Pemeliharaan Gawangan Chemist</t>
  </si>
  <si>
    <t>Pemeliharaan Pasar Rintis Manual</t>
  </si>
  <si>
    <t>Tutup Lubang CECT</t>
  </si>
  <si>
    <t>Pemberantasan Lalang</t>
  </si>
  <si>
    <t>Spot Lalang</t>
  </si>
  <si>
    <t>Lubang Tanam Mekanis Auger</t>
  </si>
  <si>
    <t>Wipping</t>
  </si>
  <si>
    <t>Pembukaan Lahan Serak</t>
  </si>
  <si>
    <t>Transport Air</t>
  </si>
  <si>
    <t>Pemeliharaan Pokok</t>
  </si>
  <si>
    <t>Kastrasi</t>
  </si>
  <si>
    <t>Penyisipan</t>
  </si>
  <si>
    <t>Sanitasi</t>
  </si>
  <si>
    <t>Tutup Lubang</t>
  </si>
  <si>
    <t>Survey dan Sensus</t>
  </si>
  <si>
    <t>Konsolidasi</t>
  </si>
  <si>
    <t>Pemeliharaan Prasarana</t>
  </si>
  <si>
    <t>Jalan Utama / Jalan Akses</t>
  </si>
  <si>
    <t>Penyemprotan Lalang Gulma &amp; Pasar Rintis</t>
  </si>
  <si>
    <t>Penyemprotan Pasar Rintis</t>
  </si>
  <si>
    <t>Jalan Produksi</t>
  </si>
  <si>
    <t>Jalan Koleksi</t>
  </si>
  <si>
    <t>Pembuatan Sarana &amp; Prasarana</t>
  </si>
  <si>
    <t>Pembuatan Parit Tersier (1x1)</t>
  </si>
  <si>
    <t>Jalan Pringgan / Ring</t>
  </si>
  <si>
    <t>Cuci Parit Alam (1x1) Parit Alam</t>
  </si>
  <si>
    <t>Jalan Liung</t>
  </si>
  <si>
    <t>Cuci Parit Sekunder (2X2) Parit Alam</t>
  </si>
  <si>
    <t>Jembatan Permanen</t>
  </si>
  <si>
    <t>Pembuatan Kontur Teras</t>
  </si>
  <si>
    <t>Gorong-gorong 40 cm</t>
  </si>
  <si>
    <t>Pembuatan Pasar Pikul Mekanis</t>
  </si>
  <si>
    <t>Gorong-gorong 60 CM</t>
  </si>
  <si>
    <t>Tanam Kacangan</t>
  </si>
  <si>
    <t>Penanaman Kacangan</t>
  </si>
  <si>
    <t>Gorong-gorong 80 CM</t>
  </si>
  <si>
    <t>Pembuatan Bedengan</t>
  </si>
  <si>
    <t>Pengawetan Tanah</t>
  </si>
  <si>
    <t>Tapak Kuda</t>
  </si>
  <si>
    <t>Perakitan Instalasi Air</t>
  </si>
  <si>
    <t>Tapak Timbun</t>
  </si>
  <si>
    <t>Pemeliharaan Weeding Atas</t>
  </si>
  <si>
    <t>Pengendalian Hama dan Penyakit</t>
  </si>
  <si>
    <t>Hama Tikus</t>
  </si>
  <si>
    <t>PHPT Insek</t>
  </si>
  <si>
    <t>Hama Ulat Api</t>
  </si>
  <si>
    <t>PHPT Fungi</t>
  </si>
  <si>
    <t>Hama (Oryctes)</t>
  </si>
  <si>
    <t>Penyiraman Bibit</t>
  </si>
  <si>
    <t>Pemupukkan Kelapa Sawit</t>
  </si>
  <si>
    <t>Pemupukkan Hayati</t>
  </si>
  <si>
    <t>Pemeliharaan Kacangan</t>
  </si>
  <si>
    <t>Pemupukkan NPK 12-12-17-2+0,65B</t>
  </si>
  <si>
    <t>Pemupukkan Kacangan</t>
  </si>
  <si>
    <t>Pemupukkan NPK Granule &amp; RP</t>
  </si>
  <si>
    <t>Pemupukkan Dolomite</t>
  </si>
  <si>
    <t>Angkutan Pupuk</t>
  </si>
  <si>
    <t>Angkutan Pupuk Intern</t>
  </si>
  <si>
    <t>Pemupukkan Borate</t>
  </si>
  <si>
    <t>Angkutan Pupuk Ekstern</t>
  </si>
  <si>
    <t>Janjang Kosong</t>
  </si>
  <si>
    <t>Tanam Pokok Sawit</t>
  </si>
  <si>
    <t>Memancang</t>
  </si>
  <si>
    <t>Pengangkutan Pupuk Intern</t>
  </si>
  <si>
    <t>Pupuk Lubang Tanam</t>
  </si>
  <si>
    <t>Pengangkutan Pupuk Ekstern</t>
  </si>
  <si>
    <t>Penanaman Kelapa Sawit</t>
  </si>
  <si>
    <t>Pengawasan dan Administrasi</t>
  </si>
  <si>
    <t>Pengawasan</t>
  </si>
  <si>
    <t>Pemupukkan Urea</t>
  </si>
  <si>
    <t>Administrasi</t>
  </si>
  <si>
    <t>Pemeliharaan Pokok Sawit</t>
  </si>
  <si>
    <t>PHPT Tikus</t>
  </si>
  <si>
    <t>Total</t>
  </si>
  <si>
    <t>PHPT Kumbang Tanduk</t>
  </si>
  <si>
    <t>Rp/HA</t>
  </si>
  <si>
    <t>Buat Piringan</t>
  </si>
  <si>
    <t>Ganoderma</t>
  </si>
  <si>
    <t>Konsolidasi Pokok</t>
  </si>
  <si>
    <t>Pengawasan &amp; Administrasi</t>
  </si>
  <si>
    <t>CECT:</t>
  </si>
  <si>
    <t>RENCANA BIAYA REPLANTING TANAM BARU DENGAN CECT</t>
  </si>
  <si>
    <t>Total:</t>
  </si>
  <si>
    <t>Material</t>
  </si>
  <si>
    <t>Rotasi APD</t>
  </si>
  <si>
    <t>TB/LC</t>
  </si>
  <si>
    <t>Rata-rata</t>
  </si>
  <si>
    <t>Keterangan</t>
  </si>
  <si>
    <t>BIAYA/HA</t>
  </si>
  <si>
    <t>Biaya/pkk</t>
  </si>
  <si>
    <t>Jenis</t>
  </si>
  <si>
    <t>Sat</t>
  </si>
  <si>
    <t>Vol</t>
  </si>
  <si>
    <t>Norma</t>
  </si>
  <si>
    <t>Rotasi</t>
  </si>
  <si>
    <t>Jumlah Unit</t>
  </si>
  <si>
    <t>Rp Sat</t>
  </si>
  <si>
    <t>Jumlah RP</t>
  </si>
  <si>
    <t>%</t>
  </si>
  <si>
    <t>Luas/Mtr/Pkk/Unit</t>
  </si>
  <si>
    <t>PEMBUKAAN LAHAN</t>
  </si>
  <si>
    <t>IMAS,TUMBANG, PERUN</t>
  </si>
  <si>
    <t>Upah PHL</t>
  </si>
  <si>
    <t>HK</t>
  </si>
  <si>
    <t>Ha</t>
  </si>
  <si>
    <t>Cat</t>
  </si>
  <si>
    <t>Kg</t>
  </si>
  <si>
    <t>Kuas</t>
  </si>
  <si>
    <t>Buah</t>
  </si>
  <si>
    <t>Kompas</t>
  </si>
  <si>
    <t>GPS</t>
  </si>
  <si>
    <t>Imas</t>
  </si>
  <si>
    <t>Hutan Primer</t>
  </si>
  <si>
    <t>Vol sesuai kondisi</t>
  </si>
  <si>
    <t>Hutan Sekunder</t>
  </si>
  <si>
    <t>Semak Belukar</t>
  </si>
  <si>
    <t>Tumbang</t>
  </si>
  <si>
    <t>Cincang</t>
  </si>
  <si>
    <t>Perun Mekanis</t>
  </si>
  <si>
    <t>Buldozer 1</t>
  </si>
  <si>
    <t>HM</t>
  </si>
  <si>
    <t>HM/Ha</t>
  </si>
  <si>
    <t>3 HM/HA Penggemburan Tanah dan Pemutusan Akar, total rupiah sudah termasuk harga sewa alat dan BBM</t>
  </si>
  <si>
    <t>Waker Alat</t>
  </si>
  <si>
    <t>Angkutan Material</t>
  </si>
  <si>
    <t>RIT</t>
  </si>
  <si>
    <t>Angkut BBM</t>
  </si>
  <si>
    <t>Pancang Chiping</t>
  </si>
  <si>
    <t>Pemancangan Titik Rumpuk Hasil Chippingan</t>
  </si>
  <si>
    <t>Tumbang Chiping</t>
  </si>
  <si>
    <t>Excavator 1</t>
  </si>
  <si>
    <t>12 Pokok/HM, Total rupiah sudah termasuk harga sewa alat dan BBM</t>
  </si>
  <si>
    <t>Waker Alat 4 Orang, 2 Alat</t>
  </si>
  <si>
    <t>Angkut Solar</t>
  </si>
  <si>
    <t>Aplikasi Metharizium</t>
  </si>
  <si>
    <t>Metharizium</t>
  </si>
  <si>
    <t>Total rupiah sudah termasuk harga sewa alat, dan BBM</t>
  </si>
  <si>
    <t>Tutup Lubang CECT dan Perataan Tanah</t>
  </si>
  <si>
    <t>Waker Alat 2 Orang</t>
  </si>
  <si>
    <t>Lubang Tanam Mekanis/Auger</t>
  </si>
  <si>
    <t>Pancang Kepala</t>
  </si>
  <si>
    <t>Pancang Kepala 1 HK = 4 HA</t>
  </si>
  <si>
    <t>Lubang Tanah Mekanis/Auger</t>
  </si>
  <si>
    <t>94 Lubang/1HM = 940 Lubang/10 HM/Hari</t>
  </si>
  <si>
    <t>Pemberantasan Lalang dan Gulma Lainnya</t>
  </si>
  <si>
    <t>Sprayer (Inter)</t>
  </si>
  <si>
    <t>Glyphosate</t>
  </si>
  <si>
    <t>Liter</t>
  </si>
  <si>
    <t>Metil Metsulfuron</t>
  </si>
  <si>
    <t>Parakuat</t>
  </si>
  <si>
    <t>Perekat</t>
  </si>
  <si>
    <t>Premi Extra Fooding</t>
  </si>
  <si>
    <t>Celemek</t>
  </si>
  <si>
    <t>X</t>
  </si>
  <si>
    <t>Masker Chemical</t>
  </si>
  <si>
    <t>Kaca mata</t>
  </si>
  <si>
    <t>Sarung Tangan Karet</t>
  </si>
  <si>
    <t>Sepatu Boots</t>
  </si>
  <si>
    <t>Transportasi Air</t>
  </si>
  <si>
    <t>TUS 1</t>
  </si>
  <si>
    <t>Becano</t>
  </si>
  <si>
    <t>Pasang</t>
  </si>
  <si>
    <t>Pemadatan Tanah</t>
  </si>
  <si>
    <t>Pembersihan Jalur Tanam</t>
  </si>
  <si>
    <t>Biaya Lainnya / Survey</t>
  </si>
  <si>
    <t>Meteran</t>
  </si>
  <si>
    <t>SUB JUMLAH IMAS TUMBANG PERUN</t>
  </si>
  <si>
    <t>PEMBUATAN SARANA PRASARANA</t>
  </si>
  <si>
    <t>PEMBUATAN JALAN</t>
  </si>
  <si>
    <t>Pembuatan Jalan Utama</t>
  </si>
  <si>
    <t>Greader 1</t>
  </si>
  <si>
    <t>Pembuatan Jalan Produksi</t>
  </si>
  <si>
    <t>Pembuatan Jalan Koleksi</t>
  </si>
  <si>
    <t>Pembuatan Jalan Pringgan</t>
  </si>
  <si>
    <t>SUB JUMLAH PEMBUATAN JALAN</t>
  </si>
  <si>
    <t>PEMBUATAN JEMBATAN</t>
  </si>
  <si>
    <t>Jembatan Permanen s/d 3 Mtr</t>
  </si>
  <si>
    <t>Bahan Jembatan Permanen 1</t>
  </si>
  <si>
    <t>TLB 1</t>
  </si>
  <si>
    <t>Jembatan Permanen 4-6 Mtr</t>
  </si>
  <si>
    <t>Bahan Jembatan Permanen 2</t>
  </si>
  <si>
    <t>Jembatan Permanen 6-9 mtr</t>
  </si>
  <si>
    <t>Bahan Jembatan Permanen 3</t>
  </si>
  <si>
    <t>Pembuatan Jembatan Semi Permanen &gt; 2 Mtr</t>
  </si>
  <si>
    <t>Bahan Jembatan Semi Permanen 1</t>
  </si>
  <si>
    <t>Gorong-Gorong 40 CM</t>
  </si>
  <si>
    <t>Gorong-Gorong 60 CM</t>
  </si>
  <si>
    <t>Gorong-Gorong 80 CM</t>
  </si>
  <si>
    <t>SUB JUMLAH PEMBUATAN JEMBATAN</t>
  </si>
  <si>
    <t>PEMBUATAN PARIT</t>
  </si>
  <si>
    <t>Pembuatan Parit Primer (4x4)</t>
  </si>
  <si>
    <t>Pembuatan Parit Sekunder (2x2)</t>
  </si>
  <si>
    <t>65 meter/HM</t>
  </si>
  <si>
    <t>N 01 buat parit kiri kanan jalan bantu</t>
  </si>
  <si>
    <t>Mtr</t>
  </si>
  <si>
    <t>60 m/Hm BLOK N 01</t>
  </si>
  <si>
    <t>SUB JUMLAH PEMBUATAN PARIT</t>
  </si>
  <si>
    <t>CUCI PARIT</t>
  </si>
  <si>
    <t>Cuci Parit Primer (4X4)</t>
  </si>
  <si>
    <t>Cuci Parit Tersier (1X1) Parit Alam</t>
  </si>
  <si>
    <t>60 Meter/HM</t>
  </si>
  <si>
    <t>SUB JUMLAH CUCI PARIT</t>
  </si>
  <si>
    <t>PEMELIHARAAN PINTU AIR</t>
  </si>
  <si>
    <t>Material Pintu Air 1</t>
  </si>
  <si>
    <t>SUB JUMLAH PEMELIHARAAN PINTU AIR</t>
  </si>
  <si>
    <t>PENGAWETAN TANAH</t>
  </si>
  <si>
    <t>Cangkul</t>
  </si>
  <si>
    <t>Rorak / Benteng</t>
  </si>
  <si>
    <t>Kontur / Teras</t>
  </si>
  <si>
    <t xml:space="preserve">Blok N13 </t>
  </si>
  <si>
    <t>Jalan</t>
  </si>
  <si>
    <t>MTR/HM</t>
  </si>
  <si>
    <t>SUB JUMLAH PENGAWETAN TANAH</t>
  </si>
  <si>
    <t>PEMBUATAN BARAK</t>
  </si>
  <si>
    <t>Pembuatan Barak Tipe A</t>
  </si>
  <si>
    <t>G 10A Kayu</t>
  </si>
  <si>
    <t>Pembuatan Barak Tipe B</t>
  </si>
  <si>
    <t>G 10B Kayu</t>
  </si>
  <si>
    <t>Pembuatan Barak Tipe C</t>
  </si>
  <si>
    <t>G 10C Kayu</t>
  </si>
  <si>
    <t>SUB JUMLAH PEMBUATAN BARAK</t>
  </si>
  <si>
    <t>PEMELIHARAAN TITI PASAR RINTIS</t>
  </si>
  <si>
    <t>Titi Panen 3</t>
  </si>
  <si>
    <t>Pembuatan Pasar Pikul (Mekanis</t>
  </si>
  <si>
    <t>Timbun &amp; Benam Batang Kelapa Sawit</t>
  </si>
  <si>
    <t>SUB JUMLAH PEMBUATAN SARANA PRASARANA</t>
  </si>
  <si>
    <t>SUB TOTAL PEMBUKAAN LAHAN</t>
  </si>
  <si>
    <t>SUB TOTAL LC (AREAL RENDAHAN)</t>
  </si>
  <si>
    <t>TANAM DAN PEMELIHARAAN AWAL</t>
  </si>
  <si>
    <t>TANAM KACANGAN</t>
  </si>
  <si>
    <t>Upah Muat, Ecer, dan Tanam</t>
  </si>
  <si>
    <t>PJ</t>
  </si>
  <si>
    <t>CM</t>
  </si>
  <si>
    <t>Upah Semai MB Bibitan</t>
  </si>
  <si>
    <t>Semai + Pelukaan benih mucuna</t>
  </si>
  <si>
    <t>Upah Isi Tanah</t>
  </si>
  <si>
    <t>Isi, langsir dan susun ke bedengan</t>
  </si>
  <si>
    <t>Rock Phosphate</t>
  </si>
  <si>
    <t>Pupuk Dasar untuk Pengisian Tanah MB 50 Gram/Bag</t>
  </si>
  <si>
    <t>MB (Mocuna Bracteata)</t>
  </si>
  <si>
    <t>Kg/Ha</t>
  </si>
  <si>
    <t>1 Kg : 2500 Biji (50% dari 5.000 Bj)</t>
  </si>
  <si>
    <t xml:space="preserve">Plastik Gula </t>
  </si>
  <si>
    <t>Pcs</t>
  </si>
  <si>
    <t>1 ha : 680 Babybag MB (1 pkk sawit 5 babybag MB)</t>
  </si>
  <si>
    <t>Angkutan Ke Lapangan</t>
  </si>
  <si>
    <t>Rit</t>
  </si>
  <si>
    <t>Menggunakan BIN Amroll 1 Rit 3000 Pkk Mucuna</t>
  </si>
  <si>
    <t>Angkutan Tanah</t>
  </si>
  <si>
    <t>M3</t>
  </si>
  <si>
    <t>Berat Tanah Per Bag 2 Kg</t>
  </si>
  <si>
    <t>Stok Top Soil dan Loading Tanah ke Unit Angkutan</t>
  </si>
  <si>
    <t>1 kg = 3,67 Ha 192,08 Ha = 52,3 Kg asumsi 2500 biji per kg</t>
  </si>
  <si>
    <t>Papan</t>
  </si>
  <si>
    <t>Bedeng</t>
  </si>
  <si>
    <t>PHPT Insect</t>
  </si>
  <si>
    <t>CYPERMETHRIN</t>
  </si>
  <si>
    <t>30 ml/kap untuk 3000 bibit</t>
  </si>
  <si>
    <t>0,4 ml/kap untuk 3000 bibit</t>
  </si>
  <si>
    <t>Bibit</t>
  </si>
  <si>
    <t>PHPT Fungisida</t>
  </si>
  <si>
    <t>Antracol</t>
  </si>
  <si>
    <t>60 gram/kap untuk 3000 bibit</t>
  </si>
  <si>
    <t>2 Orang/Hari</t>
  </si>
  <si>
    <t>Perakitan Instalasi Air MB</t>
  </si>
  <si>
    <t>Instalasi Air</t>
  </si>
  <si>
    <t>Set</t>
  </si>
  <si>
    <t>Pipa 2"=20, T 4X2=5, Stop Kran 2"=5, Lem Pipa=3 
Dop 2" = 5, T 2X3/4=25, Sumi=25, Pipa 4"=5,Baut Mur=10
Baut Reng=20, sealtape = 5</t>
  </si>
  <si>
    <t>1kg = 100 plastik gula</t>
  </si>
  <si>
    <t>Bongkar Tumbuhan Pengganggu (Chemist)</t>
  </si>
  <si>
    <t>SUB TOTAL TANAM KACANGAN &amp; PEMELIHARAAN</t>
  </si>
  <si>
    <t>PEMUPUKAN KACANGAN</t>
  </si>
  <si>
    <t>ANORGANIK</t>
  </si>
  <si>
    <t>- NPK Granule dan RP</t>
  </si>
  <si>
    <t>Upah PHL Until Pupuk</t>
  </si>
  <si>
    <t>Takaran Pupuk</t>
  </si>
  <si>
    <t>5 Gram/Pkk</t>
  </si>
  <si>
    <t>NPK 15-15-6-4+TE</t>
  </si>
  <si>
    <t>Pemupukan Lainnya</t>
  </si>
  <si>
    <t>Bahan</t>
  </si>
  <si>
    <t>Farm Traktor 1</t>
  </si>
  <si>
    <t>Angkutan Pupuk (Intern/Ekstern)</t>
  </si>
  <si>
    <t>Ton</t>
  </si>
  <si>
    <t>Upah BM Pupuk Intern</t>
  </si>
  <si>
    <t>Ecer Pupuk</t>
  </si>
  <si>
    <t>Angkutan Pupuk 1</t>
  </si>
  <si>
    <t>Upah BM Pupuk Ekstern</t>
  </si>
  <si>
    <t>SUB TOTAL PEMUPUKKAN KACANGAN</t>
  </si>
  <si>
    <t>TANAM SAWIT</t>
  </si>
  <si>
    <t>420.024 Per Ha</t>
  </si>
  <si>
    <t>Anak Pancang</t>
  </si>
  <si>
    <t>13.600 Per Ha</t>
  </si>
  <si>
    <t>Plastik Gula</t>
  </si>
  <si>
    <t>1 Kg = 100 lembar</t>
  </si>
  <si>
    <t>500 Gram/Pkk</t>
  </si>
  <si>
    <t>Trichoderma</t>
  </si>
  <si>
    <t>250 Gram/Pkk</t>
  </si>
  <si>
    <t>Hayati</t>
  </si>
  <si>
    <t>Mikoriza</t>
  </si>
  <si>
    <t>150 Gram/Pkk</t>
  </si>
  <si>
    <t>DOLOMITE</t>
  </si>
  <si>
    <t>Luas Volume</t>
  </si>
  <si>
    <t>Bongkar Muat Bibit</t>
  </si>
  <si>
    <t>Pokok</t>
  </si>
  <si>
    <t xml:space="preserve">Bibit KS </t>
  </si>
  <si>
    <t>Angkutan Bibit KS</t>
  </si>
  <si>
    <t>SUB TOTAL TANAM SAWIT</t>
  </si>
  <si>
    <t>PEMELIHARAAN SAWIT</t>
  </si>
  <si>
    <t>PHPT</t>
  </si>
  <si>
    <t>Ulat Api</t>
  </si>
  <si>
    <t>Decis</t>
  </si>
  <si>
    <t xml:space="preserve">Sprayer </t>
  </si>
  <si>
    <t>Tikus</t>
  </si>
  <si>
    <t>Rodentisida</t>
  </si>
  <si>
    <t>Kumbang Tanduk</t>
  </si>
  <si>
    <t>Marshal</t>
  </si>
  <si>
    <t>KG</t>
  </si>
  <si>
    <t>Kapur Barus</t>
  </si>
  <si>
    <t>Pak</t>
  </si>
  <si>
    <t>Furadan</t>
  </si>
  <si>
    <t>Ember</t>
  </si>
  <si>
    <t>Aplikasi Di Lubang Tanam, Pokok Gano 8, Suspek Gano 208</t>
  </si>
  <si>
    <t>Trichoderma = 500 Gram</t>
  </si>
  <si>
    <t>Mikoriza = 200 Gram</t>
  </si>
  <si>
    <t>Crown Dease</t>
  </si>
  <si>
    <t>Dithan</t>
  </si>
  <si>
    <t>Ltr</t>
  </si>
  <si>
    <t>Kuproxite</t>
  </si>
  <si>
    <t>4 HK/HA</t>
  </si>
  <si>
    <t>SUB TOTAL PEMELIHARAAN SAWIT</t>
  </si>
  <si>
    <t>PEMUPUKAN SAWIT</t>
  </si>
  <si>
    <t>Umur 1 Bulan = 75 Gram</t>
  </si>
  <si>
    <t>Urea</t>
  </si>
  <si>
    <t>Pemupukan Urea</t>
  </si>
  <si>
    <t>Pemupukan Rock Phosphate</t>
  </si>
  <si>
    <t>Pemupukan MOP</t>
  </si>
  <si>
    <t>MOP</t>
  </si>
  <si>
    <t>Pemupukan Kieserite</t>
  </si>
  <si>
    <t>Kieserite</t>
  </si>
  <si>
    <t>Pemupukan Borate</t>
  </si>
  <si>
    <t>Borate</t>
  </si>
  <si>
    <t>Pemupukan NPK Tablet 15-15-15</t>
  </si>
  <si>
    <t>NPK TABLET 15-15-15-1-3+TE</t>
  </si>
  <si>
    <t>Pemupukan Organik (Janjang Kosong)</t>
  </si>
  <si>
    <t>Angkutan JJK 1</t>
  </si>
  <si>
    <t>Organik</t>
  </si>
  <si>
    <t>Angkutan Pupuk 2</t>
  </si>
  <si>
    <t>SUB TOTAL PEMUPUKKAN SAWIT</t>
  </si>
  <si>
    <t>SUB TOTAL TANAM+PEMELIHARAAN</t>
  </si>
  <si>
    <t>PENGAWASAN DAN ADMINISTRASI</t>
  </si>
  <si>
    <t>Upah 2 Orang Mandor Replanting</t>
  </si>
  <si>
    <t>Unit Manager 1</t>
  </si>
  <si>
    <t>HA</t>
  </si>
  <si>
    <t>Unit Askep 1</t>
  </si>
  <si>
    <t>Adminitrasi</t>
  </si>
  <si>
    <t>ATK</t>
  </si>
  <si>
    <t>Lainnya</t>
  </si>
  <si>
    <t>SUB TOTAL PENGAWASAN</t>
  </si>
  <si>
    <t>GRAND TOTAL TB (AREAL MINERAL)</t>
  </si>
  <si>
    <t>TOTAL (AREAL RENDAHAN)</t>
  </si>
  <si>
    <t>AREAL MINERAL</t>
  </si>
  <si>
    <t>LC</t>
  </si>
  <si>
    <t>LCC</t>
  </si>
  <si>
    <t>TB</t>
  </si>
  <si>
    <t>TOTAL LC-TB</t>
  </si>
  <si>
    <t>TBM1</t>
  </si>
  <si>
    <t>TBM2</t>
  </si>
  <si>
    <t>TBM3</t>
  </si>
  <si>
    <t>GRAND TOTAL AREAL MINERAL</t>
  </si>
  <si>
    <t>AREAL RENDAHAN</t>
  </si>
  <si>
    <t>GRAND TOTAL AREAL RENDAHAN</t>
  </si>
  <si>
    <t>Serak :</t>
  </si>
  <si>
    <t>RENCANA BIAYA REPLANTING TANAM BARU DENGAN CIPPING SERAK DAN TERAS BERSAMBUNG</t>
  </si>
  <si>
    <t>2,85 HM/HA Penggemburan Tanah dan Pemutusan Akar</t>
  </si>
  <si>
    <t>12 Pokok/HM</t>
  </si>
  <si>
    <t>1 HM 90 Lubang, 10 HM 900 Lubang</t>
  </si>
  <si>
    <t>N 01 N20</t>
  </si>
  <si>
    <t xml:space="preserve">60 m/Hm BLOK N 01 &amp; N20 (15% dari luasan) </t>
  </si>
  <si>
    <t>Cuci Parit Sekunder (2X2)</t>
  </si>
  <si>
    <t>Cuci Parit Tersier (1X1)</t>
  </si>
  <si>
    <t>Meter</t>
  </si>
  <si>
    <t>Jalan Selendang</t>
  </si>
  <si>
    <t>50 Meter/HM Jalan N13=962 meter = 11,10 HM</t>
  </si>
  <si>
    <t>KM</t>
  </si>
  <si>
    <t>SUB JUMLAH PEMBUATAN PASAR PIKUL MEKANIS</t>
  </si>
  <si>
    <t>Upah</t>
  </si>
  <si>
    <t>Cypermetrine</t>
  </si>
  <si>
    <t>400 Gram/Pkk</t>
  </si>
  <si>
    <t>Farm Traktor 2</t>
  </si>
  <si>
    <t>PEMELIHARAAN</t>
  </si>
  <si>
    <t>Penyakit Batang</t>
  </si>
  <si>
    <t>Marfu</t>
  </si>
  <si>
    <t>- NPK Granule</t>
  </si>
  <si>
    <t>Waker Alat 6 Orang dan 2 Orang Mandor Replanting</t>
  </si>
  <si>
    <t>TOTAL TB (AREAL MINERAL)</t>
  </si>
  <si>
    <t>Luas:</t>
  </si>
  <si>
    <t>TBM 1</t>
  </si>
  <si>
    <t>Rizhobium</t>
  </si>
  <si>
    <t>Bongkar Tumbuhan Pengganggu</t>
  </si>
  <si>
    <t>Masker</t>
  </si>
  <si>
    <t>SUB TOTAL TANAMAN KACANGAN</t>
  </si>
  <si>
    <t>TANAMAN BELUM MENGHASILKAN</t>
  </si>
  <si>
    <t>PEMBUATAN PIRINGAN, PASAR RINTIS, TPH DAN TITI PASAR RINTIS</t>
  </si>
  <si>
    <t>SUB TOTAL PEMBUATAN PIRINGAN</t>
  </si>
  <si>
    <t>Pembuatan Pasar Rintis</t>
  </si>
  <si>
    <t>Titi Pasar Rintis 1</t>
  </si>
  <si>
    <t>SUB TOTAL PEMBUATAN TITI PASAR RINTIS</t>
  </si>
  <si>
    <t>Pembuatan Pasar Pikul / Pasar Tengah</t>
  </si>
  <si>
    <t>Parang</t>
  </si>
  <si>
    <t>SUB TOTAL PEMBUATAN PIRINGAN,PASAR RINTIS,DAN TITI PASAR RINTIS</t>
  </si>
  <si>
    <t>PENGENDALIAN GULMA</t>
  </si>
  <si>
    <t>Pemel. Piringan, TPH dan Pasar Rintis (Manual)</t>
  </si>
  <si>
    <t>Pemeliharaan TPH Manual</t>
  </si>
  <si>
    <t>SUB TOTAL PEMELIHARAAN PIRINGAN,TPH,PASAR RINTIS</t>
  </si>
  <si>
    <t>Pemel. Piringan, TPH dan Pasar Rintis (Chemis)</t>
  </si>
  <si>
    <t>Rotasi 1 X perlu dibahas ulang</t>
  </si>
  <si>
    <t>Pemeliharaan TPH (Chemist)</t>
  </si>
  <si>
    <t>Pemeliharaan Pasar Rintis (Chemist)</t>
  </si>
  <si>
    <t>Basmi Bambu</t>
  </si>
  <si>
    <t>SUB TOTAL PEMELIHARAAN GAWANGAN MANUAL</t>
  </si>
  <si>
    <t>Triclophir</t>
  </si>
  <si>
    <t>SUB TOTAL PEMELIHARAAN GAWANGAN CHEMIST</t>
  </si>
  <si>
    <t>(AREAL RENDAHAN)</t>
  </si>
  <si>
    <t>Sprayer</t>
  </si>
  <si>
    <t>Pemberantasan Lalang (Spraying/Spot/Wiping)</t>
  </si>
  <si>
    <t>Sheet Lalang</t>
  </si>
  <si>
    <t>z</t>
  </si>
  <si>
    <t>Rit/Ha</t>
  </si>
  <si>
    <t>SUB TOTAL PEMBERANTASAN LALANG</t>
  </si>
  <si>
    <t>SUB TOTAL PENGENDALIAN GULMA</t>
  </si>
  <si>
    <t>PEMELIHARAAN POKOK</t>
  </si>
  <si>
    <t>Dodos 4"</t>
  </si>
  <si>
    <t>Batu Asah</t>
  </si>
  <si>
    <t>Sarung Dodos</t>
  </si>
  <si>
    <t>Dodos 3"</t>
  </si>
  <si>
    <t>Penyisipan dan Konsolidasi</t>
  </si>
  <si>
    <t>Pkk</t>
  </si>
  <si>
    <t>5 % sampai TBM 2</t>
  </si>
  <si>
    <t>TBM 1 3%</t>
  </si>
  <si>
    <t>SUB TOTAL PENYISIPAN DAN KONSOLIDASI</t>
  </si>
  <si>
    <t>Alat Sensus</t>
  </si>
  <si>
    <t>SUB TOTAL SURVEY DAN SENSUS</t>
  </si>
  <si>
    <t>SUB TOTAL PEMELIHARAAN POKOK</t>
  </si>
  <si>
    <t>PEMELIHARAAN PRASARANA</t>
  </si>
  <si>
    <t>Batu 1</t>
  </si>
  <si>
    <t xml:space="preserve">Laterit </t>
  </si>
  <si>
    <t>Compactor 1</t>
  </si>
  <si>
    <t>SUB TOTAL JALAN</t>
  </si>
  <si>
    <t>Jembatan</t>
  </si>
  <si>
    <t>Jembatan 1 Meter</t>
  </si>
  <si>
    <t>Jembatan 3 x 4 Meter</t>
  </si>
  <si>
    <t>Jembatan 4 x 4 Meter</t>
  </si>
  <si>
    <t>Jembatan 4 x 6 Meter</t>
  </si>
  <si>
    <t>Jembatan 4 x 8 Meter</t>
  </si>
  <si>
    <t>HDPE Culvert 1.0 X6 Triplewall</t>
  </si>
  <si>
    <t>HDPE Culvert 1.8X6 Triplewall</t>
  </si>
  <si>
    <t>HDPE Culvert 2.3X6 Triplewall</t>
  </si>
  <si>
    <t>Box Culvert 1 Meter</t>
  </si>
  <si>
    <t>Jembatan Semi Permanen</t>
  </si>
  <si>
    <t>Gorong-gorong 60 cm</t>
  </si>
  <si>
    <t>Gorong-gorong 80 cm</t>
  </si>
  <si>
    <t>SUB TOTAL JEMBATAN DAN GORONG-GORONG</t>
  </si>
  <si>
    <t>Parit</t>
  </si>
  <si>
    <t>Parit 4 X 4</t>
  </si>
  <si>
    <t>Parit 2 X 2</t>
  </si>
  <si>
    <t>Parit 1 X 1</t>
  </si>
  <si>
    <t>Pintu Air</t>
  </si>
  <si>
    <t>Perbatasan Pringgan</t>
  </si>
  <si>
    <t>Galangan Api</t>
  </si>
  <si>
    <t>Barak Karyawan / Pondok Hujan</t>
  </si>
  <si>
    <t>Material Pondok Hujan</t>
  </si>
  <si>
    <t>SUB TOTAL PEMELIHARAAN PRASARANA</t>
  </si>
  <si>
    <t>Kontur</t>
  </si>
  <si>
    <t>SUB TOTAL PENGAWETAN TANAH</t>
  </si>
  <si>
    <t>PENGENDALIAN HAMA DAN PENYAKIT</t>
  </si>
  <si>
    <t>Klerat di DPB</t>
  </si>
  <si>
    <t>SUB TOTAL HAMA TIKUS</t>
  </si>
  <si>
    <t>Hama Babi</t>
  </si>
  <si>
    <t>SUB TOTAL HAMA ULAT API</t>
  </si>
  <si>
    <t>Rayap</t>
  </si>
  <si>
    <t>Hama Lainnya (Oryctes)</t>
  </si>
  <si>
    <t>Pheromone</t>
  </si>
  <si>
    <t>Sct</t>
  </si>
  <si>
    <t>Ferotrap</t>
  </si>
  <si>
    <t>SUB TOTAL PENGENDALIAN ORYCTES</t>
  </si>
  <si>
    <t>Busuk Batang</t>
  </si>
  <si>
    <t>Batang/Crown Disease</t>
  </si>
  <si>
    <t>Vol disesuaikan</t>
  </si>
  <si>
    <t>Penyakit Lainnya</t>
  </si>
  <si>
    <t>SUB TOTAL PENGENDALIAN HAMA DAN PENYAKIT</t>
  </si>
  <si>
    <t>PEMUPUKAN KELAPA SAWIT</t>
  </si>
  <si>
    <t>Anorganik</t>
  </si>
  <si>
    <t>Umur 3 Bulan=575 gram</t>
  </si>
  <si>
    <t>Umur 5 Bulan=575 gram</t>
  </si>
  <si>
    <t>Umur 8 Bulan=950 gram</t>
  </si>
  <si>
    <t>Umur 12 Bulan=950 gram</t>
  </si>
  <si>
    <t>NPK 12-12-17-2+0,65B</t>
  </si>
  <si>
    <t>NPK 12-12-17-2+TE</t>
  </si>
  <si>
    <t>SUB TOTAL NPK 12</t>
  </si>
  <si>
    <t>- Dolomite</t>
  </si>
  <si>
    <t>Umur 3 Bulan=150 gram</t>
  </si>
  <si>
    <t>Umur 5 Bulan=150 gram</t>
  </si>
  <si>
    <t>Umur 8 Bulan=225 gram</t>
  </si>
  <si>
    <t>Umur 12 Bulan=225 gram</t>
  </si>
  <si>
    <t>SUB TOTAL DOLOMITE</t>
  </si>
  <si>
    <t>- Borate</t>
  </si>
  <si>
    <t>Umur 12 Bulan=20 gram</t>
  </si>
  <si>
    <t>SUB TOTAL BORATE</t>
  </si>
  <si>
    <t>Angkong</t>
  </si>
  <si>
    <t>Gancu</t>
  </si>
  <si>
    <t>SUB TOTAL JANJANG KOSONG</t>
  </si>
  <si>
    <t>Mill Effluent (Limbah Pabrik)</t>
  </si>
  <si>
    <t>SUB TOTAL PENGANGKUTAN PUPUK</t>
  </si>
  <si>
    <t>SUB TOTAL PEMUPUKKAN KELAPA SAWIT</t>
  </si>
  <si>
    <t>SUB TOTAL PENGAWASAN DAN ADMINISTRASI</t>
  </si>
  <si>
    <t>GRAND TOTAL TBM 1</t>
  </si>
  <si>
    <t>TBM 2</t>
  </si>
  <si>
    <t>FLUROXYPYR</t>
  </si>
  <si>
    <t>SUB TOTAL PEMELIHARAAN PIRINGAN/PASAR RINTIS CHEMIST</t>
  </si>
  <si>
    <t>SUB TOTAL KASTRASI</t>
  </si>
  <si>
    <t>Penyisipan 2%</t>
  </si>
  <si>
    <t>SUB TOTAL PENYISIPAN</t>
  </si>
  <si>
    <t>5 gr/pkk/2minggu</t>
  </si>
  <si>
    <t>SUB TOTAL PENGENDALIAN HAMA &amp; PENYAKIT</t>
  </si>
  <si>
    <t>Umur 18 Bulan=500 gram</t>
  </si>
  <si>
    <t>SUB TOTAL PEMUPUKKAN HAYATI</t>
  </si>
  <si>
    <t>Umur 18 Bulan=375 gram</t>
  </si>
  <si>
    <t>Umur 20 Bulan=375 gram</t>
  </si>
  <si>
    <t>Umur 24 Bulan=375 gram</t>
  </si>
  <si>
    <t>SUB TOTAL PEMUPUKKAN DOLOMITE</t>
  </si>
  <si>
    <t>-NPK 12-12-17-2+0,65B</t>
  </si>
  <si>
    <t>Umur 18 Bulan=1500 gram</t>
  </si>
  <si>
    <t>Umur 20 Bulan=750 gram</t>
  </si>
  <si>
    <t>Umur 24 Bulan=1875 gram</t>
  </si>
  <si>
    <t>SUB TOTAL PEMUPUKKAN NPK 12</t>
  </si>
  <si>
    <t>Umur 24 Bulan=50 gram</t>
  </si>
  <si>
    <t>SUB TOTAL PEMUPUKKAN BORATE</t>
  </si>
  <si>
    <t>78 Kg/Pkk, bor 32.000/Ton</t>
  </si>
  <si>
    <t>SUB TOTAL JANGKOS</t>
  </si>
  <si>
    <t>SUB TOTAL PENGAWASAN &amp; ADMINISTRASI</t>
  </si>
  <si>
    <t>GRAND TOTAL TBM 2</t>
  </si>
  <si>
    <t>Luas :</t>
  </si>
  <si>
    <t>TBM 3</t>
  </si>
  <si>
    <t>SUB TOTAL TANAM KACANGAN</t>
  </si>
  <si>
    <t>SUB TOTAL PEMBUATAN TPH</t>
  </si>
  <si>
    <t>SUB TOTAL PEMBUATAN PIRINGAN,PASAR RINTIS,TPH &amp; TITI PASAR RINTIS</t>
  </si>
  <si>
    <t>SUB TOTAL PEMEL PIRINGAN MANUAL</t>
  </si>
  <si>
    <t>SUB TOTAL PEMEL PASAR RINTIS MANUAL</t>
  </si>
  <si>
    <t>SUB TOTAL PEMEL PIRINGAN/PASAR RINTIS CHEMIST</t>
  </si>
  <si>
    <t>SUB TOTAL PEMEL GAWANGAN MANUAL</t>
  </si>
  <si>
    <t>SUB TOTAL PEMEL GAWANGAN CHEMIST</t>
  </si>
  <si>
    <t>SUB TOTAL SANITASI</t>
  </si>
  <si>
    <t>SUB TOTAL JEMBATAN &amp; GORONG-GORONG</t>
  </si>
  <si>
    <t>5 gram/Pokok/2 Minggu</t>
  </si>
  <si>
    <t>Umur 28 Bulan=750 gram</t>
  </si>
  <si>
    <t>Umur 28 Bulan=575 gram</t>
  </si>
  <si>
    <t>Umur 32 Bulan=750 gram</t>
  </si>
  <si>
    <t>Umur 36 Bulan=750 gram</t>
  </si>
  <si>
    <t>SUB TOTAL PEMUPUKKAN DOLOMIT</t>
  </si>
  <si>
    <t>Umur 28 Bulan=1875 gram</t>
  </si>
  <si>
    <t>Umur 32 Bulan=950 gram</t>
  </si>
  <si>
    <t>Umur 36 Bulan=2075 gram</t>
  </si>
  <si>
    <t>Umur 36 Bulan=50 gram</t>
  </si>
  <si>
    <t>170 Kg/Pkk</t>
  </si>
  <si>
    <t>GRAND TOTAL JUMLAH BIAYA TBM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</si>
</sst>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(* #,##0_);_(* \(#,##0\);_(* &quot;-&quot;_);_(@_)"/>
    <numFmt numFmtId="165" formatCode="_(* #,##0.0000_);_(* \(#,##0.0000\);_(* &quot;-&quot;_);_(@_)"/>
    <numFmt numFmtId="166" formatCode="_(* #,##0.00_);_(* \(#,##0.00\);_(* &quot;-&quot;_);_(@_)"/>
    <numFmt numFmtId="167" formatCode="_(* #,##0.00000000_);_(* \(#,##0.00000000\);_(* &quot;-&quot;_);_(@_)"/>
    <numFmt numFmtId="168" formatCode="_(* #,##0.00_);_(* \(#,##0.00\);_(* &quot;-&quot;??_);_(@_)"/>
    <numFmt numFmtId="169" formatCode="_(* #,##0.0_);_(* \(#,##0.0\);_(* &quot;-&quot;??_);_(@_)"/>
    <numFmt numFmtId="170" formatCode="_(* #,##0_);_(* \(#,##0\);_(* &quot;-&quot;??_);_(@_)"/>
    <numFmt numFmtId="171" formatCode="_-* #,##0.0_-;\-* #,##0.0_-;_-* &quot;-&quot;?_-;_-@_-"/>
    <numFmt numFmtId="172" formatCode="0.00\ &quot; Ha&quot;"/>
    <numFmt numFmtId="173" formatCode="_(* #,##0.0000_);_(* \(#,##0.0000\);_(* &quot;-&quot;??_);_(@_)"/>
    <numFmt numFmtId="174" formatCode="_-* #,##0_-;\-* #,##0_-;_-* &quot;-&quot;??_-;_-@_-"/>
    <numFmt numFmtId="175" formatCode="_(* #,##0.000_);_(* \(#,##0.000\);_(* &quot;-&quot;??_);_(@_)"/>
    <numFmt numFmtId="176" formatCode="_(* #,##0.00000_);_(* \(#,##0.00000\);_(* &quot;-&quot;??_);_(@_)"/>
    <numFmt numFmtId="177" formatCode="_(* #,##0.000000_);_(* \(#,##0.000000\);_(* &quot;-&quot;??_);_(@_)"/>
    <numFmt numFmtId="178" formatCode="_(* #,##0.0_);_(* \(#,##0.0\);_(* &quot;-&quot;_);_(@_)"/>
    <numFmt numFmtId="179" formatCode="0.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mbria"/>
      <family val="1"/>
      <scheme val="major"/>
    </font>
    <font>
      <b/>
      <sz val="10"/>
      <name val="Cambria"/>
      <family val="1"/>
      <scheme val="major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b/>
      <sz val="12"/>
      <name val="Cambria"/>
      <family val="1"/>
      <scheme val="major"/>
    </font>
    <font>
      <sz val="8"/>
      <color indexed="10"/>
      <name val="Cambria"/>
      <family val="1"/>
      <scheme val="major"/>
    </font>
    <font>
      <sz val="10"/>
      <name val="Cambria"/>
      <family val="1"/>
      <scheme val="major"/>
    </font>
    <font>
      <b/>
      <sz val="11"/>
      <name val="Cambria"/>
      <family val="1"/>
      <scheme val="major"/>
    </font>
    <font>
      <sz val="8"/>
      <name val="Times New Roman"/>
      <family val="1"/>
    </font>
    <font>
      <sz val="11"/>
      <name val="Cambria"/>
      <family val="1"/>
      <scheme val="major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b/>
      <sz val="8"/>
      <name val="Cambria"/>
      <family val="1"/>
      <scheme val="major"/>
    </font>
    <font>
      <sz val="10"/>
      <name val="Arial"/>
      <family val="2"/>
      <charset val="1"/>
    </font>
    <font>
      <b/>
      <sz val="8"/>
      <color indexed="10"/>
      <name val="Cambria"/>
      <family val="1"/>
      <scheme val="major"/>
    </font>
    <font>
      <b/>
      <sz val="8"/>
      <name val="Arial"/>
      <family val="2"/>
    </font>
    <font>
      <sz val="12"/>
      <name val="Cambria"/>
      <family val="1"/>
      <scheme val="major"/>
    </font>
    <font>
      <sz val="14"/>
      <name val="Cambria"/>
      <family val="1"/>
      <scheme val="major"/>
    </font>
    <font>
      <b/>
      <sz val="14"/>
      <name val="Cambria"/>
      <family val="1"/>
      <scheme val="major"/>
    </font>
    <font>
      <sz val="14"/>
      <color indexed="10"/>
      <name val="Cambria"/>
      <family val="1"/>
      <scheme val="major"/>
    </font>
    <font>
      <b/>
      <u/>
      <sz val="14"/>
      <name val="Cambria"/>
      <family val="1"/>
      <scheme val="major"/>
    </font>
    <font>
      <b/>
      <u/>
      <sz val="12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indexed="8"/>
      <name val="Cambria"/>
      <family val="1"/>
      <scheme val="major"/>
    </font>
    <font>
      <b/>
      <i/>
      <sz val="11"/>
      <color indexed="8"/>
      <name val="Cambria"/>
      <family val="1"/>
      <scheme val="major"/>
    </font>
    <font>
      <b/>
      <sz val="14"/>
      <color indexed="8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mbria"/>
      <family val="1"/>
      <scheme val="major"/>
    </font>
    <font>
      <b/>
      <sz val="11"/>
      <color rgb="FFFF0000"/>
      <name val="Cambria"/>
      <family val="1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8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7" fillId="0" borderId="0"/>
  </cellStyleXfs>
  <cellXfs count="834">
    <xf numFmtId="0" fontId="0" fillId="0" borderId="0" xfId="0"/>
    <xf numFmtId="0" fontId="4" fillId="0" borderId="0" xfId="4" applyFont="1"/>
    <xf numFmtId="0" fontId="5" fillId="0" borderId="0" xfId="4" applyFont="1"/>
    <xf numFmtId="0" fontId="3" fillId="0" borderId="0" xfId="4"/>
    <xf numFmtId="0" fontId="5" fillId="0" borderId="0" xfId="4" applyFont="1" applyAlignment="1">
      <alignment horizontal="left"/>
    </xf>
    <xf numFmtId="165" fontId="5" fillId="0" borderId="0" xfId="2" applyNumberFormat="1" applyFont="1" applyFill="1" applyAlignment="1">
      <alignment horizontal="left"/>
    </xf>
    <xf numFmtId="166" fontId="5" fillId="0" borderId="0" xfId="2" applyNumberFormat="1" applyFont="1" applyFill="1" applyAlignment="1">
      <alignment horizontal="left"/>
    </xf>
    <xf numFmtId="167" fontId="5" fillId="0" borderId="0" xfId="2" applyNumberFormat="1" applyFont="1" applyFill="1" applyAlignment="1">
      <alignment horizontal="left"/>
    </xf>
    <xf numFmtId="168" fontId="5" fillId="0" borderId="0" xfId="1" applyFont="1" applyAlignment="1">
      <alignment horizontal="left"/>
    </xf>
    <xf numFmtId="169" fontId="5" fillId="0" borderId="0" xfId="1" applyNumberFormat="1" applyFont="1" applyAlignment="1">
      <alignment horizontal="left"/>
    </xf>
    <xf numFmtId="170" fontId="5" fillId="0" borderId="0" xfId="4" applyNumberFormat="1" applyFont="1" applyAlignment="1">
      <alignment horizontal="left"/>
    </xf>
    <xf numFmtId="170" fontId="4" fillId="0" borderId="0" xfId="4" applyNumberFormat="1" applyFont="1"/>
    <xf numFmtId="0" fontId="8" fillId="0" borderId="0" xfId="4" applyFont="1"/>
    <xf numFmtId="170" fontId="8" fillId="0" borderId="0" xfId="4" applyNumberFormat="1" applyFont="1"/>
    <xf numFmtId="165" fontId="4" fillId="0" borderId="0" xfId="2" applyNumberFormat="1" applyFont="1" applyFill="1"/>
    <xf numFmtId="166" fontId="4" fillId="0" borderId="0" xfId="2" applyNumberFormat="1" applyFont="1" applyFill="1"/>
    <xf numFmtId="43" fontId="9" fillId="0" borderId="0" xfId="4" applyNumberFormat="1" applyFont="1"/>
    <xf numFmtId="167" fontId="4" fillId="0" borderId="0" xfId="2" applyNumberFormat="1" applyFont="1" applyFill="1"/>
    <xf numFmtId="171" fontId="4" fillId="0" borderId="0" xfId="4" applyNumberFormat="1" applyFont="1"/>
    <xf numFmtId="0" fontId="9" fillId="0" borderId="0" xfId="4" applyFont="1"/>
    <xf numFmtId="43" fontId="4" fillId="0" borderId="0" xfId="4" applyNumberFormat="1" applyFont="1"/>
    <xf numFmtId="168" fontId="4" fillId="0" borderId="0" xfId="4" applyNumberFormat="1" applyFont="1"/>
    <xf numFmtId="171" fontId="10" fillId="0" borderId="0" xfId="4" applyNumberFormat="1" applyFont="1"/>
    <xf numFmtId="0" fontId="11" fillId="0" borderId="0" xfId="4" applyFont="1"/>
    <xf numFmtId="172" fontId="11" fillId="0" borderId="0" xfId="4" applyNumberFormat="1" applyFont="1" applyAlignment="1">
      <alignment horizontal="left"/>
    </xf>
    <xf numFmtId="0" fontId="4" fillId="0" borderId="0" xfId="4" applyFont="1" applyAlignment="1">
      <alignment vertical="center"/>
    </xf>
    <xf numFmtId="0" fontId="5" fillId="2" borderId="1" xfId="4" applyFont="1" applyFill="1" applyBorder="1" applyAlignment="1">
      <alignment horizontal="center" vertical="center"/>
    </xf>
    <xf numFmtId="0" fontId="3" fillId="0" borderId="0" xfId="4" applyAlignment="1">
      <alignment vertical="center"/>
    </xf>
    <xf numFmtId="0" fontId="12" fillId="0" borderId="0" xfId="4" applyFont="1" applyAlignment="1">
      <alignment vertical="center"/>
    </xf>
    <xf numFmtId="0" fontId="5" fillId="2" borderId="1" xfId="4" applyFont="1" applyFill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170" fontId="13" fillId="0" borderId="1" xfId="4" applyNumberFormat="1" applyFont="1" applyBorder="1" applyAlignment="1">
      <alignment vertical="center"/>
    </xf>
    <xf numFmtId="170" fontId="13" fillId="0" borderId="1" xfId="1" applyNumberFormat="1" applyFont="1" applyFill="1" applyBorder="1" applyAlignment="1">
      <alignment vertical="center"/>
    </xf>
    <xf numFmtId="170" fontId="10" fillId="0" borderId="1" xfId="1" applyNumberFormat="1" applyFont="1" applyFill="1" applyBorder="1" applyAlignment="1">
      <alignment vertical="center"/>
    </xf>
    <xf numFmtId="168" fontId="10" fillId="0" borderId="1" xfId="1" applyFont="1" applyFill="1" applyBorder="1" applyAlignment="1">
      <alignment vertical="center"/>
    </xf>
    <xf numFmtId="170" fontId="3" fillId="0" borderId="0" xfId="4" applyNumberFormat="1" applyAlignment="1">
      <alignment vertical="center"/>
    </xf>
    <xf numFmtId="168" fontId="13" fillId="0" borderId="1" xfId="1" applyFont="1" applyFill="1" applyBorder="1" applyAlignment="1">
      <alignment vertical="center"/>
    </xf>
    <xf numFmtId="0" fontId="11" fillId="2" borderId="2" xfId="4" applyFont="1" applyFill="1" applyBorder="1" applyAlignment="1">
      <alignment horizontal="center" vertical="center"/>
    </xf>
    <xf numFmtId="0" fontId="11" fillId="2" borderId="3" xfId="4" applyFont="1" applyFill="1" applyBorder="1" applyAlignment="1">
      <alignment horizontal="center" vertical="center"/>
    </xf>
    <xf numFmtId="0" fontId="11" fillId="2" borderId="4" xfId="4" applyFont="1" applyFill="1" applyBorder="1" applyAlignment="1">
      <alignment horizontal="center" vertical="center"/>
    </xf>
    <xf numFmtId="0" fontId="11" fillId="2" borderId="1" xfId="4" applyFont="1" applyFill="1" applyBorder="1" applyAlignment="1">
      <alignment vertical="center"/>
    </xf>
    <xf numFmtId="170" fontId="11" fillId="2" borderId="1" xfId="4" applyNumberFormat="1" applyFont="1" applyFill="1" applyBorder="1" applyAlignment="1">
      <alignment vertical="center"/>
    </xf>
    <xf numFmtId="170" fontId="5" fillId="2" borderId="1" xfId="4" applyNumberFormat="1" applyFont="1" applyFill="1" applyBorder="1" applyAlignment="1">
      <alignment vertical="center"/>
    </xf>
    <xf numFmtId="168" fontId="4" fillId="3" borderId="0" xfId="1" applyFont="1" applyFill="1"/>
    <xf numFmtId="170" fontId="14" fillId="3" borderId="0" xfId="1" applyNumberFormat="1" applyFont="1" applyFill="1"/>
    <xf numFmtId="170" fontId="4" fillId="3" borderId="0" xfId="1" applyNumberFormat="1" applyFont="1" applyFill="1"/>
    <xf numFmtId="170" fontId="4" fillId="0" borderId="0" xfId="1" applyNumberFormat="1" applyFont="1" applyFill="1"/>
    <xf numFmtId="170" fontId="9" fillId="0" borderId="0" xfId="1" applyNumberFormat="1" applyFont="1" applyFill="1"/>
    <xf numFmtId="43" fontId="4" fillId="3" borderId="0" xfId="4" applyNumberFormat="1" applyFont="1" applyFill="1"/>
    <xf numFmtId="0" fontId="4" fillId="3" borderId="0" xfId="4" applyFont="1" applyFill="1"/>
    <xf numFmtId="170" fontId="15" fillId="3" borderId="0" xfId="1" applyNumberFormat="1" applyFont="1" applyFill="1"/>
    <xf numFmtId="0" fontId="16" fillId="0" borderId="0" xfId="4" applyFont="1"/>
    <xf numFmtId="170" fontId="16" fillId="0" borderId="0" xfId="4" applyNumberFormat="1" applyFont="1"/>
    <xf numFmtId="168" fontId="16" fillId="0" borderId="0" xfId="1" applyFont="1" applyFill="1"/>
    <xf numFmtId="0" fontId="10" fillId="3" borderId="0" xfId="5" applyFont="1" applyFill="1" applyAlignment="1">
      <alignment vertical="center" wrapText="1"/>
    </xf>
    <xf numFmtId="0" fontId="10" fillId="3" borderId="5" xfId="5" applyFont="1" applyFill="1" applyBorder="1" applyAlignment="1">
      <alignment vertical="center" wrapText="1"/>
    </xf>
    <xf numFmtId="170" fontId="16" fillId="0" borderId="0" xfId="1" applyNumberFormat="1" applyFont="1" applyFill="1"/>
    <xf numFmtId="173" fontId="16" fillId="0" borderId="0" xfId="1" applyNumberFormat="1" applyFont="1" applyFill="1"/>
    <xf numFmtId="170" fontId="18" fillId="0" borderId="0" xfId="1" applyNumberFormat="1" applyFont="1" applyFill="1"/>
    <xf numFmtId="0" fontId="19" fillId="0" borderId="0" xfId="4" applyFont="1"/>
    <xf numFmtId="168" fontId="4" fillId="0" borderId="0" xfId="1" applyFont="1" applyFill="1"/>
    <xf numFmtId="0" fontId="20" fillId="3" borderId="0" xfId="5" applyFont="1" applyFill="1" applyAlignment="1">
      <alignment horizontal="center" vertical="center" wrapText="1"/>
    </xf>
    <xf numFmtId="0" fontId="20" fillId="3" borderId="0" xfId="5" applyFont="1" applyFill="1" applyAlignment="1">
      <alignment horizontal="center" vertical="center" wrapText="1"/>
    </xf>
    <xf numFmtId="0" fontId="20" fillId="3" borderId="5" xfId="5" applyFont="1" applyFill="1" applyBorder="1" applyAlignment="1">
      <alignment horizontal="center" vertical="center" wrapText="1"/>
    </xf>
    <xf numFmtId="170" fontId="20" fillId="0" borderId="0" xfId="1" applyNumberFormat="1" applyFont="1" applyFill="1"/>
    <xf numFmtId="170" fontId="21" fillId="0" borderId="0" xfId="1" applyNumberFormat="1" applyFont="1" applyFill="1"/>
    <xf numFmtId="173" fontId="22" fillId="0" borderId="0" xfId="1" applyNumberFormat="1" applyFont="1" applyFill="1"/>
    <xf numFmtId="170" fontId="23" fillId="0" borderId="0" xfId="1" applyNumberFormat="1" applyFont="1" applyFill="1"/>
    <xf numFmtId="0" fontId="21" fillId="3" borderId="0" xfId="5" applyFont="1" applyFill="1" applyAlignment="1">
      <alignment horizontal="center" vertical="center" wrapText="1"/>
    </xf>
    <xf numFmtId="0" fontId="4" fillId="0" borderId="0" xfId="4" quotePrefix="1" applyFont="1"/>
    <xf numFmtId="0" fontId="20" fillId="3" borderId="0" xfId="5" applyFont="1" applyFill="1" applyAlignment="1">
      <alignment horizontal="left" vertical="center" wrapText="1"/>
    </xf>
    <xf numFmtId="0" fontId="21" fillId="3" borderId="0" xfId="5" applyFont="1" applyFill="1" applyAlignment="1">
      <alignment vertical="center" wrapText="1"/>
    </xf>
    <xf numFmtId="0" fontId="21" fillId="3" borderId="0" xfId="5" applyFont="1" applyFill="1" applyAlignment="1">
      <alignment horizontal="center" vertical="center" wrapText="1"/>
    </xf>
    <xf numFmtId="0" fontId="21" fillId="3" borderId="0" xfId="5" applyFont="1" applyFill="1" applyAlignment="1">
      <alignment horizontal="left" vertical="center" wrapText="1"/>
    </xf>
    <xf numFmtId="0" fontId="24" fillId="3" borderId="0" xfId="5" applyFont="1" applyFill="1" applyAlignment="1">
      <alignment horizontal="center" wrapText="1"/>
    </xf>
    <xf numFmtId="0" fontId="25" fillId="3" borderId="0" xfId="5" applyFont="1" applyFill="1" applyAlignment="1">
      <alignment horizontal="center" vertical="center" wrapText="1"/>
    </xf>
    <xf numFmtId="0" fontId="25" fillId="3" borderId="0" xfId="5" applyFont="1" applyFill="1" applyAlignment="1">
      <alignment horizontal="center" vertical="center" wrapText="1"/>
    </xf>
    <xf numFmtId="0" fontId="25" fillId="3" borderId="5" xfId="5" applyFont="1" applyFill="1" applyBorder="1" applyAlignment="1">
      <alignment horizontal="center" vertical="center" wrapText="1"/>
    </xf>
    <xf numFmtId="0" fontId="20" fillId="0" borderId="0" xfId="4" applyFont="1"/>
    <xf numFmtId="0" fontId="21" fillId="0" borderId="0" xfId="4" applyFont="1"/>
    <xf numFmtId="0" fontId="23" fillId="0" borderId="0" xfId="4" applyFont="1"/>
    <xf numFmtId="0" fontId="20" fillId="3" borderId="0" xfId="5" applyFont="1" applyFill="1" applyAlignment="1">
      <alignment horizontal="center" vertical="center"/>
    </xf>
    <xf numFmtId="0" fontId="20" fillId="3" borderId="6" xfId="5" applyFont="1" applyFill="1" applyBorder="1" applyAlignment="1">
      <alignment horizontal="center" vertical="center"/>
    </xf>
    <xf numFmtId="0" fontId="20" fillId="3" borderId="6" xfId="5" applyFont="1" applyFill="1" applyBorder="1" applyAlignment="1">
      <alignment horizontal="center" vertical="center"/>
    </xf>
    <xf numFmtId="0" fontId="20" fillId="3" borderId="7" xfId="5" applyFont="1" applyFill="1" applyBorder="1" applyAlignment="1">
      <alignment horizontal="center" vertical="center" wrapText="1"/>
    </xf>
    <xf numFmtId="0" fontId="24" fillId="3" borderId="0" xfId="5" applyFont="1" applyFill="1" applyAlignment="1">
      <alignment horizontal="center" vertical="center" wrapText="1"/>
    </xf>
    <xf numFmtId="0" fontId="24" fillId="3" borderId="0" xfId="5" applyFont="1" applyFill="1" applyAlignment="1">
      <alignment vertical="center" wrapText="1"/>
    </xf>
    <xf numFmtId="0" fontId="21" fillId="3" borderId="0" xfId="5" applyFont="1" applyFill="1" applyAlignment="1">
      <alignment horizontal="center" vertical="top"/>
    </xf>
    <xf numFmtId="0" fontId="21" fillId="3" borderId="0" xfId="5" applyFont="1" applyFill="1" applyAlignment="1">
      <alignment vertical="top"/>
    </xf>
    <xf numFmtId="0" fontId="21" fillId="3" borderId="0" xfId="5" applyFont="1" applyFill="1" applyAlignment="1">
      <alignment horizontal="center" vertical="top" wrapText="1"/>
    </xf>
    <xf numFmtId="0" fontId="26" fillId="2" borderId="1" xfId="0" applyFont="1" applyFill="1" applyBorder="1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wrapText="1"/>
    </xf>
    <xf numFmtId="0" fontId="27" fillId="0" borderId="0" xfId="0" applyFont="1"/>
    <xf numFmtId="0" fontId="26" fillId="0" borderId="1" xfId="0" applyFont="1" applyBorder="1"/>
    <xf numFmtId="0" fontId="26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4" borderId="1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left" vertical="center" wrapText="1"/>
    </xf>
    <xf numFmtId="168" fontId="28" fillId="0" borderId="1" xfId="1" applyFont="1" applyFill="1" applyBorder="1" applyAlignment="1">
      <alignment horizontal="left" vertical="center" wrapText="1"/>
    </xf>
    <xf numFmtId="164" fontId="27" fillId="0" borderId="1" xfId="2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4" fontId="27" fillId="0" borderId="9" xfId="0" applyNumberFormat="1" applyFont="1" applyBorder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left" vertical="center" wrapText="1"/>
    </xf>
    <xf numFmtId="164" fontId="27" fillId="0" borderId="1" xfId="2" applyFont="1" applyBorder="1" applyAlignment="1">
      <alignment vertical="center"/>
    </xf>
    <xf numFmtId="164" fontId="27" fillId="0" borderId="9" xfId="0" applyNumberFormat="1" applyFont="1" applyBorder="1" applyAlignment="1">
      <alignment horizontal="center" vertical="center"/>
    </xf>
    <xf numFmtId="0" fontId="27" fillId="3" borderId="4" xfId="0" applyFont="1" applyFill="1" applyBorder="1" applyAlignment="1">
      <alignment horizontal="left" vertical="center" wrapText="1"/>
    </xf>
    <xf numFmtId="168" fontId="27" fillId="3" borderId="1" xfId="1" applyFont="1" applyFill="1" applyBorder="1" applyAlignment="1">
      <alignment horizontal="center" vertical="center"/>
    </xf>
    <xf numFmtId="2" fontId="27" fillId="0" borderId="9" xfId="0" applyNumberFormat="1" applyFont="1" applyBorder="1" applyAlignment="1">
      <alignment horizontal="center" vertical="center"/>
    </xf>
    <xf numFmtId="4" fontId="27" fillId="0" borderId="11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2" xfId="0" applyFont="1" applyBorder="1" applyAlignment="1">
      <alignment horizontal="left" vertical="center" wrapText="1"/>
    </xf>
    <xf numFmtId="4" fontId="27" fillId="0" borderId="12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left" vertical="center" wrapText="1"/>
    </xf>
    <xf numFmtId="164" fontId="27" fillId="0" borderId="11" xfId="0" applyNumberFormat="1" applyFont="1" applyBorder="1" applyAlignment="1">
      <alignment horizontal="center" vertical="center"/>
    </xf>
    <xf numFmtId="164" fontId="27" fillId="3" borderId="1" xfId="2" applyFont="1" applyFill="1" applyBorder="1" applyAlignment="1">
      <alignment vertical="center"/>
    </xf>
    <xf numFmtId="2" fontId="27" fillId="0" borderId="11" xfId="0" applyNumberFormat="1" applyFont="1" applyBorder="1" applyAlignment="1">
      <alignment horizontal="center" vertical="center"/>
    </xf>
    <xf numFmtId="164" fontId="27" fillId="0" borderId="0" xfId="0" applyNumberFormat="1" applyFont="1" applyAlignment="1">
      <alignment vertical="center"/>
    </xf>
    <xf numFmtId="164" fontId="27" fillId="0" borderId="12" xfId="0" applyNumberFormat="1" applyFont="1" applyBorder="1" applyAlignment="1">
      <alignment horizontal="center" vertical="center"/>
    </xf>
    <xf numFmtId="0" fontId="27" fillId="3" borderId="13" xfId="0" applyFont="1" applyFill="1" applyBorder="1" applyAlignment="1">
      <alignment vertical="center" wrapText="1"/>
    </xf>
    <xf numFmtId="0" fontId="27" fillId="0" borderId="9" xfId="0" applyFont="1" applyBorder="1" applyAlignment="1">
      <alignment horizontal="left" vertical="center"/>
    </xf>
    <xf numFmtId="0" fontId="27" fillId="0" borderId="11" xfId="0" applyFont="1" applyBorder="1" applyAlignment="1">
      <alignment horizontal="left" vertical="center"/>
    </xf>
    <xf numFmtId="2" fontId="27" fillId="0" borderId="12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left" vertical="center"/>
    </xf>
    <xf numFmtId="0" fontId="27" fillId="0" borderId="13" xfId="0" applyFont="1" applyBorder="1" applyAlignment="1">
      <alignment vertical="center" wrapText="1"/>
    </xf>
    <xf numFmtId="0" fontId="27" fillId="3" borderId="0" xfId="0" applyFont="1" applyFill="1" applyAlignment="1">
      <alignment vertical="center" wrapText="1"/>
    </xf>
    <xf numFmtId="0" fontId="27" fillId="0" borderId="9" xfId="0" applyFont="1" applyBorder="1" applyAlignment="1">
      <alignment vertical="center" wrapText="1"/>
    </xf>
    <xf numFmtId="168" fontId="28" fillId="3" borderId="13" xfId="1" applyFont="1" applyFill="1" applyBorder="1" applyAlignment="1">
      <alignment vertical="center" wrapText="1"/>
    </xf>
    <xf numFmtId="164" fontId="27" fillId="0" borderId="1" xfId="0" applyNumberFormat="1" applyFont="1" applyBorder="1" applyAlignment="1">
      <alignment horizontal="center" vertical="center"/>
    </xf>
    <xf numFmtId="164" fontId="27" fillId="0" borderId="1" xfId="0" applyNumberFormat="1" applyFont="1" applyBorder="1" applyAlignment="1">
      <alignment vertical="center"/>
    </xf>
    <xf numFmtId="4" fontId="27" fillId="0" borderId="1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vertical="center" wrapText="1"/>
    </xf>
    <xf numFmtId="168" fontId="28" fillId="3" borderId="1" xfId="1" applyFont="1" applyFill="1" applyBorder="1" applyAlignment="1">
      <alignment vertical="center" wrapText="1"/>
    </xf>
    <xf numFmtId="0" fontId="27" fillId="0" borderId="13" xfId="0" quotePrefix="1" applyFont="1" applyBorder="1" applyAlignment="1">
      <alignment vertical="center" wrapText="1"/>
    </xf>
    <xf numFmtId="0" fontId="27" fillId="0" borderId="1" xfId="0" applyFont="1" applyBorder="1" applyAlignment="1">
      <alignment horizontal="center" vertical="center"/>
    </xf>
    <xf numFmtId="164" fontId="26" fillId="4" borderId="1" xfId="0" applyNumberFormat="1" applyFont="1" applyFill="1" applyBorder="1" applyAlignment="1">
      <alignment vertical="center"/>
    </xf>
    <xf numFmtId="0" fontId="27" fillId="4" borderId="1" xfId="0" applyFont="1" applyFill="1" applyBorder="1" applyAlignment="1">
      <alignment vertical="center"/>
    </xf>
    <xf numFmtId="0" fontId="27" fillId="0" borderId="11" xfId="0" applyFont="1" applyBorder="1" applyAlignment="1">
      <alignment vertical="center" wrapText="1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vertical="center" wrapText="1"/>
    </xf>
    <xf numFmtId="0" fontId="27" fillId="0" borderId="1" xfId="0" applyFont="1" applyBorder="1" applyAlignment="1">
      <alignment vertical="center"/>
    </xf>
    <xf numFmtId="0" fontId="27" fillId="3" borderId="0" xfId="0" applyFont="1" applyFill="1" applyAlignment="1">
      <alignment vertical="center"/>
    </xf>
    <xf numFmtId="164" fontId="27" fillId="0" borderId="0" xfId="0" applyNumberFormat="1" applyFont="1"/>
    <xf numFmtId="168" fontId="28" fillId="0" borderId="0" xfId="1" applyFont="1"/>
    <xf numFmtId="168" fontId="29" fillId="0" borderId="0" xfId="1" applyFont="1"/>
    <xf numFmtId="168" fontId="30" fillId="0" borderId="0" xfId="1" applyFont="1" applyAlignment="1">
      <alignment horizontal="center"/>
    </xf>
    <xf numFmtId="168" fontId="28" fillId="0" borderId="0" xfId="1" applyFont="1" applyAlignment="1">
      <alignment horizontal="center"/>
    </xf>
    <xf numFmtId="0" fontId="28" fillId="0" borderId="0" xfId="1" applyNumberFormat="1" applyFont="1" applyAlignment="1">
      <alignment horizontal="center"/>
    </xf>
    <xf numFmtId="173" fontId="27" fillId="0" borderId="0" xfId="1" applyNumberFormat="1" applyFont="1"/>
    <xf numFmtId="168" fontId="27" fillId="0" borderId="0" xfId="1" applyFont="1"/>
    <xf numFmtId="168" fontId="31" fillId="5" borderId="10" xfId="1" applyFont="1" applyFill="1" applyBorder="1" applyAlignment="1">
      <alignment horizontal="center" vertical="center"/>
    </xf>
    <xf numFmtId="168" fontId="31" fillId="5" borderId="13" xfId="1" applyFont="1" applyFill="1" applyBorder="1" applyAlignment="1">
      <alignment horizontal="center" vertical="center"/>
    </xf>
    <xf numFmtId="168" fontId="31" fillId="5" borderId="14" xfId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5" borderId="14" xfId="0" applyFont="1" applyFill="1" applyBorder="1" applyAlignment="1">
      <alignment horizontal="center" vertical="center"/>
    </xf>
    <xf numFmtId="0" fontId="31" fillId="5" borderId="2" xfId="1" applyNumberFormat="1" applyFont="1" applyFill="1" applyBorder="1" applyAlignment="1">
      <alignment horizontal="center"/>
    </xf>
    <xf numFmtId="0" fontId="31" fillId="5" borderId="3" xfId="1" applyNumberFormat="1" applyFont="1" applyFill="1" applyBorder="1" applyAlignment="1">
      <alignment horizontal="center"/>
    </xf>
    <xf numFmtId="0" fontId="31" fillId="5" borderId="4" xfId="1" applyNumberFormat="1" applyFont="1" applyFill="1" applyBorder="1" applyAlignment="1">
      <alignment horizontal="center"/>
    </xf>
    <xf numFmtId="0" fontId="31" fillId="6" borderId="2" xfId="1" applyNumberFormat="1" applyFont="1" applyFill="1" applyBorder="1" applyAlignment="1">
      <alignment horizontal="center" vertical="center"/>
    </xf>
    <xf numFmtId="0" fontId="31" fillId="6" borderId="4" xfId="1" applyNumberFormat="1" applyFont="1" applyFill="1" applyBorder="1" applyAlignment="1">
      <alignment horizontal="center" vertical="center"/>
    </xf>
    <xf numFmtId="0" fontId="31" fillId="5" borderId="2" xfId="1" applyNumberFormat="1" applyFont="1" applyFill="1" applyBorder="1" applyAlignment="1">
      <alignment horizontal="center" vertical="center"/>
    </xf>
    <xf numFmtId="0" fontId="31" fillId="5" borderId="4" xfId="1" applyNumberFormat="1" applyFont="1" applyFill="1" applyBorder="1" applyAlignment="1">
      <alignment horizontal="center" vertical="center"/>
    </xf>
    <xf numFmtId="0" fontId="31" fillId="7" borderId="2" xfId="1" applyNumberFormat="1" applyFont="1" applyFill="1" applyBorder="1" applyAlignment="1">
      <alignment horizontal="center" vertical="center"/>
    </xf>
    <xf numFmtId="0" fontId="31" fillId="7" borderId="4" xfId="1" applyNumberFormat="1" applyFont="1" applyFill="1" applyBorder="1" applyAlignment="1">
      <alignment horizontal="center" vertical="center"/>
    </xf>
    <xf numFmtId="0" fontId="31" fillId="8" borderId="2" xfId="1" applyNumberFormat="1" applyFont="1" applyFill="1" applyBorder="1" applyAlignment="1">
      <alignment horizontal="center" vertical="center"/>
    </xf>
    <xf numFmtId="0" fontId="31" fillId="8" borderId="4" xfId="1" applyNumberFormat="1" applyFont="1" applyFill="1" applyBorder="1" applyAlignment="1">
      <alignment horizontal="center" vertical="center"/>
    </xf>
    <xf numFmtId="0" fontId="26" fillId="9" borderId="9" xfId="0" applyFont="1" applyFill="1" applyBorder="1" applyAlignment="1">
      <alignment horizontal="center" vertical="center"/>
    </xf>
    <xf numFmtId="0" fontId="26" fillId="10" borderId="9" xfId="0" applyFont="1" applyFill="1" applyBorder="1" applyAlignment="1">
      <alignment horizontal="center" vertical="center"/>
    </xf>
    <xf numFmtId="0" fontId="26" fillId="10" borderId="9" xfId="0" applyFont="1" applyFill="1" applyBorder="1" applyAlignment="1">
      <alignment horizontal="center" vertical="center" wrapText="1"/>
    </xf>
    <xf numFmtId="168" fontId="31" fillId="5" borderId="15" xfId="1" applyFont="1" applyFill="1" applyBorder="1" applyAlignment="1">
      <alignment horizontal="center" vertical="center"/>
    </xf>
    <xf numFmtId="168" fontId="31" fillId="5" borderId="0" xfId="1" applyFont="1" applyFill="1" applyBorder="1" applyAlignment="1">
      <alignment horizontal="center" vertical="center"/>
    </xf>
    <xf numFmtId="168" fontId="31" fillId="5" borderId="16" xfId="1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/>
    </xf>
    <xf numFmtId="0" fontId="26" fillId="5" borderId="15" xfId="0" applyFont="1" applyFill="1" applyBorder="1" applyAlignment="1">
      <alignment horizontal="center" vertical="center"/>
    </xf>
    <xf numFmtId="0" fontId="26" fillId="5" borderId="16" xfId="0" applyFont="1" applyFill="1" applyBorder="1" applyAlignment="1">
      <alignment horizontal="center" vertical="center"/>
    </xf>
    <xf numFmtId="173" fontId="26" fillId="5" borderId="9" xfId="1" applyNumberFormat="1" applyFont="1" applyFill="1" applyBorder="1" applyAlignment="1">
      <alignment horizontal="center" vertical="center"/>
    </xf>
    <xf numFmtId="168" fontId="31" fillId="5" borderId="9" xfId="1" applyFont="1" applyFill="1" applyBorder="1" applyAlignment="1">
      <alignment horizontal="center" vertical="center" wrapText="1"/>
    </xf>
    <xf numFmtId="0" fontId="31" fillId="6" borderId="9" xfId="1" applyNumberFormat="1" applyFont="1" applyFill="1" applyBorder="1" applyAlignment="1">
      <alignment horizontal="center" vertical="center"/>
    </xf>
    <xf numFmtId="0" fontId="31" fillId="6" borderId="14" xfId="1" applyNumberFormat="1" applyFont="1" applyFill="1" applyBorder="1" applyAlignment="1">
      <alignment horizontal="center" vertical="center"/>
    </xf>
    <xf numFmtId="0" fontId="31" fillId="5" borderId="9" xfId="1" applyNumberFormat="1" applyFont="1" applyFill="1" applyBorder="1" applyAlignment="1">
      <alignment horizontal="center" vertical="center"/>
    </xf>
    <xf numFmtId="0" fontId="31" fillId="7" borderId="9" xfId="1" applyNumberFormat="1" applyFont="1" applyFill="1" applyBorder="1" applyAlignment="1">
      <alignment horizontal="center" vertical="center"/>
    </xf>
    <xf numFmtId="0" fontId="31" fillId="8" borderId="9" xfId="1" applyNumberFormat="1" applyFont="1" applyFill="1" applyBorder="1" applyAlignment="1">
      <alignment horizontal="center" vertical="center"/>
    </xf>
    <xf numFmtId="0" fontId="26" fillId="9" borderId="11" xfId="0" applyFont="1" applyFill="1" applyBorder="1" applyAlignment="1">
      <alignment horizontal="center" vertical="center"/>
    </xf>
    <xf numFmtId="0" fontId="26" fillId="10" borderId="11" xfId="0" applyFont="1" applyFill="1" applyBorder="1" applyAlignment="1">
      <alignment horizontal="center" vertical="center"/>
    </xf>
    <xf numFmtId="168" fontId="31" fillId="5" borderId="17" xfId="1" applyFont="1" applyFill="1" applyBorder="1" applyAlignment="1">
      <alignment horizontal="center" vertical="center"/>
    </xf>
    <xf numFmtId="168" fontId="31" fillId="5" borderId="8" xfId="1" applyFont="1" applyFill="1" applyBorder="1" applyAlignment="1">
      <alignment horizontal="center" vertical="center"/>
    </xf>
    <xf numFmtId="168" fontId="31" fillId="5" borderId="18" xfId="1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horizontal="center" vertical="center"/>
    </xf>
    <xf numFmtId="0" fontId="26" fillId="5" borderId="17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 wrapText="1"/>
    </xf>
    <xf numFmtId="173" fontId="26" fillId="5" borderId="12" xfId="1" applyNumberFormat="1" applyFont="1" applyFill="1" applyBorder="1" applyAlignment="1">
      <alignment horizontal="center" vertical="center"/>
    </xf>
    <xf numFmtId="168" fontId="31" fillId="5" borderId="12" xfId="1" applyFont="1" applyFill="1" applyBorder="1" applyAlignment="1">
      <alignment horizontal="center" vertical="center" wrapText="1"/>
    </xf>
    <xf numFmtId="0" fontId="31" fillId="6" borderId="12" xfId="1" applyNumberFormat="1" applyFont="1" applyFill="1" applyBorder="1" applyAlignment="1">
      <alignment horizontal="center" vertical="center"/>
    </xf>
    <xf numFmtId="0" fontId="31" fillId="6" borderId="18" xfId="1" applyNumberFormat="1" applyFont="1" applyFill="1" applyBorder="1" applyAlignment="1">
      <alignment horizontal="center" vertical="center"/>
    </xf>
    <xf numFmtId="0" fontId="31" fillId="5" borderId="12" xfId="1" applyNumberFormat="1" applyFont="1" applyFill="1" applyBorder="1" applyAlignment="1">
      <alignment horizontal="center" vertical="center"/>
    </xf>
    <xf numFmtId="0" fontId="31" fillId="7" borderId="12" xfId="1" applyNumberFormat="1" applyFont="1" applyFill="1" applyBorder="1" applyAlignment="1">
      <alignment horizontal="center" vertical="center"/>
    </xf>
    <xf numFmtId="0" fontId="31" fillId="8" borderId="12" xfId="1" applyNumberFormat="1" applyFont="1" applyFill="1" applyBorder="1" applyAlignment="1">
      <alignment horizontal="center" vertical="center"/>
    </xf>
    <xf numFmtId="0" fontId="26" fillId="9" borderId="12" xfId="0" applyFont="1" applyFill="1" applyBorder="1" applyAlignment="1">
      <alignment horizontal="center" vertical="center"/>
    </xf>
    <xf numFmtId="0" fontId="26" fillId="10" borderId="12" xfId="0" applyFont="1" applyFill="1" applyBorder="1" applyAlignment="1">
      <alignment horizontal="center" vertical="center"/>
    </xf>
    <xf numFmtId="168" fontId="29" fillId="0" borderId="2" xfId="1" applyFont="1" applyBorder="1"/>
    <xf numFmtId="168" fontId="31" fillId="0" borderId="3" xfId="1" applyFont="1" applyBorder="1"/>
    <xf numFmtId="168" fontId="31" fillId="0" borderId="4" xfId="1" applyFont="1" applyBorder="1"/>
    <xf numFmtId="0" fontId="28" fillId="0" borderId="1" xfId="1" applyNumberFormat="1" applyFont="1" applyBorder="1"/>
    <xf numFmtId="168" fontId="28" fillId="0" borderId="1" xfId="1" applyFont="1" applyBorder="1" applyAlignment="1">
      <alignment horizontal="center"/>
    </xf>
    <xf numFmtId="168" fontId="28" fillId="0" borderId="2" xfId="1" applyFont="1" applyBorder="1"/>
    <xf numFmtId="168" fontId="28" fillId="0" borderId="3" xfId="1" applyFont="1" applyBorder="1"/>
    <xf numFmtId="168" fontId="28" fillId="0" borderId="1" xfId="1" applyFont="1" applyBorder="1"/>
    <xf numFmtId="0" fontId="28" fillId="0" borderId="4" xfId="1" applyNumberFormat="1" applyFont="1" applyBorder="1" applyAlignment="1">
      <alignment horizontal="center"/>
    </xf>
    <xf numFmtId="173" fontId="27" fillId="0" borderId="1" xfId="1" applyNumberFormat="1" applyFont="1" applyBorder="1"/>
    <xf numFmtId="0" fontId="27" fillId="0" borderId="1" xfId="0" applyFont="1" applyBorder="1"/>
    <xf numFmtId="168" fontId="27" fillId="0" borderId="1" xfId="1" applyFont="1" applyBorder="1"/>
    <xf numFmtId="168" fontId="31" fillId="0" borderId="2" xfId="1" applyFont="1" applyBorder="1"/>
    <xf numFmtId="170" fontId="27" fillId="0" borderId="1" xfId="1" applyNumberFormat="1" applyFont="1" applyBorder="1"/>
    <xf numFmtId="168" fontId="28" fillId="0" borderId="10" xfId="1" applyFont="1" applyBorder="1"/>
    <xf numFmtId="168" fontId="28" fillId="0" borderId="13" xfId="1" applyFont="1" applyBorder="1"/>
    <xf numFmtId="168" fontId="28" fillId="0" borderId="14" xfId="1" applyFont="1" applyBorder="1"/>
    <xf numFmtId="9" fontId="28" fillId="0" borderId="4" xfId="1" applyNumberFormat="1" applyFont="1" applyBorder="1" applyAlignment="1">
      <alignment horizontal="center"/>
    </xf>
    <xf numFmtId="169" fontId="27" fillId="0" borderId="1" xfId="1" applyNumberFormat="1" applyFont="1" applyBorder="1"/>
    <xf numFmtId="168" fontId="31" fillId="3" borderId="10" xfId="1" applyFont="1" applyFill="1" applyBorder="1" applyAlignment="1">
      <alignment vertical="center"/>
    </xf>
    <xf numFmtId="168" fontId="28" fillId="3" borderId="15" xfId="1" applyFont="1" applyFill="1" applyBorder="1"/>
    <xf numFmtId="168" fontId="28" fillId="3" borderId="0" xfId="1" applyFont="1" applyFill="1" applyBorder="1"/>
    <xf numFmtId="168" fontId="28" fillId="3" borderId="16" xfId="1" applyFont="1" applyFill="1" applyBorder="1"/>
    <xf numFmtId="168" fontId="28" fillId="0" borderId="15" xfId="1" applyFont="1" applyBorder="1"/>
    <xf numFmtId="168" fontId="28" fillId="0" borderId="0" xfId="1" applyFont="1" applyBorder="1"/>
    <xf numFmtId="168" fontId="28" fillId="0" borderId="4" xfId="1" applyFont="1" applyBorder="1"/>
    <xf numFmtId="168" fontId="28" fillId="0" borderId="17" xfId="1" applyFont="1" applyBorder="1"/>
    <xf numFmtId="168" fontId="28" fillId="0" borderId="8" xfId="1" applyFont="1" applyBorder="1"/>
    <xf numFmtId="168" fontId="28" fillId="0" borderId="18" xfId="1" applyFont="1" applyBorder="1"/>
    <xf numFmtId="168" fontId="28" fillId="0" borderId="16" xfId="1" applyFont="1" applyBorder="1"/>
    <xf numFmtId="168" fontId="28" fillId="3" borderId="10" xfId="1" applyFont="1" applyFill="1" applyBorder="1" applyAlignment="1">
      <alignment vertical="top"/>
    </xf>
    <xf numFmtId="168" fontId="28" fillId="3" borderId="13" xfId="1" applyFont="1" applyFill="1" applyBorder="1" applyAlignment="1">
      <alignment vertical="top"/>
    </xf>
    <xf numFmtId="168" fontId="28" fillId="3" borderId="14" xfId="1" applyFont="1" applyFill="1" applyBorder="1" applyAlignment="1">
      <alignment vertical="top"/>
    </xf>
    <xf numFmtId="0" fontId="28" fillId="3" borderId="1" xfId="1" applyNumberFormat="1" applyFont="1" applyFill="1" applyBorder="1" applyAlignment="1">
      <alignment vertical="top"/>
    </xf>
    <xf numFmtId="168" fontId="28" fillId="3" borderId="1" xfId="1" applyFont="1" applyFill="1" applyBorder="1" applyAlignment="1">
      <alignment horizontal="center" vertical="top"/>
    </xf>
    <xf numFmtId="168" fontId="28" fillId="3" borderId="2" xfId="1" applyFont="1" applyFill="1" applyBorder="1" applyAlignment="1">
      <alignment vertical="top"/>
    </xf>
    <xf numFmtId="168" fontId="28" fillId="3" borderId="3" xfId="1" applyFont="1" applyFill="1" applyBorder="1" applyAlignment="1">
      <alignment vertical="top"/>
    </xf>
    <xf numFmtId="168" fontId="28" fillId="3" borderId="1" xfId="1" applyFont="1" applyFill="1" applyBorder="1" applyAlignment="1">
      <alignment vertical="top"/>
    </xf>
    <xf numFmtId="9" fontId="28" fillId="3" borderId="4" xfId="1" applyNumberFormat="1" applyFont="1" applyFill="1" applyBorder="1" applyAlignment="1">
      <alignment horizontal="center" vertical="top"/>
    </xf>
    <xf numFmtId="43" fontId="28" fillId="0" borderId="4" xfId="1" applyNumberFormat="1" applyFont="1" applyBorder="1" applyAlignment="1">
      <alignment horizontal="center" vertical="top"/>
    </xf>
    <xf numFmtId="168" fontId="27" fillId="0" borderId="1" xfId="1" applyFont="1" applyBorder="1" applyAlignment="1">
      <alignment vertical="top"/>
    </xf>
    <xf numFmtId="170" fontId="27" fillId="0" borderId="1" xfId="1" applyNumberFormat="1" applyFont="1" applyBorder="1" applyAlignment="1">
      <alignment vertical="top"/>
    </xf>
    <xf numFmtId="168" fontId="31" fillId="3" borderId="10" xfId="1" applyFont="1" applyFill="1" applyBorder="1" applyAlignment="1">
      <alignment vertical="top"/>
    </xf>
    <xf numFmtId="0" fontId="27" fillId="0" borderId="1" xfId="0" applyFont="1" applyBorder="1" applyAlignment="1">
      <alignment vertical="top" wrapText="1"/>
    </xf>
    <xf numFmtId="174" fontId="27" fillId="0" borderId="0" xfId="0" applyNumberFormat="1" applyFont="1" applyAlignment="1">
      <alignment vertical="top"/>
    </xf>
    <xf numFmtId="0" fontId="27" fillId="0" borderId="0" xfId="0" applyFont="1" applyAlignment="1">
      <alignment vertical="top"/>
    </xf>
    <xf numFmtId="170" fontId="27" fillId="0" borderId="1" xfId="0" applyNumberFormat="1" applyFont="1" applyBorder="1" applyAlignment="1">
      <alignment vertical="top"/>
    </xf>
    <xf numFmtId="170" fontId="0" fillId="0" borderId="1" xfId="0" applyNumberFormat="1" applyBorder="1" applyAlignment="1">
      <alignment vertical="top"/>
    </xf>
    <xf numFmtId="0" fontId="0" fillId="0" borderId="0" xfId="0" applyAlignment="1">
      <alignment vertical="top"/>
    </xf>
    <xf numFmtId="168" fontId="28" fillId="3" borderId="0" xfId="1" applyFont="1" applyFill="1" applyBorder="1" applyAlignment="1">
      <alignment vertical="center"/>
    </xf>
    <xf numFmtId="168" fontId="28" fillId="3" borderId="16" xfId="1" applyFont="1" applyFill="1" applyBorder="1" applyAlignment="1">
      <alignment vertical="center"/>
    </xf>
    <xf numFmtId="0" fontId="28" fillId="3" borderId="1" xfId="1" applyNumberFormat="1" applyFont="1" applyFill="1" applyBorder="1"/>
    <xf numFmtId="168" fontId="28" fillId="3" borderId="1" xfId="1" applyFont="1" applyFill="1" applyBorder="1" applyAlignment="1">
      <alignment horizontal="center"/>
    </xf>
    <xf numFmtId="168" fontId="28" fillId="3" borderId="2" xfId="1" applyFont="1" applyFill="1" applyBorder="1"/>
    <xf numFmtId="168" fontId="28" fillId="3" borderId="3" xfId="1" applyFont="1" applyFill="1" applyBorder="1"/>
    <xf numFmtId="168" fontId="28" fillId="3" borderId="1" xfId="1" applyFont="1" applyFill="1" applyBorder="1"/>
    <xf numFmtId="9" fontId="28" fillId="3" borderId="4" xfId="1" applyNumberFormat="1" applyFont="1" applyFill="1" applyBorder="1" applyAlignment="1">
      <alignment horizontal="center"/>
    </xf>
    <xf numFmtId="43" fontId="28" fillId="3" borderId="4" xfId="1" applyNumberFormat="1" applyFont="1" applyFill="1" applyBorder="1" applyAlignment="1">
      <alignment horizontal="center"/>
    </xf>
    <xf numFmtId="0" fontId="27" fillId="0" borderId="1" xfId="0" applyFont="1" applyBorder="1" applyAlignment="1">
      <alignment wrapText="1"/>
    </xf>
    <xf numFmtId="174" fontId="27" fillId="0" borderId="0" xfId="0" applyNumberFormat="1" applyFont="1"/>
    <xf numFmtId="170" fontId="27" fillId="0" borderId="1" xfId="0" applyNumberFormat="1" applyFont="1" applyBorder="1" applyAlignment="1">
      <alignment vertical="center"/>
    </xf>
    <xf numFmtId="168" fontId="28" fillId="3" borderId="17" xfId="1" applyFont="1" applyFill="1" applyBorder="1"/>
    <xf numFmtId="168" fontId="28" fillId="3" borderId="8" xfId="1" applyFont="1" applyFill="1" applyBorder="1" applyAlignment="1">
      <alignment vertical="center"/>
    </xf>
    <xf numFmtId="168" fontId="28" fillId="3" borderId="18" xfId="1" applyFont="1" applyFill="1" applyBorder="1" applyAlignment="1">
      <alignment vertical="center"/>
    </xf>
    <xf numFmtId="0" fontId="27" fillId="3" borderId="0" xfId="0" applyFont="1" applyFill="1"/>
    <xf numFmtId="170" fontId="27" fillId="0" borderId="12" xfId="0" applyNumberFormat="1" applyFont="1" applyBorder="1" applyAlignment="1">
      <alignment vertical="center"/>
    </xf>
    <xf numFmtId="168" fontId="28" fillId="3" borderId="4" xfId="1" applyFont="1" applyFill="1" applyBorder="1"/>
    <xf numFmtId="0" fontId="28" fillId="3" borderId="4" xfId="1" applyNumberFormat="1" applyFont="1" applyFill="1" applyBorder="1" applyAlignment="1">
      <alignment horizontal="center"/>
    </xf>
    <xf numFmtId="168" fontId="28" fillId="3" borderId="10" xfId="1" applyFont="1" applyFill="1" applyBorder="1"/>
    <xf numFmtId="168" fontId="28" fillId="3" borderId="13" xfId="1" applyFont="1" applyFill="1" applyBorder="1"/>
    <xf numFmtId="168" fontId="28" fillId="3" borderId="14" xfId="1" applyFont="1" applyFill="1" applyBorder="1" applyAlignment="1">
      <alignment vertical="center"/>
    </xf>
    <xf numFmtId="0" fontId="28" fillId="3" borderId="1" xfId="1" applyNumberFormat="1" applyFont="1" applyFill="1" applyBorder="1" applyAlignment="1">
      <alignment vertical="center"/>
    </xf>
    <xf numFmtId="168" fontId="28" fillId="3" borderId="1" xfId="1" applyFont="1" applyFill="1" applyBorder="1" applyAlignment="1">
      <alignment horizontal="center" vertical="center"/>
    </xf>
    <xf numFmtId="168" fontId="28" fillId="3" borderId="2" xfId="1" applyFont="1" applyFill="1" applyBorder="1" applyAlignment="1">
      <alignment vertical="center"/>
    </xf>
    <xf numFmtId="168" fontId="28" fillId="3" borderId="3" xfId="1" applyFont="1" applyFill="1" applyBorder="1" applyAlignment="1">
      <alignment vertical="center"/>
    </xf>
    <xf numFmtId="168" fontId="28" fillId="3" borderId="1" xfId="1" applyFont="1" applyFill="1" applyBorder="1" applyAlignment="1">
      <alignment vertical="center"/>
    </xf>
    <xf numFmtId="9" fontId="28" fillId="3" borderId="4" xfId="1" applyNumberFormat="1" applyFont="1" applyFill="1" applyBorder="1" applyAlignment="1">
      <alignment horizontal="center" vertical="center"/>
    </xf>
    <xf numFmtId="0" fontId="28" fillId="3" borderId="4" xfId="1" applyNumberFormat="1" applyFont="1" applyFill="1" applyBorder="1" applyAlignment="1">
      <alignment horizontal="center" vertical="center"/>
    </xf>
    <xf numFmtId="168" fontId="27" fillId="0" borderId="1" xfId="1" applyFont="1" applyBorder="1" applyAlignment="1">
      <alignment vertical="center"/>
    </xf>
    <xf numFmtId="170" fontId="27" fillId="0" borderId="1" xfId="1" applyNumberFormat="1" applyFont="1" applyBorder="1" applyAlignment="1">
      <alignment vertical="center"/>
    </xf>
    <xf numFmtId="170" fontId="27" fillId="0" borderId="1" xfId="0" applyNumberFormat="1" applyFont="1" applyBorder="1"/>
    <xf numFmtId="170" fontId="0" fillId="0" borderId="1" xfId="0" applyNumberFormat="1" applyBorder="1"/>
    <xf numFmtId="43" fontId="28" fillId="3" borderId="4" xfId="1" applyNumberFormat="1" applyFont="1" applyFill="1" applyBorder="1" applyAlignment="1">
      <alignment horizontal="center" vertical="center"/>
    </xf>
    <xf numFmtId="174" fontId="27" fillId="0" borderId="0" xfId="0" applyNumberFormat="1" applyFont="1" applyAlignment="1">
      <alignment vertical="center"/>
    </xf>
    <xf numFmtId="168" fontId="28" fillId="3" borderId="14" xfId="1" applyFont="1" applyFill="1" applyBorder="1"/>
    <xf numFmtId="168" fontId="28" fillId="3" borderId="8" xfId="1" applyFont="1" applyFill="1" applyBorder="1"/>
    <xf numFmtId="168" fontId="28" fillId="3" borderId="18" xfId="1" applyFont="1" applyFill="1" applyBorder="1"/>
    <xf numFmtId="168" fontId="28" fillId="3" borderId="15" xfId="1" applyFont="1" applyFill="1" applyBorder="1" applyAlignment="1">
      <alignment vertical="top"/>
    </xf>
    <xf numFmtId="168" fontId="28" fillId="3" borderId="0" xfId="1" applyFont="1" applyFill="1" applyBorder="1" applyAlignment="1">
      <alignment vertical="top"/>
    </xf>
    <xf numFmtId="168" fontId="28" fillId="3" borderId="16" xfId="1" applyFont="1" applyFill="1" applyBorder="1" applyAlignment="1">
      <alignment vertical="top"/>
    </xf>
    <xf numFmtId="0" fontId="28" fillId="3" borderId="4" xfId="1" applyNumberFormat="1" applyFont="1" applyFill="1" applyBorder="1" applyAlignment="1">
      <alignment horizontal="center" vertical="top"/>
    </xf>
    <xf numFmtId="168" fontId="27" fillId="0" borderId="0" xfId="1" applyFont="1" applyAlignment="1">
      <alignment vertical="top"/>
    </xf>
    <xf numFmtId="169" fontId="0" fillId="0" borderId="0" xfId="1" applyNumberFormat="1" applyFont="1" applyAlignment="1">
      <alignment vertical="top"/>
    </xf>
    <xf numFmtId="168" fontId="28" fillId="3" borderId="13" xfId="1" applyFont="1" applyFill="1" applyBorder="1" applyAlignment="1">
      <alignment vertical="center"/>
    </xf>
    <xf numFmtId="169" fontId="27" fillId="0" borderId="1" xfId="1" applyNumberFormat="1" applyFont="1" applyBorder="1" applyAlignment="1">
      <alignment vertical="center"/>
    </xf>
    <xf numFmtId="2" fontId="28" fillId="3" borderId="4" xfId="1" applyNumberFormat="1" applyFont="1" applyFill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2" xfId="0" applyFont="1" applyBorder="1"/>
    <xf numFmtId="0" fontId="27" fillId="0" borderId="3" xfId="0" applyFont="1" applyBorder="1"/>
    <xf numFmtId="168" fontId="27" fillId="0" borderId="1" xfId="1" applyFont="1" applyFill="1" applyBorder="1"/>
    <xf numFmtId="168" fontId="27" fillId="0" borderId="9" xfId="1" applyFont="1" applyBorder="1"/>
    <xf numFmtId="0" fontId="27" fillId="0" borderId="1" xfId="1" applyNumberFormat="1" applyFont="1" applyBorder="1"/>
    <xf numFmtId="169" fontId="27" fillId="0" borderId="1" xfId="1" applyNumberFormat="1" applyFont="1" applyFill="1" applyBorder="1"/>
    <xf numFmtId="168" fontId="27" fillId="3" borderId="14" xfId="1" applyFont="1" applyFill="1" applyBorder="1"/>
    <xf numFmtId="168" fontId="27" fillId="0" borderId="16" xfId="1" applyFont="1" applyBorder="1"/>
    <xf numFmtId="175" fontId="27" fillId="0" borderId="1" xfId="1" applyNumberFormat="1" applyFont="1" applyFill="1" applyBorder="1"/>
    <xf numFmtId="173" fontId="27" fillId="0" borderId="1" xfId="1" applyNumberFormat="1" applyFont="1" applyFill="1" applyBorder="1"/>
    <xf numFmtId="168" fontId="27" fillId="0" borderId="1" xfId="0" applyNumberFormat="1" applyFont="1" applyBorder="1"/>
    <xf numFmtId="170" fontId="27" fillId="0" borderId="1" xfId="1" applyNumberFormat="1" applyFont="1" applyBorder="1" applyAlignment="1">
      <alignment horizontal="center"/>
    </xf>
    <xf numFmtId="168" fontId="28" fillId="11" borderId="17" xfId="1" applyFont="1" applyFill="1" applyBorder="1"/>
    <xf numFmtId="168" fontId="28" fillId="11" borderId="8" xfId="1" applyFont="1" applyFill="1" applyBorder="1"/>
    <xf numFmtId="168" fontId="31" fillId="11" borderId="8" xfId="1" applyFont="1" applyFill="1" applyBorder="1"/>
    <xf numFmtId="168" fontId="28" fillId="11" borderId="18" xfId="1" applyFont="1" applyFill="1" applyBorder="1"/>
    <xf numFmtId="0" fontId="28" fillId="11" borderId="1" xfId="1" applyNumberFormat="1" applyFont="1" applyFill="1" applyBorder="1"/>
    <xf numFmtId="168" fontId="28" fillId="11" borderId="1" xfId="1" applyFont="1" applyFill="1" applyBorder="1" applyAlignment="1">
      <alignment horizontal="center"/>
    </xf>
    <xf numFmtId="168" fontId="28" fillId="11" borderId="2" xfId="1" applyFont="1" applyFill="1" applyBorder="1"/>
    <xf numFmtId="168" fontId="28" fillId="11" borderId="3" xfId="1" applyFont="1" applyFill="1" applyBorder="1"/>
    <xf numFmtId="168" fontId="28" fillId="11" borderId="1" xfId="1" applyFont="1" applyFill="1" applyBorder="1"/>
    <xf numFmtId="0" fontId="28" fillId="11" borderId="4" xfId="1" applyNumberFormat="1" applyFont="1" applyFill="1" applyBorder="1" applyAlignment="1">
      <alignment horizontal="center"/>
    </xf>
    <xf numFmtId="173" fontId="27" fillId="11" borderId="1" xfId="1" applyNumberFormat="1" applyFont="1" applyFill="1" applyBorder="1"/>
    <xf numFmtId="168" fontId="27" fillId="11" borderId="1" xfId="1" applyFont="1" applyFill="1" applyBorder="1"/>
    <xf numFmtId="168" fontId="26" fillId="11" borderId="1" xfId="1" applyFont="1" applyFill="1" applyBorder="1"/>
    <xf numFmtId="43" fontId="26" fillId="11" borderId="1" xfId="0" applyNumberFormat="1" applyFont="1" applyFill="1" applyBorder="1"/>
    <xf numFmtId="0" fontId="26" fillId="11" borderId="0" xfId="0" applyFont="1" applyFill="1"/>
    <xf numFmtId="170" fontId="26" fillId="11" borderId="1" xfId="0" applyNumberFormat="1" applyFont="1" applyFill="1" applyBorder="1"/>
    <xf numFmtId="175" fontId="28" fillId="0" borderId="15" xfId="1" applyNumberFormat="1" applyFont="1" applyBorder="1"/>
    <xf numFmtId="175" fontId="28" fillId="0" borderId="0" xfId="1" applyNumberFormat="1" applyFont="1" applyBorder="1"/>
    <xf numFmtId="175" fontId="28" fillId="0" borderId="16" xfId="1" applyNumberFormat="1" applyFont="1" applyBorder="1"/>
    <xf numFmtId="175" fontId="28" fillId="0" borderId="17" xfId="1" applyNumberFormat="1" applyFont="1" applyBorder="1"/>
    <xf numFmtId="175" fontId="28" fillId="0" borderId="8" xfId="1" applyNumberFormat="1" applyFont="1" applyBorder="1"/>
    <xf numFmtId="175" fontId="28" fillId="0" borderId="18" xfId="1" applyNumberFormat="1" applyFont="1" applyBorder="1"/>
    <xf numFmtId="175" fontId="28" fillId="0" borderId="15" xfId="1" applyNumberFormat="1" applyFont="1" applyFill="1" applyBorder="1"/>
    <xf numFmtId="175" fontId="28" fillId="0" borderId="0" xfId="1" applyNumberFormat="1" applyFont="1" applyFill="1" applyBorder="1"/>
    <xf numFmtId="175" fontId="28" fillId="0" borderId="16" xfId="1" applyNumberFormat="1" applyFont="1" applyFill="1" applyBorder="1"/>
    <xf numFmtId="0" fontId="28" fillId="0" borderId="1" xfId="1" applyNumberFormat="1" applyFont="1" applyFill="1" applyBorder="1"/>
    <xf numFmtId="168" fontId="28" fillId="0" borderId="1" xfId="1" applyFont="1" applyFill="1" applyBorder="1" applyAlignment="1">
      <alignment horizontal="center"/>
    </xf>
    <xf numFmtId="168" fontId="28" fillId="0" borderId="2" xfId="1" applyFont="1" applyFill="1" applyBorder="1"/>
    <xf numFmtId="168" fontId="28" fillId="0" borderId="3" xfId="1" applyFont="1" applyFill="1" applyBorder="1"/>
    <xf numFmtId="168" fontId="28" fillId="0" borderId="1" xfId="1" applyFont="1" applyFill="1" applyBorder="1"/>
    <xf numFmtId="0" fontId="28" fillId="0" borderId="4" xfId="1" applyNumberFormat="1" applyFont="1" applyFill="1" applyBorder="1" applyAlignment="1">
      <alignment horizontal="center"/>
    </xf>
    <xf numFmtId="170" fontId="27" fillId="0" borderId="1" xfId="1" applyNumberFormat="1" applyFont="1" applyFill="1" applyBorder="1"/>
    <xf numFmtId="175" fontId="28" fillId="0" borderId="17" xfId="1" applyNumberFormat="1" applyFont="1" applyFill="1" applyBorder="1"/>
    <xf numFmtId="175" fontId="28" fillId="0" borderId="8" xfId="1" applyNumberFormat="1" applyFont="1" applyFill="1" applyBorder="1"/>
    <xf numFmtId="175" fontId="28" fillId="0" borderId="18" xfId="1" applyNumberFormat="1" applyFont="1" applyFill="1" applyBorder="1"/>
    <xf numFmtId="175" fontId="27" fillId="0" borderId="1" xfId="1" applyNumberFormat="1" applyFont="1" applyBorder="1"/>
    <xf numFmtId="168" fontId="31" fillId="11" borderId="2" xfId="1" applyFont="1" applyFill="1" applyBorder="1" applyAlignment="1">
      <alignment horizontal="center"/>
    </xf>
    <xf numFmtId="168" fontId="31" fillId="11" borderId="3" xfId="1" applyFont="1" applyFill="1" applyBorder="1" applyAlignment="1">
      <alignment horizontal="center"/>
    </xf>
    <xf numFmtId="168" fontId="31" fillId="11" borderId="4" xfId="1" applyFont="1" applyFill="1" applyBorder="1" applyAlignment="1">
      <alignment horizontal="center"/>
    </xf>
    <xf numFmtId="0" fontId="27" fillId="11" borderId="1" xfId="0" applyFont="1" applyFill="1" applyBorder="1"/>
    <xf numFmtId="0" fontId="27" fillId="11" borderId="0" xfId="0" applyFont="1" applyFill="1"/>
    <xf numFmtId="170" fontId="27" fillId="3" borderId="1" xfId="1" applyNumberFormat="1" applyFont="1" applyFill="1" applyBorder="1"/>
    <xf numFmtId="168" fontId="27" fillId="3" borderId="1" xfId="1" applyFont="1" applyFill="1" applyBorder="1"/>
    <xf numFmtId="0" fontId="27" fillId="3" borderId="1" xfId="0" applyFont="1" applyFill="1" applyBorder="1"/>
    <xf numFmtId="0" fontId="0" fillId="3" borderId="0" xfId="0" applyFill="1"/>
    <xf numFmtId="168" fontId="31" fillId="3" borderId="3" xfId="1" applyFont="1" applyFill="1" applyBorder="1"/>
    <xf numFmtId="173" fontId="27" fillId="3" borderId="1" xfId="1" applyNumberFormat="1" applyFont="1" applyFill="1" applyBorder="1"/>
    <xf numFmtId="9" fontId="28" fillId="11" borderId="4" xfId="1" applyNumberFormat="1" applyFont="1" applyFill="1" applyBorder="1" applyAlignment="1">
      <alignment horizontal="center"/>
    </xf>
    <xf numFmtId="170" fontId="27" fillId="11" borderId="1" xfId="1" applyNumberFormat="1" applyFont="1" applyFill="1" applyBorder="1"/>
    <xf numFmtId="168" fontId="31" fillId="11" borderId="10" xfId="1" applyFont="1" applyFill="1" applyBorder="1" applyAlignment="1">
      <alignment vertical="center"/>
    </xf>
    <xf numFmtId="3" fontId="28" fillId="3" borderId="4" xfId="1" applyNumberFormat="1" applyFont="1" applyFill="1" applyBorder="1" applyAlignment="1">
      <alignment horizontal="center"/>
    </xf>
    <xf numFmtId="175" fontId="27" fillId="3" borderId="1" xfId="1" applyNumberFormat="1" applyFont="1" applyFill="1" applyBorder="1"/>
    <xf numFmtId="3" fontId="28" fillId="11" borderId="4" xfId="1" applyNumberFormat="1" applyFont="1" applyFill="1" applyBorder="1" applyAlignment="1">
      <alignment horizontal="center"/>
    </xf>
    <xf numFmtId="175" fontId="27" fillId="11" borderId="1" xfId="1" applyNumberFormat="1" applyFont="1" applyFill="1" applyBorder="1"/>
    <xf numFmtId="170" fontId="26" fillId="11" borderId="1" xfId="1" applyNumberFormat="1" applyFont="1" applyFill="1" applyBorder="1"/>
    <xf numFmtId="168" fontId="31" fillId="3" borderId="0" xfId="1" applyFont="1" applyFill="1" applyBorder="1"/>
    <xf numFmtId="9" fontId="28" fillId="3" borderId="4" xfId="3" applyFont="1" applyFill="1" applyBorder="1" applyAlignment="1">
      <alignment horizontal="center"/>
    </xf>
    <xf numFmtId="1" fontId="28" fillId="3" borderId="4" xfId="1" applyNumberFormat="1" applyFont="1" applyFill="1" applyBorder="1" applyAlignment="1">
      <alignment horizontal="center"/>
    </xf>
    <xf numFmtId="0" fontId="31" fillId="11" borderId="1" xfId="1" applyNumberFormat="1" applyFont="1" applyFill="1" applyBorder="1"/>
    <xf numFmtId="168" fontId="31" fillId="11" borderId="1" xfId="1" applyFont="1" applyFill="1" applyBorder="1" applyAlignment="1">
      <alignment horizontal="center"/>
    </xf>
    <xf numFmtId="168" fontId="31" fillId="11" borderId="2" xfId="1" applyFont="1" applyFill="1" applyBorder="1"/>
    <xf numFmtId="168" fontId="31" fillId="11" borderId="3" xfId="1" applyFont="1" applyFill="1" applyBorder="1"/>
    <xf numFmtId="168" fontId="31" fillId="11" borderId="1" xfId="1" applyFont="1" applyFill="1" applyBorder="1"/>
    <xf numFmtId="0" fontId="31" fillId="11" borderId="4" xfId="1" applyNumberFormat="1" applyFont="1" applyFill="1" applyBorder="1" applyAlignment="1">
      <alignment horizontal="center"/>
    </xf>
    <xf numFmtId="173" fontId="26" fillId="11" borderId="1" xfId="1" applyNumberFormat="1" applyFont="1" applyFill="1" applyBorder="1"/>
    <xf numFmtId="0" fontId="26" fillId="11" borderId="1" xfId="0" applyFont="1" applyFill="1" applyBorder="1"/>
    <xf numFmtId="168" fontId="31" fillId="3" borderId="8" xfId="1" applyFont="1" applyFill="1" applyBorder="1"/>
    <xf numFmtId="43" fontId="27" fillId="11" borderId="1" xfId="0" applyNumberFormat="1" applyFont="1" applyFill="1" applyBorder="1"/>
    <xf numFmtId="168" fontId="31" fillId="12" borderId="2" xfId="1" applyFont="1" applyFill="1" applyBorder="1" applyAlignment="1">
      <alignment horizontal="center"/>
    </xf>
    <xf numFmtId="168" fontId="31" fillId="12" borderId="3" xfId="1" applyFont="1" applyFill="1" applyBorder="1" applyAlignment="1">
      <alignment horizontal="center"/>
    </xf>
    <xf numFmtId="168" fontId="31" fillId="12" borderId="4" xfId="1" applyFont="1" applyFill="1" applyBorder="1" applyAlignment="1">
      <alignment horizontal="center"/>
    </xf>
    <xf numFmtId="0" fontId="31" fillId="12" borderId="1" xfId="1" applyNumberFormat="1" applyFont="1" applyFill="1" applyBorder="1"/>
    <xf numFmtId="168" fontId="31" fillId="12" borderId="1" xfId="1" applyFont="1" applyFill="1" applyBorder="1" applyAlignment="1">
      <alignment horizontal="center"/>
    </xf>
    <xf numFmtId="168" fontId="31" fillId="12" borderId="2" xfId="1" applyFont="1" applyFill="1" applyBorder="1"/>
    <xf numFmtId="168" fontId="31" fillId="12" borderId="3" xfId="1" applyFont="1" applyFill="1" applyBorder="1"/>
    <xf numFmtId="168" fontId="31" fillId="12" borderId="1" xfId="1" applyFont="1" applyFill="1" applyBorder="1"/>
    <xf numFmtId="0" fontId="31" fillId="12" borderId="4" xfId="1" applyNumberFormat="1" applyFont="1" applyFill="1" applyBorder="1" applyAlignment="1">
      <alignment horizontal="center"/>
    </xf>
    <xf numFmtId="173" fontId="26" fillId="12" borderId="1" xfId="1" applyNumberFormat="1" applyFont="1" applyFill="1" applyBorder="1"/>
    <xf numFmtId="168" fontId="26" fillId="12" borderId="1" xfId="1" applyFont="1" applyFill="1" applyBorder="1"/>
    <xf numFmtId="170" fontId="26" fillId="12" borderId="1" xfId="1" applyNumberFormat="1" applyFont="1" applyFill="1" applyBorder="1"/>
    <xf numFmtId="0" fontId="26" fillId="12" borderId="1" xfId="0" applyFont="1" applyFill="1" applyBorder="1"/>
    <xf numFmtId="0" fontId="26" fillId="0" borderId="0" xfId="0" applyFont="1"/>
    <xf numFmtId="170" fontId="26" fillId="13" borderId="1" xfId="0" applyNumberFormat="1" applyFont="1" applyFill="1" applyBorder="1"/>
    <xf numFmtId="43" fontId="26" fillId="13" borderId="1" xfId="0" applyNumberFormat="1" applyFont="1" applyFill="1" applyBorder="1"/>
    <xf numFmtId="0" fontId="2" fillId="0" borderId="0" xfId="0" applyFont="1"/>
    <xf numFmtId="0" fontId="26" fillId="13" borderId="1" xfId="0" applyFont="1" applyFill="1" applyBorder="1"/>
    <xf numFmtId="168" fontId="27" fillId="0" borderId="0" xfId="0" applyNumberFormat="1" applyFont="1"/>
    <xf numFmtId="164" fontId="28" fillId="0" borderId="4" xfId="2" applyFont="1" applyBorder="1" applyAlignment="1">
      <alignment horizontal="center"/>
    </xf>
    <xf numFmtId="168" fontId="27" fillId="0" borderId="10" xfId="1" applyFont="1" applyBorder="1"/>
    <xf numFmtId="9" fontId="27" fillId="0" borderId="1" xfId="0" applyNumberFormat="1" applyFont="1" applyBorder="1" applyAlignment="1">
      <alignment horizontal="center"/>
    </xf>
    <xf numFmtId="170" fontId="27" fillId="0" borderId="0" xfId="0" applyNumberFormat="1" applyFont="1"/>
    <xf numFmtId="166" fontId="27" fillId="0" borderId="1" xfId="2" applyNumberFormat="1" applyFont="1" applyBorder="1"/>
    <xf numFmtId="169" fontId="27" fillId="3" borderId="1" xfId="1" applyNumberFormat="1" applyFont="1" applyFill="1" applyBorder="1"/>
    <xf numFmtId="0" fontId="27" fillId="14" borderId="1" xfId="0" applyFont="1" applyFill="1" applyBorder="1"/>
    <xf numFmtId="168" fontId="28" fillId="0" borderId="10" xfId="1" applyFont="1" applyBorder="1" applyAlignment="1">
      <alignment vertical="center"/>
    </xf>
    <xf numFmtId="168" fontId="28" fillId="0" borderId="13" xfId="1" applyFont="1" applyBorder="1" applyAlignment="1">
      <alignment vertical="center"/>
    </xf>
    <xf numFmtId="168" fontId="28" fillId="0" borderId="14" xfId="1" applyFont="1" applyBorder="1" applyAlignment="1">
      <alignment vertical="center"/>
    </xf>
    <xf numFmtId="168" fontId="28" fillId="0" borderId="17" xfId="1" applyFont="1" applyBorder="1" applyAlignment="1">
      <alignment vertical="center"/>
    </xf>
    <xf numFmtId="168" fontId="28" fillId="0" borderId="8" xfId="1" applyFont="1" applyBorder="1" applyAlignment="1">
      <alignment vertical="center"/>
    </xf>
    <xf numFmtId="168" fontId="28" fillId="0" borderId="18" xfId="1" applyFont="1" applyBorder="1" applyAlignment="1">
      <alignment vertical="center"/>
    </xf>
    <xf numFmtId="168" fontId="28" fillId="0" borderId="10" xfId="1" applyFont="1" applyBorder="1" applyAlignment="1">
      <alignment horizontal="left" vertical="top"/>
    </xf>
    <xf numFmtId="168" fontId="28" fillId="0" borderId="13" xfId="1" applyFont="1" applyBorder="1" applyAlignment="1">
      <alignment horizontal="left" vertical="top"/>
    </xf>
    <xf numFmtId="168" fontId="28" fillId="0" borderId="14" xfId="1" applyFont="1" applyBorder="1" applyAlignment="1">
      <alignment horizontal="left" vertical="top"/>
    </xf>
    <xf numFmtId="0" fontId="28" fillId="0" borderId="1" xfId="1" applyNumberFormat="1" applyFont="1" applyBorder="1" applyAlignment="1">
      <alignment vertical="top"/>
    </xf>
    <xf numFmtId="168" fontId="28" fillId="0" borderId="1" xfId="1" applyFont="1" applyBorder="1" applyAlignment="1">
      <alignment horizontal="center" vertical="top"/>
    </xf>
    <xf numFmtId="168" fontId="28" fillId="0" borderId="2" xfId="1" applyFont="1" applyBorder="1" applyAlignment="1">
      <alignment vertical="top"/>
    </xf>
    <xf numFmtId="168" fontId="28" fillId="0" borderId="3" xfId="1" applyFont="1" applyBorder="1" applyAlignment="1">
      <alignment vertical="top"/>
    </xf>
    <xf numFmtId="168" fontId="28" fillId="0" borderId="1" xfId="1" applyFont="1" applyBorder="1" applyAlignment="1">
      <alignment vertical="top"/>
    </xf>
    <xf numFmtId="9" fontId="28" fillId="0" borderId="4" xfId="1" applyNumberFormat="1" applyFont="1" applyBorder="1" applyAlignment="1">
      <alignment horizontal="center" vertical="top"/>
    </xf>
    <xf numFmtId="164" fontId="28" fillId="0" borderId="4" xfId="2" applyFont="1" applyBorder="1" applyAlignment="1">
      <alignment horizontal="center" vertical="top"/>
    </xf>
    <xf numFmtId="173" fontId="27" fillId="3" borderId="1" xfId="1" applyNumberFormat="1" applyFont="1" applyFill="1" applyBorder="1" applyAlignment="1">
      <alignment vertical="top"/>
    </xf>
    <xf numFmtId="170" fontId="27" fillId="3" borderId="1" xfId="1" applyNumberFormat="1" applyFont="1" applyFill="1" applyBorder="1" applyAlignment="1">
      <alignment vertical="top"/>
    </xf>
    <xf numFmtId="0" fontId="27" fillId="3" borderId="1" xfId="0" applyFont="1" applyFill="1" applyBorder="1" applyAlignment="1">
      <alignment vertical="top"/>
    </xf>
    <xf numFmtId="0" fontId="27" fillId="0" borderId="1" xfId="0" applyFont="1" applyBorder="1" applyAlignment="1">
      <alignment vertical="top"/>
    </xf>
    <xf numFmtId="168" fontId="28" fillId="0" borderId="15" xfId="1" applyFont="1" applyBorder="1" applyAlignment="1">
      <alignment horizontal="left" vertical="top"/>
    </xf>
    <xf numFmtId="168" fontId="28" fillId="0" borderId="0" xfId="1" applyFont="1" applyBorder="1" applyAlignment="1">
      <alignment horizontal="left" vertical="top"/>
    </xf>
    <xf numFmtId="168" fontId="28" fillId="0" borderId="16" xfId="1" applyFont="1" applyBorder="1" applyAlignment="1">
      <alignment horizontal="left" vertical="top"/>
    </xf>
    <xf numFmtId="176" fontId="27" fillId="3" borderId="1" xfId="1" applyNumberFormat="1" applyFont="1" applyFill="1" applyBorder="1" applyAlignment="1">
      <alignment vertical="top"/>
    </xf>
    <xf numFmtId="177" fontId="27" fillId="3" borderId="1" xfId="1" applyNumberFormat="1" applyFont="1" applyFill="1" applyBorder="1" applyAlignment="1">
      <alignment vertical="top"/>
    </xf>
    <xf numFmtId="168" fontId="28" fillId="0" borderId="17" xfId="1" applyFont="1" applyBorder="1" applyAlignment="1">
      <alignment horizontal="left" vertical="top"/>
    </xf>
    <xf numFmtId="168" fontId="28" fillId="0" borderId="8" xfId="1" applyFont="1" applyBorder="1" applyAlignment="1">
      <alignment horizontal="left" vertical="top"/>
    </xf>
    <xf numFmtId="168" fontId="28" fillId="0" borderId="18" xfId="1" applyFont="1" applyBorder="1" applyAlignment="1">
      <alignment horizontal="left" vertical="top"/>
    </xf>
    <xf numFmtId="168" fontId="27" fillId="3" borderId="1" xfId="1" applyFont="1" applyFill="1" applyBorder="1" applyAlignment="1">
      <alignment vertical="top"/>
    </xf>
    <xf numFmtId="168" fontId="27" fillId="0" borderId="1" xfId="0" applyNumberFormat="1" applyFont="1" applyBorder="1" applyAlignment="1">
      <alignment vertical="top"/>
    </xf>
    <xf numFmtId="168" fontId="28" fillId="0" borderId="17" xfId="1" applyFont="1" applyBorder="1" applyAlignment="1">
      <alignment vertical="top"/>
    </xf>
    <xf numFmtId="168" fontId="28" fillId="0" borderId="8" xfId="1" applyFont="1" applyBorder="1" applyAlignment="1">
      <alignment vertical="top"/>
    </xf>
    <xf numFmtId="168" fontId="28" fillId="0" borderId="15" xfId="1" applyFont="1" applyBorder="1" applyAlignment="1">
      <alignment vertical="top"/>
    </xf>
    <xf numFmtId="168" fontId="28" fillId="0" borderId="0" xfId="1" applyFont="1" applyBorder="1" applyAlignment="1">
      <alignment vertical="top"/>
    </xf>
    <xf numFmtId="168" fontId="28" fillId="0" borderId="18" xfId="1" applyFont="1" applyBorder="1" applyAlignment="1">
      <alignment vertical="top"/>
    </xf>
    <xf numFmtId="0" fontId="27" fillId="3" borderId="1" xfId="0" applyFont="1" applyFill="1" applyBorder="1" applyAlignment="1">
      <alignment vertical="top" wrapText="1"/>
    </xf>
    <xf numFmtId="0" fontId="28" fillId="0" borderId="1" xfId="1" applyNumberFormat="1" applyFont="1" applyBorder="1" applyAlignment="1">
      <alignment horizontal="center"/>
    </xf>
    <xf numFmtId="0" fontId="27" fillId="11" borderId="2" xfId="0" applyFont="1" applyFill="1" applyBorder="1" applyAlignment="1">
      <alignment horizontal="center"/>
    </xf>
    <xf numFmtId="0" fontId="27" fillId="11" borderId="2" xfId="0" applyFont="1" applyFill="1" applyBorder="1"/>
    <xf numFmtId="0" fontId="27" fillId="11" borderId="3" xfId="0" applyFont="1" applyFill="1" applyBorder="1"/>
    <xf numFmtId="0" fontId="27" fillId="10" borderId="1" xfId="0" applyFont="1" applyFill="1" applyBorder="1"/>
    <xf numFmtId="0" fontId="27" fillId="10" borderId="0" xfId="0" applyFont="1" applyFill="1"/>
    <xf numFmtId="170" fontId="26" fillId="10" borderId="1" xfId="0" applyNumberFormat="1" applyFont="1" applyFill="1" applyBorder="1" applyAlignment="1">
      <alignment vertical="center"/>
    </xf>
    <xf numFmtId="43" fontId="26" fillId="10" borderId="1" xfId="0" applyNumberFormat="1" applyFont="1" applyFill="1" applyBorder="1"/>
    <xf numFmtId="0" fontId="26" fillId="0" borderId="15" xfId="0" quotePrefix="1" applyFont="1" applyBorder="1"/>
    <xf numFmtId="0" fontId="26" fillId="0" borderId="0" xfId="0" quotePrefix="1" applyFont="1"/>
    <xf numFmtId="0" fontId="26" fillId="0" borderId="16" xfId="0" quotePrefix="1" applyFont="1" applyBorder="1"/>
    <xf numFmtId="174" fontId="27" fillId="0" borderId="1" xfId="0" applyNumberFormat="1" applyFont="1" applyBorder="1"/>
    <xf numFmtId="43" fontId="27" fillId="0" borderId="0" xfId="0" applyNumberFormat="1" applyFont="1"/>
    <xf numFmtId="178" fontId="27" fillId="0" borderId="1" xfId="2" applyNumberFormat="1" applyFont="1" applyBorder="1"/>
    <xf numFmtId="179" fontId="28" fillId="0" borderId="4" xfId="1" applyNumberFormat="1" applyFont="1" applyBorder="1" applyAlignment="1">
      <alignment horizontal="center"/>
    </xf>
    <xf numFmtId="0" fontId="26" fillId="10" borderId="1" xfId="0" applyFont="1" applyFill="1" applyBorder="1"/>
    <xf numFmtId="0" fontId="26" fillId="10" borderId="0" xfId="0" applyFont="1" applyFill="1"/>
    <xf numFmtId="170" fontId="31" fillId="3" borderId="10" xfId="1" applyNumberFormat="1" applyFont="1" applyFill="1" applyBorder="1" applyAlignment="1">
      <alignment vertical="center"/>
    </xf>
    <xf numFmtId="170" fontId="27" fillId="0" borderId="1" xfId="0" applyNumberFormat="1" applyFont="1" applyBorder="1" applyAlignment="1">
      <alignment horizontal="left" vertical="center"/>
    </xf>
    <xf numFmtId="170" fontId="27" fillId="0" borderId="1" xfId="0" applyNumberFormat="1" applyFont="1" applyBorder="1" applyAlignment="1">
      <alignment horizontal="left"/>
    </xf>
    <xf numFmtId="164" fontId="27" fillId="0" borderId="1" xfId="2" applyFont="1" applyBorder="1"/>
    <xf numFmtId="4" fontId="28" fillId="0" borderId="4" xfId="1" applyNumberFormat="1" applyFont="1" applyBorder="1" applyAlignment="1">
      <alignment horizontal="center"/>
    </xf>
    <xf numFmtId="168" fontId="28" fillId="3" borderId="0" xfId="1" applyFont="1" applyFill="1" applyBorder="1" applyAlignment="1">
      <alignment horizontal="center"/>
    </xf>
    <xf numFmtId="0" fontId="28" fillId="15" borderId="1" xfId="1" applyNumberFormat="1" applyFont="1" applyFill="1" applyBorder="1"/>
    <xf numFmtId="179" fontId="28" fillId="15" borderId="4" xfId="1" applyNumberFormat="1" applyFont="1" applyFill="1" applyBorder="1" applyAlignment="1">
      <alignment horizontal="center"/>
    </xf>
    <xf numFmtId="168" fontId="28" fillId="15" borderId="4" xfId="1" applyFont="1" applyFill="1" applyBorder="1" applyAlignment="1">
      <alignment horizontal="center"/>
    </xf>
    <xf numFmtId="43" fontId="27" fillId="0" borderId="1" xfId="0" applyNumberFormat="1" applyFont="1" applyBorder="1"/>
    <xf numFmtId="168" fontId="28" fillId="14" borderId="4" xfId="1" applyFont="1" applyFill="1" applyBorder="1" applyAlignment="1">
      <alignment horizontal="center"/>
    </xf>
    <xf numFmtId="170" fontId="26" fillId="10" borderId="1" xfId="0" applyNumberFormat="1" applyFont="1" applyFill="1" applyBorder="1"/>
    <xf numFmtId="170" fontId="26" fillId="10" borderId="0" xfId="0" applyNumberFormat="1" applyFont="1" applyFill="1"/>
    <xf numFmtId="0" fontId="27" fillId="0" borderId="19" xfId="0" applyFont="1" applyBorder="1"/>
    <xf numFmtId="168" fontId="27" fillId="0" borderId="2" xfId="1" applyFont="1" applyBorder="1"/>
    <xf numFmtId="170" fontId="26" fillId="10" borderId="1" xfId="1" applyNumberFormat="1" applyFont="1" applyFill="1" applyBorder="1"/>
    <xf numFmtId="168" fontId="31" fillId="0" borderId="13" xfId="1" applyFont="1" applyBorder="1"/>
    <xf numFmtId="168" fontId="31" fillId="0" borderId="0" xfId="1" applyFont="1" applyBorder="1"/>
    <xf numFmtId="0" fontId="27" fillId="3" borderId="4" xfId="0" applyFont="1" applyFill="1" applyBorder="1" applyAlignment="1">
      <alignment horizontal="center"/>
    </xf>
    <xf numFmtId="178" fontId="27" fillId="3" borderId="1" xfId="2" applyNumberFormat="1" applyFont="1" applyFill="1" applyBorder="1"/>
    <xf numFmtId="168" fontId="27" fillId="3" borderId="2" xfId="0" applyNumberFormat="1" applyFont="1" applyFill="1" applyBorder="1"/>
    <xf numFmtId="166" fontId="27" fillId="3" borderId="1" xfId="2" applyNumberFormat="1" applyFont="1" applyFill="1" applyBorder="1"/>
    <xf numFmtId="165" fontId="27" fillId="3" borderId="1" xfId="2" applyNumberFormat="1" applyFont="1" applyFill="1" applyBorder="1"/>
    <xf numFmtId="0" fontId="27" fillId="0" borderId="1" xfId="0" applyFont="1" applyBorder="1" applyAlignment="1">
      <alignment horizontal="center"/>
    </xf>
    <xf numFmtId="165" fontId="27" fillId="0" borderId="1" xfId="2" applyNumberFormat="1" applyFont="1" applyFill="1" applyBorder="1"/>
    <xf numFmtId="0" fontId="26" fillId="13" borderId="0" xfId="0" applyFont="1" applyFill="1"/>
    <xf numFmtId="174" fontId="26" fillId="13" borderId="1" xfId="0" applyNumberFormat="1" applyFont="1" applyFill="1" applyBorder="1"/>
    <xf numFmtId="170" fontId="26" fillId="3" borderId="1" xfId="1" applyNumberFormat="1" applyFont="1" applyFill="1" applyBorder="1"/>
    <xf numFmtId="0" fontId="27" fillId="0" borderId="4" xfId="0" applyFont="1" applyBorder="1" applyAlignment="1">
      <alignment horizontal="center"/>
    </xf>
    <xf numFmtId="168" fontId="27" fillId="0" borderId="2" xfId="0" applyNumberFormat="1" applyFont="1" applyBorder="1"/>
    <xf numFmtId="0" fontId="28" fillId="12" borderId="1" xfId="1" applyNumberFormat="1" applyFont="1" applyFill="1" applyBorder="1"/>
    <xf numFmtId="168" fontId="28" fillId="12" borderId="1" xfId="1" applyFont="1" applyFill="1" applyBorder="1" applyAlignment="1">
      <alignment horizontal="center"/>
    </xf>
    <xf numFmtId="168" fontId="28" fillId="12" borderId="2" xfId="1" applyFont="1" applyFill="1" applyBorder="1"/>
    <xf numFmtId="168" fontId="28" fillId="12" borderId="3" xfId="1" applyFont="1" applyFill="1" applyBorder="1"/>
    <xf numFmtId="168" fontId="28" fillId="12" borderId="1" xfId="1" applyFont="1" applyFill="1" applyBorder="1"/>
    <xf numFmtId="0" fontId="28" fillId="12" borderId="4" xfId="1" applyNumberFormat="1" applyFont="1" applyFill="1" applyBorder="1" applyAlignment="1">
      <alignment horizontal="center"/>
    </xf>
    <xf numFmtId="173" fontId="27" fillId="12" borderId="1" xfId="1" applyNumberFormat="1" applyFont="1" applyFill="1" applyBorder="1"/>
    <xf numFmtId="168" fontId="27" fillId="12" borderId="1" xfId="1" applyFont="1" applyFill="1" applyBorder="1"/>
    <xf numFmtId="0" fontId="27" fillId="13" borderId="1" xfId="0" applyFont="1" applyFill="1" applyBorder="1"/>
    <xf numFmtId="0" fontId="27" fillId="13" borderId="0" xfId="0" applyFont="1" applyFill="1"/>
    <xf numFmtId="168" fontId="31" fillId="13" borderId="2" xfId="1" applyFont="1" applyFill="1" applyBorder="1" applyAlignment="1">
      <alignment horizontal="center"/>
    </xf>
    <xf numFmtId="168" fontId="31" fillId="13" borderId="3" xfId="1" applyFont="1" applyFill="1" applyBorder="1" applyAlignment="1">
      <alignment horizontal="center"/>
    </xf>
    <xf numFmtId="168" fontId="31" fillId="13" borderId="4" xfId="1" applyFont="1" applyFill="1" applyBorder="1" applyAlignment="1">
      <alignment horizontal="center"/>
    </xf>
    <xf numFmtId="0" fontId="28" fillId="13" borderId="1" xfId="1" applyNumberFormat="1" applyFont="1" applyFill="1" applyBorder="1"/>
    <xf numFmtId="168" fontId="28" fillId="13" borderId="1" xfId="1" applyFont="1" applyFill="1" applyBorder="1" applyAlignment="1">
      <alignment horizontal="center"/>
    </xf>
    <xf numFmtId="168" fontId="28" fillId="13" borderId="2" xfId="1" applyFont="1" applyFill="1" applyBorder="1"/>
    <xf numFmtId="168" fontId="28" fillId="13" borderId="3" xfId="1" applyFont="1" applyFill="1" applyBorder="1"/>
    <xf numFmtId="168" fontId="28" fillId="13" borderId="1" xfId="1" applyFont="1" applyFill="1" applyBorder="1"/>
    <xf numFmtId="0" fontId="28" fillId="13" borderId="4" xfId="1" applyNumberFormat="1" applyFont="1" applyFill="1" applyBorder="1" applyAlignment="1">
      <alignment horizontal="center"/>
    </xf>
    <xf numFmtId="173" fontId="27" fillId="13" borderId="1" xfId="1" applyNumberFormat="1" applyFont="1" applyFill="1" applyBorder="1"/>
    <xf numFmtId="168" fontId="27" fillId="13" borderId="1" xfId="1" applyFont="1" applyFill="1" applyBorder="1"/>
    <xf numFmtId="170" fontId="26" fillId="13" borderId="1" xfId="1" applyNumberFormat="1" applyFont="1" applyFill="1" applyBorder="1"/>
    <xf numFmtId="168" fontId="26" fillId="0" borderId="1" xfId="1" applyFont="1" applyBorder="1"/>
    <xf numFmtId="164" fontId="27" fillId="0" borderId="0" xfId="2" applyFont="1"/>
    <xf numFmtId="168" fontId="31" fillId="0" borderId="0" xfId="1" applyFont="1"/>
    <xf numFmtId="168" fontId="26" fillId="0" borderId="0" xfId="0" applyNumberFormat="1" applyFont="1"/>
    <xf numFmtId="168" fontId="28" fillId="0" borderId="0" xfId="1" applyFont="1" applyAlignment="1">
      <alignment vertical="center"/>
    </xf>
    <xf numFmtId="168" fontId="28" fillId="0" borderId="0" xfId="1" applyFont="1" applyAlignment="1">
      <alignment horizontal="right" vertical="center"/>
    </xf>
    <xf numFmtId="4" fontId="28" fillId="0" borderId="0" xfId="1" applyNumberFormat="1" applyFont="1" applyAlignment="1">
      <alignment horizontal="left" vertical="center"/>
    </xf>
    <xf numFmtId="168" fontId="30" fillId="0" borderId="0" xfId="1" applyFont="1" applyAlignment="1">
      <alignment horizontal="center" vertical="center"/>
    </xf>
    <xf numFmtId="168" fontId="30" fillId="0" borderId="0" xfId="1" applyFont="1" applyAlignment="1">
      <alignment vertical="center"/>
    </xf>
    <xf numFmtId="2" fontId="28" fillId="0" borderId="4" xfId="1" applyNumberFormat="1" applyFont="1" applyBorder="1" applyAlignment="1">
      <alignment horizontal="center"/>
    </xf>
    <xf numFmtId="174" fontId="27" fillId="0" borderId="1" xfId="0" applyNumberFormat="1" applyFont="1" applyBorder="1" applyAlignment="1">
      <alignment vertical="center"/>
    </xf>
    <xf numFmtId="174" fontId="26" fillId="11" borderId="1" xfId="0" applyNumberFormat="1" applyFont="1" applyFill="1" applyBorder="1"/>
    <xf numFmtId="43" fontId="26" fillId="11" borderId="1" xfId="0" applyNumberFormat="1" applyFont="1" applyFill="1" applyBorder="1" applyAlignment="1">
      <alignment horizontal="center"/>
    </xf>
    <xf numFmtId="164" fontId="28" fillId="3" borderId="4" xfId="2" applyFont="1" applyFill="1" applyBorder="1" applyAlignment="1">
      <alignment horizontal="center"/>
    </xf>
    <xf numFmtId="168" fontId="26" fillId="13" borderId="1" xfId="1" applyFont="1" applyFill="1" applyBorder="1"/>
    <xf numFmtId="43" fontId="26" fillId="13" borderId="1" xfId="0" applyNumberFormat="1" applyFont="1" applyFill="1" applyBorder="1" applyAlignment="1">
      <alignment horizontal="center"/>
    </xf>
    <xf numFmtId="174" fontId="26" fillId="13" borderId="1" xfId="0" applyNumberFormat="1" applyFont="1" applyFill="1" applyBorder="1" applyAlignment="1">
      <alignment horizontal="center"/>
    </xf>
    <xf numFmtId="168" fontId="31" fillId="12" borderId="17" xfId="1" applyFont="1" applyFill="1" applyBorder="1"/>
    <xf numFmtId="168" fontId="31" fillId="12" borderId="8" xfId="1" applyFont="1" applyFill="1" applyBorder="1"/>
    <xf numFmtId="168" fontId="31" fillId="12" borderId="18" xfId="1" applyFont="1" applyFill="1" applyBorder="1" applyAlignment="1">
      <alignment horizontal="right"/>
    </xf>
    <xf numFmtId="168" fontId="28" fillId="0" borderId="10" xfId="1" applyFont="1" applyBorder="1" applyAlignment="1">
      <alignment horizontal="left" vertical="center"/>
    </xf>
    <xf numFmtId="168" fontId="28" fillId="0" borderId="13" xfId="1" applyFont="1" applyBorder="1" applyAlignment="1">
      <alignment horizontal="left" vertical="center"/>
    </xf>
    <xf numFmtId="168" fontId="28" fillId="0" borderId="14" xfId="1" applyFont="1" applyBorder="1" applyAlignment="1">
      <alignment horizontal="left" vertical="center"/>
    </xf>
    <xf numFmtId="168" fontId="28" fillId="0" borderId="15" xfId="1" applyFont="1" applyBorder="1" applyAlignment="1">
      <alignment horizontal="left" vertical="center"/>
    </xf>
    <xf numFmtId="168" fontId="28" fillId="0" borderId="0" xfId="1" applyFont="1" applyBorder="1" applyAlignment="1">
      <alignment horizontal="left" vertical="center"/>
    </xf>
    <xf numFmtId="168" fontId="28" fillId="0" borderId="16" xfId="1" applyFont="1" applyBorder="1" applyAlignment="1">
      <alignment horizontal="left" vertical="center"/>
    </xf>
    <xf numFmtId="176" fontId="27" fillId="3" borderId="1" xfId="1" applyNumberFormat="1" applyFont="1" applyFill="1" applyBorder="1"/>
    <xf numFmtId="168" fontId="28" fillId="0" borderId="17" xfId="1" applyFont="1" applyBorder="1" applyAlignment="1">
      <alignment horizontal="left" vertical="center"/>
    </xf>
    <xf numFmtId="168" fontId="28" fillId="0" borderId="8" xfId="1" applyFont="1" applyBorder="1" applyAlignment="1">
      <alignment horizontal="left" vertical="center"/>
    </xf>
    <xf numFmtId="168" fontId="28" fillId="0" borderId="18" xfId="1" applyFont="1" applyBorder="1" applyAlignment="1">
      <alignment horizontal="left" vertical="center"/>
    </xf>
    <xf numFmtId="168" fontId="28" fillId="0" borderId="15" xfId="1" applyFont="1" applyBorder="1" applyAlignment="1">
      <alignment vertical="center"/>
    </xf>
    <xf numFmtId="168" fontId="28" fillId="0" borderId="0" xfId="1" applyFont="1" applyBorder="1" applyAlignment="1">
      <alignment vertical="center"/>
    </xf>
    <xf numFmtId="164" fontId="27" fillId="3" borderId="1" xfId="2" applyFont="1" applyFill="1" applyBorder="1"/>
    <xf numFmtId="174" fontId="27" fillId="0" borderId="1" xfId="0" applyNumberFormat="1" applyFont="1" applyBorder="1" applyAlignment="1">
      <alignment horizontal="left" vertical="center"/>
    </xf>
    <xf numFmtId="174" fontId="27" fillId="0" borderId="1" xfId="0" applyNumberFormat="1" applyFont="1" applyBorder="1" applyAlignment="1">
      <alignment horizontal="left"/>
    </xf>
    <xf numFmtId="164" fontId="27" fillId="0" borderId="1" xfId="1" applyNumberFormat="1" applyFont="1" applyBorder="1"/>
    <xf numFmtId="0" fontId="26" fillId="15" borderId="1" xfId="0" applyFont="1" applyFill="1" applyBorder="1"/>
    <xf numFmtId="0" fontId="26" fillId="15" borderId="0" xfId="0" applyFont="1" applyFill="1"/>
    <xf numFmtId="168" fontId="31" fillId="12" borderId="4" xfId="1" applyFont="1" applyFill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6" fillId="5" borderId="13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vertical="center"/>
    </xf>
    <xf numFmtId="0" fontId="26" fillId="5" borderId="0" xfId="0" applyFont="1" applyFill="1" applyAlignment="1">
      <alignment horizontal="center" vertical="center"/>
    </xf>
    <xf numFmtId="168" fontId="26" fillId="5" borderId="9" xfId="1" applyFont="1" applyFill="1" applyBorder="1" applyAlignment="1">
      <alignment horizontal="center" vertical="center"/>
    </xf>
    <xf numFmtId="0" fontId="26" fillId="5" borderId="9" xfId="1" applyNumberFormat="1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8" fontId="26" fillId="5" borderId="12" xfId="1" applyFont="1" applyFill="1" applyBorder="1" applyAlignment="1">
      <alignment horizontal="center" vertical="center"/>
    </xf>
    <xf numFmtId="0" fontId="26" fillId="5" borderId="12" xfId="1" applyNumberFormat="1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/>
    </xf>
    <xf numFmtId="0" fontId="26" fillId="3" borderId="2" xfId="0" applyFont="1" applyFill="1" applyBorder="1" applyAlignment="1">
      <alignment vertical="center"/>
    </xf>
    <xf numFmtId="0" fontId="26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/>
    </xf>
    <xf numFmtId="0" fontId="27" fillId="3" borderId="16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1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7" fillId="3" borderId="12" xfId="0" applyFont="1" applyFill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/>
    </xf>
    <xf numFmtId="168" fontId="27" fillId="3" borderId="12" xfId="1" applyFont="1" applyFill="1" applyBorder="1" applyAlignment="1">
      <alignment horizontal="center" vertical="center"/>
    </xf>
    <xf numFmtId="0" fontId="27" fillId="3" borderId="17" xfId="0" applyFont="1" applyFill="1" applyBorder="1" applyAlignment="1">
      <alignment horizontal="center" vertical="center" wrapText="1"/>
    </xf>
    <xf numFmtId="168" fontId="31" fillId="3" borderId="10" xfId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27" fillId="0" borderId="10" xfId="0" applyFont="1" applyBorder="1"/>
    <xf numFmtId="0" fontId="27" fillId="0" borderId="13" xfId="0" applyFont="1" applyBorder="1"/>
    <xf numFmtId="0" fontId="27" fillId="0" borderId="14" xfId="0" applyFont="1" applyBorder="1"/>
    <xf numFmtId="168" fontId="27" fillId="0" borderId="2" xfId="1" applyFont="1" applyBorder="1" applyAlignment="1"/>
    <xf numFmtId="0" fontId="27" fillId="3" borderId="2" xfId="0" applyFont="1" applyFill="1" applyBorder="1"/>
    <xf numFmtId="0" fontId="27" fillId="0" borderId="15" xfId="0" applyFont="1" applyBorder="1"/>
    <xf numFmtId="0" fontId="27" fillId="0" borderId="16" xfId="0" applyFont="1" applyBorder="1"/>
    <xf numFmtId="0" fontId="27" fillId="0" borderId="17" xfId="0" applyFont="1" applyBorder="1"/>
    <xf numFmtId="0" fontId="27" fillId="0" borderId="8" xfId="0" applyFont="1" applyBorder="1"/>
    <xf numFmtId="0" fontId="27" fillId="0" borderId="18" xfId="0" applyFont="1" applyBorder="1"/>
    <xf numFmtId="0" fontId="27" fillId="0" borderId="4" xfId="0" applyFont="1" applyBorder="1"/>
    <xf numFmtId="179" fontId="27" fillId="3" borderId="2" xfId="0" applyNumberFormat="1" applyFont="1" applyFill="1" applyBorder="1"/>
    <xf numFmtId="0" fontId="26" fillId="13" borderId="2" xfId="0" applyFont="1" applyFill="1" applyBorder="1" applyAlignment="1">
      <alignment horizontal="center"/>
    </xf>
    <xf numFmtId="0" fontId="26" fillId="13" borderId="3" xfId="0" applyFont="1" applyFill="1" applyBorder="1" applyAlignment="1">
      <alignment horizontal="center"/>
    </xf>
    <xf numFmtId="0" fontId="27" fillId="13" borderId="18" xfId="0" applyFont="1" applyFill="1" applyBorder="1"/>
    <xf numFmtId="0" fontId="27" fillId="13" borderId="2" xfId="0" applyFont="1" applyFill="1" applyBorder="1" applyAlignment="1">
      <alignment horizontal="center"/>
    </xf>
    <xf numFmtId="0" fontId="27" fillId="13" borderId="2" xfId="0" applyFont="1" applyFill="1" applyBorder="1"/>
    <xf numFmtId="0" fontId="27" fillId="13" borderId="3" xfId="0" applyFont="1" applyFill="1" applyBorder="1"/>
    <xf numFmtId="0" fontId="27" fillId="13" borderId="1" xfId="0" applyFont="1" applyFill="1" applyBorder="1" applyAlignment="1">
      <alignment horizontal="center"/>
    </xf>
    <xf numFmtId="0" fontId="27" fillId="13" borderId="4" xfId="0" applyFont="1" applyFill="1" applyBorder="1" applyAlignment="1">
      <alignment horizontal="center"/>
    </xf>
    <xf numFmtId="168" fontId="27" fillId="13" borderId="2" xfId="1" applyFont="1" applyFill="1" applyBorder="1"/>
    <xf numFmtId="168" fontId="27" fillId="13" borderId="2" xfId="1" applyFont="1" applyFill="1" applyBorder="1" applyAlignment="1"/>
    <xf numFmtId="0" fontId="26" fillId="0" borderId="2" xfId="0" applyFont="1" applyBorder="1"/>
    <xf numFmtId="0" fontId="26" fillId="0" borderId="15" xfId="0" applyFont="1" applyBorder="1"/>
    <xf numFmtId="0" fontId="27" fillId="3" borderId="17" xfId="0" applyFont="1" applyFill="1" applyBorder="1"/>
    <xf numFmtId="0" fontId="27" fillId="3" borderId="8" xfId="0" applyFont="1" applyFill="1" applyBorder="1"/>
    <xf numFmtId="0" fontId="27" fillId="3" borderId="18" xfId="0" applyFont="1" applyFill="1" applyBorder="1"/>
    <xf numFmtId="0" fontId="27" fillId="3" borderId="2" xfId="0" applyFont="1" applyFill="1" applyBorder="1" applyAlignment="1">
      <alignment horizontal="center"/>
    </xf>
    <xf numFmtId="0" fontId="27" fillId="3" borderId="3" xfId="0" applyFont="1" applyFill="1" applyBorder="1"/>
    <xf numFmtId="9" fontId="27" fillId="3" borderId="1" xfId="0" applyNumberFormat="1" applyFont="1" applyFill="1" applyBorder="1" applyAlignment="1">
      <alignment horizontal="center"/>
    </xf>
    <xf numFmtId="168" fontId="27" fillId="3" borderId="2" xfId="1" applyFont="1" applyFill="1" applyBorder="1"/>
    <xf numFmtId="168" fontId="27" fillId="3" borderId="2" xfId="1" applyFont="1" applyFill="1" applyBorder="1" applyAlignment="1"/>
    <xf numFmtId="0" fontId="26" fillId="15" borderId="2" xfId="0" applyFont="1" applyFill="1" applyBorder="1" applyAlignment="1">
      <alignment horizontal="center" vertical="center" wrapText="1"/>
    </xf>
    <xf numFmtId="0" fontId="27" fillId="15" borderId="3" xfId="0" applyFont="1" applyFill="1" applyBorder="1" applyAlignment="1">
      <alignment horizontal="center" vertical="center" wrapText="1"/>
    </xf>
    <xf numFmtId="0" fontId="27" fillId="15" borderId="16" xfId="0" applyFont="1" applyFill="1" applyBorder="1"/>
    <xf numFmtId="0" fontId="27" fillId="15" borderId="1" xfId="0" applyFont="1" applyFill="1" applyBorder="1"/>
    <xf numFmtId="0" fontId="27" fillId="15" borderId="2" xfId="0" applyFont="1" applyFill="1" applyBorder="1" applyAlignment="1">
      <alignment horizontal="center"/>
    </xf>
    <xf numFmtId="0" fontId="27" fillId="15" borderId="2" xfId="0" applyFont="1" applyFill="1" applyBorder="1"/>
    <xf numFmtId="0" fontId="27" fillId="15" borderId="3" xfId="0" applyFont="1" applyFill="1" applyBorder="1"/>
    <xf numFmtId="0" fontId="27" fillId="15" borderId="1" xfId="0" applyFont="1" applyFill="1" applyBorder="1" applyAlignment="1">
      <alignment horizontal="center"/>
    </xf>
    <xf numFmtId="0" fontId="27" fillId="15" borderId="4" xfId="0" applyFont="1" applyFill="1" applyBorder="1" applyAlignment="1">
      <alignment horizontal="center"/>
    </xf>
    <xf numFmtId="168" fontId="27" fillId="15" borderId="1" xfId="1" applyFont="1" applyFill="1" applyBorder="1"/>
    <xf numFmtId="168" fontId="27" fillId="15" borderId="2" xfId="1" applyFont="1" applyFill="1" applyBorder="1"/>
    <xf numFmtId="168" fontId="26" fillId="15" borderId="2" xfId="1" applyFont="1" applyFill="1" applyBorder="1" applyAlignment="1">
      <alignment vertical="center"/>
    </xf>
    <xf numFmtId="43" fontId="26" fillId="15" borderId="1" xfId="0" applyNumberFormat="1" applyFont="1" applyFill="1" applyBorder="1"/>
    <xf numFmtId="168" fontId="26" fillId="15" borderId="1" xfId="0" applyNumberFormat="1" applyFont="1" applyFill="1" applyBorder="1"/>
    <xf numFmtId="0" fontId="27" fillId="3" borderId="15" xfId="0" applyFont="1" applyFill="1" applyBorder="1"/>
    <xf numFmtId="0" fontId="27" fillId="3" borderId="16" xfId="0" applyFont="1" applyFill="1" applyBorder="1"/>
    <xf numFmtId="170" fontId="27" fillId="0" borderId="2" xfId="1" applyNumberFormat="1" applyFont="1" applyBorder="1"/>
    <xf numFmtId="170" fontId="27" fillId="0" borderId="2" xfId="1" applyNumberFormat="1" applyFont="1" applyBorder="1" applyAlignment="1"/>
    <xf numFmtId="170" fontId="27" fillId="3" borderId="2" xfId="0" applyNumberFormat="1" applyFont="1" applyFill="1" applyBorder="1"/>
    <xf numFmtId="170" fontId="27" fillId="3" borderId="2" xfId="1" applyNumberFormat="1" applyFont="1" applyFill="1" applyBorder="1"/>
    <xf numFmtId="170" fontId="27" fillId="3" borderId="2" xfId="1" applyNumberFormat="1" applyFont="1" applyFill="1" applyBorder="1" applyAlignment="1"/>
    <xf numFmtId="170" fontId="26" fillId="15" borderId="2" xfId="1" applyNumberFormat="1" applyFont="1" applyFill="1" applyBorder="1" applyAlignment="1">
      <alignment vertical="center"/>
    </xf>
    <xf numFmtId="170" fontId="27" fillId="15" borderId="2" xfId="0" applyNumberFormat="1" applyFont="1" applyFill="1" applyBorder="1"/>
    <xf numFmtId="170" fontId="26" fillId="15" borderId="1" xfId="0" applyNumberFormat="1" applyFont="1" applyFill="1" applyBorder="1"/>
    <xf numFmtId="0" fontId="27" fillId="3" borderId="10" xfId="0" applyFont="1" applyFill="1" applyBorder="1"/>
    <xf numFmtId="0" fontId="27" fillId="3" borderId="13" xfId="0" applyFont="1" applyFill="1" applyBorder="1"/>
    <xf numFmtId="0" fontId="27" fillId="16" borderId="14" xfId="0" applyFont="1" applyFill="1" applyBorder="1"/>
    <xf numFmtId="0" fontId="27" fillId="16" borderId="16" xfId="0" applyFont="1" applyFill="1" applyBorder="1"/>
    <xf numFmtId="0" fontId="27" fillId="16" borderId="18" xfId="0" applyFont="1" applyFill="1" applyBorder="1"/>
    <xf numFmtId="170" fontId="27" fillId="17" borderId="2" xfId="1" applyNumberFormat="1" applyFont="1" applyFill="1" applyBorder="1" applyAlignment="1"/>
    <xf numFmtId="168" fontId="28" fillId="16" borderId="16" xfId="1" applyFont="1" applyFill="1" applyBorder="1"/>
    <xf numFmtId="168" fontId="27" fillId="0" borderId="2" xfId="1" applyFont="1" applyFill="1" applyBorder="1"/>
    <xf numFmtId="170" fontId="27" fillId="0" borderId="2" xfId="1" applyNumberFormat="1" applyFont="1" applyFill="1" applyBorder="1"/>
    <xf numFmtId="170" fontId="27" fillId="0" borderId="2" xfId="1" applyNumberFormat="1" applyFont="1" applyFill="1" applyBorder="1" applyAlignment="1"/>
    <xf numFmtId="170" fontId="27" fillId="0" borderId="2" xfId="0" applyNumberFormat="1" applyFont="1" applyBorder="1"/>
    <xf numFmtId="168" fontId="28" fillId="16" borderId="0" xfId="1" applyFont="1" applyFill="1" applyBorder="1"/>
    <xf numFmtId="168" fontId="28" fillId="16" borderId="8" xfId="1" applyFont="1" applyFill="1" applyBorder="1"/>
    <xf numFmtId="168" fontId="28" fillId="16" borderId="18" xfId="1" applyFont="1" applyFill="1" applyBorder="1"/>
    <xf numFmtId="0" fontId="26" fillId="13" borderId="2" xfId="0" applyFont="1" applyFill="1" applyBorder="1" applyAlignment="1">
      <alignment horizontal="center" wrapText="1"/>
    </xf>
    <xf numFmtId="0" fontId="27" fillId="13" borderId="3" xfId="0" applyFont="1" applyFill="1" applyBorder="1" applyAlignment="1">
      <alignment horizontal="center" wrapText="1"/>
    </xf>
    <xf numFmtId="168" fontId="28" fillId="13" borderId="18" xfId="1" applyFont="1" applyFill="1" applyBorder="1"/>
    <xf numFmtId="0" fontId="28" fillId="13" borderId="1" xfId="1" applyNumberFormat="1" applyFont="1" applyFill="1" applyBorder="1" applyAlignment="1">
      <alignment horizontal="center"/>
    </xf>
    <xf numFmtId="170" fontId="26" fillId="13" borderId="1" xfId="1" applyNumberFormat="1" applyFont="1" applyFill="1" applyBorder="1" applyAlignment="1">
      <alignment vertical="center"/>
    </xf>
    <xf numFmtId="170" fontId="27" fillId="13" borderId="2" xfId="1" applyNumberFormat="1" applyFont="1" applyFill="1" applyBorder="1" applyAlignment="1"/>
    <xf numFmtId="170" fontId="27" fillId="13" borderId="2" xfId="0" applyNumberFormat="1" applyFont="1" applyFill="1" applyBorder="1"/>
    <xf numFmtId="170" fontId="26" fillId="13" borderId="1" xfId="0" applyNumberFormat="1" applyFont="1" applyFill="1" applyBorder="1" applyAlignment="1">
      <alignment vertical="center"/>
    </xf>
    <xf numFmtId="168" fontId="26" fillId="13" borderId="1" xfId="0" applyNumberFormat="1" applyFont="1" applyFill="1" applyBorder="1" applyAlignment="1">
      <alignment vertical="center"/>
    </xf>
    <xf numFmtId="0" fontId="26" fillId="3" borderId="2" xfId="0" applyFont="1" applyFill="1" applyBorder="1"/>
    <xf numFmtId="0" fontId="27" fillId="3" borderId="4" xfId="0" applyFont="1" applyFill="1" applyBorder="1"/>
    <xf numFmtId="170" fontId="27" fillId="3" borderId="1" xfId="0" applyNumberFormat="1" applyFont="1" applyFill="1" applyBorder="1"/>
    <xf numFmtId="0" fontId="26" fillId="3" borderId="15" xfId="0" applyFont="1" applyFill="1" applyBorder="1"/>
    <xf numFmtId="170" fontId="26" fillId="15" borderId="2" xfId="0" applyNumberFormat="1" applyFont="1" applyFill="1" applyBorder="1"/>
    <xf numFmtId="170" fontId="26" fillId="15" borderId="1" xfId="0" applyNumberFormat="1" applyFont="1" applyFill="1" applyBorder="1" applyAlignment="1">
      <alignment vertical="center"/>
    </xf>
    <xf numFmtId="168" fontId="26" fillId="15" borderId="1" xfId="0" applyNumberFormat="1" applyFont="1" applyFill="1" applyBorder="1" applyAlignment="1">
      <alignment vertical="center"/>
    </xf>
    <xf numFmtId="0" fontId="27" fillId="5" borderId="10" xfId="0" applyFont="1" applyFill="1" applyBorder="1"/>
    <xf numFmtId="0" fontId="27" fillId="5" borderId="13" xfId="0" applyFont="1" applyFill="1" applyBorder="1"/>
    <xf numFmtId="0" fontId="27" fillId="5" borderId="14" xfId="0" applyFont="1" applyFill="1" applyBorder="1"/>
    <xf numFmtId="0" fontId="26" fillId="5" borderId="15" xfId="0" applyFont="1" applyFill="1" applyBorder="1"/>
    <xf numFmtId="0" fontId="26" fillId="5" borderId="0" xfId="0" applyFont="1" applyFill="1"/>
    <xf numFmtId="0" fontId="26" fillId="5" borderId="16" xfId="0" applyFont="1" applyFill="1" applyBorder="1"/>
    <xf numFmtId="0" fontId="27" fillId="5" borderId="15" xfId="0" applyFont="1" applyFill="1" applyBorder="1"/>
    <xf numFmtId="0" fontId="27" fillId="5" borderId="0" xfId="0" applyFont="1" applyFill="1"/>
    <xf numFmtId="0" fontId="27" fillId="5" borderId="16" xfId="0" applyFont="1" applyFill="1" applyBorder="1"/>
    <xf numFmtId="0" fontId="26" fillId="13" borderId="2" xfId="0" applyFont="1" applyFill="1" applyBorder="1" applyAlignment="1">
      <alignment horizontal="center" vertical="center" wrapText="1"/>
    </xf>
    <xf numFmtId="0" fontId="27" fillId="13" borderId="3" xfId="0" applyFont="1" applyFill="1" applyBorder="1" applyAlignment="1">
      <alignment horizontal="center" vertical="center" wrapText="1"/>
    </xf>
    <xf numFmtId="0" fontId="27" fillId="13" borderId="16" xfId="0" applyFont="1" applyFill="1" applyBorder="1"/>
    <xf numFmtId="170" fontId="26" fillId="13" borderId="2" xfId="1" applyNumberFormat="1" applyFont="1" applyFill="1" applyBorder="1" applyAlignment="1">
      <alignment vertical="center"/>
    </xf>
    <xf numFmtId="168" fontId="26" fillId="13" borderId="1" xfId="0" applyNumberFormat="1" applyFont="1" applyFill="1" applyBorder="1"/>
    <xf numFmtId="1" fontId="27" fillId="0" borderId="4" xfId="0" applyNumberFormat="1" applyFont="1" applyBorder="1" applyAlignment="1">
      <alignment horizontal="center"/>
    </xf>
    <xf numFmtId="170" fontId="27" fillId="14" borderId="2" xfId="0" applyNumberFormat="1" applyFont="1" applyFill="1" applyBorder="1"/>
    <xf numFmtId="168" fontId="27" fillId="0" borderId="4" xfId="1" applyFont="1" applyBorder="1" applyAlignment="1">
      <alignment horizontal="center"/>
    </xf>
    <xf numFmtId="0" fontId="26" fillId="0" borderId="10" xfId="0" applyFont="1" applyBorder="1"/>
    <xf numFmtId="0" fontId="27" fillId="3" borderId="14" xfId="0" applyFont="1" applyFill="1" applyBorder="1"/>
    <xf numFmtId="0" fontId="27" fillId="18" borderId="1" xfId="0" applyFont="1" applyFill="1" applyBorder="1"/>
    <xf numFmtId="0" fontId="27" fillId="18" borderId="2" xfId="0" applyFont="1" applyFill="1" applyBorder="1" applyAlignment="1">
      <alignment horizontal="center"/>
    </xf>
    <xf numFmtId="0" fontId="27" fillId="18" borderId="2" xfId="0" applyFont="1" applyFill="1" applyBorder="1"/>
    <xf numFmtId="0" fontId="27" fillId="18" borderId="3" xfId="0" applyFont="1" applyFill="1" applyBorder="1"/>
    <xf numFmtId="0" fontId="27" fillId="18" borderId="4" xfId="0" applyFont="1" applyFill="1" applyBorder="1" applyAlignment="1">
      <alignment horizontal="center"/>
    </xf>
    <xf numFmtId="170" fontId="27" fillId="18" borderId="1" xfId="2" applyNumberFormat="1" applyFont="1" applyFill="1" applyBorder="1"/>
    <xf numFmtId="170" fontId="27" fillId="18" borderId="1" xfId="1" applyNumberFormat="1" applyFont="1" applyFill="1" applyBorder="1"/>
    <xf numFmtId="168" fontId="27" fillId="18" borderId="2" xfId="1" applyFont="1" applyFill="1" applyBorder="1"/>
    <xf numFmtId="170" fontId="27" fillId="18" borderId="2" xfId="1" applyNumberFormat="1" applyFont="1" applyFill="1" applyBorder="1" applyAlignment="1"/>
    <xf numFmtId="170" fontId="27" fillId="18" borderId="4" xfId="1" applyNumberFormat="1" applyFont="1" applyFill="1" applyBorder="1"/>
    <xf numFmtId="0" fontId="27" fillId="3" borderId="4" xfId="1" applyNumberFormat="1" applyFont="1" applyFill="1" applyBorder="1" applyAlignment="1">
      <alignment horizontal="center"/>
    </xf>
    <xf numFmtId="0" fontId="27" fillId="0" borderId="9" xfId="0" applyFont="1" applyBorder="1"/>
    <xf numFmtId="0" fontId="27" fillId="0" borderId="10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170" fontId="27" fillId="0" borderId="9" xfId="1" applyNumberFormat="1" applyFont="1" applyBorder="1"/>
    <xf numFmtId="170" fontId="27" fillId="0" borderId="10" xfId="1" applyNumberFormat="1" applyFont="1" applyBorder="1"/>
    <xf numFmtId="170" fontId="27" fillId="0" borderId="10" xfId="1" applyNumberFormat="1" applyFont="1" applyBorder="1" applyAlignment="1"/>
    <xf numFmtId="170" fontId="27" fillId="3" borderId="10" xfId="0" applyNumberFormat="1" applyFont="1" applyFill="1" applyBorder="1"/>
    <xf numFmtId="0" fontId="0" fillId="0" borderId="13" xfId="0" applyBorder="1"/>
    <xf numFmtId="164" fontId="27" fillId="0" borderId="2" xfId="2" applyFont="1" applyBorder="1"/>
    <xf numFmtId="0" fontId="27" fillId="18" borderId="1" xfId="0" applyFont="1" applyFill="1" applyBorder="1" applyAlignment="1">
      <alignment horizontal="center"/>
    </xf>
    <xf numFmtId="0" fontId="27" fillId="18" borderId="10" xfId="0" applyFont="1" applyFill="1" applyBorder="1"/>
    <xf numFmtId="0" fontId="27" fillId="18" borderId="13" xfId="0" applyFont="1" applyFill="1" applyBorder="1"/>
    <xf numFmtId="0" fontId="27" fillId="18" borderId="10" xfId="0" applyFont="1" applyFill="1" applyBorder="1" applyAlignment="1">
      <alignment horizontal="center"/>
    </xf>
    <xf numFmtId="0" fontId="27" fillId="18" borderId="9" xfId="0" applyFont="1" applyFill="1" applyBorder="1" applyAlignment="1">
      <alignment horizontal="center" vertical="center" wrapText="1"/>
    </xf>
    <xf numFmtId="0" fontId="27" fillId="18" borderId="14" xfId="0" applyFont="1" applyFill="1" applyBorder="1" applyAlignment="1">
      <alignment horizontal="center" vertical="center" wrapText="1"/>
    </xf>
    <xf numFmtId="168" fontId="27" fillId="18" borderId="1" xfId="1" applyFont="1" applyFill="1" applyBorder="1"/>
    <xf numFmtId="164" fontId="27" fillId="18" borderId="1" xfId="2" applyFont="1" applyFill="1" applyBorder="1"/>
    <xf numFmtId="170" fontId="27" fillId="18" borderId="1" xfId="1" applyNumberFormat="1" applyFont="1" applyFill="1" applyBorder="1" applyAlignment="1"/>
    <xf numFmtId="0" fontId="27" fillId="18" borderId="1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7" fillId="18" borderId="17" xfId="0" applyFont="1" applyFill="1" applyBorder="1"/>
    <xf numFmtId="0" fontId="27" fillId="18" borderId="8" xfId="0" applyFont="1" applyFill="1" applyBorder="1"/>
    <xf numFmtId="0" fontId="27" fillId="18" borderId="17" xfId="0" applyFont="1" applyFill="1" applyBorder="1" applyAlignment="1">
      <alignment horizontal="center"/>
    </xf>
    <xf numFmtId="0" fontId="27" fillId="18" borderId="12" xfId="0" applyFont="1" applyFill="1" applyBorder="1" applyAlignment="1">
      <alignment horizontal="center" vertical="center" wrapText="1"/>
    </xf>
    <xf numFmtId="0" fontId="27" fillId="18" borderId="18" xfId="0" applyFont="1" applyFill="1" applyBorder="1" applyAlignment="1">
      <alignment horizontal="center" vertical="center" wrapText="1"/>
    </xf>
    <xf numFmtId="0" fontId="26" fillId="0" borderId="13" xfId="0" quotePrefix="1" applyFont="1" applyBorder="1"/>
    <xf numFmtId="0" fontId="26" fillId="0" borderId="14" xfId="0" quotePrefix="1" applyFont="1" applyBorder="1"/>
    <xf numFmtId="168" fontId="27" fillId="0" borderId="1" xfId="2" applyNumberFormat="1" applyFont="1" applyBorder="1"/>
    <xf numFmtId="168" fontId="27" fillId="3" borderId="1" xfId="2" applyNumberFormat="1" applyFont="1" applyFill="1" applyBorder="1"/>
    <xf numFmtId="173" fontId="27" fillId="3" borderId="1" xfId="2" applyNumberFormat="1" applyFont="1" applyFill="1" applyBorder="1"/>
    <xf numFmtId="169" fontId="27" fillId="0" borderId="1" xfId="2" applyNumberFormat="1" applyFont="1" applyBorder="1"/>
    <xf numFmtId="175" fontId="27" fillId="3" borderId="1" xfId="2" applyNumberFormat="1" applyFont="1" applyFill="1" applyBorder="1"/>
    <xf numFmtId="169" fontId="27" fillId="3" borderId="1" xfId="2" applyNumberFormat="1" applyFont="1" applyFill="1" applyBorder="1"/>
    <xf numFmtId="170" fontId="27" fillId="3" borderId="1" xfId="2" applyNumberFormat="1" applyFont="1" applyFill="1" applyBorder="1"/>
    <xf numFmtId="43" fontId="27" fillId="0" borderId="4" xfId="0" applyNumberFormat="1" applyFont="1" applyBorder="1" applyAlignment="1">
      <alignment horizontal="center"/>
    </xf>
    <xf numFmtId="170" fontId="27" fillId="3" borderId="1" xfId="1" applyNumberFormat="1" applyFont="1" applyFill="1" applyBorder="1" applyAlignment="1">
      <alignment horizontal="center"/>
    </xf>
    <xf numFmtId="179" fontId="27" fillId="0" borderId="4" xfId="0" applyNumberFormat="1" applyFont="1" applyBorder="1" applyAlignment="1">
      <alignment horizontal="center"/>
    </xf>
    <xf numFmtId="170" fontId="27" fillId="3" borderId="1" xfId="2" applyNumberFormat="1" applyFont="1" applyFill="1" applyBorder="1" applyAlignment="1">
      <alignment horizontal="center"/>
    </xf>
    <xf numFmtId="170" fontId="27" fillId="3" borderId="1" xfId="1" applyNumberFormat="1" applyFont="1" applyFill="1" applyBorder="1" applyAlignment="1"/>
    <xf numFmtId="170" fontId="27" fillId="0" borderId="1" xfId="1" applyNumberFormat="1" applyFont="1" applyBorder="1" applyAlignment="1"/>
    <xf numFmtId="0" fontId="26" fillId="13" borderId="4" xfId="0" applyFont="1" applyFill="1" applyBorder="1" applyAlignment="1">
      <alignment horizontal="center"/>
    </xf>
    <xf numFmtId="168" fontId="26" fillId="13" borderId="2" xfId="1" applyFont="1" applyFill="1" applyBorder="1"/>
    <xf numFmtId="170" fontId="26" fillId="13" borderId="2" xfId="1" applyNumberFormat="1" applyFont="1" applyFill="1" applyBorder="1"/>
    <xf numFmtId="170" fontId="27" fillId="0" borderId="0" xfId="1" applyNumberFormat="1" applyFont="1"/>
    <xf numFmtId="0" fontId="26" fillId="10" borderId="1" xfId="0" applyFont="1" applyFill="1" applyBorder="1" applyAlignment="1">
      <alignment horizontal="center" vertical="center"/>
    </xf>
    <xf numFmtId="170" fontId="26" fillId="5" borderId="9" xfId="1" applyNumberFormat="1" applyFont="1" applyFill="1" applyBorder="1" applyAlignment="1">
      <alignment horizontal="center" vertical="center"/>
    </xf>
    <xf numFmtId="0" fontId="27" fillId="9" borderId="17" xfId="0" applyFont="1" applyFill="1" applyBorder="1" applyAlignment="1">
      <alignment horizontal="center" vertical="center"/>
    </xf>
    <xf numFmtId="0" fontId="26" fillId="5" borderId="8" xfId="0" applyFont="1" applyFill="1" applyBorder="1" applyAlignment="1">
      <alignment horizontal="center" vertical="center"/>
    </xf>
    <xf numFmtId="170" fontId="26" fillId="5" borderId="12" xfId="1" applyNumberFormat="1" applyFont="1" applyFill="1" applyBorder="1" applyAlignment="1">
      <alignment horizontal="center" vertical="center"/>
    </xf>
    <xf numFmtId="173" fontId="27" fillId="3" borderId="12" xfId="1" applyNumberFormat="1" applyFont="1" applyFill="1" applyBorder="1" applyAlignment="1">
      <alignment horizontal="center" vertical="center"/>
    </xf>
    <xf numFmtId="170" fontId="27" fillId="3" borderId="12" xfId="1" applyNumberFormat="1" applyFont="1" applyFill="1" applyBorder="1" applyAlignment="1">
      <alignment horizontal="center" vertical="center"/>
    </xf>
    <xf numFmtId="170" fontId="27" fillId="13" borderId="1" xfId="1" applyNumberFormat="1" applyFont="1" applyFill="1" applyBorder="1"/>
    <xf numFmtId="168" fontId="27" fillId="0" borderId="2" xfId="1" applyFont="1" applyFill="1" applyBorder="1" applyAlignment="1"/>
    <xf numFmtId="0" fontId="26" fillId="13" borderId="3" xfId="0" applyFont="1" applyFill="1" applyBorder="1" applyAlignment="1">
      <alignment horizontal="center" wrapText="1"/>
    </xf>
    <xf numFmtId="0" fontId="26" fillId="13" borderId="4" xfId="0" applyFont="1" applyFill="1" applyBorder="1" applyAlignment="1">
      <alignment horizontal="center" wrapText="1"/>
    </xf>
    <xf numFmtId="0" fontId="26" fillId="15" borderId="3" xfId="0" applyFont="1" applyFill="1" applyBorder="1" applyAlignment="1">
      <alignment horizontal="center" vertical="center" wrapText="1"/>
    </xf>
    <xf numFmtId="0" fontId="26" fillId="15" borderId="4" xfId="0" applyFont="1" applyFill="1" applyBorder="1" applyAlignment="1">
      <alignment horizontal="center" vertical="center" wrapText="1"/>
    </xf>
    <xf numFmtId="173" fontId="27" fillId="15" borderId="1" xfId="1" applyNumberFormat="1" applyFont="1" applyFill="1" applyBorder="1"/>
    <xf numFmtId="170" fontId="27" fillId="15" borderId="1" xfId="1" applyNumberFormat="1" applyFont="1" applyFill="1" applyBorder="1"/>
    <xf numFmtId="170" fontId="27" fillId="15" borderId="2" xfId="1" applyNumberFormat="1" applyFont="1" applyFill="1" applyBorder="1"/>
    <xf numFmtId="43" fontId="26" fillId="15" borderId="1" xfId="0" applyNumberFormat="1" applyFont="1" applyFill="1" applyBorder="1" applyAlignment="1">
      <alignment vertical="center"/>
    </xf>
    <xf numFmtId="0" fontId="26" fillId="13" borderId="3" xfId="0" applyFont="1" applyFill="1" applyBorder="1" applyAlignment="1">
      <alignment horizontal="center" vertical="center" wrapText="1"/>
    </xf>
    <xf numFmtId="0" fontId="26" fillId="13" borderId="4" xfId="0" applyFont="1" applyFill="1" applyBorder="1" applyAlignment="1">
      <alignment horizontal="center" vertical="center" wrapText="1"/>
    </xf>
    <xf numFmtId="170" fontId="27" fillId="13" borderId="2" xfId="1" applyNumberFormat="1" applyFont="1" applyFill="1" applyBorder="1"/>
    <xf numFmtId="43" fontId="26" fillId="13" borderId="1" xfId="0" applyNumberFormat="1" applyFont="1" applyFill="1" applyBorder="1" applyAlignment="1">
      <alignment vertical="center"/>
    </xf>
    <xf numFmtId="43" fontId="26" fillId="15" borderId="1" xfId="0" applyNumberFormat="1" applyFont="1" applyFill="1" applyBorder="1" applyAlignment="1">
      <alignment horizontal="center" vertical="center"/>
    </xf>
    <xf numFmtId="170" fontId="27" fillId="18" borderId="2" xfId="1" applyNumberFormat="1" applyFont="1" applyFill="1" applyBorder="1"/>
    <xf numFmtId="170" fontId="31" fillId="18" borderId="10" xfId="1" applyNumberFormat="1" applyFont="1" applyFill="1" applyBorder="1" applyAlignment="1">
      <alignment vertical="center"/>
    </xf>
    <xf numFmtId="9" fontId="13" fillId="0" borderId="1" xfId="0" applyNumberFormat="1" applyFont="1" applyBorder="1" applyAlignment="1">
      <alignment horizontal="center"/>
    </xf>
    <xf numFmtId="173" fontId="13" fillId="0" borderId="1" xfId="1" applyNumberFormat="1" applyFont="1" applyBorder="1"/>
    <xf numFmtId="170" fontId="13" fillId="0" borderId="1" xfId="1" applyNumberFormat="1" applyFont="1" applyBorder="1"/>
    <xf numFmtId="168" fontId="13" fillId="0" borderId="2" xfId="0" applyNumberFormat="1" applyFont="1" applyBorder="1"/>
    <xf numFmtId="170" fontId="13" fillId="0" borderId="2" xfId="1" applyNumberFormat="1" applyFont="1" applyBorder="1"/>
    <xf numFmtId="170" fontId="34" fillId="0" borderId="1" xfId="1" applyNumberFormat="1" applyFont="1" applyBorder="1"/>
    <xf numFmtId="170" fontId="34" fillId="0" borderId="2" xfId="1" applyNumberFormat="1" applyFont="1" applyBorder="1"/>
    <xf numFmtId="170" fontId="34" fillId="0" borderId="2" xfId="1" applyNumberFormat="1" applyFont="1" applyBorder="1" applyAlignment="1"/>
    <xf numFmtId="170" fontId="35" fillId="3" borderId="10" xfId="1" applyNumberFormat="1" applyFont="1" applyFill="1" applyBorder="1" applyAlignment="1">
      <alignment vertical="center"/>
    </xf>
    <xf numFmtId="168" fontId="0" fillId="0" borderId="0" xfId="0" applyNumberFormat="1"/>
    <xf numFmtId="173" fontId="27" fillId="18" borderId="1" xfId="1" applyNumberFormat="1" applyFont="1" applyFill="1" applyBorder="1"/>
    <xf numFmtId="0" fontId="27" fillId="18" borderId="15" xfId="0" applyFont="1" applyFill="1" applyBorder="1"/>
    <xf numFmtId="0" fontId="27" fillId="18" borderId="0" xfId="0" applyFont="1" applyFill="1"/>
    <xf numFmtId="0" fontId="27" fillId="18" borderId="15" xfId="0" applyFont="1" applyFill="1" applyBorder="1" applyAlignment="1">
      <alignment horizontal="center"/>
    </xf>
    <xf numFmtId="0" fontId="27" fillId="18" borderId="16" xfId="0" applyFont="1" applyFill="1" applyBorder="1" applyAlignment="1">
      <alignment horizontal="center" vertical="center" wrapText="1"/>
    </xf>
    <xf numFmtId="170" fontId="27" fillId="3" borderId="2" xfId="2" applyNumberFormat="1" applyFont="1" applyFill="1" applyBorder="1"/>
    <xf numFmtId="0" fontId="27" fillId="3" borderId="0" xfId="0" applyFont="1" applyFill="1" applyAlignment="1">
      <alignment horizontal="right"/>
    </xf>
    <xf numFmtId="173" fontId="27" fillId="3" borderId="0" xfId="1" applyNumberFormat="1" applyFont="1" applyFill="1"/>
    <xf numFmtId="170" fontId="27" fillId="3" borderId="0" xfId="1" applyNumberFormat="1" applyFont="1" applyFill="1"/>
    <xf numFmtId="168" fontId="26" fillId="13" borderId="2" xfId="1" applyFont="1" applyFill="1" applyBorder="1" applyAlignment="1">
      <alignment vertical="center"/>
    </xf>
    <xf numFmtId="170" fontId="27" fillId="15" borderId="2" xfId="1" applyNumberFormat="1" applyFont="1" applyFill="1" applyBorder="1" applyAlignment="1"/>
    <xf numFmtId="168" fontId="31" fillId="16" borderId="0" xfId="1" applyFont="1" applyFill="1" applyBorder="1"/>
    <xf numFmtId="168" fontId="27" fillId="3" borderId="1" xfId="0" applyNumberFormat="1" applyFont="1" applyFill="1" applyBorder="1"/>
    <xf numFmtId="173" fontId="27" fillId="3" borderId="2" xfId="1" applyNumberFormat="1" applyFont="1" applyFill="1" applyBorder="1"/>
    <xf numFmtId="43" fontId="27" fillId="3" borderId="1" xfId="0" applyNumberFormat="1" applyFont="1" applyFill="1" applyBorder="1"/>
    <xf numFmtId="168" fontId="27" fillId="15" borderId="2" xfId="1" applyFont="1" applyFill="1" applyBorder="1" applyAlignment="1"/>
    <xf numFmtId="170" fontId="27" fillId="3" borderId="4" xfId="1" applyNumberFormat="1" applyFont="1" applyFill="1" applyBorder="1"/>
    <xf numFmtId="170" fontId="27" fillId="3" borderId="10" xfId="1" applyNumberFormat="1" applyFont="1" applyFill="1" applyBorder="1" applyAlignment="1"/>
    <xf numFmtId="168" fontId="13" fillId="0" borderId="1" xfId="1" applyFont="1" applyBorder="1"/>
    <xf numFmtId="164" fontId="27" fillId="3" borderId="2" xfId="2" applyFont="1" applyFill="1" applyBorder="1"/>
    <xf numFmtId="168" fontId="27" fillId="3" borderId="0" xfId="0" applyNumberFormat="1" applyFont="1" applyFill="1"/>
    <xf numFmtId="9" fontId="28" fillId="0" borderId="1" xfId="1" applyNumberFormat="1" applyFont="1" applyBorder="1" applyAlignment="1">
      <alignment horizontal="center"/>
    </xf>
    <xf numFmtId="0" fontId="27" fillId="3" borderId="10" xfId="0" applyFont="1" applyFill="1" applyBorder="1" applyAlignment="1">
      <alignment horizontal="center"/>
    </xf>
    <xf numFmtId="0" fontId="27" fillId="3" borderId="9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 wrapText="1"/>
    </xf>
    <xf numFmtId="168" fontId="27" fillId="3" borderId="1" xfId="1" applyFont="1" applyFill="1" applyBorder="1" applyAlignment="1"/>
    <xf numFmtId="0" fontId="27" fillId="3" borderId="15" xfId="0" applyFont="1" applyFill="1" applyBorder="1" applyAlignment="1">
      <alignment horizontal="center"/>
    </xf>
    <xf numFmtId="0" fontId="27" fillId="3" borderId="11" xfId="0" applyFont="1" applyFill="1" applyBorder="1" applyAlignment="1">
      <alignment horizontal="center" vertical="center" wrapText="1"/>
    </xf>
    <xf numFmtId="0" fontId="27" fillId="3" borderId="16" xfId="0" applyFont="1" applyFill="1" applyBorder="1" applyAlignment="1">
      <alignment horizontal="center" vertical="center" wrapText="1"/>
    </xf>
    <xf numFmtId="0" fontId="27" fillId="3" borderId="17" xfId="0" applyFont="1" applyFill="1" applyBorder="1" applyAlignment="1">
      <alignment horizontal="center"/>
    </xf>
    <xf numFmtId="0" fontId="27" fillId="3" borderId="12" xfId="0" applyFont="1" applyFill="1" applyBorder="1" applyAlignment="1">
      <alignment horizontal="center" vertical="center" wrapText="1"/>
    </xf>
    <xf numFmtId="0" fontId="27" fillId="3" borderId="18" xfId="0" applyFont="1" applyFill="1" applyBorder="1" applyAlignment="1">
      <alignment horizontal="center" vertical="center" wrapText="1"/>
    </xf>
    <xf numFmtId="0" fontId="26" fillId="3" borderId="15" xfId="0" quotePrefix="1" applyFont="1" applyFill="1" applyBorder="1"/>
    <xf numFmtId="0" fontId="26" fillId="3" borderId="0" xfId="0" quotePrefix="1" applyFont="1" applyFill="1"/>
    <xf numFmtId="0" fontId="26" fillId="3" borderId="16" xfId="0" quotePrefix="1" applyFont="1" applyFill="1" applyBorder="1"/>
    <xf numFmtId="165" fontId="27" fillId="0" borderId="1" xfId="2" applyNumberFormat="1" applyFont="1" applyBorder="1"/>
    <xf numFmtId="0" fontId="26" fillId="3" borderId="13" xfId="0" quotePrefix="1" applyFont="1" applyFill="1" applyBorder="1"/>
    <xf numFmtId="0" fontId="26" fillId="3" borderId="14" xfId="0" quotePrefix="1" applyFont="1" applyFill="1" applyBorder="1"/>
    <xf numFmtId="179" fontId="27" fillId="3" borderId="4" xfId="0" applyNumberFormat="1" applyFont="1" applyFill="1" applyBorder="1" applyAlignment="1">
      <alignment horizontal="center"/>
    </xf>
    <xf numFmtId="170" fontId="27" fillId="14" borderId="2" xfId="1" applyNumberFormat="1" applyFont="1" applyFill="1" applyBorder="1"/>
    <xf numFmtId="168" fontId="27" fillId="3" borderId="0" xfId="1" applyFont="1" applyFill="1"/>
  </cellXfs>
  <cellStyles count="6">
    <cellStyle name="Comma" xfId="1" builtinId="3"/>
    <cellStyle name="Comma [0]" xfId="2" builtinId="6"/>
    <cellStyle name="Normal" xfId="0" builtinId="0"/>
    <cellStyle name="Normal_Form Budget 2008 Non Biaya Rev01" xfId="5" xr:uid="{465C1917-2C05-4ACA-A298-24EE1CBC8C3D}"/>
    <cellStyle name="Normal_RKP FFD 5 Tahun 2008-2012" xfId="4" xr:uid="{403E27C2-7C94-42F9-87E5-FB338268002D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B038-3A09-48E0-9686-BA3BB9309C6F}">
  <sheetPr>
    <tabColor rgb="FF00B050"/>
  </sheetPr>
  <dimension ref="A1:AX73"/>
  <sheetViews>
    <sheetView tabSelected="1" view="pageBreakPreview" topLeftCell="A4" zoomScale="68" zoomScaleNormal="115" zoomScaleSheetLayoutView="100" workbookViewId="0">
      <selection activeCell="Q12" sqref="Q12"/>
    </sheetView>
  </sheetViews>
  <sheetFormatPr defaultRowHeight="10.5" outlineLevelCol="1" x14ac:dyDescent="0.25"/>
  <cols>
    <col min="1" max="1" width="2.7265625" style="1" customWidth="1"/>
    <col min="2" max="2" width="3.54296875" style="1" customWidth="1"/>
    <col min="3" max="3" width="3.7265625" style="1" customWidth="1"/>
    <col min="4" max="4" width="16.1796875" style="1" customWidth="1"/>
    <col min="5" max="5" width="8.7265625" style="1" customWidth="1"/>
    <col min="6" max="6" width="19" style="1" customWidth="1"/>
    <col min="7" max="7" width="14" style="1" customWidth="1"/>
    <col min="8" max="8" width="9.1796875" style="1" hidden="1" customWidth="1" outlineLevel="1"/>
    <col min="9" max="9" width="11.453125" style="1" hidden="1" customWidth="1" outlineLevel="1"/>
    <col min="10" max="10" width="9.26953125" style="1" hidden="1" customWidth="1" outlineLevel="1"/>
    <col min="11" max="11" width="13.1796875" style="1" hidden="1" customWidth="1" outlineLevel="1"/>
    <col min="12" max="12" width="9.7265625" style="1" hidden="1" customWidth="1" outlineLevel="1"/>
    <col min="13" max="13" width="0.81640625" style="1" hidden="1" customWidth="1" outlineLevel="1"/>
    <col min="14" max="14" width="7.7265625" style="1" customWidth="1" collapsed="1"/>
    <col min="15" max="15" width="18.26953125" style="1" customWidth="1"/>
    <col min="16" max="16" width="7.81640625" style="1" customWidth="1" collapsed="1"/>
    <col min="17" max="17" width="18.1796875" style="1" customWidth="1"/>
    <col min="18" max="18" width="9.54296875" style="19" hidden="1" customWidth="1" outlineLevel="1"/>
    <col min="19" max="19" width="12.1796875" style="1" hidden="1" customWidth="1" outlineLevel="1"/>
    <col min="20" max="20" width="7.81640625" style="1" hidden="1" customWidth="1" outlineLevel="1"/>
    <col min="21" max="21" width="12.1796875" style="1" hidden="1" customWidth="1" outlineLevel="1"/>
    <col min="22" max="22" width="7.81640625" style="1" hidden="1" customWidth="1" outlineLevel="1"/>
    <col min="23" max="23" width="1" style="1" hidden="1" customWidth="1" outlineLevel="1"/>
    <col min="24" max="24" width="8" style="1" customWidth="1" collapsed="1"/>
    <col min="25" max="25" width="16.81640625" style="1" customWidth="1"/>
    <col min="26" max="26" width="8" style="1" customWidth="1" collapsed="1"/>
    <col min="27" max="27" width="18.1796875" style="1" customWidth="1"/>
    <col min="28" max="28" width="7.54296875" style="19" hidden="1" customWidth="1" outlineLevel="1"/>
    <col min="29" max="29" width="12.1796875" style="1" hidden="1" customWidth="1" outlineLevel="1"/>
    <col min="30" max="30" width="7.81640625" style="1" hidden="1" customWidth="1" outlineLevel="1"/>
    <col min="31" max="31" width="12.1796875" style="1" hidden="1" customWidth="1" outlineLevel="1"/>
    <col min="32" max="32" width="7.81640625" style="1" hidden="1" customWidth="1" outlineLevel="1"/>
    <col min="33" max="33" width="12.1796875" style="1" hidden="1" customWidth="1" outlineLevel="1"/>
    <col min="34" max="34" width="6.81640625" style="1" customWidth="1" collapsed="1"/>
    <col min="35" max="35" width="17.26953125" style="1" customWidth="1"/>
    <col min="36" max="36" width="8" style="1" customWidth="1"/>
    <col min="37" max="37" width="18.7265625" style="1" customWidth="1"/>
    <col min="38" max="38" width="6.81640625" style="1" hidden="1" customWidth="1" outlineLevel="1"/>
    <col min="39" max="39" width="12.1796875" style="1" hidden="1" customWidth="1" outlineLevel="1"/>
    <col min="40" max="40" width="6.453125" style="1" hidden="1" customWidth="1" outlineLevel="1"/>
    <col min="41" max="41" width="12.1796875" style="1" hidden="1" customWidth="1" outlineLevel="1"/>
    <col min="42" max="42" width="6" style="1" hidden="1" customWidth="1" outlineLevel="1"/>
    <col min="43" max="43" width="12.1796875" style="1" hidden="1" customWidth="1" outlineLevel="1"/>
    <col min="44" max="44" width="7.54296875" style="1" customWidth="1" collapsed="1"/>
    <col min="45" max="45" width="17" style="1" customWidth="1"/>
    <col min="46" max="46" width="7.7265625" style="1" customWidth="1"/>
    <col min="47" max="47" width="18.1796875" style="1" customWidth="1"/>
    <col min="48" max="48" width="2.1796875" style="1" customWidth="1"/>
    <col min="49" max="49" width="12.1796875" style="3" customWidth="1"/>
    <col min="50" max="50" width="8" style="3" customWidth="1"/>
    <col min="51" max="51" width="20" style="3" customWidth="1"/>
    <col min="52" max="52" width="15.26953125" style="3" bestFit="1" customWidth="1"/>
    <col min="53" max="53" width="14.26953125" style="3" bestFit="1" customWidth="1"/>
    <col min="54" max="54" width="13" style="3" bestFit="1" customWidth="1"/>
    <col min="55" max="226" width="8.7265625" style="3"/>
    <col min="227" max="227" width="2.7265625" style="3" customWidth="1"/>
    <col min="228" max="228" width="3.54296875" style="3" customWidth="1"/>
    <col min="229" max="229" width="7" style="3" customWidth="1"/>
    <col min="230" max="230" width="23" style="3" customWidth="1"/>
    <col min="231" max="231" width="13.26953125" style="3" customWidth="1"/>
    <col min="232" max="232" width="17.453125" style="3" bestFit="1" customWidth="1"/>
    <col min="233" max="233" width="11.54296875" style="3" bestFit="1" customWidth="1"/>
    <col min="234" max="234" width="7.81640625" style="3" customWidth="1"/>
    <col min="235" max="235" width="11.54296875" style="3" bestFit="1" customWidth="1"/>
    <col min="236" max="236" width="7" style="3" customWidth="1"/>
    <col min="237" max="237" width="18.1796875" style="3" customWidth="1"/>
    <col min="238" max="238" width="7" style="3" customWidth="1"/>
    <col min="239" max="239" width="15.54296875" style="3" customWidth="1"/>
    <col min="240" max="240" width="7.81640625" style="3" customWidth="1"/>
    <col min="241" max="241" width="15.54296875" style="3" customWidth="1"/>
    <col min="242" max="242" width="7.81640625" style="3" bestFit="1" customWidth="1"/>
    <col min="243" max="243" width="15.7265625" style="3" bestFit="1" customWidth="1"/>
    <col min="244" max="244" width="7.54296875" style="3" customWidth="1"/>
    <col min="245" max="245" width="14" style="3" customWidth="1"/>
    <col min="246" max="246" width="7.81640625" style="3" customWidth="1"/>
    <col min="247" max="247" width="14" style="3" customWidth="1"/>
    <col min="248" max="248" width="7.81640625" style="3" customWidth="1"/>
    <col min="249" max="249" width="14" style="3" customWidth="1"/>
    <col min="250" max="250" width="9" style="3" customWidth="1"/>
    <col min="251" max="251" width="15.1796875" style="3" customWidth="1"/>
    <col min="252" max="252" width="13" style="3" bestFit="1" customWidth="1"/>
    <col min="253" max="253" width="15.1796875" style="3" bestFit="1" customWidth="1"/>
    <col min="254" max="254" width="7.54296875" style="3" customWidth="1"/>
    <col min="255" max="255" width="14" style="3" customWidth="1"/>
    <col min="256" max="256" width="7.81640625" style="3" customWidth="1"/>
    <col min="257" max="257" width="14" style="3" customWidth="1"/>
    <col min="258" max="258" width="7.81640625" style="3" customWidth="1"/>
    <col min="259" max="259" width="14" style="3" customWidth="1"/>
    <col min="260" max="260" width="9" style="3" bestFit="1" customWidth="1"/>
    <col min="261" max="261" width="15.1796875" style="3" bestFit="1" customWidth="1"/>
    <col min="262" max="262" width="9" style="3" bestFit="1" customWidth="1"/>
    <col min="263" max="263" width="15.1796875" style="3" bestFit="1" customWidth="1"/>
    <col min="264" max="264" width="6.453125" style="3" customWidth="1"/>
    <col min="265" max="265" width="12.7265625" style="3" customWidth="1"/>
    <col min="266" max="266" width="6.453125" style="3" customWidth="1"/>
    <col min="267" max="267" width="12.7265625" style="3" customWidth="1"/>
    <col min="268" max="268" width="6" style="3" customWidth="1"/>
    <col min="269" max="269" width="12.7265625" style="3" customWidth="1"/>
    <col min="270" max="270" width="9.54296875" style="3" customWidth="1"/>
    <col min="271" max="271" width="14" style="3" bestFit="1" customWidth="1"/>
    <col min="272" max="272" width="8.7265625" style="3" bestFit="1" customWidth="1"/>
    <col min="273" max="273" width="13.54296875" style="3" customWidth="1"/>
    <col min="274" max="274" width="6" style="3" customWidth="1"/>
    <col min="275" max="275" width="13.7265625" style="3" customWidth="1"/>
    <col min="276" max="276" width="6" style="3" customWidth="1"/>
    <col min="277" max="277" width="12.7265625" style="3" customWidth="1"/>
    <col min="278" max="278" width="6.81640625" style="3" customWidth="1"/>
    <col min="279" max="279" width="12.7265625" style="3" customWidth="1"/>
    <col min="280" max="280" width="6.81640625" style="3" customWidth="1"/>
    <col min="281" max="281" width="15.7265625" style="3" bestFit="1" customWidth="1"/>
    <col min="282" max="282" width="8.54296875" style="3" bestFit="1" customWidth="1"/>
    <col min="283" max="283" width="13.54296875" style="3" customWidth="1"/>
    <col min="284" max="284" width="6" style="3" customWidth="1"/>
    <col min="285" max="285" width="13.7265625" style="3" customWidth="1"/>
    <col min="286" max="286" width="6" style="3" customWidth="1"/>
    <col min="287" max="287" width="12.7265625" style="3" customWidth="1"/>
    <col min="288" max="288" width="6.81640625" style="3" customWidth="1"/>
    <col min="289" max="289" width="12.7265625" style="3" customWidth="1"/>
    <col min="290" max="290" width="6.81640625" style="3" customWidth="1"/>
    <col min="291" max="291" width="16.453125" style="3" bestFit="1" customWidth="1"/>
    <col min="292" max="292" width="9.54296875" style="3" bestFit="1" customWidth="1"/>
    <col min="293" max="293" width="17.453125" style="3" bestFit="1" customWidth="1"/>
    <col min="294" max="294" width="6" style="3" customWidth="1"/>
    <col min="295" max="295" width="13.7265625" style="3" customWidth="1"/>
    <col min="296" max="296" width="6" style="3" customWidth="1"/>
    <col min="297" max="297" width="12.7265625" style="3" customWidth="1"/>
    <col min="298" max="298" width="6.81640625" style="3" customWidth="1"/>
    <col min="299" max="299" width="12.7265625" style="3" customWidth="1"/>
    <col min="300" max="300" width="6.81640625" style="3" customWidth="1"/>
    <col min="301" max="301" width="15.453125" style="3" bestFit="1" customWidth="1"/>
    <col min="302" max="302" width="9.54296875" style="3" bestFit="1" customWidth="1"/>
    <col min="303" max="303" width="17.453125" style="3" bestFit="1" customWidth="1"/>
    <col min="304" max="304" width="8" style="3" customWidth="1"/>
    <col min="305" max="305" width="12.1796875" style="3" customWidth="1"/>
    <col min="306" max="306" width="8" style="3" customWidth="1"/>
    <col min="307" max="307" width="20" style="3" customWidth="1"/>
    <col min="308" max="308" width="15.26953125" style="3" bestFit="1" customWidth="1"/>
    <col min="309" max="309" width="14.26953125" style="3" bestFit="1" customWidth="1"/>
    <col min="310" max="310" width="13" style="3" bestFit="1" customWidth="1"/>
    <col min="311" max="482" width="8.7265625" style="3"/>
    <col min="483" max="483" width="2.7265625" style="3" customWidth="1"/>
    <col min="484" max="484" width="3.54296875" style="3" customWidth="1"/>
    <col min="485" max="485" width="7" style="3" customWidth="1"/>
    <col min="486" max="486" width="23" style="3" customWidth="1"/>
    <col min="487" max="487" width="13.26953125" style="3" customWidth="1"/>
    <col min="488" max="488" width="17.453125" style="3" bestFit="1" customWidth="1"/>
    <col min="489" max="489" width="11.54296875" style="3" bestFit="1" customWidth="1"/>
    <col min="490" max="490" width="7.81640625" style="3" customWidth="1"/>
    <col min="491" max="491" width="11.54296875" style="3" bestFit="1" customWidth="1"/>
    <col min="492" max="492" width="7" style="3" customWidth="1"/>
    <col min="493" max="493" width="18.1796875" style="3" customWidth="1"/>
    <col min="494" max="494" width="7" style="3" customWidth="1"/>
    <col min="495" max="495" width="15.54296875" style="3" customWidth="1"/>
    <col min="496" max="496" width="7.81640625" style="3" customWidth="1"/>
    <col min="497" max="497" width="15.54296875" style="3" customWidth="1"/>
    <col min="498" max="498" width="7.81640625" style="3" bestFit="1" customWidth="1"/>
    <col min="499" max="499" width="15.7265625" style="3" bestFit="1" customWidth="1"/>
    <col min="500" max="500" width="7.54296875" style="3" customWidth="1"/>
    <col min="501" max="501" width="14" style="3" customWidth="1"/>
    <col min="502" max="502" width="7.81640625" style="3" customWidth="1"/>
    <col min="503" max="503" width="14" style="3" customWidth="1"/>
    <col min="504" max="504" width="7.81640625" style="3" customWidth="1"/>
    <col min="505" max="505" width="14" style="3" customWidth="1"/>
    <col min="506" max="506" width="9" style="3" customWidth="1"/>
    <col min="507" max="507" width="15.1796875" style="3" customWidth="1"/>
    <col min="508" max="508" width="13" style="3" bestFit="1" customWidth="1"/>
    <col min="509" max="509" width="15.1796875" style="3" bestFit="1" customWidth="1"/>
    <col min="510" max="510" width="7.54296875" style="3" customWidth="1"/>
    <col min="511" max="511" width="14" style="3" customWidth="1"/>
    <col min="512" max="512" width="7.81640625" style="3" customWidth="1"/>
    <col min="513" max="513" width="14" style="3" customWidth="1"/>
    <col min="514" max="514" width="7.81640625" style="3" customWidth="1"/>
    <col min="515" max="515" width="14" style="3" customWidth="1"/>
    <col min="516" max="516" width="9" style="3" bestFit="1" customWidth="1"/>
    <col min="517" max="517" width="15.1796875" style="3" bestFit="1" customWidth="1"/>
    <col min="518" max="518" width="9" style="3" bestFit="1" customWidth="1"/>
    <col min="519" max="519" width="15.1796875" style="3" bestFit="1" customWidth="1"/>
    <col min="520" max="520" width="6.453125" style="3" customWidth="1"/>
    <col min="521" max="521" width="12.7265625" style="3" customWidth="1"/>
    <col min="522" max="522" width="6.453125" style="3" customWidth="1"/>
    <col min="523" max="523" width="12.7265625" style="3" customWidth="1"/>
    <col min="524" max="524" width="6" style="3" customWidth="1"/>
    <col min="525" max="525" width="12.7265625" style="3" customWidth="1"/>
    <col min="526" max="526" width="9.54296875" style="3" customWidth="1"/>
    <col min="527" max="527" width="14" style="3" bestFit="1" customWidth="1"/>
    <col min="528" max="528" width="8.7265625" style="3" bestFit="1" customWidth="1"/>
    <col min="529" max="529" width="13.54296875" style="3" customWidth="1"/>
    <col min="530" max="530" width="6" style="3" customWidth="1"/>
    <col min="531" max="531" width="13.7265625" style="3" customWidth="1"/>
    <col min="532" max="532" width="6" style="3" customWidth="1"/>
    <col min="533" max="533" width="12.7265625" style="3" customWidth="1"/>
    <col min="534" max="534" width="6.81640625" style="3" customWidth="1"/>
    <col min="535" max="535" width="12.7265625" style="3" customWidth="1"/>
    <col min="536" max="536" width="6.81640625" style="3" customWidth="1"/>
    <col min="537" max="537" width="15.7265625" style="3" bestFit="1" customWidth="1"/>
    <col min="538" max="538" width="8.54296875" style="3" bestFit="1" customWidth="1"/>
    <col min="539" max="539" width="13.54296875" style="3" customWidth="1"/>
    <col min="540" max="540" width="6" style="3" customWidth="1"/>
    <col min="541" max="541" width="13.7265625" style="3" customWidth="1"/>
    <col min="542" max="542" width="6" style="3" customWidth="1"/>
    <col min="543" max="543" width="12.7265625" style="3" customWidth="1"/>
    <col min="544" max="544" width="6.81640625" style="3" customWidth="1"/>
    <col min="545" max="545" width="12.7265625" style="3" customWidth="1"/>
    <col min="546" max="546" width="6.81640625" style="3" customWidth="1"/>
    <col min="547" max="547" width="16.453125" style="3" bestFit="1" customWidth="1"/>
    <col min="548" max="548" width="9.54296875" style="3" bestFit="1" customWidth="1"/>
    <col min="549" max="549" width="17.453125" style="3" bestFit="1" customWidth="1"/>
    <col min="550" max="550" width="6" style="3" customWidth="1"/>
    <col min="551" max="551" width="13.7265625" style="3" customWidth="1"/>
    <col min="552" max="552" width="6" style="3" customWidth="1"/>
    <col min="553" max="553" width="12.7265625" style="3" customWidth="1"/>
    <col min="554" max="554" width="6.81640625" style="3" customWidth="1"/>
    <col min="555" max="555" width="12.7265625" style="3" customWidth="1"/>
    <col min="556" max="556" width="6.81640625" style="3" customWidth="1"/>
    <col min="557" max="557" width="15.453125" style="3" bestFit="1" customWidth="1"/>
    <col min="558" max="558" width="9.54296875" style="3" bestFit="1" customWidth="1"/>
    <col min="559" max="559" width="17.453125" style="3" bestFit="1" customWidth="1"/>
    <col min="560" max="560" width="8" style="3" customWidth="1"/>
    <col min="561" max="561" width="12.1796875" style="3" customWidth="1"/>
    <col min="562" max="562" width="8" style="3" customWidth="1"/>
    <col min="563" max="563" width="20" style="3" customWidth="1"/>
    <col min="564" max="564" width="15.26953125" style="3" bestFit="1" customWidth="1"/>
    <col min="565" max="565" width="14.26953125" style="3" bestFit="1" customWidth="1"/>
    <col min="566" max="566" width="13" style="3" bestFit="1" customWidth="1"/>
    <col min="567" max="738" width="8.7265625" style="3"/>
    <col min="739" max="739" width="2.7265625" style="3" customWidth="1"/>
    <col min="740" max="740" width="3.54296875" style="3" customWidth="1"/>
    <col min="741" max="741" width="7" style="3" customWidth="1"/>
    <col min="742" max="742" width="23" style="3" customWidth="1"/>
    <col min="743" max="743" width="13.26953125" style="3" customWidth="1"/>
    <col min="744" max="744" width="17.453125" style="3" bestFit="1" customWidth="1"/>
    <col min="745" max="745" width="11.54296875" style="3" bestFit="1" customWidth="1"/>
    <col min="746" max="746" width="7.81640625" style="3" customWidth="1"/>
    <col min="747" max="747" width="11.54296875" style="3" bestFit="1" customWidth="1"/>
    <col min="748" max="748" width="7" style="3" customWidth="1"/>
    <col min="749" max="749" width="18.1796875" style="3" customWidth="1"/>
    <col min="750" max="750" width="7" style="3" customWidth="1"/>
    <col min="751" max="751" width="15.54296875" style="3" customWidth="1"/>
    <col min="752" max="752" width="7.81640625" style="3" customWidth="1"/>
    <col min="753" max="753" width="15.54296875" style="3" customWidth="1"/>
    <col min="754" max="754" width="7.81640625" style="3" bestFit="1" customWidth="1"/>
    <col min="755" max="755" width="15.7265625" style="3" bestFit="1" customWidth="1"/>
    <col min="756" max="756" width="7.54296875" style="3" customWidth="1"/>
    <col min="757" max="757" width="14" style="3" customWidth="1"/>
    <col min="758" max="758" width="7.81640625" style="3" customWidth="1"/>
    <col min="759" max="759" width="14" style="3" customWidth="1"/>
    <col min="760" max="760" width="7.81640625" style="3" customWidth="1"/>
    <col min="761" max="761" width="14" style="3" customWidth="1"/>
    <col min="762" max="762" width="9" style="3" customWidth="1"/>
    <col min="763" max="763" width="15.1796875" style="3" customWidth="1"/>
    <col min="764" max="764" width="13" style="3" bestFit="1" customWidth="1"/>
    <col min="765" max="765" width="15.1796875" style="3" bestFit="1" customWidth="1"/>
    <col min="766" max="766" width="7.54296875" style="3" customWidth="1"/>
    <col min="767" max="767" width="14" style="3" customWidth="1"/>
    <col min="768" max="768" width="7.81640625" style="3" customWidth="1"/>
    <col min="769" max="769" width="14" style="3" customWidth="1"/>
    <col min="770" max="770" width="7.81640625" style="3" customWidth="1"/>
    <col min="771" max="771" width="14" style="3" customWidth="1"/>
    <col min="772" max="772" width="9" style="3" bestFit="1" customWidth="1"/>
    <col min="773" max="773" width="15.1796875" style="3" bestFit="1" customWidth="1"/>
    <col min="774" max="774" width="9" style="3" bestFit="1" customWidth="1"/>
    <col min="775" max="775" width="15.1796875" style="3" bestFit="1" customWidth="1"/>
    <col min="776" max="776" width="6.453125" style="3" customWidth="1"/>
    <col min="777" max="777" width="12.7265625" style="3" customWidth="1"/>
    <col min="778" max="778" width="6.453125" style="3" customWidth="1"/>
    <col min="779" max="779" width="12.7265625" style="3" customWidth="1"/>
    <col min="780" max="780" width="6" style="3" customWidth="1"/>
    <col min="781" max="781" width="12.7265625" style="3" customWidth="1"/>
    <col min="782" max="782" width="9.54296875" style="3" customWidth="1"/>
    <col min="783" max="783" width="14" style="3" bestFit="1" customWidth="1"/>
    <col min="784" max="784" width="8.7265625" style="3" bestFit="1" customWidth="1"/>
    <col min="785" max="785" width="13.54296875" style="3" customWidth="1"/>
    <col min="786" max="786" width="6" style="3" customWidth="1"/>
    <col min="787" max="787" width="13.7265625" style="3" customWidth="1"/>
    <col min="788" max="788" width="6" style="3" customWidth="1"/>
    <col min="789" max="789" width="12.7265625" style="3" customWidth="1"/>
    <col min="790" max="790" width="6.81640625" style="3" customWidth="1"/>
    <col min="791" max="791" width="12.7265625" style="3" customWidth="1"/>
    <col min="792" max="792" width="6.81640625" style="3" customWidth="1"/>
    <col min="793" max="793" width="15.7265625" style="3" bestFit="1" customWidth="1"/>
    <col min="794" max="794" width="8.54296875" style="3" bestFit="1" customWidth="1"/>
    <col min="795" max="795" width="13.54296875" style="3" customWidth="1"/>
    <col min="796" max="796" width="6" style="3" customWidth="1"/>
    <col min="797" max="797" width="13.7265625" style="3" customWidth="1"/>
    <col min="798" max="798" width="6" style="3" customWidth="1"/>
    <col min="799" max="799" width="12.7265625" style="3" customWidth="1"/>
    <col min="800" max="800" width="6.81640625" style="3" customWidth="1"/>
    <col min="801" max="801" width="12.7265625" style="3" customWidth="1"/>
    <col min="802" max="802" width="6.81640625" style="3" customWidth="1"/>
    <col min="803" max="803" width="16.453125" style="3" bestFit="1" customWidth="1"/>
    <col min="804" max="804" width="9.54296875" style="3" bestFit="1" customWidth="1"/>
    <col min="805" max="805" width="17.453125" style="3" bestFit="1" customWidth="1"/>
    <col min="806" max="806" width="6" style="3" customWidth="1"/>
    <col min="807" max="807" width="13.7265625" style="3" customWidth="1"/>
    <col min="808" max="808" width="6" style="3" customWidth="1"/>
    <col min="809" max="809" width="12.7265625" style="3" customWidth="1"/>
    <col min="810" max="810" width="6.81640625" style="3" customWidth="1"/>
    <col min="811" max="811" width="12.7265625" style="3" customWidth="1"/>
    <col min="812" max="812" width="6.81640625" style="3" customWidth="1"/>
    <col min="813" max="813" width="15.453125" style="3" bestFit="1" customWidth="1"/>
    <col min="814" max="814" width="9.54296875" style="3" bestFit="1" customWidth="1"/>
    <col min="815" max="815" width="17.453125" style="3" bestFit="1" customWidth="1"/>
    <col min="816" max="816" width="8" style="3" customWidth="1"/>
    <col min="817" max="817" width="12.1796875" style="3" customWidth="1"/>
    <col min="818" max="818" width="8" style="3" customWidth="1"/>
    <col min="819" max="819" width="20" style="3" customWidth="1"/>
    <col min="820" max="820" width="15.26953125" style="3" bestFit="1" customWidth="1"/>
    <col min="821" max="821" width="14.26953125" style="3" bestFit="1" customWidth="1"/>
    <col min="822" max="822" width="13" style="3" bestFit="1" customWidth="1"/>
    <col min="823" max="994" width="8.7265625" style="3"/>
    <col min="995" max="995" width="2.7265625" style="3" customWidth="1"/>
    <col min="996" max="996" width="3.54296875" style="3" customWidth="1"/>
    <col min="997" max="997" width="7" style="3" customWidth="1"/>
    <col min="998" max="998" width="23" style="3" customWidth="1"/>
    <col min="999" max="999" width="13.26953125" style="3" customWidth="1"/>
    <col min="1000" max="1000" width="17.453125" style="3" bestFit="1" customWidth="1"/>
    <col min="1001" max="1001" width="11.54296875" style="3" bestFit="1" customWidth="1"/>
    <col min="1002" max="1002" width="7.81640625" style="3" customWidth="1"/>
    <col min="1003" max="1003" width="11.54296875" style="3" bestFit="1" customWidth="1"/>
    <col min="1004" max="1004" width="7" style="3" customWidth="1"/>
    <col min="1005" max="1005" width="18.1796875" style="3" customWidth="1"/>
    <col min="1006" max="1006" width="7" style="3" customWidth="1"/>
    <col min="1007" max="1007" width="15.54296875" style="3" customWidth="1"/>
    <col min="1008" max="1008" width="7.81640625" style="3" customWidth="1"/>
    <col min="1009" max="1009" width="15.54296875" style="3" customWidth="1"/>
    <col min="1010" max="1010" width="7.81640625" style="3" bestFit="1" customWidth="1"/>
    <col min="1011" max="1011" width="15.7265625" style="3" bestFit="1" customWidth="1"/>
    <col min="1012" max="1012" width="7.54296875" style="3" customWidth="1"/>
    <col min="1013" max="1013" width="14" style="3" customWidth="1"/>
    <col min="1014" max="1014" width="7.81640625" style="3" customWidth="1"/>
    <col min="1015" max="1015" width="14" style="3" customWidth="1"/>
    <col min="1016" max="1016" width="7.81640625" style="3" customWidth="1"/>
    <col min="1017" max="1017" width="14" style="3" customWidth="1"/>
    <col min="1018" max="1018" width="9" style="3" customWidth="1"/>
    <col min="1019" max="1019" width="15.1796875" style="3" customWidth="1"/>
    <col min="1020" max="1020" width="13" style="3" bestFit="1" customWidth="1"/>
    <col min="1021" max="1021" width="15.1796875" style="3" bestFit="1" customWidth="1"/>
    <col min="1022" max="1022" width="7.54296875" style="3" customWidth="1"/>
    <col min="1023" max="1023" width="14" style="3" customWidth="1"/>
    <col min="1024" max="1024" width="7.81640625" style="3" customWidth="1"/>
    <col min="1025" max="1025" width="14" style="3" customWidth="1"/>
    <col min="1026" max="1026" width="7.81640625" style="3" customWidth="1"/>
    <col min="1027" max="1027" width="14" style="3" customWidth="1"/>
    <col min="1028" max="1028" width="9" style="3" bestFit="1" customWidth="1"/>
    <col min="1029" max="1029" width="15.1796875" style="3" bestFit="1" customWidth="1"/>
    <col min="1030" max="1030" width="9" style="3" bestFit="1" customWidth="1"/>
    <col min="1031" max="1031" width="15.1796875" style="3" bestFit="1" customWidth="1"/>
    <col min="1032" max="1032" width="6.453125" style="3" customWidth="1"/>
    <col min="1033" max="1033" width="12.7265625" style="3" customWidth="1"/>
    <col min="1034" max="1034" width="6.453125" style="3" customWidth="1"/>
    <col min="1035" max="1035" width="12.7265625" style="3" customWidth="1"/>
    <col min="1036" max="1036" width="6" style="3" customWidth="1"/>
    <col min="1037" max="1037" width="12.7265625" style="3" customWidth="1"/>
    <col min="1038" max="1038" width="9.54296875" style="3" customWidth="1"/>
    <col min="1039" max="1039" width="14" style="3" bestFit="1" customWidth="1"/>
    <col min="1040" max="1040" width="8.7265625" style="3" bestFit="1" customWidth="1"/>
    <col min="1041" max="1041" width="13.54296875" style="3" customWidth="1"/>
    <col min="1042" max="1042" width="6" style="3" customWidth="1"/>
    <col min="1043" max="1043" width="13.7265625" style="3" customWidth="1"/>
    <col min="1044" max="1044" width="6" style="3" customWidth="1"/>
    <col min="1045" max="1045" width="12.7265625" style="3" customWidth="1"/>
    <col min="1046" max="1046" width="6.81640625" style="3" customWidth="1"/>
    <col min="1047" max="1047" width="12.7265625" style="3" customWidth="1"/>
    <col min="1048" max="1048" width="6.81640625" style="3" customWidth="1"/>
    <col min="1049" max="1049" width="15.7265625" style="3" bestFit="1" customWidth="1"/>
    <col min="1050" max="1050" width="8.54296875" style="3" bestFit="1" customWidth="1"/>
    <col min="1051" max="1051" width="13.54296875" style="3" customWidth="1"/>
    <col min="1052" max="1052" width="6" style="3" customWidth="1"/>
    <col min="1053" max="1053" width="13.7265625" style="3" customWidth="1"/>
    <col min="1054" max="1054" width="6" style="3" customWidth="1"/>
    <col min="1055" max="1055" width="12.7265625" style="3" customWidth="1"/>
    <col min="1056" max="1056" width="6.81640625" style="3" customWidth="1"/>
    <col min="1057" max="1057" width="12.7265625" style="3" customWidth="1"/>
    <col min="1058" max="1058" width="6.81640625" style="3" customWidth="1"/>
    <col min="1059" max="1059" width="16.453125" style="3" bestFit="1" customWidth="1"/>
    <col min="1060" max="1060" width="9.54296875" style="3" bestFit="1" customWidth="1"/>
    <col min="1061" max="1061" width="17.453125" style="3" bestFit="1" customWidth="1"/>
    <col min="1062" max="1062" width="6" style="3" customWidth="1"/>
    <col min="1063" max="1063" width="13.7265625" style="3" customWidth="1"/>
    <col min="1064" max="1064" width="6" style="3" customWidth="1"/>
    <col min="1065" max="1065" width="12.7265625" style="3" customWidth="1"/>
    <col min="1066" max="1066" width="6.81640625" style="3" customWidth="1"/>
    <col min="1067" max="1067" width="12.7265625" style="3" customWidth="1"/>
    <col min="1068" max="1068" width="6.81640625" style="3" customWidth="1"/>
    <col min="1069" max="1069" width="15.453125" style="3" bestFit="1" customWidth="1"/>
    <col min="1070" max="1070" width="9.54296875" style="3" bestFit="1" customWidth="1"/>
    <col min="1071" max="1071" width="17.453125" style="3" bestFit="1" customWidth="1"/>
    <col min="1072" max="1072" width="8" style="3" customWidth="1"/>
    <col min="1073" max="1073" width="12.1796875" style="3" customWidth="1"/>
    <col min="1074" max="1074" width="8" style="3" customWidth="1"/>
    <col min="1075" max="1075" width="20" style="3" customWidth="1"/>
    <col min="1076" max="1076" width="15.26953125" style="3" bestFit="1" customWidth="1"/>
    <col min="1077" max="1077" width="14.26953125" style="3" bestFit="1" customWidth="1"/>
    <col min="1078" max="1078" width="13" style="3" bestFit="1" customWidth="1"/>
    <col min="1079" max="1250" width="8.7265625" style="3"/>
    <col min="1251" max="1251" width="2.7265625" style="3" customWidth="1"/>
    <col min="1252" max="1252" width="3.54296875" style="3" customWidth="1"/>
    <col min="1253" max="1253" width="7" style="3" customWidth="1"/>
    <col min="1254" max="1254" width="23" style="3" customWidth="1"/>
    <col min="1255" max="1255" width="13.26953125" style="3" customWidth="1"/>
    <col min="1256" max="1256" width="17.453125" style="3" bestFit="1" customWidth="1"/>
    <col min="1257" max="1257" width="11.54296875" style="3" bestFit="1" customWidth="1"/>
    <col min="1258" max="1258" width="7.81640625" style="3" customWidth="1"/>
    <col min="1259" max="1259" width="11.54296875" style="3" bestFit="1" customWidth="1"/>
    <col min="1260" max="1260" width="7" style="3" customWidth="1"/>
    <col min="1261" max="1261" width="18.1796875" style="3" customWidth="1"/>
    <col min="1262" max="1262" width="7" style="3" customWidth="1"/>
    <col min="1263" max="1263" width="15.54296875" style="3" customWidth="1"/>
    <col min="1264" max="1264" width="7.81640625" style="3" customWidth="1"/>
    <col min="1265" max="1265" width="15.54296875" style="3" customWidth="1"/>
    <col min="1266" max="1266" width="7.81640625" style="3" bestFit="1" customWidth="1"/>
    <col min="1267" max="1267" width="15.7265625" style="3" bestFit="1" customWidth="1"/>
    <col min="1268" max="1268" width="7.54296875" style="3" customWidth="1"/>
    <col min="1269" max="1269" width="14" style="3" customWidth="1"/>
    <col min="1270" max="1270" width="7.81640625" style="3" customWidth="1"/>
    <col min="1271" max="1271" width="14" style="3" customWidth="1"/>
    <col min="1272" max="1272" width="7.81640625" style="3" customWidth="1"/>
    <col min="1273" max="1273" width="14" style="3" customWidth="1"/>
    <col min="1274" max="1274" width="9" style="3" customWidth="1"/>
    <col min="1275" max="1275" width="15.1796875" style="3" customWidth="1"/>
    <col min="1276" max="1276" width="13" style="3" bestFit="1" customWidth="1"/>
    <col min="1277" max="1277" width="15.1796875" style="3" bestFit="1" customWidth="1"/>
    <col min="1278" max="1278" width="7.54296875" style="3" customWidth="1"/>
    <col min="1279" max="1279" width="14" style="3" customWidth="1"/>
    <col min="1280" max="1280" width="7.81640625" style="3" customWidth="1"/>
    <col min="1281" max="1281" width="14" style="3" customWidth="1"/>
    <col min="1282" max="1282" width="7.81640625" style="3" customWidth="1"/>
    <col min="1283" max="1283" width="14" style="3" customWidth="1"/>
    <col min="1284" max="1284" width="9" style="3" bestFit="1" customWidth="1"/>
    <col min="1285" max="1285" width="15.1796875" style="3" bestFit="1" customWidth="1"/>
    <col min="1286" max="1286" width="9" style="3" bestFit="1" customWidth="1"/>
    <col min="1287" max="1287" width="15.1796875" style="3" bestFit="1" customWidth="1"/>
    <col min="1288" max="1288" width="6.453125" style="3" customWidth="1"/>
    <col min="1289" max="1289" width="12.7265625" style="3" customWidth="1"/>
    <col min="1290" max="1290" width="6.453125" style="3" customWidth="1"/>
    <col min="1291" max="1291" width="12.7265625" style="3" customWidth="1"/>
    <col min="1292" max="1292" width="6" style="3" customWidth="1"/>
    <col min="1293" max="1293" width="12.7265625" style="3" customWidth="1"/>
    <col min="1294" max="1294" width="9.54296875" style="3" customWidth="1"/>
    <col min="1295" max="1295" width="14" style="3" bestFit="1" customWidth="1"/>
    <col min="1296" max="1296" width="8.7265625" style="3" bestFit="1" customWidth="1"/>
    <col min="1297" max="1297" width="13.54296875" style="3" customWidth="1"/>
    <col min="1298" max="1298" width="6" style="3" customWidth="1"/>
    <col min="1299" max="1299" width="13.7265625" style="3" customWidth="1"/>
    <col min="1300" max="1300" width="6" style="3" customWidth="1"/>
    <col min="1301" max="1301" width="12.7265625" style="3" customWidth="1"/>
    <col min="1302" max="1302" width="6.81640625" style="3" customWidth="1"/>
    <col min="1303" max="1303" width="12.7265625" style="3" customWidth="1"/>
    <col min="1304" max="1304" width="6.81640625" style="3" customWidth="1"/>
    <col min="1305" max="1305" width="15.7265625" style="3" bestFit="1" customWidth="1"/>
    <col min="1306" max="1306" width="8.54296875" style="3" bestFit="1" customWidth="1"/>
    <col min="1307" max="1307" width="13.54296875" style="3" customWidth="1"/>
    <col min="1308" max="1308" width="6" style="3" customWidth="1"/>
    <col min="1309" max="1309" width="13.7265625" style="3" customWidth="1"/>
    <col min="1310" max="1310" width="6" style="3" customWidth="1"/>
    <col min="1311" max="1311" width="12.7265625" style="3" customWidth="1"/>
    <col min="1312" max="1312" width="6.81640625" style="3" customWidth="1"/>
    <col min="1313" max="1313" width="12.7265625" style="3" customWidth="1"/>
    <col min="1314" max="1314" width="6.81640625" style="3" customWidth="1"/>
    <col min="1315" max="1315" width="16.453125" style="3" bestFit="1" customWidth="1"/>
    <col min="1316" max="1316" width="9.54296875" style="3" bestFit="1" customWidth="1"/>
    <col min="1317" max="1317" width="17.453125" style="3" bestFit="1" customWidth="1"/>
    <col min="1318" max="1318" width="6" style="3" customWidth="1"/>
    <col min="1319" max="1319" width="13.7265625" style="3" customWidth="1"/>
    <col min="1320" max="1320" width="6" style="3" customWidth="1"/>
    <col min="1321" max="1321" width="12.7265625" style="3" customWidth="1"/>
    <col min="1322" max="1322" width="6.81640625" style="3" customWidth="1"/>
    <col min="1323" max="1323" width="12.7265625" style="3" customWidth="1"/>
    <col min="1324" max="1324" width="6.81640625" style="3" customWidth="1"/>
    <col min="1325" max="1325" width="15.453125" style="3" bestFit="1" customWidth="1"/>
    <col min="1326" max="1326" width="9.54296875" style="3" bestFit="1" customWidth="1"/>
    <col min="1327" max="1327" width="17.453125" style="3" bestFit="1" customWidth="1"/>
    <col min="1328" max="1328" width="8" style="3" customWidth="1"/>
    <col min="1329" max="1329" width="12.1796875" style="3" customWidth="1"/>
    <col min="1330" max="1330" width="8" style="3" customWidth="1"/>
    <col min="1331" max="1331" width="20" style="3" customWidth="1"/>
    <col min="1332" max="1332" width="15.26953125" style="3" bestFit="1" customWidth="1"/>
    <col min="1333" max="1333" width="14.26953125" style="3" bestFit="1" customWidth="1"/>
    <col min="1334" max="1334" width="13" style="3" bestFit="1" customWidth="1"/>
    <col min="1335" max="1506" width="8.7265625" style="3"/>
    <col min="1507" max="1507" width="2.7265625" style="3" customWidth="1"/>
    <col min="1508" max="1508" width="3.54296875" style="3" customWidth="1"/>
    <col min="1509" max="1509" width="7" style="3" customWidth="1"/>
    <col min="1510" max="1510" width="23" style="3" customWidth="1"/>
    <col min="1511" max="1511" width="13.26953125" style="3" customWidth="1"/>
    <col min="1512" max="1512" width="17.453125" style="3" bestFit="1" customWidth="1"/>
    <col min="1513" max="1513" width="11.54296875" style="3" bestFit="1" customWidth="1"/>
    <col min="1514" max="1514" width="7.81640625" style="3" customWidth="1"/>
    <col min="1515" max="1515" width="11.54296875" style="3" bestFit="1" customWidth="1"/>
    <col min="1516" max="1516" width="7" style="3" customWidth="1"/>
    <col min="1517" max="1517" width="18.1796875" style="3" customWidth="1"/>
    <col min="1518" max="1518" width="7" style="3" customWidth="1"/>
    <col min="1519" max="1519" width="15.54296875" style="3" customWidth="1"/>
    <col min="1520" max="1520" width="7.81640625" style="3" customWidth="1"/>
    <col min="1521" max="1521" width="15.54296875" style="3" customWidth="1"/>
    <col min="1522" max="1522" width="7.81640625" style="3" bestFit="1" customWidth="1"/>
    <col min="1523" max="1523" width="15.7265625" style="3" bestFit="1" customWidth="1"/>
    <col min="1524" max="1524" width="7.54296875" style="3" customWidth="1"/>
    <col min="1525" max="1525" width="14" style="3" customWidth="1"/>
    <col min="1526" max="1526" width="7.81640625" style="3" customWidth="1"/>
    <col min="1527" max="1527" width="14" style="3" customWidth="1"/>
    <col min="1528" max="1528" width="7.81640625" style="3" customWidth="1"/>
    <col min="1529" max="1529" width="14" style="3" customWidth="1"/>
    <col min="1530" max="1530" width="9" style="3" customWidth="1"/>
    <col min="1531" max="1531" width="15.1796875" style="3" customWidth="1"/>
    <col min="1532" max="1532" width="13" style="3" bestFit="1" customWidth="1"/>
    <col min="1533" max="1533" width="15.1796875" style="3" bestFit="1" customWidth="1"/>
    <col min="1534" max="1534" width="7.54296875" style="3" customWidth="1"/>
    <col min="1535" max="1535" width="14" style="3" customWidth="1"/>
    <col min="1536" max="1536" width="7.81640625" style="3" customWidth="1"/>
    <col min="1537" max="1537" width="14" style="3" customWidth="1"/>
    <col min="1538" max="1538" width="7.81640625" style="3" customWidth="1"/>
    <col min="1539" max="1539" width="14" style="3" customWidth="1"/>
    <col min="1540" max="1540" width="9" style="3" bestFit="1" customWidth="1"/>
    <col min="1541" max="1541" width="15.1796875" style="3" bestFit="1" customWidth="1"/>
    <col min="1542" max="1542" width="9" style="3" bestFit="1" customWidth="1"/>
    <col min="1543" max="1543" width="15.1796875" style="3" bestFit="1" customWidth="1"/>
    <col min="1544" max="1544" width="6.453125" style="3" customWidth="1"/>
    <col min="1545" max="1545" width="12.7265625" style="3" customWidth="1"/>
    <col min="1546" max="1546" width="6.453125" style="3" customWidth="1"/>
    <col min="1547" max="1547" width="12.7265625" style="3" customWidth="1"/>
    <col min="1548" max="1548" width="6" style="3" customWidth="1"/>
    <col min="1549" max="1549" width="12.7265625" style="3" customWidth="1"/>
    <col min="1550" max="1550" width="9.54296875" style="3" customWidth="1"/>
    <col min="1551" max="1551" width="14" style="3" bestFit="1" customWidth="1"/>
    <col min="1552" max="1552" width="8.7265625" style="3" bestFit="1" customWidth="1"/>
    <col min="1553" max="1553" width="13.54296875" style="3" customWidth="1"/>
    <col min="1554" max="1554" width="6" style="3" customWidth="1"/>
    <col min="1555" max="1555" width="13.7265625" style="3" customWidth="1"/>
    <col min="1556" max="1556" width="6" style="3" customWidth="1"/>
    <col min="1557" max="1557" width="12.7265625" style="3" customWidth="1"/>
    <col min="1558" max="1558" width="6.81640625" style="3" customWidth="1"/>
    <col min="1559" max="1559" width="12.7265625" style="3" customWidth="1"/>
    <col min="1560" max="1560" width="6.81640625" style="3" customWidth="1"/>
    <col min="1561" max="1561" width="15.7265625" style="3" bestFit="1" customWidth="1"/>
    <col min="1562" max="1562" width="8.54296875" style="3" bestFit="1" customWidth="1"/>
    <col min="1563" max="1563" width="13.54296875" style="3" customWidth="1"/>
    <col min="1564" max="1564" width="6" style="3" customWidth="1"/>
    <col min="1565" max="1565" width="13.7265625" style="3" customWidth="1"/>
    <col min="1566" max="1566" width="6" style="3" customWidth="1"/>
    <col min="1567" max="1567" width="12.7265625" style="3" customWidth="1"/>
    <col min="1568" max="1568" width="6.81640625" style="3" customWidth="1"/>
    <col min="1569" max="1569" width="12.7265625" style="3" customWidth="1"/>
    <col min="1570" max="1570" width="6.81640625" style="3" customWidth="1"/>
    <col min="1571" max="1571" width="16.453125" style="3" bestFit="1" customWidth="1"/>
    <col min="1572" max="1572" width="9.54296875" style="3" bestFit="1" customWidth="1"/>
    <col min="1573" max="1573" width="17.453125" style="3" bestFit="1" customWidth="1"/>
    <col min="1574" max="1574" width="6" style="3" customWidth="1"/>
    <col min="1575" max="1575" width="13.7265625" style="3" customWidth="1"/>
    <col min="1576" max="1576" width="6" style="3" customWidth="1"/>
    <col min="1577" max="1577" width="12.7265625" style="3" customWidth="1"/>
    <col min="1578" max="1578" width="6.81640625" style="3" customWidth="1"/>
    <col min="1579" max="1579" width="12.7265625" style="3" customWidth="1"/>
    <col min="1580" max="1580" width="6.81640625" style="3" customWidth="1"/>
    <col min="1581" max="1581" width="15.453125" style="3" bestFit="1" customWidth="1"/>
    <col min="1582" max="1582" width="9.54296875" style="3" bestFit="1" customWidth="1"/>
    <col min="1583" max="1583" width="17.453125" style="3" bestFit="1" customWidth="1"/>
    <col min="1584" max="1584" width="8" style="3" customWidth="1"/>
    <col min="1585" max="1585" width="12.1796875" style="3" customWidth="1"/>
    <col min="1586" max="1586" width="8" style="3" customWidth="1"/>
    <col min="1587" max="1587" width="20" style="3" customWidth="1"/>
    <col min="1588" max="1588" width="15.26953125" style="3" bestFit="1" customWidth="1"/>
    <col min="1589" max="1589" width="14.26953125" style="3" bestFit="1" customWidth="1"/>
    <col min="1590" max="1590" width="13" style="3" bestFit="1" customWidth="1"/>
    <col min="1591" max="1762" width="8.7265625" style="3"/>
    <col min="1763" max="1763" width="2.7265625" style="3" customWidth="1"/>
    <col min="1764" max="1764" width="3.54296875" style="3" customWidth="1"/>
    <col min="1765" max="1765" width="7" style="3" customWidth="1"/>
    <col min="1766" max="1766" width="23" style="3" customWidth="1"/>
    <col min="1767" max="1767" width="13.26953125" style="3" customWidth="1"/>
    <col min="1768" max="1768" width="17.453125" style="3" bestFit="1" customWidth="1"/>
    <col min="1769" max="1769" width="11.54296875" style="3" bestFit="1" customWidth="1"/>
    <col min="1770" max="1770" width="7.81640625" style="3" customWidth="1"/>
    <col min="1771" max="1771" width="11.54296875" style="3" bestFit="1" customWidth="1"/>
    <col min="1772" max="1772" width="7" style="3" customWidth="1"/>
    <col min="1773" max="1773" width="18.1796875" style="3" customWidth="1"/>
    <col min="1774" max="1774" width="7" style="3" customWidth="1"/>
    <col min="1775" max="1775" width="15.54296875" style="3" customWidth="1"/>
    <col min="1776" max="1776" width="7.81640625" style="3" customWidth="1"/>
    <col min="1777" max="1777" width="15.54296875" style="3" customWidth="1"/>
    <col min="1778" max="1778" width="7.81640625" style="3" bestFit="1" customWidth="1"/>
    <col min="1779" max="1779" width="15.7265625" style="3" bestFit="1" customWidth="1"/>
    <col min="1780" max="1780" width="7.54296875" style="3" customWidth="1"/>
    <col min="1781" max="1781" width="14" style="3" customWidth="1"/>
    <col min="1782" max="1782" width="7.81640625" style="3" customWidth="1"/>
    <col min="1783" max="1783" width="14" style="3" customWidth="1"/>
    <col min="1784" max="1784" width="7.81640625" style="3" customWidth="1"/>
    <col min="1785" max="1785" width="14" style="3" customWidth="1"/>
    <col min="1786" max="1786" width="9" style="3" customWidth="1"/>
    <col min="1787" max="1787" width="15.1796875" style="3" customWidth="1"/>
    <col min="1788" max="1788" width="13" style="3" bestFit="1" customWidth="1"/>
    <col min="1789" max="1789" width="15.1796875" style="3" bestFit="1" customWidth="1"/>
    <col min="1790" max="1790" width="7.54296875" style="3" customWidth="1"/>
    <col min="1791" max="1791" width="14" style="3" customWidth="1"/>
    <col min="1792" max="1792" width="7.81640625" style="3" customWidth="1"/>
    <col min="1793" max="1793" width="14" style="3" customWidth="1"/>
    <col min="1794" max="1794" width="7.81640625" style="3" customWidth="1"/>
    <col min="1795" max="1795" width="14" style="3" customWidth="1"/>
    <col min="1796" max="1796" width="9" style="3" bestFit="1" customWidth="1"/>
    <col min="1797" max="1797" width="15.1796875" style="3" bestFit="1" customWidth="1"/>
    <col min="1798" max="1798" width="9" style="3" bestFit="1" customWidth="1"/>
    <col min="1799" max="1799" width="15.1796875" style="3" bestFit="1" customWidth="1"/>
    <col min="1800" max="1800" width="6.453125" style="3" customWidth="1"/>
    <col min="1801" max="1801" width="12.7265625" style="3" customWidth="1"/>
    <col min="1802" max="1802" width="6.453125" style="3" customWidth="1"/>
    <col min="1803" max="1803" width="12.7265625" style="3" customWidth="1"/>
    <col min="1804" max="1804" width="6" style="3" customWidth="1"/>
    <col min="1805" max="1805" width="12.7265625" style="3" customWidth="1"/>
    <col min="1806" max="1806" width="9.54296875" style="3" customWidth="1"/>
    <col min="1807" max="1807" width="14" style="3" bestFit="1" customWidth="1"/>
    <col min="1808" max="1808" width="8.7265625" style="3" bestFit="1" customWidth="1"/>
    <col min="1809" max="1809" width="13.54296875" style="3" customWidth="1"/>
    <col min="1810" max="1810" width="6" style="3" customWidth="1"/>
    <col min="1811" max="1811" width="13.7265625" style="3" customWidth="1"/>
    <col min="1812" max="1812" width="6" style="3" customWidth="1"/>
    <col min="1813" max="1813" width="12.7265625" style="3" customWidth="1"/>
    <col min="1814" max="1814" width="6.81640625" style="3" customWidth="1"/>
    <col min="1815" max="1815" width="12.7265625" style="3" customWidth="1"/>
    <col min="1816" max="1816" width="6.81640625" style="3" customWidth="1"/>
    <col min="1817" max="1817" width="15.7265625" style="3" bestFit="1" customWidth="1"/>
    <col min="1818" max="1818" width="8.54296875" style="3" bestFit="1" customWidth="1"/>
    <col min="1819" max="1819" width="13.54296875" style="3" customWidth="1"/>
    <col min="1820" max="1820" width="6" style="3" customWidth="1"/>
    <col min="1821" max="1821" width="13.7265625" style="3" customWidth="1"/>
    <col min="1822" max="1822" width="6" style="3" customWidth="1"/>
    <col min="1823" max="1823" width="12.7265625" style="3" customWidth="1"/>
    <col min="1824" max="1824" width="6.81640625" style="3" customWidth="1"/>
    <col min="1825" max="1825" width="12.7265625" style="3" customWidth="1"/>
    <col min="1826" max="1826" width="6.81640625" style="3" customWidth="1"/>
    <col min="1827" max="1827" width="16.453125" style="3" bestFit="1" customWidth="1"/>
    <col min="1828" max="1828" width="9.54296875" style="3" bestFit="1" customWidth="1"/>
    <col min="1829" max="1829" width="17.453125" style="3" bestFit="1" customWidth="1"/>
    <col min="1830" max="1830" width="6" style="3" customWidth="1"/>
    <col min="1831" max="1831" width="13.7265625" style="3" customWidth="1"/>
    <col min="1832" max="1832" width="6" style="3" customWidth="1"/>
    <col min="1833" max="1833" width="12.7265625" style="3" customWidth="1"/>
    <col min="1834" max="1834" width="6.81640625" style="3" customWidth="1"/>
    <col min="1835" max="1835" width="12.7265625" style="3" customWidth="1"/>
    <col min="1836" max="1836" width="6.81640625" style="3" customWidth="1"/>
    <col min="1837" max="1837" width="15.453125" style="3" bestFit="1" customWidth="1"/>
    <col min="1838" max="1838" width="9.54296875" style="3" bestFit="1" customWidth="1"/>
    <col min="1839" max="1839" width="17.453125" style="3" bestFit="1" customWidth="1"/>
    <col min="1840" max="1840" width="8" style="3" customWidth="1"/>
    <col min="1841" max="1841" width="12.1796875" style="3" customWidth="1"/>
    <col min="1842" max="1842" width="8" style="3" customWidth="1"/>
    <col min="1843" max="1843" width="20" style="3" customWidth="1"/>
    <col min="1844" max="1844" width="15.26953125" style="3" bestFit="1" customWidth="1"/>
    <col min="1845" max="1845" width="14.26953125" style="3" bestFit="1" customWidth="1"/>
    <col min="1846" max="1846" width="13" style="3" bestFit="1" customWidth="1"/>
    <col min="1847" max="2018" width="8.7265625" style="3"/>
    <col min="2019" max="2019" width="2.7265625" style="3" customWidth="1"/>
    <col min="2020" max="2020" width="3.54296875" style="3" customWidth="1"/>
    <col min="2021" max="2021" width="7" style="3" customWidth="1"/>
    <col min="2022" max="2022" width="23" style="3" customWidth="1"/>
    <col min="2023" max="2023" width="13.26953125" style="3" customWidth="1"/>
    <col min="2024" max="2024" width="17.453125" style="3" bestFit="1" customWidth="1"/>
    <col min="2025" max="2025" width="11.54296875" style="3" bestFit="1" customWidth="1"/>
    <col min="2026" max="2026" width="7.81640625" style="3" customWidth="1"/>
    <col min="2027" max="2027" width="11.54296875" style="3" bestFit="1" customWidth="1"/>
    <col min="2028" max="2028" width="7" style="3" customWidth="1"/>
    <col min="2029" max="2029" width="18.1796875" style="3" customWidth="1"/>
    <col min="2030" max="2030" width="7" style="3" customWidth="1"/>
    <col min="2031" max="2031" width="15.54296875" style="3" customWidth="1"/>
    <col min="2032" max="2032" width="7.81640625" style="3" customWidth="1"/>
    <col min="2033" max="2033" width="15.54296875" style="3" customWidth="1"/>
    <col min="2034" max="2034" width="7.81640625" style="3" bestFit="1" customWidth="1"/>
    <col min="2035" max="2035" width="15.7265625" style="3" bestFit="1" customWidth="1"/>
    <col min="2036" max="2036" width="7.54296875" style="3" customWidth="1"/>
    <col min="2037" max="2037" width="14" style="3" customWidth="1"/>
    <col min="2038" max="2038" width="7.81640625" style="3" customWidth="1"/>
    <col min="2039" max="2039" width="14" style="3" customWidth="1"/>
    <col min="2040" max="2040" width="7.81640625" style="3" customWidth="1"/>
    <col min="2041" max="2041" width="14" style="3" customWidth="1"/>
    <col min="2042" max="2042" width="9" style="3" customWidth="1"/>
    <col min="2043" max="2043" width="15.1796875" style="3" customWidth="1"/>
    <col min="2044" max="2044" width="13" style="3" bestFit="1" customWidth="1"/>
    <col min="2045" max="2045" width="15.1796875" style="3" bestFit="1" customWidth="1"/>
    <col min="2046" max="2046" width="7.54296875" style="3" customWidth="1"/>
    <col min="2047" max="2047" width="14" style="3" customWidth="1"/>
    <col min="2048" max="2048" width="7.81640625" style="3" customWidth="1"/>
    <col min="2049" max="2049" width="14" style="3" customWidth="1"/>
    <col min="2050" max="2050" width="7.81640625" style="3" customWidth="1"/>
    <col min="2051" max="2051" width="14" style="3" customWidth="1"/>
    <col min="2052" max="2052" width="9" style="3" bestFit="1" customWidth="1"/>
    <col min="2053" max="2053" width="15.1796875" style="3" bestFit="1" customWidth="1"/>
    <col min="2054" max="2054" width="9" style="3" bestFit="1" customWidth="1"/>
    <col min="2055" max="2055" width="15.1796875" style="3" bestFit="1" customWidth="1"/>
    <col min="2056" max="2056" width="6.453125" style="3" customWidth="1"/>
    <col min="2057" max="2057" width="12.7265625" style="3" customWidth="1"/>
    <col min="2058" max="2058" width="6.453125" style="3" customWidth="1"/>
    <col min="2059" max="2059" width="12.7265625" style="3" customWidth="1"/>
    <col min="2060" max="2060" width="6" style="3" customWidth="1"/>
    <col min="2061" max="2061" width="12.7265625" style="3" customWidth="1"/>
    <col min="2062" max="2062" width="9.54296875" style="3" customWidth="1"/>
    <col min="2063" max="2063" width="14" style="3" bestFit="1" customWidth="1"/>
    <col min="2064" max="2064" width="8.7265625" style="3" bestFit="1" customWidth="1"/>
    <col min="2065" max="2065" width="13.54296875" style="3" customWidth="1"/>
    <col min="2066" max="2066" width="6" style="3" customWidth="1"/>
    <col min="2067" max="2067" width="13.7265625" style="3" customWidth="1"/>
    <col min="2068" max="2068" width="6" style="3" customWidth="1"/>
    <col min="2069" max="2069" width="12.7265625" style="3" customWidth="1"/>
    <col min="2070" max="2070" width="6.81640625" style="3" customWidth="1"/>
    <col min="2071" max="2071" width="12.7265625" style="3" customWidth="1"/>
    <col min="2072" max="2072" width="6.81640625" style="3" customWidth="1"/>
    <col min="2073" max="2073" width="15.7265625" style="3" bestFit="1" customWidth="1"/>
    <col min="2074" max="2074" width="8.54296875" style="3" bestFit="1" customWidth="1"/>
    <col min="2075" max="2075" width="13.54296875" style="3" customWidth="1"/>
    <col min="2076" max="2076" width="6" style="3" customWidth="1"/>
    <col min="2077" max="2077" width="13.7265625" style="3" customWidth="1"/>
    <col min="2078" max="2078" width="6" style="3" customWidth="1"/>
    <col min="2079" max="2079" width="12.7265625" style="3" customWidth="1"/>
    <col min="2080" max="2080" width="6.81640625" style="3" customWidth="1"/>
    <col min="2081" max="2081" width="12.7265625" style="3" customWidth="1"/>
    <col min="2082" max="2082" width="6.81640625" style="3" customWidth="1"/>
    <col min="2083" max="2083" width="16.453125" style="3" bestFit="1" customWidth="1"/>
    <col min="2084" max="2084" width="9.54296875" style="3" bestFit="1" customWidth="1"/>
    <col min="2085" max="2085" width="17.453125" style="3" bestFit="1" customWidth="1"/>
    <col min="2086" max="2086" width="6" style="3" customWidth="1"/>
    <col min="2087" max="2087" width="13.7265625" style="3" customWidth="1"/>
    <col min="2088" max="2088" width="6" style="3" customWidth="1"/>
    <col min="2089" max="2089" width="12.7265625" style="3" customWidth="1"/>
    <col min="2090" max="2090" width="6.81640625" style="3" customWidth="1"/>
    <col min="2091" max="2091" width="12.7265625" style="3" customWidth="1"/>
    <col min="2092" max="2092" width="6.81640625" style="3" customWidth="1"/>
    <col min="2093" max="2093" width="15.453125" style="3" bestFit="1" customWidth="1"/>
    <col min="2094" max="2094" width="9.54296875" style="3" bestFit="1" customWidth="1"/>
    <col min="2095" max="2095" width="17.453125" style="3" bestFit="1" customWidth="1"/>
    <col min="2096" max="2096" width="8" style="3" customWidth="1"/>
    <col min="2097" max="2097" width="12.1796875" style="3" customWidth="1"/>
    <col min="2098" max="2098" width="8" style="3" customWidth="1"/>
    <col min="2099" max="2099" width="20" style="3" customWidth="1"/>
    <col min="2100" max="2100" width="15.26953125" style="3" bestFit="1" customWidth="1"/>
    <col min="2101" max="2101" width="14.26953125" style="3" bestFit="1" customWidth="1"/>
    <col min="2102" max="2102" width="13" style="3" bestFit="1" customWidth="1"/>
    <col min="2103" max="2274" width="8.7265625" style="3"/>
    <col min="2275" max="2275" width="2.7265625" style="3" customWidth="1"/>
    <col min="2276" max="2276" width="3.54296875" style="3" customWidth="1"/>
    <col min="2277" max="2277" width="7" style="3" customWidth="1"/>
    <col min="2278" max="2278" width="23" style="3" customWidth="1"/>
    <col min="2279" max="2279" width="13.26953125" style="3" customWidth="1"/>
    <col min="2280" max="2280" width="17.453125" style="3" bestFit="1" customWidth="1"/>
    <col min="2281" max="2281" width="11.54296875" style="3" bestFit="1" customWidth="1"/>
    <col min="2282" max="2282" width="7.81640625" style="3" customWidth="1"/>
    <col min="2283" max="2283" width="11.54296875" style="3" bestFit="1" customWidth="1"/>
    <col min="2284" max="2284" width="7" style="3" customWidth="1"/>
    <col min="2285" max="2285" width="18.1796875" style="3" customWidth="1"/>
    <col min="2286" max="2286" width="7" style="3" customWidth="1"/>
    <col min="2287" max="2287" width="15.54296875" style="3" customWidth="1"/>
    <col min="2288" max="2288" width="7.81640625" style="3" customWidth="1"/>
    <col min="2289" max="2289" width="15.54296875" style="3" customWidth="1"/>
    <col min="2290" max="2290" width="7.81640625" style="3" bestFit="1" customWidth="1"/>
    <col min="2291" max="2291" width="15.7265625" style="3" bestFit="1" customWidth="1"/>
    <col min="2292" max="2292" width="7.54296875" style="3" customWidth="1"/>
    <col min="2293" max="2293" width="14" style="3" customWidth="1"/>
    <col min="2294" max="2294" width="7.81640625" style="3" customWidth="1"/>
    <col min="2295" max="2295" width="14" style="3" customWidth="1"/>
    <col min="2296" max="2296" width="7.81640625" style="3" customWidth="1"/>
    <col min="2297" max="2297" width="14" style="3" customWidth="1"/>
    <col min="2298" max="2298" width="9" style="3" customWidth="1"/>
    <col min="2299" max="2299" width="15.1796875" style="3" customWidth="1"/>
    <col min="2300" max="2300" width="13" style="3" bestFit="1" customWidth="1"/>
    <col min="2301" max="2301" width="15.1796875" style="3" bestFit="1" customWidth="1"/>
    <col min="2302" max="2302" width="7.54296875" style="3" customWidth="1"/>
    <col min="2303" max="2303" width="14" style="3" customWidth="1"/>
    <col min="2304" max="2304" width="7.81640625" style="3" customWidth="1"/>
    <col min="2305" max="2305" width="14" style="3" customWidth="1"/>
    <col min="2306" max="2306" width="7.81640625" style="3" customWidth="1"/>
    <col min="2307" max="2307" width="14" style="3" customWidth="1"/>
    <col min="2308" max="2308" width="9" style="3" bestFit="1" customWidth="1"/>
    <col min="2309" max="2309" width="15.1796875" style="3" bestFit="1" customWidth="1"/>
    <col min="2310" max="2310" width="9" style="3" bestFit="1" customWidth="1"/>
    <col min="2311" max="2311" width="15.1796875" style="3" bestFit="1" customWidth="1"/>
    <col min="2312" max="2312" width="6.453125" style="3" customWidth="1"/>
    <col min="2313" max="2313" width="12.7265625" style="3" customWidth="1"/>
    <col min="2314" max="2314" width="6.453125" style="3" customWidth="1"/>
    <col min="2315" max="2315" width="12.7265625" style="3" customWidth="1"/>
    <col min="2316" max="2316" width="6" style="3" customWidth="1"/>
    <col min="2317" max="2317" width="12.7265625" style="3" customWidth="1"/>
    <col min="2318" max="2318" width="9.54296875" style="3" customWidth="1"/>
    <col min="2319" max="2319" width="14" style="3" bestFit="1" customWidth="1"/>
    <col min="2320" max="2320" width="8.7265625" style="3" bestFit="1" customWidth="1"/>
    <col min="2321" max="2321" width="13.54296875" style="3" customWidth="1"/>
    <col min="2322" max="2322" width="6" style="3" customWidth="1"/>
    <col min="2323" max="2323" width="13.7265625" style="3" customWidth="1"/>
    <col min="2324" max="2324" width="6" style="3" customWidth="1"/>
    <col min="2325" max="2325" width="12.7265625" style="3" customWidth="1"/>
    <col min="2326" max="2326" width="6.81640625" style="3" customWidth="1"/>
    <col min="2327" max="2327" width="12.7265625" style="3" customWidth="1"/>
    <col min="2328" max="2328" width="6.81640625" style="3" customWidth="1"/>
    <col min="2329" max="2329" width="15.7265625" style="3" bestFit="1" customWidth="1"/>
    <col min="2330" max="2330" width="8.54296875" style="3" bestFit="1" customWidth="1"/>
    <col min="2331" max="2331" width="13.54296875" style="3" customWidth="1"/>
    <col min="2332" max="2332" width="6" style="3" customWidth="1"/>
    <col min="2333" max="2333" width="13.7265625" style="3" customWidth="1"/>
    <col min="2334" max="2334" width="6" style="3" customWidth="1"/>
    <col min="2335" max="2335" width="12.7265625" style="3" customWidth="1"/>
    <col min="2336" max="2336" width="6.81640625" style="3" customWidth="1"/>
    <col min="2337" max="2337" width="12.7265625" style="3" customWidth="1"/>
    <col min="2338" max="2338" width="6.81640625" style="3" customWidth="1"/>
    <col min="2339" max="2339" width="16.453125" style="3" bestFit="1" customWidth="1"/>
    <col min="2340" max="2340" width="9.54296875" style="3" bestFit="1" customWidth="1"/>
    <col min="2341" max="2341" width="17.453125" style="3" bestFit="1" customWidth="1"/>
    <col min="2342" max="2342" width="6" style="3" customWidth="1"/>
    <col min="2343" max="2343" width="13.7265625" style="3" customWidth="1"/>
    <col min="2344" max="2344" width="6" style="3" customWidth="1"/>
    <col min="2345" max="2345" width="12.7265625" style="3" customWidth="1"/>
    <col min="2346" max="2346" width="6.81640625" style="3" customWidth="1"/>
    <col min="2347" max="2347" width="12.7265625" style="3" customWidth="1"/>
    <col min="2348" max="2348" width="6.81640625" style="3" customWidth="1"/>
    <col min="2349" max="2349" width="15.453125" style="3" bestFit="1" customWidth="1"/>
    <col min="2350" max="2350" width="9.54296875" style="3" bestFit="1" customWidth="1"/>
    <col min="2351" max="2351" width="17.453125" style="3" bestFit="1" customWidth="1"/>
    <col min="2352" max="2352" width="8" style="3" customWidth="1"/>
    <col min="2353" max="2353" width="12.1796875" style="3" customWidth="1"/>
    <col min="2354" max="2354" width="8" style="3" customWidth="1"/>
    <col min="2355" max="2355" width="20" style="3" customWidth="1"/>
    <col min="2356" max="2356" width="15.26953125" style="3" bestFit="1" customWidth="1"/>
    <col min="2357" max="2357" width="14.26953125" style="3" bestFit="1" customWidth="1"/>
    <col min="2358" max="2358" width="13" style="3" bestFit="1" customWidth="1"/>
    <col min="2359" max="2530" width="8.7265625" style="3"/>
    <col min="2531" max="2531" width="2.7265625" style="3" customWidth="1"/>
    <col min="2532" max="2532" width="3.54296875" style="3" customWidth="1"/>
    <col min="2533" max="2533" width="7" style="3" customWidth="1"/>
    <col min="2534" max="2534" width="23" style="3" customWidth="1"/>
    <col min="2535" max="2535" width="13.26953125" style="3" customWidth="1"/>
    <col min="2536" max="2536" width="17.453125" style="3" bestFit="1" customWidth="1"/>
    <col min="2537" max="2537" width="11.54296875" style="3" bestFit="1" customWidth="1"/>
    <col min="2538" max="2538" width="7.81640625" style="3" customWidth="1"/>
    <col min="2539" max="2539" width="11.54296875" style="3" bestFit="1" customWidth="1"/>
    <col min="2540" max="2540" width="7" style="3" customWidth="1"/>
    <col min="2541" max="2541" width="18.1796875" style="3" customWidth="1"/>
    <col min="2542" max="2542" width="7" style="3" customWidth="1"/>
    <col min="2543" max="2543" width="15.54296875" style="3" customWidth="1"/>
    <col min="2544" max="2544" width="7.81640625" style="3" customWidth="1"/>
    <col min="2545" max="2545" width="15.54296875" style="3" customWidth="1"/>
    <col min="2546" max="2546" width="7.81640625" style="3" bestFit="1" customWidth="1"/>
    <col min="2547" max="2547" width="15.7265625" style="3" bestFit="1" customWidth="1"/>
    <col min="2548" max="2548" width="7.54296875" style="3" customWidth="1"/>
    <col min="2549" max="2549" width="14" style="3" customWidth="1"/>
    <col min="2550" max="2550" width="7.81640625" style="3" customWidth="1"/>
    <col min="2551" max="2551" width="14" style="3" customWidth="1"/>
    <col min="2552" max="2552" width="7.81640625" style="3" customWidth="1"/>
    <col min="2553" max="2553" width="14" style="3" customWidth="1"/>
    <col min="2554" max="2554" width="9" style="3" customWidth="1"/>
    <col min="2555" max="2555" width="15.1796875" style="3" customWidth="1"/>
    <col min="2556" max="2556" width="13" style="3" bestFit="1" customWidth="1"/>
    <col min="2557" max="2557" width="15.1796875" style="3" bestFit="1" customWidth="1"/>
    <col min="2558" max="2558" width="7.54296875" style="3" customWidth="1"/>
    <col min="2559" max="2559" width="14" style="3" customWidth="1"/>
    <col min="2560" max="2560" width="7.81640625" style="3" customWidth="1"/>
    <col min="2561" max="2561" width="14" style="3" customWidth="1"/>
    <col min="2562" max="2562" width="7.81640625" style="3" customWidth="1"/>
    <col min="2563" max="2563" width="14" style="3" customWidth="1"/>
    <col min="2564" max="2564" width="9" style="3" bestFit="1" customWidth="1"/>
    <col min="2565" max="2565" width="15.1796875" style="3" bestFit="1" customWidth="1"/>
    <col min="2566" max="2566" width="9" style="3" bestFit="1" customWidth="1"/>
    <col min="2567" max="2567" width="15.1796875" style="3" bestFit="1" customWidth="1"/>
    <col min="2568" max="2568" width="6.453125" style="3" customWidth="1"/>
    <col min="2569" max="2569" width="12.7265625" style="3" customWidth="1"/>
    <col min="2570" max="2570" width="6.453125" style="3" customWidth="1"/>
    <col min="2571" max="2571" width="12.7265625" style="3" customWidth="1"/>
    <col min="2572" max="2572" width="6" style="3" customWidth="1"/>
    <col min="2573" max="2573" width="12.7265625" style="3" customWidth="1"/>
    <col min="2574" max="2574" width="9.54296875" style="3" customWidth="1"/>
    <col min="2575" max="2575" width="14" style="3" bestFit="1" customWidth="1"/>
    <col min="2576" max="2576" width="8.7265625" style="3" bestFit="1" customWidth="1"/>
    <col min="2577" max="2577" width="13.54296875" style="3" customWidth="1"/>
    <col min="2578" max="2578" width="6" style="3" customWidth="1"/>
    <col min="2579" max="2579" width="13.7265625" style="3" customWidth="1"/>
    <col min="2580" max="2580" width="6" style="3" customWidth="1"/>
    <col min="2581" max="2581" width="12.7265625" style="3" customWidth="1"/>
    <col min="2582" max="2582" width="6.81640625" style="3" customWidth="1"/>
    <col min="2583" max="2583" width="12.7265625" style="3" customWidth="1"/>
    <col min="2584" max="2584" width="6.81640625" style="3" customWidth="1"/>
    <col min="2585" max="2585" width="15.7265625" style="3" bestFit="1" customWidth="1"/>
    <col min="2586" max="2586" width="8.54296875" style="3" bestFit="1" customWidth="1"/>
    <col min="2587" max="2587" width="13.54296875" style="3" customWidth="1"/>
    <col min="2588" max="2588" width="6" style="3" customWidth="1"/>
    <col min="2589" max="2589" width="13.7265625" style="3" customWidth="1"/>
    <col min="2590" max="2590" width="6" style="3" customWidth="1"/>
    <col min="2591" max="2591" width="12.7265625" style="3" customWidth="1"/>
    <col min="2592" max="2592" width="6.81640625" style="3" customWidth="1"/>
    <col min="2593" max="2593" width="12.7265625" style="3" customWidth="1"/>
    <col min="2594" max="2594" width="6.81640625" style="3" customWidth="1"/>
    <col min="2595" max="2595" width="16.453125" style="3" bestFit="1" customWidth="1"/>
    <col min="2596" max="2596" width="9.54296875" style="3" bestFit="1" customWidth="1"/>
    <col min="2597" max="2597" width="17.453125" style="3" bestFit="1" customWidth="1"/>
    <col min="2598" max="2598" width="6" style="3" customWidth="1"/>
    <col min="2599" max="2599" width="13.7265625" style="3" customWidth="1"/>
    <col min="2600" max="2600" width="6" style="3" customWidth="1"/>
    <col min="2601" max="2601" width="12.7265625" style="3" customWidth="1"/>
    <col min="2602" max="2602" width="6.81640625" style="3" customWidth="1"/>
    <col min="2603" max="2603" width="12.7265625" style="3" customWidth="1"/>
    <col min="2604" max="2604" width="6.81640625" style="3" customWidth="1"/>
    <col min="2605" max="2605" width="15.453125" style="3" bestFit="1" customWidth="1"/>
    <col min="2606" max="2606" width="9.54296875" style="3" bestFit="1" customWidth="1"/>
    <col min="2607" max="2607" width="17.453125" style="3" bestFit="1" customWidth="1"/>
    <col min="2608" max="2608" width="8" style="3" customWidth="1"/>
    <col min="2609" max="2609" width="12.1796875" style="3" customWidth="1"/>
    <col min="2610" max="2610" width="8" style="3" customWidth="1"/>
    <col min="2611" max="2611" width="20" style="3" customWidth="1"/>
    <col min="2612" max="2612" width="15.26953125" style="3" bestFit="1" customWidth="1"/>
    <col min="2613" max="2613" width="14.26953125" style="3" bestFit="1" customWidth="1"/>
    <col min="2614" max="2614" width="13" style="3" bestFit="1" customWidth="1"/>
    <col min="2615" max="2786" width="8.7265625" style="3"/>
    <col min="2787" max="2787" width="2.7265625" style="3" customWidth="1"/>
    <col min="2788" max="2788" width="3.54296875" style="3" customWidth="1"/>
    <col min="2789" max="2789" width="7" style="3" customWidth="1"/>
    <col min="2790" max="2790" width="23" style="3" customWidth="1"/>
    <col min="2791" max="2791" width="13.26953125" style="3" customWidth="1"/>
    <col min="2792" max="2792" width="17.453125" style="3" bestFit="1" customWidth="1"/>
    <col min="2793" max="2793" width="11.54296875" style="3" bestFit="1" customWidth="1"/>
    <col min="2794" max="2794" width="7.81640625" style="3" customWidth="1"/>
    <col min="2795" max="2795" width="11.54296875" style="3" bestFit="1" customWidth="1"/>
    <col min="2796" max="2796" width="7" style="3" customWidth="1"/>
    <col min="2797" max="2797" width="18.1796875" style="3" customWidth="1"/>
    <col min="2798" max="2798" width="7" style="3" customWidth="1"/>
    <col min="2799" max="2799" width="15.54296875" style="3" customWidth="1"/>
    <col min="2800" max="2800" width="7.81640625" style="3" customWidth="1"/>
    <col min="2801" max="2801" width="15.54296875" style="3" customWidth="1"/>
    <col min="2802" max="2802" width="7.81640625" style="3" bestFit="1" customWidth="1"/>
    <col min="2803" max="2803" width="15.7265625" style="3" bestFit="1" customWidth="1"/>
    <col min="2804" max="2804" width="7.54296875" style="3" customWidth="1"/>
    <col min="2805" max="2805" width="14" style="3" customWidth="1"/>
    <col min="2806" max="2806" width="7.81640625" style="3" customWidth="1"/>
    <col min="2807" max="2807" width="14" style="3" customWidth="1"/>
    <col min="2808" max="2808" width="7.81640625" style="3" customWidth="1"/>
    <col min="2809" max="2809" width="14" style="3" customWidth="1"/>
    <col min="2810" max="2810" width="9" style="3" customWidth="1"/>
    <col min="2811" max="2811" width="15.1796875" style="3" customWidth="1"/>
    <col min="2812" max="2812" width="13" style="3" bestFit="1" customWidth="1"/>
    <col min="2813" max="2813" width="15.1796875" style="3" bestFit="1" customWidth="1"/>
    <col min="2814" max="2814" width="7.54296875" style="3" customWidth="1"/>
    <col min="2815" max="2815" width="14" style="3" customWidth="1"/>
    <col min="2816" max="2816" width="7.81640625" style="3" customWidth="1"/>
    <col min="2817" max="2817" width="14" style="3" customWidth="1"/>
    <col min="2818" max="2818" width="7.81640625" style="3" customWidth="1"/>
    <col min="2819" max="2819" width="14" style="3" customWidth="1"/>
    <col min="2820" max="2820" width="9" style="3" bestFit="1" customWidth="1"/>
    <col min="2821" max="2821" width="15.1796875" style="3" bestFit="1" customWidth="1"/>
    <col min="2822" max="2822" width="9" style="3" bestFit="1" customWidth="1"/>
    <col min="2823" max="2823" width="15.1796875" style="3" bestFit="1" customWidth="1"/>
    <col min="2824" max="2824" width="6.453125" style="3" customWidth="1"/>
    <col min="2825" max="2825" width="12.7265625" style="3" customWidth="1"/>
    <col min="2826" max="2826" width="6.453125" style="3" customWidth="1"/>
    <col min="2827" max="2827" width="12.7265625" style="3" customWidth="1"/>
    <col min="2828" max="2828" width="6" style="3" customWidth="1"/>
    <col min="2829" max="2829" width="12.7265625" style="3" customWidth="1"/>
    <col min="2830" max="2830" width="9.54296875" style="3" customWidth="1"/>
    <col min="2831" max="2831" width="14" style="3" bestFit="1" customWidth="1"/>
    <col min="2832" max="2832" width="8.7265625" style="3" bestFit="1" customWidth="1"/>
    <col min="2833" max="2833" width="13.54296875" style="3" customWidth="1"/>
    <col min="2834" max="2834" width="6" style="3" customWidth="1"/>
    <col min="2835" max="2835" width="13.7265625" style="3" customWidth="1"/>
    <col min="2836" max="2836" width="6" style="3" customWidth="1"/>
    <col min="2837" max="2837" width="12.7265625" style="3" customWidth="1"/>
    <col min="2838" max="2838" width="6.81640625" style="3" customWidth="1"/>
    <col min="2839" max="2839" width="12.7265625" style="3" customWidth="1"/>
    <col min="2840" max="2840" width="6.81640625" style="3" customWidth="1"/>
    <col min="2841" max="2841" width="15.7265625" style="3" bestFit="1" customWidth="1"/>
    <col min="2842" max="2842" width="8.54296875" style="3" bestFit="1" customWidth="1"/>
    <col min="2843" max="2843" width="13.54296875" style="3" customWidth="1"/>
    <col min="2844" max="2844" width="6" style="3" customWidth="1"/>
    <col min="2845" max="2845" width="13.7265625" style="3" customWidth="1"/>
    <col min="2846" max="2846" width="6" style="3" customWidth="1"/>
    <col min="2847" max="2847" width="12.7265625" style="3" customWidth="1"/>
    <col min="2848" max="2848" width="6.81640625" style="3" customWidth="1"/>
    <col min="2849" max="2849" width="12.7265625" style="3" customWidth="1"/>
    <col min="2850" max="2850" width="6.81640625" style="3" customWidth="1"/>
    <col min="2851" max="2851" width="16.453125" style="3" bestFit="1" customWidth="1"/>
    <col min="2852" max="2852" width="9.54296875" style="3" bestFit="1" customWidth="1"/>
    <col min="2853" max="2853" width="17.453125" style="3" bestFit="1" customWidth="1"/>
    <col min="2854" max="2854" width="6" style="3" customWidth="1"/>
    <col min="2855" max="2855" width="13.7265625" style="3" customWidth="1"/>
    <col min="2856" max="2856" width="6" style="3" customWidth="1"/>
    <col min="2857" max="2857" width="12.7265625" style="3" customWidth="1"/>
    <col min="2858" max="2858" width="6.81640625" style="3" customWidth="1"/>
    <col min="2859" max="2859" width="12.7265625" style="3" customWidth="1"/>
    <col min="2860" max="2860" width="6.81640625" style="3" customWidth="1"/>
    <col min="2861" max="2861" width="15.453125" style="3" bestFit="1" customWidth="1"/>
    <col min="2862" max="2862" width="9.54296875" style="3" bestFit="1" customWidth="1"/>
    <col min="2863" max="2863" width="17.453125" style="3" bestFit="1" customWidth="1"/>
    <col min="2864" max="2864" width="8" style="3" customWidth="1"/>
    <col min="2865" max="2865" width="12.1796875" style="3" customWidth="1"/>
    <col min="2866" max="2866" width="8" style="3" customWidth="1"/>
    <col min="2867" max="2867" width="20" style="3" customWidth="1"/>
    <col min="2868" max="2868" width="15.26953125" style="3" bestFit="1" customWidth="1"/>
    <col min="2869" max="2869" width="14.26953125" style="3" bestFit="1" customWidth="1"/>
    <col min="2870" max="2870" width="13" style="3" bestFit="1" customWidth="1"/>
    <col min="2871" max="3042" width="8.7265625" style="3"/>
    <col min="3043" max="3043" width="2.7265625" style="3" customWidth="1"/>
    <col min="3044" max="3044" width="3.54296875" style="3" customWidth="1"/>
    <col min="3045" max="3045" width="7" style="3" customWidth="1"/>
    <col min="3046" max="3046" width="23" style="3" customWidth="1"/>
    <col min="3047" max="3047" width="13.26953125" style="3" customWidth="1"/>
    <col min="3048" max="3048" width="17.453125" style="3" bestFit="1" customWidth="1"/>
    <col min="3049" max="3049" width="11.54296875" style="3" bestFit="1" customWidth="1"/>
    <col min="3050" max="3050" width="7.81640625" style="3" customWidth="1"/>
    <col min="3051" max="3051" width="11.54296875" style="3" bestFit="1" customWidth="1"/>
    <col min="3052" max="3052" width="7" style="3" customWidth="1"/>
    <col min="3053" max="3053" width="18.1796875" style="3" customWidth="1"/>
    <col min="3054" max="3054" width="7" style="3" customWidth="1"/>
    <col min="3055" max="3055" width="15.54296875" style="3" customWidth="1"/>
    <col min="3056" max="3056" width="7.81640625" style="3" customWidth="1"/>
    <col min="3057" max="3057" width="15.54296875" style="3" customWidth="1"/>
    <col min="3058" max="3058" width="7.81640625" style="3" bestFit="1" customWidth="1"/>
    <col min="3059" max="3059" width="15.7265625" style="3" bestFit="1" customWidth="1"/>
    <col min="3060" max="3060" width="7.54296875" style="3" customWidth="1"/>
    <col min="3061" max="3061" width="14" style="3" customWidth="1"/>
    <col min="3062" max="3062" width="7.81640625" style="3" customWidth="1"/>
    <col min="3063" max="3063" width="14" style="3" customWidth="1"/>
    <col min="3064" max="3064" width="7.81640625" style="3" customWidth="1"/>
    <col min="3065" max="3065" width="14" style="3" customWidth="1"/>
    <col min="3066" max="3066" width="9" style="3" customWidth="1"/>
    <col min="3067" max="3067" width="15.1796875" style="3" customWidth="1"/>
    <col min="3068" max="3068" width="13" style="3" bestFit="1" customWidth="1"/>
    <col min="3069" max="3069" width="15.1796875" style="3" bestFit="1" customWidth="1"/>
    <col min="3070" max="3070" width="7.54296875" style="3" customWidth="1"/>
    <col min="3071" max="3071" width="14" style="3" customWidth="1"/>
    <col min="3072" max="3072" width="7.81640625" style="3" customWidth="1"/>
    <col min="3073" max="3073" width="14" style="3" customWidth="1"/>
    <col min="3074" max="3074" width="7.81640625" style="3" customWidth="1"/>
    <col min="3075" max="3075" width="14" style="3" customWidth="1"/>
    <col min="3076" max="3076" width="9" style="3" bestFit="1" customWidth="1"/>
    <col min="3077" max="3077" width="15.1796875" style="3" bestFit="1" customWidth="1"/>
    <col min="3078" max="3078" width="9" style="3" bestFit="1" customWidth="1"/>
    <col min="3079" max="3079" width="15.1796875" style="3" bestFit="1" customWidth="1"/>
    <col min="3080" max="3080" width="6.453125" style="3" customWidth="1"/>
    <col min="3081" max="3081" width="12.7265625" style="3" customWidth="1"/>
    <col min="3082" max="3082" width="6.453125" style="3" customWidth="1"/>
    <col min="3083" max="3083" width="12.7265625" style="3" customWidth="1"/>
    <col min="3084" max="3084" width="6" style="3" customWidth="1"/>
    <col min="3085" max="3085" width="12.7265625" style="3" customWidth="1"/>
    <col min="3086" max="3086" width="9.54296875" style="3" customWidth="1"/>
    <col min="3087" max="3087" width="14" style="3" bestFit="1" customWidth="1"/>
    <col min="3088" max="3088" width="8.7265625" style="3" bestFit="1" customWidth="1"/>
    <col min="3089" max="3089" width="13.54296875" style="3" customWidth="1"/>
    <col min="3090" max="3090" width="6" style="3" customWidth="1"/>
    <col min="3091" max="3091" width="13.7265625" style="3" customWidth="1"/>
    <col min="3092" max="3092" width="6" style="3" customWidth="1"/>
    <col min="3093" max="3093" width="12.7265625" style="3" customWidth="1"/>
    <col min="3094" max="3094" width="6.81640625" style="3" customWidth="1"/>
    <col min="3095" max="3095" width="12.7265625" style="3" customWidth="1"/>
    <col min="3096" max="3096" width="6.81640625" style="3" customWidth="1"/>
    <col min="3097" max="3097" width="15.7265625" style="3" bestFit="1" customWidth="1"/>
    <col min="3098" max="3098" width="8.54296875" style="3" bestFit="1" customWidth="1"/>
    <col min="3099" max="3099" width="13.54296875" style="3" customWidth="1"/>
    <col min="3100" max="3100" width="6" style="3" customWidth="1"/>
    <col min="3101" max="3101" width="13.7265625" style="3" customWidth="1"/>
    <col min="3102" max="3102" width="6" style="3" customWidth="1"/>
    <col min="3103" max="3103" width="12.7265625" style="3" customWidth="1"/>
    <col min="3104" max="3104" width="6.81640625" style="3" customWidth="1"/>
    <col min="3105" max="3105" width="12.7265625" style="3" customWidth="1"/>
    <col min="3106" max="3106" width="6.81640625" style="3" customWidth="1"/>
    <col min="3107" max="3107" width="16.453125" style="3" bestFit="1" customWidth="1"/>
    <col min="3108" max="3108" width="9.54296875" style="3" bestFit="1" customWidth="1"/>
    <col min="3109" max="3109" width="17.453125" style="3" bestFit="1" customWidth="1"/>
    <col min="3110" max="3110" width="6" style="3" customWidth="1"/>
    <col min="3111" max="3111" width="13.7265625" style="3" customWidth="1"/>
    <col min="3112" max="3112" width="6" style="3" customWidth="1"/>
    <col min="3113" max="3113" width="12.7265625" style="3" customWidth="1"/>
    <col min="3114" max="3114" width="6.81640625" style="3" customWidth="1"/>
    <col min="3115" max="3115" width="12.7265625" style="3" customWidth="1"/>
    <col min="3116" max="3116" width="6.81640625" style="3" customWidth="1"/>
    <col min="3117" max="3117" width="15.453125" style="3" bestFit="1" customWidth="1"/>
    <col min="3118" max="3118" width="9.54296875" style="3" bestFit="1" customWidth="1"/>
    <col min="3119" max="3119" width="17.453125" style="3" bestFit="1" customWidth="1"/>
    <col min="3120" max="3120" width="8" style="3" customWidth="1"/>
    <col min="3121" max="3121" width="12.1796875" style="3" customWidth="1"/>
    <col min="3122" max="3122" width="8" style="3" customWidth="1"/>
    <col min="3123" max="3123" width="20" style="3" customWidth="1"/>
    <col min="3124" max="3124" width="15.26953125" style="3" bestFit="1" customWidth="1"/>
    <col min="3125" max="3125" width="14.26953125" style="3" bestFit="1" customWidth="1"/>
    <col min="3126" max="3126" width="13" style="3" bestFit="1" customWidth="1"/>
    <col min="3127" max="3298" width="8.7265625" style="3"/>
    <col min="3299" max="3299" width="2.7265625" style="3" customWidth="1"/>
    <col min="3300" max="3300" width="3.54296875" style="3" customWidth="1"/>
    <col min="3301" max="3301" width="7" style="3" customWidth="1"/>
    <col min="3302" max="3302" width="23" style="3" customWidth="1"/>
    <col min="3303" max="3303" width="13.26953125" style="3" customWidth="1"/>
    <col min="3304" max="3304" width="17.453125" style="3" bestFit="1" customWidth="1"/>
    <col min="3305" max="3305" width="11.54296875" style="3" bestFit="1" customWidth="1"/>
    <col min="3306" max="3306" width="7.81640625" style="3" customWidth="1"/>
    <col min="3307" max="3307" width="11.54296875" style="3" bestFit="1" customWidth="1"/>
    <col min="3308" max="3308" width="7" style="3" customWidth="1"/>
    <col min="3309" max="3309" width="18.1796875" style="3" customWidth="1"/>
    <col min="3310" max="3310" width="7" style="3" customWidth="1"/>
    <col min="3311" max="3311" width="15.54296875" style="3" customWidth="1"/>
    <col min="3312" max="3312" width="7.81640625" style="3" customWidth="1"/>
    <col min="3313" max="3313" width="15.54296875" style="3" customWidth="1"/>
    <col min="3314" max="3314" width="7.81640625" style="3" bestFit="1" customWidth="1"/>
    <col min="3315" max="3315" width="15.7265625" style="3" bestFit="1" customWidth="1"/>
    <col min="3316" max="3316" width="7.54296875" style="3" customWidth="1"/>
    <col min="3317" max="3317" width="14" style="3" customWidth="1"/>
    <col min="3318" max="3318" width="7.81640625" style="3" customWidth="1"/>
    <col min="3319" max="3319" width="14" style="3" customWidth="1"/>
    <col min="3320" max="3320" width="7.81640625" style="3" customWidth="1"/>
    <col min="3321" max="3321" width="14" style="3" customWidth="1"/>
    <col min="3322" max="3322" width="9" style="3" customWidth="1"/>
    <col min="3323" max="3323" width="15.1796875" style="3" customWidth="1"/>
    <col min="3324" max="3324" width="13" style="3" bestFit="1" customWidth="1"/>
    <col min="3325" max="3325" width="15.1796875" style="3" bestFit="1" customWidth="1"/>
    <col min="3326" max="3326" width="7.54296875" style="3" customWidth="1"/>
    <col min="3327" max="3327" width="14" style="3" customWidth="1"/>
    <col min="3328" max="3328" width="7.81640625" style="3" customWidth="1"/>
    <col min="3329" max="3329" width="14" style="3" customWidth="1"/>
    <col min="3330" max="3330" width="7.81640625" style="3" customWidth="1"/>
    <col min="3331" max="3331" width="14" style="3" customWidth="1"/>
    <col min="3332" max="3332" width="9" style="3" bestFit="1" customWidth="1"/>
    <col min="3333" max="3333" width="15.1796875" style="3" bestFit="1" customWidth="1"/>
    <col min="3334" max="3334" width="9" style="3" bestFit="1" customWidth="1"/>
    <col min="3335" max="3335" width="15.1796875" style="3" bestFit="1" customWidth="1"/>
    <col min="3336" max="3336" width="6.453125" style="3" customWidth="1"/>
    <col min="3337" max="3337" width="12.7265625" style="3" customWidth="1"/>
    <col min="3338" max="3338" width="6.453125" style="3" customWidth="1"/>
    <col min="3339" max="3339" width="12.7265625" style="3" customWidth="1"/>
    <col min="3340" max="3340" width="6" style="3" customWidth="1"/>
    <col min="3341" max="3341" width="12.7265625" style="3" customWidth="1"/>
    <col min="3342" max="3342" width="9.54296875" style="3" customWidth="1"/>
    <col min="3343" max="3343" width="14" style="3" bestFit="1" customWidth="1"/>
    <col min="3344" max="3344" width="8.7265625" style="3" bestFit="1" customWidth="1"/>
    <col min="3345" max="3345" width="13.54296875" style="3" customWidth="1"/>
    <col min="3346" max="3346" width="6" style="3" customWidth="1"/>
    <col min="3347" max="3347" width="13.7265625" style="3" customWidth="1"/>
    <col min="3348" max="3348" width="6" style="3" customWidth="1"/>
    <col min="3349" max="3349" width="12.7265625" style="3" customWidth="1"/>
    <col min="3350" max="3350" width="6.81640625" style="3" customWidth="1"/>
    <col min="3351" max="3351" width="12.7265625" style="3" customWidth="1"/>
    <col min="3352" max="3352" width="6.81640625" style="3" customWidth="1"/>
    <col min="3353" max="3353" width="15.7265625" style="3" bestFit="1" customWidth="1"/>
    <col min="3354" max="3354" width="8.54296875" style="3" bestFit="1" customWidth="1"/>
    <col min="3355" max="3355" width="13.54296875" style="3" customWidth="1"/>
    <col min="3356" max="3356" width="6" style="3" customWidth="1"/>
    <col min="3357" max="3357" width="13.7265625" style="3" customWidth="1"/>
    <col min="3358" max="3358" width="6" style="3" customWidth="1"/>
    <col min="3359" max="3359" width="12.7265625" style="3" customWidth="1"/>
    <col min="3360" max="3360" width="6.81640625" style="3" customWidth="1"/>
    <col min="3361" max="3361" width="12.7265625" style="3" customWidth="1"/>
    <col min="3362" max="3362" width="6.81640625" style="3" customWidth="1"/>
    <col min="3363" max="3363" width="16.453125" style="3" bestFit="1" customWidth="1"/>
    <col min="3364" max="3364" width="9.54296875" style="3" bestFit="1" customWidth="1"/>
    <col min="3365" max="3365" width="17.453125" style="3" bestFit="1" customWidth="1"/>
    <col min="3366" max="3366" width="6" style="3" customWidth="1"/>
    <col min="3367" max="3367" width="13.7265625" style="3" customWidth="1"/>
    <col min="3368" max="3368" width="6" style="3" customWidth="1"/>
    <col min="3369" max="3369" width="12.7265625" style="3" customWidth="1"/>
    <col min="3370" max="3370" width="6.81640625" style="3" customWidth="1"/>
    <col min="3371" max="3371" width="12.7265625" style="3" customWidth="1"/>
    <col min="3372" max="3372" width="6.81640625" style="3" customWidth="1"/>
    <col min="3373" max="3373" width="15.453125" style="3" bestFit="1" customWidth="1"/>
    <col min="3374" max="3374" width="9.54296875" style="3" bestFit="1" customWidth="1"/>
    <col min="3375" max="3375" width="17.453125" style="3" bestFit="1" customWidth="1"/>
    <col min="3376" max="3376" width="8" style="3" customWidth="1"/>
    <col min="3377" max="3377" width="12.1796875" style="3" customWidth="1"/>
    <col min="3378" max="3378" width="8" style="3" customWidth="1"/>
    <col min="3379" max="3379" width="20" style="3" customWidth="1"/>
    <col min="3380" max="3380" width="15.26953125" style="3" bestFit="1" customWidth="1"/>
    <col min="3381" max="3381" width="14.26953125" style="3" bestFit="1" customWidth="1"/>
    <col min="3382" max="3382" width="13" style="3" bestFit="1" customWidth="1"/>
    <col min="3383" max="3554" width="8.7265625" style="3"/>
    <col min="3555" max="3555" width="2.7265625" style="3" customWidth="1"/>
    <col min="3556" max="3556" width="3.54296875" style="3" customWidth="1"/>
    <col min="3557" max="3557" width="7" style="3" customWidth="1"/>
    <col min="3558" max="3558" width="23" style="3" customWidth="1"/>
    <col min="3559" max="3559" width="13.26953125" style="3" customWidth="1"/>
    <col min="3560" max="3560" width="17.453125" style="3" bestFit="1" customWidth="1"/>
    <col min="3561" max="3561" width="11.54296875" style="3" bestFit="1" customWidth="1"/>
    <col min="3562" max="3562" width="7.81640625" style="3" customWidth="1"/>
    <col min="3563" max="3563" width="11.54296875" style="3" bestFit="1" customWidth="1"/>
    <col min="3564" max="3564" width="7" style="3" customWidth="1"/>
    <col min="3565" max="3565" width="18.1796875" style="3" customWidth="1"/>
    <col min="3566" max="3566" width="7" style="3" customWidth="1"/>
    <col min="3567" max="3567" width="15.54296875" style="3" customWidth="1"/>
    <col min="3568" max="3568" width="7.81640625" style="3" customWidth="1"/>
    <col min="3569" max="3569" width="15.54296875" style="3" customWidth="1"/>
    <col min="3570" max="3570" width="7.81640625" style="3" bestFit="1" customWidth="1"/>
    <col min="3571" max="3571" width="15.7265625" style="3" bestFit="1" customWidth="1"/>
    <col min="3572" max="3572" width="7.54296875" style="3" customWidth="1"/>
    <col min="3573" max="3573" width="14" style="3" customWidth="1"/>
    <col min="3574" max="3574" width="7.81640625" style="3" customWidth="1"/>
    <col min="3575" max="3575" width="14" style="3" customWidth="1"/>
    <col min="3576" max="3576" width="7.81640625" style="3" customWidth="1"/>
    <col min="3577" max="3577" width="14" style="3" customWidth="1"/>
    <col min="3578" max="3578" width="9" style="3" customWidth="1"/>
    <col min="3579" max="3579" width="15.1796875" style="3" customWidth="1"/>
    <col min="3580" max="3580" width="13" style="3" bestFit="1" customWidth="1"/>
    <col min="3581" max="3581" width="15.1796875" style="3" bestFit="1" customWidth="1"/>
    <col min="3582" max="3582" width="7.54296875" style="3" customWidth="1"/>
    <col min="3583" max="3583" width="14" style="3" customWidth="1"/>
    <col min="3584" max="3584" width="7.81640625" style="3" customWidth="1"/>
    <col min="3585" max="3585" width="14" style="3" customWidth="1"/>
    <col min="3586" max="3586" width="7.81640625" style="3" customWidth="1"/>
    <col min="3587" max="3587" width="14" style="3" customWidth="1"/>
    <col min="3588" max="3588" width="9" style="3" bestFit="1" customWidth="1"/>
    <col min="3589" max="3589" width="15.1796875" style="3" bestFit="1" customWidth="1"/>
    <col min="3590" max="3590" width="9" style="3" bestFit="1" customWidth="1"/>
    <col min="3591" max="3591" width="15.1796875" style="3" bestFit="1" customWidth="1"/>
    <col min="3592" max="3592" width="6.453125" style="3" customWidth="1"/>
    <col min="3593" max="3593" width="12.7265625" style="3" customWidth="1"/>
    <col min="3594" max="3594" width="6.453125" style="3" customWidth="1"/>
    <col min="3595" max="3595" width="12.7265625" style="3" customWidth="1"/>
    <col min="3596" max="3596" width="6" style="3" customWidth="1"/>
    <col min="3597" max="3597" width="12.7265625" style="3" customWidth="1"/>
    <col min="3598" max="3598" width="9.54296875" style="3" customWidth="1"/>
    <col min="3599" max="3599" width="14" style="3" bestFit="1" customWidth="1"/>
    <col min="3600" max="3600" width="8.7265625" style="3" bestFit="1" customWidth="1"/>
    <col min="3601" max="3601" width="13.54296875" style="3" customWidth="1"/>
    <col min="3602" max="3602" width="6" style="3" customWidth="1"/>
    <col min="3603" max="3603" width="13.7265625" style="3" customWidth="1"/>
    <col min="3604" max="3604" width="6" style="3" customWidth="1"/>
    <col min="3605" max="3605" width="12.7265625" style="3" customWidth="1"/>
    <col min="3606" max="3606" width="6.81640625" style="3" customWidth="1"/>
    <col min="3607" max="3607" width="12.7265625" style="3" customWidth="1"/>
    <col min="3608" max="3608" width="6.81640625" style="3" customWidth="1"/>
    <col min="3609" max="3609" width="15.7265625" style="3" bestFit="1" customWidth="1"/>
    <col min="3610" max="3610" width="8.54296875" style="3" bestFit="1" customWidth="1"/>
    <col min="3611" max="3611" width="13.54296875" style="3" customWidth="1"/>
    <col min="3612" max="3612" width="6" style="3" customWidth="1"/>
    <col min="3613" max="3613" width="13.7265625" style="3" customWidth="1"/>
    <col min="3614" max="3614" width="6" style="3" customWidth="1"/>
    <col min="3615" max="3615" width="12.7265625" style="3" customWidth="1"/>
    <col min="3616" max="3616" width="6.81640625" style="3" customWidth="1"/>
    <col min="3617" max="3617" width="12.7265625" style="3" customWidth="1"/>
    <col min="3618" max="3618" width="6.81640625" style="3" customWidth="1"/>
    <col min="3619" max="3619" width="16.453125" style="3" bestFit="1" customWidth="1"/>
    <col min="3620" max="3620" width="9.54296875" style="3" bestFit="1" customWidth="1"/>
    <col min="3621" max="3621" width="17.453125" style="3" bestFit="1" customWidth="1"/>
    <col min="3622" max="3622" width="6" style="3" customWidth="1"/>
    <col min="3623" max="3623" width="13.7265625" style="3" customWidth="1"/>
    <col min="3624" max="3624" width="6" style="3" customWidth="1"/>
    <col min="3625" max="3625" width="12.7265625" style="3" customWidth="1"/>
    <col min="3626" max="3626" width="6.81640625" style="3" customWidth="1"/>
    <col min="3627" max="3627" width="12.7265625" style="3" customWidth="1"/>
    <col min="3628" max="3628" width="6.81640625" style="3" customWidth="1"/>
    <col min="3629" max="3629" width="15.453125" style="3" bestFit="1" customWidth="1"/>
    <col min="3630" max="3630" width="9.54296875" style="3" bestFit="1" customWidth="1"/>
    <col min="3631" max="3631" width="17.453125" style="3" bestFit="1" customWidth="1"/>
    <col min="3632" max="3632" width="8" style="3" customWidth="1"/>
    <col min="3633" max="3633" width="12.1796875" style="3" customWidth="1"/>
    <col min="3634" max="3634" width="8" style="3" customWidth="1"/>
    <col min="3635" max="3635" width="20" style="3" customWidth="1"/>
    <col min="3636" max="3636" width="15.26953125" style="3" bestFit="1" customWidth="1"/>
    <col min="3637" max="3637" width="14.26953125" style="3" bestFit="1" customWidth="1"/>
    <col min="3638" max="3638" width="13" style="3" bestFit="1" customWidth="1"/>
    <col min="3639" max="3810" width="8.7265625" style="3"/>
    <col min="3811" max="3811" width="2.7265625" style="3" customWidth="1"/>
    <col min="3812" max="3812" width="3.54296875" style="3" customWidth="1"/>
    <col min="3813" max="3813" width="7" style="3" customWidth="1"/>
    <col min="3814" max="3814" width="23" style="3" customWidth="1"/>
    <col min="3815" max="3815" width="13.26953125" style="3" customWidth="1"/>
    <col min="3816" max="3816" width="17.453125" style="3" bestFit="1" customWidth="1"/>
    <col min="3817" max="3817" width="11.54296875" style="3" bestFit="1" customWidth="1"/>
    <col min="3818" max="3818" width="7.81640625" style="3" customWidth="1"/>
    <col min="3819" max="3819" width="11.54296875" style="3" bestFit="1" customWidth="1"/>
    <col min="3820" max="3820" width="7" style="3" customWidth="1"/>
    <col min="3821" max="3821" width="18.1796875" style="3" customWidth="1"/>
    <col min="3822" max="3822" width="7" style="3" customWidth="1"/>
    <col min="3823" max="3823" width="15.54296875" style="3" customWidth="1"/>
    <col min="3824" max="3824" width="7.81640625" style="3" customWidth="1"/>
    <col min="3825" max="3825" width="15.54296875" style="3" customWidth="1"/>
    <col min="3826" max="3826" width="7.81640625" style="3" bestFit="1" customWidth="1"/>
    <col min="3827" max="3827" width="15.7265625" style="3" bestFit="1" customWidth="1"/>
    <col min="3828" max="3828" width="7.54296875" style="3" customWidth="1"/>
    <col min="3829" max="3829" width="14" style="3" customWidth="1"/>
    <col min="3830" max="3830" width="7.81640625" style="3" customWidth="1"/>
    <col min="3831" max="3831" width="14" style="3" customWidth="1"/>
    <col min="3832" max="3832" width="7.81640625" style="3" customWidth="1"/>
    <col min="3833" max="3833" width="14" style="3" customWidth="1"/>
    <col min="3834" max="3834" width="9" style="3" customWidth="1"/>
    <col min="3835" max="3835" width="15.1796875" style="3" customWidth="1"/>
    <col min="3836" max="3836" width="13" style="3" bestFit="1" customWidth="1"/>
    <col min="3837" max="3837" width="15.1796875" style="3" bestFit="1" customWidth="1"/>
    <col min="3838" max="3838" width="7.54296875" style="3" customWidth="1"/>
    <col min="3839" max="3839" width="14" style="3" customWidth="1"/>
    <col min="3840" max="3840" width="7.81640625" style="3" customWidth="1"/>
    <col min="3841" max="3841" width="14" style="3" customWidth="1"/>
    <col min="3842" max="3842" width="7.81640625" style="3" customWidth="1"/>
    <col min="3843" max="3843" width="14" style="3" customWidth="1"/>
    <col min="3844" max="3844" width="9" style="3" bestFit="1" customWidth="1"/>
    <col min="3845" max="3845" width="15.1796875" style="3" bestFit="1" customWidth="1"/>
    <col min="3846" max="3846" width="9" style="3" bestFit="1" customWidth="1"/>
    <col min="3847" max="3847" width="15.1796875" style="3" bestFit="1" customWidth="1"/>
    <col min="3848" max="3848" width="6.453125" style="3" customWidth="1"/>
    <col min="3849" max="3849" width="12.7265625" style="3" customWidth="1"/>
    <col min="3850" max="3850" width="6.453125" style="3" customWidth="1"/>
    <col min="3851" max="3851" width="12.7265625" style="3" customWidth="1"/>
    <col min="3852" max="3852" width="6" style="3" customWidth="1"/>
    <col min="3853" max="3853" width="12.7265625" style="3" customWidth="1"/>
    <col min="3854" max="3854" width="9.54296875" style="3" customWidth="1"/>
    <col min="3855" max="3855" width="14" style="3" bestFit="1" customWidth="1"/>
    <col min="3856" max="3856" width="8.7265625" style="3" bestFit="1" customWidth="1"/>
    <col min="3857" max="3857" width="13.54296875" style="3" customWidth="1"/>
    <col min="3858" max="3858" width="6" style="3" customWidth="1"/>
    <col min="3859" max="3859" width="13.7265625" style="3" customWidth="1"/>
    <col min="3860" max="3860" width="6" style="3" customWidth="1"/>
    <col min="3861" max="3861" width="12.7265625" style="3" customWidth="1"/>
    <col min="3862" max="3862" width="6.81640625" style="3" customWidth="1"/>
    <col min="3863" max="3863" width="12.7265625" style="3" customWidth="1"/>
    <col min="3864" max="3864" width="6.81640625" style="3" customWidth="1"/>
    <col min="3865" max="3865" width="15.7265625" style="3" bestFit="1" customWidth="1"/>
    <col min="3866" max="3866" width="8.54296875" style="3" bestFit="1" customWidth="1"/>
    <col min="3867" max="3867" width="13.54296875" style="3" customWidth="1"/>
    <col min="3868" max="3868" width="6" style="3" customWidth="1"/>
    <col min="3869" max="3869" width="13.7265625" style="3" customWidth="1"/>
    <col min="3870" max="3870" width="6" style="3" customWidth="1"/>
    <col min="3871" max="3871" width="12.7265625" style="3" customWidth="1"/>
    <col min="3872" max="3872" width="6.81640625" style="3" customWidth="1"/>
    <col min="3873" max="3873" width="12.7265625" style="3" customWidth="1"/>
    <col min="3874" max="3874" width="6.81640625" style="3" customWidth="1"/>
    <col min="3875" max="3875" width="16.453125" style="3" bestFit="1" customWidth="1"/>
    <col min="3876" max="3876" width="9.54296875" style="3" bestFit="1" customWidth="1"/>
    <col min="3877" max="3877" width="17.453125" style="3" bestFit="1" customWidth="1"/>
    <col min="3878" max="3878" width="6" style="3" customWidth="1"/>
    <col min="3879" max="3879" width="13.7265625" style="3" customWidth="1"/>
    <col min="3880" max="3880" width="6" style="3" customWidth="1"/>
    <col min="3881" max="3881" width="12.7265625" style="3" customWidth="1"/>
    <col min="3882" max="3882" width="6.81640625" style="3" customWidth="1"/>
    <col min="3883" max="3883" width="12.7265625" style="3" customWidth="1"/>
    <col min="3884" max="3884" width="6.81640625" style="3" customWidth="1"/>
    <col min="3885" max="3885" width="15.453125" style="3" bestFit="1" customWidth="1"/>
    <col min="3886" max="3886" width="9.54296875" style="3" bestFit="1" customWidth="1"/>
    <col min="3887" max="3887" width="17.453125" style="3" bestFit="1" customWidth="1"/>
    <col min="3888" max="3888" width="8" style="3" customWidth="1"/>
    <col min="3889" max="3889" width="12.1796875" style="3" customWidth="1"/>
    <col min="3890" max="3890" width="8" style="3" customWidth="1"/>
    <col min="3891" max="3891" width="20" style="3" customWidth="1"/>
    <col min="3892" max="3892" width="15.26953125" style="3" bestFit="1" customWidth="1"/>
    <col min="3893" max="3893" width="14.26953125" style="3" bestFit="1" customWidth="1"/>
    <col min="3894" max="3894" width="13" style="3" bestFit="1" customWidth="1"/>
    <col min="3895" max="4066" width="8.7265625" style="3"/>
    <col min="4067" max="4067" width="2.7265625" style="3" customWidth="1"/>
    <col min="4068" max="4068" width="3.54296875" style="3" customWidth="1"/>
    <col min="4069" max="4069" width="7" style="3" customWidth="1"/>
    <col min="4070" max="4070" width="23" style="3" customWidth="1"/>
    <col min="4071" max="4071" width="13.26953125" style="3" customWidth="1"/>
    <col min="4072" max="4072" width="17.453125" style="3" bestFit="1" customWidth="1"/>
    <col min="4073" max="4073" width="11.54296875" style="3" bestFit="1" customWidth="1"/>
    <col min="4074" max="4074" width="7.81640625" style="3" customWidth="1"/>
    <col min="4075" max="4075" width="11.54296875" style="3" bestFit="1" customWidth="1"/>
    <col min="4076" max="4076" width="7" style="3" customWidth="1"/>
    <col min="4077" max="4077" width="18.1796875" style="3" customWidth="1"/>
    <col min="4078" max="4078" width="7" style="3" customWidth="1"/>
    <col min="4079" max="4079" width="15.54296875" style="3" customWidth="1"/>
    <col min="4080" max="4080" width="7.81640625" style="3" customWidth="1"/>
    <col min="4081" max="4081" width="15.54296875" style="3" customWidth="1"/>
    <col min="4082" max="4082" width="7.81640625" style="3" bestFit="1" customWidth="1"/>
    <col min="4083" max="4083" width="15.7265625" style="3" bestFit="1" customWidth="1"/>
    <col min="4084" max="4084" width="7.54296875" style="3" customWidth="1"/>
    <col min="4085" max="4085" width="14" style="3" customWidth="1"/>
    <col min="4086" max="4086" width="7.81640625" style="3" customWidth="1"/>
    <col min="4087" max="4087" width="14" style="3" customWidth="1"/>
    <col min="4088" max="4088" width="7.81640625" style="3" customWidth="1"/>
    <col min="4089" max="4089" width="14" style="3" customWidth="1"/>
    <col min="4090" max="4090" width="9" style="3" customWidth="1"/>
    <col min="4091" max="4091" width="15.1796875" style="3" customWidth="1"/>
    <col min="4092" max="4092" width="13" style="3" bestFit="1" customWidth="1"/>
    <col min="4093" max="4093" width="15.1796875" style="3" bestFit="1" customWidth="1"/>
    <col min="4094" max="4094" width="7.54296875" style="3" customWidth="1"/>
    <col min="4095" max="4095" width="14" style="3" customWidth="1"/>
    <col min="4096" max="4096" width="7.81640625" style="3" customWidth="1"/>
    <col min="4097" max="4097" width="14" style="3" customWidth="1"/>
    <col min="4098" max="4098" width="7.81640625" style="3" customWidth="1"/>
    <col min="4099" max="4099" width="14" style="3" customWidth="1"/>
    <col min="4100" max="4100" width="9" style="3" bestFit="1" customWidth="1"/>
    <col min="4101" max="4101" width="15.1796875" style="3" bestFit="1" customWidth="1"/>
    <col min="4102" max="4102" width="9" style="3" bestFit="1" customWidth="1"/>
    <col min="4103" max="4103" width="15.1796875" style="3" bestFit="1" customWidth="1"/>
    <col min="4104" max="4104" width="6.453125" style="3" customWidth="1"/>
    <col min="4105" max="4105" width="12.7265625" style="3" customWidth="1"/>
    <col min="4106" max="4106" width="6.453125" style="3" customWidth="1"/>
    <col min="4107" max="4107" width="12.7265625" style="3" customWidth="1"/>
    <col min="4108" max="4108" width="6" style="3" customWidth="1"/>
    <col min="4109" max="4109" width="12.7265625" style="3" customWidth="1"/>
    <col min="4110" max="4110" width="9.54296875" style="3" customWidth="1"/>
    <col min="4111" max="4111" width="14" style="3" bestFit="1" customWidth="1"/>
    <col min="4112" max="4112" width="8.7265625" style="3" bestFit="1" customWidth="1"/>
    <col min="4113" max="4113" width="13.54296875" style="3" customWidth="1"/>
    <col min="4114" max="4114" width="6" style="3" customWidth="1"/>
    <col min="4115" max="4115" width="13.7265625" style="3" customWidth="1"/>
    <col min="4116" max="4116" width="6" style="3" customWidth="1"/>
    <col min="4117" max="4117" width="12.7265625" style="3" customWidth="1"/>
    <col min="4118" max="4118" width="6.81640625" style="3" customWidth="1"/>
    <col min="4119" max="4119" width="12.7265625" style="3" customWidth="1"/>
    <col min="4120" max="4120" width="6.81640625" style="3" customWidth="1"/>
    <col min="4121" max="4121" width="15.7265625" style="3" bestFit="1" customWidth="1"/>
    <col min="4122" max="4122" width="8.54296875" style="3" bestFit="1" customWidth="1"/>
    <col min="4123" max="4123" width="13.54296875" style="3" customWidth="1"/>
    <col min="4124" max="4124" width="6" style="3" customWidth="1"/>
    <col min="4125" max="4125" width="13.7265625" style="3" customWidth="1"/>
    <col min="4126" max="4126" width="6" style="3" customWidth="1"/>
    <col min="4127" max="4127" width="12.7265625" style="3" customWidth="1"/>
    <col min="4128" max="4128" width="6.81640625" style="3" customWidth="1"/>
    <col min="4129" max="4129" width="12.7265625" style="3" customWidth="1"/>
    <col min="4130" max="4130" width="6.81640625" style="3" customWidth="1"/>
    <col min="4131" max="4131" width="16.453125" style="3" bestFit="1" customWidth="1"/>
    <col min="4132" max="4132" width="9.54296875" style="3" bestFit="1" customWidth="1"/>
    <col min="4133" max="4133" width="17.453125" style="3" bestFit="1" customWidth="1"/>
    <col min="4134" max="4134" width="6" style="3" customWidth="1"/>
    <col min="4135" max="4135" width="13.7265625" style="3" customWidth="1"/>
    <col min="4136" max="4136" width="6" style="3" customWidth="1"/>
    <col min="4137" max="4137" width="12.7265625" style="3" customWidth="1"/>
    <col min="4138" max="4138" width="6.81640625" style="3" customWidth="1"/>
    <col min="4139" max="4139" width="12.7265625" style="3" customWidth="1"/>
    <col min="4140" max="4140" width="6.81640625" style="3" customWidth="1"/>
    <col min="4141" max="4141" width="15.453125" style="3" bestFit="1" customWidth="1"/>
    <col min="4142" max="4142" width="9.54296875" style="3" bestFit="1" customWidth="1"/>
    <col min="4143" max="4143" width="17.453125" style="3" bestFit="1" customWidth="1"/>
    <col min="4144" max="4144" width="8" style="3" customWidth="1"/>
    <col min="4145" max="4145" width="12.1796875" style="3" customWidth="1"/>
    <col min="4146" max="4146" width="8" style="3" customWidth="1"/>
    <col min="4147" max="4147" width="20" style="3" customWidth="1"/>
    <col min="4148" max="4148" width="15.26953125" style="3" bestFit="1" customWidth="1"/>
    <col min="4149" max="4149" width="14.26953125" style="3" bestFit="1" customWidth="1"/>
    <col min="4150" max="4150" width="13" style="3" bestFit="1" customWidth="1"/>
    <col min="4151" max="4322" width="8.7265625" style="3"/>
    <col min="4323" max="4323" width="2.7265625" style="3" customWidth="1"/>
    <col min="4324" max="4324" width="3.54296875" style="3" customWidth="1"/>
    <col min="4325" max="4325" width="7" style="3" customWidth="1"/>
    <col min="4326" max="4326" width="23" style="3" customWidth="1"/>
    <col min="4327" max="4327" width="13.26953125" style="3" customWidth="1"/>
    <col min="4328" max="4328" width="17.453125" style="3" bestFit="1" customWidth="1"/>
    <col min="4329" max="4329" width="11.54296875" style="3" bestFit="1" customWidth="1"/>
    <col min="4330" max="4330" width="7.81640625" style="3" customWidth="1"/>
    <col min="4331" max="4331" width="11.54296875" style="3" bestFit="1" customWidth="1"/>
    <col min="4332" max="4332" width="7" style="3" customWidth="1"/>
    <col min="4333" max="4333" width="18.1796875" style="3" customWidth="1"/>
    <col min="4334" max="4334" width="7" style="3" customWidth="1"/>
    <col min="4335" max="4335" width="15.54296875" style="3" customWidth="1"/>
    <col min="4336" max="4336" width="7.81640625" style="3" customWidth="1"/>
    <col min="4337" max="4337" width="15.54296875" style="3" customWidth="1"/>
    <col min="4338" max="4338" width="7.81640625" style="3" bestFit="1" customWidth="1"/>
    <col min="4339" max="4339" width="15.7265625" style="3" bestFit="1" customWidth="1"/>
    <col min="4340" max="4340" width="7.54296875" style="3" customWidth="1"/>
    <col min="4341" max="4341" width="14" style="3" customWidth="1"/>
    <col min="4342" max="4342" width="7.81640625" style="3" customWidth="1"/>
    <col min="4343" max="4343" width="14" style="3" customWidth="1"/>
    <col min="4344" max="4344" width="7.81640625" style="3" customWidth="1"/>
    <col min="4345" max="4345" width="14" style="3" customWidth="1"/>
    <col min="4346" max="4346" width="9" style="3" customWidth="1"/>
    <col min="4347" max="4347" width="15.1796875" style="3" customWidth="1"/>
    <col min="4348" max="4348" width="13" style="3" bestFit="1" customWidth="1"/>
    <col min="4349" max="4349" width="15.1796875" style="3" bestFit="1" customWidth="1"/>
    <col min="4350" max="4350" width="7.54296875" style="3" customWidth="1"/>
    <col min="4351" max="4351" width="14" style="3" customWidth="1"/>
    <col min="4352" max="4352" width="7.81640625" style="3" customWidth="1"/>
    <col min="4353" max="4353" width="14" style="3" customWidth="1"/>
    <col min="4354" max="4354" width="7.81640625" style="3" customWidth="1"/>
    <col min="4355" max="4355" width="14" style="3" customWidth="1"/>
    <col min="4356" max="4356" width="9" style="3" bestFit="1" customWidth="1"/>
    <col min="4357" max="4357" width="15.1796875" style="3" bestFit="1" customWidth="1"/>
    <col min="4358" max="4358" width="9" style="3" bestFit="1" customWidth="1"/>
    <col min="4359" max="4359" width="15.1796875" style="3" bestFit="1" customWidth="1"/>
    <col min="4360" max="4360" width="6.453125" style="3" customWidth="1"/>
    <col min="4361" max="4361" width="12.7265625" style="3" customWidth="1"/>
    <col min="4362" max="4362" width="6.453125" style="3" customWidth="1"/>
    <col min="4363" max="4363" width="12.7265625" style="3" customWidth="1"/>
    <col min="4364" max="4364" width="6" style="3" customWidth="1"/>
    <col min="4365" max="4365" width="12.7265625" style="3" customWidth="1"/>
    <col min="4366" max="4366" width="9.54296875" style="3" customWidth="1"/>
    <col min="4367" max="4367" width="14" style="3" bestFit="1" customWidth="1"/>
    <col min="4368" max="4368" width="8.7265625" style="3" bestFit="1" customWidth="1"/>
    <col min="4369" max="4369" width="13.54296875" style="3" customWidth="1"/>
    <col min="4370" max="4370" width="6" style="3" customWidth="1"/>
    <col min="4371" max="4371" width="13.7265625" style="3" customWidth="1"/>
    <col min="4372" max="4372" width="6" style="3" customWidth="1"/>
    <col min="4373" max="4373" width="12.7265625" style="3" customWidth="1"/>
    <col min="4374" max="4374" width="6.81640625" style="3" customWidth="1"/>
    <col min="4375" max="4375" width="12.7265625" style="3" customWidth="1"/>
    <col min="4376" max="4376" width="6.81640625" style="3" customWidth="1"/>
    <col min="4377" max="4377" width="15.7265625" style="3" bestFit="1" customWidth="1"/>
    <col min="4378" max="4378" width="8.54296875" style="3" bestFit="1" customWidth="1"/>
    <col min="4379" max="4379" width="13.54296875" style="3" customWidth="1"/>
    <col min="4380" max="4380" width="6" style="3" customWidth="1"/>
    <col min="4381" max="4381" width="13.7265625" style="3" customWidth="1"/>
    <col min="4382" max="4382" width="6" style="3" customWidth="1"/>
    <col min="4383" max="4383" width="12.7265625" style="3" customWidth="1"/>
    <col min="4384" max="4384" width="6.81640625" style="3" customWidth="1"/>
    <col min="4385" max="4385" width="12.7265625" style="3" customWidth="1"/>
    <col min="4386" max="4386" width="6.81640625" style="3" customWidth="1"/>
    <col min="4387" max="4387" width="16.453125" style="3" bestFit="1" customWidth="1"/>
    <col min="4388" max="4388" width="9.54296875" style="3" bestFit="1" customWidth="1"/>
    <col min="4389" max="4389" width="17.453125" style="3" bestFit="1" customWidth="1"/>
    <col min="4390" max="4390" width="6" style="3" customWidth="1"/>
    <col min="4391" max="4391" width="13.7265625" style="3" customWidth="1"/>
    <col min="4392" max="4392" width="6" style="3" customWidth="1"/>
    <col min="4393" max="4393" width="12.7265625" style="3" customWidth="1"/>
    <col min="4394" max="4394" width="6.81640625" style="3" customWidth="1"/>
    <col min="4395" max="4395" width="12.7265625" style="3" customWidth="1"/>
    <col min="4396" max="4396" width="6.81640625" style="3" customWidth="1"/>
    <col min="4397" max="4397" width="15.453125" style="3" bestFit="1" customWidth="1"/>
    <col min="4398" max="4398" width="9.54296875" style="3" bestFit="1" customWidth="1"/>
    <col min="4399" max="4399" width="17.453125" style="3" bestFit="1" customWidth="1"/>
    <col min="4400" max="4400" width="8" style="3" customWidth="1"/>
    <col min="4401" max="4401" width="12.1796875" style="3" customWidth="1"/>
    <col min="4402" max="4402" width="8" style="3" customWidth="1"/>
    <col min="4403" max="4403" width="20" style="3" customWidth="1"/>
    <col min="4404" max="4404" width="15.26953125" style="3" bestFit="1" customWidth="1"/>
    <col min="4405" max="4405" width="14.26953125" style="3" bestFit="1" customWidth="1"/>
    <col min="4406" max="4406" width="13" style="3" bestFit="1" customWidth="1"/>
    <col min="4407" max="4578" width="8.7265625" style="3"/>
    <col min="4579" max="4579" width="2.7265625" style="3" customWidth="1"/>
    <col min="4580" max="4580" width="3.54296875" style="3" customWidth="1"/>
    <col min="4581" max="4581" width="7" style="3" customWidth="1"/>
    <col min="4582" max="4582" width="23" style="3" customWidth="1"/>
    <col min="4583" max="4583" width="13.26953125" style="3" customWidth="1"/>
    <col min="4584" max="4584" width="17.453125" style="3" bestFit="1" customWidth="1"/>
    <col min="4585" max="4585" width="11.54296875" style="3" bestFit="1" customWidth="1"/>
    <col min="4586" max="4586" width="7.81640625" style="3" customWidth="1"/>
    <col min="4587" max="4587" width="11.54296875" style="3" bestFit="1" customWidth="1"/>
    <col min="4588" max="4588" width="7" style="3" customWidth="1"/>
    <col min="4589" max="4589" width="18.1796875" style="3" customWidth="1"/>
    <col min="4590" max="4590" width="7" style="3" customWidth="1"/>
    <col min="4591" max="4591" width="15.54296875" style="3" customWidth="1"/>
    <col min="4592" max="4592" width="7.81640625" style="3" customWidth="1"/>
    <col min="4593" max="4593" width="15.54296875" style="3" customWidth="1"/>
    <col min="4594" max="4594" width="7.81640625" style="3" bestFit="1" customWidth="1"/>
    <col min="4595" max="4595" width="15.7265625" style="3" bestFit="1" customWidth="1"/>
    <col min="4596" max="4596" width="7.54296875" style="3" customWidth="1"/>
    <col min="4597" max="4597" width="14" style="3" customWidth="1"/>
    <col min="4598" max="4598" width="7.81640625" style="3" customWidth="1"/>
    <col min="4599" max="4599" width="14" style="3" customWidth="1"/>
    <col min="4600" max="4600" width="7.81640625" style="3" customWidth="1"/>
    <col min="4601" max="4601" width="14" style="3" customWidth="1"/>
    <col min="4602" max="4602" width="9" style="3" customWidth="1"/>
    <col min="4603" max="4603" width="15.1796875" style="3" customWidth="1"/>
    <col min="4604" max="4604" width="13" style="3" bestFit="1" customWidth="1"/>
    <col min="4605" max="4605" width="15.1796875" style="3" bestFit="1" customWidth="1"/>
    <col min="4606" max="4606" width="7.54296875" style="3" customWidth="1"/>
    <col min="4607" max="4607" width="14" style="3" customWidth="1"/>
    <col min="4608" max="4608" width="7.81640625" style="3" customWidth="1"/>
    <col min="4609" max="4609" width="14" style="3" customWidth="1"/>
    <col min="4610" max="4610" width="7.81640625" style="3" customWidth="1"/>
    <col min="4611" max="4611" width="14" style="3" customWidth="1"/>
    <col min="4612" max="4612" width="9" style="3" bestFit="1" customWidth="1"/>
    <col min="4613" max="4613" width="15.1796875" style="3" bestFit="1" customWidth="1"/>
    <col min="4614" max="4614" width="9" style="3" bestFit="1" customWidth="1"/>
    <col min="4615" max="4615" width="15.1796875" style="3" bestFit="1" customWidth="1"/>
    <col min="4616" max="4616" width="6.453125" style="3" customWidth="1"/>
    <col min="4617" max="4617" width="12.7265625" style="3" customWidth="1"/>
    <col min="4618" max="4618" width="6.453125" style="3" customWidth="1"/>
    <col min="4619" max="4619" width="12.7265625" style="3" customWidth="1"/>
    <col min="4620" max="4620" width="6" style="3" customWidth="1"/>
    <col min="4621" max="4621" width="12.7265625" style="3" customWidth="1"/>
    <col min="4622" max="4622" width="9.54296875" style="3" customWidth="1"/>
    <col min="4623" max="4623" width="14" style="3" bestFit="1" customWidth="1"/>
    <col min="4624" max="4624" width="8.7265625" style="3" bestFit="1" customWidth="1"/>
    <col min="4625" max="4625" width="13.54296875" style="3" customWidth="1"/>
    <col min="4626" max="4626" width="6" style="3" customWidth="1"/>
    <col min="4627" max="4627" width="13.7265625" style="3" customWidth="1"/>
    <col min="4628" max="4628" width="6" style="3" customWidth="1"/>
    <col min="4629" max="4629" width="12.7265625" style="3" customWidth="1"/>
    <col min="4630" max="4630" width="6.81640625" style="3" customWidth="1"/>
    <col min="4631" max="4631" width="12.7265625" style="3" customWidth="1"/>
    <col min="4632" max="4632" width="6.81640625" style="3" customWidth="1"/>
    <col min="4633" max="4633" width="15.7265625" style="3" bestFit="1" customWidth="1"/>
    <col min="4634" max="4634" width="8.54296875" style="3" bestFit="1" customWidth="1"/>
    <col min="4635" max="4635" width="13.54296875" style="3" customWidth="1"/>
    <col min="4636" max="4636" width="6" style="3" customWidth="1"/>
    <col min="4637" max="4637" width="13.7265625" style="3" customWidth="1"/>
    <col min="4638" max="4638" width="6" style="3" customWidth="1"/>
    <col min="4639" max="4639" width="12.7265625" style="3" customWidth="1"/>
    <col min="4640" max="4640" width="6.81640625" style="3" customWidth="1"/>
    <col min="4641" max="4641" width="12.7265625" style="3" customWidth="1"/>
    <col min="4642" max="4642" width="6.81640625" style="3" customWidth="1"/>
    <col min="4643" max="4643" width="16.453125" style="3" bestFit="1" customWidth="1"/>
    <col min="4644" max="4644" width="9.54296875" style="3" bestFit="1" customWidth="1"/>
    <col min="4645" max="4645" width="17.453125" style="3" bestFit="1" customWidth="1"/>
    <col min="4646" max="4646" width="6" style="3" customWidth="1"/>
    <col min="4647" max="4647" width="13.7265625" style="3" customWidth="1"/>
    <col min="4648" max="4648" width="6" style="3" customWidth="1"/>
    <col min="4649" max="4649" width="12.7265625" style="3" customWidth="1"/>
    <col min="4650" max="4650" width="6.81640625" style="3" customWidth="1"/>
    <col min="4651" max="4651" width="12.7265625" style="3" customWidth="1"/>
    <col min="4652" max="4652" width="6.81640625" style="3" customWidth="1"/>
    <col min="4653" max="4653" width="15.453125" style="3" bestFit="1" customWidth="1"/>
    <col min="4654" max="4654" width="9.54296875" style="3" bestFit="1" customWidth="1"/>
    <col min="4655" max="4655" width="17.453125" style="3" bestFit="1" customWidth="1"/>
    <col min="4656" max="4656" width="8" style="3" customWidth="1"/>
    <col min="4657" max="4657" width="12.1796875" style="3" customWidth="1"/>
    <col min="4658" max="4658" width="8" style="3" customWidth="1"/>
    <col min="4659" max="4659" width="20" style="3" customWidth="1"/>
    <col min="4660" max="4660" width="15.26953125" style="3" bestFit="1" customWidth="1"/>
    <col min="4661" max="4661" width="14.26953125" style="3" bestFit="1" customWidth="1"/>
    <col min="4662" max="4662" width="13" style="3" bestFit="1" customWidth="1"/>
    <col min="4663" max="4834" width="8.7265625" style="3"/>
    <col min="4835" max="4835" width="2.7265625" style="3" customWidth="1"/>
    <col min="4836" max="4836" width="3.54296875" style="3" customWidth="1"/>
    <col min="4837" max="4837" width="7" style="3" customWidth="1"/>
    <col min="4838" max="4838" width="23" style="3" customWidth="1"/>
    <col min="4839" max="4839" width="13.26953125" style="3" customWidth="1"/>
    <col min="4840" max="4840" width="17.453125" style="3" bestFit="1" customWidth="1"/>
    <col min="4841" max="4841" width="11.54296875" style="3" bestFit="1" customWidth="1"/>
    <col min="4842" max="4842" width="7.81640625" style="3" customWidth="1"/>
    <col min="4843" max="4843" width="11.54296875" style="3" bestFit="1" customWidth="1"/>
    <col min="4844" max="4844" width="7" style="3" customWidth="1"/>
    <col min="4845" max="4845" width="18.1796875" style="3" customWidth="1"/>
    <col min="4846" max="4846" width="7" style="3" customWidth="1"/>
    <col min="4847" max="4847" width="15.54296875" style="3" customWidth="1"/>
    <col min="4848" max="4848" width="7.81640625" style="3" customWidth="1"/>
    <col min="4849" max="4849" width="15.54296875" style="3" customWidth="1"/>
    <col min="4850" max="4850" width="7.81640625" style="3" bestFit="1" customWidth="1"/>
    <col min="4851" max="4851" width="15.7265625" style="3" bestFit="1" customWidth="1"/>
    <col min="4852" max="4852" width="7.54296875" style="3" customWidth="1"/>
    <col min="4853" max="4853" width="14" style="3" customWidth="1"/>
    <col min="4854" max="4854" width="7.81640625" style="3" customWidth="1"/>
    <col min="4855" max="4855" width="14" style="3" customWidth="1"/>
    <col min="4856" max="4856" width="7.81640625" style="3" customWidth="1"/>
    <col min="4857" max="4857" width="14" style="3" customWidth="1"/>
    <col min="4858" max="4858" width="9" style="3" customWidth="1"/>
    <col min="4859" max="4859" width="15.1796875" style="3" customWidth="1"/>
    <col min="4860" max="4860" width="13" style="3" bestFit="1" customWidth="1"/>
    <col min="4861" max="4861" width="15.1796875" style="3" bestFit="1" customWidth="1"/>
    <col min="4862" max="4862" width="7.54296875" style="3" customWidth="1"/>
    <col min="4863" max="4863" width="14" style="3" customWidth="1"/>
    <col min="4864" max="4864" width="7.81640625" style="3" customWidth="1"/>
    <col min="4865" max="4865" width="14" style="3" customWidth="1"/>
    <col min="4866" max="4866" width="7.81640625" style="3" customWidth="1"/>
    <col min="4867" max="4867" width="14" style="3" customWidth="1"/>
    <col min="4868" max="4868" width="9" style="3" bestFit="1" customWidth="1"/>
    <col min="4869" max="4869" width="15.1796875" style="3" bestFit="1" customWidth="1"/>
    <col min="4870" max="4870" width="9" style="3" bestFit="1" customWidth="1"/>
    <col min="4871" max="4871" width="15.1796875" style="3" bestFit="1" customWidth="1"/>
    <col min="4872" max="4872" width="6.453125" style="3" customWidth="1"/>
    <col min="4873" max="4873" width="12.7265625" style="3" customWidth="1"/>
    <col min="4874" max="4874" width="6.453125" style="3" customWidth="1"/>
    <col min="4875" max="4875" width="12.7265625" style="3" customWidth="1"/>
    <col min="4876" max="4876" width="6" style="3" customWidth="1"/>
    <col min="4877" max="4877" width="12.7265625" style="3" customWidth="1"/>
    <col min="4878" max="4878" width="9.54296875" style="3" customWidth="1"/>
    <col min="4879" max="4879" width="14" style="3" bestFit="1" customWidth="1"/>
    <col min="4880" max="4880" width="8.7265625" style="3" bestFit="1" customWidth="1"/>
    <col min="4881" max="4881" width="13.54296875" style="3" customWidth="1"/>
    <col min="4882" max="4882" width="6" style="3" customWidth="1"/>
    <col min="4883" max="4883" width="13.7265625" style="3" customWidth="1"/>
    <col min="4884" max="4884" width="6" style="3" customWidth="1"/>
    <col min="4885" max="4885" width="12.7265625" style="3" customWidth="1"/>
    <col min="4886" max="4886" width="6.81640625" style="3" customWidth="1"/>
    <col min="4887" max="4887" width="12.7265625" style="3" customWidth="1"/>
    <col min="4888" max="4888" width="6.81640625" style="3" customWidth="1"/>
    <col min="4889" max="4889" width="15.7265625" style="3" bestFit="1" customWidth="1"/>
    <col min="4890" max="4890" width="8.54296875" style="3" bestFit="1" customWidth="1"/>
    <col min="4891" max="4891" width="13.54296875" style="3" customWidth="1"/>
    <col min="4892" max="4892" width="6" style="3" customWidth="1"/>
    <col min="4893" max="4893" width="13.7265625" style="3" customWidth="1"/>
    <col min="4894" max="4894" width="6" style="3" customWidth="1"/>
    <col min="4895" max="4895" width="12.7265625" style="3" customWidth="1"/>
    <col min="4896" max="4896" width="6.81640625" style="3" customWidth="1"/>
    <col min="4897" max="4897" width="12.7265625" style="3" customWidth="1"/>
    <col min="4898" max="4898" width="6.81640625" style="3" customWidth="1"/>
    <col min="4899" max="4899" width="16.453125" style="3" bestFit="1" customWidth="1"/>
    <col min="4900" max="4900" width="9.54296875" style="3" bestFit="1" customWidth="1"/>
    <col min="4901" max="4901" width="17.453125" style="3" bestFit="1" customWidth="1"/>
    <col min="4902" max="4902" width="6" style="3" customWidth="1"/>
    <col min="4903" max="4903" width="13.7265625" style="3" customWidth="1"/>
    <col min="4904" max="4904" width="6" style="3" customWidth="1"/>
    <col min="4905" max="4905" width="12.7265625" style="3" customWidth="1"/>
    <col min="4906" max="4906" width="6.81640625" style="3" customWidth="1"/>
    <col min="4907" max="4907" width="12.7265625" style="3" customWidth="1"/>
    <col min="4908" max="4908" width="6.81640625" style="3" customWidth="1"/>
    <col min="4909" max="4909" width="15.453125" style="3" bestFit="1" customWidth="1"/>
    <col min="4910" max="4910" width="9.54296875" style="3" bestFit="1" customWidth="1"/>
    <col min="4911" max="4911" width="17.453125" style="3" bestFit="1" customWidth="1"/>
    <col min="4912" max="4912" width="8" style="3" customWidth="1"/>
    <col min="4913" max="4913" width="12.1796875" style="3" customWidth="1"/>
    <col min="4914" max="4914" width="8" style="3" customWidth="1"/>
    <col min="4915" max="4915" width="20" style="3" customWidth="1"/>
    <col min="4916" max="4916" width="15.26953125" style="3" bestFit="1" customWidth="1"/>
    <col min="4917" max="4917" width="14.26953125" style="3" bestFit="1" customWidth="1"/>
    <col min="4918" max="4918" width="13" style="3" bestFit="1" customWidth="1"/>
    <col min="4919" max="5090" width="8.7265625" style="3"/>
    <col min="5091" max="5091" width="2.7265625" style="3" customWidth="1"/>
    <col min="5092" max="5092" width="3.54296875" style="3" customWidth="1"/>
    <col min="5093" max="5093" width="7" style="3" customWidth="1"/>
    <col min="5094" max="5094" width="23" style="3" customWidth="1"/>
    <col min="5095" max="5095" width="13.26953125" style="3" customWidth="1"/>
    <col min="5096" max="5096" width="17.453125" style="3" bestFit="1" customWidth="1"/>
    <col min="5097" max="5097" width="11.54296875" style="3" bestFit="1" customWidth="1"/>
    <col min="5098" max="5098" width="7.81640625" style="3" customWidth="1"/>
    <col min="5099" max="5099" width="11.54296875" style="3" bestFit="1" customWidth="1"/>
    <col min="5100" max="5100" width="7" style="3" customWidth="1"/>
    <col min="5101" max="5101" width="18.1796875" style="3" customWidth="1"/>
    <col min="5102" max="5102" width="7" style="3" customWidth="1"/>
    <col min="5103" max="5103" width="15.54296875" style="3" customWidth="1"/>
    <col min="5104" max="5104" width="7.81640625" style="3" customWidth="1"/>
    <col min="5105" max="5105" width="15.54296875" style="3" customWidth="1"/>
    <col min="5106" max="5106" width="7.81640625" style="3" bestFit="1" customWidth="1"/>
    <col min="5107" max="5107" width="15.7265625" style="3" bestFit="1" customWidth="1"/>
    <col min="5108" max="5108" width="7.54296875" style="3" customWidth="1"/>
    <col min="5109" max="5109" width="14" style="3" customWidth="1"/>
    <col min="5110" max="5110" width="7.81640625" style="3" customWidth="1"/>
    <col min="5111" max="5111" width="14" style="3" customWidth="1"/>
    <col min="5112" max="5112" width="7.81640625" style="3" customWidth="1"/>
    <col min="5113" max="5113" width="14" style="3" customWidth="1"/>
    <col min="5114" max="5114" width="9" style="3" customWidth="1"/>
    <col min="5115" max="5115" width="15.1796875" style="3" customWidth="1"/>
    <col min="5116" max="5116" width="13" style="3" bestFit="1" customWidth="1"/>
    <col min="5117" max="5117" width="15.1796875" style="3" bestFit="1" customWidth="1"/>
    <col min="5118" max="5118" width="7.54296875" style="3" customWidth="1"/>
    <col min="5119" max="5119" width="14" style="3" customWidth="1"/>
    <col min="5120" max="5120" width="7.81640625" style="3" customWidth="1"/>
    <col min="5121" max="5121" width="14" style="3" customWidth="1"/>
    <col min="5122" max="5122" width="7.81640625" style="3" customWidth="1"/>
    <col min="5123" max="5123" width="14" style="3" customWidth="1"/>
    <col min="5124" max="5124" width="9" style="3" bestFit="1" customWidth="1"/>
    <col min="5125" max="5125" width="15.1796875" style="3" bestFit="1" customWidth="1"/>
    <col min="5126" max="5126" width="9" style="3" bestFit="1" customWidth="1"/>
    <col min="5127" max="5127" width="15.1796875" style="3" bestFit="1" customWidth="1"/>
    <col min="5128" max="5128" width="6.453125" style="3" customWidth="1"/>
    <col min="5129" max="5129" width="12.7265625" style="3" customWidth="1"/>
    <col min="5130" max="5130" width="6.453125" style="3" customWidth="1"/>
    <col min="5131" max="5131" width="12.7265625" style="3" customWidth="1"/>
    <col min="5132" max="5132" width="6" style="3" customWidth="1"/>
    <col min="5133" max="5133" width="12.7265625" style="3" customWidth="1"/>
    <col min="5134" max="5134" width="9.54296875" style="3" customWidth="1"/>
    <col min="5135" max="5135" width="14" style="3" bestFit="1" customWidth="1"/>
    <col min="5136" max="5136" width="8.7265625" style="3" bestFit="1" customWidth="1"/>
    <col min="5137" max="5137" width="13.54296875" style="3" customWidth="1"/>
    <col min="5138" max="5138" width="6" style="3" customWidth="1"/>
    <col min="5139" max="5139" width="13.7265625" style="3" customWidth="1"/>
    <col min="5140" max="5140" width="6" style="3" customWidth="1"/>
    <col min="5141" max="5141" width="12.7265625" style="3" customWidth="1"/>
    <col min="5142" max="5142" width="6.81640625" style="3" customWidth="1"/>
    <col min="5143" max="5143" width="12.7265625" style="3" customWidth="1"/>
    <col min="5144" max="5144" width="6.81640625" style="3" customWidth="1"/>
    <col min="5145" max="5145" width="15.7265625" style="3" bestFit="1" customWidth="1"/>
    <col min="5146" max="5146" width="8.54296875" style="3" bestFit="1" customWidth="1"/>
    <col min="5147" max="5147" width="13.54296875" style="3" customWidth="1"/>
    <col min="5148" max="5148" width="6" style="3" customWidth="1"/>
    <col min="5149" max="5149" width="13.7265625" style="3" customWidth="1"/>
    <col min="5150" max="5150" width="6" style="3" customWidth="1"/>
    <col min="5151" max="5151" width="12.7265625" style="3" customWidth="1"/>
    <col min="5152" max="5152" width="6.81640625" style="3" customWidth="1"/>
    <col min="5153" max="5153" width="12.7265625" style="3" customWidth="1"/>
    <col min="5154" max="5154" width="6.81640625" style="3" customWidth="1"/>
    <col min="5155" max="5155" width="16.453125" style="3" bestFit="1" customWidth="1"/>
    <col min="5156" max="5156" width="9.54296875" style="3" bestFit="1" customWidth="1"/>
    <col min="5157" max="5157" width="17.453125" style="3" bestFit="1" customWidth="1"/>
    <col min="5158" max="5158" width="6" style="3" customWidth="1"/>
    <col min="5159" max="5159" width="13.7265625" style="3" customWidth="1"/>
    <col min="5160" max="5160" width="6" style="3" customWidth="1"/>
    <col min="5161" max="5161" width="12.7265625" style="3" customWidth="1"/>
    <col min="5162" max="5162" width="6.81640625" style="3" customWidth="1"/>
    <col min="5163" max="5163" width="12.7265625" style="3" customWidth="1"/>
    <col min="5164" max="5164" width="6.81640625" style="3" customWidth="1"/>
    <col min="5165" max="5165" width="15.453125" style="3" bestFit="1" customWidth="1"/>
    <col min="5166" max="5166" width="9.54296875" style="3" bestFit="1" customWidth="1"/>
    <col min="5167" max="5167" width="17.453125" style="3" bestFit="1" customWidth="1"/>
    <col min="5168" max="5168" width="8" style="3" customWidth="1"/>
    <col min="5169" max="5169" width="12.1796875" style="3" customWidth="1"/>
    <col min="5170" max="5170" width="8" style="3" customWidth="1"/>
    <col min="5171" max="5171" width="20" style="3" customWidth="1"/>
    <col min="5172" max="5172" width="15.26953125" style="3" bestFit="1" customWidth="1"/>
    <col min="5173" max="5173" width="14.26953125" style="3" bestFit="1" customWidth="1"/>
    <col min="5174" max="5174" width="13" style="3" bestFit="1" customWidth="1"/>
    <col min="5175" max="5346" width="8.7265625" style="3"/>
    <col min="5347" max="5347" width="2.7265625" style="3" customWidth="1"/>
    <col min="5348" max="5348" width="3.54296875" style="3" customWidth="1"/>
    <col min="5349" max="5349" width="7" style="3" customWidth="1"/>
    <col min="5350" max="5350" width="23" style="3" customWidth="1"/>
    <col min="5351" max="5351" width="13.26953125" style="3" customWidth="1"/>
    <col min="5352" max="5352" width="17.453125" style="3" bestFit="1" customWidth="1"/>
    <col min="5353" max="5353" width="11.54296875" style="3" bestFit="1" customWidth="1"/>
    <col min="5354" max="5354" width="7.81640625" style="3" customWidth="1"/>
    <col min="5355" max="5355" width="11.54296875" style="3" bestFit="1" customWidth="1"/>
    <col min="5356" max="5356" width="7" style="3" customWidth="1"/>
    <col min="5357" max="5357" width="18.1796875" style="3" customWidth="1"/>
    <col min="5358" max="5358" width="7" style="3" customWidth="1"/>
    <col min="5359" max="5359" width="15.54296875" style="3" customWidth="1"/>
    <col min="5360" max="5360" width="7.81640625" style="3" customWidth="1"/>
    <col min="5361" max="5361" width="15.54296875" style="3" customWidth="1"/>
    <col min="5362" max="5362" width="7.81640625" style="3" bestFit="1" customWidth="1"/>
    <col min="5363" max="5363" width="15.7265625" style="3" bestFit="1" customWidth="1"/>
    <col min="5364" max="5364" width="7.54296875" style="3" customWidth="1"/>
    <col min="5365" max="5365" width="14" style="3" customWidth="1"/>
    <col min="5366" max="5366" width="7.81640625" style="3" customWidth="1"/>
    <col min="5367" max="5367" width="14" style="3" customWidth="1"/>
    <col min="5368" max="5368" width="7.81640625" style="3" customWidth="1"/>
    <col min="5369" max="5369" width="14" style="3" customWidth="1"/>
    <col min="5370" max="5370" width="9" style="3" customWidth="1"/>
    <col min="5371" max="5371" width="15.1796875" style="3" customWidth="1"/>
    <col min="5372" max="5372" width="13" style="3" bestFit="1" customWidth="1"/>
    <col min="5373" max="5373" width="15.1796875" style="3" bestFit="1" customWidth="1"/>
    <col min="5374" max="5374" width="7.54296875" style="3" customWidth="1"/>
    <col min="5375" max="5375" width="14" style="3" customWidth="1"/>
    <col min="5376" max="5376" width="7.81640625" style="3" customWidth="1"/>
    <col min="5377" max="5377" width="14" style="3" customWidth="1"/>
    <col min="5378" max="5378" width="7.81640625" style="3" customWidth="1"/>
    <col min="5379" max="5379" width="14" style="3" customWidth="1"/>
    <col min="5380" max="5380" width="9" style="3" bestFit="1" customWidth="1"/>
    <col min="5381" max="5381" width="15.1796875" style="3" bestFit="1" customWidth="1"/>
    <col min="5382" max="5382" width="9" style="3" bestFit="1" customWidth="1"/>
    <col min="5383" max="5383" width="15.1796875" style="3" bestFit="1" customWidth="1"/>
    <col min="5384" max="5384" width="6.453125" style="3" customWidth="1"/>
    <col min="5385" max="5385" width="12.7265625" style="3" customWidth="1"/>
    <col min="5386" max="5386" width="6.453125" style="3" customWidth="1"/>
    <col min="5387" max="5387" width="12.7265625" style="3" customWidth="1"/>
    <col min="5388" max="5388" width="6" style="3" customWidth="1"/>
    <col min="5389" max="5389" width="12.7265625" style="3" customWidth="1"/>
    <col min="5390" max="5390" width="9.54296875" style="3" customWidth="1"/>
    <col min="5391" max="5391" width="14" style="3" bestFit="1" customWidth="1"/>
    <col min="5392" max="5392" width="8.7265625" style="3" bestFit="1" customWidth="1"/>
    <col min="5393" max="5393" width="13.54296875" style="3" customWidth="1"/>
    <col min="5394" max="5394" width="6" style="3" customWidth="1"/>
    <col min="5395" max="5395" width="13.7265625" style="3" customWidth="1"/>
    <col min="5396" max="5396" width="6" style="3" customWidth="1"/>
    <col min="5397" max="5397" width="12.7265625" style="3" customWidth="1"/>
    <col min="5398" max="5398" width="6.81640625" style="3" customWidth="1"/>
    <col min="5399" max="5399" width="12.7265625" style="3" customWidth="1"/>
    <col min="5400" max="5400" width="6.81640625" style="3" customWidth="1"/>
    <col min="5401" max="5401" width="15.7265625" style="3" bestFit="1" customWidth="1"/>
    <col min="5402" max="5402" width="8.54296875" style="3" bestFit="1" customWidth="1"/>
    <col min="5403" max="5403" width="13.54296875" style="3" customWidth="1"/>
    <col min="5404" max="5404" width="6" style="3" customWidth="1"/>
    <col min="5405" max="5405" width="13.7265625" style="3" customWidth="1"/>
    <col min="5406" max="5406" width="6" style="3" customWidth="1"/>
    <col min="5407" max="5407" width="12.7265625" style="3" customWidth="1"/>
    <col min="5408" max="5408" width="6.81640625" style="3" customWidth="1"/>
    <col min="5409" max="5409" width="12.7265625" style="3" customWidth="1"/>
    <col min="5410" max="5410" width="6.81640625" style="3" customWidth="1"/>
    <col min="5411" max="5411" width="16.453125" style="3" bestFit="1" customWidth="1"/>
    <col min="5412" max="5412" width="9.54296875" style="3" bestFit="1" customWidth="1"/>
    <col min="5413" max="5413" width="17.453125" style="3" bestFit="1" customWidth="1"/>
    <col min="5414" max="5414" width="6" style="3" customWidth="1"/>
    <col min="5415" max="5415" width="13.7265625" style="3" customWidth="1"/>
    <col min="5416" max="5416" width="6" style="3" customWidth="1"/>
    <col min="5417" max="5417" width="12.7265625" style="3" customWidth="1"/>
    <col min="5418" max="5418" width="6.81640625" style="3" customWidth="1"/>
    <col min="5419" max="5419" width="12.7265625" style="3" customWidth="1"/>
    <col min="5420" max="5420" width="6.81640625" style="3" customWidth="1"/>
    <col min="5421" max="5421" width="15.453125" style="3" bestFit="1" customWidth="1"/>
    <col min="5422" max="5422" width="9.54296875" style="3" bestFit="1" customWidth="1"/>
    <col min="5423" max="5423" width="17.453125" style="3" bestFit="1" customWidth="1"/>
    <col min="5424" max="5424" width="8" style="3" customWidth="1"/>
    <col min="5425" max="5425" width="12.1796875" style="3" customWidth="1"/>
    <col min="5426" max="5426" width="8" style="3" customWidth="1"/>
    <col min="5427" max="5427" width="20" style="3" customWidth="1"/>
    <col min="5428" max="5428" width="15.26953125" style="3" bestFit="1" customWidth="1"/>
    <col min="5429" max="5429" width="14.26953125" style="3" bestFit="1" customWidth="1"/>
    <col min="5430" max="5430" width="13" style="3" bestFit="1" customWidth="1"/>
    <col min="5431" max="5602" width="8.7265625" style="3"/>
    <col min="5603" max="5603" width="2.7265625" style="3" customWidth="1"/>
    <col min="5604" max="5604" width="3.54296875" style="3" customWidth="1"/>
    <col min="5605" max="5605" width="7" style="3" customWidth="1"/>
    <col min="5606" max="5606" width="23" style="3" customWidth="1"/>
    <col min="5607" max="5607" width="13.26953125" style="3" customWidth="1"/>
    <col min="5608" max="5608" width="17.453125" style="3" bestFit="1" customWidth="1"/>
    <col min="5609" max="5609" width="11.54296875" style="3" bestFit="1" customWidth="1"/>
    <col min="5610" max="5610" width="7.81640625" style="3" customWidth="1"/>
    <col min="5611" max="5611" width="11.54296875" style="3" bestFit="1" customWidth="1"/>
    <col min="5612" max="5612" width="7" style="3" customWidth="1"/>
    <col min="5613" max="5613" width="18.1796875" style="3" customWidth="1"/>
    <col min="5614" max="5614" width="7" style="3" customWidth="1"/>
    <col min="5615" max="5615" width="15.54296875" style="3" customWidth="1"/>
    <col min="5616" max="5616" width="7.81640625" style="3" customWidth="1"/>
    <col min="5617" max="5617" width="15.54296875" style="3" customWidth="1"/>
    <col min="5618" max="5618" width="7.81640625" style="3" bestFit="1" customWidth="1"/>
    <col min="5619" max="5619" width="15.7265625" style="3" bestFit="1" customWidth="1"/>
    <col min="5620" max="5620" width="7.54296875" style="3" customWidth="1"/>
    <col min="5621" max="5621" width="14" style="3" customWidth="1"/>
    <col min="5622" max="5622" width="7.81640625" style="3" customWidth="1"/>
    <col min="5623" max="5623" width="14" style="3" customWidth="1"/>
    <col min="5624" max="5624" width="7.81640625" style="3" customWidth="1"/>
    <col min="5625" max="5625" width="14" style="3" customWidth="1"/>
    <col min="5626" max="5626" width="9" style="3" customWidth="1"/>
    <col min="5627" max="5627" width="15.1796875" style="3" customWidth="1"/>
    <col min="5628" max="5628" width="13" style="3" bestFit="1" customWidth="1"/>
    <col min="5629" max="5629" width="15.1796875" style="3" bestFit="1" customWidth="1"/>
    <col min="5630" max="5630" width="7.54296875" style="3" customWidth="1"/>
    <col min="5631" max="5631" width="14" style="3" customWidth="1"/>
    <col min="5632" max="5632" width="7.81640625" style="3" customWidth="1"/>
    <col min="5633" max="5633" width="14" style="3" customWidth="1"/>
    <col min="5634" max="5634" width="7.81640625" style="3" customWidth="1"/>
    <col min="5635" max="5635" width="14" style="3" customWidth="1"/>
    <col min="5636" max="5636" width="9" style="3" bestFit="1" customWidth="1"/>
    <col min="5637" max="5637" width="15.1796875" style="3" bestFit="1" customWidth="1"/>
    <col min="5638" max="5638" width="9" style="3" bestFit="1" customWidth="1"/>
    <col min="5639" max="5639" width="15.1796875" style="3" bestFit="1" customWidth="1"/>
    <col min="5640" max="5640" width="6.453125" style="3" customWidth="1"/>
    <col min="5641" max="5641" width="12.7265625" style="3" customWidth="1"/>
    <col min="5642" max="5642" width="6.453125" style="3" customWidth="1"/>
    <col min="5643" max="5643" width="12.7265625" style="3" customWidth="1"/>
    <col min="5644" max="5644" width="6" style="3" customWidth="1"/>
    <col min="5645" max="5645" width="12.7265625" style="3" customWidth="1"/>
    <col min="5646" max="5646" width="9.54296875" style="3" customWidth="1"/>
    <col min="5647" max="5647" width="14" style="3" bestFit="1" customWidth="1"/>
    <col min="5648" max="5648" width="8.7265625" style="3" bestFit="1" customWidth="1"/>
    <col min="5649" max="5649" width="13.54296875" style="3" customWidth="1"/>
    <col min="5650" max="5650" width="6" style="3" customWidth="1"/>
    <col min="5651" max="5651" width="13.7265625" style="3" customWidth="1"/>
    <col min="5652" max="5652" width="6" style="3" customWidth="1"/>
    <col min="5653" max="5653" width="12.7265625" style="3" customWidth="1"/>
    <col min="5654" max="5654" width="6.81640625" style="3" customWidth="1"/>
    <col min="5655" max="5655" width="12.7265625" style="3" customWidth="1"/>
    <col min="5656" max="5656" width="6.81640625" style="3" customWidth="1"/>
    <col min="5657" max="5657" width="15.7265625" style="3" bestFit="1" customWidth="1"/>
    <col min="5658" max="5658" width="8.54296875" style="3" bestFit="1" customWidth="1"/>
    <col min="5659" max="5659" width="13.54296875" style="3" customWidth="1"/>
    <col min="5660" max="5660" width="6" style="3" customWidth="1"/>
    <col min="5661" max="5661" width="13.7265625" style="3" customWidth="1"/>
    <col min="5662" max="5662" width="6" style="3" customWidth="1"/>
    <col min="5663" max="5663" width="12.7265625" style="3" customWidth="1"/>
    <col min="5664" max="5664" width="6.81640625" style="3" customWidth="1"/>
    <col min="5665" max="5665" width="12.7265625" style="3" customWidth="1"/>
    <col min="5666" max="5666" width="6.81640625" style="3" customWidth="1"/>
    <col min="5667" max="5667" width="16.453125" style="3" bestFit="1" customWidth="1"/>
    <col min="5668" max="5668" width="9.54296875" style="3" bestFit="1" customWidth="1"/>
    <col min="5669" max="5669" width="17.453125" style="3" bestFit="1" customWidth="1"/>
    <col min="5670" max="5670" width="6" style="3" customWidth="1"/>
    <col min="5671" max="5671" width="13.7265625" style="3" customWidth="1"/>
    <col min="5672" max="5672" width="6" style="3" customWidth="1"/>
    <col min="5673" max="5673" width="12.7265625" style="3" customWidth="1"/>
    <col min="5674" max="5674" width="6.81640625" style="3" customWidth="1"/>
    <col min="5675" max="5675" width="12.7265625" style="3" customWidth="1"/>
    <col min="5676" max="5676" width="6.81640625" style="3" customWidth="1"/>
    <col min="5677" max="5677" width="15.453125" style="3" bestFit="1" customWidth="1"/>
    <col min="5678" max="5678" width="9.54296875" style="3" bestFit="1" customWidth="1"/>
    <col min="5679" max="5679" width="17.453125" style="3" bestFit="1" customWidth="1"/>
    <col min="5680" max="5680" width="8" style="3" customWidth="1"/>
    <col min="5681" max="5681" width="12.1796875" style="3" customWidth="1"/>
    <col min="5682" max="5682" width="8" style="3" customWidth="1"/>
    <col min="5683" max="5683" width="20" style="3" customWidth="1"/>
    <col min="5684" max="5684" width="15.26953125" style="3" bestFit="1" customWidth="1"/>
    <col min="5685" max="5685" width="14.26953125" style="3" bestFit="1" customWidth="1"/>
    <col min="5686" max="5686" width="13" style="3" bestFit="1" customWidth="1"/>
    <col min="5687" max="5858" width="8.7265625" style="3"/>
    <col min="5859" max="5859" width="2.7265625" style="3" customWidth="1"/>
    <col min="5860" max="5860" width="3.54296875" style="3" customWidth="1"/>
    <col min="5861" max="5861" width="7" style="3" customWidth="1"/>
    <col min="5862" max="5862" width="23" style="3" customWidth="1"/>
    <col min="5863" max="5863" width="13.26953125" style="3" customWidth="1"/>
    <col min="5864" max="5864" width="17.453125" style="3" bestFit="1" customWidth="1"/>
    <col min="5865" max="5865" width="11.54296875" style="3" bestFit="1" customWidth="1"/>
    <col min="5866" max="5866" width="7.81640625" style="3" customWidth="1"/>
    <col min="5867" max="5867" width="11.54296875" style="3" bestFit="1" customWidth="1"/>
    <col min="5868" max="5868" width="7" style="3" customWidth="1"/>
    <col min="5869" max="5869" width="18.1796875" style="3" customWidth="1"/>
    <col min="5870" max="5870" width="7" style="3" customWidth="1"/>
    <col min="5871" max="5871" width="15.54296875" style="3" customWidth="1"/>
    <col min="5872" max="5872" width="7.81640625" style="3" customWidth="1"/>
    <col min="5873" max="5873" width="15.54296875" style="3" customWidth="1"/>
    <col min="5874" max="5874" width="7.81640625" style="3" bestFit="1" customWidth="1"/>
    <col min="5875" max="5875" width="15.7265625" style="3" bestFit="1" customWidth="1"/>
    <col min="5876" max="5876" width="7.54296875" style="3" customWidth="1"/>
    <col min="5877" max="5877" width="14" style="3" customWidth="1"/>
    <col min="5878" max="5878" width="7.81640625" style="3" customWidth="1"/>
    <col min="5879" max="5879" width="14" style="3" customWidth="1"/>
    <col min="5880" max="5880" width="7.81640625" style="3" customWidth="1"/>
    <col min="5881" max="5881" width="14" style="3" customWidth="1"/>
    <col min="5882" max="5882" width="9" style="3" customWidth="1"/>
    <col min="5883" max="5883" width="15.1796875" style="3" customWidth="1"/>
    <col min="5884" max="5884" width="13" style="3" bestFit="1" customWidth="1"/>
    <col min="5885" max="5885" width="15.1796875" style="3" bestFit="1" customWidth="1"/>
    <col min="5886" max="5886" width="7.54296875" style="3" customWidth="1"/>
    <col min="5887" max="5887" width="14" style="3" customWidth="1"/>
    <col min="5888" max="5888" width="7.81640625" style="3" customWidth="1"/>
    <col min="5889" max="5889" width="14" style="3" customWidth="1"/>
    <col min="5890" max="5890" width="7.81640625" style="3" customWidth="1"/>
    <col min="5891" max="5891" width="14" style="3" customWidth="1"/>
    <col min="5892" max="5892" width="9" style="3" bestFit="1" customWidth="1"/>
    <col min="5893" max="5893" width="15.1796875" style="3" bestFit="1" customWidth="1"/>
    <col min="5894" max="5894" width="9" style="3" bestFit="1" customWidth="1"/>
    <col min="5895" max="5895" width="15.1796875" style="3" bestFit="1" customWidth="1"/>
    <col min="5896" max="5896" width="6.453125" style="3" customWidth="1"/>
    <col min="5897" max="5897" width="12.7265625" style="3" customWidth="1"/>
    <col min="5898" max="5898" width="6.453125" style="3" customWidth="1"/>
    <col min="5899" max="5899" width="12.7265625" style="3" customWidth="1"/>
    <col min="5900" max="5900" width="6" style="3" customWidth="1"/>
    <col min="5901" max="5901" width="12.7265625" style="3" customWidth="1"/>
    <col min="5902" max="5902" width="9.54296875" style="3" customWidth="1"/>
    <col min="5903" max="5903" width="14" style="3" bestFit="1" customWidth="1"/>
    <col min="5904" max="5904" width="8.7265625" style="3" bestFit="1" customWidth="1"/>
    <col min="5905" max="5905" width="13.54296875" style="3" customWidth="1"/>
    <col min="5906" max="5906" width="6" style="3" customWidth="1"/>
    <col min="5907" max="5907" width="13.7265625" style="3" customWidth="1"/>
    <col min="5908" max="5908" width="6" style="3" customWidth="1"/>
    <col min="5909" max="5909" width="12.7265625" style="3" customWidth="1"/>
    <col min="5910" max="5910" width="6.81640625" style="3" customWidth="1"/>
    <col min="5911" max="5911" width="12.7265625" style="3" customWidth="1"/>
    <col min="5912" max="5912" width="6.81640625" style="3" customWidth="1"/>
    <col min="5913" max="5913" width="15.7265625" style="3" bestFit="1" customWidth="1"/>
    <col min="5914" max="5914" width="8.54296875" style="3" bestFit="1" customWidth="1"/>
    <col min="5915" max="5915" width="13.54296875" style="3" customWidth="1"/>
    <col min="5916" max="5916" width="6" style="3" customWidth="1"/>
    <col min="5917" max="5917" width="13.7265625" style="3" customWidth="1"/>
    <col min="5918" max="5918" width="6" style="3" customWidth="1"/>
    <col min="5919" max="5919" width="12.7265625" style="3" customWidth="1"/>
    <col min="5920" max="5920" width="6.81640625" style="3" customWidth="1"/>
    <col min="5921" max="5921" width="12.7265625" style="3" customWidth="1"/>
    <col min="5922" max="5922" width="6.81640625" style="3" customWidth="1"/>
    <col min="5923" max="5923" width="16.453125" style="3" bestFit="1" customWidth="1"/>
    <col min="5924" max="5924" width="9.54296875" style="3" bestFit="1" customWidth="1"/>
    <col min="5925" max="5925" width="17.453125" style="3" bestFit="1" customWidth="1"/>
    <col min="5926" max="5926" width="6" style="3" customWidth="1"/>
    <col min="5927" max="5927" width="13.7265625" style="3" customWidth="1"/>
    <col min="5928" max="5928" width="6" style="3" customWidth="1"/>
    <col min="5929" max="5929" width="12.7265625" style="3" customWidth="1"/>
    <col min="5930" max="5930" width="6.81640625" style="3" customWidth="1"/>
    <col min="5931" max="5931" width="12.7265625" style="3" customWidth="1"/>
    <col min="5932" max="5932" width="6.81640625" style="3" customWidth="1"/>
    <col min="5933" max="5933" width="15.453125" style="3" bestFit="1" customWidth="1"/>
    <col min="5934" max="5934" width="9.54296875" style="3" bestFit="1" customWidth="1"/>
    <col min="5935" max="5935" width="17.453125" style="3" bestFit="1" customWidth="1"/>
    <col min="5936" max="5936" width="8" style="3" customWidth="1"/>
    <col min="5937" max="5937" width="12.1796875" style="3" customWidth="1"/>
    <col min="5938" max="5938" width="8" style="3" customWidth="1"/>
    <col min="5939" max="5939" width="20" style="3" customWidth="1"/>
    <col min="5940" max="5940" width="15.26953125" style="3" bestFit="1" customWidth="1"/>
    <col min="5941" max="5941" width="14.26953125" style="3" bestFit="1" customWidth="1"/>
    <col min="5942" max="5942" width="13" style="3" bestFit="1" customWidth="1"/>
    <col min="5943" max="6114" width="8.7265625" style="3"/>
    <col min="6115" max="6115" width="2.7265625" style="3" customWidth="1"/>
    <col min="6116" max="6116" width="3.54296875" style="3" customWidth="1"/>
    <col min="6117" max="6117" width="7" style="3" customWidth="1"/>
    <col min="6118" max="6118" width="23" style="3" customWidth="1"/>
    <col min="6119" max="6119" width="13.26953125" style="3" customWidth="1"/>
    <col min="6120" max="6120" width="17.453125" style="3" bestFit="1" customWidth="1"/>
    <col min="6121" max="6121" width="11.54296875" style="3" bestFit="1" customWidth="1"/>
    <col min="6122" max="6122" width="7.81640625" style="3" customWidth="1"/>
    <col min="6123" max="6123" width="11.54296875" style="3" bestFit="1" customWidth="1"/>
    <col min="6124" max="6124" width="7" style="3" customWidth="1"/>
    <col min="6125" max="6125" width="18.1796875" style="3" customWidth="1"/>
    <col min="6126" max="6126" width="7" style="3" customWidth="1"/>
    <col min="6127" max="6127" width="15.54296875" style="3" customWidth="1"/>
    <col min="6128" max="6128" width="7.81640625" style="3" customWidth="1"/>
    <col min="6129" max="6129" width="15.54296875" style="3" customWidth="1"/>
    <col min="6130" max="6130" width="7.81640625" style="3" bestFit="1" customWidth="1"/>
    <col min="6131" max="6131" width="15.7265625" style="3" bestFit="1" customWidth="1"/>
    <col min="6132" max="6132" width="7.54296875" style="3" customWidth="1"/>
    <col min="6133" max="6133" width="14" style="3" customWidth="1"/>
    <col min="6134" max="6134" width="7.81640625" style="3" customWidth="1"/>
    <col min="6135" max="6135" width="14" style="3" customWidth="1"/>
    <col min="6136" max="6136" width="7.81640625" style="3" customWidth="1"/>
    <col min="6137" max="6137" width="14" style="3" customWidth="1"/>
    <col min="6138" max="6138" width="9" style="3" customWidth="1"/>
    <col min="6139" max="6139" width="15.1796875" style="3" customWidth="1"/>
    <col min="6140" max="6140" width="13" style="3" bestFit="1" customWidth="1"/>
    <col min="6141" max="6141" width="15.1796875" style="3" bestFit="1" customWidth="1"/>
    <col min="6142" max="6142" width="7.54296875" style="3" customWidth="1"/>
    <col min="6143" max="6143" width="14" style="3" customWidth="1"/>
    <col min="6144" max="6144" width="7.81640625" style="3" customWidth="1"/>
    <col min="6145" max="6145" width="14" style="3" customWidth="1"/>
    <col min="6146" max="6146" width="7.81640625" style="3" customWidth="1"/>
    <col min="6147" max="6147" width="14" style="3" customWidth="1"/>
    <col min="6148" max="6148" width="9" style="3" bestFit="1" customWidth="1"/>
    <col min="6149" max="6149" width="15.1796875" style="3" bestFit="1" customWidth="1"/>
    <col min="6150" max="6150" width="9" style="3" bestFit="1" customWidth="1"/>
    <col min="6151" max="6151" width="15.1796875" style="3" bestFit="1" customWidth="1"/>
    <col min="6152" max="6152" width="6.453125" style="3" customWidth="1"/>
    <col min="6153" max="6153" width="12.7265625" style="3" customWidth="1"/>
    <col min="6154" max="6154" width="6.453125" style="3" customWidth="1"/>
    <col min="6155" max="6155" width="12.7265625" style="3" customWidth="1"/>
    <col min="6156" max="6156" width="6" style="3" customWidth="1"/>
    <col min="6157" max="6157" width="12.7265625" style="3" customWidth="1"/>
    <col min="6158" max="6158" width="9.54296875" style="3" customWidth="1"/>
    <col min="6159" max="6159" width="14" style="3" bestFit="1" customWidth="1"/>
    <col min="6160" max="6160" width="8.7265625" style="3" bestFit="1" customWidth="1"/>
    <col min="6161" max="6161" width="13.54296875" style="3" customWidth="1"/>
    <col min="6162" max="6162" width="6" style="3" customWidth="1"/>
    <col min="6163" max="6163" width="13.7265625" style="3" customWidth="1"/>
    <col min="6164" max="6164" width="6" style="3" customWidth="1"/>
    <col min="6165" max="6165" width="12.7265625" style="3" customWidth="1"/>
    <col min="6166" max="6166" width="6.81640625" style="3" customWidth="1"/>
    <col min="6167" max="6167" width="12.7265625" style="3" customWidth="1"/>
    <col min="6168" max="6168" width="6.81640625" style="3" customWidth="1"/>
    <col min="6169" max="6169" width="15.7265625" style="3" bestFit="1" customWidth="1"/>
    <col min="6170" max="6170" width="8.54296875" style="3" bestFit="1" customWidth="1"/>
    <col min="6171" max="6171" width="13.54296875" style="3" customWidth="1"/>
    <col min="6172" max="6172" width="6" style="3" customWidth="1"/>
    <col min="6173" max="6173" width="13.7265625" style="3" customWidth="1"/>
    <col min="6174" max="6174" width="6" style="3" customWidth="1"/>
    <col min="6175" max="6175" width="12.7265625" style="3" customWidth="1"/>
    <col min="6176" max="6176" width="6.81640625" style="3" customWidth="1"/>
    <col min="6177" max="6177" width="12.7265625" style="3" customWidth="1"/>
    <col min="6178" max="6178" width="6.81640625" style="3" customWidth="1"/>
    <col min="6179" max="6179" width="16.453125" style="3" bestFit="1" customWidth="1"/>
    <col min="6180" max="6180" width="9.54296875" style="3" bestFit="1" customWidth="1"/>
    <col min="6181" max="6181" width="17.453125" style="3" bestFit="1" customWidth="1"/>
    <col min="6182" max="6182" width="6" style="3" customWidth="1"/>
    <col min="6183" max="6183" width="13.7265625" style="3" customWidth="1"/>
    <col min="6184" max="6184" width="6" style="3" customWidth="1"/>
    <col min="6185" max="6185" width="12.7265625" style="3" customWidth="1"/>
    <col min="6186" max="6186" width="6.81640625" style="3" customWidth="1"/>
    <col min="6187" max="6187" width="12.7265625" style="3" customWidth="1"/>
    <col min="6188" max="6188" width="6.81640625" style="3" customWidth="1"/>
    <col min="6189" max="6189" width="15.453125" style="3" bestFit="1" customWidth="1"/>
    <col min="6190" max="6190" width="9.54296875" style="3" bestFit="1" customWidth="1"/>
    <col min="6191" max="6191" width="17.453125" style="3" bestFit="1" customWidth="1"/>
    <col min="6192" max="6192" width="8" style="3" customWidth="1"/>
    <col min="6193" max="6193" width="12.1796875" style="3" customWidth="1"/>
    <col min="6194" max="6194" width="8" style="3" customWidth="1"/>
    <col min="6195" max="6195" width="20" style="3" customWidth="1"/>
    <col min="6196" max="6196" width="15.26953125" style="3" bestFit="1" customWidth="1"/>
    <col min="6197" max="6197" width="14.26953125" style="3" bestFit="1" customWidth="1"/>
    <col min="6198" max="6198" width="13" style="3" bestFit="1" customWidth="1"/>
    <col min="6199" max="6370" width="8.7265625" style="3"/>
    <col min="6371" max="6371" width="2.7265625" style="3" customWidth="1"/>
    <col min="6372" max="6372" width="3.54296875" style="3" customWidth="1"/>
    <col min="6373" max="6373" width="7" style="3" customWidth="1"/>
    <col min="6374" max="6374" width="23" style="3" customWidth="1"/>
    <col min="6375" max="6375" width="13.26953125" style="3" customWidth="1"/>
    <col min="6376" max="6376" width="17.453125" style="3" bestFit="1" customWidth="1"/>
    <col min="6377" max="6377" width="11.54296875" style="3" bestFit="1" customWidth="1"/>
    <col min="6378" max="6378" width="7.81640625" style="3" customWidth="1"/>
    <col min="6379" max="6379" width="11.54296875" style="3" bestFit="1" customWidth="1"/>
    <col min="6380" max="6380" width="7" style="3" customWidth="1"/>
    <col min="6381" max="6381" width="18.1796875" style="3" customWidth="1"/>
    <col min="6382" max="6382" width="7" style="3" customWidth="1"/>
    <col min="6383" max="6383" width="15.54296875" style="3" customWidth="1"/>
    <col min="6384" max="6384" width="7.81640625" style="3" customWidth="1"/>
    <col min="6385" max="6385" width="15.54296875" style="3" customWidth="1"/>
    <col min="6386" max="6386" width="7.81640625" style="3" bestFit="1" customWidth="1"/>
    <col min="6387" max="6387" width="15.7265625" style="3" bestFit="1" customWidth="1"/>
    <col min="6388" max="6388" width="7.54296875" style="3" customWidth="1"/>
    <col min="6389" max="6389" width="14" style="3" customWidth="1"/>
    <col min="6390" max="6390" width="7.81640625" style="3" customWidth="1"/>
    <col min="6391" max="6391" width="14" style="3" customWidth="1"/>
    <col min="6392" max="6392" width="7.81640625" style="3" customWidth="1"/>
    <col min="6393" max="6393" width="14" style="3" customWidth="1"/>
    <col min="6394" max="6394" width="9" style="3" customWidth="1"/>
    <col min="6395" max="6395" width="15.1796875" style="3" customWidth="1"/>
    <col min="6396" max="6396" width="13" style="3" bestFit="1" customWidth="1"/>
    <col min="6397" max="6397" width="15.1796875" style="3" bestFit="1" customWidth="1"/>
    <col min="6398" max="6398" width="7.54296875" style="3" customWidth="1"/>
    <col min="6399" max="6399" width="14" style="3" customWidth="1"/>
    <col min="6400" max="6400" width="7.81640625" style="3" customWidth="1"/>
    <col min="6401" max="6401" width="14" style="3" customWidth="1"/>
    <col min="6402" max="6402" width="7.81640625" style="3" customWidth="1"/>
    <col min="6403" max="6403" width="14" style="3" customWidth="1"/>
    <col min="6404" max="6404" width="9" style="3" bestFit="1" customWidth="1"/>
    <col min="6405" max="6405" width="15.1796875" style="3" bestFit="1" customWidth="1"/>
    <col min="6406" max="6406" width="9" style="3" bestFit="1" customWidth="1"/>
    <col min="6407" max="6407" width="15.1796875" style="3" bestFit="1" customWidth="1"/>
    <col min="6408" max="6408" width="6.453125" style="3" customWidth="1"/>
    <col min="6409" max="6409" width="12.7265625" style="3" customWidth="1"/>
    <col min="6410" max="6410" width="6.453125" style="3" customWidth="1"/>
    <col min="6411" max="6411" width="12.7265625" style="3" customWidth="1"/>
    <col min="6412" max="6412" width="6" style="3" customWidth="1"/>
    <col min="6413" max="6413" width="12.7265625" style="3" customWidth="1"/>
    <col min="6414" max="6414" width="9.54296875" style="3" customWidth="1"/>
    <col min="6415" max="6415" width="14" style="3" bestFit="1" customWidth="1"/>
    <col min="6416" max="6416" width="8.7265625" style="3" bestFit="1" customWidth="1"/>
    <col min="6417" max="6417" width="13.54296875" style="3" customWidth="1"/>
    <col min="6418" max="6418" width="6" style="3" customWidth="1"/>
    <col min="6419" max="6419" width="13.7265625" style="3" customWidth="1"/>
    <col min="6420" max="6420" width="6" style="3" customWidth="1"/>
    <col min="6421" max="6421" width="12.7265625" style="3" customWidth="1"/>
    <col min="6422" max="6422" width="6.81640625" style="3" customWidth="1"/>
    <col min="6423" max="6423" width="12.7265625" style="3" customWidth="1"/>
    <col min="6424" max="6424" width="6.81640625" style="3" customWidth="1"/>
    <col min="6425" max="6425" width="15.7265625" style="3" bestFit="1" customWidth="1"/>
    <col min="6426" max="6426" width="8.54296875" style="3" bestFit="1" customWidth="1"/>
    <col min="6427" max="6427" width="13.54296875" style="3" customWidth="1"/>
    <col min="6428" max="6428" width="6" style="3" customWidth="1"/>
    <col min="6429" max="6429" width="13.7265625" style="3" customWidth="1"/>
    <col min="6430" max="6430" width="6" style="3" customWidth="1"/>
    <col min="6431" max="6431" width="12.7265625" style="3" customWidth="1"/>
    <col min="6432" max="6432" width="6.81640625" style="3" customWidth="1"/>
    <col min="6433" max="6433" width="12.7265625" style="3" customWidth="1"/>
    <col min="6434" max="6434" width="6.81640625" style="3" customWidth="1"/>
    <col min="6435" max="6435" width="16.453125" style="3" bestFit="1" customWidth="1"/>
    <col min="6436" max="6436" width="9.54296875" style="3" bestFit="1" customWidth="1"/>
    <col min="6437" max="6437" width="17.453125" style="3" bestFit="1" customWidth="1"/>
    <col min="6438" max="6438" width="6" style="3" customWidth="1"/>
    <col min="6439" max="6439" width="13.7265625" style="3" customWidth="1"/>
    <col min="6440" max="6440" width="6" style="3" customWidth="1"/>
    <col min="6441" max="6441" width="12.7265625" style="3" customWidth="1"/>
    <col min="6442" max="6442" width="6.81640625" style="3" customWidth="1"/>
    <col min="6443" max="6443" width="12.7265625" style="3" customWidth="1"/>
    <col min="6444" max="6444" width="6.81640625" style="3" customWidth="1"/>
    <col min="6445" max="6445" width="15.453125" style="3" bestFit="1" customWidth="1"/>
    <col min="6446" max="6446" width="9.54296875" style="3" bestFit="1" customWidth="1"/>
    <col min="6447" max="6447" width="17.453125" style="3" bestFit="1" customWidth="1"/>
    <col min="6448" max="6448" width="8" style="3" customWidth="1"/>
    <col min="6449" max="6449" width="12.1796875" style="3" customWidth="1"/>
    <col min="6450" max="6450" width="8" style="3" customWidth="1"/>
    <col min="6451" max="6451" width="20" style="3" customWidth="1"/>
    <col min="6452" max="6452" width="15.26953125" style="3" bestFit="1" customWidth="1"/>
    <col min="6453" max="6453" width="14.26953125" style="3" bestFit="1" customWidth="1"/>
    <col min="6454" max="6454" width="13" style="3" bestFit="1" customWidth="1"/>
    <col min="6455" max="6626" width="8.7265625" style="3"/>
    <col min="6627" max="6627" width="2.7265625" style="3" customWidth="1"/>
    <col min="6628" max="6628" width="3.54296875" style="3" customWidth="1"/>
    <col min="6629" max="6629" width="7" style="3" customWidth="1"/>
    <col min="6630" max="6630" width="23" style="3" customWidth="1"/>
    <col min="6631" max="6631" width="13.26953125" style="3" customWidth="1"/>
    <col min="6632" max="6632" width="17.453125" style="3" bestFit="1" customWidth="1"/>
    <col min="6633" max="6633" width="11.54296875" style="3" bestFit="1" customWidth="1"/>
    <col min="6634" max="6634" width="7.81640625" style="3" customWidth="1"/>
    <col min="6635" max="6635" width="11.54296875" style="3" bestFit="1" customWidth="1"/>
    <col min="6636" max="6636" width="7" style="3" customWidth="1"/>
    <col min="6637" max="6637" width="18.1796875" style="3" customWidth="1"/>
    <col min="6638" max="6638" width="7" style="3" customWidth="1"/>
    <col min="6639" max="6639" width="15.54296875" style="3" customWidth="1"/>
    <col min="6640" max="6640" width="7.81640625" style="3" customWidth="1"/>
    <col min="6641" max="6641" width="15.54296875" style="3" customWidth="1"/>
    <col min="6642" max="6642" width="7.81640625" style="3" bestFit="1" customWidth="1"/>
    <col min="6643" max="6643" width="15.7265625" style="3" bestFit="1" customWidth="1"/>
    <col min="6644" max="6644" width="7.54296875" style="3" customWidth="1"/>
    <col min="6645" max="6645" width="14" style="3" customWidth="1"/>
    <col min="6646" max="6646" width="7.81640625" style="3" customWidth="1"/>
    <col min="6647" max="6647" width="14" style="3" customWidth="1"/>
    <col min="6648" max="6648" width="7.81640625" style="3" customWidth="1"/>
    <col min="6649" max="6649" width="14" style="3" customWidth="1"/>
    <col min="6650" max="6650" width="9" style="3" customWidth="1"/>
    <col min="6651" max="6651" width="15.1796875" style="3" customWidth="1"/>
    <col min="6652" max="6652" width="13" style="3" bestFit="1" customWidth="1"/>
    <col min="6653" max="6653" width="15.1796875" style="3" bestFit="1" customWidth="1"/>
    <col min="6654" max="6654" width="7.54296875" style="3" customWidth="1"/>
    <col min="6655" max="6655" width="14" style="3" customWidth="1"/>
    <col min="6656" max="6656" width="7.81640625" style="3" customWidth="1"/>
    <col min="6657" max="6657" width="14" style="3" customWidth="1"/>
    <col min="6658" max="6658" width="7.81640625" style="3" customWidth="1"/>
    <col min="6659" max="6659" width="14" style="3" customWidth="1"/>
    <col min="6660" max="6660" width="9" style="3" bestFit="1" customWidth="1"/>
    <col min="6661" max="6661" width="15.1796875" style="3" bestFit="1" customWidth="1"/>
    <col min="6662" max="6662" width="9" style="3" bestFit="1" customWidth="1"/>
    <col min="6663" max="6663" width="15.1796875" style="3" bestFit="1" customWidth="1"/>
    <col min="6664" max="6664" width="6.453125" style="3" customWidth="1"/>
    <col min="6665" max="6665" width="12.7265625" style="3" customWidth="1"/>
    <col min="6666" max="6666" width="6.453125" style="3" customWidth="1"/>
    <col min="6667" max="6667" width="12.7265625" style="3" customWidth="1"/>
    <col min="6668" max="6668" width="6" style="3" customWidth="1"/>
    <col min="6669" max="6669" width="12.7265625" style="3" customWidth="1"/>
    <col min="6670" max="6670" width="9.54296875" style="3" customWidth="1"/>
    <col min="6671" max="6671" width="14" style="3" bestFit="1" customWidth="1"/>
    <col min="6672" max="6672" width="8.7265625" style="3" bestFit="1" customWidth="1"/>
    <col min="6673" max="6673" width="13.54296875" style="3" customWidth="1"/>
    <col min="6674" max="6674" width="6" style="3" customWidth="1"/>
    <col min="6675" max="6675" width="13.7265625" style="3" customWidth="1"/>
    <col min="6676" max="6676" width="6" style="3" customWidth="1"/>
    <col min="6677" max="6677" width="12.7265625" style="3" customWidth="1"/>
    <col min="6678" max="6678" width="6.81640625" style="3" customWidth="1"/>
    <col min="6679" max="6679" width="12.7265625" style="3" customWidth="1"/>
    <col min="6680" max="6680" width="6.81640625" style="3" customWidth="1"/>
    <col min="6681" max="6681" width="15.7265625" style="3" bestFit="1" customWidth="1"/>
    <col min="6682" max="6682" width="8.54296875" style="3" bestFit="1" customWidth="1"/>
    <col min="6683" max="6683" width="13.54296875" style="3" customWidth="1"/>
    <col min="6684" max="6684" width="6" style="3" customWidth="1"/>
    <col min="6685" max="6685" width="13.7265625" style="3" customWidth="1"/>
    <col min="6686" max="6686" width="6" style="3" customWidth="1"/>
    <col min="6687" max="6687" width="12.7265625" style="3" customWidth="1"/>
    <col min="6688" max="6688" width="6.81640625" style="3" customWidth="1"/>
    <col min="6689" max="6689" width="12.7265625" style="3" customWidth="1"/>
    <col min="6690" max="6690" width="6.81640625" style="3" customWidth="1"/>
    <col min="6691" max="6691" width="16.453125" style="3" bestFit="1" customWidth="1"/>
    <col min="6692" max="6692" width="9.54296875" style="3" bestFit="1" customWidth="1"/>
    <col min="6693" max="6693" width="17.453125" style="3" bestFit="1" customWidth="1"/>
    <col min="6694" max="6694" width="6" style="3" customWidth="1"/>
    <col min="6695" max="6695" width="13.7265625" style="3" customWidth="1"/>
    <col min="6696" max="6696" width="6" style="3" customWidth="1"/>
    <col min="6697" max="6697" width="12.7265625" style="3" customWidth="1"/>
    <col min="6698" max="6698" width="6.81640625" style="3" customWidth="1"/>
    <col min="6699" max="6699" width="12.7265625" style="3" customWidth="1"/>
    <col min="6700" max="6700" width="6.81640625" style="3" customWidth="1"/>
    <col min="6701" max="6701" width="15.453125" style="3" bestFit="1" customWidth="1"/>
    <col min="6702" max="6702" width="9.54296875" style="3" bestFit="1" customWidth="1"/>
    <col min="6703" max="6703" width="17.453125" style="3" bestFit="1" customWidth="1"/>
    <col min="6704" max="6704" width="8" style="3" customWidth="1"/>
    <col min="6705" max="6705" width="12.1796875" style="3" customWidth="1"/>
    <col min="6706" max="6706" width="8" style="3" customWidth="1"/>
    <col min="6707" max="6707" width="20" style="3" customWidth="1"/>
    <col min="6708" max="6708" width="15.26953125" style="3" bestFit="1" customWidth="1"/>
    <col min="6709" max="6709" width="14.26953125" style="3" bestFit="1" customWidth="1"/>
    <col min="6710" max="6710" width="13" style="3" bestFit="1" customWidth="1"/>
    <col min="6711" max="6882" width="8.7265625" style="3"/>
    <col min="6883" max="6883" width="2.7265625" style="3" customWidth="1"/>
    <col min="6884" max="6884" width="3.54296875" style="3" customWidth="1"/>
    <col min="6885" max="6885" width="7" style="3" customWidth="1"/>
    <col min="6886" max="6886" width="23" style="3" customWidth="1"/>
    <col min="6887" max="6887" width="13.26953125" style="3" customWidth="1"/>
    <col min="6888" max="6888" width="17.453125" style="3" bestFit="1" customWidth="1"/>
    <col min="6889" max="6889" width="11.54296875" style="3" bestFit="1" customWidth="1"/>
    <col min="6890" max="6890" width="7.81640625" style="3" customWidth="1"/>
    <col min="6891" max="6891" width="11.54296875" style="3" bestFit="1" customWidth="1"/>
    <col min="6892" max="6892" width="7" style="3" customWidth="1"/>
    <col min="6893" max="6893" width="18.1796875" style="3" customWidth="1"/>
    <col min="6894" max="6894" width="7" style="3" customWidth="1"/>
    <col min="6895" max="6895" width="15.54296875" style="3" customWidth="1"/>
    <col min="6896" max="6896" width="7.81640625" style="3" customWidth="1"/>
    <col min="6897" max="6897" width="15.54296875" style="3" customWidth="1"/>
    <col min="6898" max="6898" width="7.81640625" style="3" bestFit="1" customWidth="1"/>
    <col min="6899" max="6899" width="15.7265625" style="3" bestFit="1" customWidth="1"/>
    <col min="6900" max="6900" width="7.54296875" style="3" customWidth="1"/>
    <col min="6901" max="6901" width="14" style="3" customWidth="1"/>
    <col min="6902" max="6902" width="7.81640625" style="3" customWidth="1"/>
    <col min="6903" max="6903" width="14" style="3" customWidth="1"/>
    <col min="6904" max="6904" width="7.81640625" style="3" customWidth="1"/>
    <col min="6905" max="6905" width="14" style="3" customWidth="1"/>
    <col min="6906" max="6906" width="9" style="3" customWidth="1"/>
    <col min="6907" max="6907" width="15.1796875" style="3" customWidth="1"/>
    <col min="6908" max="6908" width="13" style="3" bestFit="1" customWidth="1"/>
    <col min="6909" max="6909" width="15.1796875" style="3" bestFit="1" customWidth="1"/>
    <col min="6910" max="6910" width="7.54296875" style="3" customWidth="1"/>
    <col min="6911" max="6911" width="14" style="3" customWidth="1"/>
    <col min="6912" max="6912" width="7.81640625" style="3" customWidth="1"/>
    <col min="6913" max="6913" width="14" style="3" customWidth="1"/>
    <col min="6914" max="6914" width="7.81640625" style="3" customWidth="1"/>
    <col min="6915" max="6915" width="14" style="3" customWidth="1"/>
    <col min="6916" max="6916" width="9" style="3" bestFit="1" customWidth="1"/>
    <col min="6917" max="6917" width="15.1796875" style="3" bestFit="1" customWidth="1"/>
    <col min="6918" max="6918" width="9" style="3" bestFit="1" customWidth="1"/>
    <col min="6919" max="6919" width="15.1796875" style="3" bestFit="1" customWidth="1"/>
    <col min="6920" max="6920" width="6.453125" style="3" customWidth="1"/>
    <col min="6921" max="6921" width="12.7265625" style="3" customWidth="1"/>
    <col min="6922" max="6922" width="6.453125" style="3" customWidth="1"/>
    <col min="6923" max="6923" width="12.7265625" style="3" customWidth="1"/>
    <col min="6924" max="6924" width="6" style="3" customWidth="1"/>
    <col min="6925" max="6925" width="12.7265625" style="3" customWidth="1"/>
    <col min="6926" max="6926" width="9.54296875" style="3" customWidth="1"/>
    <col min="6927" max="6927" width="14" style="3" bestFit="1" customWidth="1"/>
    <col min="6928" max="6928" width="8.7265625" style="3" bestFit="1" customWidth="1"/>
    <col min="6929" max="6929" width="13.54296875" style="3" customWidth="1"/>
    <col min="6930" max="6930" width="6" style="3" customWidth="1"/>
    <col min="6931" max="6931" width="13.7265625" style="3" customWidth="1"/>
    <col min="6932" max="6932" width="6" style="3" customWidth="1"/>
    <col min="6933" max="6933" width="12.7265625" style="3" customWidth="1"/>
    <col min="6934" max="6934" width="6.81640625" style="3" customWidth="1"/>
    <col min="6935" max="6935" width="12.7265625" style="3" customWidth="1"/>
    <col min="6936" max="6936" width="6.81640625" style="3" customWidth="1"/>
    <col min="6937" max="6937" width="15.7265625" style="3" bestFit="1" customWidth="1"/>
    <col min="6938" max="6938" width="8.54296875" style="3" bestFit="1" customWidth="1"/>
    <col min="6939" max="6939" width="13.54296875" style="3" customWidth="1"/>
    <col min="6940" max="6940" width="6" style="3" customWidth="1"/>
    <col min="6941" max="6941" width="13.7265625" style="3" customWidth="1"/>
    <col min="6942" max="6942" width="6" style="3" customWidth="1"/>
    <col min="6943" max="6943" width="12.7265625" style="3" customWidth="1"/>
    <col min="6944" max="6944" width="6.81640625" style="3" customWidth="1"/>
    <col min="6945" max="6945" width="12.7265625" style="3" customWidth="1"/>
    <col min="6946" max="6946" width="6.81640625" style="3" customWidth="1"/>
    <col min="6947" max="6947" width="16.453125" style="3" bestFit="1" customWidth="1"/>
    <col min="6948" max="6948" width="9.54296875" style="3" bestFit="1" customWidth="1"/>
    <col min="6949" max="6949" width="17.453125" style="3" bestFit="1" customWidth="1"/>
    <col min="6950" max="6950" width="6" style="3" customWidth="1"/>
    <col min="6951" max="6951" width="13.7265625" style="3" customWidth="1"/>
    <col min="6952" max="6952" width="6" style="3" customWidth="1"/>
    <col min="6953" max="6953" width="12.7265625" style="3" customWidth="1"/>
    <col min="6954" max="6954" width="6.81640625" style="3" customWidth="1"/>
    <col min="6955" max="6955" width="12.7265625" style="3" customWidth="1"/>
    <col min="6956" max="6956" width="6.81640625" style="3" customWidth="1"/>
    <col min="6957" max="6957" width="15.453125" style="3" bestFit="1" customWidth="1"/>
    <col min="6958" max="6958" width="9.54296875" style="3" bestFit="1" customWidth="1"/>
    <col min="6959" max="6959" width="17.453125" style="3" bestFit="1" customWidth="1"/>
    <col min="6960" max="6960" width="8" style="3" customWidth="1"/>
    <col min="6961" max="6961" width="12.1796875" style="3" customWidth="1"/>
    <col min="6962" max="6962" width="8" style="3" customWidth="1"/>
    <col min="6963" max="6963" width="20" style="3" customWidth="1"/>
    <col min="6964" max="6964" width="15.26953125" style="3" bestFit="1" customWidth="1"/>
    <col min="6965" max="6965" width="14.26953125" style="3" bestFit="1" customWidth="1"/>
    <col min="6966" max="6966" width="13" style="3" bestFit="1" customWidth="1"/>
    <col min="6967" max="7138" width="8.7265625" style="3"/>
    <col min="7139" max="7139" width="2.7265625" style="3" customWidth="1"/>
    <col min="7140" max="7140" width="3.54296875" style="3" customWidth="1"/>
    <col min="7141" max="7141" width="7" style="3" customWidth="1"/>
    <col min="7142" max="7142" width="23" style="3" customWidth="1"/>
    <col min="7143" max="7143" width="13.26953125" style="3" customWidth="1"/>
    <col min="7144" max="7144" width="17.453125" style="3" bestFit="1" customWidth="1"/>
    <col min="7145" max="7145" width="11.54296875" style="3" bestFit="1" customWidth="1"/>
    <col min="7146" max="7146" width="7.81640625" style="3" customWidth="1"/>
    <col min="7147" max="7147" width="11.54296875" style="3" bestFit="1" customWidth="1"/>
    <col min="7148" max="7148" width="7" style="3" customWidth="1"/>
    <col min="7149" max="7149" width="18.1796875" style="3" customWidth="1"/>
    <col min="7150" max="7150" width="7" style="3" customWidth="1"/>
    <col min="7151" max="7151" width="15.54296875" style="3" customWidth="1"/>
    <col min="7152" max="7152" width="7.81640625" style="3" customWidth="1"/>
    <col min="7153" max="7153" width="15.54296875" style="3" customWidth="1"/>
    <col min="7154" max="7154" width="7.81640625" style="3" bestFit="1" customWidth="1"/>
    <col min="7155" max="7155" width="15.7265625" style="3" bestFit="1" customWidth="1"/>
    <col min="7156" max="7156" width="7.54296875" style="3" customWidth="1"/>
    <col min="7157" max="7157" width="14" style="3" customWidth="1"/>
    <col min="7158" max="7158" width="7.81640625" style="3" customWidth="1"/>
    <col min="7159" max="7159" width="14" style="3" customWidth="1"/>
    <col min="7160" max="7160" width="7.81640625" style="3" customWidth="1"/>
    <col min="7161" max="7161" width="14" style="3" customWidth="1"/>
    <col min="7162" max="7162" width="9" style="3" customWidth="1"/>
    <col min="7163" max="7163" width="15.1796875" style="3" customWidth="1"/>
    <col min="7164" max="7164" width="13" style="3" bestFit="1" customWidth="1"/>
    <col min="7165" max="7165" width="15.1796875" style="3" bestFit="1" customWidth="1"/>
    <col min="7166" max="7166" width="7.54296875" style="3" customWidth="1"/>
    <col min="7167" max="7167" width="14" style="3" customWidth="1"/>
    <col min="7168" max="7168" width="7.81640625" style="3" customWidth="1"/>
    <col min="7169" max="7169" width="14" style="3" customWidth="1"/>
    <col min="7170" max="7170" width="7.81640625" style="3" customWidth="1"/>
    <col min="7171" max="7171" width="14" style="3" customWidth="1"/>
    <col min="7172" max="7172" width="9" style="3" bestFit="1" customWidth="1"/>
    <col min="7173" max="7173" width="15.1796875" style="3" bestFit="1" customWidth="1"/>
    <col min="7174" max="7174" width="9" style="3" bestFit="1" customWidth="1"/>
    <col min="7175" max="7175" width="15.1796875" style="3" bestFit="1" customWidth="1"/>
    <col min="7176" max="7176" width="6.453125" style="3" customWidth="1"/>
    <col min="7177" max="7177" width="12.7265625" style="3" customWidth="1"/>
    <col min="7178" max="7178" width="6.453125" style="3" customWidth="1"/>
    <col min="7179" max="7179" width="12.7265625" style="3" customWidth="1"/>
    <col min="7180" max="7180" width="6" style="3" customWidth="1"/>
    <col min="7181" max="7181" width="12.7265625" style="3" customWidth="1"/>
    <col min="7182" max="7182" width="9.54296875" style="3" customWidth="1"/>
    <col min="7183" max="7183" width="14" style="3" bestFit="1" customWidth="1"/>
    <col min="7184" max="7184" width="8.7265625" style="3" bestFit="1" customWidth="1"/>
    <col min="7185" max="7185" width="13.54296875" style="3" customWidth="1"/>
    <col min="7186" max="7186" width="6" style="3" customWidth="1"/>
    <col min="7187" max="7187" width="13.7265625" style="3" customWidth="1"/>
    <col min="7188" max="7188" width="6" style="3" customWidth="1"/>
    <col min="7189" max="7189" width="12.7265625" style="3" customWidth="1"/>
    <col min="7190" max="7190" width="6.81640625" style="3" customWidth="1"/>
    <col min="7191" max="7191" width="12.7265625" style="3" customWidth="1"/>
    <col min="7192" max="7192" width="6.81640625" style="3" customWidth="1"/>
    <col min="7193" max="7193" width="15.7265625" style="3" bestFit="1" customWidth="1"/>
    <col min="7194" max="7194" width="8.54296875" style="3" bestFit="1" customWidth="1"/>
    <col min="7195" max="7195" width="13.54296875" style="3" customWidth="1"/>
    <col min="7196" max="7196" width="6" style="3" customWidth="1"/>
    <col min="7197" max="7197" width="13.7265625" style="3" customWidth="1"/>
    <col min="7198" max="7198" width="6" style="3" customWidth="1"/>
    <col min="7199" max="7199" width="12.7265625" style="3" customWidth="1"/>
    <col min="7200" max="7200" width="6.81640625" style="3" customWidth="1"/>
    <col min="7201" max="7201" width="12.7265625" style="3" customWidth="1"/>
    <col min="7202" max="7202" width="6.81640625" style="3" customWidth="1"/>
    <col min="7203" max="7203" width="16.453125" style="3" bestFit="1" customWidth="1"/>
    <col min="7204" max="7204" width="9.54296875" style="3" bestFit="1" customWidth="1"/>
    <col min="7205" max="7205" width="17.453125" style="3" bestFit="1" customWidth="1"/>
    <col min="7206" max="7206" width="6" style="3" customWidth="1"/>
    <col min="7207" max="7207" width="13.7265625" style="3" customWidth="1"/>
    <col min="7208" max="7208" width="6" style="3" customWidth="1"/>
    <col min="7209" max="7209" width="12.7265625" style="3" customWidth="1"/>
    <col min="7210" max="7210" width="6.81640625" style="3" customWidth="1"/>
    <col min="7211" max="7211" width="12.7265625" style="3" customWidth="1"/>
    <col min="7212" max="7212" width="6.81640625" style="3" customWidth="1"/>
    <col min="7213" max="7213" width="15.453125" style="3" bestFit="1" customWidth="1"/>
    <col min="7214" max="7214" width="9.54296875" style="3" bestFit="1" customWidth="1"/>
    <col min="7215" max="7215" width="17.453125" style="3" bestFit="1" customWidth="1"/>
    <col min="7216" max="7216" width="8" style="3" customWidth="1"/>
    <col min="7217" max="7217" width="12.1796875" style="3" customWidth="1"/>
    <col min="7218" max="7218" width="8" style="3" customWidth="1"/>
    <col min="7219" max="7219" width="20" style="3" customWidth="1"/>
    <col min="7220" max="7220" width="15.26953125" style="3" bestFit="1" customWidth="1"/>
    <col min="7221" max="7221" width="14.26953125" style="3" bestFit="1" customWidth="1"/>
    <col min="7222" max="7222" width="13" style="3" bestFit="1" customWidth="1"/>
    <col min="7223" max="7394" width="8.7265625" style="3"/>
    <col min="7395" max="7395" width="2.7265625" style="3" customWidth="1"/>
    <col min="7396" max="7396" width="3.54296875" style="3" customWidth="1"/>
    <col min="7397" max="7397" width="7" style="3" customWidth="1"/>
    <col min="7398" max="7398" width="23" style="3" customWidth="1"/>
    <col min="7399" max="7399" width="13.26953125" style="3" customWidth="1"/>
    <col min="7400" max="7400" width="17.453125" style="3" bestFit="1" customWidth="1"/>
    <col min="7401" max="7401" width="11.54296875" style="3" bestFit="1" customWidth="1"/>
    <col min="7402" max="7402" width="7.81640625" style="3" customWidth="1"/>
    <col min="7403" max="7403" width="11.54296875" style="3" bestFit="1" customWidth="1"/>
    <col min="7404" max="7404" width="7" style="3" customWidth="1"/>
    <col min="7405" max="7405" width="18.1796875" style="3" customWidth="1"/>
    <col min="7406" max="7406" width="7" style="3" customWidth="1"/>
    <col min="7407" max="7407" width="15.54296875" style="3" customWidth="1"/>
    <col min="7408" max="7408" width="7.81640625" style="3" customWidth="1"/>
    <col min="7409" max="7409" width="15.54296875" style="3" customWidth="1"/>
    <col min="7410" max="7410" width="7.81640625" style="3" bestFit="1" customWidth="1"/>
    <col min="7411" max="7411" width="15.7265625" style="3" bestFit="1" customWidth="1"/>
    <col min="7412" max="7412" width="7.54296875" style="3" customWidth="1"/>
    <col min="7413" max="7413" width="14" style="3" customWidth="1"/>
    <col min="7414" max="7414" width="7.81640625" style="3" customWidth="1"/>
    <col min="7415" max="7415" width="14" style="3" customWidth="1"/>
    <col min="7416" max="7416" width="7.81640625" style="3" customWidth="1"/>
    <col min="7417" max="7417" width="14" style="3" customWidth="1"/>
    <col min="7418" max="7418" width="9" style="3" customWidth="1"/>
    <col min="7419" max="7419" width="15.1796875" style="3" customWidth="1"/>
    <col min="7420" max="7420" width="13" style="3" bestFit="1" customWidth="1"/>
    <col min="7421" max="7421" width="15.1796875" style="3" bestFit="1" customWidth="1"/>
    <col min="7422" max="7422" width="7.54296875" style="3" customWidth="1"/>
    <col min="7423" max="7423" width="14" style="3" customWidth="1"/>
    <col min="7424" max="7424" width="7.81640625" style="3" customWidth="1"/>
    <col min="7425" max="7425" width="14" style="3" customWidth="1"/>
    <col min="7426" max="7426" width="7.81640625" style="3" customWidth="1"/>
    <col min="7427" max="7427" width="14" style="3" customWidth="1"/>
    <col min="7428" max="7428" width="9" style="3" bestFit="1" customWidth="1"/>
    <col min="7429" max="7429" width="15.1796875" style="3" bestFit="1" customWidth="1"/>
    <col min="7430" max="7430" width="9" style="3" bestFit="1" customWidth="1"/>
    <col min="7431" max="7431" width="15.1796875" style="3" bestFit="1" customWidth="1"/>
    <col min="7432" max="7432" width="6.453125" style="3" customWidth="1"/>
    <col min="7433" max="7433" width="12.7265625" style="3" customWidth="1"/>
    <col min="7434" max="7434" width="6.453125" style="3" customWidth="1"/>
    <col min="7435" max="7435" width="12.7265625" style="3" customWidth="1"/>
    <col min="7436" max="7436" width="6" style="3" customWidth="1"/>
    <col min="7437" max="7437" width="12.7265625" style="3" customWidth="1"/>
    <col min="7438" max="7438" width="9.54296875" style="3" customWidth="1"/>
    <col min="7439" max="7439" width="14" style="3" bestFit="1" customWidth="1"/>
    <col min="7440" max="7440" width="8.7265625" style="3" bestFit="1" customWidth="1"/>
    <col min="7441" max="7441" width="13.54296875" style="3" customWidth="1"/>
    <col min="7442" max="7442" width="6" style="3" customWidth="1"/>
    <col min="7443" max="7443" width="13.7265625" style="3" customWidth="1"/>
    <col min="7444" max="7444" width="6" style="3" customWidth="1"/>
    <col min="7445" max="7445" width="12.7265625" style="3" customWidth="1"/>
    <col min="7446" max="7446" width="6.81640625" style="3" customWidth="1"/>
    <col min="7447" max="7447" width="12.7265625" style="3" customWidth="1"/>
    <col min="7448" max="7448" width="6.81640625" style="3" customWidth="1"/>
    <col min="7449" max="7449" width="15.7265625" style="3" bestFit="1" customWidth="1"/>
    <col min="7450" max="7450" width="8.54296875" style="3" bestFit="1" customWidth="1"/>
    <col min="7451" max="7451" width="13.54296875" style="3" customWidth="1"/>
    <col min="7452" max="7452" width="6" style="3" customWidth="1"/>
    <col min="7453" max="7453" width="13.7265625" style="3" customWidth="1"/>
    <col min="7454" max="7454" width="6" style="3" customWidth="1"/>
    <col min="7455" max="7455" width="12.7265625" style="3" customWidth="1"/>
    <col min="7456" max="7456" width="6.81640625" style="3" customWidth="1"/>
    <col min="7457" max="7457" width="12.7265625" style="3" customWidth="1"/>
    <col min="7458" max="7458" width="6.81640625" style="3" customWidth="1"/>
    <col min="7459" max="7459" width="16.453125" style="3" bestFit="1" customWidth="1"/>
    <col min="7460" max="7460" width="9.54296875" style="3" bestFit="1" customWidth="1"/>
    <col min="7461" max="7461" width="17.453125" style="3" bestFit="1" customWidth="1"/>
    <col min="7462" max="7462" width="6" style="3" customWidth="1"/>
    <col min="7463" max="7463" width="13.7265625" style="3" customWidth="1"/>
    <col min="7464" max="7464" width="6" style="3" customWidth="1"/>
    <col min="7465" max="7465" width="12.7265625" style="3" customWidth="1"/>
    <col min="7466" max="7466" width="6.81640625" style="3" customWidth="1"/>
    <col min="7467" max="7467" width="12.7265625" style="3" customWidth="1"/>
    <col min="7468" max="7468" width="6.81640625" style="3" customWidth="1"/>
    <col min="7469" max="7469" width="15.453125" style="3" bestFit="1" customWidth="1"/>
    <col min="7470" max="7470" width="9.54296875" style="3" bestFit="1" customWidth="1"/>
    <col min="7471" max="7471" width="17.453125" style="3" bestFit="1" customWidth="1"/>
    <col min="7472" max="7472" width="8" style="3" customWidth="1"/>
    <col min="7473" max="7473" width="12.1796875" style="3" customWidth="1"/>
    <col min="7474" max="7474" width="8" style="3" customWidth="1"/>
    <col min="7475" max="7475" width="20" style="3" customWidth="1"/>
    <col min="7476" max="7476" width="15.26953125" style="3" bestFit="1" customWidth="1"/>
    <col min="7477" max="7477" width="14.26953125" style="3" bestFit="1" customWidth="1"/>
    <col min="7478" max="7478" width="13" style="3" bestFit="1" customWidth="1"/>
    <col min="7479" max="7650" width="8.7265625" style="3"/>
    <col min="7651" max="7651" width="2.7265625" style="3" customWidth="1"/>
    <col min="7652" max="7652" width="3.54296875" style="3" customWidth="1"/>
    <col min="7653" max="7653" width="7" style="3" customWidth="1"/>
    <col min="7654" max="7654" width="23" style="3" customWidth="1"/>
    <col min="7655" max="7655" width="13.26953125" style="3" customWidth="1"/>
    <col min="7656" max="7656" width="17.453125" style="3" bestFit="1" customWidth="1"/>
    <col min="7657" max="7657" width="11.54296875" style="3" bestFit="1" customWidth="1"/>
    <col min="7658" max="7658" width="7.81640625" style="3" customWidth="1"/>
    <col min="7659" max="7659" width="11.54296875" style="3" bestFit="1" customWidth="1"/>
    <col min="7660" max="7660" width="7" style="3" customWidth="1"/>
    <col min="7661" max="7661" width="18.1796875" style="3" customWidth="1"/>
    <col min="7662" max="7662" width="7" style="3" customWidth="1"/>
    <col min="7663" max="7663" width="15.54296875" style="3" customWidth="1"/>
    <col min="7664" max="7664" width="7.81640625" style="3" customWidth="1"/>
    <col min="7665" max="7665" width="15.54296875" style="3" customWidth="1"/>
    <col min="7666" max="7666" width="7.81640625" style="3" bestFit="1" customWidth="1"/>
    <col min="7667" max="7667" width="15.7265625" style="3" bestFit="1" customWidth="1"/>
    <col min="7668" max="7668" width="7.54296875" style="3" customWidth="1"/>
    <col min="7669" max="7669" width="14" style="3" customWidth="1"/>
    <col min="7670" max="7670" width="7.81640625" style="3" customWidth="1"/>
    <col min="7671" max="7671" width="14" style="3" customWidth="1"/>
    <col min="7672" max="7672" width="7.81640625" style="3" customWidth="1"/>
    <col min="7673" max="7673" width="14" style="3" customWidth="1"/>
    <col min="7674" max="7674" width="9" style="3" customWidth="1"/>
    <col min="7675" max="7675" width="15.1796875" style="3" customWidth="1"/>
    <col min="7676" max="7676" width="13" style="3" bestFit="1" customWidth="1"/>
    <col min="7677" max="7677" width="15.1796875" style="3" bestFit="1" customWidth="1"/>
    <col min="7678" max="7678" width="7.54296875" style="3" customWidth="1"/>
    <col min="7679" max="7679" width="14" style="3" customWidth="1"/>
    <col min="7680" max="7680" width="7.81640625" style="3" customWidth="1"/>
    <col min="7681" max="7681" width="14" style="3" customWidth="1"/>
    <col min="7682" max="7682" width="7.81640625" style="3" customWidth="1"/>
    <col min="7683" max="7683" width="14" style="3" customWidth="1"/>
    <col min="7684" max="7684" width="9" style="3" bestFit="1" customWidth="1"/>
    <col min="7685" max="7685" width="15.1796875" style="3" bestFit="1" customWidth="1"/>
    <col min="7686" max="7686" width="9" style="3" bestFit="1" customWidth="1"/>
    <col min="7687" max="7687" width="15.1796875" style="3" bestFit="1" customWidth="1"/>
    <col min="7688" max="7688" width="6.453125" style="3" customWidth="1"/>
    <col min="7689" max="7689" width="12.7265625" style="3" customWidth="1"/>
    <col min="7690" max="7690" width="6.453125" style="3" customWidth="1"/>
    <col min="7691" max="7691" width="12.7265625" style="3" customWidth="1"/>
    <col min="7692" max="7692" width="6" style="3" customWidth="1"/>
    <col min="7693" max="7693" width="12.7265625" style="3" customWidth="1"/>
    <col min="7694" max="7694" width="9.54296875" style="3" customWidth="1"/>
    <col min="7695" max="7695" width="14" style="3" bestFit="1" customWidth="1"/>
    <col min="7696" max="7696" width="8.7265625" style="3" bestFit="1" customWidth="1"/>
    <col min="7697" max="7697" width="13.54296875" style="3" customWidth="1"/>
    <col min="7698" max="7698" width="6" style="3" customWidth="1"/>
    <col min="7699" max="7699" width="13.7265625" style="3" customWidth="1"/>
    <col min="7700" max="7700" width="6" style="3" customWidth="1"/>
    <col min="7701" max="7701" width="12.7265625" style="3" customWidth="1"/>
    <col min="7702" max="7702" width="6.81640625" style="3" customWidth="1"/>
    <col min="7703" max="7703" width="12.7265625" style="3" customWidth="1"/>
    <col min="7704" max="7704" width="6.81640625" style="3" customWidth="1"/>
    <col min="7705" max="7705" width="15.7265625" style="3" bestFit="1" customWidth="1"/>
    <col min="7706" max="7706" width="8.54296875" style="3" bestFit="1" customWidth="1"/>
    <col min="7707" max="7707" width="13.54296875" style="3" customWidth="1"/>
    <col min="7708" max="7708" width="6" style="3" customWidth="1"/>
    <col min="7709" max="7709" width="13.7265625" style="3" customWidth="1"/>
    <col min="7710" max="7710" width="6" style="3" customWidth="1"/>
    <col min="7711" max="7711" width="12.7265625" style="3" customWidth="1"/>
    <col min="7712" max="7712" width="6.81640625" style="3" customWidth="1"/>
    <col min="7713" max="7713" width="12.7265625" style="3" customWidth="1"/>
    <col min="7714" max="7714" width="6.81640625" style="3" customWidth="1"/>
    <col min="7715" max="7715" width="16.453125" style="3" bestFit="1" customWidth="1"/>
    <col min="7716" max="7716" width="9.54296875" style="3" bestFit="1" customWidth="1"/>
    <col min="7717" max="7717" width="17.453125" style="3" bestFit="1" customWidth="1"/>
    <col min="7718" max="7718" width="6" style="3" customWidth="1"/>
    <col min="7719" max="7719" width="13.7265625" style="3" customWidth="1"/>
    <col min="7720" max="7720" width="6" style="3" customWidth="1"/>
    <col min="7721" max="7721" width="12.7265625" style="3" customWidth="1"/>
    <col min="7722" max="7722" width="6.81640625" style="3" customWidth="1"/>
    <col min="7723" max="7723" width="12.7265625" style="3" customWidth="1"/>
    <col min="7724" max="7724" width="6.81640625" style="3" customWidth="1"/>
    <col min="7725" max="7725" width="15.453125" style="3" bestFit="1" customWidth="1"/>
    <col min="7726" max="7726" width="9.54296875" style="3" bestFit="1" customWidth="1"/>
    <col min="7727" max="7727" width="17.453125" style="3" bestFit="1" customWidth="1"/>
    <col min="7728" max="7728" width="8" style="3" customWidth="1"/>
    <col min="7729" max="7729" width="12.1796875" style="3" customWidth="1"/>
    <col min="7730" max="7730" width="8" style="3" customWidth="1"/>
    <col min="7731" max="7731" width="20" style="3" customWidth="1"/>
    <col min="7732" max="7732" width="15.26953125" style="3" bestFit="1" customWidth="1"/>
    <col min="7733" max="7733" width="14.26953125" style="3" bestFit="1" customWidth="1"/>
    <col min="7734" max="7734" width="13" style="3" bestFit="1" customWidth="1"/>
    <col min="7735" max="7906" width="8.7265625" style="3"/>
    <col min="7907" max="7907" width="2.7265625" style="3" customWidth="1"/>
    <col min="7908" max="7908" width="3.54296875" style="3" customWidth="1"/>
    <col min="7909" max="7909" width="7" style="3" customWidth="1"/>
    <col min="7910" max="7910" width="23" style="3" customWidth="1"/>
    <col min="7911" max="7911" width="13.26953125" style="3" customWidth="1"/>
    <col min="7912" max="7912" width="17.453125" style="3" bestFit="1" customWidth="1"/>
    <col min="7913" max="7913" width="11.54296875" style="3" bestFit="1" customWidth="1"/>
    <col min="7914" max="7914" width="7.81640625" style="3" customWidth="1"/>
    <col min="7915" max="7915" width="11.54296875" style="3" bestFit="1" customWidth="1"/>
    <col min="7916" max="7916" width="7" style="3" customWidth="1"/>
    <col min="7917" max="7917" width="18.1796875" style="3" customWidth="1"/>
    <col min="7918" max="7918" width="7" style="3" customWidth="1"/>
    <col min="7919" max="7919" width="15.54296875" style="3" customWidth="1"/>
    <col min="7920" max="7920" width="7.81640625" style="3" customWidth="1"/>
    <col min="7921" max="7921" width="15.54296875" style="3" customWidth="1"/>
    <col min="7922" max="7922" width="7.81640625" style="3" bestFit="1" customWidth="1"/>
    <col min="7923" max="7923" width="15.7265625" style="3" bestFit="1" customWidth="1"/>
    <col min="7924" max="7924" width="7.54296875" style="3" customWidth="1"/>
    <col min="7925" max="7925" width="14" style="3" customWidth="1"/>
    <col min="7926" max="7926" width="7.81640625" style="3" customWidth="1"/>
    <col min="7927" max="7927" width="14" style="3" customWidth="1"/>
    <col min="7928" max="7928" width="7.81640625" style="3" customWidth="1"/>
    <col min="7929" max="7929" width="14" style="3" customWidth="1"/>
    <col min="7930" max="7930" width="9" style="3" customWidth="1"/>
    <col min="7931" max="7931" width="15.1796875" style="3" customWidth="1"/>
    <col min="7932" max="7932" width="13" style="3" bestFit="1" customWidth="1"/>
    <col min="7933" max="7933" width="15.1796875" style="3" bestFit="1" customWidth="1"/>
    <col min="7934" max="7934" width="7.54296875" style="3" customWidth="1"/>
    <col min="7935" max="7935" width="14" style="3" customWidth="1"/>
    <col min="7936" max="7936" width="7.81640625" style="3" customWidth="1"/>
    <col min="7937" max="7937" width="14" style="3" customWidth="1"/>
    <col min="7938" max="7938" width="7.81640625" style="3" customWidth="1"/>
    <col min="7939" max="7939" width="14" style="3" customWidth="1"/>
    <col min="7940" max="7940" width="9" style="3" bestFit="1" customWidth="1"/>
    <col min="7941" max="7941" width="15.1796875" style="3" bestFit="1" customWidth="1"/>
    <col min="7942" max="7942" width="9" style="3" bestFit="1" customWidth="1"/>
    <col min="7943" max="7943" width="15.1796875" style="3" bestFit="1" customWidth="1"/>
    <col min="7944" max="7944" width="6.453125" style="3" customWidth="1"/>
    <col min="7945" max="7945" width="12.7265625" style="3" customWidth="1"/>
    <col min="7946" max="7946" width="6.453125" style="3" customWidth="1"/>
    <col min="7947" max="7947" width="12.7265625" style="3" customWidth="1"/>
    <col min="7948" max="7948" width="6" style="3" customWidth="1"/>
    <col min="7949" max="7949" width="12.7265625" style="3" customWidth="1"/>
    <col min="7950" max="7950" width="9.54296875" style="3" customWidth="1"/>
    <col min="7951" max="7951" width="14" style="3" bestFit="1" customWidth="1"/>
    <col min="7952" max="7952" width="8.7265625" style="3" bestFit="1" customWidth="1"/>
    <col min="7953" max="7953" width="13.54296875" style="3" customWidth="1"/>
    <col min="7954" max="7954" width="6" style="3" customWidth="1"/>
    <col min="7955" max="7955" width="13.7265625" style="3" customWidth="1"/>
    <col min="7956" max="7956" width="6" style="3" customWidth="1"/>
    <col min="7957" max="7957" width="12.7265625" style="3" customWidth="1"/>
    <col min="7958" max="7958" width="6.81640625" style="3" customWidth="1"/>
    <col min="7959" max="7959" width="12.7265625" style="3" customWidth="1"/>
    <col min="7960" max="7960" width="6.81640625" style="3" customWidth="1"/>
    <col min="7961" max="7961" width="15.7265625" style="3" bestFit="1" customWidth="1"/>
    <col min="7962" max="7962" width="8.54296875" style="3" bestFit="1" customWidth="1"/>
    <col min="7963" max="7963" width="13.54296875" style="3" customWidth="1"/>
    <col min="7964" max="7964" width="6" style="3" customWidth="1"/>
    <col min="7965" max="7965" width="13.7265625" style="3" customWidth="1"/>
    <col min="7966" max="7966" width="6" style="3" customWidth="1"/>
    <col min="7967" max="7967" width="12.7265625" style="3" customWidth="1"/>
    <col min="7968" max="7968" width="6.81640625" style="3" customWidth="1"/>
    <col min="7969" max="7969" width="12.7265625" style="3" customWidth="1"/>
    <col min="7970" max="7970" width="6.81640625" style="3" customWidth="1"/>
    <col min="7971" max="7971" width="16.453125" style="3" bestFit="1" customWidth="1"/>
    <col min="7972" max="7972" width="9.54296875" style="3" bestFit="1" customWidth="1"/>
    <col min="7973" max="7973" width="17.453125" style="3" bestFit="1" customWidth="1"/>
    <col min="7974" max="7974" width="6" style="3" customWidth="1"/>
    <col min="7975" max="7975" width="13.7265625" style="3" customWidth="1"/>
    <col min="7976" max="7976" width="6" style="3" customWidth="1"/>
    <col min="7977" max="7977" width="12.7265625" style="3" customWidth="1"/>
    <col min="7978" max="7978" width="6.81640625" style="3" customWidth="1"/>
    <col min="7979" max="7979" width="12.7265625" style="3" customWidth="1"/>
    <col min="7980" max="7980" width="6.81640625" style="3" customWidth="1"/>
    <col min="7981" max="7981" width="15.453125" style="3" bestFit="1" customWidth="1"/>
    <col min="7982" max="7982" width="9.54296875" style="3" bestFit="1" customWidth="1"/>
    <col min="7983" max="7983" width="17.453125" style="3" bestFit="1" customWidth="1"/>
    <col min="7984" max="7984" width="8" style="3" customWidth="1"/>
    <col min="7985" max="7985" width="12.1796875" style="3" customWidth="1"/>
    <col min="7986" max="7986" width="8" style="3" customWidth="1"/>
    <col min="7987" max="7987" width="20" style="3" customWidth="1"/>
    <col min="7988" max="7988" width="15.26953125" style="3" bestFit="1" customWidth="1"/>
    <col min="7989" max="7989" width="14.26953125" style="3" bestFit="1" customWidth="1"/>
    <col min="7990" max="7990" width="13" style="3" bestFit="1" customWidth="1"/>
    <col min="7991" max="8162" width="8.7265625" style="3"/>
    <col min="8163" max="8163" width="2.7265625" style="3" customWidth="1"/>
    <col min="8164" max="8164" width="3.54296875" style="3" customWidth="1"/>
    <col min="8165" max="8165" width="7" style="3" customWidth="1"/>
    <col min="8166" max="8166" width="23" style="3" customWidth="1"/>
    <col min="8167" max="8167" width="13.26953125" style="3" customWidth="1"/>
    <col min="8168" max="8168" width="17.453125" style="3" bestFit="1" customWidth="1"/>
    <col min="8169" max="8169" width="11.54296875" style="3" bestFit="1" customWidth="1"/>
    <col min="8170" max="8170" width="7.81640625" style="3" customWidth="1"/>
    <col min="8171" max="8171" width="11.54296875" style="3" bestFit="1" customWidth="1"/>
    <col min="8172" max="8172" width="7" style="3" customWidth="1"/>
    <col min="8173" max="8173" width="18.1796875" style="3" customWidth="1"/>
    <col min="8174" max="8174" width="7" style="3" customWidth="1"/>
    <col min="8175" max="8175" width="15.54296875" style="3" customWidth="1"/>
    <col min="8176" max="8176" width="7.81640625" style="3" customWidth="1"/>
    <col min="8177" max="8177" width="15.54296875" style="3" customWidth="1"/>
    <col min="8178" max="8178" width="7.81640625" style="3" bestFit="1" customWidth="1"/>
    <col min="8179" max="8179" width="15.7265625" style="3" bestFit="1" customWidth="1"/>
    <col min="8180" max="8180" width="7.54296875" style="3" customWidth="1"/>
    <col min="8181" max="8181" width="14" style="3" customWidth="1"/>
    <col min="8182" max="8182" width="7.81640625" style="3" customWidth="1"/>
    <col min="8183" max="8183" width="14" style="3" customWidth="1"/>
    <col min="8184" max="8184" width="7.81640625" style="3" customWidth="1"/>
    <col min="8185" max="8185" width="14" style="3" customWidth="1"/>
    <col min="8186" max="8186" width="9" style="3" customWidth="1"/>
    <col min="8187" max="8187" width="15.1796875" style="3" customWidth="1"/>
    <col min="8188" max="8188" width="13" style="3" bestFit="1" customWidth="1"/>
    <col min="8189" max="8189" width="15.1796875" style="3" bestFit="1" customWidth="1"/>
    <col min="8190" max="8190" width="7.54296875" style="3" customWidth="1"/>
    <col min="8191" max="8191" width="14" style="3" customWidth="1"/>
    <col min="8192" max="8192" width="7.81640625" style="3" customWidth="1"/>
    <col min="8193" max="8193" width="14" style="3" customWidth="1"/>
    <col min="8194" max="8194" width="7.81640625" style="3" customWidth="1"/>
    <col min="8195" max="8195" width="14" style="3" customWidth="1"/>
    <col min="8196" max="8196" width="9" style="3" bestFit="1" customWidth="1"/>
    <col min="8197" max="8197" width="15.1796875" style="3" bestFit="1" customWidth="1"/>
    <col min="8198" max="8198" width="9" style="3" bestFit="1" customWidth="1"/>
    <col min="8199" max="8199" width="15.1796875" style="3" bestFit="1" customWidth="1"/>
    <col min="8200" max="8200" width="6.453125" style="3" customWidth="1"/>
    <col min="8201" max="8201" width="12.7265625" style="3" customWidth="1"/>
    <col min="8202" max="8202" width="6.453125" style="3" customWidth="1"/>
    <col min="8203" max="8203" width="12.7265625" style="3" customWidth="1"/>
    <col min="8204" max="8204" width="6" style="3" customWidth="1"/>
    <col min="8205" max="8205" width="12.7265625" style="3" customWidth="1"/>
    <col min="8206" max="8206" width="9.54296875" style="3" customWidth="1"/>
    <col min="8207" max="8207" width="14" style="3" bestFit="1" customWidth="1"/>
    <col min="8208" max="8208" width="8.7265625" style="3" bestFit="1" customWidth="1"/>
    <col min="8209" max="8209" width="13.54296875" style="3" customWidth="1"/>
    <col min="8210" max="8210" width="6" style="3" customWidth="1"/>
    <col min="8211" max="8211" width="13.7265625" style="3" customWidth="1"/>
    <col min="8212" max="8212" width="6" style="3" customWidth="1"/>
    <col min="8213" max="8213" width="12.7265625" style="3" customWidth="1"/>
    <col min="8214" max="8214" width="6.81640625" style="3" customWidth="1"/>
    <col min="8215" max="8215" width="12.7265625" style="3" customWidth="1"/>
    <col min="8216" max="8216" width="6.81640625" style="3" customWidth="1"/>
    <col min="8217" max="8217" width="15.7265625" style="3" bestFit="1" customWidth="1"/>
    <col min="8218" max="8218" width="8.54296875" style="3" bestFit="1" customWidth="1"/>
    <col min="8219" max="8219" width="13.54296875" style="3" customWidth="1"/>
    <col min="8220" max="8220" width="6" style="3" customWidth="1"/>
    <col min="8221" max="8221" width="13.7265625" style="3" customWidth="1"/>
    <col min="8222" max="8222" width="6" style="3" customWidth="1"/>
    <col min="8223" max="8223" width="12.7265625" style="3" customWidth="1"/>
    <col min="8224" max="8224" width="6.81640625" style="3" customWidth="1"/>
    <col min="8225" max="8225" width="12.7265625" style="3" customWidth="1"/>
    <col min="8226" max="8226" width="6.81640625" style="3" customWidth="1"/>
    <col min="8227" max="8227" width="16.453125" style="3" bestFit="1" customWidth="1"/>
    <col min="8228" max="8228" width="9.54296875" style="3" bestFit="1" customWidth="1"/>
    <col min="8229" max="8229" width="17.453125" style="3" bestFit="1" customWidth="1"/>
    <col min="8230" max="8230" width="6" style="3" customWidth="1"/>
    <col min="8231" max="8231" width="13.7265625" style="3" customWidth="1"/>
    <col min="8232" max="8232" width="6" style="3" customWidth="1"/>
    <col min="8233" max="8233" width="12.7265625" style="3" customWidth="1"/>
    <col min="8234" max="8234" width="6.81640625" style="3" customWidth="1"/>
    <col min="8235" max="8235" width="12.7265625" style="3" customWidth="1"/>
    <col min="8236" max="8236" width="6.81640625" style="3" customWidth="1"/>
    <col min="8237" max="8237" width="15.453125" style="3" bestFit="1" customWidth="1"/>
    <col min="8238" max="8238" width="9.54296875" style="3" bestFit="1" customWidth="1"/>
    <col min="8239" max="8239" width="17.453125" style="3" bestFit="1" customWidth="1"/>
    <col min="8240" max="8240" width="8" style="3" customWidth="1"/>
    <col min="8241" max="8241" width="12.1796875" style="3" customWidth="1"/>
    <col min="8242" max="8242" width="8" style="3" customWidth="1"/>
    <col min="8243" max="8243" width="20" style="3" customWidth="1"/>
    <col min="8244" max="8244" width="15.26953125" style="3" bestFit="1" customWidth="1"/>
    <col min="8245" max="8245" width="14.26953125" style="3" bestFit="1" customWidth="1"/>
    <col min="8246" max="8246" width="13" style="3" bestFit="1" customWidth="1"/>
    <col min="8247" max="8418" width="8.7265625" style="3"/>
    <col min="8419" max="8419" width="2.7265625" style="3" customWidth="1"/>
    <col min="8420" max="8420" width="3.54296875" style="3" customWidth="1"/>
    <col min="8421" max="8421" width="7" style="3" customWidth="1"/>
    <col min="8422" max="8422" width="23" style="3" customWidth="1"/>
    <col min="8423" max="8423" width="13.26953125" style="3" customWidth="1"/>
    <col min="8424" max="8424" width="17.453125" style="3" bestFit="1" customWidth="1"/>
    <col min="8425" max="8425" width="11.54296875" style="3" bestFit="1" customWidth="1"/>
    <col min="8426" max="8426" width="7.81640625" style="3" customWidth="1"/>
    <col min="8427" max="8427" width="11.54296875" style="3" bestFit="1" customWidth="1"/>
    <col min="8428" max="8428" width="7" style="3" customWidth="1"/>
    <col min="8429" max="8429" width="18.1796875" style="3" customWidth="1"/>
    <col min="8430" max="8430" width="7" style="3" customWidth="1"/>
    <col min="8431" max="8431" width="15.54296875" style="3" customWidth="1"/>
    <col min="8432" max="8432" width="7.81640625" style="3" customWidth="1"/>
    <col min="8433" max="8433" width="15.54296875" style="3" customWidth="1"/>
    <col min="8434" max="8434" width="7.81640625" style="3" bestFit="1" customWidth="1"/>
    <col min="8435" max="8435" width="15.7265625" style="3" bestFit="1" customWidth="1"/>
    <col min="8436" max="8436" width="7.54296875" style="3" customWidth="1"/>
    <col min="8437" max="8437" width="14" style="3" customWidth="1"/>
    <col min="8438" max="8438" width="7.81640625" style="3" customWidth="1"/>
    <col min="8439" max="8439" width="14" style="3" customWidth="1"/>
    <col min="8440" max="8440" width="7.81640625" style="3" customWidth="1"/>
    <col min="8441" max="8441" width="14" style="3" customWidth="1"/>
    <col min="8442" max="8442" width="9" style="3" customWidth="1"/>
    <col min="8443" max="8443" width="15.1796875" style="3" customWidth="1"/>
    <col min="8444" max="8444" width="13" style="3" bestFit="1" customWidth="1"/>
    <col min="8445" max="8445" width="15.1796875" style="3" bestFit="1" customWidth="1"/>
    <col min="8446" max="8446" width="7.54296875" style="3" customWidth="1"/>
    <col min="8447" max="8447" width="14" style="3" customWidth="1"/>
    <col min="8448" max="8448" width="7.81640625" style="3" customWidth="1"/>
    <col min="8449" max="8449" width="14" style="3" customWidth="1"/>
    <col min="8450" max="8450" width="7.81640625" style="3" customWidth="1"/>
    <col min="8451" max="8451" width="14" style="3" customWidth="1"/>
    <col min="8452" max="8452" width="9" style="3" bestFit="1" customWidth="1"/>
    <col min="8453" max="8453" width="15.1796875" style="3" bestFit="1" customWidth="1"/>
    <col min="8454" max="8454" width="9" style="3" bestFit="1" customWidth="1"/>
    <col min="8455" max="8455" width="15.1796875" style="3" bestFit="1" customWidth="1"/>
    <col min="8456" max="8456" width="6.453125" style="3" customWidth="1"/>
    <col min="8457" max="8457" width="12.7265625" style="3" customWidth="1"/>
    <col min="8458" max="8458" width="6.453125" style="3" customWidth="1"/>
    <col min="8459" max="8459" width="12.7265625" style="3" customWidth="1"/>
    <col min="8460" max="8460" width="6" style="3" customWidth="1"/>
    <col min="8461" max="8461" width="12.7265625" style="3" customWidth="1"/>
    <col min="8462" max="8462" width="9.54296875" style="3" customWidth="1"/>
    <col min="8463" max="8463" width="14" style="3" bestFit="1" customWidth="1"/>
    <col min="8464" max="8464" width="8.7265625" style="3" bestFit="1" customWidth="1"/>
    <col min="8465" max="8465" width="13.54296875" style="3" customWidth="1"/>
    <col min="8466" max="8466" width="6" style="3" customWidth="1"/>
    <col min="8467" max="8467" width="13.7265625" style="3" customWidth="1"/>
    <col min="8468" max="8468" width="6" style="3" customWidth="1"/>
    <col min="8469" max="8469" width="12.7265625" style="3" customWidth="1"/>
    <col min="8470" max="8470" width="6.81640625" style="3" customWidth="1"/>
    <col min="8471" max="8471" width="12.7265625" style="3" customWidth="1"/>
    <col min="8472" max="8472" width="6.81640625" style="3" customWidth="1"/>
    <col min="8473" max="8473" width="15.7265625" style="3" bestFit="1" customWidth="1"/>
    <col min="8474" max="8474" width="8.54296875" style="3" bestFit="1" customWidth="1"/>
    <col min="8475" max="8475" width="13.54296875" style="3" customWidth="1"/>
    <col min="8476" max="8476" width="6" style="3" customWidth="1"/>
    <col min="8477" max="8477" width="13.7265625" style="3" customWidth="1"/>
    <col min="8478" max="8478" width="6" style="3" customWidth="1"/>
    <col min="8479" max="8479" width="12.7265625" style="3" customWidth="1"/>
    <col min="8480" max="8480" width="6.81640625" style="3" customWidth="1"/>
    <col min="8481" max="8481" width="12.7265625" style="3" customWidth="1"/>
    <col min="8482" max="8482" width="6.81640625" style="3" customWidth="1"/>
    <col min="8483" max="8483" width="16.453125" style="3" bestFit="1" customWidth="1"/>
    <col min="8484" max="8484" width="9.54296875" style="3" bestFit="1" customWidth="1"/>
    <col min="8485" max="8485" width="17.453125" style="3" bestFit="1" customWidth="1"/>
    <col min="8486" max="8486" width="6" style="3" customWidth="1"/>
    <col min="8487" max="8487" width="13.7265625" style="3" customWidth="1"/>
    <col min="8488" max="8488" width="6" style="3" customWidth="1"/>
    <col min="8489" max="8489" width="12.7265625" style="3" customWidth="1"/>
    <col min="8490" max="8490" width="6.81640625" style="3" customWidth="1"/>
    <col min="8491" max="8491" width="12.7265625" style="3" customWidth="1"/>
    <col min="8492" max="8492" width="6.81640625" style="3" customWidth="1"/>
    <col min="8493" max="8493" width="15.453125" style="3" bestFit="1" customWidth="1"/>
    <col min="8494" max="8494" width="9.54296875" style="3" bestFit="1" customWidth="1"/>
    <col min="8495" max="8495" width="17.453125" style="3" bestFit="1" customWidth="1"/>
    <col min="8496" max="8496" width="8" style="3" customWidth="1"/>
    <col min="8497" max="8497" width="12.1796875" style="3" customWidth="1"/>
    <col min="8498" max="8498" width="8" style="3" customWidth="1"/>
    <col min="8499" max="8499" width="20" style="3" customWidth="1"/>
    <col min="8500" max="8500" width="15.26953125" style="3" bestFit="1" customWidth="1"/>
    <col min="8501" max="8501" width="14.26953125" style="3" bestFit="1" customWidth="1"/>
    <col min="8502" max="8502" width="13" style="3" bestFit="1" customWidth="1"/>
    <col min="8503" max="8674" width="8.7265625" style="3"/>
    <col min="8675" max="8675" width="2.7265625" style="3" customWidth="1"/>
    <col min="8676" max="8676" width="3.54296875" style="3" customWidth="1"/>
    <col min="8677" max="8677" width="7" style="3" customWidth="1"/>
    <col min="8678" max="8678" width="23" style="3" customWidth="1"/>
    <col min="8679" max="8679" width="13.26953125" style="3" customWidth="1"/>
    <col min="8680" max="8680" width="17.453125" style="3" bestFit="1" customWidth="1"/>
    <col min="8681" max="8681" width="11.54296875" style="3" bestFit="1" customWidth="1"/>
    <col min="8682" max="8682" width="7.81640625" style="3" customWidth="1"/>
    <col min="8683" max="8683" width="11.54296875" style="3" bestFit="1" customWidth="1"/>
    <col min="8684" max="8684" width="7" style="3" customWidth="1"/>
    <col min="8685" max="8685" width="18.1796875" style="3" customWidth="1"/>
    <col min="8686" max="8686" width="7" style="3" customWidth="1"/>
    <col min="8687" max="8687" width="15.54296875" style="3" customWidth="1"/>
    <col min="8688" max="8688" width="7.81640625" style="3" customWidth="1"/>
    <col min="8689" max="8689" width="15.54296875" style="3" customWidth="1"/>
    <col min="8690" max="8690" width="7.81640625" style="3" bestFit="1" customWidth="1"/>
    <col min="8691" max="8691" width="15.7265625" style="3" bestFit="1" customWidth="1"/>
    <col min="8692" max="8692" width="7.54296875" style="3" customWidth="1"/>
    <col min="8693" max="8693" width="14" style="3" customWidth="1"/>
    <col min="8694" max="8694" width="7.81640625" style="3" customWidth="1"/>
    <col min="8695" max="8695" width="14" style="3" customWidth="1"/>
    <col min="8696" max="8696" width="7.81640625" style="3" customWidth="1"/>
    <col min="8697" max="8697" width="14" style="3" customWidth="1"/>
    <col min="8698" max="8698" width="9" style="3" customWidth="1"/>
    <col min="8699" max="8699" width="15.1796875" style="3" customWidth="1"/>
    <col min="8700" max="8700" width="13" style="3" bestFit="1" customWidth="1"/>
    <col min="8701" max="8701" width="15.1796875" style="3" bestFit="1" customWidth="1"/>
    <col min="8702" max="8702" width="7.54296875" style="3" customWidth="1"/>
    <col min="8703" max="8703" width="14" style="3" customWidth="1"/>
    <col min="8704" max="8704" width="7.81640625" style="3" customWidth="1"/>
    <col min="8705" max="8705" width="14" style="3" customWidth="1"/>
    <col min="8706" max="8706" width="7.81640625" style="3" customWidth="1"/>
    <col min="8707" max="8707" width="14" style="3" customWidth="1"/>
    <col min="8708" max="8708" width="9" style="3" bestFit="1" customWidth="1"/>
    <col min="8709" max="8709" width="15.1796875" style="3" bestFit="1" customWidth="1"/>
    <col min="8710" max="8710" width="9" style="3" bestFit="1" customWidth="1"/>
    <col min="8711" max="8711" width="15.1796875" style="3" bestFit="1" customWidth="1"/>
    <col min="8712" max="8712" width="6.453125" style="3" customWidth="1"/>
    <col min="8713" max="8713" width="12.7265625" style="3" customWidth="1"/>
    <col min="8714" max="8714" width="6.453125" style="3" customWidth="1"/>
    <col min="8715" max="8715" width="12.7265625" style="3" customWidth="1"/>
    <col min="8716" max="8716" width="6" style="3" customWidth="1"/>
    <col min="8717" max="8717" width="12.7265625" style="3" customWidth="1"/>
    <col min="8718" max="8718" width="9.54296875" style="3" customWidth="1"/>
    <col min="8719" max="8719" width="14" style="3" bestFit="1" customWidth="1"/>
    <col min="8720" max="8720" width="8.7265625" style="3" bestFit="1" customWidth="1"/>
    <col min="8721" max="8721" width="13.54296875" style="3" customWidth="1"/>
    <col min="8722" max="8722" width="6" style="3" customWidth="1"/>
    <col min="8723" max="8723" width="13.7265625" style="3" customWidth="1"/>
    <col min="8724" max="8724" width="6" style="3" customWidth="1"/>
    <col min="8725" max="8725" width="12.7265625" style="3" customWidth="1"/>
    <col min="8726" max="8726" width="6.81640625" style="3" customWidth="1"/>
    <col min="8727" max="8727" width="12.7265625" style="3" customWidth="1"/>
    <col min="8728" max="8728" width="6.81640625" style="3" customWidth="1"/>
    <col min="8729" max="8729" width="15.7265625" style="3" bestFit="1" customWidth="1"/>
    <col min="8730" max="8730" width="8.54296875" style="3" bestFit="1" customWidth="1"/>
    <col min="8731" max="8731" width="13.54296875" style="3" customWidth="1"/>
    <col min="8732" max="8732" width="6" style="3" customWidth="1"/>
    <col min="8733" max="8733" width="13.7265625" style="3" customWidth="1"/>
    <col min="8734" max="8734" width="6" style="3" customWidth="1"/>
    <col min="8735" max="8735" width="12.7265625" style="3" customWidth="1"/>
    <col min="8736" max="8736" width="6.81640625" style="3" customWidth="1"/>
    <col min="8737" max="8737" width="12.7265625" style="3" customWidth="1"/>
    <col min="8738" max="8738" width="6.81640625" style="3" customWidth="1"/>
    <col min="8739" max="8739" width="16.453125" style="3" bestFit="1" customWidth="1"/>
    <col min="8740" max="8740" width="9.54296875" style="3" bestFit="1" customWidth="1"/>
    <col min="8741" max="8741" width="17.453125" style="3" bestFit="1" customWidth="1"/>
    <col min="8742" max="8742" width="6" style="3" customWidth="1"/>
    <col min="8743" max="8743" width="13.7265625" style="3" customWidth="1"/>
    <col min="8744" max="8744" width="6" style="3" customWidth="1"/>
    <col min="8745" max="8745" width="12.7265625" style="3" customWidth="1"/>
    <col min="8746" max="8746" width="6.81640625" style="3" customWidth="1"/>
    <col min="8747" max="8747" width="12.7265625" style="3" customWidth="1"/>
    <col min="8748" max="8748" width="6.81640625" style="3" customWidth="1"/>
    <col min="8749" max="8749" width="15.453125" style="3" bestFit="1" customWidth="1"/>
    <col min="8750" max="8750" width="9.54296875" style="3" bestFit="1" customWidth="1"/>
    <col min="8751" max="8751" width="17.453125" style="3" bestFit="1" customWidth="1"/>
    <col min="8752" max="8752" width="8" style="3" customWidth="1"/>
    <col min="8753" max="8753" width="12.1796875" style="3" customWidth="1"/>
    <col min="8754" max="8754" width="8" style="3" customWidth="1"/>
    <col min="8755" max="8755" width="20" style="3" customWidth="1"/>
    <col min="8756" max="8756" width="15.26953125" style="3" bestFit="1" customWidth="1"/>
    <col min="8757" max="8757" width="14.26953125" style="3" bestFit="1" customWidth="1"/>
    <col min="8758" max="8758" width="13" style="3" bestFit="1" customWidth="1"/>
    <col min="8759" max="8930" width="8.7265625" style="3"/>
    <col min="8931" max="8931" width="2.7265625" style="3" customWidth="1"/>
    <col min="8932" max="8932" width="3.54296875" style="3" customWidth="1"/>
    <col min="8933" max="8933" width="7" style="3" customWidth="1"/>
    <col min="8934" max="8934" width="23" style="3" customWidth="1"/>
    <col min="8935" max="8935" width="13.26953125" style="3" customWidth="1"/>
    <col min="8936" max="8936" width="17.453125" style="3" bestFit="1" customWidth="1"/>
    <col min="8937" max="8937" width="11.54296875" style="3" bestFit="1" customWidth="1"/>
    <col min="8938" max="8938" width="7.81640625" style="3" customWidth="1"/>
    <col min="8939" max="8939" width="11.54296875" style="3" bestFit="1" customWidth="1"/>
    <col min="8940" max="8940" width="7" style="3" customWidth="1"/>
    <col min="8941" max="8941" width="18.1796875" style="3" customWidth="1"/>
    <col min="8942" max="8942" width="7" style="3" customWidth="1"/>
    <col min="8943" max="8943" width="15.54296875" style="3" customWidth="1"/>
    <col min="8944" max="8944" width="7.81640625" style="3" customWidth="1"/>
    <col min="8945" max="8945" width="15.54296875" style="3" customWidth="1"/>
    <col min="8946" max="8946" width="7.81640625" style="3" bestFit="1" customWidth="1"/>
    <col min="8947" max="8947" width="15.7265625" style="3" bestFit="1" customWidth="1"/>
    <col min="8948" max="8948" width="7.54296875" style="3" customWidth="1"/>
    <col min="8949" max="8949" width="14" style="3" customWidth="1"/>
    <col min="8950" max="8950" width="7.81640625" style="3" customWidth="1"/>
    <col min="8951" max="8951" width="14" style="3" customWidth="1"/>
    <col min="8952" max="8952" width="7.81640625" style="3" customWidth="1"/>
    <col min="8953" max="8953" width="14" style="3" customWidth="1"/>
    <col min="8954" max="8954" width="9" style="3" customWidth="1"/>
    <col min="8955" max="8955" width="15.1796875" style="3" customWidth="1"/>
    <col min="8956" max="8956" width="13" style="3" bestFit="1" customWidth="1"/>
    <col min="8957" max="8957" width="15.1796875" style="3" bestFit="1" customWidth="1"/>
    <col min="8958" max="8958" width="7.54296875" style="3" customWidth="1"/>
    <col min="8959" max="8959" width="14" style="3" customWidth="1"/>
    <col min="8960" max="8960" width="7.81640625" style="3" customWidth="1"/>
    <col min="8961" max="8961" width="14" style="3" customWidth="1"/>
    <col min="8962" max="8962" width="7.81640625" style="3" customWidth="1"/>
    <col min="8963" max="8963" width="14" style="3" customWidth="1"/>
    <col min="8964" max="8964" width="9" style="3" bestFit="1" customWidth="1"/>
    <col min="8965" max="8965" width="15.1796875" style="3" bestFit="1" customWidth="1"/>
    <col min="8966" max="8966" width="9" style="3" bestFit="1" customWidth="1"/>
    <col min="8967" max="8967" width="15.1796875" style="3" bestFit="1" customWidth="1"/>
    <col min="8968" max="8968" width="6.453125" style="3" customWidth="1"/>
    <col min="8969" max="8969" width="12.7265625" style="3" customWidth="1"/>
    <col min="8970" max="8970" width="6.453125" style="3" customWidth="1"/>
    <col min="8971" max="8971" width="12.7265625" style="3" customWidth="1"/>
    <col min="8972" max="8972" width="6" style="3" customWidth="1"/>
    <col min="8973" max="8973" width="12.7265625" style="3" customWidth="1"/>
    <col min="8974" max="8974" width="9.54296875" style="3" customWidth="1"/>
    <col min="8975" max="8975" width="14" style="3" bestFit="1" customWidth="1"/>
    <col min="8976" max="8976" width="8.7265625" style="3" bestFit="1" customWidth="1"/>
    <col min="8977" max="8977" width="13.54296875" style="3" customWidth="1"/>
    <col min="8978" max="8978" width="6" style="3" customWidth="1"/>
    <col min="8979" max="8979" width="13.7265625" style="3" customWidth="1"/>
    <col min="8980" max="8980" width="6" style="3" customWidth="1"/>
    <col min="8981" max="8981" width="12.7265625" style="3" customWidth="1"/>
    <col min="8982" max="8982" width="6.81640625" style="3" customWidth="1"/>
    <col min="8983" max="8983" width="12.7265625" style="3" customWidth="1"/>
    <col min="8984" max="8984" width="6.81640625" style="3" customWidth="1"/>
    <col min="8985" max="8985" width="15.7265625" style="3" bestFit="1" customWidth="1"/>
    <col min="8986" max="8986" width="8.54296875" style="3" bestFit="1" customWidth="1"/>
    <col min="8987" max="8987" width="13.54296875" style="3" customWidth="1"/>
    <col min="8988" max="8988" width="6" style="3" customWidth="1"/>
    <col min="8989" max="8989" width="13.7265625" style="3" customWidth="1"/>
    <col min="8990" max="8990" width="6" style="3" customWidth="1"/>
    <col min="8991" max="8991" width="12.7265625" style="3" customWidth="1"/>
    <col min="8992" max="8992" width="6.81640625" style="3" customWidth="1"/>
    <col min="8993" max="8993" width="12.7265625" style="3" customWidth="1"/>
    <col min="8994" max="8994" width="6.81640625" style="3" customWidth="1"/>
    <col min="8995" max="8995" width="16.453125" style="3" bestFit="1" customWidth="1"/>
    <col min="8996" max="8996" width="9.54296875" style="3" bestFit="1" customWidth="1"/>
    <col min="8997" max="8997" width="17.453125" style="3" bestFit="1" customWidth="1"/>
    <col min="8998" max="8998" width="6" style="3" customWidth="1"/>
    <col min="8999" max="8999" width="13.7265625" style="3" customWidth="1"/>
    <col min="9000" max="9000" width="6" style="3" customWidth="1"/>
    <col min="9001" max="9001" width="12.7265625" style="3" customWidth="1"/>
    <col min="9002" max="9002" width="6.81640625" style="3" customWidth="1"/>
    <col min="9003" max="9003" width="12.7265625" style="3" customWidth="1"/>
    <col min="9004" max="9004" width="6.81640625" style="3" customWidth="1"/>
    <col min="9005" max="9005" width="15.453125" style="3" bestFit="1" customWidth="1"/>
    <col min="9006" max="9006" width="9.54296875" style="3" bestFit="1" customWidth="1"/>
    <col min="9007" max="9007" width="17.453125" style="3" bestFit="1" customWidth="1"/>
    <col min="9008" max="9008" width="8" style="3" customWidth="1"/>
    <col min="9009" max="9009" width="12.1796875" style="3" customWidth="1"/>
    <col min="9010" max="9010" width="8" style="3" customWidth="1"/>
    <col min="9011" max="9011" width="20" style="3" customWidth="1"/>
    <col min="9012" max="9012" width="15.26953125" style="3" bestFit="1" customWidth="1"/>
    <col min="9013" max="9013" width="14.26953125" style="3" bestFit="1" customWidth="1"/>
    <col min="9014" max="9014" width="13" style="3" bestFit="1" customWidth="1"/>
    <col min="9015" max="9186" width="8.7265625" style="3"/>
    <col min="9187" max="9187" width="2.7265625" style="3" customWidth="1"/>
    <col min="9188" max="9188" width="3.54296875" style="3" customWidth="1"/>
    <col min="9189" max="9189" width="7" style="3" customWidth="1"/>
    <col min="9190" max="9190" width="23" style="3" customWidth="1"/>
    <col min="9191" max="9191" width="13.26953125" style="3" customWidth="1"/>
    <col min="9192" max="9192" width="17.453125" style="3" bestFit="1" customWidth="1"/>
    <col min="9193" max="9193" width="11.54296875" style="3" bestFit="1" customWidth="1"/>
    <col min="9194" max="9194" width="7.81640625" style="3" customWidth="1"/>
    <col min="9195" max="9195" width="11.54296875" style="3" bestFit="1" customWidth="1"/>
    <col min="9196" max="9196" width="7" style="3" customWidth="1"/>
    <col min="9197" max="9197" width="18.1796875" style="3" customWidth="1"/>
    <col min="9198" max="9198" width="7" style="3" customWidth="1"/>
    <col min="9199" max="9199" width="15.54296875" style="3" customWidth="1"/>
    <col min="9200" max="9200" width="7.81640625" style="3" customWidth="1"/>
    <col min="9201" max="9201" width="15.54296875" style="3" customWidth="1"/>
    <col min="9202" max="9202" width="7.81640625" style="3" bestFit="1" customWidth="1"/>
    <col min="9203" max="9203" width="15.7265625" style="3" bestFit="1" customWidth="1"/>
    <col min="9204" max="9204" width="7.54296875" style="3" customWidth="1"/>
    <col min="9205" max="9205" width="14" style="3" customWidth="1"/>
    <col min="9206" max="9206" width="7.81640625" style="3" customWidth="1"/>
    <col min="9207" max="9207" width="14" style="3" customWidth="1"/>
    <col min="9208" max="9208" width="7.81640625" style="3" customWidth="1"/>
    <col min="9209" max="9209" width="14" style="3" customWidth="1"/>
    <col min="9210" max="9210" width="9" style="3" customWidth="1"/>
    <col min="9211" max="9211" width="15.1796875" style="3" customWidth="1"/>
    <col min="9212" max="9212" width="13" style="3" bestFit="1" customWidth="1"/>
    <col min="9213" max="9213" width="15.1796875" style="3" bestFit="1" customWidth="1"/>
    <col min="9214" max="9214" width="7.54296875" style="3" customWidth="1"/>
    <col min="9215" max="9215" width="14" style="3" customWidth="1"/>
    <col min="9216" max="9216" width="7.81640625" style="3" customWidth="1"/>
    <col min="9217" max="9217" width="14" style="3" customWidth="1"/>
    <col min="9218" max="9218" width="7.81640625" style="3" customWidth="1"/>
    <col min="9219" max="9219" width="14" style="3" customWidth="1"/>
    <col min="9220" max="9220" width="9" style="3" bestFit="1" customWidth="1"/>
    <col min="9221" max="9221" width="15.1796875" style="3" bestFit="1" customWidth="1"/>
    <col min="9222" max="9222" width="9" style="3" bestFit="1" customWidth="1"/>
    <col min="9223" max="9223" width="15.1796875" style="3" bestFit="1" customWidth="1"/>
    <col min="9224" max="9224" width="6.453125" style="3" customWidth="1"/>
    <col min="9225" max="9225" width="12.7265625" style="3" customWidth="1"/>
    <col min="9226" max="9226" width="6.453125" style="3" customWidth="1"/>
    <col min="9227" max="9227" width="12.7265625" style="3" customWidth="1"/>
    <col min="9228" max="9228" width="6" style="3" customWidth="1"/>
    <col min="9229" max="9229" width="12.7265625" style="3" customWidth="1"/>
    <col min="9230" max="9230" width="9.54296875" style="3" customWidth="1"/>
    <col min="9231" max="9231" width="14" style="3" bestFit="1" customWidth="1"/>
    <col min="9232" max="9232" width="8.7265625" style="3" bestFit="1" customWidth="1"/>
    <col min="9233" max="9233" width="13.54296875" style="3" customWidth="1"/>
    <col min="9234" max="9234" width="6" style="3" customWidth="1"/>
    <col min="9235" max="9235" width="13.7265625" style="3" customWidth="1"/>
    <col min="9236" max="9236" width="6" style="3" customWidth="1"/>
    <col min="9237" max="9237" width="12.7265625" style="3" customWidth="1"/>
    <col min="9238" max="9238" width="6.81640625" style="3" customWidth="1"/>
    <col min="9239" max="9239" width="12.7265625" style="3" customWidth="1"/>
    <col min="9240" max="9240" width="6.81640625" style="3" customWidth="1"/>
    <col min="9241" max="9241" width="15.7265625" style="3" bestFit="1" customWidth="1"/>
    <col min="9242" max="9242" width="8.54296875" style="3" bestFit="1" customWidth="1"/>
    <col min="9243" max="9243" width="13.54296875" style="3" customWidth="1"/>
    <col min="9244" max="9244" width="6" style="3" customWidth="1"/>
    <col min="9245" max="9245" width="13.7265625" style="3" customWidth="1"/>
    <col min="9246" max="9246" width="6" style="3" customWidth="1"/>
    <col min="9247" max="9247" width="12.7265625" style="3" customWidth="1"/>
    <col min="9248" max="9248" width="6.81640625" style="3" customWidth="1"/>
    <col min="9249" max="9249" width="12.7265625" style="3" customWidth="1"/>
    <col min="9250" max="9250" width="6.81640625" style="3" customWidth="1"/>
    <col min="9251" max="9251" width="16.453125" style="3" bestFit="1" customWidth="1"/>
    <col min="9252" max="9252" width="9.54296875" style="3" bestFit="1" customWidth="1"/>
    <col min="9253" max="9253" width="17.453125" style="3" bestFit="1" customWidth="1"/>
    <col min="9254" max="9254" width="6" style="3" customWidth="1"/>
    <col min="9255" max="9255" width="13.7265625" style="3" customWidth="1"/>
    <col min="9256" max="9256" width="6" style="3" customWidth="1"/>
    <col min="9257" max="9257" width="12.7265625" style="3" customWidth="1"/>
    <col min="9258" max="9258" width="6.81640625" style="3" customWidth="1"/>
    <col min="9259" max="9259" width="12.7265625" style="3" customWidth="1"/>
    <col min="9260" max="9260" width="6.81640625" style="3" customWidth="1"/>
    <col min="9261" max="9261" width="15.453125" style="3" bestFit="1" customWidth="1"/>
    <col min="9262" max="9262" width="9.54296875" style="3" bestFit="1" customWidth="1"/>
    <col min="9263" max="9263" width="17.453125" style="3" bestFit="1" customWidth="1"/>
    <col min="9264" max="9264" width="8" style="3" customWidth="1"/>
    <col min="9265" max="9265" width="12.1796875" style="3" customWidth="1"/>
    <col min="9266" max="9266" width="8" style="3" customWidth="1"/>
    <col min="9267" max="9267" width="20" style="3" customWidth="1"/>
    <col min="9268" max="9268" width="15.26953125" style="3" bestFit="1" customWidth="1"/>
    <col min="9269" max="9269" width="14.26953125" style="3" bestFit="1" customWidth="1"/>
    <col min="9270" max="9270" width="13" style="3" bestFit="1" customWidth="1"/>
    <col min="9271" max="9442" width="8.7265625" style="3"/>
    <col min="9443" max="9443" width="2.7265625" style="3" customWidth="1"/>
    <col min="9444" max="9444" width="3.54296875" style="3" customWidth="1"/>
    <col min="9445" max="9445" width="7" style="3" customWidth="1"/>
    <col min="9446" max="9446" width="23" style="3" customWidth="1"/>
    <col min="9447" max="9447" width="13.26953125" style="3" customWidth="1"/>
    <col min="9448" max="9448" width="17.453125" style="3" bestFit="1" customWidth="1"/>
    <col min="9449" max="9449" width="11.54296875" style="3" bestFit="1" customWidth="1"/>
    <col min="9450" max="9450" width="7.81640625" style="3" customWidth="1"/>
    <col min="9451" max="9451" width="11.54296875" style="3" bestFit="1" customWidth="1"/>
    <col min="9452" max="9452" width="7" style="3" customWidth="1"/>
    <col min="9453" max="9453" width="18.1796875" style="3" customWidth="1"/>
    <col min="9454" max="9454" width="7" style="3" customWidth="1"/>
    <col min="9455" max="9455" width="15.54296875" style="3" customWidth="1"/>
    <col min="9456" max="9456" width="7.81640625" style="3" customWidth="1"/>
    <col min="9457" max="9457" width="15.54296875" style="3" customWidth="1"/>
    <col min="9458" max="9458" width="7.81640625" style="3" bestFit="1" customWidth="1"/>
    <col min="9459" max="9459" width="15.7265625" style="3" bestFit="1" customWidth="1"/>
    <col min="9460" max="9460" width="7.54296875" style="3" customWidth="1"/>
    <col min="9461" max="9461" width="14" style="3" customWidth="1"/>
    <col min="9462" max="9462" width="7.81640625" style="3" customWidth="1"/>
    <col min="9463" max="9463" width="14" style="3" customWidth="1"/>
    <col min="9464" max="9464" width="7.81640625" style="3" customWidth="1"/>
    <col min="9465" max="9465" width="14" style="3" customWidth="1"/>
    <col min="9466" max="9466" width="9" style="3" customWidth="1"/>
    <col min="9467" max="9467" width="15.1796875" style="3" customWidth="1"/>
    <col min="9468" max="9468" width="13" style="3" bestFit="1" customWidth="1"/>
    <col min="9469" max="9469" width="15.1796875" style="3" bestFit="1" customWidth="1"/>
    <col min="9470" max="9470" width="7.54296875" style="3" customWidth="1"/>
    <col min="9471" max="9471" width="14" style="3" customWidth="1"/>
    <col min="9472" max="9472" width="7.81640625" style="3" customWidth="1"/>
    <col min="9473" max="9473" width="14" style="3" customWidth="1"/>
    <col min="9474" max="9474" width="7.81640625" style="3" customWidth="1"/>
    <col min="9475" max="9475" width="14" style="3" customWidth="1"/>
    <col min="9476" max="9476" width="9" style="3" bestFit="1" customWidth="1"/>
    <col min="9477" max="9477" width="15.1796875" style="3" bestFit="1" customWidth="1"/>
    <col min="9478" max="9478" width="9" style="3" bestFit="1" customWidth="1"/>
    <col min="9479" max="9479" width="15.1796875" style="3" bestFit="1" customWidth="1"/>
    <col min="9480" max="9480" width="6.453125" style="3" customWidth="1"/>
    <col min="9481" max="9481" width="12.7265625" style="3" customWidth="1"/>
    <col min="9482" max="9482" width="6.453125" style="3" customWidth="1"/>
    <col min="9483" max="9483" width="12.7265625" style="3" customWidth="1"/>
    <col min="9484" max="9484" width="6" style="3" customWidth="1"/>
    <col min="9485" max="9485" width="12.7265625" style="3" customWidth="1"/>
    <col min="9486" max="9486" width="9.54296875" style="3" customWidth="1"/>
    <col min="9487" max="9487" width="14" style="3" bestFit="1" customWidth="1"/>
    <col min="9488" max="9488" width="8.7265625" style="3" bestFit="1" customWidth="1"/>
    <col min="9489" max="9489" width="13.54296875" style="3" customWidth="1"/>
    <col min="9490" max="9490" width="6" style="3" customWidth="1"/>
    <col min="9491" max="9491" width="13.7265625" style="3" customWidth="1"/>
    <col min="9492" max="9492" width="6" style="3" customWidth="1"/>
    <col min="9493" max="9493" width="12.7265625" style="3" customWidth="1"/>
    <col min="9494" max="9494" width="6.81640625" style="3" customWidth="1"/>
    <col min="9495" max="9495" width="12.7265625" style="3" customWidth="1"/>
    <col min="9496" max="9496" width="6.81640625" style="3" customWidth="1"/>
    <col min="9497" max="9497" width="15.7265625" style="3" bestFit="1" customWidth="1"/>
    <col min="9498" max="9498" width="8.54296875" style="3" bestFit="1" customWidth="1"/>
    <col min="9499" max="9499" width="13.54296875" style="3" customWidth="1"/>
    <col min="9500" max="9500" width="6" style="3" customWidth="1"/>
    <col min="9501" max="9501" width="13.7265625" style="3" customWidth="1"/>
    <col min="9502" max="9502" width="6" style="3" customWidth="1"/>
    <col min="9503" max="9503" width="12.7265625" style="3" customWidth="1"/>
    <col min="9504" max="9504" width="6.81640625" style="3" customWidth="1"/>
    <col min="9505" max="9505" width="12.7265625" style="3" customWidth="1"/>
    <col min="9506" max="9506" width="6.81640625" style="3" customWidth="1"/>
    <col min="9507" max="9507" width="16.453125" style="3" bestFit="1" customWidth="1"/>
    <col min="9508" max="9508" width="9.54296875" style="3" bestFit="1" customWidth="1"/>
    <col min="9509" max="9509" width="17.453125" style="3" bestFit="1" customWidth="1"/>
    <col min="9510" max="9510" width="6" style="3" customWidth="1"/>
    <col min="9511" max="9511" width="13.7265625" style="3" customWidth="1"/>
    <col min="9512" max="9512" width="6" style="3" customWidth="1"/>
    <col min="9513" max="9513" width="12.7265625" style="3" customWidth="1"/>
    <col min="9514" max="9514" width="6.81640625" style="3" customWidth="1"/>
    <col min="9515" max="9515" width="12.7265625" style="3" customWidth="1"/>
    <col min="9516" max="9516" width="6.81640625" style="3" customWidth="1"/>
    <col min="9517" max="9517" width="15.453125" style="3" bestFit="1" customWidth="1"/>
    <col min="9518" max="9518" width="9.54296875" style="3" bestFit="1" customWidth="1"/>
    <col min="9519" max="9519" width="17.453125" style="3" bestFit="1" customWidth="1"/>
    <col min="9520" max="9520" width="8" style="3" customWidth="1"/>
    <col min="9521" max="9521" width="12.1796875" style="3" customWidth="1"/>
    <col min="9522" max="9522" width="8" style="3" customWidth="1"/>
    <col min="9523" max="9523" width="20" style="3" customWidth="1"/>
    <col min="9524" max="9524" width="15.26953125" style="3" bestFit="1" customWidth="1"/>
    <col min="9525" max="9525" width="14.26953125" style="3" bestFit="1" customWidth="1"/>
    <col min="9526" max="9526" width="13" style="3" bestFit="1" customWidth="1"/>
    <col min="9527" max="9698" width="8.7265625" style="3"/>
    <col min="9699" max="9699" width="2.7265625" style="3" customWidth="1"/>
    <col min="9700" max="9700" width="3.54296875" style="3" customWidth="1"/>
    <col min="9701" max="9701" width="7" style="3" customWidth="1"/>
    <col min="9702" max="9702" width="23" style="3" customWidth="1"/>
    <col min="9703" max="9703" width="13.26953125" style="3" customWidth="1"/>
    <col min="9704" max="9704" width="17.453125" style="3" bestFit="1" customWidth="1"/>
    <col min="9705" max="9705" width="11.54296875" style="3" bestFit="1" customWidth="1"/>
    <col min="9706" max="9706" width="7.81640625" style="3" customWidth="1"/>
    <col min="9707" max="9707" width="11.54296875" style="3" bestFit="1" customWidth="1"/>
    <col min="9708" max="9708" width="7" style="3" customWidth="1"/>
    <col min="9709" max="9709" width="18.1796875" style="3" customWidth="1"/>
    <col min="9710" max="9710" width="7" style="3" customWidth="1"/>
    <col min="9711" max="9711" width="15.54296875" style="3" customWidth="1"/>
    <col min="9712" max="9712" width="7.81640625" style="3" customWidth="1"/>
    <col min="9713" max="9713" width="15.54296875" style="3" customWidth="1"/>
    <col min="9714" max="9714" width="7.81640625" style="3" bestFit="1" customWidth="1"/>
    <col min="9715" max="9715" width="15.7265625" style="3" bestFit="1" customWidth="1"/>
    <col min="9716" max="9716" width="7.54296875" style="3" customWidth="1"/>
    <col min="9717" max="9717" width="14" style="3" customWidth="1"/>
    <col min="9718" max="9718" width="7.81640625" style="3" customWidth="1"/>
    <col min="9719" max="9719" width="14" style="3" customWidth="1"/>
    <col min="9720" max="9720" width="7.81640625" style="3" customWidth="1"/>
    <col min="9721" max="9721" width="14" style="3" customWidth="1"/>
    <col min="9722" max="9722" width="9" style="3" customWidth="1"/>
    <col min="9723" max="9723" width="15.1796875" style="3" customWidth="1"/>
    <col min="9724" max="9724" width="13" style="3" bestFit="1" customWidth="1"/>
    <col min="9725" max="9725" width="15.1796875" style="3" bestFit="1" customWidth="1"/>
    <col min="9726" max="9726" width="7.54296875" style="3" customWidth="1"/>
    <col min="9727" max="9727" width="14" style="3" customWidth="1"/>
    <col min="9728" max="9728" width="7.81640625" style="3" customWidth="1"/>
    <col min="9729" max="9729" width="14" style="3" customWidth="1"/>
    <col min="9730" max="9730" width="7.81640625" style="3" customWidth="1"/>
    <col min="9731" max="9731" width="14" style="3" customWidth="1"/>
    <col min="9732" max="9732" width="9" style="3" bestFit="1" customWidth="1"/>
    <col min="9733" max="9733" width="15.1796875" style="3" bestFit="1" customWidth="1"/>
    <col min="9734" max="9734" width="9" style="3" bestFit="1" customWidth="1"/>
    <col min="9735" max="9735" width="15.1796875" style="3" bestFit="1" customWidth="1"/>
    <col min="9736" max="9736" width="6.453125" style="3" customWidth="1"/>
    <col min="9737" max="9737" width="12.7265625" style="3" customWidth="1"/>
    <col min="9738" max="9738" width="6.453125" style="3" customWidth="1"/>
    <col min="9739" max="9739" width="12.7265625" style="3" customWidth="1"/>
    <col min="9740" max="9740" width="6" style="3" customWidth="1"/>
    <col min="9741" max="9741" width="12.7265625" style="3" customWidth="1"/>
    <col min="9742" max="9742" width="9.54296875" style="3" customWidth="1"/>
    <col min="9743" max="9743" width="14" style="3" bestFit="1" customWidth="1"/>
    <col min="9744" max="9744" width="8.7265625" style="3" bestFit="1" customWidth="1"/>
    <col min="9745" max="9745" width="13.54296875" style="3" customWidth="1"/>
    <col min="9746" max="9746" width="6" style="3" customWidth="1"/>
    <col min="9747" max="9747" width="13.7265625" style="3" customWidth="1"/>
    <col min="9748" max="9748" width="6" style="3" customWidth="1"/>
    <col min="9749" max="9749" width="12.7265625" style="3" customWidth="1"/>
    <col min="9750" max="9750" width="6.81640625" style="3" customWidth="1"/>
    <col min="9751" max="9751" width="12.7265625" style="3" customWidth="1"/>
    <col min="9752" max="9752" width="6.81640625" style="3" customWidth="1"/>
    <col min="9753" max="9753" width="15.7265625" style="3" bestFit="1" customWidth="1"/>
    <col min="9754" max="9754" width="8.54296875" style="3" bestFit="1" customWidth="1"/>
    <col min="9755" max="9755" width="13.54296875" style="3" customWidth="1"/>
    <col min="9756" max="9756" width="6" style="3" customWidth="1"/>
    <col min="9757" max="9757" width="13.7265625" style="3" customWidth="1"/>
    <col min="9758" max="9758" width="6" style="3" customWidth="1"/>
    <col min="9759" max="9759" width="12.7265625" style="3" customWidth="1"/>
    <col min="9760" max="9760" width="6.81640625" style="3" customWidth="1"/>
    <col min="9761" max="9761" width="12.7265625" style="3" customWidth="1"/>
    <col min="9762" max="9762" width="6.81640625" style="3" customWidth="1"/>
    <col min="9763" max="9763" width="16.453125" style="3" bestFit="1" customWidth="1"/>
    <col min="9764" max="9764" width="9.54296875" style="3" bestFit="1" customWidth="1"/>
    <col min="9765" max="9765" width="17.453125" style="3" bestFit="1" customWidth="1"/>
    <col min="9766" max="9766" width="6" style="3" customWidth="1"/>
    <col min="9767" max="9767" width="13.7265625" style="3" customWidth="1"/>
    <col min="9768" max="9768" width="6" style="3" customWidth="1"/>
    <col min="9769" max="9769" width="12.7265625" style="3" customWidth="1"/>
    <col min="9770" max="9770" width="6.81640625" style="3" customWidth="1"/>
    <col min="9771" max="9771" width="12.7265625" style="3" customWidth="1"/>
    <col min="9772" max="9772" width="6.81640625" style="3" customWidth="1"/>
    <col min="9773" max="9773" width="15.453125" style="3" bestFit="1" customWidth="1"/>
    <col min="9774" max="9774" width="9.54296875" style="3" bestFit="1" customWidth="1"/>
    <col min="9775" max="9775" width="17.453125" style="3" bestFit="1" customWidth="1"/>
    <col min="9776" max="9776" width="8" style="3" customWidth="1"/>
    <col min="9777" max="9777" width="12.1796875" style="3" customWidth="1"/>
    <col min="9778" max="9778" width="8" style="3" customWidth="1"/>
    <col min="9779" max="9779" width="20" style="3" customWidth="1"/>
    <col min="9780" max="9780" width="15.26953125" style="3" bestFit="1" customWidth="1"/>
    <col min="9781" max="9781" width="14.26953125" style="3" bestFit="1" customWidth="1"/>
    <col min="9782" max="9782" width="13" style="3" bestFit="1" customWidth="1"/>
    <col min="9783" max="9954" width="8.7265625" style="3"/>
    <col min="9955" max="9955" width="2.7265625" style="3" customWidth="1"/>
    <col min="9956" max="9956" width="3.54296875" style="3" customWidth="1"/>
    <col min="9957" max="9957" width="7" style="3" customWidth="1"/>
    <col min="9958" max="9958" width="23" style="3" customWidth="1"/>
    <col min="9959" max="9959" width="13.26953125" style="3" customWidth="1"/>
    <col min="9960" max="9960" width="17.453125" style="3" bestFit="1" customWidth="1"/>
    <col min="9961" max="9961" width="11.54296875" style="3" bestFit="1" customWidth="1"/>
    <col min="9962" max="9962" width="7.81640625" style="3" customWidth="1"/>
    <col min="9963" max="9963" width="11.54296875" style="3" bestFit="1" customWidth="1"/>
    <col min="9964" max="9964" width="7" style="3" customWidth="1"/>
    <col min="9965" max="9965" width="18.1796875" style="3" customWidth="1"/>
    <col min="9966" max="9966" width="7" style="3" customWidth="1"/>
    <col min="9967" max="9967" width="15.54296875" style="3" customWidth="1"/>
    <col min="9968" max="9968" width="7.81640625" style="3" customWidth="1"/>
    <col min="9969" max="9969" width="15.54296875" style="3" customWidth="1"/>
    <col min="9970" max="9970" width="7.81640625" style="3" bestFit="1" customWidth="1"/>
    <col min="9971" max="9971" width="15.7265625" style="3" bestFit="1" customWidth="1"/>
    <col min="9972" max="9972" width="7.54296875" style="3" customWidth="1"/>
    <col min="9973" max="9973" width="14" style="3" customWidth="1"/>
    <col min="9974" max="9974" width="7.81640625" style="3" customWidth="1"/>
    <col min="9975" max="9975" width="14" style="3" customWidth="1"/>
    <col min="9976" max="9976" width="7.81640625" style="3" customWidth="1"/>
    <col min="9977" max="9977" width="14" style="3" customWidth="1"/>
    <col min="9978" max="9978" width="9" style="3" customWidth="1"/>
    <col min="9979" max="9979" width="15.1796875" style="3" customWidth="1"/>
    <col min="9980" max="9980" width="13" style="3" bestFit="1" customWidth="1"/>
    <col min="9981" max="9981" width="15.1796875" style="3" bestFit="1" customWidth="1"/>
    <col min="9982" max="9982" width="7.54296875" style="3" customWidth="1"/>
    <col min="9983" max="9983" width="14" style="3" customWidth="1"/>
    <col min="9984" max="9984" width="7.81640625" style="3" customWidth="1"/>
    <col min="9985" max="9985" width="14" style="3" customWidth="1"/>
    <col min="9986" max="9986" width="7.81640625" style="3" customWidth="1"/>
    <col min="9987" max="9987" width="14" style="3" customWidth="1"/>
    <col min="9988" max="9988" width="9" style="3" bestFit="1" customWidth="1"/>
    <col min="9989" max="9989" width="15.1796875" style="3" bestFit="1" customWidth="1"/>
    <col min="9990" max="9990" width="9" style="3" bestFit="1" customWidth="1"/>
    <col min="9991" max="9991" width="15.1796875" style="3" bestFit="1" customWidth="1"/>
    <col min="9992" max="9992" width="6.453125" style="3" customWidth="1"/>
    <col min="9993" max="9993" width="12.7265625" style="3" customWidth="1"/>
    <col min="9994" max="9994" width="6.453125" style="3" customWidth="1"/>
    <col min="9995" max="9995" width="12.7265625" style="3" customWidth="1"/>
    <col min="9996" max="9996" width="6" style="3" customWidth="1"/>
    <col min="9997" max="9997" width="12.7265625" style="3" customWidth="1"/>
    <col min="9998" max="9998" width="9.54296875" style="3" customWidth="1"/>
    <col min="9999" max="9999" width="14" style="3" bestFit="1" customWidth="1"/>
    <col min="10000" max="10000" width="8.7265625" style="3" bestFit="1" customWidth="1"/>
    <col min="10001" max="10001" width="13.54296875" style="3" customWidth="1"/>
    <col min="10002" max="10002" width="6" style="3" customWidth="1"/>
    <col min="10003" max="10003" width="13.7265625" style="3" customWidth="1"/>
    <col min="10004" max="10004" width="6" style="3" customWidth="1"/>
    <col min="10005" max="10005" width="12.7265625" style="3" customWidth="1"/>
    <col min="10006" max="10006" width="6.81640625" style="3" customWidth="1"/>
    <col min="10007" max="10007" width="12.7265625" style="3" customWidth="1"/>
    <col min="10008" max="10008" width="6.81640625" style="3" customWidth="1"/>
    <col min="10009" max="10009" width="15.7265625" style="3" bestFit="1" customWidth="1"/>
    <col min="10010" max="10010" width="8.54296875" style="3" bestFit="1" customWidth="1"/>
    <col min="10011" max="10011" width="13.54296875" style="3" customWidth="1"/>
    <col min="10012" max="10012" width="6" style="3" customWidth="1"/>
    <col min="10013" max="10013" width="13.7265625" style="3" customWidth="1"/>
    <col min="10014" max="10014" width="6" style="3" customWidth="1"/>
    <col min="10015" max="10015" width="12.7265625" style="3" customWidth="1"/>
    <col min="10016" max="10016" width="6.81640625" style="3" customWidth="1"/>
    <col min="10017" max="10017" width="12.7265625" style="3" customWidth="1"/>
    <col min="10018" max="10018" width="6.81640625" style="3" customWidth="1"/>
    <col min="10019" max="10019" width="16.453125" style="3" bestFit="1" customWidth="1"/>
    <col min="10020" max="10020" width="9.54296875" style="3" bestFit="1" customWidth="1"/>
    <col min="10021" max="10021" width="17.453125" style="3" bestFit="1" customWidth="1"/>
    <col min="10022" max="10022" width="6" style="3" customWidth="1"/>
    <col min="10023" max="10023" width="13.7265625" style="3" customWidth="1"/>
    <col min="10024" max="10024" width="6" style="3" customWidth="1"/>
    <col min="10025" max="10025" width="12.7265625" style="3" customWidth="1"/>
    <col min="10026" max="10026" width="6.81640625" style="3" customWidth="1"/>
    <col min="10027" max="10027" width="12.7265625" style="3" customWidth="1"/>
    <col min="10028" max="10028" width="6.81640625" style="3" customWidth="1"/>
    <col min="10029" max="10029" width="15.453125" style="3" bestFit="1" customWidth="1"/>
    <col min="10030" max="10030" width="9.54296875" style="3" bestFit="1" customWidth="1"/>
    <col min="10031" max="10031" width="17.453125" style="3" bestFit="1" customWidth="1"/>
    <col min="10032" max="10032" width="8" style="3" customWidth="1"/>
    <col min="10033" max="10033" width="12.1796875" style="3" customWidth="1"/>
    <col min="10034" max="10034" width="8" style="3" customWidth="1"/>
    <col min="10035" max="10035" width="20" style="3" customWidth="1"/>
    <col min="10036" max="10036" width="15.26953125" style="3" bestFit="1" customWidth="1"/>
    <col min="10037" max="10037" width="14.26953125" style="3" bestFit="1" customWidth="1"/>
    <col min="10038" max="10038" width="13" style="3" bestFit="1" customWidth="1"/>
    <col min="10039" max="10210" width="8.7265625" style="3"/>
    <col min="10211" max="10211" width="2.7265625" style="3" customWidth="1"/>
    <col min="10212" max="10212" width="3.54296875" style="3" customWidth="1"/>
    <col min="10213" max="10213" width="7" style="3" customWidth="1"/>
    <col min="10214" max="10214" width="23" style="3" customWidth="1"/>
    <col min="10215" max="10215" width="13.26953125" style="3" customWidth="1"/>
    <col min="10216" max="10216" width="17.453125" style="3" bestFit="1" customWidth="1"/>
    <col min="10217" max="10217" width="11.54296875" style="3" bestFit="1" customWidth="1"/>
    <col min="10218" max="10218" width="7.81640625" style="3" customWidth="1"/>
    <col min="10219" max="10219" width="11.54296875" style="3" bestFit="1" customWidth="1"/>
    <col min="10220" max="10220" width="7" style="3" customWidth="1"/>
    <col min="10221" max="10221" width="18.1796875" style="3" customWidth="1"/>
    <col min="10222" max="10222" width="7" style="3" customWidth="1"/>
    <col min="10223" max="10223" width="15.54296875" style="3" customWidth="1"/>
    <col min="10224" max="10224" width="7.81640625" style="3" customWidth="1"/>
    <col min="10225" max="10225" width="15.54296875" style="3" customWidth="1"/>
    <col min="10226" max="10226" width="7.81640625" style="3" bestFit="1" customWidth="1"/>
    <col min="10227" max="10227" width="15.7265625" style="3" bestFit="1" customWidth="1"/>
    <col min="10228" max="10228" width="7.54296875" style="3" customWidth="1"/>
    <col min="10229" max="10229" width="14" style="3" customWidth="1"/>
    <col min="10230" max="10230" width="7.81640625" style="3" customWidth="1"/>
    <col min="10231" max="10231" width="14" style="3" customWidth="1"/>
    <col min="10232" max="10232" width="7.81640625" style="3" customWidth="1"/>
    <col min="10233" max="10233" width="14" style="3" customWidth="1"/>
    <col min="10234" max="10234" width="9" style="3" customWidth="1"/>
    <col min="10235" max="10235" width="15.1796875" style="3" customWidth="1"/>
    <col min="10236" max="10236" width="13" style="3" bestFit="1" customWidth="1"/>
    <col min="10237" max="10237" width="15.1796875" style="3" bestFit="1" customWidth="1"/>
    <col min="10238" max="10238" width="7.54296875" style="3" customWidth="1"/>
    <col min="10239" max="10239" width="14" style="3" customWidth="1"/>
    <col min="10240" max="10240" width="7.81640625" style="3" customWidth="1"/>
    <col min="10241" max="10241" width="14" style="3" customWidth="1"/>
    <col min="10242" max="10242" width="7.81640625" style="3" customWidth="1"/>
    <col min="10243" max="10243" width="14" style="3" customWidth="1"/>
    <col min="10244" max="10244" width="9" style="3" bestFit="1" customWidth="1"/>
    <col min="10245" max="10245" width="15.1796875" style="3" bestFit="1" customWidth="1"/>
    <col min="10246" max="10246" width="9" style="3" bestFit="1" customWidth="1"/>
    <col min="10247" max="10247" width="15.1796875" style="3" bestFit="1" customWidth="1"/>
    <col min="10248" max="10248" width="6.453125" style="3" customWidth="1"/>
    <col min="10249" max="10249" width="12.7265625" style="3" customWidth="1"/>
    <col min="10250" max="10250" width="6.453125" style="3" customWidth="1"/>
    <col min="10251" max="10251" width="12.7265625" style="3" customWidth="1"/>
    <col min="10252" max="10252" width="6" style="3" customWidth="1"/>
    <col min="10253" max="10253" width="12.7265625" style="3" customWidth="1"/>
    <col min="10254" max="10254" width="9.54296875" style="3" customWidth="1"/>
    <col min="10255" max="10255" width="14" style="3" bestFit="1" customWidth="1"/>
    <col min="10256" max="10256" width="8.7265625" style="3" bestFit="1" customWidth="1"/>
    <col min="10257" max="10257" width="13.54296875" style="3" customWidth="1"/>
    <col min="10258" max="10258" width="6" style="3" customWidth="1"/>
    <col min="10259" max="10259" width="13.7265625" style="3" customWidth="1"/>
    <col min="10260" max="10260" width="6" style="3" customWidth="1"/>
    <col min="10261" max="10261" width="12.7265625" style="3" customWidth="1"/>
    <col min="10262" max="10262" width="6.81640625" style="3" customWidth="1"/>
    <col min="10263" max="10263" width="12.7265625" style="3" customWidth="1"/>
    <col min="10264" max="10264" width="6.81640625" style="3" customWidth="1"/>
    <col min="10265" max="10265" width="15.7265625" style="3" bestFit="1" customWidth="1"/>
    <col min="10266" max="10266" width="8.54296875" style="3" bestFit="1" customWidth="1"/>
    <col min="10267" max="10267" width="13.54296875" style="3" customWidth="1"/>
    <col min="10268" max="10268" width="6" style="3" customWidth="1"/>
    <col min="10269" max="10269" width="13.7265625" style="3" customWidth="1"/>
    <col min="10270" max="10270" width="6" style="3" customWidth="1"/>
    <col min="10271" max="10271" width="12.7265625" style="3" customWidth="1"/>
    <col min="10272" max="10272" width="6.81640625" style="3" customWidth="1"/>
    <col min="10273" max="10273" width="12.7265625" style="3" customWidth="1"/>
    <col min="10274" max="10274" width="6.81640625" style="3" customWidth="1"/>
    <col min="10275" max="10275" width="16.453125" style="3" bestFit="1" customWidth="1"/>
    <col min="10276" max="10276" width="9.54296875" style="3" bestFit="1" customWidth="1"/>
    <col min="10277" max="10277" width="17.453125" style="3" bestFit="1" customWidth="1"/>
    <col min="10278" max="10278" width="6" style="3" customWidth="1"/>
    <col min="10279" max="10279" width="13.7265625" style="3" customWidth="1"/>
    <col min="10280" max="10280" width="6" style="3" customWidth="1"/>
    <col min="10281" max="10281" width="12.7265625" style="3" customWidth="1"/>
    <col min="10282" max="10282" width="6.81640625" style="3" customWidth="1"/>
    <col min="10283" max="10283" width="12.7265625" style="3" customWidth="1"/>
    <col min="10284" max="10284" width="6.81640625" style="3" customWidth="1"/>
    <col min="10285" max="10285" width="15.453125" style="3" bestFit="1" customWidth="1"/>
    <col min="10286" max="10286" width="9.54296875" style="3" bestFit="1" customWidth="1"/>
    <col min="10287" max="10287" width="17.453125" style="3" bestFit="1" customWidth="1"/>
    <col min="10288" max="10288" width="8" style="3" customWidth="1"/>
    <col min="10289" max="10289" width="12.1796875" style="3" customWidth="1"/>
    <col min="10290" max="10290" width="8" style="3" customWidth="1"/>
    <col min="10291" max="10291" width="20" style="3" customWidth="1"/>
    <col min="10292" max="10292" width="15.26953125" style="3" bestFit="1" customWidth="1"/>
    <col min="10293" max="10293" width="14.26953125" style="3" bestFit="1" customWidth="1"/>
    <col min="10294" max="10294" width="13" style="3" bestFit="1" customWidth="1"/>
    <col min="10295" max="10466" width="8.7265625" style="3"/>
    <col min="10467" max="10467" width="2.7265625" style="3" customWidth="1"/>
    <col min="10468" max="10468" width="3.54296875" style="3" customWidth="1"/>
    <col min="10469" max="10469" width="7" style="3" customWidth="1"/>
    <col min="10470" max="10470" width="23" style="3" customWidth="1"/>
    <col min="10471" max="10471" width="13.26953125" style="3" customWidth="1"/>
    <col min="10472" max="10472" width="17.453125" style="3" bestFit="1" customWidth="1"/>
    <col min="10473" max="10473" width="11.54296875" style="3" bestFit="1" customWidth="1"/>
    <col min="10474" max="10474" width="7.81640625" style="3" customWidth="1"/>
    <col min="10475" max="10475" width="11.54296875" style="3" bestFit="1" customWidth="1"/>
    <col min="10476" max="10476" width="7" style="3" customWidth="1"/>
    <col min="10477" max="10477" width="18.1796875" style="3" customWidth="1"/>
    <col min="10478" max="10478" width="7" style="3" customWidth="1"/>
    <col min="10479" max="10479" width="15.54296875" style="3" customWidth="1"/>
    <col min="10480" max="10480" width="7.81640625" style="3" customWidth="1"/>
    <col min="10481" max="10481" width="15.54296875" style="3" customWidth="1"/>
    <col min="10482" max="10482" width="7.81640625" style="3" bestFit="1" customWidth="1"/>
    <col min="10483" max="10483" width="15.7265625" style="3" bestFit="1" customWidth="1"/>
    <col min="10484" max="10484" width="7.54296875" style="3" customWidth="1"/>
    <col min="10485" max="10485" width="14" style="3" customWidth="1"/>
    <col min="10486" max="10486" width="7.81640625" style="3" customWidth="1"/>
    <col min="10487" max="10487" width="14" style="3" customWidth="1"/>
    <col min="10488" max="10488" width="7.81640625" style="3" customWidth="1"/>
    <col min="10489" max="10489" width="14" style="3" customWidth="1"/>
    <col min="10490" max="10490" width="9" style="3" customWidth="1"/>
    <col min="10491" max="10491" width="15.1796875" style="3" customWidth="1"/>
    <col min="10492" max="10492" width="13" style="3" bestFit="1" customWidth="1"/>
    <col min="10493" max="10493" width="15.1796875" style="3" bestFit="1" customWidth="1"/>
    <col min="10494" max="10494" width="7.54296875" style="3" customWidth="1"/>
    <col min="10495" max="10495" width="14" style="3" customWidth="1"/>
    <col min="10496" max="10496" width="7.81640625" style="3" customWidth="1"/>
    <col min="10497" max="10497" width="14" style="3" customWidth="1"/>
    <col min="10498" max="10498" width="7.81640625" style="3" customWidth="1"/>
    <col min="10499" max="10499" width="14" style="3" customWidth="1"/>
    <col min="10500" max="10500" width="9" style="3" bestFit="1" customWidth="1"/>
    <col min="10501" max="10501" width="15.1796875" style="3" bestFit="1" customWidth="1"/>
    <col min="10502" max="10502" width="9" style="3" bestFit="1" customWidth="1"/>
    <col min="10503" max="10503" width="15.1796875" style="3" bestFit="1" customWidth="1"/>
    <col min="10504" max="10504" width="6.453125" style="3" customWidth="1"/>
    <col min="10505" max="10505" width="12.7265625" style="3" customWidth="1"/>
    <col min="10506" max="10506" width="6.453125" style="3" customWidth="1"/>
    <col min="10507" max="10507" width="12.7265625" style="3" customWidth="1"/>
    <col min="10508" max="10508" width="6" style="3" customWidth="1"/>
    <col min="10509" max="10509" width="12.7265625" style="3" customWidth="1"/>
    <col min="10510" max="10510" width="9.54296875" style="3" customWidth="1"/>
    <col min="10511" max="10511" width="14" style="3" bestFit="1" customWidth="1"/>
    <col min="10512" max="10512" width="8.7265625" style="3" bestFit="1" customWidth="1"/>
    <col min="10513" max="10513" width="13.54296875" style="3" customWidth="1"/>
    <col min="10514" max="10514" width="6" style="3" customWidth="1"/>
    <col min="10515" max="10515" width="13.7265625" style="3" customWidth="1"/>
    <col min="10516" max="10516" width="6" style="3" customWidth="1"/>
    <col min="10517" max="10517" width="12.7265625" style="3" customWidth="1"/>
    <col min="10518" max="10518" width="6.81640625" style="3" customWidth="1"/>
    <col min="10519" max="10519" width="12.7265625" style="3" customWidth="1"/>
    <col min="10520" max="10520" width="6.81640625" style="3" customWidth="1"/>
    <col min="10521" max="10521" width="15.7265625" style="3" bestFit="1" customWidth="1"/>
    <col min="10522" max="10522" width="8.54296875" style="3" bestFit="1" customWidth="1"/>
    <col min="10523" max="10523" width="13.54296875" style="3" customWidth="1"/>
    <col min="10524" max="10524" width="6" style="3" customWidth="1"/>
    <col min="10525" max="10525" width="13.7265625" style="3" customWidth="1"/>
    <col min="10526" max="10526" width="6" style="3" customWidth="1"/>
    <col min="10527" max="10527" width="12.7265625" style="3" customWidth="1"/>
    <col min="10528" max="10528" width="6.81640625" style="3" customWidth="1"/>
    <col min="10529" max="10529" width="12.7265625" style="3" customWidth="1"/>
    <col min="10530" max="10530" width="6.81640625" style="3" customWidth="1"/>
    <col min="10531" max="10531" width="16.453125" style="3" bestFit="1" customWidth="1"/>
    <col min="10532" max="10532" width="9.54296875" style="3" bestFit="1" customWidth="1"/>
    <col min="10533" max="10533" width="17.453125" style="3" bestFit="1" customWidth="1"/>
    <col min="10534" max="10534" width="6" style="3" customWidth="1"/>
    <col min="10535" max="10535" width="13.7265625" style="3" customWidth="1"/>
    <col min="10536" max="10536" width="6" style="3" customWidth="1"/>
    <col min="10537" max="10537" width="12.7265625" style="3" customWidth="1"/>
    <col min="10538" max="10538" width="6.81640625" style="3" customWidth="1"/>
    <col min="10539" max="10539" width="12.7265625" style="3" customWidth="1"/>
    <col min="10540" max="10540" width="6.81640625" style="3" customWidth="1"/>
    <col min="10541" max="10541" width="15.453125" style="3" bestFit="1" customWidth="1"/>
    <col min="10542" max="10542" width="9.54296875" style="3" bestFit="1" customWidth="1"/>
    <col min="10543" max="10543" width="17.453125" style="3" bestFit="1" customWidth="1"/>
    <col min="10544" max="10544" width="8" style="3" customWidth="1"/>
    <col min="10545" max="10545" width="12.1796875" style="3" customWidth="1"/>
    <col min="10546" max="10546" width="8" style="3" customWidth="1"/>
    <col min="10547" max="10547" width="20" style="3" customWidth="1"/>
    <col min="10548" max="10548" width="15.26953125" style="3" bestFit="1" customWidth="1"/>
    <col min="10549" max="10549" width="14.26953125" style="3" bestFit="1" customWidth="1"/>
    <col min="10550" max="10550" width="13" style="3" bestFit="1" customWidth="1"/>
    <col min="10551" max="10722" width="8.7265625" style="3"/>
    <col min="10723" max="10723" width="2.7265625" style="3" customWidth="1"/>
    <col min="10724" max="10724" width="3.54296875" style="3" customWidth="1"/>
    <col min="10725" max="10725" width="7" style="3" customWidth="1"/>
    <col min="10726" max="10726" width="23" style="3" customWidth="1"/>
    <col min="10727" max="10727" width="13.26953125" style="3" customWidth="1"/>
    <col min="10728" max="10728" width="17.453125" style="3" bestFit="1" customWidth="1"/>
    <col min="10729" max="10729" width="11.54296875" style="3" bestFit="1" customWidth="1"/>
    <col min="10730" max="10730" width="7.81640625" style="3" customWidth="1"/>
    <col min="10731" max="10731" width="11.54296875" style="3" bestFit="1" customWidth="1"/>
    <col min="10732" max="10732" width="7" style="3" customWidth="1"/>
    <col min="10733" max="10733" width="18.1796875" style="3" customWidth="1"/>
    <col min="10734" max="10734" width="7" style="3" customWidth="1"/>
    <col min="10735" max="10735" width="15.54296875" style="3" customWidth="1"/>
    <col min="10736" max="10736" width="7.81640625" style="3" customWidth="1"/>
    <col min="10737" max="10737" width="15.54296875" style="3" customWidth="1"/>
    <col min="10738" max="10738" width="7.81640625" style="3" bestFit="1" customWidth="1"/>
    <col min="10739" max="10739" width="15.7265625" style="3" bestFit="1" customWidth="1"/>
    <col min="10740" max="10740" width="7.54296875" style="3" customWidth="1"/>
    <col min="10741" max="10741" width="14" style="3" customWidth="1"/>
    <col min="10742" max="10742" width="7.81640625" style="3" customWidth="1"/>
    <col min="10743" max="10743" width="14" style="3" customWidth="1"/>
    <col min="10744" max="10744" width="7.81640625" style="3" customWidth="1"/>
    <col min="10745" max="10745" width="14" style="3" customWidth="1"/>
    <col min="10746" max="10746" width="9" style="3" customWidth="1"/>
    <col min="10747" max="10747" width="15.1796875" style="3" customWidth="1"/>
    <col min="10748" max="10748" width="13" style="3" bestFit="1" customWidth="1"/>
    <col min="10749" max="10749" width="15.1796875" style="3" bestFit="1" customWidth="1"/>
    <col min="10750" max="10750" width="7.54296875" style="3" customWidth="1"/>
    <col min="10751" max="10751" width="14" style="3" customWidth="1"/>
    <col min="10752" max="10752" width="7.81640625" style="3" customWidth="1"/>
    <col min="10753" max="10753" width="14" style="3" customWidth="1"/>
    <col min="10754" max="10754" width="7.81640625" style="3" customWidth="1"/>
    <col min="10755" max="10755" width="14" style="3" customWidth="1"/>
    <col min="10756" max="10756" width="9" style="3" bestFit="1" customWidth="1"/>
    <col min="10757" max="10757" width="15.1796875" style="3" bestFit="1" customWidth="1"/>
    <col min="10758" max="10758" width="9" style="3" bestFit="1" customWidth="1"/>
    <col min="10759" max="10759" width="15.1796875" style="3" bestFit="1" customWidth="1"/>
    <col min="10760" max="10760" width="6.453125" style="3" customWidth="1"/>
    <col min="10761" max="10761" width="12.7265625" style="3" customWidth="1"/>
    <col min="10762" max="10762" width="6.453125" style="3" customWidth="1"/>
    <col min="10763" max="10763" width="12.7265625" style="3" customWidth="1"/>
    <col min="10764" max="10764" width="6" style="3" customWidth="1"/>
    <col min="10765" max="10765" width="12.7265625" style="3" customWidth="1"/>
    <col min="10766" max="10766" width="9.54296875" style="3" customWidth="1"/>
    <col min="10767" max="10767" width="14" style="3" bestFit="1" customWidth="1"/>
    <col min="10768" max="10768" width="8.7265625" style="3" bestFit="1" customWidth="1"/>
    <col min="10769" max="10769" width="13.54296875" style="3" customWidth="1"/>
    <col min="10770" max="10770" width="6" style="3" customWidth="1"/>
    <col min="10771" max="10771" width="13.7265625" style="3" customWidth="1"/>
    <col min="10772" max="10772" width="6" style="3" customWidth="1"/>
    <col min="10773" max="10773" width="12.7265625" style="3" customWidth="1"/>
    <col min="10774" max="10774" width="6.81640625" style="3" customWidth="1"/>
    <col min="10775" max="10775" width="12.7265625" style="3" customWidth="1"/>
    <col min="10776" max="10776" width="6.81640625" style="3" customWidth="1"/>
    <col min="10777" max="10777" width="15.7265625" style="3" bestFit="1" customWidth="1"/>
    <col min="10778" max="10778" width="8.54296875" style="3" bestFit="1" customWidth="1"/>
    <col min="10779" max="10779" width="13.54296875" style="3" customWidth="1"/>
    <col min="10780" max="10780" width="6" style="3" customWidth="1"/>
    <col min="10781" max="10781" width="13.7265625" style="3" customWidth="1"/>
    <col min="10782" max="10782" width="6" style="3" customWidth="1"/>
    <col min="10783" max="10783" width="12.7265625" style="3" customWidth="1"/>
    <col min="10784" max="10784" width="6.81640625" style="3" customWidth="1"/>
    <col min="10785" max="10785" width="12.7265625" style="3" customWidth="1"/>
    <col min="10786" max="10786" width="6.81640625" style="3" customWidth="1"/>
    <col min="10787" max="10787" width="16.453125" style="3" bestFit="1" customWidth="1"/>
    <col min="10788" max="10788" width="9.54296875" style="3" bestFit="1" customWidth="1"/>
    <col min="10789" max="10789" width="17.453125" style="3" bestFit="1" customWidth="1"/>
    <col min="10790" max="10790" width="6" style="3" customWidth="1"/>
    <col min="10791" max="10791" width="13.7265625" style="3" customWidth="1"/>
    <col min="10792" max="10792" width="6" style="3" customWidth="1"/>
    <col min="10793" max="10793" width="12.7265625" style="3" customWidth="1"/>
    <col min="10794" max="10794" width="6.81640625" style="3" customWidth="1"/>
    <col min="10795" max="10795" width="12.7265625" style="3" customWidth="1"/>
    <col min="10796" max="10796" width="6.81640625" style="3" customWidth="1"/>
    <col min="10797" max="10797" width="15.453125" style="3" bestFit="1" customWidth="1"/>
    <col min="10798" max="10798" width="9.54296875" style="3" bestFit="1" customWidth="1"/>
    <col min="10799" max="10799" width="17.453125" style="3" bestFit="1" customWidth="1"/>
    <col min="10800" max="10800" width="8" style="3" customWidth="1"/>
    <col min="10801" max="10801" width="12.1796875" style="3" customWidth="1"/>
    <col min="10802" max="10802" width="8" style="3" customWidth="1"/>
    <col min="10803" max="10803" width="20" style="3" customWidth="1"/>
    <col min="10804" max="10804" width="15.26953125" style="3" bestFit="1" customWidth="1"/>
    <col min="10805" max="10805" width="14.26953125" style="3" bestFit="1" customWidth="1"/>
    <col min="10806" max="10806" width="13" style="3" bestFit="1" customWidth="1"/>
    <col min="10807" max="10978" width="8.7265625" style="3"/>
    <col min="10979" max="10979" width="2.7265625" style="3" customWidth="1"/>
    <col min="10980" max="10980" width="3.54296875" style="3" customWidth="1"/>
    <col min="10981" max="10981" width="7" style="3" customWidth="1"/>
    <col min="10982" max="10982" width="23" style="3" customWidth="1"/>
    <col min="10983" max="10983" width="13.26953125" style="3" customWidth="1"/>
    <col min="10984" max="10984" width="17.453125" style="3" bestFit="1" customWidth="1"/>
    <col min="10985" max="10985" width="11.54296875" style="3" bestFit="1" customWidth="1"/>
    <col min="10986" max="10986" width="7.81640625" style="3" customWidth="1"/>
    <col min="10987" max="10987" width="11.54296875" style="3" bestFit="1" customWidth="1"/>
    <col min="10988" max="10988" width="7" style="3" customWidth="1"/>
    <col min="10989" max="10989" width="18.1796875" style="3" customWidth="1"/>
    <col min="10990" max="10990" width="7" style="3" customWidth="1"/>
    <col min="10991" max="10991" width="15.54296875" style="3" customWidth="1"/>
    <col min="10992" max="10992" width="7.81640625" style="3" customWidth="1"/>
    <col min="10993" max="10993" width="15.54296875" style="3" customWidth="1"/>
    <col min="10994" max="10994" width="7.81640625" style="3" bestFit="1" customWidth="1"/>
    <col min="10995" max="10995" width="15.7265625" style="3" bestFit="1" customWidth="1"/>
    <col min="10996" max="10996" width="7.54296875" style="3" customWidth="1"/>
    <col min="10997" max="10997" width="14" style="3" customWidth="1"/>
    <col min="10998" max="10998" width="7.81640625" style="3" customWidth="1"/>
    <col min="10999" max="10999" width="14" style="3" customWidth="1"/>
    <col min="11000" max="11000" width="7.81640625" style="3" customWidth="1"/>
    <col min="11001" max="11001" width="14" style="3" customWidth="1"/>
    <col min="11002" max="11002" width="9" style="3" customWidth="1"/>
    <col min="11003" max="11003" width="15.1796875" style="3" customWidth="1"/>
    <col min="11004" max="11004" width="13" style="3" bestFit="1" customWidth="1"/>
    <col min="11005" max="11005" width="15.1796875" style="3" bestFit="1" customWidth="1"/>
    <col min="11006" max="11006" width="7.54296875" style="3" customWidth="1"/>
    <col min="11007" max="11007" width="14" style="3" customWidth="1"/>
    <col min="11008" max="11008" width="7.81640625" style="3" customWidth="1"/>
    <col min="11009" max="11009" width="14" style="3" customWidth="1"/>
    <col min="11010" max="11010" width="7.81640625" style="3" customWidth="1"/>
    <col min="11011" max="11011" width="14" style="3" customWidth="1"/>
    <col min="11012" max="11012" width="9" style="3" bestFit="1" customWidth="1"/>
    <col min="11013" max="11013" width="15.1796875" style="3" bestFit="1" customWidth="1"/>
    <col min="11014" max="11014" width="9" style="3" bestFit="1" customWidth="1"/>
    <col min="11015" max="11015" width="15.1796875" style="3" bestFit="1" customWidth="1"/>
    <col min="11016" max="11016" width="6.453125" style="3" customWidth="1"/>
    <col min="11017" max="11017" width="12.7265625" style="3" customWidth="1"/>
    <col min="11018" max="11018" width="6.453125" style="3" customWidth="1"/>
    <col min="11019" max="11019" width="12.7265625" style="3" customWidth="1"/>
    <col min="11020" max="11020" width="6" style="3" customWidth="1"/>
    <col min="11021" max="11021" width="12.7265625" style="3" customWidth="1"/>
    <col min="11022" max="11022" width="9.54296875" style="3" customWidth="1"/>
    <col min="11023" max="11023" width="14" style="3" bestFit="1" customWidth="1"/>
    <col min="11024" max="11024" width="8.7265625" style="3" bestFit="1" customWidth="1"/>
    <col min="11025" max="11025" width="13.54296875" style="3" customWidth="1"/>
    <col min="11026" max="11026" width="6" style="3" customWidth="1"/>
    <col min="11027" max="11027" width="13.7265625" style="3" customWidth="1"/>
    <col min="11028" max="11028" width="6" style="3" customWidth="1"/>
    <col min="11029" max="11029" width="12.7265625" style="3" customWidth="1"/>
    <col min="11030" max="11030" width="6.81640625" style="3" customWidth="1"/>
    <col min="11031" max="11031" width="12.7265625" style="3" customWidth="1"/>
    <col min="11032" max="11032" width="6.81640625" style="3" customWidth="1"/>
    <col min="11033" max="11033" width="15.7265625" style="3" bestFit="1" customWidth="1"/>
    <col min="11034" max="11034" width="8.54296875" style="3" bestFit="1" customWidth="1"/>
    <col min="11035" max="11035" width="13.54296875" style="3" customWidth="1"/>
    <col min="11036" max="11036" width="6" style="3" customWidth="1"/>
    <col min="11037" max="11037" width="13.7265625" style="3" customWidth="1"/>
    <col min="11038" max="11038" width="6" style="3" customWidth="1"/>
    <col min="11039" max="11039" width="12.7265625" style="3" customWidth="1"/>
    <col min="11040" max="11040" width="6.81640625" style="3" customWidth="1"/>
    <col min="11041" max="11041" width="12.7265625" style="3" customWidth="1"/>
    <col min="11042" max="11042" width="6.81640625" style="3" customWidth="1"/>
    <col min="11043" max="11043" width="16.453125" style="3" bestFit="1" customWidth="1"/>
    <col min="11044" max="11044" width="9.54296875" style="3" bestFit="1" customWidth="1"/>
    <col min="11045" max="11045" width="17.453125" style="3" bestFit="1" customWidth="1"/>
    <col min="11046" max="11046" width="6" style="3" customWidth="1"/>
    <col min="11047" max="11047" width="13.7265625" style="3" customWidth="1"/>
    <col min="11048" max="11048" width="6" style="3" customWidth="1"/>
    <col min="11049" max="11049" width="12.7265625" style="3" customWidth="1"/>
    <col min="11050" max="11050" width="6.81640625" style="3" customWidth="1"/>
    <col min="11051" max="11051" width="12.7265625" style="3" customWidth="1"/>
    <col min="11052" max="11052" width="6.81640625" style="3" customWidth="1"/>
    <col min="11053" max="11053" width="15.453125" style="3" bestFit="1" customWidth="1"/>
    <col min="11054" max="11054" width="9.54296875" style="3" bestFit="1" customWidth="1"/>
    <col min="11055" max="11055" width="17.453125" style="3" bestFit="1" customWidth="1"/>
    <col min="11056" max="11056" width="8" style="3" customWidth="1"/>
    <col min="11057" max="11057" width="12.1796875" style="3" customWidth="1"/>
    <col min="11058" max="11058" width="8" style="3" customWidth="1"/>
    <col min="11059" max="11059" width="20" style="3" customWidth="1"/>
    <col min="11060" max="11060" width="15.26953125" style="3" bestFit="1" customWidth="1"/>
    <col min="11061" max="11061" width="14.26953125" style="3" bestFit="1" customWidth="1"/>
    <col min="11062" max="11062" width="13" style="3" bestFit="1" customWidth="1"/>
    <col min="11063" max="11234" width="8.7265625" style="3"/>
    <col min="11235" max="11235" width="2.7265625" style="3" customWidth="1"/>
    <col min="11236" max="11236" width="3.54296875" style="3" customWidth="1"/>
    <col min="11237" max="11237" width="7" style="3" customWidth="1"/>
    <col min="11238" max="11238" width="23" style="3" customWidth="1"/>
    <col min="11239" max="11239" width="13.26953125" style="3" customWidth="1"/>
    <col min="11240" max="11240" width="17.453125" style="3" bestFit="1" customWidth="1"/>
    <col min="11241" max="11241" width="11.54296875" style="3" bestFit="1" customWidth="1"/>
    <col min="11242" max="11242" width="7.81640625" style="3" customWidth="1"/>
    <col min="11243" max="11243" width="11.54296875" style="3" bestFit="1" customWidth="1"/>
    <col min="11244" max="11244" width="7" style="3" customWidth="1"/>
    <col min="11245" max="11245" width="18.1796875" style="3" customWidth="1"/>
    <col min="11246" max="11246" width="7" style="3" customWidth="1"/>
    <col min="11247" max="11247" width="15.54296875" style="3" customWidth="1"/>
    <col min="11248" max="11248" width="7.81640625" style="3" customWidth="1"/>
    <col min="11249" max="11249" width="15.54296875" style="3" customWidth="1"/>
    <col min="11250" max="11250" width="7.81640625" style="3" bestFit="1" customWidth="1"/>
    <col min="11251" max="11251" width="15.7265625" style="3" bestFit="1" customWidth="1"/>
    <col min="11252" max="11252" width="7.54296875" style="3" customWidth="1"/>
    <col min="11253" max="11253" width="14" style="3" customWidth="1"/>
    <col min="11254" max="11254" width="7.81640625" style="3" customWidth="1"/>
    <col min="11255" max="11255" width="14" style="3" customWidth="1"/>
    <col min="11256" max="11256" width="7.81640625" style="3" customWidth="1"/>
    <col min="11257" max="11257" width="14" style="3" customWidth="1"/>
    <col min="11258" max="11258" width="9" style="3" customWidth="1"/>
    <col min="11259" max="11259" width="15.1796875" style="3" customWidth="1"/>
    <col min="11260" max="11260" width="13" style="3" bestFit="1" customWidth="1"/>
    <col min="11261" max="11261" width="15.1796875" style="3" bestFit="1" customWidth="1"/>
    <col min="11262" max="11262" width="7.54296875" style="3" customWidth="1"/>
    <col min="11263" max="11263" width="14" style="3" customWidth="1"/>
    <col min="11264" max="11264" width="7.81640625" style="3" customWidth="1"/>
    <col min="11265" max="11265" width="14" style="3" customWidth="1"/>
    <col min="11266" max="11266" width="7.81640625" style="3" customWidth="1"/>
    <col min="11267" max="11267" width="14" style="3" customWidth="1"/>
    <col min="11268" max="11268" width="9" style="3" bestFit="1" customWidth="1"/>
    <col min="11269" max="11269" width="15.1796875" style="3" bestFit="1" customWidth="1"/>
    <col min="11270" max="11270" width="9" style="3" bestFit="1" customWidth="1"/>
    <col min="11271" max="11271" width="15.1796875" style="3" bestFit="1" customWidth="1"/>
    <col min="11272" max="11272" width="6.453125" style="3" customWidth="1"/>
    <col min="11273" max="11273" width="12.7265625" style="3" customWidth="1"/>
    <col min="11274" max="11274" width="6.453125" style="3" customWidth="1"/>
    <col min="11275" max="11275" width="12.7265625" style="3" customWidth="1"/>
    <col min="11276" max="11276" width="6" style="3" customWidth="1"/>
    <col min="11277" max="11277" width="12.7265625" style="3" customWidth="1"/>
    <col min="11278" max="11278" width="9.54296875" style="3" customWidth="1"/>
    <col min="11279" max="11279" width="14" style="3" bestFit="1" customWidth="1"/>
    <col min="11280" max="11280" width="8.7265625" style="3" bestFit="1" customWidth="1"/>
    <col min="11281" max="11281" width="13.54296875" style="3" customWidth="1"/>
    <col min="11282" max="11282" width="6" style="3" customWidth="1"/>
    <col min="11283" max="11283" width="13.7265625" style="3" customWidth="1"/>
    <col min="11284" max="11284" width="6" style="3" customWidth="1"/>
    <col min="11285" max="11285" width="12.7265625" style="3" customWidth="1"/>
    <col min="11286" max="11286" width="6.81640625" style="3" customWidth="1"/>
    <col min="11287" max="11287" width="12.7265625" style="3" customWidth="1"/>
    <col min="11288" max="11288" width="6.81640625" style="3" customWidth="1"/>
    <col min="11289" max="11289" width="15.7265625" style="3" bestFit="1" customWidth="1"/>
    <col min="11290" max="11290" width="8.54296875" style="3" bestFit="1" customWidth="1"/>
    <col min="11291" max="11291" width="13.54296875" style="3" customWidth="1"/>
    <col min="11292" max="11292" width="6" style="3" customWidth="1"/>
    <col min="11293" max="11293" width="13.7265625" style="3" customWidth="1"/>
    <col min="11294" max="11294" width="6" style="3" customWidth="1"/>
    <col min="11295" max="11295" width="12.7265625" style="3" customWidth="1"/>
    <col min="11296" max="11296" width="6.81640625" style="3" customWidth="1"/>
    <col min="11297" max="11297" width="12.7265625" style="3" customWidth="1"/>
    <col min="11298" max="11298" width="6.81640625" style="3" customWidth="1"/>
    <col min="11299" max="11299" width="16.453125" style="3" bestFit="1" customWidth="1"/>
    <col min="11300" max="11300" width="9.54296875" style="3" bestFit="1" customWidth="1"/>
    <col min="11301" max="11301" width="17.453125" style="3" bestFit="1" customWidth="1"/>
    <col min="11302" max="11302" width="6" style="3" customWidth="1"/>
    <col min="11303" max="11303" width="13.7265625" style="3" customWidth="1"/>
    <col min="11304" max="11304" width="6" style="3" customWidth="1"/>
    <col min="11305" max="11305" width="12.7265625" style="3" customWidth="1"/>
    <col min="11306" max="11306" width="6.81640625" style="3" customWidth="1"/>
    <col min="11307" max="11307" width="12.7265625" style="3" customWidth="1"/>
    <col min="11308" max="11308" width="6.81640625" style="3" customWidth="1"/>
    <col min="11309" max="11309" width="15.453125" style="3" bestFit="1" customWidth="1"/>
    <col min="11310" max="11310" width="9.54296875" style="3" bestFit="1" customWidth="1"/>
    <col min="11311" max="11311" width="17.453125" style="3" bestFit="1" customWidth="1"/>
    <col min="11312" max="11312" width="8" style="3" customWidth="1"/>
    <col min="11313" max="11313" width="12.1796875" style="3" customWidth="1"/>
    <col min="11314" max="11314" width="8" style="3" customWidth="1"/>
    <col min="11315" max="11315" width="20" style="3" customWidth="1"/>
    <col min="11316" max="11316" width="15.26953125" style="3" bestFit="1" customWidth="1"/>
    <col min="11317" max="11317" width="14.26953125" style="3" bestFit="1" customWidth="1"/>
    <col min="11318" max="11318" width="13" style="3" bestFit="1" customWidth="1"/>
    <col min="11319" max="11490" width="8.7265625" style="3"/>
    <col min="11491" max="11491" width="2.7265625" style="3" customWidth="1"/>
    <col min="11492" max="11492" width="3.54296875" style="3" customWidth="1"/>
    <col min="11493" max="11493" width="7" style="3" customWidth="1"/>
    <col min="11494" max="11494" width="23" style="3" customWidth="1"/>
    <col min="11495" max="11495" width="13.26953125" style="3" customWidth="1"/>
    <col min="11496" max="11496" width="17.453125" style="3" bestFit="1" customWidth="1"/>
    <col min="11497" max="11497" width="11.54296875" style="3" bestFit="1" customWidth="1"/>
    <col min="11498" max="11498" width="7.81640625" style="3" customWidth="1"/>
    <col min="11499" max="11499" width="11.54296875" style="3" bestFit="1" customWidth="1"/>
    <col min="11500" max="11500" width="7" style="3" customWidth="1"/>
    <col min="11501" max="11501" width="18.1796875" style="3" customWidth="1"/>
    <col min="11502" max="11502" width="7" style="3" customWidth="1"/>
    <col min="11503" max="11503" width="15.54296875" style="3" customWidth="1"/>
    <col min="11504" max="11504" width="7.81640625" style="3" customWidth="1"/>
    <col min="11505" max="11505" width="15.54296875" style="3" customWidth="1"/>
    <col min="11506" max="11506" width="7.81640625" style="3" bestFit="1" customWidth="1"/>
    <col min="11507" max="11507" width="15.7265625" style="3" bestFit="1" customWidth="1"/>
    <col min="11508" max="11508" width="7.54296875" style="3" customWidth="1"/>
    <col min="11509" max="11509" width="14" style="3" customWidth="1"/>
    <col min="11510" max="11510" width="7.81640625" style="3" customWidth="1"/>
    <col min="11511" max="11511" width="14" style="3" customWidth="1"/>
    <col min="11512" max="11512" width="7.81640625" style="3" customWidth="1"/>
    <col min="11513" max="11513" width="14" style="3" customWidth="1"/>
    <col min="11514" max="11514" width="9" style="3" customWidth="1"/>
    <col min="11515" max="11515" width="15.1796875" style="3" customWidth="1"/>
    <col min="11516" max="11516" width="13" style="3" bestFit="1" customWidth="1"/>
    <col min="11517" max="11517" width="15.1796875" style="3" bestFit="1" customWidth="1"/>
    <col min="11518" max="11518" width="7.54296875" style="3" customWidth="1"/>
    <col min="11519" max="11519" width="14" style="3" customWidth="1"/>
    <col min="11520" max="11520" width="7.81640625" style="3" customWidth="1"/>
    <col min="11521" max="11521" width="14" style="3" customWidth="1"/>
    <col min="11522" max="11522" width="7.81640625" style="3" customWidth="1"/>
    <col min="11523" max="11523" width="14" style="3" customWidth="1"/>
    <col min="11524" max="11524" width="9" style="3" bestFit="1" customWidth="1"/>
    <col min="11525" max="11525" width="15.1796875" style="3" bestFit="1" customWidth="1"/>
    <col min="11526" max="11526" width="9" style="3" bestFit="1" customWidth="1"/>
    <col min="11527" max="11527" width="15.1796875" style="3" bestFit="1" customWidth="1"/>
    <col min="11528" max="11528" width="6.453125" style="3" customWidth="1"/>
    <col min="11529" max="11529" width="12.7265625" style="3" customWidth="1"/>
    <col min="11530" max="11530" width="6.453125" style="3" customWidth="1"/>
    <col min="11531" max="11531" width="12.7265625" style="3" customWidth="1"/>
    <col min="11532" max="11532" width="6" style="3" customWidth="1"/>
    <col min="11533" max="11533" width="12.7265625" style="3" customWidth="1"/>
    <col min="11534" max="11534" width="9.54296875" style="3" customWidth="1"/>
    <col min="11535" max="11535" width="14" style="3" bestFit="1" customWidth="1"/>
    <col min="11536" max="11536" width="8.7265625" style="3" bestFit="1" customWidth="1"/>
    <col min="11537" max="11537" width="13.54296875" style="3" customWidth="1"/>
    <col min="11538" max="11538" width="6" style="3" customWidth="1"/>
    <col min="11539" max="11539" width="13.7265625" style="3" customWidth="1"/>
    <col min="11540" max="11540" width="6" style="3" customWidth="1"/>
    <col min="11541" max="11541" width="12.7265625" style="3" customWidth="1"/>
    <col min="11542" max="11542" width="6.81640625" style="3" customWidth="1"/>
    <col min="11543" max="11543" width="12.7265625" style="3" customWidth="1"/>
    <col min="11544" max="11544" width="6.81640625" style="3" customWidth="1"/>
    <col min="11545" max="11545" width="15.7265625" style="3" bestFit="1" customWidth="1"/>
    <col min="11546" max="11546" width="8.54296875" style="3" bestFit="1" customWidth="1"/>
    <col min="11547" max="11547" width="13.54296875" style="3" customWidth="1"/>
    <col min="11548" max="11548" width="6" style="3" customWidth="1"/>
    <col min="11549" max="11549" width="13.7265625" style="3" customWidth="1"/>
    <col min="11550" max="11550" width="6" style="3" customWidth="1"/>
    <col min="11551" max="11551" width="12.7265625" style="3" customWidth="1"/>
    <col min="11552" max="11552" width="6.81640625" style="3" customWidth="1"/>
    <col min="11553" max="11553" width="12.7265625" style="3" customWidth="1"/>
    <col min="11554" max="11554" width="6.81640625" style="3" customWidth="1"/>
    <col min="11555" max="11555" width="16.453125" style="3" bestFit="1" customWidth="1"/>
    <col min="11556" max="11556" width="9.54296875" style="3" bestFit="1" customWidth="1"/>
    <col min="11557" max="11557" width="17.453125" style="3" bestFit="1" customWidth="1"/>
    <col min="11558" max="11558" width="6" style="3" customWidth="1"/>
    <col min="11559" max="11559" width="13.7265625" style="3" customWidth="1"/>
    <col min="11560" max="11560" width="6" style="3" customWidth="1"/>
    <col min="11561" max="11561" width="12.7265625" style="3" customWidth="1"/>
    <col min="11562" max="11562" width="6.81640625" style="3" customWidth="1"/>
    <col min="11563" max="11563" width="12.7265625" style="3" customWidth="1"/>
    <col min="11564" max="11564" width="6.81640625" style="3" customWidth="1"/>
    <col min="11565" max="11565" width="15.453125" style="3" bestFit="1" customWidth="1"/>
    <col min="11566" max="11566" width="9.54296875" style="3" bestFit="1" customWidth="1"/>
    <col min="11567" max="11567" width="17.453125" style="3" bestFit="1" customWidth="1"/>
    <col min="11568" max="11568" width="8" style="3" customWidth="1"/>
    <col min="11569" max="11569" width="12.1796875" style="3" customWidth="1"/>
    <col min="11570" max="11570" width="8" style="3" customWidth="1"/>
    <col min="11571" max="11571" width="20" style="3" customWidth="1"/>
    <col min="11572" max="11572" width="15.26953125" style="3" bestFit="1" customWidth="1"/>
    <col min="11573" max="11573" width="14.26953125" style="3" bestFit="1" customWidth="1"/>
    <col min="11574" max="11574" width="13" style="3" bestFit="1" customWidth="1"/>
    <col min="11575" max="11746" width="8.7265625" style="3"/>
    <col min="11747" max="11747" width="2.7265625" style="3" customWidth="1"/>
    <col min="11748" max="11748" width="3.54296875" style="3" customWidth="1"/>
    <col min="11749" max="11749" width="7" style="3" customWidth="1"/>
    <col min="11750" max="11750" width="23" style="3" customWidth="1"/>
    <col min="11751" max="11751" width="13.26953125" style="3" customWidth="1"/>
    <col min="11752" max="11752" width="17.453125" style="3" bestFit="1" customWidth="1"/>
    <col min="11753" max="11753" width="11.54296875" style="3" bestFit="1" customWidth="1"/>
    <col min="11754" max="11754" width="7.81640625" style="3" customWidth="1"/>
    <col min="11755" max="11755" width="11.54296875" style="3" bestFit="1" customWidth="1"/>
    <col min="11756" max="11756" width="7" style="3" customWidth="1"/>
    <col min="11757" max="11757" width="18.1796875" style="3" customWidth="1"/>
    <col min="11758" max="11758" width="7" style="3" customWidth="1"/>
    <col min="11759" max="11759" width="15.54296875" style="3" customWidth="1"/>
    <col min="11760" max="11760" width="7.81640625" style="3" customWidth="1"/>
    <col min="11761" max="11761" width="15.54296875" style="3" customWidth="1"/>
    <col min="11762" max="11762" width="7.81640625" style="3" bestFit="1" customWidth="1"/>
    <col min="11763" max="11763" width="15.7265625" style="3" bestFit="1" customWidth="1"/>
    <col min="11764" max="11764" width="7.54296875" style="3" customWidth="1"/>
    <col min="11765" max="11765" width="14" style="3" customWidth="1"/>
    <col min="11766" max="11766" width="7.81640625" style="3" customWidth="1"/>
    <col min="11767" max="11767" width="14" style="3" customWidth="1"/>
    <col min="11768" max="11768" width="7.81640625" style="3" customWidth="1"/>
    <col min="11769" max="11769" width="14" style="3" customWidth="1"/>
    <col min="11770" max="11770" width="9" style="3" customWidth="1"/>
    <col min="11771" max="11771" width="15.1796875" style="3" customWidth="1"/>
    <col min="11772" max="11772" width="13" style="3" bestFit="1" customWidth="1"/>
    <col min="11773" max="11773" width="15.1796875" style="3" bestFit="1" customWidth="1"/>
    <col min="11774" max="11774" width="7.54296875" style="3" customWidth="1"/>
    <col min="11775" max="11775" width="14" style="3" customWidth="1"/>
    <col min="11776" max="11776" width="7.81640625" style="3" customWidth="1"/>
    <col min="11777" max="11777" width="14" style="3" customWidth="1"/>
    <col min="11778" max="11778" width="7.81640625" style="3" customWidth="1"/>
    <col min="11779" max="11779" width="14" style="3" customWidth="1"/>
    <col min="11780" max="11780" width="9" style="3" bestFit="1" customWidth="1"/>
    <col min="11781" max="11781" width="15.1796875" style="3" bestFit="1" customWidth="1"/>
    <col min="11782" max="11782" width="9" style="3" bestFit="1" customWidth="1"/>
    <col min="11783" max="11783" width="15.1796875" style="3" bestFit="1" customWidth="1"/>
    <col min="11784" max="11784" width="6.453125" style="3" customWidth="1"/>
    <col min="11785" max="11785" width="12.7265625" style="3" customWidth="1"/>
    <col min="11786" max="11786" width="6.453125" style="3" customWidth="1"/>
    <col min="11787" max="11787" width="12.7265625" style="3" customWidth="1"/>
    <col min="11788" max="11788" width="6" style="3" customWidth="1"/>
    <col min="11789" max="11789" width="12.7265625" style="3" customWidth="1"/>
    <col min="11790" max="11790" width="9.54296875" style="3" customWidth="1"/>
    <col min="11791" max="11791" width="14" style="3" bestFit="1" customWidth="1"/>
    <col min="11792" max="11792" width="8.7265625" style="3" bestFit="1" customWidth="1"/>
    <col min="11793" max="11793" width="13.54296875" style="3" customWidth="1"/>
    <col min="11794" max="11794" width="6" style="3" customWidth="1"/>
    <col min="11795" max="11795" width="13.7265625" style="3" customWidth="1"/>
    <col min="11796" max="11796" width="6" style="3" customWidth="1"/>
    <col min="11797" max="11797" width="12.7265625" style="3" customWidth="1"/>
    <col min="11798" max="11798" width="6.81640625" style="3" customWidth="1"/>
    <col min="11799" max="11799" width="12.7265625" style="3" customWidth="1"/>
    <col min="11800" max="11800" width="6.81640625" style="3" customWidth="1"/>
    <col min="11801" max="11801" width="15.7265625" style="3" bestFit="1" customWidth="1"/>
    <col min="11802" max="11802" width="8.54296875" style="3" bestFit="1" customWidth="1"/>
    <col min="11803" max="11803" width="13.54296875" style="3" customWidth="1"/>
    <col min="11804" max="11804" width="6" style="3" customWidth="1"/>
    <col min="11805" max="11805" width="13.7265625" style="3" customWidth="1"/>
    <col min="11806" max="11806" width="6" style="3" customWidth="1"/>
    <col min="11807" max="11807" width="12.7265625" style="3" customWidth="1"/>
    <col min="11808" max="11808" width="6.81640625" style="3" customWidth="1"/>
    <col min="11809" max="11809" width="12.7265625" style="3" customWidth="1"/>
    <col min="11810" max="11810" width="6.81640625" style="3" customWidth="1"/>
    <col min="11811" max="11811" width="16.453125" style="3" bestFit="1" customWidth="1"/>
    <col min="11812" max="11812" width="9.54296875" style="3" bestFit="1" customWidth="1"/>
    <col min="11813" max="11813" width="17.453125" style="3" bestFit="1" customWidth="1"/>
    <col min="11814" max="11814" width="6" style="3" customWidth="1"/>
    <col min="11815" max="11815" width="13.7265625" style="3" customWidth="1"/>
    <col min="11816" max="11816" width="6" style="3" customWidth="1"/>
    <col min="11817" max="11817" width="12.7265625" style="3" customWidth="1"/>
    <col min="11818" max="11818" width="6.81640625" style="3" customWidth="1"/>
    <col min="11819" max="11819" width="12.7265625" style="3" customWidth="1"/>
    <col min="11820" max="11820" width="6.81640625" style="3" customWidth="1"/>
    <col min="11821" max="11821" width="15.453125" style="3" bestFit="1" customWidth="1"/>
    <col min="11822" max="11822" width="9.54296875" style="3" bestFit="1" customWidth="1"/>
    <col min="11823" max="11823" width="17.453125" style="3" bestFit="1" customWidth="1"/>
    <col min="11824" max="11824" width="8" style="3" customWidth="1"/>
    <col min="11825" max="11825" width="12.1796875" style="3" customWidth="1"/>
    <col min="11826" max="11826" width="8" style="3" customWidth="1"/>
    <col min="11827" max="11827" width="20" style="3" customWidth="1"/>
    <col min="11828" max="11828" width="15.26953125" style="3" bestFit="1" customWidth="1"/>
    <col min="11829" max="11829" width="14.26953125" style="3" bestFit="1" customWidth="1"/>
    <col min="11830" max="11830" width="13" style="3" bestFit="1" customWidth="1"/>
    <col min="11831" max="12002" width="8.7265625" style="3"/>
    <col min="12003" max="12003" width="2.7265625" style="3" customWidth="1"/>
    <col min="12004" max="12004" width="3.54296875" style="3" customWidth="1"/>
    <col min="12005" max="12005" width="7" style="3" customWidth="1"/>
    <col min="12006" max="12006" width="23" style="3" customWidth="1"/>
    <col min="12007" max="12007" width="13.26953125" style="3" customWidth="1"/>
    <col min="12008" max="12008" width="17.453125" style="3" bestFit="1" customWidth="1"/>
    <col min="12009" max="12009" width="11.54296875" style="3" bestFit="1" customWidth="1"/>
    <col min="12010" max="12010" width="7.81640625" style="3" customWidth="1"/>
    <col min="12011" max="12011" width="11.54296875" style="3" bestFit="1" customWidth="1"/>
    <col min="12012" max="12012" width="7" style="3" customWidth="1"/>
    <col min="12013" max="12013" width="18.1796875" style="3" customWidth="1"/>
    <col min="12014" max="12014" width="7" style="3" customWidth="1"/>
    <col min="12015" max="12015" width="15.54296875" style="3" customWidth="1"/>
    <col min="12016" max="12016" width="7.81640625" style="3" customWidth="1"/>
    <col min="12017" max="12017" width="15.54296875" style="3" customWidth="1"/>
    <col min="12018" max="12018" width="7.81640625" style="3" bestFit="1" customWidth="1"/>
    <col min="12019" max="12019" width="15.7265625" style="3" bestFit="1" customWidth="1"/>
    <col min="12020" max="12020" width="7.54296875" style="3" customWidth="1"/>
    <col min="12021" max="12021" width="14" style="3" customWidth="1"/>
    <col min="12022" max="12022" width="7.81640625" style="3" customWidth="1"/>
    <col min="12023" max="12023" width="14" style="3" customWidth="1"/>
    <col min="12024" max="12024" width="7.81640625" style="3" customWidth="1"/>
    <col min="12025" max="12025" width="14" style="3" customWidth="1"/>
    <col min="12026" max="12026" width="9" style="3" customWidth="1"/>
    <col min="12027" max="12027" width="15.1796875" style="3" customWidth="1"/>
    <col min="12028" max="12028" width="13" style="3" bestFit="1" customWidth="1"/>
    <col min="12029" max="12029" width="15.1796875" style="3" bestFit="1" customWidth="1"/>
    <col min="12030" max="12030" width="7.54296875" style="3" customWidth="1"/>
    <col min="12031" max="12031" width="14" style="3" customWidth="1"/>
    <col min="12032" max="12032" width="7.81640625" style="3" customWidth="1"/>
    <col min="12033" max="12033" width="14" style="3" customWidth="1"/>
    <col min="12034" max="12034" width="7.81640625" style="3" customWidth="1"/>
    <col min="12035" max="12035" width="14" style="3" customWidth="1"/>
    <col min="12036" max="12036" width="9" style="3" bestFit="1" customWidth="1"/>
    <col min="12037" max="12037" width="15.1796875" style="3" bestFit="1" customWidth="1"/>
    <col min="12038" max="12038" width="9" style="3" bestFit="1" customWidth="1"/>
    <col min="12039" max="12039" width="15.1796875" style="3" bestFit="1" customWidth="1"/>
    <col min="12040" max="12040" width="6.453125" style="3" customWidth="1"/>
    <col min="12041" max="12041" width="12.7265625" style="3" customWidth="1"/>
    <col min="12042" max="12042" width="6.453125" style="3" customWidth="1"/>
    <col min="12043" max="12043" width="12.7265625" style="3" customWidth="1"/>
    <col min="12044" max="12044" width="6" style="3" customWidth="1"/>
    <col min="12045" max="12045" width="12.7265625" style="3" customWidth="1"/>
    <col min="12046" max="12046" width="9.54296875" style="3" customWidth="1"/>
    <col min="12047" max="12047" width="14" style="3" bestFit="1" customWidth="1"/>
    <col min="12048" max="12048" width="8.7265625" style="3" bestFit="1" customWidth="1"/>
    <col min="12049" max="12049" width="13.54296875" style="3" customWidth="1"/>
    <col min="12050" max="12050" width="6" style="3" customWidth="1"/>
    <col min="12051" max="12051" width="13.7265625" style="3" customWidth="1"/>
    <col min="12052" max="12052" width="6" style="3" customWidth="1"/>
    <col min="12053" max="12053" width="12.7265625" style="3" customWidth="1"/>
    <col min="12054" max="12054" width="6.81640625" style="3" customWidth="1"/>
    <col min="12055" max="12055" width="12.7265625" style="3" customWidth="1"/>
    <col min="12056" max="12056" width="6.81640625" style="3" customWidth="1"/>
    <col min="12057" max="12057" width="15.7265625" style="3" bestFit="1" customWidth="1"/>
    <col min="12058" max="12058" width="8.54296875" style="3" bestFit="1" customWidth="1"/>
    <col min="12059" max="12059" width="13.54296875" style="3" customWidth="1"/>
    <col min="12060" max="12060" width="6" style="3" customWidth="1"/>
    <col min="12061" max="12061" width="13.7265625" style="3" customWidth="1"/>
    <col min="12062" max="12062" width="6" style="3" customWidth="1"/>
    <col min="12063" max="12063" width="12.7265625" style="3" customWidth="1"/>
    <col min="12064" max="12064" width="6.81640625" style="3" customWidth="1"/>
    <col min="12065" max="12065" width="12.7265625" style="3" customWidth="1"/>
    <col min="12066" max="12066" width="6.81640625" style="3" customWidth="1"/>
    <col min="12067" max="12067" width="16.453125" style="3" bestFit="1" customWidth="1"/>
    <col min="12068" max="12068" width="9.54296875" style="3" bestFit="1" customWidth="1"/>
    <col min="12069" max="12069" width="17.453125" style="3" bestFit="1" customWidth="1"/>
    <col min="12070" max="12070" width="6" style="3" customWidth="1"/>
    <col min="12071" max="12071" width="13.7265625" style="3" customWidth="1"/>
    <col min="12072" max="12072" width="6" style="3" customWidth="1"/>
    <col min="12073" max="12073" width="12.7265625" style="3" customWidth="1"/>
    <col min="12074" max="12074" width="6.81640625" style="3" customWidth="1"/>
    <col min="12075" max="12075" width="12.7265625" style="3" customWidth="1"/>
    <col min="12076" max="12076" width="6.81640625" style="3" customWidth="1"/>
    <col min="12077" max="12077" width="15.453125" style="3" bestFit="1" customWidth="1"/>
    <col min="12078" max="12078" width="9.54296875" style="3" bestFit="1" customWidth="1"/>
    <col min="12079" max="12079" width="17.453125" style="3" bestFit="1" customWidth="1"/>
    <col min="12080" max="12080" width="8" style="3" customWidth="1"/>
    <col min="12081" max="12081" width="12.1796875" style="3" customWidth="1"/>
    <col min="12082" max="12082" width="8" style="3" customWidth="1"/>
    <col min="12083" max="12083" width="20" style="3" customWidth="1"/>
    <col min="12084" max="12084" width="15.26953125" style="3" bestFit="1" customWidth="1"/>
    <col min="12085" max="12085" width="14.26953125" style="3" bestFit="1" customWidth="1"/>
    <col min="12086" max="12086" width="13" style="3" bestFit="1" customWidth="1"/>
    <col min="12087" max="12258" width="8.7265625" style="3"/>
    <col min="12259" max="12259" width="2.7265625" style="3" customWidth="1"/>
    <col min="12260" max="12260" width="3.54296875" style="3" customWidth="1"/>
    <col min="12261" max="12261" width="7" style="3" customWidth="1"/>
    <col min="12262" max="12262" width="23" style="3" customWidth="1"/>
    <col min="12263" max="12263" width="13.26953125" style="3" customWidth="1"/>
    <col min="12264" max="12264" width="17.453125" style="3" bestFit="1" customWidth="1"/>
    <col min="12265" max="12265" width="11.54296875" style="3" bestFit="1" customWidth="1"/>
    <col min="12266" max="12266" width="7.81640625" style="3" customWidth="1"/>
    <col min="12267" max="12267" width="11.54296875" style="3" bestFit="1" customWidth="1"/>
    <col min="12268" max="12268" width="7" style="3" customWidth="1"/>
    <col min="12269" max="12269" width="18.1796875" style="3" customWidth="1"/>
    <col min="12270" max="12270" width="7" style="3" customWidth="1"/>
    <col min="12271" max="12271" width="15.54296875" style="3" customWidth="1"/>
    <col min="12272" max="12272" width="7.81640625" style="3" customWidth="1"/>
    <col min="12273" max="12273" width="15.54296875" style="3" customWidth="1"/>
    <col min="12274" max="12274" width="7.81640625" style="3" bestFit="1" customWidth="1"/>
    <col min="12275" max="12275" width="15.7265625" style="3" bestFit="1" customWidth="1"/>
    <col min="12276" max="12276" width="7.54296875" style="3" customWidth="1"/>
    <col min="12277" max="12277" width="14" style="3" customWidth="1"/>
    <col min="12278" max="12278" width="7.81640625" style="3" customWidth="1"/>
    <col min="12279" max="12279" width="14" style="3" customWidth="1"/>
    <col min="12280" max="12280" width="7.81640625" style="3" customWidth="1"/>
    <col min="12281" max="12281" width="14" style="3" customWidth="1"/>
    <col min="12282" max="12282" width="9" style="3" customWidth="1"/>
    <col min="12283" max="12283" width="15.1796875" style="3" customWidth="1"/>
    <col min="12284" max="12284" width="13" style="3" bestFit="1" customWidth="1"/>
    <col min="12285" max="12285" width="15.1796875" style="3" bestFit="1" customWidth="1"/>
    <col min="12286" max="12286" width="7.54296875" style="3" customWidth="1"/>
    <col min="12287" max="12287" width="14" style="3" customWidth="1"/>
    <col min="12288" max="12288" width="7.81640625" style="3" customWidth="1"/>
    <col min="12289" max="12289" width="14" style="3" customWidth="1"/>
    <col min="12290" max="12290" width="7.81640625" style="3" customWidth="1"/>
    <col min="12291" max="12291" width="14" style="3" customWidth="1"/>
    <col min="12292" max="12292" width="9" style="3" bestFit="1" customWidth="1"/>
    <col min="12293" max="12293" width="15.1796875" style="3" bestFit="1" customWidth="1"/>
    <col min="12294" max="12294" width="9" style="3" bestFit="1" customWidth="1"/>
    <col min="12295" max="12295" width="15.1796875" style="3" bestFit="1" customWidth="1"/>
    <col min="12296" max="12296" width="6.453125" style="3" customWidth="1"/>
    <col min="12297" max="12297" width="12.7265625" style="3" customWidth="1"/>
    <col min="12298" max="12298" width="6.453125" style="3" customWidth="1"/>
    <col min="12299" max="12299" width="12.7265625" style="3" customWidth="1"/>
    <col min="12300" max="12300" width="6" style="3" customWidth="1"/>
    <col min="12301" max="12301" width="12.7265625" style="3" customWidth="1"/>
    <col min="12302" max="12302" width="9.54296875" style="3" customWidth="1"/>
    <col min="12303" max="12303" width="14" style="3" bestFit="1" customWidth="1"/>
    <col min="12304" max="12304" width="8.7265625" style="3" bestFit="1" customWidth="1"/>
    <col min="12305" max="12305" width="13.54296875" style="3" customWidth="1"/>
    <col min="12306" max="12306" width="6" style="3" customWidth="1"/>
    <col min="12307" max="12307" width="13.7265625" style="3" customWidth="1"/>
    <col min="12308" max="12308" width="6" style="3" customWidth="1"/>
    <col min="12309" max="12309" width="12.7265625" style="3" customWidth="1"/>
    <col min="12310" max="12310" width="6.81640625" style="3" customWidth="1"/>
    <col min="12311" max="12311" width="12.7265625" style="3" customWidth="1"/>
    <col min="12312" max="12312" width="6.81640625" style="3" customWidth="1"/>
    <col min="12313" max="12313" width="15.7265625" style="3" bestFit="1" customWidth="1"/>
    <col min="12314" max="12314" width="8.54296875" style="3" bestFit="1" customWidth="1"/>
    <col min="12315" max="12315" width="13.54296875" style="3" customWidth="1"/>
    <col min="12316" max="12316" width="6" style="3" customWidth="1"/>
    <col min="12317" max="12317" width="13.7265625" style="3" customWidth="1"/>
    <col min="12318" max="12318" width="6" style="3" customWidth="1"/>
    <col min="12319" max="12319" width="12.7265625" style="3" customWidth="1"/>
    <col min="12320" max="12320" width="6.81640625" style="3" customWidth="1"/>
    <col min="12321" max="12321" width="12.7265625" style="3" customWidth="1"/>
    <col min="12322" max="12322" width="6.81640625" style="3" customWidth="1"/>
    <col min="12323" max="12323" width="16.453125" style="3" bestFit="1" customWidth="1"/>
    <col min="12324" max="12324" width="9.54296875" style="3" bestFit="1" customWidth="1"/>
    <col min="12325" max="12325" width="17.453125" style="3" bestFit="1" customWidth="1"/>
    <col min="12326" max="12326" width="6" style="3" customWidth="1"/>
    <col min="12327" max="12327" width="13.7265625" style="3" customWidth="1"/>
    <col min="12328" max="12328" width="6" style="3" customWidth="1"/>
    <col min="12329" max="12329" width="12.7265625" style="3" customWidth="1"/>
    <col min="12330" max="12330" width="6.81640625" style="3" customWidth="1"/>
    <col min="12331" max="12331" width="12.7265625" style="3" customWidth="1"/>
    <col min="12332" max="12332" width="6.81640625" style="3" customWidth="1"/>
    <col min="12333" max="12333" width="15.453125" style="3" bestFit="1" customWidth="1"/>
    <col min="12334" max="12334" width="9.54296875" style="3" bestFit="1" customWidth="1"/>
    <col min="12335" max="12335" width="17.453125" style="3" bestFit="1" customWidth="1"/>
    <col min="12336" max="12336" width="8" style="3" customWidth="1"/>
    <col min="12337" max="12337" width="12.1796875" style="3" customWidth="1"/>
    <col min="12338" max="12338" width="8" style="3" customWidth="1"/>
    <col min="12339" max="12339" width="20" style="3" customWidth="1"/>
    <col min="12340" max="12340" width="15.26953125" style="3" bestFit="1" customWidth="1"/>
    <col min="12341" max="12341" width="14.26953125" style="3" bestFit="1" customWidth="1"/>
    <col min="12342" max="12342" width="13" style="3" bestFit="1" customWidth="1"/>
    <col min="12343" max="12514" width="8.7265625" style="3"/>
    <col min="12515" max="12515" width="2.7265625" style="3" customWidth="1"/>
    <col min="12516" max="12516" width="3.54296875" style="3" customWidth="1"/>
    <col min="12517" max="12517" width="7" style="3" customWidth="1"/>
    <col min="12518" max="12518" width="23" style="3" customWidth="1"/>
    <col min="12519" max="12519" width="13.26953125" style="3" customWidth="1"/>
    <col min="12520" max="12520" width="17.453125" style="3" bestFit="1" customWidth="1"/>
    <col min="12521" max="12521" width="11.54296875" style="3" bestFit="1" customWidth="1"/>
    <col min="12522" max="12522" width="7.81640625" style="3" customWidth="1"/>
    <col min="12523" max="12523" width="11.54296875" style="3" bestFit="1" customWidth="1"/>
    <col min="12524" max="12524" width="7" style="3" customWidth="1"/>
    <col min="12525" max="12525" width="18.1796875" style="3" customWidth="1"/>
    <col min="12526" max="12526" width="7" style="3" customWidth="1"/>
    <col min="12527" max="12527" width="15.54296875" style="3" customWidth="1"/>
    <col min="12528" max="12528" width="7.81640625" style="3" customWidth="1"/>
    <col min="12529" max="12529" width="15.54296875" style="3" customWidth="1"/>
    <col min="12530" max="12530" width="7.81640625" style="3" bestFit="1" customWidth="1"/>
    <col min="12531" max="12531" width="15.7265625" style="3" bestFit="1" customWidth="1"/>
    <col min="12532" max="12532" width="7.54296875" style="3" customWidth="1"/>
    <col min="12533" max="12533" width="14" style="3" customWidth="1"/>
    <col min="12534" max="12534" width="7.81640625" style="3" customWidth="1"/>
    <col min="12535" max="12535" width="14" style="3" customWidth="1"/>
    <col min="12536" max="12536" width="7.81640625" style="3" customWidth="1"/>
    <col min="12537" max="12537" width="14" style="3" customWidth="1"/>
    <col min="12538" max="12538" width="9" style="3" customWidth="1"/>
    <col min="12539" max="12539" width="15.1796875" style="3" customWidth="1"/>
    <col min="12540" max="12540" width="13" style="3" bestFit="1" customWidth="1"/>
    <col min="12541" max="12541" width="15.1796875" style="3" bestFit="1" customWidth="1"/>
    <col min="12542" max="12542" width="7.54296875" style="3" customWidth="1"/>
    <col min="12543" max="12543" width="14" style="3" customWidth="1"/>
    <col min="12544" max="12544" width="7.81640625" style="3" customWidth="1"/>
    <col min="12545" max="12545" width="14" style="3" customWidth="1"/>
    <col min="12546" max="12546" width="7.81640625" style="3" customWidth="1"/>
    <col min="12547" max="12547" width="14" style="3" customWidth="1"/>
    <col min="12548" max="12548" width="9" style="3" bestFit="1" customWidth="1"/>
    <col min="12549" max="12549" width="15.1796875" style="3" bestFit="1" customWidth="1"/>
    <col min="12550" max="12550" width="9" style="3" bestFit="1" customWidth="1"/>
    <col min="12551" max="12551" width="15.1796875" style="3" bestFit="1" customWidth="1"/>
    <col min="12552" max="12552" width="6.453125" style="3" customWidth="1"/>
    <col min="12553" max="12553" width="12.7265625" style="3" customWidth="1"/>
    <col min="12554" max="12554" width="6.453125" style="3" customWidth="1"/>
    <col min="12555" max="12555" width="12.7265625" style="3" customWidth="1"/>
    <col min="12556" max="12556" width="6" style="3" customWidth="1"/>
    <col min="12557" max="12557" width="12.7265625" style="3" customWidth="1"/>
    <col min="12558" max="12558" width="9.54296875" style="3" customWidth="1"/>
    <col min="12559" max="12559" width="14" style="3" bestFit="1" customWidth="1"/>
    <col min="12560" max="12560" width="8.7265625" style="3" bestFit="1" customWidth="1"/>
    <col min="12561" max="12561" width="13.54296875" style="3" customWidth="1"/>
    <col min="12562" max="12562" width="6" style="3" customWidth="1"/>
    <col min="12563" max="12563" width="13.7265625" style="3" customWidth="1"/>
    <col min="12564" max="12564" width="6" style="3" customWidth="1"/>
    <col min="12565" max="12565" width="12.7265625" style="3" customWidth="1"/>
    <col min="12566" max="12566" width="6.81640625" style="3" customWidth="1"/>
    <col min="12567" max="12567" width="12.7265625" style="3" customWidth="1"/>
    <col min="12568" max="12568" width="6.81640625" style="3" customWidth="1"/>
    <col min="12569" max="12569" width="15.7265625" style="3" bestFit="1" customWidth="1"/>
    <col min="12570" max="12570" width="8.54296875" style="3" bestFit="1" customWidth="1"/>
    <col min="12571" max="12571" width="13.54296875" style="3" customWidth="1"/>
    <col min="12572" max="12572" width="6" style="3" customWidth="1"/>
    <col min="12573" max="12573" width="13.7265625" style="3" customWidth="1"/>
    <col min="12574" max="12574" width="6" style="3" customWidth="1"/>
    <col min="12575" max="12575" width="12.7265625" style="3" customWidth="1"/>
    <col min="12576" max="12576" width="6.81640625" style="3" customWidth="1"/>
    <col min="12577" max="12577" width="12.7265625" style="3" customWidth="1"/>
    <col min="12578" max="12578" width="6.81640625" style="3" customWidth="1"/>
    <col min="12579" max="12579" width="16.453125" style="3" bestFit="1" customWidth="1"/>
    <col min="12580" max="12580" width="9.54296875" style="3" bestFit="1" customWidth="1"/>
    <col min="12581" max="12581" width="17.453125" style="3" bestFit="1" customWidth="1"/>
    <col min="12582" max="12582" width="6" style="3" customWidth="1"/>
    <col min="12583" max="12583" width="13.7265625" style="3" customWidth="1"/>
    <col min="12584" max="12584" width="6" style="3" customWidth="1"/>
    <col min="12585" max="12585" width="12.7265625" style="3" customWidth="1"/>
    <col min="12586" max="12586" width="6.81640625" style="3" customWidth="1"/>
    <col min="12587" max="12587" width="12.7265625" style="3" customWidth="1"/>
    <col min="12588" max="12588" width="6.81640625" style="3" customWidth="1"/>
    <col min="12589" max="12589" width="15.453125" style="3" bestFit="1" customWidth="1"/>
    <col min="12590" max="12590" width="9.54296875" style="3" bestFit="1" customWidth="1"/>
    <col min="12591" max="12591" width="17.453125" style="3" bestFit="1" customWidth="1"/>
    <col min="12592" max="12592" width="8" style="3" customWidth="1"/>
    <col min="12593" max="12593" width="12.1796875" style="3" customWidth="1"/>
    <col min="12594" max="12594" width="8" style="3" customWidth="1"/>
    <col min="12595" max="12595" width="20" style="3" customWidth="1"/>
    <col min="12596" max="12596" width="15.26953125" style="3" bestFit="1" customWidth="1"/>
    <col min="12597" max="12597" width="14.26953125" style="3" bestFit="1" customWidth="1"/>
    <col min="12598" max="12598" width="13" style="3" bestFit="1" customWidth="1"/>
    <col min="12599" max="12770" width="8.7265625" style="3"/>
    <col min="12771" max="12771" width="2.7265625" style="3" customWidth="1"/>
    <col min="12772" max="12772" width="3.54296875" style="3" customWidth="1"/>
    <col min="12773" max="12773" width="7" style="3" customWidth="1"/>
    <col min="12774" max="12774" width="23" style="3" customWidth="1"/>
    <col min="12775" max="12775" width="13.26953125" style="3" customWidth="1"/>
    <col min="12776" max="12776" width="17.453125" style="3" bestFit="1" customWidth="1"/>
    <col min="12777" max="12777" width="11.54296875" style="3" bestFit="1" customWidth="1"/>
    <col min="12778" max="12778" width="7.81640625" style="3" customWidth="1"/>
    <col min="12779" max="12779" width="11.54296875" style="3" bestFit="1" customWidth="1"/>
    <col min="12780" max="12780" width="7" style="3" customWidth="1"/>
    <col min="12781" max="12781" width="18.1796875" style="3" customWidth="1"/>
    <col min="12782" max="12782" width="7" style="3" customWidth="1"/>
    <col min="12783" max="12783" width="15.54296875" style="3" customWidth="1"/>
    <col min="12784" max="12784" width="7.81640625" style="3" customWidth="1"/>
    <col min="12785" max="12785" width="15.54296875" style="3" customWidth="1"/>
    <col min="12786" max="12786" width="7.81640625" style="3" bestFit="1" customWidth="1"/>
    <col min="12787" max="12787" width="15.7265625" style="3" bestFit="1" customWidth="1"/>
    <col min="12788" max="12788" width="7.54296875" style="3" customWidth="1"/>
    <col min="12789" max="12789" width="14" style="3" customWidth="1"/>
    <col min="12790" max="12790" width="7.81640625" style="3" customWidth="1"/>
    <col min="12791" max="12791" width="14" style="3" customWidth="1"/>
    <col min="12792" max="12792" width="7.81640625" style="3" customWidth="1"/>
    <col min="12793" max="12793" width="14" style="3" customWidth="1"/>
    <col min="12794" max="12794" width="9" style="3" customWidth="1"/>
    <col min="12795" max="12795" width="15.1796875" style="3" customWidth="1"/>
    <col min="12796" max="12796" width="13" style="3" bestFit="1" customWidth="1"/>
    <col min="12797" max="12797" width="15.1796875" style="3" bestFit="1" customWidth="1"/>
    <col min="12798" max="12798" width="7.54296875" style="3" customWidth="1"/>
    <col min="12799" max="12799" width="14" style="3" customWidth="1"/>
    <col min="12800" max="12800" width="7.81640625" style="3" customWidth="1"/>
    <col min="12801" max="12801" width="14" style="3" customWidth="1"/>
    <col min="12802" max="12802" width="7.81640625" style="3" customWidth="1"/>
    <col min="12803" max="12803" width="14" style="3" customWidth="1"/>
    <col min="12804" max="12804" width="9" style="3" bestFit="1" customWidth="1"/>
    <col min="12805" max="12805" width="15.1796875" style="3" bestFit="1" customWidth="1"/>
    <col min="12806" max="12806" width="9" style="3" bestFit="1" customWidth="1"/>
    <col min="12807" max="12807" width="15.1796875" style="3" bestFit="1" customWidth="1"/>
    <col min="12808" max="12808" width="6.453125" style="3" customWidth="1"/>
    <col min="12809" max="12809" width="12.7265625" style="3" customWidth="1"/>
    <col min="12810" max="12810" width="6.453125" style="3" customWidth="1"/>
    <col min="12811" max="12811" width="12.7265625" style="3" customWidth="1"/>
    <col min="12812" max="12812" width="6" style="3" customWidth="1"/>
    <col min="12813" max="12813" width="12.7265625" style="3" customWidth="1"/>
    <col min="12814" max="12814" width="9.54296875" style="3" customWidth="1"/>
    <col min="12815" max="12815" width="14" style="3" bestFit="1" customWidth="1"/>
    <col min="12816" max="12816" width="8.7265625" style="3" bestFit="1" customWidth="1"/>
    <col min="12817" max="12817" width="13.54296875" style="3" customWidth="1"/>
    <col min="12818" max="12818" width="6" style="3" customWidth="1"/>
    <col min="12819" max="12819" width="13.7265625" style="3" customWidth="1"/>
    <col min="12820" max="12820" width="6" style="3" customWidth="1"/>
    <col min="12821" max="12821" width="12.7265625" style="3" customWidth="1"/>
    <col min="12822" max="12822" width="6.81640625" style="3" customWidth="1"/>
    <col min="12823" max="12823" width="12.7265625" style="3" customWidth="1"/>
    <col min="12824" max="12824" width="6.81640625" style="3" customWidth="1"/>
    <col min="12825" max="12825" width="15.7265625" style="3" bestFit="1" customWidth="1"/>
    <col min="12826" max="12826" width="8.54296875" style="3" bestFit="1" customWidth="1"/>
    <col min="12827" max="12827" width="13.54296875" style="3" customWidth="1"/>
    <col min="12828" max="12828" width="6" style="3" customWidth="1"/>
    <col min="12829" max="12829" width="13.7265625" style="3" customWidth="1"/>
    <col min="12830" max="12830" width="6" style="3" customWidth="1"/>
    <col min="12831" max="12831" width="12.7265625" style="3" customWidth="1"/>
    <col min="12832" max="12832" width="6.81640625" style="3" customWidth="1"/>
    <col min="12833" max="12833" width="12.7265625" style="3" customWidth="1"/>
    <col min="12834" max="12834" width="6.81640625" style="3" customWidth="1"/>
    <col min="12835" max="12835" width="16.453125" style="3" bestFit="1" customWidth="1"/>
    <col min="12836" max="12836" width="9.54296875" style="3" bestFit="1" customWidth="1"/>
    <col min="12837" max="12837" width="17.453125" style="3" bestFit="1" customWidth="1"/>
    <col min="12838" max="12838" width="6" style="3" customWidth="1"/>
    <col min="12839" max="12839" width="13.7265625" style="3" customWidth="1"/>
    <col min="12840" max="12840" width="6" style="3" customWidth="1"/>
    <col min="12841" max="12841" width="12.7265625" style="3" customWidth="1"/>
    <col min="12842" max="12842" width="6.81640625" style="3" customWidth="1"/>
    <col min="12843" max="12843" width="12.7265625" style="3" customWidth="1"/>
    <col min="12844" max="12844" width="6.81640625" style="3" customWidth="1"/>
    <col min="12845" max="12845" width="15.453125" style="3" bestFit="1" customWidth="1"/>
    <col min="12846" max="12846" width="9.54296875" style="3" bestFit="1" customWidth="1"/>
    <col min="12847" max="12847" width="17.453125" style="3" bestFit="1" customWidth="1"/>
    <col min="12848" max="12848" width="8" style="3" customWidth="1"/>
    <col min="12849" max="12849" width="12.1796875" style="3" customWidth="1"/>
    <col min="12850" max="12850" width="8" style="3" customWidth="1"/>
    <col min="12851" max="12851" width="20" style="3" customWidth="1"/>
    <col min="12852" max="12852" width="15.26953125" style="3" bestFit="1" customWidth="1"/>
    <col min="12853" max="12853" width="14.26953125" style="3" bestFit="1" customWidth="1"/>
    <col min="12854" max="12854" width="13" style="3" bestFit="1" customWidth="1"/>
    <col min="12855" max="13026" width="8.7265625" style="3"/>
    <col min="13027" max="13027" width="2.7265625" style="3" customWidth="1"/>
    <col min="13028" max="13028" width="3.54296875" style="3" customWidth="1"/>
    <col min="13029" max="13029" width="7" style="3" customWidth="1"/>
    <col min="13030" max="13030" width="23" style="3" customWidth="1"/>
    <col min="13031" max="13031" width="13.26953125" style="3" customWidth="1"/>
    <col min="13032" max="13032" width="17.453125" style="3" bestFit="1" customWidth="1"/>
    <col min="13033" max="13033" width="11.54296875" style="3" bestFit="1" customWidth="1"/>
    <col min="13034" max="13034" width="7.81640625" style="3" customWidth="1"/>
    <col min="13035" max="13035" width="11.54296875" style="3" bestFit="1" customWidth="1"/>
    <col min="13036" max="13036" width="7" style="3" customWidth="1"/>
    <col min="13037" max="13037" width="18.1796875" style="3" customWidth="1"/>
    <col min="13038" max="13038" width="7" style="3" customWidth="1"/>
    <col min="13039" max="13039" width="15.54296875" style="3" customWidth="1"/>
    <col min="13040" max="13040" width="7.81640625" style="3" customWidth="1"/>
    <col min="13041" max="13041" width="15.54296875" style="3" customWidth="1"/>
    <col min="13042" max="13042" width="7.81640625" style="3" bestFit="1" customWidth="1"/>
    <col min="13043" max="13043" width="15.7265625" style="3" bestFit="1" customWidth="1"/>
    <col min="13044" max="13044" width="7.54296875" style="3" customWidth="1"/>
    <col min="13045" max="13045" width="14" style="3" customWidth="1"/>
    <col min="13046" max="13046" width="7.81640625" style="3" customWidth="1"/>
    <col min="13047" max="13047" width="14" style="3" customWidth="1"/>
    <col min="13048" max="13048" width="7.81640625" style="3" customWidth="1"/>
    <col min="13049" max="13049" width="14" style="3" customWidth="1"/>
    <col min="13050" max="13050" width="9" style="3" customWidth="1"/>
    <col min="13051" max="13051" width="15.1796875" style="3" customWidth="1"/>
    <col min="13052" max="13052" width="13" style="3" bestFit="1" customWidth="1"/>
    <col min="13053" max="13053" width="15.1796875" style="3" bestFit="1" customWidth="1"/>
    <col min="13054" max="13054" width="7.54296875" style="3" customWidth="1"/>
    <col min="13055" max="13055" width="14" style="3" customWidth="1"/>
    <col min="13056" max="13056" width="7.81640625" style="3" customWidth="1"/>
    <col min="13057" max="13057" width="14" style="3" customWidth="1"/>
    <col min="13058" max="13058" width="7.81640625" style="3" customWidth="1"/>
    <col min="13059" max="13059" width="14" style="3" customWidth="1"/>
    <col min="13060" max="13060" width="9" style="3" bestFit="1" customWidth="1"/>
    <col min="13061" max="13061" width="15.1796875" style="3" bestFit="1" customWidth="1"/>
    <col min="13062" max="13062" width="9" style="3" bestFit="1" customWidth="1"/>
    <col min="13063" max="13063" width="15.1796875" style="3" bestFit="1" customWidth="1"/>
    <col min="13064" max="13064" width="6.453125" style="3" customWidth="1"/>
    <col min="13065" max="13065" width="12.7265625" style="3" customWidth="1"/>
    <col min="13066" max="13066" width="6.453125" style="3" customWidth="1"/>
    <col min="13067" max="13067" width="12.7265625" style="3" customWidth="1"/>
    <col min="13068" max="13068" width="6" style="3" customWidth="1"/>
    <col min="13069" max="13069" width="12.7265625" style="3" customWidth="1"/>
    <col min="13070" max="13070" width="9.54296875" style="3" customWidth="1"/>
    <col min="13071" max="13071" width="14" style="3" bestFit="1" customWidth="1"/>
    <col min="13072" max="13072" width="8.7265625" style="3" bestFit="1" customWidth="1"/>
    <col min="13073" max="13073" width="13.54296875" style="3" customWidth="1"/>
    <col min="13074" max="13074" width="6" style="3" customWidth="1"/>
    <col min="13075" max="13075" width="13.7265625" style="3" customWidth="1"/>
    <col min="13076" max="13076" width="6" style="3" customWidth="1"/>
    <col min="13077" max="13077" width="12.7265625" style="3" customWidth="1"/>
    <col min="13078" max="13078" width="6.81640625" style="3" customWidth="1"/>
    <col min="13079" max="13079" width="12.7265625" style="3" customWidth="1"/>
    <col min="13080" max="13080" width="6.81640625" style="3" customWidth="1"/>
    <col min="13081" max="13081" width="15.7265625" style="3" bestFit="1" customWidth="1"/>
    <col min="13082" max="13082" width="8.54296875" style="3" bestFit="1" customWidth="1"/>
    <col min="13083" max="13083" width="13.54296875" style="3" customWidth="1"/>
    <col min="13084" max="13084" width="6" style="3" customWidth="1"/>
    <col min="13085" max="13085" width="13.7265625" style="3" customWidth="1"/>
    <col min="13086" max="13086" width="6" style="3" customWidth="1"/>
    <col min="13087" max="13087" width="12.7265625" style="3" customWidth="1"/>
    <col min="13088" max="13088" width="6.81640625" style="3" customWidth="1"/>
    <col min="13089" max="13089" width="12.7265625" style="3" customWidth="1"/>
    <col min="13090" max="13090" width="6.81640625" style="3" customWidth="1"/>
    <col min="13091" max="13091" width="16.453125" style="3" bestFit="1" customWidth="1"/>
    <col min="13092" max="13092" width="9.54296875" style="3" bestFit="1" customWidth="1"/>
    <col min="13093" max="13093" width="17.453125" style="3" bestFit="1" customWidth="1"/>
    <col min="13094" max="13094" width="6" style="3" customWidth="1"/>
    <col min="13095" max="13095" width="13.7265625" style="3" customWidth="1"/>
    <col min="13096" max="13096" width="6" style="3" customWidth="1"/>
    <col min="13097" max="13097" width="12.7265625" style="3" customWidth="1"/>
    <col min="13098" max="13098" width="6.81640625" style="3" customWidth="1"/>
    <col min="13099" max="13099" width="12.7265625" style="3" customWidth="1"/>
    <col min="13100" max="13100" width="6.81640625" style="3" customWidth="1"/>
    <col min="13101" max="13101" width="15.453125" style="3" bestFit="1" customWidth="1"/>
    <col min="13102" max="13102" width="9.54296875" style="3" bestFit="1" customWidth="1"/>
    <col min="13103" max="13103" width="17.453125" style="3" bestFit="1" customWidth="1"/>
    <col min="13104" max="13104" width="8" style="3" customWidth="1"/>
    <col min="13105" max="13105" width="12.1796875" style="3" customWidth="1"/>
    <col min="13106" max="13106" width="8" style="3" customWidth="1"/>
    <col min="13107" max="13107" width="20" style="3" customWidth="1"/>
    <col min="13108" max="13108" width="15.26953125" style="3" bestFit="1" customWidth="1"/>
    <col min="13109" max="13109" width="14.26953125" style="3" bestFit="1" customWidth="1"/>
    <col min="13110" max="13110" width="13" style="3" bestFit="1" customWidth="1"/>
    <col min="13111" max="13282" width="8.7265625" style="3"/>
    <col min="13283" max="13283" width="2.7265625" style="3" customWidth="1"/>
    <col min="13284" max="13284" width="3.54296875" style="3" customWidth="1"/>
    <col min="13285" max="13285" width="7" style="3" customWidth="1"/>
    <col min="13286" max="13286" width="23" style="3" customWidth="1"/>
    <col min="13287" max="13287" width="13.26953125" style="3" customWidth="1"/>
    <col min="13288" max="13288" width="17.453125" style="3" bestFit="1" customWidth="1"/>
    <col min="13289" max="13289" width="11.54296875" style="3" bestFit="1" customWidth="1"/>
    <col min="13290" max="13290" width="7.81640625" style="3" customWidth="1"/>
    <col min="13291" max="13291" width="11.54296875" style="3" bestFit="1" customWidth="1"/>
    <col min="13292" max="13292" width="7" style="3" customWidth="1"/>
    <col min="13293" max="13293" width="18.1796875" style="3" customWidth="1"/>
    <col min="13294" max="13294" width="7" style="3" customWidth="1"/>
    <col min="13295" max="13295" width="15.54296875" style="3" customWidth="1"/>
    <col min="13296" max="13296" width="7.81640625" style="3" customWidth="1"/>
    <col min="13297" max="13297" width="15.54296875" style="3" customWidth="1"/>
    <col min="13298" max="13298" width="7.81640625" style="3" bestFit="1" customWidth="1"/>
    <col min="13299" max="13299" width="15.7265625" style="3" bestFit="1" customWidth="1"/>
    <col min="13300" max="13300" width="7.54296875" style="3" customWidth="1"/>
    <col min="13301" max="13301" width="14" style="3" customWidth="1"/>
    <col min="13302" max="13302" width="7.81640625" style="3" customWidth="1"/>
    <col min="13303" max="13303" width="14" style="3" customWidth="1"/>
    <col min="13304" max="13304" width="7.81640625" style="3" customWidth="1"/>
    <col min="13305" max="13305" width="14" style="3" customWidth="1"/>
    <col min="13306" max="13306" width="9" style="3" customWidth="1"/>
    <col min="13307" max="13307" width="15.1796875" style="3" customWidth="1"/>
    <col min="13308" max="13308" width="13" style="3" bestFit="1" customWidth="1"/>
    <col min="13309" max="13309" width="15.1796875" style="3" bestFit="1" customWidth="1"/>
    <col min="13310" max="13310" width="7.54296875" style="3" customWidth="1"/>
    <col min="13311" max="13311" width="14" style="3" customWidth="1"/>
    <col min="13312" max="13312" width="7.81640625" style="3" customWidth="1"/>
    <col min="13313" max="13313" width="14" style="3" customWidth="1"/>
    <col min="13314" max="13314" width="7.81640625" style="3" customWidth="1"/>
    <col min="13315" max="13315" width="14" style="3" customWidth="1"/>
    <col min="13316" max="13316" width="9" style="3" bestFit="1" customWidth="1"/>
    <col min="13317" max="13317" width="15.1796875" style="3" bestFit="1" customWidth="1"/>
    <col min="13318" max="13318" width="9" style="3" bestFit="1" customWidth="1"/>
    <col min="13319" max="13319" width="15.1796875" style="3" bestFit="1" customWidth="1"/>
    <col min="13320" max="13320" width="6.453125" style="3" customWidth="1"/>
    <col min="13321" max="13321" width="12.7265625" style="3" customWidth="1"/>
    <col min="13322" max="13322" width="6.453125" style="3" customWidth="1"/>
    <col min="13323" max="13323" width="12.7265625" style="3" customWidth="1"/>
    <col min="13324" max="13324" width="6" style="3" customWidth="1"/>
    <col min="13325" max="13325" width="12.7265625" style="3" customWidth="1"/>
    <col min="13326" max="13326" width="9.54296875" style="3" customWidth="1"/>
    <col min="13327" max="13327" width="14" style="3" bestFit="1" customWidth="1"/>
    <col min="13328" max="13328" width="8.7265625" style="3" bestFit="1" customWidth="1"/>
    <col min="13329" max="13329" width="13.54296875" style="3" customWidth="1"/>
    <col min="13330" max="13330" width="6" style="3" customWidth="1"/>
    <col min="13331" max="13331" width="13.7265625" style="3" customWidth="1"/>
    <col min="13332" max="13332" width="6" style="3" customWidth="1"/>
    <col min="13333" max="13333" width="12.7265625" style="3" customWidth="1"/>
    <col min="13334" max="13334" width="6.81640625" style="3" customWidth="1"/>
    <col min="13335" max="13335" width="12.7265625" style="3" customWidth="1"/>
    <col min="13336" max="13336" width="6.81640625" style="3" customWidth="1"/>
    <col min="13337" max="13337" width="15.7265625" style="3" bestFit="1" customWidth="1"/>
    <col min="13338" max="13338" width="8.54296875" style="3" bestFit="1" customWidth="1"/>
    <col min="13339" max="13339" width="13.54296875" style="3" customWidth="1"/>
    <col min="13340" max="13340" width="6" style="3" customWidth="1"/>
    <col min="13341" max="13341" width="13.7265625" style="3" customWidth="1"/>
    <col min="13342" max="13342" width="6" style="3" customWidth="1"/>
    <col min="13343" max="13343" width="12.7265625" style="3" customWidth="1"/>
    <col min="13344" max="13344" width="6.81640625" style="3" customWidth="1"/>
    <col min="13345" max="13345" width="12.7265625" style="3" customWidth="1"/>
    <col min="13346" max="13346" width="6.81640625" style="3" customWidth="1"/>
    <col min="13347" max="13347" width="16.453125" style="3" bestFit="1" customWidth="1"/>
    <col min="13348" max="13348" width="9.54296875" style="3" bestFit="1" customWidth="1"/>
    <col min="13349" max="13349" width="17.453125" style="3" bestFit="1" customWidth="1"/>
    <col min="13350" max="13350" width="6" style="3" customWidth="1"/>
    <col min="13351" max="13351" width="13.7265625" style="3" customWidth="1"/>
    <col min="13352" max="13352" width="6" style="3" customWidth="1"/>
    <col min="13353" max="13353" width="12.7265625" style="3" customWidth="1"/>
    <col min="13354" max="13354" width="6.81640625" style="3" customWidth="1"/>
    <col min="13355" max="13355" width="12.7265625" style="3" customWidth="1"/>
    <col min="13356" max="13356" width="6.81640625" style="3" customWidth="1"/>
    <col min="13357" max="13357" width="15.453125" style="3" bestFit="1" customWidth="1"/>
    <col min="13358" max="13358" width="9.54296875" style="3" bestFit="1" customWidth="1"/>
    <col min="13359" max="13359" width="17.453125" style="3" bestFit="1" customWidth="1"/>
    <col min="13360" max="13360" width="8" style="3" customWidth="1"/>
    <col min="13361" max="13361" width="12.1796875" style="3" customWidth="1"/>
    <col min="13362" max="13362" width="8" style="3" customWidth="1"/>
    <col min="13363" max="13363" width="20" style="3" customWidth="1"/>
    <col min="13364" max="13364" width="15.26953125" style="3" bestFit="1" customWidth="1"/>
    <col min="13365" max="13365" width="14.26953125" style="3" bestFit="1" customWidth="1"/>
    <col min="13366" max="13366" width="13" style="3" bestFit="1" customWidth="1"/>
    <col min="13367" max="13538" width="8.7265625" style="3"/>
    <col min="13539" max="13539" width="2.7265625" style="3" customWidth="1"/>
    <col min="13540" max="13540" width="3.54296875" style="3" customWidth="1"/>
    <col min="13541" max="13541" width="7" style="3" customWidth="1"/>
    <col min="13542" max="13542" width="23" style="3" customWidth="1"/>
    <col min="13543" max="13543" width="13.26953125" style="3" customWidth="1"/>
    <col min="13544" max="13544" width="17.453125" style="3" bestFit="1" customWidth="1"/>
    <col min="13545" max="13545" width="11.54296875" style="3" bestFit="1" customWidth="1"/>
    <col min="13546" max="13546" width="7.81640625" style="3" customWidth="1"/>
    <col min="13547" max="13547" width="11.54296875" style="3" bestFit="1" customWidth="1"/>
    <col min="13548" max="13548" width="7" style="3" customWidth="1"/>
    <col min="13549" max="13549" width="18.1796875" style="3" customWidth="1"/>
    <col min="13550" max="13550" width="7" style="3" customWidth="1"/>
    <col min="13551" max="13551" width="15.54296875" style="3" customWidth="1"/>
    <col min="13552" max="13552" width="7.81640625" style="3" customWidth="1"/>
    <col min="13553" max="13553" width="15.54296875" style="3" customWidth="1"/>
    <col min="13554" max="13554" width="7.81640625" style="3" bestFit="1" customWidth="1"/>
    <col min="13555" max="13555" width="15.7265625" style="3" bestFit="1" customWidth="1"/>
    <col min="13556" max="13556" width="7.54296875" style="3" customWidth="1"/>
    <col min="13557" max="13557" width="14" style="3" customWidth="1"/>
    <col min="13558" max="13558" width="7.81640625" style="3" customWidth="1"/>
    <col min="13559" max="13559" width="14" style="3" customWidth="1"/>
    <col min="13560" max="13560" width="7.81640625" style="3" customWidth="1"/>
    <col min="13561" max="13561" width="14" style="3" customWidth="1"/>
    <col min="13562" max="13562" width="9" style="3" customWidth="1"/>
    <col min="13563" max="13563" width="15.1796875" style="3" customWidth="1"/>
    <col min="13564" max="13564" width="13" style="3" bestFit="1" customWidth="1"/>
    <col min="13565" max="13565" width="15.1796875" style="3" bestFit="1" customWidth="1"/>
    <col min="13566" max="13566" width="7.54296875" style="3" customWidth="1"/>
    <col min="13567" max="13567" width="14" style="3" customWidth="1"/>
    <col min="13568" max="13568" width="7.81640625" style="3" customWidth="1"/>
    <col min="13569" max="13569" width="14" style="3" customWidth="1"/>
    <col min="13570" max="13570" width="7.81640625" style="3" customWidth="1"/>
    <col min="13571" max="13571" width="14" style="3" customWidth="1"/>
    <col min="13572" max="13572" width="9" style="3" bestFit="1" customWidth="1"/>
    <col min="13573" max="13573" width="15.1796875" style="3" bestFit="1" customWidth="1"/>
    <col min="13574" max="13574" width="9" style="3" bestFit="1" customWidth="1"/>
    <col min="13575" max="13575" width="15.1796875" style="3" bestFit="1" customWidth="1"/>
    <col min="13576" max="13576" width="6.453125" style="3" customWidth="1"/>
    <col min="13577" max="13577" width="12.7265625" style="3" customWidth="1"/>
    <col min="13578" max="13578" width="6.453125" style="3" customWidth="1"/>
    <col min="13579" max="13579" width="12.7265625" style="3" customWidth="1"/>
    <col min="13580" max="13580" width="6" style="3" customWidth="1"/>
    <col min="13581" max="13581" width="12.7265625" style="3" customWidth="1"/>
    <col min="13582" max="13582" width="9.54296875" style="3" customWidth="1"/>
    <col min="13583" max="13583" width="14" style="3" bestFit="1" customWidth="1"/>
    <col min="13584" max="13584" width="8.7265625" style="3" bestFit="1" customWidth="1"/>
    <col min="13585" max="13585" width="13.54296875" style="3" customWidth="1"/>
    <col min="13586" max="13586" width="6" style="3" customWidth="1"/>
    <col min="13587" max="13587" width="13.7265625" style="3" customWidth="1"/>
    <col min="13588" max="13588" width="6" style="3" customWidth="1"/>
    <col min="13589" max="13589" width="12.7265625" style="3" customWidth="1"/>
    <col min="13590" max="13590" width="6.81640625" style="3" customWidth="1"/>
    <col min="13591" max="13591" width="12.7265625" style="3" customWidth="1"/>
    <col min="13592" max="13592" width="6.81640625" style="3" customWidth="1"/>
    <col min="13593" max="13593" width="15.7265625" style="3" bestFit="1" customWidth="1"/>
    <col min="13594" max="13594" width="8.54296875" style="3" bestFit="1" customWidth="1"/>
    <col min="13595" max="13595" width="13.54296875" style="3" customWidth="1"/>
    <col min="13596" max="13596" width="6" style="3" customWidth="1"/>
    <col min="13597" max="13597" width="13.7265625" style="3" customWidth="1"/>
    <col min="13598" max="13598" width="6" style="3" customWidth="1"/>
    <col min="13599" max="13599" width="12.7265625" style="3" customWidth="1"/>
    <col min="13600" max="13600" width="6.81640625" style="3" customWidth="1"/>
    <col min="13601" max="13601" width="12.7265625" style="3" customWidth="1"/>
    <col min="13602" max="13602" width="6.81640625" style="3" customWidth="1"/>
    <col min="13603" max="13603" width="16.453125" style="3" bestFit="1" customWidth="1"/>
    <col min="13604" max="13604" width="9.54296875" style="3" bestFit="1" customWidth="1"/>
    <col min="13605" max="13605" width="17.453125" style="3" bestFit="1" customWidth="1"/>
    <col min="13606" max="13606" width="6" style="3" customWidth="1"/>
    <col min="13607" max="13607" width="13.7265625" style="3" customWidth="1"/>
    <col min="13608" max="13608" width="6" style="3" customWidth="1"/>
    <col min="13609" max="13609" width="12.7265625" style="3" customWidth="1"/>
    <col min="13610" max="13610" width="6.81640625" style="3" customWidth="1"/>
    <col min="13611" max="13611" width="12.7265625" style="3" customWidth="1"/>
    <col min="13612" max="13612" width="6.81640625" style="3" customWidth="1"/>
    <col min="13613" max="13613" width="15.453125" style="3" bestFit="1" customWidth="1"/>
    <col min="13614" max="13614" width="9.54296875" style="3" bestFit="1" customWidth="1"/>
    <col min="13615" max="13615" width="17.453125" style="3" bestFit="1" customWidth="1"/>
    <col min="13616" max="13616" width="8" style="3" customWidth="1"/>
    <col min="13617" max="13617" width="12.1796875" style="3" customWidth="1"/>
    <col min="13618" max="13618" width="8" style="3" customWidth="1"/>
    <col min="13619" max="13619" width="20" style="3" customWidth="1"/>
    <col min="13620" max="13620" width="15.26953125" style="3" bestFit="1" customWidth="1"/>
    <col min="13621" max="13621" width="14.26953125" style="3" bestFit="1" customWidth="1"/>
    <col min="13622" max="13622" width="13" style="3" bestFit="1" customWidth="1"/>
    <col min="13623" max="13794" width="8.7265625" style="3"/>
    <col min="13795" max="13795" width="2.7265625" style="3" customWidth="1"/>
    <col min="13796" max="13796" width="3.54296875" style="3" customWidth="1"/>
    <col min="13797" max="13797" width="7" style="3" customWidth="1"/>
    <col min="13798" max="13798" width="23" style="3" customWidth="1"/>
    <col min="13799" max="13799" width="13.26953125" style="3" customWidth="1"/>
    <col min="13800" max="13800" width="17.453125" style="3" bestFit="1" customWidth="1"/>
    <col min="13801" max="13801" width="11.54296875" style="3" bestFit="1" customWidth="1"/>
    <col min="13802" max="13802" width="7.81640625" style="3" customWidth="1"/>
    <col min="13803" max="13803" width="11.54296875" style="3" bestFit="1" customWidth="1"/>
    <col min="13804" max="13804" width="7" style="3" customWidth="1"/>
    <col min="13805" max="13805" width="18.1796875" style="3" customWidth="1"/>
    <col min="13806" max="13806" width="7" style="3" customWidth="1"/>
    <col min="13807" max="13807" width="15.54296875" style="3" customWidth="1"/>
    <col min="13808" max="13808" width="7.81640625" style="3" customWidth="1"/>
    <col min="13809" max="13809" width="15.54296875" style="3" customWidth="1"/>
    <col min="13810" max="13810" width="7.81640625" style="3" bestFit="1" customWidth="1"/>
    <col min="13811" max="13811" width="15.7265625" style="3" bestFit="1" customWidth="1"/>
    <col min="13812" max="13812" width="7.54296875" style="3" customWidth="1"/>
    <col min="13813" max="13813" width="14" style="3" customWidth="1"/>
    <col min="13814" max="13814" width="7.81640625" style="3" customWidth="1"/>
    <col min="13815" max="13815" width="14" style="3" customWidth="1"/>
    <col min="13816" max="13816" width="7.81640625" style="3" customWidth="1"/>
    <col min="13817" max="13817" width="14" style="3" customWidth="1"/>
    <col min="13818" max="13818" width="9" style="3" customWidth="1"/>
    <col min="13819" max="13819" width="15.1796875" style="3" customWidth="1"/>
    <col min="13820" max="13820" width="13" style="3" bestFit="1" customWidth="1"/>
    <col min="13821" max="13821" width="15.1796875" style="3" bestFit="1" customWidth="1"/>
    <col min="13822" max="13822" width="7.54296875" style="3" customWidth="1"/>
    <col min="13823" max="13823" width="14" style="3" customWidth="1"/>
    <col min="13824" max="13824" width="7.81640625" style="3" customWidth="1"/>
    <col min="13825" max="13825" width="14" style="3" customWidth="1"/>
    <col min="13826" max="13826" width="7.81640625" style="3" customWidth="1"/>
    <col min="13827" max="13827" width="14" style="3" customWidth="1"/>
    <col min="13828" max="13828" width="9" style="3" bestFit="1" customWidth="1"/>
    <col min="13829" max="13829" width="15.1796875" style="3" bestFit="1" customWidth="1"/>
    <col min="13830" max="13830" width="9" style="3" bestFit="1" customWidth="1"/>
    <col min="13831" max="13831" width="15.1796875" style="3" bestFit="1" customWidth="1"/>
    <col min="13832" max="13832" width="6.453125" style="3" customWidth="1"/>
    <col min="13833" max="13833" width="12.7265625" style="3" customWidth="1"/>
    <col min="13834" max="13834" width="6.453125" style="3" customWidth="1"/>
    <col min="13835" max="13835" width="12.7265625" style="3" customWidth="1"/>
    <col min="13836" max="13836" width="6" style="3" customWidth="1"/>
    <col min="13837" max="13837" width="12.7265625" style="3" customWidth="1"/>
    <col min="13838" max="13838" width="9.54296875" style="3" customWidth="1"/>
    <col min="13839" max="13839" width="14" style="3" bestFit="1" customWidth="1"/>
    <col min="13840" max="13840" width="8.7265625" style="3" bestFit="1" customWidth="1"/>
    <col min="13841" max="13841" width="13.54296875" style="3" customWidth="1"/>
    <col min="13842" max="13842" width="6" style="3" customWidth="1"/>
    <col min="13843" max="13843" width="13.7265625" style="3" customWidth="1"/>
    <col min="13844" max="13844" width="6" style="3" customWidth="1"/>
    <col min="13845" max="13845" width="12.7265625" style="3" customWidth="1"/>
    <col min="13846" max="13846" width="6.81640625" style="3" customWidth="1"/>
    <col min="13847" max="13847" width="12.7265625" style="3" customWidth="1"/>
    <col min="13848" max="13848" width="6.81640625" style="3" customWidth="1"/>
    <col min="13849" max="13849" width="15.7265625" style="3" bestFit="1" customWidth="1"/>
    <col min="13850" max="13850" width="8.54296875" style="3" bestFit="1" customWidth="1"/>
    <col min="13851" max="13851" width="13.54296875" style="3" customWidth="1"/>
    <col min="13852" max="13852" width="6" style="3" customWidth="1"/>
    <col min="13853" max="13853" width="13.7265625" style="3" customWidth="1"/>
    <col min="13854" max="13854" width="6" style="3" customWidth="1"/>
    <col min="13855" max="13855" width="12.7265625" style="3" customWidth="1"/>
    <col min="13856" max="13856" width="6.81640625" style="3" customWidth="1"/>
    <col min="13857" max="13857" width="12.7265625" style="3" customWidth="1"/>
    <col min="13858" max="13858" width="6.81640625" style="3" customWidth="1"/>
    <col min="13859" max="13859" width="16.453125" style="3" bestFit="1" customWidth="1"/>
    <col min="13860" max="13860" width="9.54296875" style="3" bestFit="1" customWidth="1"/>
    <col min="13861" max="13861" width="17.453125" style="3" bestFit="1" customWidth="1"/>
    <col min="13862" max="13862" width="6" style="3" customWidth="1"/>
    <col min="13863" max="13863" width="13.7265625" style="3" customWidth="1"/>
    <col min="13864" max="13864" width="6" style="3" customWidth="1"/>
    <col min="13865" max="13865" width="12.7265625" style="3" customWidth="1"/>
    <col min="13866" max="13866" width="6.81640625" style="3" customWidth="1"/>
    <col min="13867" max="13867" width="12.7265625" style="3" customWidth="1"/>
    <col min="13868" max="13868" width="6.81640625" style="3" customWidth="1"/>
    <col min="13869" max="13869" width="15.453125" style="3" bestFit="1" customWidth="1"/>
    <col min="13870" max="13870" width="9.54296875" style="3" bestFit="1" customWidth="1"/>
    <col min="13871" max="13871" width="17.453125" style="3" bestFit="1" customWidth="1"/>
    <col min="13872" max="13872" width="8" style="3" customWidth="1"/>
    <col min="13873" max="13873" width="12.1796875" style="3" customWidth="1"/>
    <col min="13874" max="13874" width="8" style="3" customWidth="1"/>
    <col min="13875" max="13875" width="20" style="3" customWidth="1"/>
    <col min="13876" max="13876" width="15.26953125" style="3" bestFit="1" customWidth="1"/>
    <col min="13877" max="13877" width="14.26953125" style="3" bestFit="1" customWidth="1"/>
    <col min="13878" max="13878" width="13" style="3" bestFit="1" customWidth="1"/>
    <col min="13879" max="14050" width="8.7265625" style="3"/>
    <col min="14051" max="14051" width="2.7265625" style="3" customWidth="1"/>
    <col min="14052" max="14052" width="3.54296875" style="3" customWidth="1"/>
    <col min="14053" max="14053" width="7" style="3" customWidth="1"/>
    <col min="14054" max="14054" width="23" style="3" customWidth="1"/>
    <col min="14055" max="14055" width="13.26953125" style="3" customWidth="1"/>
    <col min="14056" max="14056" width="17.453125" style="3" bestFit="1" customWidth="1"/>
    <col min="14057" max="14057" width="11.54296875" style="3" bestFit="1" customWidth="1"/>
    <col min="14058" max="14058" width="7.81640625" style="3" customWidth="1"/>
    <col min="14059" max="14059" width="11.54296875" style="3" bestFit="1" customWidth="1"/>
    <col min="14060" max="14060" width="7" style="3" customWidth="1"/>
    <col min="14061" max="14061" width="18.1796875" style="3" customWidth="1"/>
    <col min="14062" max="14062" width="7" style="3" customWidth="1"/>
    <col min="14063" max="14063" width="15.54296875" style="3" customWidth="1"/>
    <col min="14064" max="14064" width="7.81640625" style="3" customWidth="1"/>
    <col min="14065" max="14065" width="15.54296875" style="3" customWidth="1"/>
    <col min="14066" max="14066" width="7.81640625" style="3" bestFit="1" customWidth="1"/>
    <col min="14067" max="14067" width="15.7265625" style="3" bestFit="1" customWidth="1"/>
    <col min="14068" max="14068" width="7.54296875" style="3" customWidth="1"/>
    <col min="14069" max="14069" width="14" style="3" customWidth="1"/>
    <col min="14070" max="14070" width="7.81640625" style="3" customWidth="1"/>
    <col min="14071" max="14071" width="14" style="3" customWidth="1"/>
    <col min="14072" max="14072" width="7.81640625" style="3" customWidth="1"/>
    <col min="14073" max="14073" width="14" style="3" customWidth="1"/>
    <col min="14074" max="14074" width="9" style="3" customWidth="1"/>
    <col min="14075" max="14075" width="15.1796875" style="3" customWidth="1"/>
    <col min="14076" max="14076" width="13" style="3" bestFit="1" customWidth="1"/>
    <col min="14077" max="14077" width="15.1796875" style="3" bestFit="1" customWidth="1"/>
    <col min="14078" max="14078" width="7.54296875" style="3" customWidth="1"/>
    <col min="14079" max="14079" width="14" style="3" customWidth="1"/>
    <col min="14080" max="14080" width="7.81640625" style="3" customWidth="1"/>
    <col min="14081" max="14081" width="14" style="3" customWidth="1"/>
    <col min="14082" max="14082" width="7.81640625" style="3" customWidth="1"/>
    <col min="14083" max="14083" width="14" style="3" customWidth="1"/>
    <col min="14084" max="14084" width="9" style="3" bestFit="1" customWidth="1"/>
    <col min="14085" max="14085" width="15.1796875" style="3" bestFit="1" customWidth="1"/>
    <col min="14086" max="14086" width="9" style="3" bestFit="1" customWidth="1"/>
    <col min="14087" max="14087" width="15.1796875" style="3" bestFit="1" customWidth="1"/>
    <col min="14088" max="14088" width="6.453125" style="3" customWidth="1"/>
    <col min="14089" max="14089" width="12.7265625" style="3" customWidth="1"/>
    <col min="14090" max="14090" width="6.453125" style="3" customWidth="1"/>
    <col min="14091" max="14091" width="12.7265625" style="3" customWidth="1"/>
    <col min="14092" max="14092" width="6" style="3" customWidth="1"/>
    <col min="14093" max="14093" width="12.7265625" style="3" customWidth="1"/>
    <col min="14094" max="14094" width="9.54296875" style="3" customWidth="1"/>
    <col min="14095" max="14095" width="14" style="3" bestFit="1" customWidth="1"/>
    <col min="14096" max="14096" width="8.7265625" style="3" bestFit="1" customWidth="1"/>
    <col min="14097" max="14097" width="13.54296875" style="3" customWidth="1"/>
    <col min="14098" max="14098" width="6" style="3" customWidth="1"/>
    <col min="14099" max="14099" width="13.7265625" style="3" customWidth="1"/>
    <col min="14100" max="14100" width="6" style="3" customWidth="1"/>
    <col min="14101" max="14101" width="12.7265625" style="3" customWidth="1"/>
    <col min="14102" max="14102" width="6.81640625" style="3" customWidth="1"/>
    <col min="14103" max="14103" width="12.7265625" style="3" customWidth="1"/>
    <col min="14104" max="14104" width="6.81640625" style="3" customWidth="1"/>
    <col min="14105" max="14105" width="15.7265625" style="3" bestFit="1" customWidth="1"/>
    <col min="14106" max="14106" width="8.54296875" style="3" bestFit="1" customWidth="1"/>
    <col min="14107" max="14107" width="13.54296875" style="3" customWidth="1"/>
    <col min="14108" max="14108" width="6" style="3" customWidth="1"/>
    <col min="14109" max="14109" width="13.7265625" style="3" customWidth="1"/>
    <col min="14110" max="14110" width="6" style="3" customWidth="1"/>
    <col min="14111" max="14111" width="12.7265625" style="3" customWidth="1"/>
    <col min="14112" max="14112" width="6.81640625" style="3" customWidth="1"/>
    <col min="14113" max="14113" width="12.7265625" style="3" customWidth="1"/>
    <col min="14114" max="14114" width="6.81640625" style="3" customWidth="1"/>
    <col min="14115" max="14115" width="16.453125" style="3" bestFit="1" customWidth="1"/>
    <col min="14116" max="14116" width="9.54296875" style="3" bestFit="1" customWidth="1"/>
    <col min="14117" max="14117" width="17.453125" style="3" bestFit="1" customWidth="1"/>
    <col min="14118" max="14118" width="6" style="3" customWidth="1"/>
    <col min="14119" max="14119" width="13.7265625" style="3" customWidth="1"/>
    <col min="14120" max="14120" width="6" style="3" customWidth="1"/>
    <col min="14121" max="14121" width="12.7265625" style="3" customWidth="1"/>
    <col min="14122" max="14122" width="6.81640625" style="3" customWidth="1"/>
    <col min="14123" max="14123" width="12.7265625" style="3" customWidth="1"/>
    <col min="14124" max="14124" width="6.81640625" style="3" customWidth="1"/>
    <col min="14125" max="14125" width="15.453125" style="3" bestFit="1" customWidth="1"/>
    <col min="14126" max="14126" width="9.54296875" style="3" bestFit="1" customWidth="1"/>
    <col min="14127" max="14127" width="17.453125" style="3" bestFit="1" customWidth="1"/>
    <col min="14128" max="14128" width="8" style="3" customWidth="1"/>
    <col min="14129" max="14129" width="12.1796875" style="3" customWidth="1"/>
    <col min="14130" max="14130" width="8" style="3" customWidth="1"/>
    <col min="14131" max="14131" width="20" style="3" customWidth="1"/>
    <col min="14132" max="14132" width="15.26953125" style="3" bestFit="1" customWidth="1"/>
    <col min="14133" max="14133" width="14.26953125" style="3" bestFit="1" customWidth="1"/>
    <col min="14134" max="14134" width="13" style="3" bestFit="1" customWidth="1"/>
    <col min="14135" max="14306" width="8.7265625" style="3"/>
    <col min="14307" max="14307" width="2.7265625" style="3" customWidth="1"/>
    <col min="14308" max="14308" width="3.54296875" style="3" customWidth="1"/>
    <col min="14309" max="14309" width="7" style="3" customWidth="1"/>
    <col min="14310" max="14310" width="23" style="3" customWidth="1"/>
    <col min="14311" max="14311" width="13.26953125" style="3" customWidth="1"/>
    <col min="14312" max="14312" width="17.453125" style="3" bestFit="1" customWidth="1"/>
    <col min="14313" max="14313" width="11.54296875" style="3" bestFit="1" customWidth="1"/>
    <col min="14314" max="14314" width="7.81640625" style="3" customWidth="1"/>
    <col min="14315" max="14315" width="11.54296875" style="3" bestFit="1" customWidth="1"/>
    <col min="14316" max="14316" width="7" style="3" customWidth="1"/>
    <col min="14317" max="14317" width="18.1796875" style="3" customWidth="1"/>
    <col min="14318" max="14318" width="7" style="3" customWidth="1"/>
    <col min="14319" max="14319" width="15.54296875" style="3" customWidth="1"/>
    <col min="14320" max="14320" width="7.81640625" style="3" customWidth="1"/>
    <col min="14321" max="14321" width="15.54296875" style="3" customWidth="1"/>
    <col min="14322" max="14322" width="7.81640625" style="3" bestFit="1" customWidth="1"/>
    <col min="14323" max="14323" width="15.7265625" style="3" bestFit="1" customWidth="1"/>
    <col min="14324" max="14324" width="7.54296875" style="3" customWidth="1"/>
    <col min="14325" max="14325" width="14" style="3" customWidth="1"/>
    <col min="14326" max="14326" width="7.81640625" style="3" customWidth="1"/>
    <col min="14327" max="14327" width="14" style="3" customWidth="1"/>
    <col min="14328" max="14328" width="7.81640625" style="3" customWidth="1"/>
    <col min="14329" max="14329" width="14" style="3" customWidth="1"/>
    <col min="14330" max="14330" width="9" style="3" customWidth="1"/>
    <col min="14331" max="14331" width="15.1796875" style="3" customWidth="1"/>
    <col min="14332" max="14332" width="13" style="3" bestFit="1" customWidth="1"/>
    <col min="14333" max="14333" width="15.1796875" style="3" bestFit="1" customWidth="1"/>
    <col min="14334" max="14334" width="7.54296875" style="3" customWidth="1"/>
    <col min="14335" max="14335" width="14" style="3" customWidth="1"/>
    <col min="14336" max="14336" width="7.81640625" style="3" customWidth="1"/>
    <col min="14337" max="14337" width="14" style="3" customWidth="1"/>
    <col min="14338" max="14338" width="7.81640625" style="3" customWidth="1"/>
    <col min="14339" max="14339" width="14" style="3" customWidth="1"/>
    <col min="14340" max="14340" width="9" style="3" bestFit="1" customWidth="1"/>
    <col min="14341" max="14341" width="15.1796875" style="3" bestFit="1" customWidth="1"/>
    <col min="14342" max="14342" width="9" style="3" bestFit="1" customWidth="1"/>
    <col min="14343" max="14343" width="15.1796875" style="3" bestFit="1" customWidth="1"/>
    <col min="14344" max="14344" width="6.453125" style="3" customWidth="1"/>
    <col min="14345" max="14345" width="12.7265625" style="3" customWidth="1"/>
    <col min="14346" max="14346" width="6.453125" style="3" customWidth="1"/>
    <col min="14347" max="14347" width="12.7265625" style="3" customWidth="1"/>
    <col min="14348" max="14348" width="6" style="3" customWidth="1"/>
    <col min="14349" max="14349" width="12.7265625" style="3" customWidth="1"/>
    <col min="14350" max="14350" width="9.54296875" style="3" customWidth="1"/>
    <col min="14351" max="14351" width="14" style="3" bestFit="1" customWidth="1"/>
    <col min="14352" max="14352" width="8.7265625" style="3" bestFit="1" customWidth="1"/>
    <col min="14353" max="14353" width="13.54296875" style="3" customWidth="1"/>
    <col min="14354" max="14354" width="6" style="3" customWidth="1"/>
    <col min="14355" max="14355" width="13.7265625" style="3" customWidth="1"/>
    <col min="14356" max="14356" width="6" style="3" customWidth="1"/>
    <col min="14357" max="14357" width="12.7265625" style="3" customWidth="1"/>
    <col min="14358" max="14358" width="6.81640625" style="3" customWidth="1"/>
    <col min="14359" max="14359" width="12.7265625" style="3" customWidth="1"/>
    <col min="14360" max="14360" width="6.81640625" style="3" customWidth="1"/>
    <col min="14361" max="14361" width="15.7265625" style="3" bestFit="1" customWidth="1"/>
    <col min="14362" max="14362" width="8.54296875" style="3" bestFit="1" customWidth="1"/>
    <col min="14363" max="14363" width="13.54296875" style="3" customWidth="1"/>
    <col min="14364" max="14364" width="6" style="3" customWidth="1"/>
    <col min="14365" max="14365" width="13.7265625" style="3" customWidth="1"/>
    <col min="14366" max="14366" width="6" style="3" customWidth="1"/>
    <col min="14367" max="14367" width="12.7265625" style="3" customWidth="1"/>
    <col min="14368" max="14368" width="6.81640625" style="3" customWidth="1"/>
    <col min="14369" max="14369" width="12.7265625" style="3" customWidth="1"/>
    <col min="14370" max="14370" width="6.81640625" style="3" customWidth="1"/>
    <col min="14371" max="14371" width="16.453125" style="3" bestFit="1" customWidth="1"/>
    <col min="14372" max="14372" width="9.54296875" style="3" bestFit="1" customWidth="1"/>
    <col min="14373" max="14373" width="17.453125" style="3" bestFit="1" customWidth="1"/>
    <col min="14374" max="14374" width="6" style="3" customWidth="1"/>
    <col min="14375" max="14375" width="13.7265625" style="3" customWidth="1"/>
    <col min="14376" max="14376" width="6" style="3" customWidth="1"/>
    <col min="14377" max="14377" width="12.7265625" style="3" customWidth="1"/>
    <col min="14378" max="14378" width="6.81640625" style="3" customWidth="1"/>
    <col min="14379" max="14379" width="12.7265625" style="3" customWidth="1"/>
    <col min="14380" max="14380" width="6.81640625" style="3" customWidth="1"/>
    <col min="14381" max="14381" width="15.453125" style="3" bestFit="1" customWidth="1"/>
    <col min="14382" max="14382" width="9.54296875" style="3" bestFit="1" customWidth="1"/>
    <col min="14383" max="14383" width="17.453125" style="3" bestFit="1" customWidth="1"/>
    <col min="14384" max="14384" width="8" style="3" customWidth="1"/>
    <col min="14385" max="14385" width="12.1796875" style="3" customWidth="1"/>
    <col min="14386" max="14386" width="8" style="3" customWidth="1"/>
    <col min="14387" max="14387" width="20" style="3" customWidth="1"/>
    <col min="14388" max="14388" width="15.26953125" style="3" bestFit="1" customWidth="1"/>
    <col min="14389" max="14389" width="14.26953125" style="3" bestFit="1" customWidth="1"/>
    <col min="14390" max="14390" width="13" style="3" bestFit="1" customWidth="1"/>
    <col min="14391" max="14562" width="8.7265625" style="3"/>
    <col min="14563" max="14563" width="2.7265625" style="3" customWidth="1"/>
    <col min="14564" max="14564" width="3.54296875" style="3" customWidth="1"/>
    <col min="14565" max="14565" width="7" style="3" customWidth="1"/>
    <col min="14566" max="14566" width="23" style="3" customWidth="1"/>
    <col min="14567" max="14567" width="13.26953125" style="3" customWidth="1"/>
    <col min="14568" max="14568" width="17.453125" style="3" bestFit="1" customWidth="1"/>
    <col min="14569" max="14569" width="11.54296875" style="3" bestFit="1" customWidth="1"/>
    <col min="14570" max="14570" width="7.81640625" style="3" customWidth="1"/>
    <col min="14571" max="14571" width="11.54296875" style="3" bestFit="1" customWidth="1"/>
    <col min="14572" max="14572" width="7" style="3" customWidth="1"/>
    <col min="14573" max="14573" width="18.1796875" style="3" customWidth="1"/>
    <col min="14574" max="14574" width="7" style="3" customWidth="1"/>
    <col min="14575" max="14575" width="15.54296875" style="3" customWidth="1"/>
    <col min="14576" max="14576" width="7.81640625" style="3" customWidth="1"/>
    <col min="14577" max="14577" width="15.54296875" style="3" customWidth="1"/>
    <col min="14578" max="14578" width="7.81640625" style="3" bestFit="1" customWidth="1"/>
    <col min="14579" max="14579" width="15.7265625" style="3" bestFit="1" customWidth="1"/>
    <col min="14580" max="14580" width="7.54296875" style="3" customWidth="1"/>
    <col min="14581" max="14581" width="14" style="3" customWidth="1"/>
    <col min="14582" max="14582" width="7.81640625" style="3" customWidth="1"/>
    <col min="14583" max="14583" width="14" style="3" customWidth="1"/>
    <col min="14584" max="14584" width="7.81640625" style="3" customWidth="1"/>
    <col min="14585" max="14585" width="14" style="3" customWidth="1"/>
    <col min="14586" max="14586" width="9" style="3" customWidth="1"/>
    <col min="14587" max="14587" width="15.1796875" style="3" customWidth="1"/>
    <col min="14588" max="14588" width="13" style="3" bestFit="1" customWidth="1"/>
    <col min="14589" max="14589" width="15.1796875" style="3" bestFit="1" customWidth="1"/>
    <col min="14590" max="14590" width="7.54296875" style="3" customWidth="1"/>
    <col min="14591" max="14591" width="14" style="3" customWidth="1"/>
    <col min="14592" max="14592" width="7.81640625" style="3" customWidth="1"/>
    <col min="14593" max="14593" width="14" style="3" customWidth="1"/>
    <col min="14594" max="14594" width="7.81640625" style="3" customWidth="1"/>
    <col min="14595" max="14595" width="14" style="3" customWidth="1"/>
    <col min="14596" max="14596" width="9" style="3" bestFit="1" customWidth="1"/>
    <col min="14597" max="14597" width="15.1796875" style="3" bestFit="1" customWidth="1"/>
    <col min="14598" max="14598" width="9" style="3" bestFit="1" customWidth="1"/>
    <col min="14599" max="14599" width="15.1796875" style="3" bestFit="1" customWidth="1"/>
    <col min="14600" max="14600" width="6.453125" style="3" customWidth="1"/>
    <col min="14601" max="14601" width="12.7265625" style="3" customWidth="1"/>
    <col min="14602" max="14602" width="6.453125" style="3" customWidth="1"/>
    <col min="14603" max="14603" width="12.7265625" style="3" customWidth="1"/>
    <col min="14604" max="14604" width="6" style="3" customWidth="1"/>
    <col min="14605" max="14605" width="12.7265625" style="3" customWidth="1"/>
    <col min="14606" max="14606" width="9.54296875" style="3" customWidth="1"/>
    <col min="14607" max="14607" width="14" style="3" bestFit="1" customWidth="1"/>
    <col min="14608" max="14608" width="8.7265625" style="3" bestFit="1" customWidth="1"/>
    <col min="14609" max="14609" width="13.54296875" style="3" customWidth="1"/>
    <col min="14610" max="14610" width="6" style="3" customWidth="1"/>
    <col min="14611" max="14611" width="13.7265625" style="3" customWidth="1"/>
    <col min="14612" max="14612" width="6" style="3" customWidth="1"/>
    <col min="14613" max="14613" width="12.7265625" style="3" customWidth="1"/>
    <col min="14614" max="14614" width="6.81640625" style="3" customWidth="1"/>
    <col min="14615" max="14615" width="12.7265625" style="3" customWidth="1"/>
    <col min="14616" max="14616" width="6.81640625" style="3" customWidth="1"/>
    <col min="14617" max="14617" width="15.7265625" style="3" bestFit="1" customWidth="1"/>
    <col min="14618" max="14618" width="8.54296875" style="3" bestFit="1" customWidth="1"/>
    <col min="14619" max="14619" width="13.54296875" style="3" customWidth="1"/>
    <col min="14620" max="14620" width="6" style="3" customWidth="1"/>
    <col min="14621" max="14621" width="13.7265625" style="3" customWidth="1"/>
    <col min="14622" max="14622" width="6" style="3" customWidth="1"/>
    <col min="14623" max="14623" width="12.7265625" style="3" customWidth="1"/>
    <col min="14624" max="14624" width="6.81640625" style="3" customWidth="1"/>
    <col min="14625" max="14625" width="12.7265625" style="3" customWidth="1"/>
    <col min="14626" max="14626" width="6.81640625" style="3" customWidth="1"/>
    <col min="14627" max="14627" width="16.453125" style="3" bestFit="1" customWidth="1"/>
    <col min="14628" max="14628" width="9.54296875" style="3" bestFit="1" customWidth="1"/>
    <col min="14629" max="14629" width="17.453125" style="3" bestFit="1" customWidth="1"/>
    <col min="14630" max="14630" width="6" style="3" customWidth="1"/>
    <col min="14631" max="14631" width="13.7265625" style="3" customWidth="1"/>
    <col min="14632" max="14632" width="6" style="3" customWidth="1"/>
    <col min="14633" max="14633" width="12.7265625" style="3" customWidth="1"/>
    <col min="14634" max="14634" width="6.81640625" style="3" customWidth="1"/>
    <col min="14635" max="14635" width="12.7265625" style="3" customWidth="1"/>
    <col min="14636" max="14636" width="6.81640625" style="3" customWidth="1"/>
    <col min="14637" max="14637" width="15.453125" style="3" bestFit="1" customWidth="1"/>
    <col min="14638" max="14638" width="9.54296875" style="3" bestFit="1" customWidth="1"/>
    <col min="14639" max="14639" width="17.453125" style="3" bestFit="1" customWidth="1"/>
    <col min="14640" max="14640" width="8" style="3" customWidth="1"/>
    <col min="14641" max="14641" width="12.1796875" style="3" customWidth="1"/>
    <col min="14642" max="14642" width="8" style="3" customWidth="1"/>
    <col min="14643" max="14643" width="20" style="3" customWidth="1"/>
    <col min="14644" max="14644" width="15.26953125" style="3" bestFit="1" customWidth="1"/>
    <col min="14645" max="14645" width="14.26953125" style="3" bestFit="1" customWidth="1"/>
    <col min="14646" max="14646" width="13" style="3" bestFit="1" customWidth="1"/>
    <col min="14647" max="14818" width="8.7265625" style="3"/>
    <col min="14819" max="14819" width="2.7265625" style="3" customWidth="1"/>
    <col min="14820" max="14820" width="3.54296875" style="3" customWidth="1"/>
    <col min="14821" max="14821" width="7" style="3" customWidth="1"/>
    <col min="14822" max="14822" width="23" style="3" customWidth="1"/>
    <col min="14823" max="14823" width="13.26953125" style="3" customWidth="1"/>
    <col min="14824" max="14824" width="17.453125" style="3" bestFit="1" customWidth="1"/>
    <col min="14825" max="14825" width="11.54296875" style="3" bestFit="1" customWidth="1"/>
    <col min="14826" max="14826" width="7.81640625" style="3" customWidth="1"/>
    <col min="14827" max="14827" width="11.54296875" style="3" bestFit="1" customWidth="1"/>
    <col min="14828" max="14828" width="7" style="3" customWidth="1"/>
    <col min="14829" max="14829" width="18.1796875" style="3" customWidth="1"/>
    <col min="14830" max="14830" width="7" style="3" customWidth="1"/>
    <col min="14831" max="14831" width="15.54296875" style="3" customWidth="1"/>
    <col min="14832" max="14832" width="7.81640625" style="3" customWidth="1"/>
    <col min="14833" max="14833" width="15.54296875" style="3" customWidth="1"/>
    <col min="14834" max="14834" width="7.81640625" style="3" bestFit="1" customWidth="1"/>
    <col min="14835" max="14835" width="15.7265625" style="3" bestFit="1" customWidth="1"/>
    <col min="14836" max="14836" width="7.54296875" style="3" customWidth="1"/>
    <col min="14837" max="14837" width="14" style="3" customWidth="1"/>
    <col min="14838" max="14838" width="7.81640625" style="3" customWidth="1"/>
    <col min="14839" max="14839" width="14" style="3" customWidth="1"/>
    <col min="14840" max="14840" width="7.81640625" style="3" customWidth="1"/>
    <col min="14841" max="14841" width="14" style="3" customWidth="1"/>
    <col min="14842" max="14842" width="9" style="3" customWidth="1"/>
    <col min="14843" max="14843" width="15.1796875" style="3" customWidth="1"/>
    <col min="14844" max="14844" width="13" style="3" bestFit="1" customWidth="1"/>
    <col min="14845" max="14845" width="15.1796875" style="3" bestFit="1" customWidth="1"/>
    <col min="14846" max="14846" width="7.54296875" style="3" customWidth="1"/>
    <col min="14847" max="14847" width="14" style="3" customWidth="1"/>
    <col min="14848" max="14848" width="7.81640625" style="3" customWidth="1"/>
    <col min="14849" max="14849" width="14" style="3" customWidth="1"/>
    <col min="14850" max="14850" width="7.81640625" style="3" customWidth="1"/>
    <col min="14851" max="14851" width="14" style="3" customWidth="1"/>
    <col min="14852" max="14852" width="9" style="3" bestFit="1" customWidth="1"/>
    <col min="14853" max="14853" width="15.1796875" style="3" bestFit="1" customWidth="1"/>
    <col min="14854" max="14854" width="9" style="3" bestFit="1" customWidth="1"/>
    <col min="14855" max="14855" width="15.1796875" style="3" bestFit="1" customWidth="1"/>
    <col min="14856" max="14856" width="6.453125" style="3" customWidth="1"/>
    <col min="14857" max="14857" width="12.7265625" style="3" customWidth="1"/>
    <col min="14858" max="14858" width="6.453125" style="3" customWidth="1"/>
    <col min="14859" max="14859" width="12.7265625" style="3" customWidth="1"/>
    <col min="14860" max="14860" width="6" style="3" customWidth="1"/>
    <col min="14861" max="14861" width="12.7265625" style="3" customWidth="1"/>
    <col min="14862" max="14862" width="9.54296875" style="3" customWidth="1"/>
    <col min="14863" max="14863" width="14" style="3" bestFit="1" customWidth="1"/>
    <col min="14864" max="14864" width="8.7265625" style="3" bestFit="1" customWidth="1"/>
    <col min="14865" max="14865" width="13.54296875" style="3" customWidth="1"/>
    <col min="14866" max="14866" width="6" style="3" customWidth="1"/>
    <col min="14867" max="14867" width="13.7265625" style="3" customWidth="1"/>
    <col min="14868" max="14868" width="6" style="3" customWidth="1"/>
    <col min="14869" max="14869" width="12.7265625" style="3" customWidth="1"/>
    <col min="14870" max="14870" width="6.81640625" style="3" customWidth="1"/>
    <col min="14871" max="14871" width="12.7265625" style="3" customWidth="1"/>
    <col min="14872" max="14872" width="6.81640625" style="3" customWidth="1"/>
    <col min="14873" max="14873" width="15.7265625" style="3" bestFit="1" customWidth="1"/>
    <col min="14874" max="14874" width="8.54296875" style="3" bestFit="1" customWidth="1"/>
    <col min="14875" max="14875" width="13.54296875" style="3" customWidth="1"/>
    <col min="14876" max="14876" width="6" style="3" customWidth="1"/>
    <col min="14877" max="14877" width="13.7265625" style="3" customWidth="1"/>
    <col min="14878" max="14878" width="6" style="3" customWidth="1"/>
    <col min="14879" max="14879" width="12.7265625" style="3" customWidth="1"/>
    <col min="14880" max="14880" width="6.81640625" style="3" customWidth="1"/>
    <col min="14881" max="14881" width="12.7265625" style="3" customWidth="1"/>
    <col min="14882" max="14882" width="6.81640625" style="3" customWidth="1"/>
    <col min="14883" max="14883" width="16.453125" style="3" bestFit="1" customWidth="1"/>
    <col min="14884" max="14884" width="9.54296875" style="3" bestFit="1" customWidth="1"/>
    <col min="14885" max="14885" width="17.453125" style="3" bestFit="1" customWidth="1"/>
    <col min="14886" max="14886" width="6" style="3" customWidth="1"/>
    <col min="14887" max="14887" width="13.7265625" style="3" customWidth="1"/>
    <col min="14888" max="14888" width="6" style="3" customWidth="1"/>
    <col min="14889" max="14889" width="12.7265625" style="3" customWidth="1"/>
    <col min="14890" max="14890" width="6.81640625" style="3" customWidth="1"/>
    <col min="14891" max="14891" width="12.7265625" style="3" customWidth="1"/>
    <col min="14892" max="14892" width="6.81640625" style="3" customWidth="1"/>
    <col min="14893" max="14893" width="15.453125" style="3" bestFit="1" customWidth="1"/>
    <col min="14894" max="14894" width="9.54296875" style="3" bestFit="1" customWidth="1"/>
    <col min="14895" max="14895" width="17.453125" style="3" bestFit="1" customWidth="1"/>
    <col min="14896" max="14896" width="8" style="3" customWidth="1"/>
    <col min="14897" max="14897" width="12.1796875" style="3" customWidth="1"/>
    <col min="14898" max="14898" width="8" style="3" customWidth="1"/>
    <col min="14899" max="14899" width="20" style="3" customWidth="1"/>
    <col min="14900" max="14900" width="15.26953125" style="3" bestFit="1" customWidth="1"/>
    <col min="14901" max="14901" width="14.26953125" style="3" bestFit="1" customWidth="1"/>
    <col min="14902" max="14902" width="13" style="3" bestFit="1" customWidth="1"/>
    <col min="14903" max="15074" width="8.7265625" style="3"/>
    <col min="15075" max="15075" width="2.7265625" style="3" customWidth="1"/>
    <col min="15076" max="15076" width="3.54296875" style="3" customWidth="1"/>
    <col min="15077" max="15077" width="7" style="3" customWidth="1"/>
    <col min="15078" max="15078" width="23" style="3" customWidth="1"/>
    <col min="15079" max="15079" width="13.26953125" style="3" customWidth="1"/>
    <col min="15080" max="15080" width="17.453125" style="3" bestFit="1" customWidth="1"/>
    <col min="15081" max="15081" width="11.54296875" style="3" bestFit="1" customWidth="1"/>
    <col min="15082" max="15082" width="7.81640625" style="3" customWidth="1"/>
    <col min="15083" max="15083" width="11.54296875" style="3" bestFit="1" customWidth="1"/>
    <col min="15084" max="15084" width="7" style="3" customWidth="1"/>
    <col min="15085" max="15085" width="18.1796875" style="3" customWidth="1"/>
    <col min="15086" max="15086" width="7" style="3" customWidth="1"/>
    <col min="15087" max="15087" width="15.54296875" style="3" customWidth="1"/>
    <col min="15088" max="15088" width="7.81640625" style="3" customWidth="1"/>
    <col min="15089" max="15089" width="15.54296875" style="3" customWidth="1"/>
    <col min="15090" max="15090" width="7.81640625" style="3" bestFit="1" customWidth="1"/>
    <col min="15091" max="15091" width="15.7265625" style="3" bestFit="1" customWidth="1"/>
    <col min="15092" max="15092" width="7.54296875" style="3" customWidth="1"/>
    <col min="15093" max="15093" width="14" style="3" customWidth="1"/>
    <col min="15094" max="15094" width="7.81640625" style="3" customWidth="1"/>
    <col min="15095" max="15095" width="14" style="3" customWidth="1"/>
    <col min="15096" max="15096" width="7.81640625" style="3" customWidth="1"/>
    <col min="15097" max="15097" width="14" style="3" customWidth="1"/>
    <col min="15098" max="15098" width="9" style="3" customWidth="1"/>
    <col min="15099" max="15099" width="15.1796875" style="3" customWidth="1"/>
    <col min="15100" max="15100" width="13" style="3" bestFit="1" customWidth="1"/>
    <col min="15101" max="15101" width="15.1796875" style="3" bestFit="1" customWidth="1"/>
    <col min="15102" max="15102" width="7.54296875" style="3" customWidth="1"/>
    <col min="15103" max="15103" width="14" style="3" customWidth="1"/>
    <col min="15104" max="15104" width="7.81640625" style="3" customWidth="1"/>
    <col min="15105" max="15105" width="14" style="3" customWidth="1"/>
    <col min="15106" max="15106" width="7.81640625" style="3" customWidth="1"/>
    <col min="15107" max="15107" width="14" style="3" customWidth="1"/>
    <col min="15108" max="15108" width="9" style="3" bestFit="1" customWidth="1"/>
    <col min="15109" max="15109" width="15.1796875" style="3" bestFit="1" customWidth="1"/>
    <col min="15110" max="15110" width="9" style="3" bestFit="1" customWidth="1"/>
    <col min="15111" max="15111" width="15.1796875" style="3" bestFit="1" customWidth="1"/>
    <col min="15112" max="15112" width="6.453125" style="3" customWidth="1"/>
    <col min="15113" max="15113" width="12.7265625" style="3" customWidth="1"/>
    <col min="15114" max="15114" width="6.453125" style="3" customWidth="1"/>
    <col min="15115" max="15115" width="12.7265625" style="3" customWidth="1"/>
    <col min="15116" max="15116" width="6" style="3" customWidth="1"/>
    <col min="15117" max="15117" width="12.7265625" style="3" customWidth="1"/>
    <col min="15118" max="15118" width="9.54296875" style="3" customWidth="1"/>
    <col min="15119" max="15119" width="14" style="3" bestFit="1" customWidth="1"/>
    <col min="15120" max="15120" width="8.7265625" style="3" bestFit="1" customWidth="1"/>
    <col min="15121" max="15121" width="13.54296875" style="3" customWidth="1"/>
    <col min="15122" max="15122" width="6" style="3" customWidth="1"/>
    <col min="15123" max="15123" width="13.7265625" style="3" customWidth="1"/>
    <col min="15124" max="15124" width="6" style="3" customWidth="1"/>
    <col min="15125" max="15125" width="12.7265625" style="3" customWidth="1"/>
    <col min="15126" max="15126" width="6.81640625" style="3" customWidth="1"/>
    <col min="15127" max="15127" width="12.7265625" style="3" customWidth="1"/>
    <col min="15128" max="15128" width="6.81640625" style="3" customWidth="1"/>
    <col min="15129" max="15129" width="15.7265625" style="3" bestFit="1" customWidth="1"/>
    <col min="15130" max="15130" width="8.54296875" style="3" bestFit="1" customWidth="1"/>
    <col min="15131" max="15131" width="13.54296875" style="3" customWidth="1"/>
    <col min="15132" max="15132" width="6" style="3" customWidth="1"/>
    <col min="15133" max="15133" width="13.7265625" style="3" customWidth="1"/>
    <col min="15134" max="15134" width="6" style="3" customWidth="1"/>
    <col min="15135" max="15135" width="12.7265625" style="3" customWidth="1"/>
    <col min="15136" max="15136" width="6.81640625" style="3" customWidth="1"/>
    <col min="15137" max="15137" width="12.7265625" style="3" customWidth="1"/>
    <col min="15138" max="15138" width="6.81640625" style="3" customWidth="1"/>
    <col min="15139" max="15139" width="16.453125" style="3" bestFit="1" customWidth="1"/>
    <col min="15140" max="15140" width="9.54296875" style="3" bestFit="1" customWidth="1"/>
    <col min="15141" max="15141" width="17.453125" style="3" bestFit="1" customWidth="1"/>
    <col min="15142" max="15142" width="6" style="3" customWidth="1"/>
    <col min="15143" max="15143" width="13.7265625" style="3" customWidth="1"/>
    <col min="15144" max="15144" width="6" style="3" customWidth="1"/>
    <col min="15145" max="15145" width="12.7265625" style="3" customWidth="1"/>
    <col min="15146" max="15146" width="6.81640625" style="3" customWidth="1"/>
    <col min="15147" max="15147" width="12.7265625" style="3" customWidth="1"/>
    <col min="15148" max="15148" width="6.81640625" style="3" customWidth="1"/>
    <col min="15149" max="15149" width="15.453125" style="3" bestFit="1" customWidth="1"/>
    <col min="15150" max="15150" width="9.54296875" style="3" bestFit="1" customWidth="1"/>
    <col min="15151" max="15151" width="17.453125" style="3" bestFit="1" customWidth="1"/>
    <col min="15152" max="15152" width="8" style="3" customWidth="1"/>
    <col min="15153" max="15153" width="12.1796875" style="3" customWidth="1"/>
    <col min="15154" max="15154" width="8" style="3" customWidth="1"/>
    <col min="15155" max="15155" width="20" style="3" customWidth="1"/>
    <col min="15156" max="15156" width="15.26953125" style="3" bestFit="1" customWidth="1"/>
    <col min="15157" max="15157" width="14.26953125" style="3" bestFit="1" customWidth="1"/>
    <col min="15158" max="15158" width="13" style="3" bestFit="1" customWidth="1"/>
    <col min="15159" max="15330" width="8.7265625" style="3"/>
    <col min="15331" max="15331" width="2.7265625" style="3" customWidth="1"/>
    <col min="15332" max="15332" width="3.54296875" style="3" customWidth="1"/>
    <col min="15333" max="15333" width="7" style="3" customWidth="1"/>
    <col min="15334" max="15334" width="23" style="3" customWidth="1"/>
    <col min="15335" max="15335" width="13.26953125" style="3" customWidth="1"/>
    <col min="15336" max="15336" width="17.453125" style="3" bestFit="1" customWidth="1"/>
    <col min="15337" max="15337" width="11.54296875" style="3" bestFit="1" customWidth="1"/>
    <col min="15338" max="15338" width="7.81640625" style="3" customWidth="1"/>
    <col min="15339" max="15339" width="11.54296875" style="3" bestFit="1" customWidth="1"/>
    <col min="15340" max="15340" width="7" style="3" customWidth="1"/>
    <col min="15341" max="15341" width="18.1796875" style="3" customWidth="1"/>
    <col min="15342" max="15342" width="7" style="3" customWidth="1"/>
    <col min="15343" max="15343" width="15.54296875" style="3" customWidth="1"/>
    <col min="15344" max="15344" width="7.81640625" style="3" customWidth="1"/>
    <col min="15345" max="15345" width="15.54296875" style="3" customWidth="1"/>
    <col min="15346" max="15346" width="7.81640625" style="3" bestFit="1" customWidth="1"/>
    <col min="15347" max="15347" width="15.7265625" style="3" bestFit="1" customWidth="1"/>
    <col min="15348" max="15348" width="7.54296875" style="3" customWidth="1"/>
    <col min="15349" max="15349" width="14" style="3" customWidth="1"/>
    <col min="15350" max="15350" width="7.81640625" style="3" customWidth="1"/>
    <col min="15351" max="15351" width="14" style="3" customWidth="1"/>
    <col min="15352" max="15352" width="7.81640625" style="3" customWidth="1"/>
    <col min="15353" max="15353" width="14" style="3" customWidth="1"/>
    <col min="15354" max="15354" width="9" style="3" customWidth="1"/>
    <col min="15355" max="15355" width="15.1796875" style="3" customWidth="1"/>
    <col min="15356" max="15356" width="13" style="3" bestFit="1" customWidth="1"/>
    <col min="15357" max="15357" width="15.1796875" style="3" bestFit="1" customWidth="1"/>
    <col min="15358" max="15358" width="7.54296875" style="3" customWidth="1"/>
    <col min="15359" max="15359" width="14" style="3" customWidth="1"/>
    <col min="15360" max="15360" width="7.81640625" style="3" customWidth="1"/>
    <col min="15361" max="15361" width="14" style="3" customWidth="1"/>
    <col min="15362" max="15362" width="7.81640625" style="3" customWidth="1"/>
    <col min="15363" max="15363" width="14" style="3" customWidth="1"/>
    <col min="15364" max="15364" width="9" style="3" bestFit="1" customWidth="1"/>
    <col min="15365" max="15365" width="15.1796875" style="3" bestFit="1" customWidth="1"/>
    <col min="15366" max="15366" width="9" style="3" bestFit="1" customWidth="1"/>
    <col min="15367" max="15367" width="15.1796875" style="3" bestFit="1" customWidth="1"/>
    <col min="15368" max="15368" width="6.453125" style="3" customWidth="1"/>
    <col min="15369" max="15369" width="12.7265625" style="3" customWidth="1"/>
    <col min="15370" max="15370" width="6.453125" style="3" customWidth="1"/>
    <col min="15371" max="15371" width="12.7265625" style="3" customWidth="1"/>
    <col min="15372" max="15372" width="6" style="3" customWidth="1"/>
    <col min="15373" max="15373" width="12.7265625" style="3" customWidth="1"/>
    <col min="15374" max="15374" width="9.54296875" style="3" customWidth="1"/>
    <col min="15375" max="15375" width="14" style="3" bestFit="1" customWidth="1"/>
    <col min="15376" max="15376" width="8.7265625" style="3" bestFit="1" customWidth="1"/>
    <col min="15377" max="15377" width="13.54296875" style="3" customWidth="1"/>
    <col min="15378" max="15378" width="6" style="3" customWidth="1"/>
    <col min="15379" max="15379" width="13.7265625" style="3" customWidth="1"/>
    <col min="15380" max="15380" width="6" style="3" customWidth="1"/>
    <col min="15381" max="15381" width="12.7265625" style="3" customWidth="1"/>
    <col min="15382" max="15382" width="6.81640625" style="3" customWidth="1"/>
    <col min="15383" max="15383" width="12.7265625" style="3" customWidth="1"/>
    <col min="15384" max="15384" width="6.81640625" style="3" customWidth="1"/>
    <col min="15385" max="15385" width="15.7265625" style="3" bestFit="1" customWidth="1"/>
    <col min="15386" max="15386" width="8.54296875" style="3" bestFit="1" customWidth="1"/>
    <col min="15387" max="15387" width="13.54296875" style="3" customWidth="1"/>
    <col min="15388" max="15388" width="6" style="3" customWidth="1"/>
    <col min="15389" max="15389" width="13.7265625" style="3" customWidth="1"/>
    <col min="15390" max="15390" width="6" style="3" customWidth="1"/>
    <col min="15391" max="15391" width="12.7265625" style="3" customWidth="1"/>
    <col min="15392" max="15392" width="6.81640625" style="3" customWidth="1"/>
    <col min="15393" max="15393" width="12.7265625" style="3" customWidth="1"/>
    <col min="15394" max="15394" width="6.81640625" style="3" customWidth="1"/>
    <col min="15395" max="15395" width="16.453125" style="3" bestFit="1" customWidth="1"/>
    <col min="15396" max="15396" width="9.54296875" style="3" bestFit="1" customWidth="1"/>
    <col min="15397" max="15397" width="17.453125" style="3" bestFit="1" customWidth="1"/>
    <col min="15398" max="15398" width="6" style="3" customWidth="1"/>
    <col min="15399" max="15399" width="13.7265625" style="3" customWidth="1"/>
    <col min="15400" max="15400" width="6" style="3" customWidth="1"/>
    <col min="15401" max="15401" width="12.7265625" style="3" customWidth="1"/>
    <col min="15402" max="15402" width="6.81640625" style="3" customWidth="1"/>
    <col min="15403" max="15403" width="12.7265625" style="3" customWidth="1"/>
    <col min="15404" max="15404" width="6.81640625" style="3" customWidth="1"/>
    <col min="15405" max="15405" width="15.453125" style="3" bestFit="1" customWidth="1"/>
    <col min="15406" max="15406" width="9.54296875" style="3" bestFit="1" customWidth="1"/>
    <col min="15407" max="15407" width="17.453125" style="3" bestFit="1" customWidth="1"/>
    <col min="15408" max="15408" width="8" style="3" customWidth="1"/>
    <col min="15409" max="15409" width="12.1796875" style="3" customWidth="1"/>
    <col min="15410" max="15410" width="8" style="3" customWidth="1"/>
    <col min="15411" max="15411" width="20" style="3" customWidth="1"/>
    <col min="15412" max="15412" width="15.26953125" style="3" bestFit="1" customWidth="1"/>
    <col min="15413" max="15413" width="14.26953125" style="3" bestFit="1" customWidth="1"/>
    <col min="15414" max="15414" width="13" style="3" bestFit="1" customWidth="1"/>
    <col min="15415" max="15586" width="8.7265625" style="3"/>
    <col min="15587" max="15587" width="2.7265625" style="3" customWidth="1"/>
    <col min="15588" max="15588" width="3.54296875" style="3" customWidth="1"/>
    <col min="15589" max="15589" width="7" style="3" customWidth="1"/>
    <col min="15590" max="15590" width="23" style="3" customWidth="1"/>
    <col min="15591" max="15591" width="13.26953125" style="3" customWidth="1"/>
    <col min="15592" max="15592" width="17.453125" style="3" bestFit="1" customWidth="1"/>
    <col min="15593" max="15593" width="11.54296875" style="3" bestFit="1" customWidth="1"/>
    <col min="15594" max="15594" width="7.81640625" style="3" customWidth="1"/>
    <col min="15595" max="15595" width="11.54296875" style="3" bestFit="1" customWidth="1"/>
    <col min="15596" max="15596" width="7" style="3" customWidth="1"/>
    <col min="15597" max="15597" width="18.1796875" style="3" customWidth="1"/>
    <col min="15598" max="15598" width="7" style="3" customWidth="1"/>
    <col min="15599" max="15599" width="15.54296875" style="3" customWidth="1"/>
    <col min="15600" max="15600" width="7.81640625" style="3" customWidth="1"/>
    <col min="15601" max="15601" width="15.54296875" style="3" customWidth="1"/>
    <col min="15602" max="15602" width="7.81640625" style="3" bestFit="1" customWidth="1"/>
    <col min="15603" max="15603" width="15.7265625" style="3" bestFit="1" customWidth="1"/>
    <col min="15604" max="15604" width="7.54296875" style="3" customWidth="1"/>
    <col min="15605" max="15605" width="14" style="3" customWidth="1"/>
    <col min="15606" max="15606" width="7.81640625" style="3" customWidth="1"/>
    <col min="15607" max="15607" width="14" style="3" customWidth="1"/>
    <col min="15608" max="15608" width="7.81640625" style="3" customWidth="1"/>
    <col min="15609" max="15609" width="14" style="3" customWidth="1"/>
    <col min="15610" max="15610" width="9" style="3" customWidth="1"/>
    <col min="15611" max="15611" width="15.1796875" style="3" customWidth="1"/>
    <col min="15612" max="15612" width="13" style="3" bestFit="1" customWidth="1"/>
    <col min="15613" max="15613" width="15.1796875" style="3" bestFit="1" customWidth="1"/>
    <col min="15614" max="15614" width="7.54296875" style="3" customWidth="1"/>
    <col min="15615" max="15615" width="14" style="3" customWidth="1"/>
    <col min="15616" max="15616" width="7.81640625" style="3" customWidth="1"/>
    <col min="15617" max="15617" width="14" style="3" customWidth="1"/>
    <col min="15618" max="15618" width="7.81640625" style="3" customWidth="1"/>
    <col min="15619" max="15619" width="14" style="3" customWidth="1"/>
    <col min="15620" max="15620" width="9" style="3" bestFit="1" customWidth="1"/>
    <col min="15621" max="15621" width="15.1796875" style="3" bestFit="1" customWidth="1"/>
    <col min="15622" max="15622" width="9" style="3" bestFit="1" customWidth="1"/>
    <col min="15623" max="15623" width="15.1796875" style="3" bestFit="1" customWidth="1"/>
    <col min="15624" max="15624" width="6.453125" style="3" customWidth="1"/>
    <col min="15625" max="15625" width="12.7265625" style="3" customWidth="1"/>
    <col min="15626" max="15626" width="6.453125" style="3" customWidth="1"/>
    <col min="15627" max="15627" width="12.7265625" style="3" customWidth="1"/>
    <col min="15628" max="15628" width="6" style="3" customWidth="1"/>
    <col min="15629" max="15629" width="12.7265625" style="3" customWidth="1"/>
    <col min="15630" max="15630" width="9.54296875" style="3" customWidth="1"/>
    <col min="15631" max="15631" width="14" style="3" bestFit="1" customWidth="1"/>
    <col min="15632" max="15632" width="8.7265625" style="3" bestFit="1" customWidth="1"/>
    <col min="15633" max="15633" width="13.54296875" style="3" customWidth="1"/>
    <col min="15634" max="15634" width="6" style="3" customWidth="1"/>
    <col min="15635" max="15635" width="13.7265625" style="3" customWidth="1"/>
    <col min="15636" max="15636" width="6" style="3" customWidth="1"/>
    <col min="15637" max="15637" width="12.7265625" style="3" customWidth="1"/>
    <col min="15638" max="15638" width="6.81640625" style="3" customWidth="1"/>
    <col min="15639" max="15639" width="12.7265625" style="3" customWidth="1"/>
    <col min="15640" max="15640" width="6.81640625" style="3" customWidth="1"/>
    <col min="15641" max="15641" width="15.7265625" style="3" bestFit="1" customWidth="1"/>
    <col min="15642" max="15642" width="8.54296875" style="3" bestFit="1" customWidth="1"/>
    <col min="15643" max="15643" width="13.54296875" style="3" customWidth="1"/>
    <col min="15644" max="15644" width="6" style="3" customWidth="1"/>
    <col min="15645" max="15645" width="13.7265625" style="3" customWidth="1"/>
    <col min="15646" max="15646" width="6" style="3" customWidth="1"/>
    <col min="15647" max="15647" width="12.7265625" style="3" customWidth="1"/>
    <col min="15648" max="15648" width="6.81640625" style="3" customWidth="1"/>
    <col min="15649" max="15649" width="12.7265625" style="3" customWidth="1"/>
    <col min="15650" max="15650" width="6.81640625" style="3" customWidth="1"/>
    <col min="15651" max="15651" width="16.453125" style="3" bestFit="1" customWidth="1"/>
    <col min="15652" max="15652" width="9.54296875" style="3" bestFit="1" customWidth="1"/>
    <col min="15653" max="15653" width="17.453125" style="3" bestFit="1" customWidth="1"/>
    <col min="15654" max="15654" width="6" style="3" customWidth="1"/>
    <col min="15655" max="15655" width="13.7265625" style="3" customWidth="1"/>
    <col min="15656" max="15656" width="6" style="3" customWidth="1"/>
    <col min="15657" max="15657" width="12.7265625" style="3" customWidth="1"/>
    <col min="15658" max="15658" width="6.81640625" style="3" customWidth="1"/>
    <col min="15659" max="15659" width="12.7265625" style="3" customWidth="1"/>
    <col min="15660" max="15660" width="6.81640625" style="3" customWidth="1"/>
    <col min="15661" max="15661" width="15.453125" style="3" bestFit="1" customWidth="1"/>
    <col min="15662" max="15662" width="9.54296875" style="3" bestFit="1" customWidth="1"/>
    <col min="15663" max="15663" width="17.453125" style="3" bestFit="1" customWidth="1"/>
    <col min="15664" max="15664" width="8" style="3" customWidth="1"/>
    <col min="15665" max="15665" width="12.1796875" style="3" customWidth="1"/>
    <col min="15666" max="15666" width="8" style="3" customWidth="1"/>
    <col min="15667" max="15667" width="20" style="3" customWidth="1"/>
    <col min="15668" max="15668" width="15.26953125" style="3" bestFit="1" customWidth="1"/>
    <col min="15669" max="15669" width="14.26953125" style="3" bestFit="1" customWidth="1"/>
    <col min="15670" max="15670" width="13" style="3" bestFit="1" customWidth="1"/>
    <col min="15671" max="15842" width="8.7265625" style="3"/>
    <col min="15843" max="15843" width="2.7265625" style="3" customWidth="1"/>
    <col min="15844" max="15844" width="3.54296875" style="3" customWidth="1"/>
    <col min="15845" max="15845" width="7" style="3" customWidth="1"/>
    <col min="15846" max="15846" width="23" style="3" customWidth="1"/>
    <col min="15847" max="15847" width="13.26953125" style="3" customWidth="1"/>
    <col min="15848" max="15848" width="17.453125" style="3" bestFit="1" customWidth="1"/>
    <col min="15849" max="15849" width="11.54296875" style="3" bestFit="1" customWidth="1"/>
    <col min="15850" max="15850" width="7.81640625" style="3" customWidth="1"/>
    <col min="15851" max="15851" width="11.54296875" style="3" bestFit="1" customWidth="1"/>
    <col min="15852" max="15852" width="7" style="3" customWidth="1"/>
    <col min="15853" max="15853" width="18.1796875" style="3" customWidth="1"/>
    <col min="15854" max="15854" width="7" style="3" customWidth="1"/>
    <col min="15855" max="15855" width="15.54296875" style="3" customWidth="1"/>
    <col min="15856" max="15856" width="7.81640625" style="3" customWidth="1"/>
    <col min="15857" max="15857" width="15.54296875" style="3" customWidth="1"/>
    <col min="15858" max="15858" width="7.81640625" style="3" bestFit="1" customWidth="1"/>
    <col min="15859" max="15859" width="15.7265625" style="3" bestFit="1" customWidth="1"/>
    <col min="15860" max="15860" width="7.54296875" style="3" customWidth="1"/>
    <col min="15861" max="15861" width="14" style="3" customWidth="1"/>
    <col min="15862" max="15862" width="7.81640625" style="3" customWidth="1"/>
    <col min="15863" max="15863" width="14" style="3" customWidth="1"/>
    <col min="15864" max="15864" width="7.81640625" style="3" customWidth="1"/>
    <col min="15865" max="15865" width="14" style="3" customWidth="1"/>
    <col min="15866" max="15866" width="9" style="3" customWidth="1"/>
    <col min="15867" max="15867" width="15.1796875" style="3" customWidth="1"/>
    <col min="15868" max="15868" width="13" style="3" bestFit="1" customWidth="1"/>
    <col min="15869" max="15869" width="15.1796875" style="3" bestFit="1" customWidth="1"/>
    <col min="15870" max="15870" width="7.54296875" style="3" customWidth="1"/>
    <col min="15871" max="15871" width="14" style="3" customWidth="1"/>
    <col min="15872" max="15872" width="7.81640625" style="3" customWidth="1"/>
    <col min="15873" max="15873" width="14" style="3" customWidth="1"/>
    <col min="15874" max="15874" width="7.81640625" style="3" customWidth="1"/>
    <col min="15875" max="15875" width="14" style="3" customWidth="1"/>
    <col min="15876" max="15876" width="9" style="3" bestFit="1" customWidth="1"/>
    <col min="15877" max="15877" width="15.1796875" style="3" bestFit="1" customWidth="1"/>
    <col min="15878" max="15878" width="9" style="3" bestFit="1" customWidth="1"/>
    <col min="15879" max="15879" width="15.1796875" style="3" bestFit="1" customWidth="1"/>
    <col min="15880" max="15880" width="6.453125" style="3" customWidth="1"/>
    <col min="15881" max="15881" width="12.7265625" style="3" customWidth="1"/>
    <col min="15882" max="15882" width="6.453125" style="3" customWidth="1"/>
    <col min="15883" max="15883" width="12.7265625" style="3" customWidth="1"/>
    <col min="15884" max="15884" width="6" style="3" customWidth="1"/>
    <col min="15885" max="15885" width="12.7265625" style="3" customWidth="1"/>
    <col min="15886" max="15886" width="9.54296875" style="3" customWidth="1"/>
    <col min="15887" max="15887" width="14" style="3" bestFit="1" customWidth="1"/>
    <col min="15888" max="15888" width="8.7265625" style="3" bestFit="1" customWidth="1"/>
    <col min="15889" max="15889" width="13.54296875" style="3" customWidth="1"/>
    <col min="15890" max="15890" width="6" style="3" customWidth="1"/>
    <col min="15891" max="15891" width="13.7265625" style="3" customWidth="1"/>
    <col min="15892" max="15892" width="6" style="3" customWidth="1"/>
    <col min="15893" max="15893" width="12.7265625" style="3" customWidth="1"/>
    <col min="15894" max="15894" width="6.81640625" style="3" customWidth="1"/>
    <col min="15895" max="15895" width="12.7265625" style="3" customWidth="1"/>
    <col min="15896" max="15896" width="6.81640625" style="3" customWidth="1"/>
    <col min="15897" max="15897" width="15.7265625" style="3" bestFit="1" customWidth="1"/>
    <col min="15898" max="15898" width="8.54296875" style="3" bestFit="1" customWidth="1"/>
    <col min="15899" max="15899" width="13.54296875" style="3" customWidth="1"/>
    <col min="15900" max="15900" width="6" style="3" customWidth="1"/>
    <col min="15901" max="15901" width="13.7265625" style="3" customWidth="1"/>
    <col min="15902" max="15902" width="6" style="3" customWidth="1"/>
    <col min="15903" max="15903" width="12.7265625" style="3" customWidth="1"/>
    <col min="15904" max="15904" width="6.81640625" style="3" customWidth="1"/>
    <col min="15905" max="15905" width="12.7265625" style="3" customWidth="1"/>
    <col min="15906" max="15906" width="6.81640625" style="3" customWidth="1"/>
    <col min="15907" max="15907" width="16.453125" style="3" bestFit="1" customWidth="1"/>
    <col min="15908" max="15908" width="9.54296875" style="3" bestFit="1" customWidth="1"/>
    <col min="15909" max="15909" width="17.453125" style="3" bestFit="1" customWidth="1"/>
    <col min="15910" max="15910" width="6" style="3" customWidth="1"/>
    <col min="15911" max="15911" width="13.7265625" style="3" customWidth="1"/>
    <col min="15912" max="15912" width="6" style="3" customWidth="1"/>
    <col min="15913" max="15913" width="12.7265625" style="3" customWidth="1"/>
    <col min="15914" max="15914" width="6.81640625" style="3" customWidth="1"/>
    <col min="15915" max="15915" width="12.7265625" style="3" customWidth="1"/>
    <col min="15916" max="15916" width="6.81640625" style="3" customWidth="1"/>
    <col min="15917" max="15917" width="15.453125" style="3" bestFit="1" customWidth="1"/>
    <col min="15918" max="15918" width="9.54296875" style="3" bestFit="1" customWidth="1"/>
    <col min="15919" max="15919" width="17.453125" style="3" bestFit="1" customWidth="1"/>
    <col min="15920" max="15920" width="8" style="3" customWidth="1"/>
    <col min="15921" max="15921" width="12.1796875" style="3" customWidth="1"/>
    <col min="15922" max="15922" width="8" style="3" customWidth="1"/>
    <col min="15923" max="15923" width="20" style="3" customWidth="1"/>
    <col min="15924" max="15924" width="15.26953125" style="3" bestFit="1" customWidth="1"/>
    <col min="15925" max="15925" width="14.26953125" style="3" bestFit="1" customWidth="1"/>
    <col min="15926" max="15926" width="13" style="3" bestFit="1" customWidth="1"/>
    <col min="15927" max="16098" width="8.7265625" style="3"/>
    <col min="16099" max="16099" width="2.7265625" style="3" customWidth="1"/>
    <col min="16100" max="16100" width="3.54296875" style="3" customWidth="1"/>
    <col min="16101" max="16101" width="7" style="3" customWidth="1"/>
    <col min="16102" max="16102" width="23" style="3" customWidth="1"/>
    <col min="16103" max="16103" width="13.26953125" style="3" customWidth="1"/>
    <col min="16104" max="16104" width="17.453125" style="3" bestFit="1" customWidth="1"/>
    <col min="16105" max="16105" width="11.54296875" style="3" bestFit="1" customWidth="1"/>
    <col min="16106" max="16106" width="7.81640625" style="3" customWidth="1"/>
    <col min="16107" max="16107" width="11.54296875" style="3" bestFit="1" customWidth="1"/>
    <col min="16108" max="16108" width="7" style="3" customWidth="1"/>
    <col min="16109" max="16109" width="18.1796875" style="3" customWidth="1"/>
    <col min="16110" max="16110" width="7" style="3" customWidth="1"/>
    <col min="16111" max="16111" width="15.54296875" style="3" customWidth="1"/>
    <col min="16112" max="16112" width="7.81640625" style="3" customWidth="1"/>
    <col min="16113" max="16113" width="15.54296875" style="3" customWidth="1"/>
    <col min="16114" max="16114" width="7.81640625" style="3" bestFit="1" customWidth="1"/>
    <col min="16115" max="16115" width="15.7265625" style="3" bestFit="1" customWidth="1"/>
    <col min="16116" max="16116" width="7.54296875" style="3" customWidth="1"/>
    <col min="16117" max="16117" width="14" style="3" customWidth="1"/>
    <col min="16118" max="16118" width="7.81640625" style="3" customWidth="1"/>
    <col min="16119" max="16119" width="14" style="3" customWidth="1"/>
    <col min="16120" max="16120" width="7.81640625" style="3" customWidth="1"/>
    <col min="16121" max="16121" width="14" style="3" customWidth="1"/>
    <col min="16122" max="16122" width="9" style="3" customWidth="1"/>
    <col min="16123" max="16123" width="15.1796875" style="3" customWidth="1"/>
    <col min="16124" max="16124" width="13" style="3" bestFit="1" customWidth="1"/>
    <col min="16125" max="16125" width="15.1796875" style="3" bestFit="1" customWidth="1"/>
    <col min="16126" max="16126" width="7.54296875" style="3" customWidth="1"/>
    <col min="16127" max="16127" width="14" style="3" customWidth="1"/>
    <col min="16128" max="16128" width="7.81640625" style="3" customWidth="1"/>
    <col min="16129" max="16129" width="14" style="3" customWidth="1"/>
    <col min="16130" max="16130" width="7.81640625" style="3" customWidth="1"/>
    <col min="16131" max="16131" width="14" style="3" customWidth="1"/>
    <col min="16132" max="16132" width="9" style="3" bestFit="1" customWidth="1"/>
    <col min="16133" max="16133" width="15.1796875" style="3" bestFit="1" customWidth="1"/>
    <col min="16134" max="16134" width="9" style="3" bestFit="1" customWidth="1"/>
    <col min="16135" max="16135" width="15.1796875" style="3" bestFit="1" customWidth="1"/>
    <col min="16136" max="16136" width="6.453125" style="3" customWidth="1"/>
    <col min="16137" max="16137" width="12.7265625" style="3" customWidth="1"/>
    <col min="16138" max="16138" width="6.453125" style="3" customWidth="1"/>
    <col min="16139" max="16139" width="12.7265625" style="3" customWidth="1"/>
    <col min="16140" max="16140" width="6" style="3" customWidth="1"/>
    <col min="16141" max="16141" width="12.7265625" style="3" customWidth="1"/>
    <col min="16142" max="16142" width="9.54296875" style="3" customWidth="1"/>
    <col min="16143" max="16143" width="14" style="3" bestFit="1" customWidth="1"/>
    <col min="16144" max="16144" width="8.7265625" style="3" bestFit="1" customWidth="1"/>
    <col min="16145" max="16145" width="13.54296875" style="3" customWidth="1"/>
    <col min="16146" max="16146" width="6" style="3" customWidth="1"/>
    <col min="16147" max="16147" width="13.7265625" style="3" customWidth="1"/>
    <col min="16148" max="16148" width="6" style="3" customWidth="1"/>
    <col min="16149" max="16149" width="12.7265625" style="3" customWidth="1"/>
    <col min="16150" max="16150" width="6.81640625" style="3" customWidth="1"/>
    <col min="16151" max="16151" width="12.7265625" style="3" customWidth="1"/>
    <col min="16152" max="16152" width="6.81640625" style="3" customWidth="1"/>
    <col min="16153" max="16153" width="15.7265625" style="3" bestFit="1" customWidth="1"/>
    <col min="16154" max="16154" width="8.54296875" style="3" bestFit="1" customWidth="1"/>
    <col min="16155" max="16155" width="13.54296875" style="3" customWidth="1"/>
    <col min="16156" max="16156" width="6" style="3" customWidth="1"/>
    <col min="16157" max="16157" width="13.7265625" style="3" customWidth="1"/>
    <col min="16158" max="16158" width="6" style="3" customWidth="1"/>
    <col min="16159" max="16159" width="12.7265625" style="3" customWidth="1"/>
    <col min="16160" max="16160" width="6.81640625" style="3" customWidth="1"/>
    <col min="16161" max="16161" width="12.7265625" style="3" customWidth="1"/>
    <col min="16162" max="16162" width="6.81640625" style="3" customWidth="1"/>
    <col min="16163" max="16163" width="16.453125" style="3" bestFit="1" customWidth="1"/>
    <col min="16164" max="16164" width="9.54296875" style="3" bestFit="1" customWidth="1"/>
    <col min="16165" max="16165" width="17.453125" style="3" bestFit="1" customWidth="1"/>
    <col min="16166" max="16166" width="6" style="3" customWidth="1"/>
    <col min="16167" max="16167" width="13.7265625" style="3" customWidth="1"/>
    <col min="16168" max="16168" width="6" style="3" customWidth="1"/>
    <col min="16169" max="16169" width="12.7265625" style="3" customWidth="1"/>
    <col min="16170" max="16170" width="6.81640625" style="3" customWidth="1"/>
    <col min="16171" max="16171" width="12.7265625" style="3" customWidth="1"/>
    <col min="16172" max="16172" width="6.81640625" style="3" customWidth="1"/>
    <col min="16173" max="16173" width="15.453125" style="3" bestFit="1" customWidth="1"/>
    <col min="16174" max="16174" width="9.54296875" style="3" bestFit="1" customWidth="1"/>
    <col min="16175" max="16175" width="17.453125" style="3" bestFit="1" customWidth="1"/>
    <col min="16176" max="16176" width="8" style="3" customWidth="1"/>
    <col min="16177" max="16177" width="12.1796875" style="3" customWidth="1"/>
    <col min="16178" max="16178" width="8" style="3" customWidth="1"/>
    <col min="16179" max="16179" width="20" style="3" customWidth="1"/>
    <col min="16180" max="16180" width="15.26953125" style="3" bestFit="1" customWidth="1"/>
    <col min="16181" max="16181" width="14.26953125" style="3" bestFit="1" customWidth="1"/>
    <col min="16182" max="16182" width="13" style="3" bestFit="1" customWidth="1"/>
    <col min="16183" max="16354" width="8.7265625" style="3"/>
    <col min="16355" max="16384" width="9.1796875" style="3" customWidth="1"/>
  </cols>
  <sheetData>
    <row r="1" spans="1:50" ht="18" customHeight="1" x14ac:dyDescent="0.25"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50" ht="18" customHeight="1" x14ac:dyDescent="0.25">
      <c r="C2" s="4" t="s">
        <v>1</v>
      </c>
      <c r="D2" s="4"/>
      <c r="E2" s="4"/>
      <c r="F2" s="4"/>
      <c r="G2" s="4"/>
      <c r="H2" s="4"/>
      <c r="I2" s="4"/>
      <c r="J2" s="4"/>
      <c r="K2" s="4"/>
      <c r="L2" s="4"/>
      <c r="M2" s="5"/>
      <c r="N2" s="4"/>
      <c r="O2" s="6"/>
      <c r="P2" s="4"/>
      <c r="Q2" s="4"/>
      <c r="R2" s="4"/>
      <c r="S2" s="4"/>
      <c r="T2" s="4"/>
      <c r="U2" s="6"/>
      <c r="V2" s="4"/>
      <c r="W2" s="7"/>
      <c r="X2" s="4"/>
      <c r="Y2" s="4"/>
      <c r="Z2" s="8"/>
      <c r="AA2" s="9"/>
      <c r="AB2" s="4"/>
      <c r="AC2" s="10"/>
      <c r="AD2" s="4"/>
      <c r="AE2" s="10"/>
      <c r="AF2" s="4"/>
      <c r="AG2" s="10"/>
      <c r="AH2" s="10"/>
      <c r="AI2" s="10"/>
      <c r="AJ2" s="4"/>
      <c r="AK2" s="4"/>
      <c r="AQ2" s="11"/>
    </row>
    <row r="3" spans="1:50" ht="18" customHeight="1" x14ac:dyDescent="0.3">
      <c r="C3" s="2" t="s">
        <v>2</v>
      </c>
      <c r="D3" s="2"/>
      <c r="E3" s="12"/>
      <c r="F3" s="13"/>
      <c r="M3" s="14"/>
      <c r="O3" s="15"/>
      <c r="R3" s="16"/>
      <c r="U3" s="15"/>
      <c r="W3" s="17"/>
      <c r="X3" s="11"/>
      <c r="AA3" s="18"/>
      <c r="AC3" s="11"/>
      <c r="AG3" s="11"/>
      <c r="AH3" s="20"/>
      <c r="AI3" s="11"/>
      <c r="AJ3" s="11"/>
      <c r="AM3" s="11"/>
      <c r="AO3" s="11"/>
      <c r="AT3" s="11"/>
    </row>
    <row r="4" spans="1:50" ht="18" customHeight="1" x14ac:dyDescent="0.3">
      <c r="B4" s="2"/>
      <c r="C4" s="2" t="s">
        <v>3</v>
      </c>
      <c r="D4" s="2"/>
      <c r="E4" s="12"/>
      <c r="F4" s="12"/>
      <c r="M4" s="14"/>
      <c r="O4" s="15"/>
      <c r="S4" s="21"/>
      <c r="U4" s="15"/>
      <c r="W4" s="17"/>
      <c r="Z4" s="22"/>
      <c r="AF4" s="11"/>
      <c r="AH4" s="21"/>
      <c r="AI4" s="11"/>
      <c r="AM4" s="11"/>
      <c r="AN4" s="11"/>
    </row>
    <row r="5" spans="1:50" ht="18" customHeight="1" x14ac:dyDescent="0.3">
      <c r="B5" s="23" t="s">
        <v>4</v>
      </c>
      <c r="C5" s="23"/>
      <c r="D5" s="24" t="s">
        <v>5</v>
      </c>
      <c r="E5" s="23" t="s">
        <v>6</v>
      </c>
      <c r="F5" s="23"/>
    </row>
    <row r="6" spans="1:50" s="27" customFormat="1" ht="19" customHeight="1" x14ac:dyDescent="0.35">
      <c r="A6" s="25"/>
      <c r="B6" s="26" t="s">
        <v>7</v>
      </c>
      <c r="C6" s="26" t="s">
        <v>8</v>
      </c>
      <c r="D6" s="26"/>
      <c r="E6" s="26" t="s">
        <v>9</v>
      </c>
      <c r="F6" s="26"/>
      <c r="G6" s="26" t="s">
        <v>10</v>
      </c>
      <c r="H6" s="26" t="s">
        <v>11</v>
      </c>
      <c r="I6" s="26"/>
      <c r="J6" s="26"/>
      <c r="K6" s="26"/>
      <c r="L6" s="26"/>
      <c r="M6" s="26"/>
      <c r="N6" s="26"/>
      <c r="O6" s="26"/>
      <c r="P6" s="26"/>
      <c r="Q6" s="26"/>
      <c r="R6" s="26" t="s">
        <v>12</v>
      </c>
      <c r="S6" s="26"/>
      <c r="T6" s="26"/>
      <c r="U6" s="26"/>
      <c r="V6" s="26"/>
      <c r="W6" s="26"/>
      <c r="X6" s="26"/>
      <c r="Y6" s="26"/>
      <c r="Z6" s="26"/>
      <c r="AA6" s="26"/>
      <c r="AB6" s="26" t="s">
        <v>13</v>
      </c>
      <c r="AC6" s="26"/>
      <c r="AD6" s="26"/>
      <c r="AE6" s="26"/>
      <c r="AF6" s="26"/>
      <c r="AG6" s="26"/>
      <c r="AH6" s="26"/>
      <c r="AI6" s="26"/>
      <c r="AJ6" s="26"/>
      <c r="AK6" s="26"/>
      <c r="AL6" s="26" t="s">
        <v>14</v>
      </c>
      <c r="AM6" s="26"/>
      <c r="AN6" s="26"/>
      <c r="AO6" s="26"/>
      <c r="AP6" s="26"/>
      <c r="AQ6" s="26"/>
      <c r="AR6" s="26"/>
      <c r="AS6" s="26"/>
      <c r="AT6" s="26"/>
      <c r="AU6" s="26"/>
      <c r="AV6" s="25"/>
    </row>
    <row r="7" spans="1:50" s="28" customFormat="1" ht="19" customHeight="1" x14ac:dyDescent="0.35">
      <c r="A7" s="25"/>
      <c r="B7" s="26"/>
      <c r="C7" s="26"/>
      <c r="D7" s="26"/>
      <c r="E7" s="26" t="s">
        <v>15</v>
      </c>
      <c r="F7" s="26"/>
      <c r="G7" s="26"/>
      <c r="H7" s="26" t="s">
        <v>16</v>
      </c>
      <c r="I7" s="26"/>
      <c r="J7" s="26" t="s">
        <v>17</v>
      </c>
      <c r="K7" s="26"/>
      <c r="L7" s="26" t="s">
        <v>18</v>
      </c>
      <c r="M7" s="26"/>
      <c r="N7" s="26" t="s">
        <v>19</v>
      </c>
      <c r="O7" s="26"/>
      <c r="P7" s="26" t="s">
        <v>20</v>
      </c>
      <c r="Q7" s="26"/>
      <c r="R7" s="26" t="s">
        <v>16</v>
      </c>
      <c r="S7" s="26"/>
      <c r="T7" s="26" t="s">
        <v>17</v>
      </c>
      <c r="U7" s="26"/>
      <c r="V7" s="26" t="s">
        <v>18</v>
      </c>
      <c r="W7" s="26"/>
      <c r="X7" s="26" t="s">
        <v>21</v>
      </c>
      <c r="Y7" s="26"/>
      <c r="Z7" s="26" t="s">
        <v>22</v>
      </c>
      <c r="AA7" s="26"/>
      <c r="AB7" s="26" t="s">
        <v>16</v>
      </c>
      <c r="AC7" s="26"/>
      <c r="AD7" s="26" t="s">
        <v>17</v>
      </c>
      <c r="AE7" s="26"/>
      <c r="AF7" s="26" t="s">
        <v>18</v>
      </c>
      <c r="AG7" s="26"/>
      <c r="AH7" s="26" t="s">
        <v>23</v>
      </c>
      <c r="AI7" s="26"/>
      <c r="AJ7" s="26" t="s">
        <v>24</v>
      </c>
      <c r="AK7" s="26"/>
      <c r="AL7" s="26" t="s">
        <v>16</v>
      </c>
      <c r="AM7" s="26"/>
      <c r="AN7" s="26" t="s">
        <v>17</v>
      </c>
      <c r="AO7" s="26"/>
      <c r="AP7" s="26" t="s">
        <v>18</v>
      </c>
      <c r="AQ7" s="26"/>
      <c r="AR7" s="26" t="s">
        <v>25</v>
      </c>
      <c r="AS7" s="26"/>
      <c r="AT7" s="26" t="s">
        <v>26</v>
      </c>
      <c r="AU7" s="26"/>
      <c r="AV7" s="25"/>
    </row>
    <row r="8" spans="1:50" s="27" customFormat="1" ht="19" customHeight="1" x14ac:dyDescent="0.35">
      <c r="A8" s="25"/>
      <c r="B8" s="26"/>
      <c r="C8" s="26"/>
      <c r="D8" s="26"/>
      <c r="E8" s="29" t="s">
        <v>27</v>
      </c>
      <c r="F8" s="29" t="s">
        <v>28</v>
      </c>
      <c r="G8" s="29" t="s">
        <v>29</v>
      </c>
      <c r="H8" s="29" t="s">
        <v>30</v>
      </c>
      <c r="I8" s="29" t="s">
        <v>28</v>
      </c>
      <c r="J8" s="29" t="s">
        <v>30</v>
      </c>
      <c r="K8" s="29" t="s">
        <v>28</v>
      </c>
      <c r="L8" s="29" t="s">
        <v>30</v>
      </c>
      <c r="M8" s="29" t="s">
        <v>28</v>
      </c>
      <c r="N8" s="29" t="s">
        <v>30</v>
      </c>
      <c r="O8" s="29" t="s">
        <v>28</v>
      </c>
      <c r="P8" s="29" t="s">
        <v>30</v>
      </c>
      <c r="Q8" s="29" t="s">
        <v>28</v>
      </c>
      <c r="R8" s="29" t="s">
        <v>30</v>
      </c>
      <c r="S8" s="29" t="s">
        <v>28</v>
      </c>
      <c r="T8" s="29" t="s">
        <v>30</v>
      </c>
      <c r="U8" s="29" t="s">
        <v>28</v>
      </c>
      <c r="V8" s="29" t="s">
        <v>30</v>
      </c>
      <c r="W8" s="29" t="s">
        <v>28</v>
      </c>
      <c r="X8" s="29" t="s">
        <v>30</v>
      </c>
      <c r="Y8" s="29" t="s">
        <v>28</v>
      </c>
      <c r="Z8" s="29" t="s">
        <v>30</v>
      </c>
      <c r="AA8" s="29" t="s">
        <v>28</v>
      </c>
      <c r="AB8" s="29" t="s">
        <v>30</v>
      </c>
      <c r="AC8" s="29" t="s">
        <v>28</v>
      </c>
      <c r="AD8" s="29" t="s">
        <v>30</v>
      </c>
      <c r="AE8" s="29" t="s">
        <v>28</v>
      </c>
      <c r="AF8" s="29" t="s">
        <v>30</v>
      </c>
      <c r="AG8" s="29" t="s">
        <v>28</v>
      </c>
      <c r="AH8" s="29" t="s">
        <v>30</v>
      </c>
      <c r="AI8" s="29" t="s">
        <v>28</v>
      </c>
      <c r="AJ8" s="29" t="s">
        <v>30</v>
      </c>
      <c r="AK8" s="29" t="s">
        <v>28</v>
      </c>
      <c r="AL8" s="29" t="s">
        <v>30</v>
      </c>
      <c r="AM8" s="29" t="s">
        <v>28</v>
      </c>
      <c r="AN8" s="29" t="s">
        <v>30</v>
      </c>
      <c r="AO8" s="29" t="s">
        <v>28</v>
      </c>
      <c r="AP8" s="29" t="s">
        <v>30</v>
      </c>
      <c r="AQ8" s="29" t="s">
        <v>28</v>
      </c>
      <c r="AR8" s="29" t="s">
        <v>30</v>
      </c>
      <c r="AS8" s="29" t="s">
        <v>28</v>
      </c>
      <c r="AT8" s="29" t="s">
        <v>30</v>
      </c>
      <c r="AU8" s="29" t="s">
        <v>28</v>
      </c>
      <c r="AV8" s="25"/>
    </row>
    <row r="9" spans="1:50" s="27" customFormat="1" ht="19" customHeight="1" x14ac:dyDescent="0.35">
      <c r="A9" s="25"/>
      <c r="B9" s="26"/>
      <c r="C9" s="26"/>
      <c r="D9" s="26"/>
      <c r="E9" s="29" t="s">
        <v>31</v>
      </c>
      <c r="F9" s="29" t="s">
        <v>32</v>
      </c>
      <c r="G9" s="29" t="s">
        <v>33</v>
      </c>
      <c r="H9" s="29" t="s">
        <v>31</v>
      </c>
      <c r="I9" s="29" t="s">
        <v>32</v>
      </c>
      <c r="J9" s="29" t="s">
        <v>31</v>
      </c>
      <c r="K9" s="29" t="s">
        <v>32</v>
      </c>
      <c r="L9" s="29" t="s">
        <v>31</v>
      </c>
      <c r="M9" s="29" t="s">
        <v>32</v>
      </c>
      <c r="N9" s="29" t="s">
        <v>31</v>
      </c>
      <c r="O9" s="29" t="s">
        <v>32</v>
      </c>
      <c r="P9" s="29" t="s">
        <v>31</v>
      </c>
      <c r="Q9" s="29" t="s">
        <v>32</v>
      </c>
      <c r="R9" s="29" t="s">
        <v>31</v>
      </c>
      <c r="S9" s="29" t="s">
        <v>32</v>
      </c>
      <c r="T9" s="29" t="s">
        <v>31</v>
      </c>
      <c r="U9" s="29" t="s">
        <v>32</v>
      </c>
      <c r="V9" s="29" t="s">
        <v>31</v>
      </c>
      <c r="W9" s="29" t="s">
        <v>32</v>
      </c>
      <c r="X9" s="29" t="s">
        <v>31</v>
      </c>
      <c r="Y9" s="29" t="s">
        <v>32</v>
      </c>
      <c r="Z9" s="29" t="s">
        <v>31</v>
      </c>
      <c r="AA9" s="29" t="s">
        <v>32</v>
      </c>
      <c r="AB9" s="29" t="s">
        <v>31</v>
      </c>
      <c r="AC9" s="29" t="s">
        <v>32</v>
      </c>
      <c r="AD9" s="29" t="s">
        <v>31</v>
      </c>
      <c r="AE9" s="29" t="s">
        <v>32</v>
      </c>
      <c r="AF9" s="29" t="s">
        <v>31</v>
      </c>
      <c r="AG9" s="29" t="s">
        <v>32</v>
      </c>
      <c r="AH9" s="29" t="s">
        <v>31</v>
      </c>
      <c r="AI9" s="29" t="s">
        <v>32</v>
      </c>
      <c r="AJ9" s="29" t="s">
        <v>31</v>
      </c>
      <c r="AK9" s="29" t="s">
        <v>32</v>
      </c>
      <c r="AL9" s="29" t="s">
        <v>31</v>
      </c>
      <c r="AM9" s="29" t="s">
        <v>32</v>
      </c>
      <c r="AN9" s="29" t="s">
        <v>31</v>
      </c>
      <c r="AO9" s="29" t="s">
        <v>32</v>
      </c>
      <c r="AP9" s="29" t="s">
        <v>31</v>
      </c>
      <c r="AQ9" s="29" t="s">
        <v>32</v>
      </c>
      <c r="AR9" s="29" t="s">
        <v>31</v>
      </c>
      <c r="AS9" s="29" t="s">
        <v>32</v>
      </c>
      <c r="AT9" s="29" t="s">
        <v>31</v>
      </c>
      <c r="AU9" s="29" t="s">
        <v>32</v>
      </c>
      <c r="AV9" s="25"/>
    </row>
    <row r="10" spans="1:50" s="27" customFormat="1" ht="39.75" customHeight="1" x14ac:dyDescent="0.35">
      <c r="A10" s="25"/>
      <c r="B10" s="30">
        <v>1</v>
      </c>
      <c r="C10" s="31" t="s">
        <v>34</v>
      </c>
      <c r="D10" s="31"/>
      <c r="E10" s="31">
        <v>192.08</v>
      </c>
      <c r="F10" s="32">
        <f>E10*G10</f>
        <v>10288400228.916817</v>
      </c>
      <c r="G10" s="33">
        <f>'REKAP BIAYA'!G48</f>
        <v>53563099.900649808</v>
      </c>
      <c r="H10" s="34"/>
      <c r="I10" s="34">
        <f>H10*$G10</f>
        <v>0</v>
      </c>
      <c r="J10" s="34"/>
      <c r="K10" s="34">
        <f>J10*$G10</f>
        <v>0</v>
      </c>
      <c r="L10" s="35">
        <v>192.08</v>
      </c>
      <c r="M10" s="34">
        <f>L10*$G10</f>
        <v>10288400228.916817</v>
      </c>
      <c r="N10" s="35">
        <f t="shared" ref="N10:O13" si="0">H10+J10+L10</f>
        <v>192.08</v>
      </c>
      <c r="O10" s="34">
        <f t="shared" si="0"/>
        <v>10288400228.916817</v>
      </c>
      <c r="P10" s="35">
        <f t="shared" ref="P10:Q13" si="1">N10</f>
        <v>192.08</v>
      </c>
      <c r="Q10" s="34">
        <f t="shared" si="1"/>
        <v>10288400228.916817</v>
      </c>
      <c r="R10" s="34"/>
      <c r="S10" s="34"/>
      <c r="T10" s="34"/>
      <c r="U10" s="34"/>
      <c r="V10" s="34"/>
      <c r="W10" s="34"/>
      <c r="X10" s="34"/>
      <c r="Y10" s="34"/>
      <c r="Z10" s="35">
        <f>P10</f>
        <v>192.08</v>
      </c>
      <c r="AA10" s="34">
        <f>Q10</f>
        <v>10288400228.916817</v>
      </c>
      <c r="AB10" s="34"/>
      <c r="AC10" s="34"/>
      <c r="AD10" s="34"/>
      <c r="AE10" s="34"/>
      <c r="AF10" s="34"/>
      <c r="AG10" s="34"/>
      <c r="AH10" s="34"/>
      <c r="AI10" s="34"/>
      <c r="AJ10" s="35">
        <f>Z10</f>
        <v>192.08</v>
      </c>
      <c r="AK10" s="34">
        <f>AA10</f>
        <v>10288400228.916817</v>
      </c>
      <c r="AL10" s="34"/>
      <c r="AM10" s="34"/>
      <c r="AN10" s="34"/>
      <c r="AO10" s="34"/>
      <c r="AP10" s="34"/>
      <c r="AQ10" s="34"/>
      <c r="AR10" s="34"/>
      <c r="AS10" s="34"/>
      <c r="AT10" s="35">
        <f>AJ10</f>
        <v>192.08</v>
      </c>
      <c r="AU10" s="34">
        <f>AK10</f>
        <v>10288400228.916817</v>
      </c>
      <c r="AV10" s="25"/>
      <c r="AW10" s="36"/>
      <c r="AX10" s="36"/>
    </row>
    <row r="11" spans="1:50" s="27" customFormat="1" ht="39.75" customHeight="1" x14ac:dyDescent="0.35">
      <c r="A11" s="25"/>
      <c r="B11" s="30">
        <v>2</v>
      </c>
      <c r="C11" s="31" t="s">
        <v>35</v>
      </c>
      <c r="D11" s="31"/>
      <c r="E11" s="37">
        <f>E10</f>
        <v>192.08</v>
      </c>
      <c r="F11" s="33">
        <f>E11*G11</f>
        <v>1783568680.1945181</v>
      </c>
      <c r="G11" s="33">
        <f>'REKAP BIAYA'!P42</f>
        <v>9285551.2296674196</v>
      </c>
      <c r="H11" s="34"/>
      <c r="I11" s="34">
        <f>H11*$G11</f>
        <v>0</v>
      </c>
      <c r="J11" s="34"/>
      <c r="K11" s="34">
        <f>J11*$G11</f>
        <v>0</v>
      </c>
      <c r="L11" s="34"/>
      <c r="M11" s="34">
        <f>L11*$G11</f>
        <v>0</v>
      </c>
      <c r="N11" s="34">
        <f t="shared" si="0"/>
        <v>0</v>
      </c>
      <c r="O11" s="34">
        <f t="shared" si="0"/>
        <v>0</v>
      </c>
      <c r="P11" s="34">
        <f t="shared" si="1"/>
        <v>0</v>
      </c>
      <c r="Q11" s="34">
        <f t="shared" si="1"/>
        <v>0</v>
      </c>
      <c r="R11" s="34"/>
      <c r="S11" s="34">
        <f>R11*$G11</f>
        <v>0</v>
      </c>
      <c r="T11" s="35">
        <v>96.04</v>
      </c>
      <c r="U11" s="34">
        <f>T11*$G11</f>
        <v>891784340.09725904</v>
      </c>
      <c r="V11" s="35">
        <v>96.04</v>
      </c>
      <c r="W11" s="34">
        <f>V11*$G11</f>
        <v>891784340.09725904</v>
      </c>
      <c r="X11" s="35">
        <f>R11+T11+V11</f>
        <v>192.08</v>
      </c>
      <c r="Y11" s="34">
        <f t="shared" ref="X11:Y13" si="2">S11+U11+W11</f>
        <v>1783568680.1945181</v>
      </c>
      <c r="Z11" s="35">
        <f t="shared" ref="Z11:AA13" si="3">X11+P11</f>
        <v>192.08</v>
      </c>
      <c r="AA11" s="34">
        <f t="shared" si="3"/>
        <v>1783568680.1945181</v>
      </c>
      <c r="AB11" s="34"/>
      <c r="AC11" s="34">
        <f>AB11*$G11</f>
        <v>0</v>
      </c>
      <c r="AD11" s="34"/>
      <c r="AE11" s="34">
        <f>AD11*$G11</f>
        <v>0</v>
      </c>
      <c r="AF11" s="34"/>
      <c r="AG11" s="34">
        <f>AF11*$G11</f>
        <v>0</v>
      </c>
      <c r="AH11" s="34">
        <f t="shared" ref="AH11:AI13" si="4">AB11+AD11+AF11</f>
        <v>0</v>
      </c>
      <c r="AI11" s="34">
        <f t="shared" si="4"/>
        <v>0</v>
      </c>
      <c r="AJ11" s="35">
        <f t="shared" ref="AJ11:AK13" si="5">AH11+Z11</f>
        <v>192.08</v>
      </c>
      <c r="AK11" s="34">
        <f t="shared" si="5"/>
        <v>1783568680.1945181</v>
      </c>
      <c r="AL11" s="34"/>
      <c r="AM11" s="34">
        <f>AL11*$G11</f>
        <v>0</v>
      </c>
      <c r="AN11" s="34"/>
      <c r="AO11" s="34">
        <f>AN11*$G11</f>
        <v>0</v>
      </c>
      <c r="AP11" s="34"/>
      <c r="AQ11" s="34">
        <f>AP11*$G11</f>
        <v>0</v>
      </c>
      <c r="AR11" s="34">
        <f t="shared" ref="AR11:AS13" si="6">AL11+AN11+AP11</f>
        <v>0</v>
      </c>
      <c r="AS11" s="34">
        <f t="shared" si="6"/>
        <v>0</v>
      </c>
      <c r="AT11" s="35">
        <f t="shared" ref="AT11:AU13" si="7">AR11+AJ11</f>
        <v>192.08</v>
      </c>
      <c r="AU11" s="34">
        <f t="shared" si="7"/>
        <v>1783568680.1945181</v>
      </c>
      <c r="AV11" s="25"/>
      <c r="AW11" s="36"/>
      <c r="AX11" s="36"/>
    </row>
    <row r="12" spans="1:50" s="27" customFormat="1" ht="39.75" customHeight="1" x14ac:dyDescent="0.35">
      <c r="A12" s="25"/>
      <c r="B12" s="30">
        <v>3</v>
      </c>
      <c r="C12" s="31" t="s">
        <v>36</v>
      </c>
      <c r="D12" s="31"/>
      <c r="E12" s="37">
        <f t="shared" ref="E12:E13" si="8">E11</f>
        <v>192.08</v>
      </c>
      <c r="F12" s="33">
        <f>E12*G12</f>
        <v>2393919562.0734825</v>
      </c>
      <c r="G12" s="33">
        <f>'REKAP BIAYA'!X41</f>
        <v>12463138.078266775</v>
      </c>
      <c r="H12" s="34"/>
      <c r="I12" s="34">
        <f t="shared" ref="I12:K13" si="9">H12*$G12</f>
        <v>0</v>
      </c>
      <c r="J12" s="34"/>
      <c r="K12" s="34">
        <f t="shared" si="9"/>
        <v>0</v>
      </c>
      <c r="L12" s="34"/>
      <c r="M12" s="34">
        <f t="shared" ref="M12:M13" si="10">L12*$G12</f>
        <v>0</v>
      </c>
      <c r="N12" s="34">
        <f t="shared" si="0"/>
        <v>0</v>
      </c>
      <c r="O12" s="34">
        <f t="shared" si="0"/>
        <v>0</v>
      </c>
      <c r="P12" s="34">
        <f t="shared" si="1"/>
        <v>0</v>
      </c>
      <c r="Q12" s="34">
        <f t="shared" si="1"/>
        <v>0</v>
      </c>
      <c r="R12" s="35">
        <f>L11/3</f>
        <v>0</v>
      </c>
      <c r="S12" s="34">
        <f t="shared" ref="S12:S13" si="11">R12*$G12</f>
        <v>0</v>
      </c>
      <c r="T12" s="35">
        <f>R12</f>
        <v>0</v>
      </c>
      <c r="U12" s="34">
        <f t="shared" ref="U12:U13" si="12">T12*$G12</f>
        <v>0</v>
      </c>
      <c r="V12" s="34">
        <f>T12</f>
        <v>0</v>
      </c>
      <c r="W12" s="34">
        <f t="shared" ref="W12:W13" si="13">V12*$G12</f>
        <v>0</v>
      </c>
      <c r="X12" s="34">
        <f t="shared" si="2"/>
        <v>0</v>
      </c>
      <c r="Y12" s="34">
        <f t="shared" si="2"/>
        <v>0</v>
      </c>
      <c r="Z12" s="34">
        <f t="shared" si="3"/>
        <v>0</v>
      </c>
      <c r="AA12" s="34">
        <f t="shared" si="3"/>
        <v>0</v>
      </c>
      <c r="AB12" s="35">
        <f>X11/3</f>
        <v>64.026666666666671</v>
      </c>
      <c r="AC12" s="34">
        <f t="shared" ref="AC12:AC13" si="14">AB12*$G12</f>
        <v>797973187.35782743</v>
      </c>
      <c r="AD12" s="35">
        <f>AB12</f>
        <v>64.026666666666671</v>
      </c>
      <c r="AE12" s="34">
        <f t="shared" ref="AE12:AE13" si="15">AD12*$G12</f>
        <v>797973187.35782743</v>
      </c>
      <c r="AF12" s="35">
        <f>AD12</f>
        <v>64.026666666666671</v>
      </c>
      <c r="AG12" s="34">
        <f t="shared" ref="AG12:AG13" si="16">AF12*$G12</f>
        <v>797973187.35782743</v>
      </c>
      <c r="AH12" s="34">
        <f>X11</f>
        <v>192.08</v>
      </c>
      <c r="AI12" s="34">
        <f t="shared" si="4"/>
        <v>2393919562.0734825</v>
      </c>
      <c r="AJ12" s="35">
        <f t="shared" si="5"/>
        <v>192.08</v>
      </c>
      <c r="AK12" s="34">
        <f t="shared" si="5"/>
        <v>2393919562.0734825</v>
      </c>
      <c r="AL12" s="34">
        <f>AH11/3</f>
        <v>0</v>
      </c>
      <c r="AM12" s="34">
        <f>AL12*$G12</f>
        <v>0</v>
      </c>
      <c r="AN12" s="34">
        <f>AL12</f>
        <v>0</v>
      </c>
      <c r="AO12" s="34">
        <f>AN12*$G12</f>
        <v>0</v>
      </c>
      <c r="AP12" s="34">
        <f>AN12</f>
        <v>0</v>
      </c>
      <c r="AQ12" s="34">
        <f>AP12*$G12</f>
        <v>0</v>
      </c>
      <c r="AR12" s="34">
        <f t="shared" si="6"/>
        <v>0</v>
      </c>
      <c r="AS12" s="34">
        <f t="shared" si="6"/>
        <v>0</v>
      </c>
      <c r="AT12" s="35">
        <f t="shared" si="7"/>
        <v>192.08</v>
      </c>
      <c r="AU12" s="34">
        <f t="shared" si="7"/>
        <v>2393919562.0734825</v>
      </c>
      <c r="AV12" s="25"/>
      <c r="AW12" s="36"/>
      <c r="AX12" s="36"/>
    </row>
    <row r="13" spans="1:50" s="27" customFormat="1" ht="39.75" customHeight="1" x14ac:dyDescent="0.35">
      <c r="A13" s="25"/>
      <c r="B13" s="30">
        <v>4</v>
      </c>
      <c r="C13" s="31" t="s">
        <v>37</v>
      </c>
      <c r="D13" s="31"/>
      <c r="E13" s="37">
        <f t="shared" si="8"/>
        <v>192.08</v>
      </c>
      <c r="F13" s="33">
        <f>E13*G13</f>
        <v>4007840440.8088493</v>
      </c>
      <c r="G13" s="33">
        <f>'REKAP BIAYA'!AF43</f>
        <v>20865475.014623329</v>
      </c>
      <c r="H13" s="34"/>
      <c r="I13" s="34">
        <f t="shared" si="9"/>
        <v>0</v>
      </c>
      <c r="J13" s="34"/>
      <c r="K13" s="34">
        <f t="shared" si="9"/>
        <v>0</v>
      </c>
      <c r="L13" s="34"/>
      <c r="M13" s="34">
        <f t="shared" si="10"/>
        <v>0</v>
      </c>
      <c r="N13" s="34">
        <f t="shared" si="0"/>
        <v>0</v>
      </c>
      <c r="O13" s="34">
        <f t="shared" si="0"/>
        <v>0</v>
      </c>
      <c r="P13" s="34">
        <f t="shared" si="1"/>
        <v>0</v>
      </c>
      <c r="Q13" s="34">
        <f t="shared" si="1"/>
        <v>0</v>
      </c>
      <c r="R13" s="34"/>
      <c r="S13" s="34">
        <f t="shared" si="11"/>
        <v>0</v>
      </c>
      <c r="T13" s="34"/>
      <c r="U13" s="34">
        <f t="shared" si="12"/>
        <v>0</v>
      </c>
      <c r="V13" s="34"/>
      <c r="W13" s="34">
        <f t="shared" si="13"/>
        <v>0</v>
      </c>
      <c r="X13" s="34">
        <f t="shared" si="2"/>
        <v>0</v>
      </c>
      <c r="Y13" s="34">
        <f t="shared" si="2"/>
        <v>0</v>
      </c>
      <c r="Z13" s="34">
        <f t="shared" si="3"/>
        <v>0</v>
      </c>
      <c r="AA13" s="34">
        <f t="shared" si="3"/>
        <v>0</v>
      </c>
      <c r="AB13" s="34">
        <f>R12</f>
        <v>0</v>
      </c>
      <c r="AC13" s="34">
        <f t="shared" si="14"/>
        <v>0</v>
      </c>
      <c r="AD13" s="34">
        <f>AB13</f>
        <v>0</v>
      </c>
      <c r="AE13" s="34">
        <f t="shared" si="15"/>
        <v>0</v>
      </c>
      <c r="AF13" s="34">
        <f>AD13</f>
        <v>0</v>
      </c>
      <c r="AG13" s="34">
        <f t="shared" si="16"/>
        <v>0</v>
      </c>
      <c r="AH13" s="34">
        <f t="shared" si="4"/>
        <v>0</v>
      </c>
      <c r="AI13" s="34">
        <f t="shared" si="4"/>
        <v>0</v>
      </c>
      <c r="AJ13" s="34">
        <f t="shared" si="5"/>
        <v>0</v>
      </c>
      <c r="AK13" s="34">
        <f t="shared" si="5"/>
        <v>0</v>
      </c>
      <c r="AL13" s="35">
        <f>AB12</f>
        <v>64.026666666666671</v>
      </c>
      <c r="AM13" s="34">
        <f>AL13*$G13</f>
        <v>1335946813.6029499</v>
      </c>
      <c r="AN13" s="35">
        <f>AL13</f>
        <v>64.026666666666671</v>
      </c>
      <c r="AO13" s="34">
        <f>AN13*$G13</f>
        <v>1335946813.6029499</v>
      </c>
      <c r="AP13" s="35">
        <f>AN13</f>
        <v>64.026666666666671</v>
      </c>
      <c r="AQ13" s="34">
        <f>AP13*$G13</f>
        <v>1335946813.6029499</v>
      </c>
      <c r="AR13" s="35">
        <f t="shared" si="6"/>
        <v>192.08</v>
      </c>
      <c r="AS13" s="34">
        <f t="shared" si="6"/>
        <v>4007840440.8088493</v>
      </c>
      <c r="AT13" s="35">
        <f t="shared" si="7"/>
        <v>192.08</v>
      </c>
      <c r="AU13" s="34">
        <f t="shared" si="7"/>
        <v>4007840440.8088493</v>
      </c>
      <c r="AV13" s="25"/>
      <c r="AW13" s="36"/>
      <c r="AX13" s="36"/>
    </row>
    <row r="14" spans="1:50" s="27" customFormat="1" ht="19" customHeight="1" x14ac:dyDescent="0.35">
      <c r="A14" s="25"/>
      <c r="B14" s="38" t="s">
        <v>38</v>
      </c>
      <c r="C14" s="39"/>
      <c r="D14" s="40"/>
      <c r="E14" s="41">
        <f>E10</f>
        <v>192.08</v>
      </c>
      <c r="F14" s="42">
        <f>SUM(F10:F13)</f>
        <v>18473728911.993668</v>
      </c>
      <c r="G14" s="42">
        <f>F14/E14</f>
        <v>96177264.22320734</v>
      </c>
      <c r="H14" s="43"/>
      <c r="I14" s="43">
        <f>SUM(I10:I13)</f>
        <v>0</v>
      </c>
      <c r="J14" s="43"/>
      <c r="K14" s="43">
        <f>SUM(K10:K13)</f>
        <v>0</v>
      </c>
      <c r="L14" s="43"/>
      <c r="M14" s="43">
        <f>SUM(M10:M13)</f>
        <v>10288400228.916817</v>
      </c>
      <c r="N14" s="42"/>
      <c r="O14" s="42">
        <f>SUM(O10:O13)</f>
        <v>10288400228.916817</v>
      </c>
      <c r="P14" s="42"/>
      <c r="Q14" s="42">
        <f>SUM(Q10:Q13)</f>
        <v>10288400228.916817</v>
      </c>
      <c r="R14" s="42"/>
      <c r="S14" s="42">
        <f>SUM(S10:S13)</f>
        <v>0</v>
      </c>
      <c r="T14" s="42"/>
      <c r="U14" s="42">
        <f>SUM(U10:U13)</f>
        <v>891784340.09725904</v>
      </c>
      <c r="V14" s="42"/>
      <c r="W14" s="42">
        <f>SUM(W10:W13)</f>
        <v>891784340.09725904</v>
      </c>
      <c r="X14" s="42"/>
      <c r="Y14" s="42">
        <f>SUM(Y10:Y13)</f>
        <v>1783568680.1945181</v>
      </c>
      <c r="Z14" s="42"/>
      <c r="AA14" s="42">
        <f>SUM(AA10:AA13)</f>
        <v>12071968909.111336</v>
      </c>
      <c r="AB14" s="42"/>
      <c r="AC14" s="42">
        <f>SUM(AC10:AC13)</f>
        <v>797973187.35782743</v>
      </c>
      <c r="AD14" s="42"/>
      <c r="AE14" s="42">
        <f>SUM(AE10:AE13)</f>
        <v>797973187.35782743</v>
      </c>
      <c r="AF14" s="42"/>
      <c r="AG14" s="42">
        <f>SUM(AG10:AG13)</f>
        <v>797973187.35782743</v>
      </c>
      <c r="AH14" s="42"/>
      <c r="AI14" s="42">
        <f>SUM(AI10:AI13)</f>
        <v>2393919562.0734825</v>
      </c>
      <c r="AJ14" s="42"/>
      <c r="AK14" s="42">
        <f>SUM(AK10:AK13)</f>
        <v>14465888471.184818</v>
      </c>
      <c r="AL14" s="42"/>
      <c r="AM14" s="42">
        <f>SUM(AM10:AM13)</f>
        <v>1335946813.6029499</v>
      </c>
      <c r="AN14" s="42"/>
      <c r="AO14" s="42">
        <f>SUM(AO10:AO13)</f>
        <v>1335946813.6029499</v>
      </c>
      <c r="AP14" s="42"/>
      <c r="AQ14" s="42">
        <f>SUM(AQ10:AQ13)</f>
        <v>1335946813.6029499</v>
      </c>
      <c r="AR14" s="42"/>
      <c r="AS14" s="42">
        <f>SUM(AS10:AS13)</f>
        <v>4007840440.8088493</v>
      </c>
      <c r="AT14" s="42"/>
      <c r="AU14" s="42">
        <f>SUM(AU10:AU13)</f>
        <v>18473728911.993668</v>
      </c>
      <c r="AV14" s="25"/>
      <c r="AW14" s="36"/>
      <c r="AX14" s="36"/>
    </row>
    <row r="15" spans="1:50" ht="14.25" customHeight="1" x14ac:dyDescent="0.25">
      <c r="F15" s="44"/>
      <c r="G15" s="45"/>
      <c r="H15" s="46"/>
      <c r="I15" s="46"/>
      <c r="J15" s="46"/>
      <c r="K15" s="46"/>
      <c r="L15" s="46"/>
      <c r="M15" s="46"/>
      <c r="N15" s="46"/>
      <c r="O15" s="47"/>
      <c r="P15" s="47"/>
      <c r="Q15" s="47"/>
      <c r="R15" s="48"/>
      <c r="S15" s="47"/>
      <c r="T15" s="47"/>
      <c r="U15" s="47"/>
      <c r="V15" s="47"/>
      <c r="W15" s="47"/>
      <c r="X15" s="47"/>
      <c r="Y15" s="47"/>
      <c r="Z15" s="47"/>
      <c r="AA15" s="47"/>
      <c r="AB15" s="48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</row>
    <row r="16" spans="1:50" ht="14.25" hidden="1" customHeight="1" x14ac:dyDescent="0.25">
      <c r="B16" s="1" t="s">
        <v>39</v>
      </c>
      <c r="F16" s="49"/>
      <c r="H16" s="46"/>
      <c r="I16" s="46"/>
      <c r="J16" s="46"/>
      <c r="K16" s="46"/>
      <c r="L16" s="46"/>
      <c r="M16" s="46"/>
      <c r="N16" s="46"/>
      <c r="O16" s="47"/>
      <c r="P16" s="47"/>
      <c r="Q16" s="47"/>
      <c r="R16" s="48"/>
      <c r="S16" s="47"/>
      <c r="T16" s="47"/>
      <c r="U16" s="47"/>
      <c r="V16" s="47"/>
      <c r="W16" s="47"/>
      <c r="X16" s="47"/>
      <c r="Y16" s="47"/>
      <c r="Z16" s="47"/>
      <c r="AA16" s="47"/>
      <c r="AB16" s="48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</row>
    <row r="17" spans="1:48" ht="14.25" hidden="1" customHeight="1" x14ac:dyDescent="0.25">
      <c r="B17" s="1" t="s">
        <v>40</v>
      </c>
      <c r="F17" s="50"/>
      <c r="G17" s="51"/>
      <c r="H17" s="46"/>
      <c r="I17" s="46"/>
      <c r="J17" s="46"/>
      <c r="K17" s="46"/>
      <c r="L17" s="46"/>
      <c r="M17" s="46"/>
      <c r="N17" s="46"/>
      <c r="O17" s="47"/>
      <c r="P17" s="47"/>
      <c r="Q17" s="47"/>
      <c r="R17" s="48"/>
      <c r="S17" s="47"/>
      <c r="T17" s="47"/>
      <c r="U17" s="47"/>
      <c r="V17" s="47"/>
      <c r="W17" s="47"/>
      <c r="X17" s="47"/>
      <c r="Y17" s="47"/>
      <c r="Z17" s="47"/>
      <c r="AA17" s="47"/>
      <c r="AB17" s="48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</row>
    <row r="18" spans="1:48" s="60" customFormat="1" ht="14.25" customHeight="1" x14ac:dyDescent="0.25">
      <c r="A18" s="52"/>
      <c r="B18" s="52"/>
      <c r="C18" s="52"/>
      <c r="D18" s="52"/>
      <c r="E18" s="53"/>
      <c r="F18" s="54"/>
      <c r="G18" s="55"/>
      <c r="H18" s="55"/>
      <c r="I18" s="55"/>
      <c r="J18" s="55"/>
      <c r="K18" s="55"/>
      <c r="L18" s="56" t="s">
        <v>41</v>
      </c>
      <c r="M18" s="57"/>
      <c r="N18" s="57"/>
      <c r="O18" s="58"/>
      <c r="P18" s="57"/>
      <c r="Q18" s="57"/>
      <c r="R18" s="59"/>
      <c r="S18" s="57"/>
      <c r="T18" s="57"/>
      <c r="U18" s="57"/>
      <c r="V18" s="57"/>
      <c r="W18" s="57"/>
      <c r="X18" s="57"/>
      <c r="Y18" s="57"/>
      <c r="Z18" s="57"/>
      <c r="AA18" s="57"/>
      <c r="AB18" s="59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2"/>
    </row>
    <row r="19" spans="1:48" ht="14.25" customHeight="1" x14ac:dyDescent="0.35">
      <c r="F19" s="61"/>
      <c r="G19" s="62"/>
      <c r="H19" s="62"/>
      <c r="I19" s="63" t="s">
        <v>42</v>
      </c>
      <c r="J19" s="62" t="s">
        <v>43</v>
      </c>
      <c r="K19" s="62"/>
      <c r="L19" s="64" t="s">
        <v>44</v>
      </c>
      <c r="M19" s="65"/>
      <c r="N19" s="66"/>
      <c r="O19" s="67"/>
      <c r="P19" s="66"/>
      <c r="Q19" s="66"/>
      <c r="R19" s="68"/>
      <c r="S19" s="66"/>
      <c r="T19" s="66"/>
      <c r="U19" s="66"/>
      <c r="V19" s="66"/>
      <c r="W19" s="66"/>
      <c r="X19" s="66"/>
      <c r="Y19" s="66"/>
      <c r="Z19" s="66"/>
      <c r="AA19" s="66"/>
      <c r="AB19" s="68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9" t="s">
        <v>45</v>
      </c>
      <c r="AT19" s="69"/>
      <c r="AU19" s="69"/>
    </row>
    <row r="20" spans="1:48" ht="14.25" customHeight="1" x14ac:dyDescent="0.35">
      <c r="D20" s="70"/>
      <c r="F20" s="61"/>
      <c r="G20" s="63"/>
      <c r="H20" s="63"/>
      <c r="I20" s="63"/>
      <c r="J20" s="63"/>
      <c r="K20" s="71"/>
      <c r="L20" s="64"/>
      <c r="M20" s="65"/>
      <c r="N20" s="69" t="s">
        <v>46</v>
      </c>
      <c r="O20" s="69"/>
      <c r="P20" s="69"/>
      <c r="Q20" s="66"/>
      <c r="R20" s="68"/>
      <c r="S20" s="66"/>
      <c r="T20" s="66"/>
      <c r="U20" s="66"/>
      <c r="V20" s="66"/>
      <c r="W20" s="66"/>
      <c r="X20" s="69" t="s">
        <v>42</v>
      </c>
      <c r="Y20" s="69"/>
      <c r="Z20" s="69"/>
      <c r="AA20" s="69"/>
      <c r="AB20" s="72"/>
      <c r="AC20" s="72"/>
      <c r="AD20" s="72"/>
      <c r="AE20" s="72"/>
      <c r="AF20" s="72"/>
      <c r="AG20" s="72"/>
      <c r="AH20" s="72"/>
      <c r="AI20" s="69" t="s">
        <v>43</v>
      </c>
      <c r="AJ20" s="69"/>
      <c r="AK20" s="69"/>
      <c r="AL20" s="69"/>
      <c r="AM20" s="69"/>
      <c r="AN20" s="69"/>
      <c r="AO20" s="69"/>
      <c r="AP20" s="69"/>
      <c r="AQ20" s="69"/>
      <c r="AR20" s="69"/>
      <c r="AS20" s="69" t="s">
        <v>44</v>
      </c>
      <c r="AT20" s="69"/>
      <c r="AU20" s="69"/>
    </row>
    <row r="21" spans="1:48" ht="24.65" customHeight="1" x14ac:dyDescent="0.35">
      <c r="D21" s="70"/>
      <c r="F21" s="61"/>
      <c r="G21" s="63"/>
      <c r="H21" s="63"/>
      <c r="I21" s="63"/>
      <c r="J21" s="63"/>
      <c r="K21" s="71"/>
      <c r="L21" s="64"/>
      <c r="M21" s="65"/>
      <c r="N21" s="73"/>
      <c r="O21" s="73"/>
      <c r="P21" s="66"/>
      <c r="Q21" s="66"/>
      <c r="R21" s="68"/>
      <c r="S21" s="66"/>
      <c r="T21" s="66"/>
      <c r="U21" s="66"/>
      <c r="V21" s="66"/>
      <c r="W21" s="66"/>
      <c r="X21" s="73"/>
      <c r="Y21" s="73"/>
      <c r="Z21" s="73"/>
      <c r="AA21" s="73"/>
      <c r="AB21" s="68"/>
      <c r="AC21" s="66"/>
      <c r="AD21" s="66"/>
      <c r="AE21" s="66"/>
      <c r="AF21" s="66"/>
      <c r="AG21" s="66"/>
      <c r="AH21" s="66"/>
      <c r="AI21" s="66"/>
      <c r="AJ21" s="73"/>
      <c r="AK21" s="74"/>
      <c r="AL21" s="66"/>
      <c r="AM21" s="66"/>
      <c r="AN21" s="66"/>
      <c r="AO21" s="66"/>
      <c r="AP21" s="66"/>
      <c r="AQ21" s="66"/>
      <c r="AR21" s="66"/>
      <c r="AS21" s="75" t="s">
        <v>47</v>
      </c>
      <c r="AT21" s="75"/>
      <c r="AU21" s="75"/>
    </row>
    <row r="22" spans="1:48" ht="24.65" customHeight="1" x14ac:dyDescent="0.35">
      <c r="G22" s="76"/>
      <c r="H22" s="76"/>
      <c r="I22" s="77" t="s">
        <v>48</v>
      </c>
      <c r="J22" s="76" t="s">
        <v>49</v>
      </c>
      <c r="K22" s="76"/>
      <c r="L22" s="78" t="s">
        <v>47</v>
      </c>
      <c r="M22" s="79"/>
      <c r="N22" s="73"/>
      <c r="O22" s="73"/>
      <c r="P22" s="80"/>
      <c r="Q22" s="80"/>
      <c r="R22" s="81"/>
      <c r="S22" s="80"/>
      <c r="T22" s="80"/>
      <c r="U22" s="80"/>
      <c r="V22" s="80"/>
      <c r="W22" s="80"/>
      <c r="X22" s="73"/>
      <c r="Y22" s="73"/>
      <c r="Z22" s="73"/>
      <c r="AA22" s="73"/>
      <c r="AB22" s="81"/>
      <c r="AC22" s="80"/>
      <c r="AD22" s="80"/>
      <c r="AE22" s="80"/>
      <c r="AF22" s="80"/>
      <c r="AG22" s="80"/>
      <c r="AH22" s="80"/>
      <c r="AI22" s="80"/>
      <c r="AJ22" s="73"/>
      <c r="AK22" s="74"/>
      <c r="AL22" s="80"/>
      <c r="AM22" s="80"/>
      <c r="AN22" s="80"/>
      <c r="AO22" s="80"/>
      <c r="AP22" s="80"/>
      <c r="AQ22" s="80"/>
      <c r="AR22" s="80"/>
      <c r="AS22" s="75"/>
      <c r="AT22" s="75"/>
      <c r="AU22" s="75"/>
    </row>
    <row r="23" spans="1:48" ht="21.75" customHeight="1" thickBot="1" x14ac:dyDescent="0.4">
      <c r="G23" s="82"/>
      <c r="H23" s="82"/>
      <c r="I23" s="83" t="s">
        <v>50</v>
      </c>
      <c r="J23" s="84" t="s">
        <v>51</v>
      </c>
      <c r="K23" s="84"/>
      <c r="L23" s="85" t="s">
        <v>52</v>
      </c>
      <c r="M23" s="79"/>
      <c r="N23" s="86" t="s">
        <v>53</v>
      </c>
      <c r="O23" s="86"/>
      <c r="P23" s="86"/>
      <c r="Q23" s="80"/>
      <c r="R23" s="81"/>
      <c r="S23" s="80"/>
      <c r="T23" s="80"/>
      <c r="U23" s="80"/>
      <c r="V23" s="80"/>
      <c r="W23" s="80"/>
      <c r="X23" s="86" t="s">
        <v>48</v>
      </c>
      <c r="Y23" s="86"/>
      <c r="Z23" s="86"/>
      <c r="AA23" s="86"/>
      <c r="AB23" s="87"/>
      <c r="AC23" s="87"/>
      <c r="AD23" s="87"/>
      <c r="AE23" s="87"/>
      <c r="AF23" s="87"/>
      <c r="AG23" s="87"/>
      <c r="AH23" s="87"/>
      <c r="AI23" s="86" t="s">
        <v>49</v>
      </c>
      <c r="AJ23" s="86"/>
      <c r="AK23" s="86"/>
      <c r="AL23" s="86"/>
      <c r="AM23" s="86"/>
      <c r="AN23" s="86"/>
      <c r="AO23" s="86"/>
      <c r="AP23" s="86"/>
      <c r="AQ23" s="86"/>
      <c r="AR23" s="86"/>
      <c r="AS23" s="75"/>
      <c r="AT23" s="75"/>
      <c r="AU23" s="75"/>
    </row>
    <row r="24" spans="1:48" ht="31.5" customHeight="1" thickTop="1" x14ac:dyDescent="0.35">
      <c r="G24" s="79"/>
      <c r="H24" s="79"/>
      <c r="I24" s="79"/>
      <c r="J24" s="79"/>
      <c r="K24" s="79"/>
      <c r="L24" s="79"/>
      <c r="M24" s="79"/>
      <c r="N24" s="88" t="s">
        <v>54</v>
      </c>
      <c r="O24" s="88"/>
      <c r="P24" s="88"/>
      <c r="Q24" s="80"/>
      <c r="R24" s="81"/>
      <c r="S24" s="80"/>
      <c r="T24" s="80"/>
      <c r="U24" s="80"/>
      <c r="V24" s="80"/>
      <c r="W24" s="80"/>
      <c r="X24" s="88" t="s">
        <v>50</v>
      </c>
      <c r="Y24" s="88"/>
      <c r="Z24" s="88"/>
      <c r="AA24" s="88"/>
      <c r="AB24" s="89"/>
      <c r="AC24" s="89"/>
      <c r="AD24" s="89"/>
      <c r="AE24" s="89"/>
      <c r="AF24" s="89"/>
      <c r="AG24" s="89"/>
      <c r="AH24" s="89"/>
      <c r="AI24" s="88" t="s">
        <v>51</v>
      </c>
      <c r="AJ24" s="88"/>
      <c r="AK24" s="88"/>
      <c r="AL24" s="88"/>
      <c r="AM24" s="88"/>
      <c r="AN24" s="88"/>
      <c r="AO24" s="88"/>
      <c r="AP24" s="88"/>
      <c r="AQ24" s="88"/>
      <c r="AR24" s="88"/>
      <c r="AS24" s="90" t="s">
        <v>52</v>
      </c>
      <c r="AT24" s="90"/>
      <c r="AU24" s="90"/>
    </row>
    <row r="25" spans="1:48" ht="14.25" customHeight="1" x14ac:dyDescent="0.25"/>
    <row r="26" spans="1:48" ht="14.25" customHeight="1" x14ac:dyDescent="0.25"/>
    <row r="27" spans="1:48" ht="14.25" customHeight="1" x14ac:dyDescent="0.25"/>
    <row r="28" spans="1:48" ht="14.25" customHeight="1" x14ac:dyDescent="0.25"/>
    <row r="29" spans="1:48" ht="14.25" customHeight="1" x14ac:dyDescent="0.25"/>
    <row r="30" spans="1:48" ht="14.25" customHeight="1" x14ac:dyDescent="0.25"/>
    <row r="31" spans="1:48" ht="14.25" customHeight="1" x14ac:dyDescent="0.25"/>
    <row r="32" spans="1:4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</sheetData>
  <mergeCells count="49">
    <mergeCell ref="X23:AA23"/>
    <mergeCell ref="AI23:AR23"/>
    <mergeCell ref="N24:P24"/>
    <mergeCell ref="X24:AA24"/>
    <mergeCell ref="AI24:AR24"/>
    <mergeCell ref="AS24:AU24"/>
    <mergeCell ref="N20:P20"/>
    <mergeCell ref="X20:AA20"/>
    <mergeCell ref="AI20:AR20"/>
    <mergeCell ref="AS20:AU20"/>
    <mergeCell ref="AS21:AU23"/>
    <mergeCell ref="G22:H22"/>
    <mergeCell ref="J22:K22"/>
    <mergeCell ref="G23:H23"/>
    <mergeCell ref="J23:K23"/>
    <mergeCell ref="N23:P23"/>
    <mergeCell ref="AN7:AO7"/>
    <mergeCell ref="AP7:AQ7"/>
    <mergeCell ref="AR7:AS7"/>
    <mergeCell ref="AT7:AU7"/>
    <mergeCell ref="B14:D14"/>
    <mergeCell ref="G19:H19"/>
    <mergeCell ref="J19:K19"/>
    <mergeCell ref="AS19:AU19"/>
    <mergeCell ref="AB7:AC7"/>
    <mergeCell ref="AD7:AE7"/>
    <mergeCell ref="AF7:AG7"/>
    <mergeCell ref="AH7:AI7"/>
    <mergeCell ref="AJ7:AK7"/>
    <mergeCell ref="AL7:AM7"/>
    <mergeCell ref="AB6:AK6"/>
    <mergeCell ref="AL6:AU6"/>
    <mergeCell ref="E7:F7"/>
    <mergeCell ref="H7:I7"/>
    <mergeCell ref="J7:K7"/>
    <mergeCell ref="L7:M7"/>
    <mergeCell ref="N7:O7"/>
    <mergeCell ref="P7:Q7"/>
    <mergeCell ref="R7:S7"/>
    <mergeCell ref="T7:U7"/>
    <mergeCell ref="B6:B9"/>
    <mergeCell ref="C6:D9"/>
    <mergeCell ref="E6:F6"/>
    <mergeCell ref="G6:G7"/>
    <mergeCell ref="H6:Q6"/>
    <mergeCell ref="R6:AA6"/>
    <mergeCell ref="V7:W7"/>
    <mergeCell ref="X7:Y7"/>
    <mergeCell ref="Z7:AA7"/>
  </mergeCells>
  <printOptions horizontalCentered="1"/>
  <pageMargins left="0.11811023622047245" right="0.11811023622047245" top="0.74803149606299213" bottom="0.74803149606299213" header="0.31496062992125984" footer="0.31496062992125984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FD49-2BA1-486D-AFFC-31931913F47F}">
  <sheetPr>
    <tabColor rgb="FF00B050"/>
  </sheetPr>
  <dimension ref="A1:AJ50"/>
  <sheetViews>
    <sheetView zoomScale="58" zoomScaleNormal="100" zoomScaleSheetLayoutView="85" workbookViewId="0">
      <selection activeCell="Q12" sqref="Q12"/>
    </sheetView>
  </sheetViews>
  <sheetFormatPr defaultRowHeight="14.5" x14ac:dyDescent="0.35"/>
  <cols>
    <col min="1" max="1" width="9.26953125" style="94" bestFit="1" customWidth="1"/>
    <col min="2" max="2" width="6" style="94" customWidth="1"/>
    <col min="3" max="4" width="22.7265625" style="92" customWidth="1"/>
    <col min="5" max="5" width="36.81640625" style="93" customWidth="1"/>
    <col min="6" max="6" width="16.54296875" style="94" customWidth="1"/>
    <col min="7" max="7" width="18.81640625" style="94" customWidth="1"/>
    <col min="8" max="8" width="13.81640625" style="94" customWidth="1"/>
    <col min="9" max="9" width="8.453125" style="94" customWidth="1"/>
    <col min="10" max="10" width="3.1796875" style="94" customWidth="1"/>
    <col min="11" max="11" width="13.81640625" style="94" hidden="1" customWidth="1"/>
    <col min="12" max="12" width="6" style="94" customWidth="1"/>
    <col min="13" max="13" width="26.26953125" style="92" customWidth="1"/>
    <col min="14" max="14" width="36.81640625" style="93" customWidth="1"/>
    <col min="15" max="15" width="15.26953125" style="94" customWidth="1"/>
    <col min="16" max="16" width="17.7265625" style="94" customWidth="1"/>
    <col min="17" max="17" width="15.81640625" style="94" customWidth="1"/>
    <col min="18" max="18" width="12.54296875" style="94" customWidth="1"/>
    <col min="19" max="19" width="8.7265625" style="94"/>
    <col min="20" max="20" width="6" style="94" customWidth="1"/>
    <col min="21" max="21" width="27" style="92" customWidth="1"/>
    <col min="22" max="22" width="36.81640625" style="93" customWidth="1"/>
    <col min="23" max="23" width="14.54296875" style="94" customWidth="1"/>
    <col min="24" max="24" width="16.81640625" style="94" customWidth="1"/>
    <col min="25" max="25" width="12" style="94" customWidth="1"/>
    <col min="26" max="26" width="10.81640625" style="94" bestFit="1" customWidth="1"/>
    <col min="27" max="27" width="8.7265625" style="94"/>
    <col min="28" max="28" width="6" style="94" customWidth="1"/>
    <col min="29" max="29" width="27.81640625" style="92" customWidth="1"/>
    <col min="30" max="30" width="36.81640625" style="93" customWidth="1"/>
    <col min="31" max="31" width="14.1796875" style="94" customWidth="1"/>
    <col min="32" max="32" width="18.1796875" style="94" customWidth="1"/>
    <col min="33" max="33" width="11.81640625" style="94" customWidth="1"/>
    <col min="34" max="34" width="11.1796875" style="94" customWidth="1"/>
    <col min="35" max="36" width="8.7265625" style="94"/>
  </cols>
  <sheetData>
    <row r="1" spans="1:36" x14ac:dyDescent="0.35">
      <c r="A1" s="91" t="s">
        <v>55</v>
      </c>
      <c r="B1" s="91" t="s">
        <v>56</v>
      </c>
    </row>
    <row r="2" spans="1:36" x14ac:dyDescent="0.35">
      <c r="A2" s="95">
        <v>140.97999999999999</v>
      </c>
      <c r="B2" s="95">
        <v>51.1</v>
      </c>
    </row>
    <row r="3" spans="1:36" s="99" customFormat="1" ht="24" customHeight="1" x14ac:dyDescent="0.35">
      <c r="A3" s="96">
        <f>A2+B2</f>
        <v>192.07999999999998</v>
      </c>
      <c r="B3" s="97" t="s">
        <v>57</v>
      </c>
      <c r="C3" s="97"/>
      <c r="D3" s="97"/>
      <c r="E3" s="97"/>
      <c r="F3" s="97"/>
      <c r="G3" s="97"/>
      <c r="H3" s="97"/>
      <c r="I3" s="97"/>
      <c r="J3" s="96"/>
      <c r="K3" s="96"/>
      <c r="L3" s="97" t="s">
        <v>58</v>
      </c>
      <c r="M3" s="97"/>
      <c r="N3" s="97"/>
      <c r="O3" s="97"/>
      <c r="P3" s="97"/>
      <c r="Q3" s="97"/>
      <c r="R3" s="97"/>
      <c r="S3" s="96"/>
      <c r="T3" s="97" t="s">
        <v>59</v>
      </c>
      <c r="U3" s="97"/>
      <c r="V3" s="97"/>
      <c r="W3" s="97"/>
      <c r="X3" s="97"/>
      <c r="Y3" s="97"/>
      <c r="Z3" s="97"/>
      <c r="AA3" s="98"/>
      <c r="AB3" s="97" t="s">
        <v>60</v>
      </c>
      <c r="AC3" s="97"/>
      <c r="AD3" s="97"/>
      <c r="AE3" s="97"/>
      <c r="AF3" s="97"/>
      <c r="AG3" s="97"/>
      <c r="AH3" s="97"/>
      <c r="AI3" s="98"/>
      <c r="AJ3" s="98"/>
    </row>
    <row r="4" spans="1:36" s="99" customFormat="1" ht="19" customHeight="1" x14ac:dyDescent="0.35">
      <c r="A4" s="98"/>
      <c r="B4" s="100" t="s">
        <v>61</v>
      </c>
      <c r="C4" s="100"/>
      <c r="D4" s="100"/>
      <c r="E4" s="100"/>
      <c r="F4" s="100"/>
      <c r="G4" s="100"/>
      <c r="H4" s="100"/>
      <c r="I4" s="100"/>
      <c r="J4" s="101"/>
      <c r="K4" s="98"/>
      <c r="L4" s="102" t="s">
        <v>62</v>
      </c>
      <c r="M4" s="103"/>
      <c r="N4" s="103"/>
      <c r="O4" s="103"/>
      <c r="P4" s="103"/>
      <c r="Q4" s="103"/>
      <c r="R4" s="104"/>
      <c r="S4" s="98"/>
      <c r="T4" s="102" t="s">
        <v>63</v>
      </c>
      <c r="U4" s="103"/>
      <c r="V4" s="103"/>
      <c r="W4" s="103"/>
      <c r="X4" s="103"/>
      <c r="Y4" s="103"/>
      <c r="Z4" s="104"/>
      <c r="AA4" s="98"/>
      <c r="AB4" s="102" t="s">
        <v>64</v>
      </c>
      <c r="AC4" s="103"/>
      <c r="AD4" s="103"/>
      <c r="AE4" s="103"/>
      <c r="AF4" s="103"/>
      <c r="AG4" s="103"/>
      <c r="AH4" s="104"/>
      <c r="AI4" s="98"/>
      <c r="AJ4" s="98"/>
    </row>
    <row r="5" spans="1:36" ht="22.9" customHeight="1" x14ac:dyDescent="0.35">
      <c r="B5" s="105" t="s">
        <v>65</v>
      </c>
      <c r="C5" s="100" t="s">
        <v>8</v>
      </c>
      <c r="D5" s="100"/>
      <c r="E5" s="100"/>
      <c r="F5" s="105" t="s">
        <v>66</v>
      </c>
      <c r="G5" s="105" t="s">
        <v>67</v>
      </c>
      <c r="H5" s="105" t="s">
        <v>68</v>
      </c>
      <c r="I5" s="106" t="s">
        <v>69</v>
      </c>
      <c r="J5" s="107"/>
      <c r="L5" s="105" t="s">
        <v>65</v>
      </c>
      <c r="M5" s="102" t="s">
        <v>8</v>
      </c>
      <c r="N5" s="104"/>
      <c r="O5" s="105" t="s">
        <v>66</v>
      </c>
      <c r="P5" s="105" t="s">
        <v>67</v>
      </c>
      <c r="Q5" s="105" t="s">
        <v>68</v>
      </c>
      <c r="R5" s="106" t="s">
        <v>70</v>
      </c>
      <c r="T5" s="105" t="s">
        <v>65</v>
      </c>
      <c r="U5" s="102" t="s">
        <v>8</v>
      </c>
      <c r="V5" s="104"/>
      <c r="W5" s="105" t="s">
        <v>66</v>
      </c>
      <c r="X5" s="105" t="s">
        <v>67</v>
      </c>
      <c r="Y5" s="105" t="s">
        <v>68</v>
      </c>
      <c r="Z5" s="106" t="s">
        <v>70</v>
      </c>
      <c r="AB5" s="105" t="s">
        <v>65</v>
      </c>
      <c r="AC5" s="102" t="s">
        <v>8</v>
      </c>
      <c r="AD5" s="104"/>
      <c r="AE5" s="105" t="s">
        <v>66</v>
      </c>
      <c r="AF5" s="105" t="s">
        <v>67</v>
      </c>
      <c r="AG5" s="105" t="s">
        <v>68</v>
      </c>
      <c r="AH5" s="106" t="s">
        <v>70</v>
      </c>
    </row>
    <row r="6" spans="1:36" ht="22.9" customHeight="1" x14ac:dyDescent="0.35">
      <c r="B6" s="105"/>
      <c r="C6" s="105"/>
      <c r="D6" s="105"/>
      <c r="E6" s="105"/>
      <c r="F6" s="105"/>
      <c r="G6" s="105"/>
      <c r="H6" s="105"/>
      <c r="I6" s="108"/>
      <c r="J6" s="107"/>
      <c r="L6" s="109"/>
      <c r="M6" s="110"/>
      <c r="N6" s="111"/>
      <c r="O6" s="105"/>
      <c r="P6" s="109"/>
      <c r="Q6" s="109"/>
      <c r="R6" s="108"/>
      <c r="T6" s="109"/>
      <c r="U6" s="110"/>
      <c r="V6" s="111"/>
      <c r="W6" s="105"/>
      <c r="X6" s="109"/>
      <c r="Y6" s="109"/>
      <c r="Z6" s="108"/>
      <c r="AB6" s="109"/>
      <c r="AC6" s="110"/>
      <c r="AD6" s="111"/>
      <c r="AE6" s="105"/>
      <c r="AF6" s="109"/>
      <c r="AG6" s="109"/>
      <c r="AH6" s="108"/>
    </row>
    <row r="7" spans="1:36" s="99" customFormat="1" x14ac:dyDescent="0.35">
      <c r="A7" s="98"/>
      <c r="B7" s="112">
        <v>1</v>
      </c>
      <c r="C7" s="113" t="s">
        <v>71</v>
      </c>
      <c r="D7" s="114" t="str">
        <f>IF(C7="",D6,C7)</f>
        <v>Pembukaan Lahan CECT</v>
      </c>
      <c r="E7" s="115" t="s">
        <v>72</v>
      </c>
      <c r="F7" s="116">
        <f>'SI TB CECT'!Q8</f>
        <v>5255329.7873999989</v>
      </c>
      <c r="G7" s="117">
        <f>SUM(F7:F12)</f>
        <v>4503491171.7687235</v>
      </c>
      <c r="H7" s="117">
        <f>G7/A2</f>
        <v>31944184.790528614</v>
      </c>
      <c r="I7" s="118">
        <f>G7/$G$47*100</f>
        <v>43.772511484449325</v>
      </c>
      <c r="J7" s="119"/>
      <c r="K7" s="98"/>
      <c r="L7" s="120">
        <v>1</v>
      </c>
      <c r="M7" s="121" t="s">
        <v>73</v>
      </c>
      <c r="N7" s="113" t="s">
        <v>74</v>
      </c>
      <c r="O7" s="122">
        <f>SUM('S1 TBM 1'!S38:S40)</f>
        <v>76597996.181017518</v>
      </c>
      <c r="P7" s="123">
        <f>SUM(O7:O8)</f>
        <v>115854568.7825295</v>
      </c>
      <c r="Q7" s="123">
        <f>P7/A3</f>
        <v>603157.89661875006</v>
      </c>
      <c r="R7" s="118">
        <f>P7/P41*100</f>
        <v>6.4956606420053467</v>
      </c>
      <c r="S7" s="98"/>
      <c r="T7" s="120">
        <v>1</v>
      </c>
      <c r="U7" s="121" t="s">
        <v>75</v>
      </c>
      <c r="V7" s="113" t="s">
        <v>76</v>
      </c>
      <c r="W7" s="122">
        <f>SUM('S1 TBM 2'!Q59:Q61)</f>
        <v>81551022.253869966</v>
      </c>
      <c r="X7" s="123">
        <f>SUM(W7:W10)</f>
        <v>431482015.98165751</v>
      </c>
      <c r="Y7" s="123">
        <f>X7/$A$3</f>
        <v>2246366.1806625235</v>
      </c>
      <c r="Z7" s="118">
        <f>X7/X40*100</f>
        <v>18.024081628203557</v>
      </c>
      <c r="AA7" s="98"/>
      <c r="AB7" s="120">
        <v>1</v>
      </c>
      <c r="AC7" s="121" t="s">
        <v>77</v>
      </c>
      <c r="AD7" s="124" t="s">
        <v>78</v>
      </c>
      <c r="AE7" s="125">
        <f>SUM('S1 TBM 3'!Q44:Q46)</f>
        <v>4679836.7207926018</v>
      </c>
      <c r="AF7" s="123">
        <f>SUM(AE7:AE12)</f>
        <v>638452491.33123899</v>
      </c>
      <c r="AG7" s="123">
        <f>AF7/$A$3</f>
        <v>3323888.4388340223</v>
      </c>
      <c r="AH7" s="126">
        <f>AF7/AF42*100</f>
        <v>15.930087556140052</v>
      </c>
      <c r="AI7" s="98"/>
      <c r="AJ7" s="98"/>
    </row>
    <row r="8" spans="1:36" s="99" customFormat="1" ht="28" x14ac:dyDescent="0.35">
      <c r="A8" s="98"/>
      <c r="B8" s="112"/>
      <c r="C8" s="113"/>
      <c r="D8" s="114" t="str">
        <f t="shared" ref="D8:D46" si="0">IF(C8="",D7,C8)</f>
        <v>Pembukaan Lahan CECT</v>
      </c>
      <c r="E8" s="115" t="s">
        <v>79</v>
      </c>
      <c r="F8" s="116">
        <f>SUM('SI TB CECT'!Q23:Q25)</f>
        <v>825134914.41121554</v>
      </c>
      <c r="G8" s="112"/>
      <c r="H8" s="117"/>
      <c r="I8" s="127"/>
      <c r="J8" s="119"/>
      <c r="K8" s="98"/>
      <c r="L8" s="128"/>
      <c r="M8" s="129"/>
      <c r="N8" s="113" t="s">
        <v>80</v>
      </c>
      <c r="O8" s="122">
        <f>SUM('S1 TBM 1'!S48:S50)</f>
        <v>39256572.601511993</v>
      </c>
      <c r="P8" s="128"/>
      <c r="Q8" s="128"/>
      <c r="R8" s="130"/>
      <c r="S8" s="98"/>
      <c r="T8" s="131"/>
      <c r="U8" s="132"/>
      <c r="V8" s="113" t="s">
        <v>81</v>
      </c>
      <c r="W8" s="122">
        <f>SUM('S1 TBM 2'!Q70:Q81)</f>
        <v>113571095.08651495</v>
      </c>
      <c r="X8" s="131"/>
      <c r="Y8" s="133"/>
      <c r="Z8" s="127"/>
      <c r="AA8" s="98"/>
      <c r="AB8" s="131"/>
      <c r="AC8" s="132"/>
      <c r="AD8" s="113" t="s">
        <v>76</v>
      </c>
      <c r="AE8" s="134">
        <f>SUM('S1 TBM 3'!Q60:Q62)</f>
        <v>86846763.534295157</v>
      </c>
      <c r="AF8" s="133"/>
      <c r="AG8" s="133"/>
      <c r="AH8" s="135"/>
      <c r="AI8" s="98"/>
      <c r="AJ8" s="98"/>
    </row>
    <row r="9" spans="1:36" s="99" customFormat="1" ht="28" x14ac:dyDescent="0.35">
      <c r="A9" s="98"/>
      <c r="B9" s="112"/>
      <c r="C9" s="113"/>
      <c r="D9" s="114" t="str">
        <f t="shared" si="0"/>
        <v>Pembukaan Lahan CECT</v>
      </c>
      <c r="E9" s="115" t="s">
        <v>82</v>
      </c>
      <c r="F9" s="116">
        <f>SUM('SI TB CECT'!Q27:Q32)</f>
        <v>1390232839.9177709</v>
      </c>
      <c r="G9" s="112"/>
      <c r="H9" s="117"/>
      <c r="I9" s="127"/>
      <c r="J9" s="119"/>
      <c r="K9" s="136">
        <f>SUM(F10:F11)</f>
        <v>2112071980.9775102</v>
      </c>
      <c r="L9" s="120">
        <v>2</v>
      </c>
      <c r="M9" s="121" t="s">
        <v>75</v>
      </c>
      <c r="N9" s="113" t="s">
        <v>76</v>
      </c>
      <c r="O9" s="122">
        <f>SUM('S1 TBM 1'!S61:S63)</f>
        <v>76578268.30551292</v>
      </c>
      <c r="P9" s="123">
        <f>SUM(O9:O12)</f>
        <v>288073072.97973859</v>
      </c>
      <c r="Q9" s="123">
        <f>P9/A3</f>
        <v>1499755.6902318753</v>
      </c>
      <c r="R9" s="118">
        <f>P9/P41*100</f>
        <v>16.151498743985631</v>
      </c>
      <c r="S9" s="98"/>
      <c r="T9" s="131"/>
      <c r="U9" s="132"/>
      <c r="V9" s="113" t="s">
        <v>83</v>
      </c>
      <c r="W9" s="122">
        <f>SUM('S1 TBM 2'!Q105:Q107)</f>
        <v>130550684.30447668</v>
      </c>
      <c r="X9" s="131"/>
      <c r="Y9" s="133"/>
      <c r="Z9" s="127"/>
      <c r="AA9" s="98"/>
      <c r="AB9" s="131"/>
      <c r="AC9" s="132"/>
      <c r="AD9" s="113" t="s">
        <v>81</v>
      </c>
      <c r="AE9" s="134">
        <f>SUM('S1 TBM 3'!Q72:Q83)</f>
        <v>125059021.84239329</v>
      </c>
      <c r="AF9" s="133"/>
      <c r="AG9" s="133"/>
      <c r="AH9" s="135"/>
      <c r="AI9" s="98"/>
      <c r="AJ9" s="98"/>
    </row>
    <row r="10" spans="1:36" s="99" customFormat="1" ht="28" x14ac:dyDescent="0.35">
      <c r="A10" s="98"/>
      <c r="B10" s="112"/>
      <c r="C10" s="113"/>
      <c r="D10" s="114" t="str">
        <f t="shared" si="0"/>
        <v>Pembukaan Lahan CECT</v>
      </c>
      <c r="E10" s="115" t="s">
        <v>84</v>
      </c>
      <c r="F10" s="116">
        <f>SUM('SI TB CECT'!Q33:Q35)</f>
        <v>970411450.71939659</v>
      </c>
      <c r="G10" s="112"/>
      <c r="H10" s="117"/>
      <c r="I10" s="127"/>
      <c r="J10" s="119"/>
      <c r="K10" s="136">
        <f>SUM(F10:F11)/140.98</f>
        <v>14981358.923092002</v>
      </c>
      <c r="L10" s="131"/>
      <c r="M10" s="132"/>
      <c r="N10" s="113" t="s">
        <v>81</v>
      </c>
      <c r="O10" s="122">
        <f>SUM('S1 TBM 1'!S72:S82)</f>
        <v>29516605.46478394</v>
      </c>
      <c r="P10" s="131"/>
      <c r="Q10" s="131"/>
      <c r="R10" s="127"/>
      <c r="S10" s="98"/>
      <c r="T10" s="128"/>
      <c r="U10" s="129"/>
      <c r="V10" s="113" t="s">
        <v>85</v>
      </c>
      <c r="W10" s="122">
        <f>SUM('S1 TBM 2'!Q112:Q123)</f>
        <v>105809214.33679591</v>
      </c>
      <c r="X10" s="128"/>
      <c r="Y10" s="137"/>
      <c r="Z10" s="130"/>
      <c r="AA10" s="98"/>
      <c r="AB10" s="131"/>
      <c r="AC10" s="132"/>
      <c r="AD10" s="138" t="s">
        <v>86</v>
      </c>
      <c r="AE10" s="134">
        <f>SUM('S1 TBM 3'!Q67:Q69)</f>
        <v>173540111.77252969</v>
      </c>
      <c r="AF10" s="133"/>
      <c r="AG10" s="133"/>
      <c r="AH10" s="135"/>
      <c r="AI10" s="98"/>
      <c r="AJ10" s="98"/>
    </row>
    <row r="11" spans="1:36" s="99" customFormat="1" x14ac:dyDescent="0.35">
      <c r="A11" s="98"/>
      <c r="B11" s="112"/>
      <c r="C11" s="113"/>
      <c r="D11" s="114" t="str">
        <f t="shared" si="0"/>
        <v>Pembukaan Lahan CECT</v>
      </c>
      <c r="E11" s="115" t="s">
        <v>87</v>
      </c>
      <c r="F11" s="116">
        <f>SUM('SI TB CECT'!Q36:Q38)</f>
        <v>1141660530.2581136</v>
      </c>
      <c r="G11" s="112"/>
      <c r="H11" s="117"/>
      <c r="I11" s="127"/>
      <c r="J11" s="119"/>
      <c r="K11" s="98"/>
      <c r="L11" s="131"/>
      <c r="M11" s="132"/>
      <c r="N11" s="113" t="s">
        <v>83</v>
      </c>
      <c r="O11" s="122">
        <f>SUM('S1 TBM 1'!S106:S108)</f>
        <v>153093404.16935778</v>
      </c>
      <c r="P11" s="131"/>
      <c r="Q11" s="131"/>
      <c r="R11" s="127"/>
      <c r="S11" s="98"/>
      <c r="T11" s="120">
        <v>2</v>
      </c>
      <c r="U11" s="139" t="s">
        <v>88</v>
      </c>
      <c r="V11" s="113" t="s">
        <v>89</v>
      </c>
      <c r="W11" s="122">
        <f>SUM('S1 TBM 2'!Q149:Q158)</f>
        <v>25652169.512068965</v>
      </c>
      <c r="X11" s="123">
        <f>SUM(W11:W13)</f>
        <v>91352740.657176405</v>
      </c>
      <c r="Y11" s="123">
        <f>X11/$A$3</f>
        <v>475597.35869000631</v>
      </c>
      <c r="Z11" s="118">
        <f>X11/X40*100</f>
        <v>3.8160321718600967</v>
      </c>
      <c r="AA11" s="98"/>
      <c r="AB11" s="131"/>
      <c r="AC11" s="132"/>
      <c r="AD11" s="113" t="s">
        <v>83</v>
      </c>
      <c r="AE11" s="134">
        <f>SUM('S1 TBM 3'!Q107:Q109)</f>
        <v>139027322.78807119</v>
      </c>
      <c r="AF11" s="133"/>
      <c r="AG11" s="133"/>
      <c r="AH11" s="135"/>
      <c r="AI11" s="98"/>
      <c r="AJ11" s="98"/>
    </row>
    <row r="12" spans="1:36" s="99" customFormat="1" x14ac:dyDescent="0.35">
      <c r="A12" s="98"/>
      <c r="B12" s="112"/>
      <c r="C12" s="113"/>
      <c r="D12" s="114" t="str">
        <f t="shared" si="0"/>
        <v>Pembukaan Lahan CECT</v>
      </c>
      <c r="E12" s="115" t="s">
        <v>90</v>
      </c>
      <c r="F12" s="116">
        <f>SUM('SI TB CECT'!Q40:Q43)</f>
        <v>170796106.67482647</v>
      </c>
      <c r="G12" s="112"/>
      <c r="H12" s="117"/>
      <c r="I12" s="130"/>
      <c r="J12" s="119"/>
      <c r="K12" s="98"/>
      <c r="L12" s="128"/>
      <c r="M12" s="129"/>
      <c r="N12" s="113" t="s">
        <v>85</v>
      </c>
      <c r="O12" s="122">
        <f>SUM('S1 TBM 1'!S113:S124)</f>
        <v>28884795.040083941</v>
      </c>
      <c r="P12" s="128"/>
      <c r="Q12" s="128"/>
      <c r="R12" s="130"/>
      <c r="S12" s="98"/>
      <c r="T12" s="131"/>
      <c r="U12" s="140"/>
      <c r="V12" s="113" t="s">
        <v>91</v>
      </c>
      <c r="W12" s="122">
        <f>SUM('S1 TBM 2'!Q159:Q167)</f>
        <v>48090994.944835439</v>
      </c>
      <c r="X12" s="131"/>
      <c r="Y12" s="133"/>
      <c r="Z12" s="127"/>
      <c r="AA12" s="98"/>
      <c r="AB12" s="128"/>
      <c r="AC12" s="129"/>
      <c r="AD12" s="113" t="s">
        <v>85</v>
      </c>
      <c r="AE12" s="134">
        <f>SUM('S1 TBM 3'!Q114:Q125)</f>
        <v>109299434.67315714</v>
      </c>
      <c r="AF12" s="137"/>
      <c r="AG12" s="137"/>
      <c r="AH12" s="141"/>
      <c r="AI12" s="98"/>
      <c r="AJ12" s="98"/>
    </row>
    <row r="13" spans="1:36" s="99" customFormat="1" x14ac:dyDescent="0.35">
      <c r="A13" s="98"/>
      <c r="B13" s="112">
        <v>2</v>
      </c>
      <c r="C13" s="113" t="s">
        <v>92</v>
      </c>
      <c r="D13" s="114" t="str">
        <f t="shared" si="0"/>
        <v>Pembukaan Lahan Serak</v>
      </c>
      <c r="E13" s="115" t="s">
        <v>72</v>
      </c>
      <c r="F13" s="116">
        <f>'SI TB SERAK'!Q7</f>
        <v>1904861.3429999999</v>
      </c>
      <c r="G13" s="117">
        <f>SUM(F13:F17)</f>
        <v>1114213859.8140111</v>
      </c>
      <c r="H13" s="117">
        <f>G13/B2</f>
        <v>21804576.512994345</v>
      </c>
      <c r="I13" s="118">
        <f>G13/G47*100</f>
        <v>10.829806724298846</v>
      </c>
      <c r="J13" s="119"/>
      <c r="K13" s="98"/>
      <c r="L13" s="120">
        <v>3</v>
      </c>
      <c r="M13" s="121" t="s">
        <v>88</v>
      </c>
      <c r="N13" s="113" t="s">
        <v>89</v>
      </c>
      <c r="O13" s="122">
        <f>SUM('S1 TBM 1'!S150:S159)</f>
        <v>24162279.030089553</v>
      </c>
      <c r="P13" s="123">
        <f>SUM(O13:O15)</f>
        <v>89814716.530856118</v>
      </c>
      <c r="Q13" s="123">
        <f>P13/A3</f>
        <v>467590.1527012501</v>
      </c>
      <c r="R13" s="118">
        <f>P13/P41*100</f>
        <v>5.0356746857127384</v>
      </c>
      <c r="S13" s="98"/>
      <c r="T13" s="128"/>
      <c r="U13" s="142"/>
      <c r="V13" s="113" t="s">
        <v>93</v>
      </c>
      <c r="W13" s="122">
        <f>SUM('S1 TBM 2'!Q170)</f>
        <v>17609576.200272001</v>
      </c>
      <c r="X13" s="128"/>
      <c r="Y13" s="137"/>
      <c r="Z13" s="130"/>
      <c r="AA13" s="98"/>
      <c r="AB13" s="120">
        <v>2</v>
      </c>
      <c r="AC13" s="139" t="s">
        <v>88</v>
      </c>
      <c r="AD13" s="113" t="s">
        <v>91</v>
      </c>
      <c r="AE13" s="122">
        <f>SUM('S1 TBM 3'!Q161:Q169)</f>
        <v>51095728.701988816</v>
      </c>
      <c r="AF13" s="123">
        <f>SUM(AE13:AE14)</f>
        <v>69585783.712274417</v>
      </c>
      <c r="AG13" s="123">
        <f>AF13/$A$3</f>
        <v>362275.00891438161</v>
      </c>
      <c r="AH13" s="126">
        <f>AF13/AF42*100</f>
        <v>1.7362413683871818</v>
      </c>
      <c r="AI13" s="98"/>
      <c r="AJ13" s="98"/>
    </row>
    <row r="14" spans="1:36" s="99" customFormat="1" x14ac:dyDescent="0.35">
      <c r="A14" s="98"/>
      <c r="B14" s="112"/>
      <c r="C14" s="113"/>
      <c r="D14" s="114" t="str">
        <f t="shared" si="0"/>
        <v>Pembukaan Lahan Serak</v>
      </c>
      <c r="E14" s="115" t="s">
        <v>79</v>
      </c>
      <c r="F14" s="116">
        <f>SUM('SI TB SERAK'!Q22:Q24)</f>
        <v>332309592.33755046</v>
      </c>
      <c r="G14" s="112"/>
      <c r="H14" s="117"/>
      <c r="I14" s="127"/>
      <c r="J14" s="119"/>
      <c r="K14" s="136">
        <f>F14/B2</f>
        <v>6503123.1377211437</v>
      </c>
      <c r="L14" s="131"/>
      <c r="M14" s="132"/>
      <c r="N14" s="113" t="s">
        <v>91</v>
      </c>
      <c r="O14" s="122">
        <f>SUM('S1 TBM 1'!S160:S169)</f>
        <v>48881412.548126563</v>
      </c>
      <c r="P14" s="131"/>
      <c r="Q14" s="131"/>
      <c r="R14" s="127"/>
      <c r="S14" s="98"/>
      <c r="T14" s="120">
        <v>3</v>
      </c>
      <c r="U14" s="139" t="s">
        <v>94</v>
      </c>
      <c r="V14" s="143" t="s">
        <v>95</v>
      </c>
      <c r="W14" s="122">
        <f>SUM('S1 TBM 2'!Q178:Q182)</f>
        <v>195849357.15175337</v>
      </c>
      <c r="X14" s="123">
        <f>SUM(W14:W16)</f>
        <v>273543566.75546968</v>
      </c>
      <c r="Y14" s="123">
        <f>X14/$A$3</f>
        <v>1424112.696561171</v>
      </c>
      <c r="Z14" s="118">
        <f>X14/X40*100</f>
        <v>11.426598081622309</v>
      </c>
      <c r="AA14" s="98"/>
      <c r="AB14" s="128"/>
      <c r="AC14" s="142"/>
      <c r="AD14" s="113" t="s">
        <v>93</v>
      </c>
      <c r="AE14" s="122">
        <f>SUM('S1 TBM 3'!Q172)</f>
        <v>18490055.010285605</v>
      </c>
      <c r="AF14" s="137"/>
      <c r="AG14" s="137"/>
      <c r="AH14" s="141"/>
      <c r="AI14" s="98"/>
      <c r="AJ14" s="98"/>
    </row>
    <row r="15" spans="1:36" s="99" customFormat="1" x14ac:dyDescent="0.35">
      <c r="A15" s="98"/>
      <c r="B15" s="112"/>
      <c r="C15" s="113"/>
      <c r="D15" s="114" t="str">
        <f t="shared" si="0"/>
        <v>Pembukaan Lahan Serak</v>
      </c>
      <c r="E15" s="115" t="s">
        <v>82</v>
      </c>
      <c r="F15" s="116">
        <f>SUM('SI TB SERAK'!Q26:Q31)</f>
        <v>598087443.80562246</v>
      </c>
      <c r="G15" s="112"/>
      <c r="H15" s="117"/>
      <c r="I15" s="127"/>
      <c r="J15" s="119"/>
      <c r="K15" s="98"/>
      <c r="L15" s="128"/>
      <c r="M15" s="129"/>
      <c r="N15" s="113" t="s">
        <v>93</v>
      </c>
      <c r="O15" s="122">
        <f>SUM('S1 TBM 1'!S172)</f>
        <v>16771024.952640001</v>
      </c>
      <c r="P15" s="128"/>
      <c r="Q15" s="128"/>
      <c r="R15" s="130"/>
      <c r="S15" s="98"/>
      <c r="T15" s="131"/>
      <c r="U15" s="140"/>
      <c r="V15" s="113" t="s">
        <v>96</v>
      </c>
      <c r="W15" s="122">
        <f>SUM('S1 TBM 2'!Q185:Q188)</f>
        <v>45074612.715154551</v>
      </c>
      <c r="X15" s="133"/>
      <c r="Y15" s="133"/>
      <c r="Z15" s="127"/>
      <c r="AA15" s="98"/>
      <c r="AB15" s="120">
        <v>3</v>
      </c>
      <c r="AC15" s="139" t="s">
        <v>94</v>
      </c>
      <c r="AD15" s="144" t="s">
        <v>97</v>
      </c>
      <c r="AE15" s="122">
        <f>SUM('S1 TBM 3'!Q176:Q179)</f>
        <v>69312727.94981347</v>
      </c>
      <c r="AF15" s="123">
        <f>SUM(AE15:AE18)</f>
        <v>138811494.31854552</v>
      </c>
      <c r="AG15" s="123">
        <f>AF15/$A$3</f>
        <v>722675.41815152823</v>
      </c>
      <c r="AH15" s="126">
        <f>AF15/AF42*100</f>
        <v>3.4634985191808445</v>
      </c>
      <c r="AI15" s="98"/>
      <c r="AJ15" s="98"/>
    </row>
    <row r="16" spans="1:36" s="99" customFormat="1" x14ac:dyDescent="0.35">
      <c r="A16" s="98"/>
      <c r="B16" s="112"/>
      <c r="C16" s="113"/>
      <c r="D16" s="114" t="str">
        <f t="shared" si="0"/>
        <v>Pembukaan Lahan Serak</v>
      </c>
      <c r="E16" s="115" t="s">
        <v>98</v>
      </c>
      <c r="F16" s="116">
        <f>SUM('SI TB SERAK'!Q32:Q34)</f>
        <v>120004733.9898921</v>
      </c>
      <c r="G16" s="112"/>
      <c r="H16" s="117"/>
      <c r="I16" s="127"/>
      <c r="J16" s="119"/>
      <c r="K16" s="98"/>
      <c r="L16" s="120">
        <v>4</v>
      </c>
      <c r="M16" s="121" t="s">
        <v>94</v>
      </c>
      <c r="N16" s="113" t="s">
        <v>96</v>
      </c>
      <c r="O16" s="122">
        <f>SUM('S1 TBM 1'!S186:S189)</f>
        <v>64138248.399293728</v>
      </c>
      <c r="P16" s="123">
        <f>SUM(O16:O18)</f>
        <v>131875402.29147886</v>
      </c>
      <c r="Q16" s="123">
        <f>P16/A3</f>
        <v>686564.98485776165</v>
      </c>
      <c r="R16" s="118">
        <f>P16/P41*100</f>
        <v>7.3939065961337906</v>
      </c>
      <c r="S16" s="98"/>
      <c r="T16" s="128"/>
      <c r="U16" s="142"/>
      <c r="V16" s="113" t="s">
        <v>99</v>
      </c>
      <c r="W16" s="122">
        <f>SUM('S1 TBM 2'!Q193:Q194)</f>
        <v>32619596.888561759</v>
      </c>
      <c r="X16" s="137"/>
      <c r="Y16" s="137"/>
      <c r="Z16" s="130"/>
      <c r="AA16" s="98"/>
      <c r="AB16" s="131"/>
      <c r="AC16" s="140"/>
      <c r="AD16" s="143" t="s">
        <v>95</v>
      </c>
      <c r="AE16" s="122">
        <f>SUM('S1 TBM 3'!Q181:Q185)</f>
        <v>34760913.568649516</v>
      </c>
      <c r="AF16" s="133"/>
      <c r="AG16" s="133"/>
      <c r="AH16" s="135"/>
      <c r="AI16" s="98"/>
      <c r="AJ16" s="98"/>
    </row>
    <row r="17" spans="1:36" s="99" customFormat="1" x14ac:dyDescent="0.35">
      <c r="A17" s="98"/>
      <c r="B17" s="112"/>
      <c r="C17" s="113"/>
      <c r="D17" s="114" t="str">
        <f t="shared" si="0"/>
        <v>Pembukaan Lahan Serak</v>
      </c>
      <c r="E17" s="115" t="s">
        <v>90</v>
      </c>
      <c r="F17" s="116">
        <f>SUM('SI TB SERAK'!Q36:Q39)</f>
        <v>61907228.337946042</v>
      </c>
      <c r="G17" s="112"/>
      <c r="H17" s="117"/>
      <c r="I17" s="130"/>
      <c r="J17" s="119"/>
      <c r="K17" s="98"/>
      <c r="L17" s="131"/>
      <c r="M17" s="132"/>
      <c r="N17" s="113" t="s">
        <v>100</v>
      </c>
      <c r="O17" s="122">
        <f>SUM('S1 TBM 1'!S191:S192)</f>
        <v>55408068.444983527</v>
      </c>
      <c r="P17" s="131"/>
      <c r="Q17" s="131"/>
      <c r="R17" s="127"/>
      <c r="S17" s="98"/>
      <c r="T17" s="120">
        <v>4</v>
      </c>
      <c r="U17" s="139" t="s">
        <v>101</v>
      </c>
      <c r="V17" s="113" t="s">
        <v>102</v>
      </c>
      <c r="W17" s="122">
        <f>SUM('S1 TBM 2'!Q199:Q204)</f>
        <v>0</v>
      </c>
      <c r="X17" s="123">
        <f>SUM(W17:W25)</f>
        <v>0</v>
      </c>
      <c r="Y17" s="123">
        <f>X17/$A$3</f>
        <v>0</v>
      </c>
      <c r="Z17" s="118">
        <f>X17/X40*100</f>
        <v>0</v>
      </c>
      <c r="AA17" s="98"/>
      <c r="AB17" s="131"/>
      <c r="AC17" s="140"/>
      <c r="AD17" s="113" t="s">
        <v>96</v>
      </c>
      <c r="AE17" s="122">
        <f>SUM('S1 TBM 3'!Q188:Q191)</f>
        <v>0</v>
      </c>
      <c r="AF17" s="133"/>
      <c r="AG17" s="133"/>
      <c r="AH17" s="135"/>
      <c r="AI17" s="98"/>
      <c r="AJ17" s="98"/>
    </row>
    <row r="18" spans="1:36" s="99" customFormat="1" ht="28" x14ac:dyDescent="0.35">
      <c r="A18" s="98"/>
      <c r="B18" s="120">
        <v>3</v>
      </c>
      <c r="C18" s="145" t="s">
        <v>103</v>
      </c>
      <c r="D18" s="114" t="str">
        <f t="shared" si="0"/>
        <v>Penyemprotan Lalang Gulma &amp; Pasar Rintis</v>
      </c>
      <c r="E18" s="146" t="s">
        <v>104</v>
      </c>
      <c r="F18" s="116">
        <f>SUM('SI TB CECT'!Q57:Q67)</f>
        <v>76291984.985380501</v>
      </c>
      <c r="G18" s="147">
        <f>SUM(F18)</f>
        <v>76291984.985380501</v>
      </c>
      <c r="H18" s="148">
        <f>G18/A3</f>
        <v>397188.59321834915</v>
      </c>
      <c r="I18" s="149">
        <f>G18/G47*100</f>
        <v>0.74153399253415986</v>
      </c>
      <c r="J18" s="119"/>
      <c r="K18" s="98"/>
      <c r="L18" s="128"/>
      <c r="M18" s="129"/>
      <c r="N18" s="113" t="s">
        <v>99</v>
      </c>
      <c r="O18" s="122">
        <f>SUM('S1 TBM 1'!S194:S195)</f>
        <v>12329085.4472016</v>
      </c>
      <c r="P18" s="128"/>
      <c r="Q18" s="128"/>
      <c r="R18" s="130"/>
      <c r="S18" s="98"/>
      <c r="T18" s="131"/>
      <c r="U18" s="140"/>
      <c r="V18" s="113" t="s">
        <v>105</v>
      </c>
      <c r="W18" s="122">
        <f>SUM('S1 TBM 2'!Q205:Q210)</f>
        <v>0</v>
      </c>
      <c r="X18" s="133"/>
      <c r="Y18" s="133"/>
      <c r="Z18" s="127"/>
      <c r="AA18" s="98"/>
      <c r="AB18" s="128"/>
      <c r="AC18" s="142"/>
      <c r="AD18" s="113" t="s">
        <v>99</v>
      </c>
      <c r="AE18" s="122">
        <f>SUM('S1 TBM 3'!Q196:Q197)</f>
        <v>34737852.80008252</v>
      </c>
      <c r="AF18" s="137"/>
      <c r="AG18" s="137"/>
      <c r="AH18" s="141"/>
      <c r="AI18" s="98"/>
      <c r="AJ18" s="98"/>
    </row>
    <row r="19" spans="1:36" s="99" customFormat="1" ht="28" x14ac:dyDescent="0.35">
      <c r="A19" s="98"/>
      <c r="B19" s="128"/>
      <c r="C19" s="150"/>
      <c r="D19" s="114" t="str">
        <f t="shared" si="0"/>
        <v>Penyemprotan Lalang Gulma &amp; Pasar Rintis</v>
      </c>
      <c r="E19" s="115" t="s">
        <v>88</v>
      </c>
      <c r="F19" s="122">
        <f>SUM('SI TB CECT'!Q44:Q56)</f>
        <v>69784788.200715005</v>
      </c>
      <c r="G19" s="147">
        <f>SUM(F19)</f>
        <v>69784788.200715005</v>
      </c>
      <c r="H19" s="148">
        <f>G19/A3</f>
        <v>363311.05893750006</v>
      </c>
      <c r="I19" s="149">
        <f>G19/G47*100</f>
        <v>0.67828609548621821</v>
      </c>
      <c r="J19" s="119"/>
      <c r="K19" s="98"/>
      <c r="L19" s="120">
        <v>5</v>
      </c>
      <c r="M19" s="121" t="s">
        <v>101</v>
      </c>
      <c r="N19" s="113" t="s">
        <v>102</v>
      </c>
      <c r="O19" s="122">
        <f>SUM('S1 TBM 1'!S200:S205)</f>
        <v>0</v>
      </c>
      <c r="P19" s="123">
        <f>SUM(O19:O27)</f>
        <v>0</v>
      </c>
      <c r="Q19" s="123">
        <f>P19/A3</f>
        <v>0</v>
      </c>
      <c r="R19" s="118">
        <f>P19/P41*100</f>
        <v>0</v>
      </c>
      <c r="S19" s="98"/>
      <c r="T19" s="131"/>
      <c r="U19" s="140"/>
      <c r="V19" s="113" t="s">
        <v>106</v>
      </c>
      <c r="W19" s="122">
        <f>SUM('S1 TBM 2'!Q211:Q216)</f>
        <v>0</v>
      </c>
      <c r="X19" s="133"/>
      <c r="Y19" s="133"/>
      <c r="Z19" s="127"/>
      <c r="AA19" s="98"/>
      <c r="AB19" s="120">
        <v>4</v>
      </c>
      <c r="AC19" s="139" t="s">
        <v>101</v>
      </c>
      <c r="AD19" s="113" t="s">
        <v>102</v>
      </c>
      <c r="AE19" s="122">
        <f>SUM('S1 TBM 3'!Q202:Q207)</f>
        <v>120943041.83531851</v>
      </c>
      <c r="AF19" s="123">
        <f>SUM(AE19:AE27)</f>
        <v>765033439.02143919</v>
      </c>
      <c r="AG19" s="123">
        <f>AF19/$A$3</f>
        <v>3982889.6242265683</v>
      </c>
      <c r="AH19" s="126">
        <f>AF19/AF42*100</f>
        <v>19.088420567637236</v>
      </c>
      <c r="AI19" s="98"/>
      <c r="AJ19" s="98"/>
    </row>
    <row r="20" spans="1:36" s="99" customFormat="1" ht="28" x14ac:dyDescent="0.35">
      <c r="A20" s="98"/>
      <c r="B20" s="112">
        <v>4</v>
      </c>
      <c r="C20" s="113" t="s">
        <v>107</v>
      </c>
      <c r="D20" s="114" t="str">
        <f t="shared" si="0"/>
        <v>Pembuatan Sarana &amp; Prasarana</v>
      </c>
      <c r="E20" s="115" t="s">
        <v>108</v>
      </c>
      <c r="F20" s="122">
        <f>SUM('SI TB CECT'!Q119:Q120)</f>
        <v>0</v>
      </c>
      <c r="G20" s="117">
        <f>SUM(F20:F24)</f>
        <v>336624432.87287474</v>
      </c>
      <c r="H20" s="148">
        <f>F20/A2</f>
        <v>0</v>
      </c>
      <c r="I20" s="118">
        <f>G20/G47*100</f>
        <v>3.2718831439580898</v>
      </c>
      <c r="J20" s="119"/>
      <c r="K20" s="98"/>
      <c r="L20" s="131"/>
      <c r="M20" s="132"/>
      <c r="N20" s="113" t="s">
        <v>105</v>
      </c>
      <c r="O20" s="122">
        <f>SUM('S1 TBM 1'!S206:S211)</f>
        <v>0</v>
      </c>
      <c r="P20" s="133"/>
      <c r="Q20" s="131"/>
      <c r="R20" s="127"/>
      <c r="S20" s="98"/>
      <c r="T20" s="131"/>
      <c r="U20" s="140"/>
      <c r="V20" s="113" t="s">
        <v>109</v>
      </c>
      <c r="W20" s="122">
        <f>SUM('S1 TBM 2'!Q217:Q222)</f>
        <v>0</v>
      </c>
      <c r="X20" s="133"/>
      <c r="Y20" s="133"/>
      <c r="Z20" s="127"/>
      <c r="AA20" s="98"/>
      <c r="AB20" s="131"/>
      <c r="AC20" s="140"/>
      <c r="AD20" s="113" t="s">
        <v>105</v>
      </c>
      <c r="AE20" s="122">
        <f>SUM('S1 TBM 3'!Q208:Q213)</f>
        <v>176103929.03278434</v>
      </c>
      <c r="AF20" s="133"/>
      <c r="AG20" s="133"/>
      <c r="AH20" s="135"/>
      <c r="AI20" s="98"/>
      <c r="AJ20" s="98"/>
    </row>
    <row r="21" spans="1:36" s="99" customFormat="1" ht="28" x14ac:dyDescent="0.35">
      <c r="A21" s="98"/>
      <c r="B21" s="112"/>
      <c r="C21" s="113"/>
      <c r="D21" s="114" t="str">
        <f t="shared" si="0"/>
        <v>Pembuatan Sarana &amp; Prasarana</v>
      </c>
      <c r="E21" s="115" t="s">
        <v>110</v>
      </c>
      <c r="F21" s="122">
        <f>SUM('SI TB CECT'!Q127:Q128)</f>
        <v>44955329.920457333</v>
      </c>
      <c r="G21" s="117"/>
      <c r="H21" s="148">
        <f>F21/A3</f>
        <v>234044.82465877413</v>
      </c>
      <c r="I21" s="127"/>
      <c r="J21" s="119"/>
      <c r="K21" s="98"/>
      <c r="L21" s="131"/>
      <c r="M21" s="132"/>
      <c r="N21" s="113" t="s">
        <v>106</v>
      </c>
      <c r="O21" s="122">
        <f>SUM('S1 TBM 1'!S212:S217)</f>
        <v>0</v>
      </c>
      <c r="P21" s="133"/>
      <c r="Q21" s="131"/>
      <c r="R21" s="127"/>
      <c r="S21" s="98"/>
      <c r="T21" s="131"/>
      <c r="U21" s="140"/>
      <c r="V21" s="113" t="s">
        <v>111</v>
      </c>
      <c r="W21" s="122">
        <f>SUM('S1 TBM 2'!Q223:Q227)</f>
        <v>0</v>
      </c>
      <c r="X21" s="133"/>
      <c r="Y21" s="133"/>
      <c r="Z21" s="127"/>
      <c r="AA21" s="98"/>
      <c r="AB21" s="131"/>
      <c r="AC21" s="140"/>
      <c r="AD21" s="113" t="s">
        <v>106</v>
      </c>
      <c r="AE21" s="122">
        <f>SUM('S1 TBM 3'!Q214:Q219)</f>
        <v>9940521.0315071791</v>
      </c>
      <c r="AF21" s="133"/>
      <c r="AG21" s="133"/>
      <c r="AH21" s="135"/>
      <c r="AI21" s="98"/>
      <c r="AJ21" s="98"/>
    </row>
    <row r="22" spans="1:36" s="99" customFormat="1" ht="28" x14ac:dyDescent="0.35">
      <c r="A22" s="98"/>
      <c r="B22" s="112"/>
      <c r="C22" s="113"/>
      <c r="D22" s="114" t="str">
        <f t="shared" si="0"/>
        <v>Pembuatan Sarana &amp; Prasarana</v>
      </c>
      <c r="E22" s="151" t="s">
        <v>112</v>
      </c>
      <c r="F22" s="122">
        <f>SUM('SI TB CECT'!Q125:Q126)</f>
        <v>59583908.928503036</v>
      </c>
      <c r="G22" s="117"/>
      <c r="H22" s="148">
        <f>F22/46.1</f>
        <v>1292492.601485966</v>
      </c>
      <c r="I22" s="127"/>
      <c r="J22" s="119"/>
      <c r="K22" s="98"/>
      <c r="L22" s="131"/>
      <c r="M22" s="132"/>
      <c r="N22" s="113" t="s">
        <v>109</v>
      </c>
      <c r="O22" s="122">
        <f>SUM('S1 TBM 1'!S218:S223)</f>
        <v>0</v>
      </c>
      <c r="P22" s="133"/>
      <c r="Q22" s="131"/>
      <c r="R22" s="127"/>
      <c r="S22" s="98"/>
      <c r="T22" s="131"/>
      <c r="U22" s="140"/>
      <c r="V22" s="113" t="s">
        <v>113</v>
      </c>
      <c r="W22" s="122">
        <f>SUM('S1 TBM 2'!Q237:Q248)</f>
        <v>0</v>
      </c>
      <c r="X22" s="133"/>
      <c r="Y22" s="133"/>
      <c r="Z22" s="127"/>
      <c r="AA22" s="98"/>
      <c r="AB22" s="131"/>
      <c r="AC22" s="140"/>
      <c r="AD22" s="113" t="s">
        <v>109</v>
      </c>
      <c r="AE22" s="122">
        <f>SUM('S1 TBM 3'!Q220:Q225)</f>
        <v>157028971.31727907</v>
      </c>
      <c r="AF22" s="133"/>
      <c r="AG22" s="133"/>
      <c r="AH22" s="135"/>
      <c r="AI22" s="98"/>
      <c r="AJ22" s="98"/>
    </row>
    <row r="23" spans="1:36" s="99" customFormat="1" ht="28" x14ac:dyDescent="0.35">
      <c r="A23" s="98"/>
      <c r="B23" s="112"/>
      <c r="C23" s="113"/>
      <c r="D23" s="114" t="str">
        <f t="shared" si="0"/>
        <v>Pembuatan Sarana &amp; Prasarana</v>
      </c>
      <c r="E23" s="115" t="s">
        <v>114</v>
      </c>
      <c r="F23" s="122">
        <f>SUM('SI TB SERAK'!Q124:Q126)</f>
        <v>232085194.02391434</v>
      </c>
      <c r="G23" s="117"/>
      <c r="H23" s="148">
        <f>F23/11.1</f>
        <v>20908576.03819048</v>
      </c>
      <c r="I23" s="127"/>
      <c r="J23" s="119"/>
      <c r="K23" s="98"/>
      <c r="L23" s="131"/>
      <c r="M23" s="132"/>
      <c r="N23" s="113" t="s">
        <v>111</v>
      </c>
      <c r="O23" s="122">
        <f>SUM('S1 TBM 1'!S224:S228)</f>
        <v>0</v>
      </c>
      <c r="P23" s="133"/>
      <c r="Q23" s="131"/>
      <c r="R23" s="127"/>
      <c r="S23" s="98"/>
      <c r="T23" s="131"/>
      <c r="U23" s="140"/>
      <c r="V23" s="113" t="s">
        <v>115</v>
      </c>
      <c r="W23" s="122">
        <f>SUM('S1 TBM 2'!Q252:Q254)</f>
        <v>0</v>
      </c>
      <c r="X23" s="133"/>
      <c r="Y23" s="133"/>
      <c r="Z23" s="127"/>
      <c r="AA23" s="98"/>
      <c r="AB23" s="131"/>
      <c r="AC23" s="140"/>
      <c r="AD23" s="113" t="s">
        <v>111</v>
      </c>
      <c r="AE23" s="122">
        <f>SUM('S1 TBM 3'!Q226:Q230)</f>
        <v>31043155.157796763</v>
      </c>
      <c r="AF23" s="133"/>
      <c r="AG23" s="133"/>
      <c r="AH23" s="135"/>
      <c r="AI23" s="98"/>
      <c r="AJ23" s="98"/>
    </row>
    <row r="24" spans="1:36" s="99" customFormat="1" ht="28" x14ac:dyDescent="0.35">
      <c r="A24" s="98"/>
      <c r="B24" s="112"/>
      <c r="C24" s="113"/>
      <c r="D24" s="114" t="str">
        <f t="shared" si="0"/>
        <v>Pembuatan Sarana &amp; Prasarana</v>
      </c>
      <c r="E24" s="115" t="s">
        <v>116</v>
      </c>
      <c r="F24" s="122">
        <f>SUM('SI TB SERAK'!Q142)</f>
        <v>0</v>
      </c>
      <c r="G24" s="117"/>
      <c r="H24" s="148">
        <f>F24/51.1</f>
        <v>0</v>
      </c>
      <c r="I24" s="130"/>
      <c r="J24" s="119"/>
      <c r="K24" s="98"/>
      <c r="L24" s="131"/>
      <c r="M24" s="132"/>
      <c r="N24" s="113" t="s">
        <v>113</v>
      </c>
      <c r="O24" s="122">
        <f>SUM('S1 TBM 1'!S237:S249)</f>
        <v>0</v>
      </c>
      <c r="P24" s="133"/>
      <c r="Q24" s="131"/>
      <c r="R24" s="127"/>
      <c r="S24" s="98"/>
      <c r="T24" s="131"/>
      <c r="U24" s="140"/>
      <c r="V24" s="113" t="s">
        <v>117</v>
      </c>
      <c r="W24" s="122">
        <f>SUM('S1 TBM 2'!Q255:Q257)</f>
        <v>0</v>
      </c>
      <c r="X24" s="133"/>
      <c r="Y24" s="133"/>
      <c r="Z24" s="127"/>
      <c r="AA24" s="98"/>
      <c r="AB24" s="131"/>
      <c r="AC24" s="140"/>
      <c r="AD24" s="113" t="s">
        <v>113</v>
      </c>
      <c r="AE24" s="122">
        <f>SUM('S1 TBM 3'!Q233:Q245)</f>
        <v>253783444.36701229</v>
      </c>
      <c r="AF24" s="133"/>
      <c r="AG24" s="133"/>
      <c r="AH24" s="135"/>
      <c r="AI24" s="98"/>
      <c r="AJ24" s="98"/>
    </row>
    <row r="25" spans="1:36" s="99" customFormat="1" x14ac:dyDescent="0.35">
      <c r="A25" s="98"/>
      <c r="B25" s="112">
        <v>5</v>
      </c>
      <c r="C25" s="113" t="s">
        <v>118</v>
      </c>
      <c r="D25" s="114" t="str">
        <f t="shared" si="0"/>
        <v>Tanam Kacangan</v>
      </c>
      <c r="E25" s="114" t="s">
        <v>119</v>
      </c>
      <c r="F25" s="134">
        <f>SUM('SI TB CECT'!Q163:Q174)</f>
        <v>594626174.72205198</v>
      </c>
      <c r="G25" s="117">
        <f>SUM(F25:F32)</f>
        <v>1507939803.4080186</v>
      </c>
      <c r="H25" s="117">
        <f>G25/A3</f>
        <v>7850582.066888894</v>
      </c>
      <c r="I25" s="118">
        <f>G25/G47*100</f>
        <v>14.656698513436211</v>
      </c>
      <c r="J25" s="119"/>
      <c r="K25" s="98"/>
      <c r="L25" s="131"/>
      <c r="M25" s="132"/>
      <c r="N25" s="113" t="s">
        <v>115</v>
      </c>
      <c r="O25" s="122">
        <f>SUM('S1 TBM 1'!S253:S255)</f>
        <v>0</v>
      </c>
      <c r="P25" s="133"/>
      <c r="Q25" s="131"/>
      <c r="R25" s="127"/>
      <c r="S25" s="98"/>
      <c r="T25" s="128"/>
      <c r="U25" s="142"/>
      <c r="V25" s="113" t="s">
        <v>120</v>
      </c>
      <c r="W25" s="122">
        <f>SUM('S1 TBM 2'!Q258:Q260)</f>
        <v>0</v>
      </c>
      <c r="X25" s="133"/>
      <c r="Y25" s="137"/>
      <c r="Z25" s="130"/>
      <c r="AA25" s="98"/>
      <c r="AB25" s="131"/>
      <c r="AC25" s="140"/>
      <c r="AD25" s="113" t="s">
        <v>115</v>
      </c>
      <c r="AE25" s="122">
        <f>SUM('S1 TBM 3'!Q249:Q251)</f>
        <v>8610502.5830079131</v>
      </c>
      <c r="AF25" s="133"/>
      <c r="AG25" s="133"/>
      <c r="AH25" s="135"/>
      <c r="AI25" s="98"/>
      <c r="AJ25" s="98"/>
    </row>
    <row r="26" spans="1:36" s="99" customFormat="1" x14ac:dyDescent="0.35">
      <c r="A26" s="98"/>
      <c r="B26" s="112"/>
      <c r="C26" s="113"/>
      <c r="D26" s="114" t="str">
        <f t="shared" si="0"/>
        <v>Tanam Kacangan</v>
      </c>
      <c r="E26" s="114" t="s">
        <v>121</v>
      </c>
      <c r="F26" s="134">
        <f>SUM('SI TB CECT'!Q175:Q176)</f>
        <v>21275590.862038709</v>
      </c>
      <c r="G26" s="117"/>
      <c r="H26" s="117"/>
      <c r="I26" s="127"/>
      <c r="J26" s="119"/>
      <c r="K26" s="98"/>
      <c r="L26" s="131"/>
      <c r="M26" s="132"/>
      <c r="N26" s="113" t="s">
        <v>117</v>
      </c>
      <c r="O26" s="122">
        <f>SUM('S1 TBM 1'!S256:S258)</f>
        <v>0</v>
      </c>
      <c r="P26" s="133"/>
      <c r="Q26" s="131"/>
      <c r="R26" s="127"/>
      <c r="S26" s="98"/>
      <c r="T26" s="120">
        <v>6</v>
      </c>
      <c r="U26" s="139" t="s">
        <v>122</v>
      </c>
      <c r="V26" s="113" t="s">
        <v>123</v>
      </c>
      <c r="W26" s="116">
        <f>SUM('S1 TBM 2'!Q283)</f>
        <v>0</v>
      </c>
      <c r="X26" s="123">
        <f>SUM(W26:W27)</f>
        <v>0</v>
      </c>
      <c r="Y26" s="123">
        <f>X26/$A$3</f>
        <v>0</v>
      </c>
      <c r="Z26" s="118">
        <f>X26/X40*100</f>
        <v>0</v>
      </c>
      <c r="AA26" s="98"/>
      <c r="AB26" s="131"/>
      <c r="AC26" s="140"/>
      <c r="AD26" s="113" t="s">
        <v>117</v>
      </c>
      <c r="AE26" s="122">
        <f>SUM('S1 TBM 3'!Q252:Q254)</f>
        <v>4572709.8104581423</v>
      </c>
      <c r="AF26" s="133"/>
      <c r="AG26" s="133"/>
      <c r="AH26" s="135"/>
      <c r="AI26" s="98"/>
      <c r="AJ26" s="98"/>
    </row>
    <row r="27" spans="1:36" s="99" customFormat="1" x14ac:dyDescent="0.35">
      <c r="A27" s="98"/>
      <c r="B27" s="112"/>
      <c r="C27" s="113"/>
      <c r="D27" s="114" t="str">
        <f t="shared" si="0"/>
        <v>Tanam Kacangan</v>
      </c>
      <c r="E27" s="114" t="s">
        <v>124</v>
      </c>
      <c r="F27" s="134">
        <f>SUM('SI TB CECT'!Q186:Q187)</f>
        <v>6451237.9356479999</v>
      </c>
      <c r="G27" s="117"/>
      <c r="H27" s="117"/>
      <c r="I27" s="127"/>
      <c r="J27" s="119"/>
      <c r="K27" s="98"/>
      <c r="L27" s="128"/>
      <c r="M27" s="129"/>
      <c r="N27" s="113" t="s">
        <v>120</v>
      </c>
      <c r="O27" s="122">
        <f>SUM('S1 TBM 1'!S259:S261)</f>
        <v>0</v>
      </c>
      <c r="P27" s="133"/>
      <c r="Q27" s="128"/>
      <c r="R27" s="130"/>
      <c r="S27" s="98"/>
      <c r="T27" s="128"/>
      <c r="U27" s="142"/>
      <c r="V27" s="113" t="s">
        <v>125</v>
      </c>
      <c r="W27" s="116">
        <f>SUM('S1 TBM 2'!Q284)</f>
        <v>0</v>
      </c>
      <c r="X27" s="128"/>
      <c r="Y27" s="137"/>
      <c r="Z27" s="130"/>
      <c r="AA27" s="98"/>
      <c r="AB27" s="128"/>
      <c r="AC27" s="142"/>
      <c r="AD27" s="113" t="s">
        <v>120</v>
      </c>
      <c r="AE27" s="122">
        <f>SUM('S1 TBM 3'!Q255:Q257)</f>
        <v>3007163.8862748859</v>
      </c>
      <c r="AF27" s="133"/>
      <c r="AG27" s="137"/>
      <c r="AH27" s="141"/>
      <c r="AI27" s="98"/>
      <c r="AJ27" s="98"/>
    </row>
    <row r="28" spans="1:36" s="99" customFormat="1" x14ac:dyDescent="0.35">
      <c r="A28" s="98"/>
      <c r="B28" s="112"/>
      <c r="C28" s="113"/>
      <c r="D28" s="114" t="str">
        <f t="shared" si="0"/>
        <v>Tanam Kacangan</v>
      </c>
      <c r="E28" s="114" t="s">
        <v>126</v>
      </c>
      <c r="F28" s="134">
        <f>SUM('SI TB CECT'!Q177)</f>
        <v>8592229.3564800005</v>
      </c>
      <c r="G28" s="117"/>
      <c r="H28" s="117"/>
      <c r="I28" s="127"/>
      <c r="J28" s="119"/>
      <c r="K28" s="98"/>
      <c r="L28" s="120">
        <v>6</v>
      </c>
      <c r="M28" s="121" t="s">
        <v>122</v>
      </c>
      <c r="N28" s="113" t="s">
        <v>123</v>
      </c>
      <c r="O28" s="116">
        <f>SUM('S1 TBM 1'!S283:S283)</f>
        <v>69138805.555142403</v>
      </c>
      <c r="P28" s="123">
        <f>SUM(O28:O29)</f>
        <v>138277611.11028481</v>
      </c>
      <c r="Q28" s="123">
        <f>P28/A3</f>
        <v>719895.93456000008</v>
      </c>
      <c r="R28" s="118">
        <f>P28/P41*100</f>
        <v>7.7528615884421175</v>
      </c>
      <c r="S28" s="98"/>
      <c r="T28" s="120">
        <v>7</v>
      </c>
      <c r="U28" s="121" t="s">
        <v>127</v>
      </c>
      <c r="V28" s="113" t="s">
        <v>128</v>
      </c>
      <c r="W28" s="122">
        <f>SUM('S1 TBM 2'!Q289:Q290)</f>
        <v>52777414.329990841</v>
      </c>
      <c r="X28" s="123">
        <f>SUM(W28:W30)</f>
        <v>183493776.31772652</v>
      </c>
      <c r="Y28" s="123">
        <f>X28/$A$3</f>
        <v>955298.71052544017</v>
      </c>
      <c r="Z28" s="118">
        <f>X28/X40*100</f>
        <v>7.6649933951328864</v>
      </c>
      <c r="AA28" s="98"/>
      <c r="AB28" s="120">
        <v>6</v>
      </c>
      <c r="AC28" s="139" t="s">
        <v>122</v>
      </c>
      <c r="AD28" s="113" t="s">
        <v>123</v>
      </c>
      <c r="AE28" s="116">
        <f>SUM('S1 TBM 3'!Q277)</f>
        <v>0</v>
      </c>
      <c r="AF28" s="123">
        <f>SUM(AE28:AE29)</f>
        <v>0</v>
      </c>
      <c r="AG28" s="123">
        <f>AF28/$A$3</f>
        <v>0</v>
      </c>
      <c r="AH28" s="126">
        <f>AF28/AF42*100</f>
        <v>0</v>
      </c>
      <c r="AI28" s="98"/>
      <c r="AJ28" s="98"/>
    </row>
    <row r="29" spans="1:36" s="99" customFormat="1" x14ac:dyDescent="0.35">
      <c r="A29" s="98"/>
      <c r="B29" s="112"/>
      <c r="C29" s="113"/>
      <c r="D29" s="114" t="str">
        <f t="shared" si="0"/>
        <v>Tanam Kacangan</v>
      </c>
      <c r="E29" s="114" t="s">
        <v>129</v>
      </c>
      <c r="F29" s="134">
        <f>SUM('SI TB CECT'!Q178:Q181)</f>
        <v>9179405.5273199994</v>
      </c>
      <c r="G29" s="117"/>
      <c r="H29" s="117"/>
      <c r="I29" s="127"/>
      <c r="J29" s="119"/>
      <c r="K29" s="98"/>
      <c r="L29" s="128"/>
      <c r="M29" s="129"/>
      <c r="N29" s="113" t="s">
        <v>125</v>
      </c>
      <c r="O29" s="116">
        <f>SUM('S1 TBM 1'!S284:S284)</f>
        <v>69138805.555142403</v>
      </c>
      <c r="P29" s="128"/>
      <c r="Q29" s="128"/>
      <c r="R29" s="130"/>
      <c r="S29" s="98"/>
      <c r="T29" s="131"/>
      <c r="U29" s="132"/>
      <c r="V29" s="113" t="s">
        <v>130</v>
      </c>
      <c r="W29" s="122">
        <f>SUM('S1 TBM 2'!Q294:Q302)</f>
        <v>2457942.891964124</v>
      </c>
      <c r="X29" s="131"/>
      <c r="Y29" s="133"/>
      <c r="Z29" s="127"/>
      <c r="AA29" s="98"/>
      <c r="AB29" s="128"/>
      <c r="AC29" s="142"/>
      <c r="AD29" s="113" t="s">
        <v>125</v>
      </c>
      <c r="AE29" s="116">
        <f>SUM('S1 TBM 3'!Q278)</f>
        <v>0</v>
      </c>
      <c r="AF29" s="128"/>
      <c r="AG29" s="137"/>
      <c r="AH29" s="141"/>
      <c r="AI29" s="98"/>
      <c r="AJ29" s="98"/>
    </row>
    <row r="30" spans="1:36" s="99" customFormat="1" x14ac:dyDescent="0.35">
      <c r="A30" s="98"/>
      <c r="B30" s="112"/>
      <c r="C30" s="113"/>
      <c r="D30" s="114" t="str">
        <f t="shared" si="0"/>
        <v>Tanam Kacangan</v>
      </c>
      <c r="E30" s="114" t="s">
        <v>131</v>
      </c>
      <c r="F30" s="134">
        <f>SUM('SI TB CECT'!Q182:Q184)</f>
        <v>0</v>
      </c>
      <c r="G30" s="117"/>
      <c r="H30" s="117"/>
      <c r="I30" s="127"/>
      <c r="J30" s="119"/>
      <c r="K30" s="98"/>
      <c r="L30" s="120">
        <v>7</v>
      </c>
      <c r="M30" s="121" t="s">
        <v>127</v>
      </c>
      <c r="N30" s="113" t="s">
        <v>128</v>
      </c>
      <c r="O30" s="122">
        <f>SUM('S1 TBM 1'!S289:S290)</f>
        <v>49610580.962039992</v>
      </c>
      <c r="P30" s="123">
        <f>SUM(O30:O32)</f>
        <v>159142692.03827763</v>
      </c>
      <c r="Q30" s="123">
        <f>P30/A3</f>
        <v>828522.9697952813</v>
      </c>
      <c r="R30" s="118">
        <f>P30/P41*100</f>
        <v>8.9227117410988264</v>
      </c>
      <c r="S30" s="98"/>
      <c r="T30" s="128"/>
      <c r="U30" s="129"/>
      <c r="V30" s="113" t="s">
        <v>132</v>
      </c>
      <c r="W30" s="122">
        <f>SUM('S1 TBM 2'!Q306:Q319)</f>
        <v>128258419.09577155</v>
      </c>
      <c r="X30" s="128"/>
      <c r="Y30" s="137"/>
      <c r="Z30" s="130"/>
      <c r="AA30" s="98"/>
      <c r="AB30" s="120">
        <v>7</v>
      </c>
      <c r="AC30" s="121" t="s">
        <v>127</v>
      </c>
      <c r="AD30" s="113" t="s">
        <v>128</v>
      </c>
      <c r="AE30" s="122">
        <f>SUM('S1 TBM 3'!Q283:Q284)</f>
        <v>56147199.147129387</v>
      </c>
      <c r="AF30" s="123">
        <f>SUM(AE30:AE32)</f>
        <v>330482356.1902771</v>
      </c>
      <c r="AG30" s="123">
        <f>AF30/$A$3</f>
        <v>1720545.3779168946</v>
      </c>
      <c r="AH30" s="126">
        <f>AF30/AF42*100</f>
        <v>8.2458960398029291</v>
      </c>
      <c r="AI30" s="98"/>
      <c r="AJ30" s="98"/>
    </row>
    <row r="31" spans="1:36" s="99" customFormat="1" x14ac:dyDescent="0.35">
      <c r="A31" s="98"/>
      <c r="B31" s="112"/>
      <c r="C31" s="113"/>
      <c r="D31" s="114" t="str">
        <f t="shared" si="0"/>
        <v>Tanam Kacangan</v>
      </c>
      <c r="E31" s="114" t="s">
        <v>133</v>
      </c>
      <c r="F31" s="134">
        <f>SUM('SI TB CECT'!Q185)</f>
        <v>8592229.3564800005</v>
      </c>
      <c r="G31" s="117"/>
      <c r="H31" s="117"/>
      <c r="I31" s="127"/>
      <c r="J31" s="119"/>
      <c r="K31" s="98"/>
      <c r="L31" s="131"/>
      <c r="M31" s="132"/>
      <c r="N31" s="113" t="s">
        <v>130</v>
      </c>
      <c r="O31" s="122">
        <f>SUM('S1 TBM 1'!S293:S301)</f>
        <v>3448080.8433015533</v>
      </c>
      <c r="P31" s="131"/>
      <c r="Q31" s="131"/>
      <c r="R31" s="127"/>
      <c r="S31" s="98"/>
      <c r="T31" s="120">
        <v>8</v>
      </c>
      <c r="U31" s="139" t="s">
        <v>134</v>
      </c>
      <c r="V31" s="152" t="s">
        <v>135</v>
      </c>
      <c r="W31" s="122">
        <f>SUM('S1 TBM 2'!Q330:Q338)</f>
        <v>0</v>
      </c>
      <c r="X31" s="123">
        <f>SUM(W31:W37)</f>
        <v>1309086299.167377</v>
      </c>
      <c r="Y31" s="123">
        <f>X31/$A$3</f>
        <v>6815318.0922916345</v>
      </c>
      <c r="Z31" s="118">
        <f>X31/X40*100</f>
        <v>54.683804748791061</v>
      </c>
      <c r="AA31" s="98"/>
      <c r="AB31" s="131"/>
      <c r="AC31" s="132"/>
      <c r="AD31" s="113" t="s">
        <v>130</v>
      </c>
      <c r="AE31" s="122">
        <f>SUM('S1 TBM 3'!Q287:Q295)</f>
        <v>2610849.2370579108</v>
      </c>
      <c r="AF31" s="131"/>
      <c r="AG31" s="133"/>
      <c r="AH31" s="135"/>
      <c r="AI31" s="98"/>
      <c r="AJ31" s="98"/>
    </row>
    <row r="32" spans="1:36" s="99" customFormat="1" x14ac:dyDescent="0.35">
      <c r="A32" s="98"/>
      <c r="B32" s="112"/>
      <c r="C32" s="113"/>
      <c r="D32" s="114" t="str">
        <f t="shared" si="0"/>
        <v>Tanam Kacangan</v>
      </c>
      <c r="E32" s="113" t="s">
        <v>136</v>
      </c>
      <c r="F32" s="122">
        <f>SUM('SI TB CECT'!Q188)</f>
        <v>859222935.648</v>
      </c>
      <c r="G32" s="112"/>
      <c r="H32" s="117"/>
      <c r="I32" s="130"/>
      <c r="J32" s="119"/>
      <c r="K32" s="98"/>
      <c r="L32" s="128"/>
      <c r="M32" s="129"/>
      <c r="N32" s="113" t="s">
        <v>132</v>
      </c>
      <c r="O32" s="122">
        <f>SUM('S1 TBM 1'!S305:S316)</f>
        <v>106084030.23293607</v>
      </c>
      <c r="P32" s="128"/>
      <c r="Q32" s="128"/>
      <c r="R32" s="130"/>
      <c r="S32" s="98"/>
      <c r="T32" s="131"/>
      <c r="U32" s="140"/>
      <c r="V32" s="113" t="s">
        <v>137</v>
      </c>
      <c r="W32" s="122">
        <f>SUM('S1 TBM 2'!Q350:Q358)</f>
        <v>835719728.66368139</v>
      </c>
      <c r="X32" s="133"/>
      <c r="Y32" s="133"/>
      <c r="Z32" s="127"/>
      <c r="AA32" s="98"/>
      <c r="AB32" s="128"/>
      <c r="AC32" s="129"/>
      <c r="AD32" s="113" t="s">
        <v>132</v>
      </c>
      <c r="AE32" s="122">
        <f>SUM('S1 TBM 3'!Q299:Q313)</f>
        <v>271724307.80608982</v>
      </c>
      <c r="AF32" s="128"/>
      <c r="AG32" s="137"/>
      <c r="AH32" s="141"/>
      <c r="AI32" s="98"/>
      <c r="AJ32" s="98"/>
    </row>
    <row r="33" spans="1:36" s="99" customFormat="1" x14ac:dyDescent="0.35">
      <c r="A33" s="98"/>
      <c r="B33" s="153">
        <v>6</v>
      </c>
      <c r="C33" s="114" t="s">
        <v>138</v>
      </c>
      <c r="D33" s="114" t="str">
        <f t="shared" si="0"/>
        <v>Pemupukkan Kacangan</v>
      </c>
      <c r="E33" s="113" t="s">
        <v>139</v>
      </c>
      <c r="F33" s="122">
        <f>SUM('SI TB CECT'!Q213:Q222)</f>
        <v>146273263.52232718</v>
      </c>
      <c r="G33" s="147">
        <f>SUM(F33:F33)</f>
        <v>146273263.52232718</v>
      </c>
      <c r="H33" s="148">
        <f>G33/A3</f>
        <v>761522.61309</v>
      </c>
      <c r="I33" s="149">
        <f>G33/G47*100</f>
        <v>1.4217299120149718</v>
      </c>
      <c r="J33" s="119"/>
      <c r="K33" s="98"/>
      <c r="L33" s="120">
        <v>8</v>
      </c>
      <c r="M33" s="121" t="s">
        <v>134</v>
      </c>
      <c r="N33" s="113" t="s">
        <v>137</v>
      </c>
      <c r="O33" s="122">
        <f>SUM('S1 TBM 1'!S327:S335)</f>
        <v>625895570.70527101</v>
      </c>
      <c r="P33" s="123">
        <f>SUM(O33:O38)</f>
        <v>761874850.21908832</v>
      </c>
      <c r="Q33" s="123">
        <f>P33/A3</f>
        <v>3966445.4926025011</v>
      </c>
      <c r="R33" s="118">
        <f>P33/P41*100</f>
        <v>42.716316936895161</v>
      </c>
      <c r="S33" s="98"/>
      <c r="T33" s="131"/>
      <c r="U33" s="140"/>
      <c r="V33" s="113" t="s">
        <v>140</v>
      </c>
      <c r="W33" s="122">
        <f>SUM('S1 TBM 2'!Q340:Q348)</f>
        <v>97842103.883756235</v>
      </c>
      <c r="X33" s="133"/>
      <c r="Y33" s="133"/>
      <c r="Z33" s="127"/>
      <c r="AA33" s="98"/>
      <c r="AB33" s="120">
        <v>8</v>
      </c>
      <c r="AC33" s="139" t="s">
        <v>134</v>
      </c>
      <c r="AD33" s="152" t="s">
        <v>135</v>
      </c>
      <c r="AE33" s="122">
        <f>SUM('S1 TBM 3'!Q324:Q332)</f>
        <v>0</v>
      </c>
      <c r="AF33" s="123">
        <f>SUM(AE33:AE39)</f>
        <v>1953803826.680017</v>
      </c>
      <c r="AG33" s="123">
        <f>AF33/$A$3</f>
        <v>10171823.337567769</v>
      </c>
      <c r="AH33" s="126">
        <f>AF33/AF42*100</f>
        <v>48.749541193952993</v>
      </c>
      <c r="AI33" s="98"/>
      <c r="AJ33" s="98"/>
    </row>
    <row r="34" spans="1:36" s="99" customFormat="1" x14ac:dyDescent="0.35">
      <c r="A34" s="98"/>
      <c r="B34" s="112">
        <v>7</v>
      </c>
      <c r="C34" s="113" t="s">
        <v>141</v>
      </c>
      <c r="D34" s="114" t="str">
        <f t="shared" si="0"/>
        <v>Angkutan Pupuk</v>
      </c>
      <c r="E34" s="113" t="s">
        <v>142</v>
      </c>
      <c r="F34" s="122">
        <f>SUM('SI TB CECT'!Q227:Q229)</f>
        <v>2172198.7591200001</v>
      </c>
      <c r="G34" s="117">
        <f>SUM(F34:F35)</f>
        <v>7207453.2800800018</v>
      </c>
      <c r="H34" s="117">
        <f>G34/A3</f>
        <v>37523.184506872152</v>
      </c>
      <c r="I34" s="118">
        <f>G34/G47*100</f>
        <v>7.0054168964214361E-2</v>
      </c>
      <c r="J34" s="119"/>
      <c r="K34" s="98"/>
      <c r="L34" s="131"/>
      <c r="M34" s="132"/>
      <c r="N34" s="113" t="s">
        <v>140</v>
      </c>
      <c r="O34" s="122">
        <f>SUM('S1 TBM 1'!S337:S345)</f>
        <v>104243363.58587088</v>
      </c>
      <c r="P34" s="131"/>
      <c r="Q34" s="131"/>
      <c r="R34" s="127"/>
      <c r="S34" s="98"/>
      <c r="T34" s="131"/>
      <c r="U34" s="140"/>
      <c r="V34" s="113" t="s">
        <v>143</v>
      </c>
      <c r="W34" s="122">
        <f>SUM('S1 TBM 2'!Q360:Q368)</f>
        <v>30016684.400131021</v>
      </c>
      <c r="X34" s="133"/>
      <c r="Y34" s="133"/>
      <c r="Z34" s="127"/>
      <c r="AA34" s="98"/>
      <c r="AB34" s="131"/>
      <c r="AC34" s="140"/>
      <c r="AD34" s="113" t="s">
        <v>137</v>
      </c>
      <c r="AE34" s="122">
        <f>SUM('S1 TBM 3'!Q344:Q352)</f>
        <v>1029921061.7770617</v>
      </c>
      <c r="AF34" s="133"/>
      <c r="AG34" s="133"/>
      <c r="AH34" s="135"/>
      <c r="AI34" s="98"/>
      <c r="AJ34" s="98"/>
    </row>
    <row r="35" spans="1:36" s="99" customFormat="1" x14ac:dyDescent="0.35">
      <c r="A35" s="98"/>
      <c r="B35" s="112"/>
      <c r="C35" s="113"/>
      <c r="D35" s="114" t="str">
        <f t="shared" si="0"/>
        <v>Angkutan Pupuk</v>
      </c>
      <c r="E35" s="113" t="s">
        <v>144</v>
      </c>
      <c r="F35" s="122">
        <f>SUM('SI TB CECT'!Q230:Q231)</f>
        <v>5035254.5209600013</v>
      </c>
      <c r="G35" s="112"/>
      <c r="H35" s="117"/>
      <c r="I35" s="130"/>
      <c r="J35" s="119"/>
      <c r="K35" s="98"/>
      <c r="L35" s="131"/>
      <c r="M35" s="132"/>
      <c r="N35" s="113" t="s">
        <v>143</v>
      </c>
      <c r="O35" s="122">
        <f>SUM('S1 TBM 1'!S347:S355)</f>
        <v>19029669.430991519</v>
      </c>
      <c r="P35" s="131"/>
      <c r="Q35" s="131"/>
      <c r="R35" s="127"/>
      <c r="S35" s="98"/>
      <c r="T35" s="131"/>
      <c r="U35" s="140"/>
      <c r="V35" s="113" t="s">
        <v>145</v>
      </c>
      <c r="W35" s="122">
        <f>SUM('S1 TBM 2'!Q370:Q374)</f>
        <v>326474692.33851713</v>
      </c>
      <c r="X35" s="133"/>
      <c r="Y35" s="133"/>
      <c r="Z35" s="127"/>
      <c r="AA35" s="98"/>
      <c r="AB35" s="131"/>
      <c r="AC35" s="140"/>
      <c r="AD35" s="113" t="s">
        <v>140</v>
      </c>
      <c r="AE35" s="122">
        <f>SUM('S1 TBM 3'!Q334:Q342)</f>
        <v>129305803.58188692</v>
      </c>
      <c r="AF35" s="133"/>
      <c r="AG35" s="133"/>
      <c r="AH35" s="135"/>
      <c r="AI35" s="98"/>
      <c r="AJ35" s="98"/>
    </row>
    <row r="36" spans="1:36" s="99" customFormat="1" x14ac:dyDescent="0.35">
      <c r="A36" s="98"/>
      <c r="B36" s="112">
        <v>8</v>
      </c>
      <c r="C36" s="113" t="s">
        <v>146</v>
      </c>
      <c r="D36" s="114" t="str">
        <f t="shared" si="0"/>
        <v>Tanam Pokok Sawit</v>
      </c>
      <c r="E36" s="113" t="s">
        <v>147</v>
      </c>
      <c r="F36" s="122">
        <f>SUM('SI TB CECT'!Q235:Q236)</f>
        <v>88665195.9648</v>
      </c>
      <c r="G36" s="117">
        <f>SUM(F36:F38)</f>
        <v>2112550258.03178</v>
      </c>
      <c r="H36" s="117">
        <f>G36/A3</f>
        <v>10998283.309203353</v>
      </c>
      <c r="I36" s="118">
        <f>G36/G47*100</f>
        <v>20.533321128917571</v>
      </c>
      <c r="J36" s="119"/>
      <c r="K36" s="98"/>
      <c r="L36" s="131"/>
      <c r="M36" s="132"/>
      <c r="N36" s="113" t="s">
        <v>145</v>
      </c>
      <c r="O36" s="122">
        <f>SUM('S1 TBM 1'!S357:S361)</f>
        <v>0</v>
      </c>
      <c r="P36" s="131"/>
      <c r="Q36" s="131"/>
      <c r="R36" s="127"/>
      <c r="S36" s="98"/>
      <c r="T36" s="131"/>
      <c r="U36" s="140"/>
      <c r="V36" s="113" t="s">
        <v>148</v>
      </c>
      <c r="W36" s="122">
        <f>SUM('S1 TBM 2'!Q378:Q380)</f>
        <v>13681341.003544733</v>
      </c>
      <c r="X36" s="133"/>
      <c r="Y36" s="133"/>
      <c r="Z36" s="127"/>
      <c r="AA36" s="98"/>
      <c r="AB36" s="131"/>
      <c r="AC36" s="140"/>
      <c r="AD36" s="113" t="s">
        <v>143</v>
      </c>
      <c r="AE36" s="122">
        <f>SUM('S1 TBM 3'!Q354:Q362)</f>
        <v>31080140.894195795</v>
      </c>
      <c r="AF36" s="133"/>
      <c r="AG36" s="133"/>
      <c r="AH36" s="135"/>
      <c r="AI36" s="98"/>
      <c r="AJ36" s="98"/>
    </row>
    <row r="37" spans="1:36" s="99" customFormat="1" x14ac:dyDescent="0.35">
      <c r="A37" s="98"/>
      <c r="B37" s="112"/>
      <c r="C37" s="113"/>
      <c r="D37" s="114" t="str">
        <f t="shared" si="0"/>
        <v>Tanam Pokok Sawit</v>
      </c>
      <c r="E37" s="113" t="s">
        <v>149</v>
      </c>
      <c r="F37" s="122">
        <f>SUM('SI TB CECT'!Q237:Q245)</f>
        <v>416024380.58258003</v>
      </c>
      <c r="G37" s="112"/>
      <c r="H37" s="117"/>
      <c r="I37" s="127"/>
      <c r="J37" s="119"/>
      <c r="K37" s="98"/>
      <c r="L37" s="131"/>
      <c r="M37" s="132"/>
      <c r="N37" s="113" t="s">
        <v>148</v>
      </c>
      <c r="O37" s="122">
        <f>SUM('S1 TBM 1'!S365:S367)</f>
        <v>9070148.1806899607</v>
      </c>
      <c r="P37" s="131"/>
      <c r="Q37" s="131"/>
      <c r="R37" s="127"/>
      <c r="S37" s="98"/>
      <c r="T37" s="128"/>
      <c r="U37" s="142"/>
      <c r="V37" s="113" t="s">
        <v>150</v>
      </c>
      <c r="W37" s="122">
        <f>SUM('S1 TBM 2'!Q381)</f>
        <v>5351748.8777464312</v>
      </c>
      <c r="X37" s="137"/>
      <c r="Y37" s="137"/>
      <c r="Z37" s="130"/>
      <c r="AA37" s="98"/>
      <c r="AB37" s="131"/>
      <c r="AC37" s="140"/>
      <c r="AD37" s="113" t="s">
        <v>145</v>
      </c>
      <c r="AE37" s="122">
        <f>SUM('S1 TBM 3'!Q364:Q368)</f>
        <v>736145784.98349452</v>
      </c>
      <c r="AF37" s="133"/>
      <c r="AG37" s="133"/>
      <c r="AH37" s="135"/>
      <c r="AI37" s="98"/>
      <c r="AJ37" s="98"/>
    </row>
    <row r="38" spans="1:36" s="99" customFormat="1" x14ac:dyDescent="0.35">
      <c r="A38" s="98"/>
      <c r="B38" s="112"/>
      <c r="C38" s="113"/>
      <c r="D38" s="114" t="str">
        <f t="shared" si="0"/>
        <v>Tanam Pokok Sawit</v>
      </c>
      <c r="E38" s="113" t="s">
        <v>151</v>
      </c>
      <c r="F38" s="122">
        <f>SUM('SI TB CECT'!Q246:Q250)</f>
        <v>1607860681.4844</v>
      </c>
      <c r="G38" s="112"/>
      <c r="H38" s="117"/>
      <c r="I38" s="130"/>
      <c r="J38" s="119"/>
      <c r="K38" s="98"/>
      <c r="L38" s="128"/>
      <c r="M38" s="129"/>
      <c r="N38" s="113" t="s">
        <v>150</v>
      </c>
      <c r="O38" s="122">
        <f>SUM('S1 TBM 1'!S368)</f>
        <v>3636098.3162649604</v>
      </c>
      <c r="P38" s="128"/>
      <c r="Q38" s="128"/>
      <c r="R38" s="130"/>
      <c r="S38" s="98"/>
      <c r="T38" s="120">
        <v>9</v>
      </c>
      <c r="U38" s="139" t="s">
        <v>152</v>
      </c>
      <c r="V38" s="113" t="s">
        <v>153</v>
      </c>
      <c r="W38" s="122">
        <f>SUM('S1 TBM 2'!Q395:Q397)</f>
        <v>81200873.59836784</v>
      </c>
      <c r="X38" s="123">
        <f>SUM(W38:W39)</f>
        <v>104961163.1940749</v>
      </c>
      <c r="Y38" s="123">
        <f>X38/$A$3</f>
        <v>546445.03953600011</v>
      </c>
      <c r="Z38" s="118">
        <f>X38/X40*100</f>
        <v>4.3844899743900871</v>
      </c>
      <c r="AA38" s="98"/>
      <c r="AB38" s="131"/>
      <c r="AC38" s="140"/>
      <c r="AD38" s="113" t="s">
        <v>148</v>
      </c>
      <c r="AE38" s="122">
        <f>SUM('S1 TBM 3'!Q372:Q374)</f>
        <v>19796360.311779965</v>
      </c>
      <c r="AF38" s="133"/>
      <c r="AG38" s="133"/>
      <c r="AH38" s="135"/>
      <c r="AI38" s="98"/>
      <c r="AJ38" s="98"/>
    </row>
    <row r="39" spans="1:36" s="99" customFormat="1" ht="28" x14ac:dyDescent="0.35">
      <c r="A39" s="98"/>
      <c r="B39" s="153">
        <v>9</v>
      </c>
      <c r="C39" s="114" t="s">
        <v>134</v>
      </c>
      <c r="D39" s="114" t="str">
        <f t="shared" si="0"/>
        <v>Pemupukkan Kelapa Sawit</v>
      </c>
      <c r="E39" s="113" t="s">
        <v>154</v>
      </c>
      <c r="F39" s="122">
        <f>SUM('SI TB CECT'!Q277:Q285)</f>
        <v>31464495.117187999</v>
      </c>
      <c r="G39" s="147">
        <f>SUM(F39)</f>
        <v>31464495.117187999</v>
      </c>
      <c r="H39" s="148">
        <f>G39/A3</f>
        <v>163809.32485</v>
      </c>
      <c r="I39" s="149">
        <f>G39/G47*100</f>
        <v>0.3058249525397852</v>
      </c>
      <c r="J39" s="119"/>
      <c r="K39" s="98"/>
      <c r="L39" s="120">
        <v>9</v>
      </c>
      <c r="M39" s="121" t="s">
        <v>152</v>
      </c>
      <c r="N39" s="113" t="s">
        <v>153</v>
      </c>
      <c r="O39" s="122">
        <f>SUM('S1 TBM 1'!S382:S384)</f>
        <v>76288368.272961602</v>
      </c>
      <c r="P39" s="123">
        <f>SUM(O39:O40)</f>
        <v>98655766.242264003</v>
      </c>
      <c r="Q39" s="123">
        <f>P39/A3</f>
        <v>513618.10830000008</v>
      </c>
      <c r="R39" s="118">
        <f>P39/P41*100</f>
        <v>5.5313690657263894</v>
      </c>
      <c r="S39" s="98"/>
      <c r="T39" s="128"/>
      <c r="U39" s="142"/>
      <c r="V39" s="113" t="s">
        <v>155</v>
      </c>
      <c r="W39" s="122">
        <f>SUM('S1 TBM 2'!Q398:Q399)</f>
        <v>23760289.595707059</v>
      </c>
      <c r="X39" s="128"/>
      <c r="Y39" s="137"/>
      <c r="Z39" s="130"/>
      <c r="AA39" s="98"/>
      <c r="AB39" s="128"/>
      <c r="AC39" s="142"/>
      <c r="AD39" s="113" t="s">
        <v>150</v>
      </c>
      <c r="AE39" s="122">
        <f>SUM('S1 TBM 3'!Q375)</f>
        <v>7554675.131598046</v>
      </c>
      <c r="AF39" s="137"/>
      <c r="AG39" s="137"/>
      <c r="AH39" s="141"/>
      <c r="AI39" s="98"/>
      <c r="AJ39" s="98"/>
    </row>
    <row r="40" spans="1:36" s="99" customFormat="1" ht="28" x14ac:dyDescent="0.35">
      <c r="A40" s="98"/>
      <c r="B40" s="120">
        <v>10</v>
      </c>
      <c r="C40" s="145" t="s">
        <v>156</v>
      </c>
      <c r="D40" s="114" t="str">
        <f t="shared" si="0"/>
        <v>Pemeliharaan Pokok Sawit</v>
      </c>
      <c r="E40" s="113" t="s">
        <v>157</v>
      </c>
      <c r="F40" s="122">
        <f>SUM('SI TB CECT'!Q257:Q258)</f>
        <v>28644915.754560001</v>
      </c>
      <c r="G40" s="117">
        <f>SUM(F40:F44)</f>
        <v>55106910.308677644</v>
      </c>
      <c r="H40" s="117">
        <f>G40/A3</f>
        <v>286895.61801685573</v>
      </c>
      <c r="I40" s="118">
        <f>G40/G47*100</f>
        <v>0.53562175928763822</v>
      </c>
      <c r="J40" s="119"/>
      <c r="K40" s="98"/>
      <c r="L40" s="128"/>
      <c r="M40" s="129"/>
      <c r="N40" s="113" t="s">
        <v>155</v>
      </c>
      <c r="O40" s="122">
        <f>SUM('S1 TBM 1'!S385:S386)</f>
        <v>22367397.969302401</v>
      </c>
      <c r="P40" s="128"/>
      <c r="Q40" s="128"/>
      <c r="R40" s="130"/>
      <c r="S40" s="98"/>
      <c r="T40" s="102" t="s">
        <v>158</v>
      </c>
      <c r="U40" s="103"/>
      <c r="V40" s="103"/>
      <c r="W40" s="104"/>
      <c r="X40" s="154">
        <f>SUM(X5:X39)</f>
        <v>2393919562.073482</v>
      </c>
      <c r="Y40" s="155"/>
      <c r="Z40" s="155"/>
      <c r="AA40" s="98"/>
      <c r="AB40" s="120">
        <v>9</v>
      </c>
      <c r="AC40" s="139" t="s">
        <v>152</v>
      </c>
      <c r="AD40" s="113" t="s">
        <v>153</v>
      </c>
      <c r="AE40" s="122">
        <f>SUM('S1 TBM 3'!Q389:Q391)</f>
        <v>86430379.839308634</v>
      </c>
      <c r="AF40" s="123">
        <f>SUM(AE40:AE41)</f>
        <v>111671049.55505665</v>
      </c>
      <c r="AG40" s="123">
        <f>AF40/$A$3</f>
        <v>581377.80901216506</v>
      </c>
      <c r="AH40" s="126">
        <f>AF40/AF42*100</f>
        <v>2.7863147548987648</v>
      </c>
      <c r="AI40" s="98"/>
      <c r="AJ40" s="98"/>
    </row>
    <row r="41" spans="1:36" s="99" customFormat="1" ht="28" x14ac:dyDescent="0.35">
      <c r="A41" s="98"/>
      <c r="B41" s="131"/>
      <c r="C41" s="156"/>
      <c r="D41" s="114" t="str">
        <f t="shared" si="0"/>
        <v>Pemeliharaan Pokok Sawit</v>
      </c>
      <c r="E41" s="113" t="s">
        <v>159</v>
      </c>
      <c r="F41" s="122">
        <f>SUM('SI TB CECT'!Q259:Q263)</f>
        <v>500000</v>
      </c>
      <c r="G41" s="117"/>
      <c r="H41" s="117"/>
      <c r="I41" s="127"/>
      <c r="J41" s="119"/>
      <c r="K41" s="98"/>
      <c r="L41" s="102" t="s">
        <v>158</v>
      </c>
      <c r="M41" s="103"/>
      <c r="N41" s="103"/>
      <c r="O41" s="104"/>
      <c r="P41" s="154">
        <f>SUM(P5:P40)</f>
        <v>1783568680.1945179</v>
      </c>
      <c r="Q41" s="155"/>
      <c r="R41" s="155"/>
      <c r="S41" s="98"/>
      <c r="T41" s="102" t="s">
        <v>160</v>
      </c>
      <c r="U41" s="103"/>
      <c r="V41" s="103"/>
      <c r="W41" s="104"/>
      <c r="X41" s="154">
        <f>X40/$A$3</f>
        <v>12463138.078266775</v>
      </c>
      <c r="Y41" s="155"/>
      <c r="Z41" s="155"/>
      <c r="AA41" s="98"/>
      <c r="AB41" s="128"/>
      <c r="AC41" s="142"/>
      <c r="AD41" s="113" t="s">
        <v>155</v>
      </c>
      <c r="AE41" s="122">
        <f>SUM('S1 TBM 3'!Q392:Q393)</f>
        <v>25240669.715748012</v>
      </c>
      <c r="AF41" s="128"/>
      <c r="AG41" s="137"/>
      <c r="AH41" s="141"/>
      <c r="AI41" s="98"/>
      <c r="AJ41" s="98"/>
    </row>
    <row r="42" spans="1:36" s="99" customFormat="1" ht="28" x14ac:dyDescent="0.35">
      <c r="A42" s="98"/>
      <c r="B42" s="131"/>
      <c r="C42" s="156"/>
      <c r="D42" s="114" t="str">
        <f t="shared" si="0"/>
        <v>Pemeliharaan Pokok Sawit</v>
      </c>
      <c r="E42" s="113" t="s">
        <v>161</v>
      </c>
      <c r="F42" s="122">
        <f>SUM('SI TB CECT'!Q272)</f>
        <v>0</v>
      </c>
      <c r="G42" s="117"/>
      <c r="H42" s="117"/>
      <c r="I42" s="127"/>
      <c r="J42" s="119"/>
      <c r="K42" s="98"/>
      <c r="L42" s="102" t="s">
        <v>160</v>
      </c>
      <c r="M42" s="103"/>
      <c r="N42" s="103"/>
      <c r="O42" s="104"/>
      <c r="P42" s="154">
        <f>P41/$A$3</f>
        <v>9285551.2296674196</v>
      </c>
      <c r="Q42" s="155"/>
      <c r="R42" s="155"/>
      <c r="S42" s="98"/>
      <c r="T42" s="98"/>
      <c r="U42" s="157"/>
      <c r="V42" s="158"/>
      <c r="W42" s="98"/>
      <c r="X42" s="98"/>
      <c r="Y42" s="98"/>
      <c r="Z42" s="98"/>
      <c r="AA42" s="98"/>
      <c r="AB42" s="102" t="s">
        <v>158</v>
      </c>
      <c r="AC42" s="103"/>
      <c r="AD42" s="103"/>
      <c r="AE42" s="104"/>
      <c r="AF42" s="154">
        <f>SUM(AF5:AF41)</f>
        <v>4007840440.8088489</v>
      </c>
      <c r="AG42" s="155"/>
      <c r="AH42" s="159"/>
      <c r="AI42" s="98"/>
      <c r="AJ42" s="98"/>
    </row>
    <row r="43" spans="1:36" s="99" customFormat="1" ht="28" x14ac:dyDescent="0.35">
      <c r="A43" s="98"/>
      <c r="B43" s="131"/>
      <c r="C43" s="156"/>
      <c r="D43" s="114" t="str">
        <f t="shared" si="0"/>
        <v>Pemeliharaan Pokok Sawit</v>
      </c>
      <c r="E43" s="113" t="s">
        <v>162</v>
      </c>
      <c r="F43" s="122">
        <f>SUM('SI TB CECT'!Q264:Q266)</f>
        <v>5034454.5741176475</v>
      </c>
      <c r="G43" s="117"/>
      <c r="H43" s="117"/>
      <c r="I43" s="127"/>
      <c r="J43" s="119"/>
      <c r="K43" s="98"/>
      <c r="L43" s="98"/>
      <c r="M43" s="157"/>
      <c r="N43" s="158"/>
      <c r="O43" s="98"/>
      <c r="P43" s="98"/>
      <c r="Q43" s="98"/>
      <c r="R43" s="98"/>
      <c r="S43" s="98"/>
      <c r="T43" s="98"/>
      <c r="U43" s="157"/>
      <c r="V43" s="158"/>
      <c r="W43" s="98"/>
      <c r="X43" s="98"/>
      <c r="Y43" s="98"/>
      <c r="Z43" s="98"/>
      <c r="AA43" s="98"/>
      <c r="AB43" s="102" t="s">
        <v>160</v>
      </c>
      <c r="AC43" s="103"/>
      <c r="AD43" s="103"/>
      <c r="AE43" s="104"/>
      <c r="AF43" s="154">
        <f>AF42/$A$3</f>
        <v>20865475.014623329</v>
      </c>
      <c r="AG43" s="155"/>
      <c r="AH43" s="159"/>
      <c r="AI43" s="98"/>
      <c r="AJ43" s="98"/>
    </row>
    <row r="44" spans="1:36" s="99" customFormat="1" ht="28" x14ac:dyDescent="0.35">
      <c r="A44" s="98"/>
      <c r="B44" s="128"/>
      <c r="C44" s="150"/>
      <c r="D44" s="114" t="str">
        <f t="shared" si="0"/>
        <v>Pemeliharaan Pokok Sawit</v>
      </c>
      <c r="E44" s="113" t="s">
        <v>163</v>
      </c>
      <c r="F44" s="122">
        <f>SUM('SI TB CECT'!Q270:Q271)</f>
        <v>20927539.98</v>
      </c>
      <c r="G44" s="117"/>
      <c r="H44" s="117"/>
      <c r="I44" s="130"/>
      <c r="J44" s="119"/>
      <c r="K44" s="98"/>
      <c r="L44" s="98"/>
      <c r="M44" s="157"/>
      <c r="N44" s="158"/>
      <c r="O44" s="98"/>
      <c r="P44" s="98"/>
      <c r="Q44" s="98"/>
      <c r="R44" s="98"/>
      <c r="S44" s="98"/>
      <c r="T44" s="98"/>
      <c r="U44" s="157"/>
      <c r="V44" s="158"/>
      <c r="W44" s="98"/>
      <c r="X44" s="98"/>
      <c r="Y44" s="98"/>
      <c r="Z44" s="98"/>
      <c r="AA44" s="98"/>
      <c r="AB44" s="98"/>
      <c r="AC44" s="157"/>
      <c r="AD44" s="158"/>
      <c r="AE44" s="98"/>
      <c r="AF44" s="98"/>
      <c r="AG44" s="98"/>
      <c r="AH44" s="98"/>
      <c r="AI44" s="98"/>
      <c r="AJ44" s="98"/>
    </row>
    <row r="45" spans="1:36" s="99" customFormat="1" ht="14.5" customHeight="1" x14ac:dyDescent="0.35">
      <c r="A45" s="98"/>
      <c r="B45" s="112">
        <v>11</v>
      </c>
      <c r="C45" s="113" t="s">
        <v>164</v>
      </c>
      <c r="D45" s="114" t="str">
        <f t="shared" si="0"/>
        <v>Pengawasan &amp; Administrasi</v>
      </c>
      <c r="E45" s="113" t="s">
        <v>153</v>
      </c>
      <c r="F45" s="122">
        <f>SUM('SI TB CECT'!Q325:Q327)</f>
        <v>254841639.95520002</v>
      </c>
      <c r="G45" s="117">
        <f>SUM(F45:F46)</f>
        <v>327451807.60704005</v>
      </c>
      <c r="H45" s="117">
        <f>G45/A3</f>
        <v>1704767.8446847151</v>
      </c>
      <c r="I45" s="118">
        <f>G45/G47*100</f>
        <v>3.1827281241129839</v>
      </c>
      <c r="J45" s="119"/>
      <c r="K45" s="98"/>
      <c r="L45" s="98"/>
      <c r="M45" s="157"/>
      <c r="N45" s="158"/>
      <c r="O45" s="98"/>
      <c r="P45" s="98"/>
      <c r="Q45" s="98"/>
      <c r="R45" s="98"/>
      <c r="S45" s="98"/>
      <c r="T45" s="98"/>
      <c r="U45" s="157"/>
      <c r="V45" s="158"/>
      <c r="W45" s="98"/>
      <c r="X45" s="98"/>
      <c r="Y45" s="98"/>
      <c r="Z45" s="98"/>
      <c r="AA45" s="98"/>
      <c r="AB45" s="98"/>
      <c r="AC45" s="157"/>
      <c r="AD45" s="158"/>
      <c r="AE45" s="98"/>
      <c r="AF45" s="98"/>
      <c r="AG45" s="98"/>
      <c r="AH45" s="98"/>
      <c r="AI45" s="98"/>
      <c r="AJ45" s="98"/>
    </row>
    <row r="46" spans="1:36" s="99" customFormat="1" ht="28" x14ac:dyDescent="0.35">
      <c r="A46" s="98"/>
      <c r="B46" s="112"/>
      <c r="C46" s="113"/>
      <c r="D46" s="114" t="str">
        <f t="shared" si="0"/>
        <v>Pengawasan &amp; Administrasi</v>
      </c>
      <c r="E46" s="113" t="s">
        <v>155</v>
      </c>
      <c r="F46" s="122">
        <f>SUM('SI TB CECT'!Q328:Q329)</f>
        <v>72610167.651840001</v>
      </c>
      <c r="G46" s="117"/>
      <c r="H46" s="117"/>
      <c r="I46" s="130"/>
      <c r="J46" s="119"/>
      <c r="K46" s="98"/>
      <c r="L46" s="98"/>
      <c r="M46" s="157"/>
      <c r="N46" s="158"/>
      <c r="O46" s="98"/>
      <c r="P46" s="98"/>
      <c r="Q46" s="98"/>
      <c r="R46" s="98"/>
      <c r="S46" s="98"/>
      <c r="T46" s="98"/>
      <c r="U46" s="157"/>
      <c r="V46" s="158"/>
      <c r="W46" s="98"/>
      <c r="X46" s="98"/>
      <c r="Y46" s="98"/>
      <c r="Z46" s="98"/>
      <c r="AA46" s="98"/>
      <c r="AB46" s="98"/>
      <c r="AC46" s="157"/>
      <c r="AD46" s="158"/>
      <c r="AE46" s="98"/>
      <c r="AF46" s="98"/>
      <c r="AG46" s="98"/>
      <c r="AH46" s="98"/>
      <c r="AI46" s="98"/>
      <c r="AJ46" s="98"/>
    </row>
    <row r="47" spans="1:36" s="99" customFormat="1" x14ac:dyDescent="0.35">
      <c r="A47" s="98"/>
      <c r="B47" s="100" t="s">
        <v>158</v>
      </c>
      <c r="C47" s="100"/>
      <c r="D47" s="100"/>
      <c r="E47" s="100"/>
      <c r="F47" s="100"/>
      <c r="G47" s="154">
        <f>SUM(G7:G46)</f>
        <v>10288400228.916815</v>
      </c>
      <c r="H47" s="155"/>
      <c r="I47" s="155"/>
      <c r="J47" s="160"/>
      <c r="K47" s="98"/>
      <c r="L47" s="98"/>
      <c r="M47" s="157"/>
      <c r="N47" s="158"/>
      <c r="O47" s="98"/>
      <c r="P47" s="98"/>
      <c r="Q47" s="98"/>
      <c r="R47" s="98"/>
      <c r="S47" s="98"/>
      <c r="T47" s="98"/>
      <c r="U47" s="157"/>
      <c r="V47" s="158"/>
      <c r="W47" s="98"/>
      <c r="X47" s="98"/>
      <c r="Y47" s="98"/>
      <c r="Z47" s="98"/>
      <c r="AA47" s="98"/>
      <c r="AB47" s="98"/>
      <c r="AC47" s="157"/>
      <c r="AD47" s="158"/>
      <c r="AE47" s="98"/>
      <c r="AF47" s="98"/>
      <c r="AG47" s="98"/>
      <c r="AH47" s="98"/>
      <c r="AI47" s="98"/>
      <c r="AJ47" s="98"/>
    </row>
    <row r="48" spans="1:36" s="99" customFormat="1" x14ac:dyDescent="0.35">
      <c r="A48" s="98"/>
      <c r="B48" s="100" t="s">
        <v>160</v>
      </c>
      <c r="C48" s="100"/>
      <c r="D48" s="100"/>
      <c r="E48" s="100"/>
      <c r="F48" s="100"/>
      <c r="G48" s="154">
        <f>G47/$A$3</f>
        <v>53563099.900649808</v>
      </c>
      <c r="H48" s="155"/>
      <c r="I48" s="155"/>
      <c r="J48" s="160"/>
      <c r="K48" s="98"/>
      <c r="L48" s="98"/>
      <c r="M48" s="157"/>
      <c r="N48" s="158"/>
      <c r="O48" s="98"/>
      <c r="P48" s="98"/>
      <c r="Q48" s="98"/>
      <c r="R48" s="98"/>
      <c r="S48" s="98"/>
      <c r="T48" s="98"/>
      <c r="U48" s="157"/>
      <c r="V48" s="158"/>
      <c r="W48" s="98"/>
      <c r="X48" s="98"/>
      <c r="Y48" s="98"/>
      <c r="Z48" s="98"/>
      <c r="AA48" s="98"/>
      <c r="AB48" s="98"/>
      <c r="AC48" s="157"/>
      <c r="AD48" s="158"/>
      <c r="AE48" s="98"/>
      <c r="AF48" s="98"/>
      <c r="AG48" s="98"/>
      <c r="AH48" s="98"/>
      <c r="AI48" s="98"/>
      <c r="AJ48" s="98"/>
    </row>
    <row r="50" spans="7:7" x14ac:dyDescent="0.35">
      <c r="G50" s="161"/>
    </row>
  </sheetData>
  <mergeCells count="177">
    <mergeCell ref="B45:B46"/>
    <mergeCell ref="G45:G46"/>
    <mergeCell ref="H45:H46"/>
    <mergeCell ref="I45:I46"/>
    <mergeCell ref="B47:F47"/>
    <mergeCell ref="B48:F48"/>
    <mergeCell ref="AC40:AC41"/>
    <mergeCell ref="AF40:AF41"/>
    <mergeCell ref="AG40:AG41"/>
    <mergeCell ref="AH40:AH41"/>
    <mergeCell ref="L41:O41"/>
    <mergeCell ref="T41:W41"/>
    <mergeCell ref="B40:B44"/>
    <mergeCell ref="G40:G44"/>
    <mergeCell ref="H40:H44"/>
    <mergeCell ref="I40:I44"/>
    <mergeCell ref="T40:W40"/>
    <mergeCell ref="AB40:AB41"/>
    <mergeCell ref="L42:O42"/>
    <mergeCell ref="AB42:AE42"/>
    <mergeCell ref="AB43:AE43"/>
    <mergeCell ref="Z38:Z39"/>
    <mergeCell ref="L39:L40"/>
    <mergeCell ref="M39:M40"/>
    <mergeCell ref="P39:P40"/>
    <mergeCell ref="Q39:Q40"/>
    <mergeCell ref="R39:R40"/>
    <mergeCell ref="AG33:AG39"/>
    <mergeCell ref="AH33:AH39"/>
    <mergeCell ref="B34:B35"/>
    <mergeCell ref="G34:G35"/>
    <mergeCell ref="H34:H35"/>
    <mergeCell ref="I34:I35"/>
    <mergeCell ref="B36:B38"/>
    <mergeCell ref="G36:G38"/>
    <mergeCell ref="H36:H38"/>
    <mergeCell ref="I36:I38"/>
    <mergeCell ref="L33:L38"/>
    <mergeCell ref="M33:M38"/>
    <mergeCell ref="P33:P38"/>
    <mergeCell ref="Q33:Q38"/>
    <mergeCell ref="R33:R38"/>
    <mergeCell ref="AB33:AB39"/>
    <mergeCell ref="T38:T39"/>
    <mergeCell ref="U38:U39"/>
    <mergeCell ref="X38:X39"/>
    <mergeCell ref="Y38:Y39"/>
    <mergeCell ref="AF30:AF32"/>
    <mergeCell ref="AG30:AG32"/>
    <mergeCell ref="AH30:AH32"/>
    <mergeCell ref="T31:T37"/>
    <mergeCell ref="U31:U37"/>
    <mergeCell ref="X31:X37"/>
    <mergeCell ref="Y31:Y37"/>
    <mergeCell ref="Z31:Z37"/>
    <mergeCell ref="AC33:AC39"/>
    <mergeCell ref="AF33:AF39"/>
    <mergeCell ref="AF28:AF29"/>
    <mergeCell ref="AG28:AG29"/>
    <mergeCell ref="AH28:AH29"/>
    <mergeCell ref="L30:L32"/>
    <mergeCell ref="M30:M32"/>
    <mergeCell ref="P30:P32"/>
    <mergeCell ref="Q30:Q32"/>
    <mergeCell ref="R30:R32"/>
    <mergeCell ref="AB30:AB32"/>
    <mergeCell ref="AC30:AC32"/>
    <mergeCell ref="U28:U30"/>
    <mergeCell ref="X28:X30"/>
    <mergeCell ref="Y28:Y30"/>
    <mergeCell ref="Z28:Z30"/>
    <mergeCell ref="AB28:AB29"/>
    <mergeCell ref="AC28:AC29"/>
    <mergeCell ref="U26:U27"/>
    <mergeCell ref="X26:X27"/>
    <mergeCell ref="Y26:Y27"/>
    <mergeCell ref="Z26:Z27"/>
    <mergeCell ref="L28:L29"/>
    <mergeCell ref="M28:M29"/>
    <mergeCell ref="P28:P29"/>
    <mergeCell ref="Q28:Q29"/>
    <mergeCell ref="R28:R29"/>
    <mergeCell ref="T28:T30"/>
    <mergeCell ref="AB19:AB27"/>
    <mergeCell ref="AC19:AC27"/>
    <mergeCell ref="AF19:AF27"/>
    <mergeCell ref="AG19:AG27"/>
    <mergeCell ref="AH19:AH27"/>
    <mergeCell ref="B20:B24"/>
    <mergeCell ref="G20:G24"/>
    <mergeCell ref="I20:I24"/>
    <mergeCell ref="B25:B32"/>
    <mergeCell ref="G25:G32"/>
    <mergeCell ref="Z17:Z25"/>
    <mergeCell ref="B18:B19"/>
    <mergeCell ref="L19:L27"/>
    <mergeCell ref="M19:M27"/>
    <mergeCell ref="P19:P27"/>
    <mergeCell ref="Q19:Q27"/>
    <mergeCell ref="R19:R27"/>
    <mergeCell ref="H25:H32"/>
    <mergeCell ref="I25:I32"/>
    <mergeCell ref="T26:T27"/>
    <mergeCell ref="AH15:AH18"/>
    <mergeCell ref="L16:L18"/>
    <mergeCell ref="M16:M18"/>
    <mergeCell ref="P16:P18"/>
    <mergeCell ref="Q16:Q18"/>
    <mergeCell ref="R16:R18"/>
    <mergeCell ref="T17:T25"/>
    <mergeCell ref="U17:U25"/>
    <mergeCell ref="X17:X25"/>
    <mergeCell ref="Y17:Y25"/>
    <mergeCell ref="AH13:AH14"/>
    <mergeCell ref="T14:T16"/>
    <mergeCell ref="U14:U16"/>
    <mergeCell ref="X14:X16"/>
    <mergeCell ref="Y14:Y16"/>
    <mergeCell ref="Z14:Z16"/>
    <mergeCell ref="AB15:AB18"/>
    <mergeCell ref="AC15:AC18"/>
    <mergeCell ref="AF15:AF18"/>
    <mergeCell ref="AG15:AG18"/>
    <mergeCell ref="P13:P15"/>
    <mergeCell ref="Q13:Q15"/>
    <mergeCell ref="R13:R15"/>
    <mergeCell ref="AB13:AB14"/>
    <mergeCell ref="AC13:AC14"/>
    <mergeCell ref="AF13:AF14"/>
    <mergeCell ref="B13:B17"/>
    <mergeCell ref="G13:G17"/>
    <mergeCell ref="H13:H17"/>
    <mergeCell ref="I13:I17"/>
    <mergeCell ref="L13:L15"/>
    <mergeCell ref="M13:M15"/>
    <mergeCell ref="AH7:AH12"/>
    <mergeCell ref="L9:L12"/>
    <mergeCell ref="M9:M12"/>
    <mergeCell ref="P9:P12"/>
    <mergeCell ref="Q9:Q12"/>
    <mergeCell ref="R9:R12"/>
    <mergeCell ref="T11:T13"/>
    <mergeCell ref="U11:U13"/>
    <mergeCell ref="X11:X13"/>
    <mergeCell ref="Y11:Y13"/>
    <mergeCell ref="Y7:Y10"/>
    <mergeCell ref="Z7:Z10"/>
    <mergeCell ref="AB7:AB12"/>
    <mergeCell ref="AC7:AC12"/>
    <mergeCell ref="AF7:AF12"/>
    <mergeCell ref="AG7:AG12"/>
    <mergeCell ref="Z11:Z13"/>
    <mergeCell ref="AG13:AG14"/>
    <mergeCell ref="P7:P8"/>
    <mergeCell ref="Q7:Q8"/>
    <mergeCell ref="R7:R8"/>
    <mergeCell ref="T7:T10"/>
    <mergeCell ref="U7:U10"/>
    <mergeCell ref="X7:X10"/>
    <mergeCell ref="C5:E5"/>
    <mergeCell ref="M5:N5"/>
    <mergeCell ref="U5:V5"/>
    <mergeCell ref="AC5:AD5"/>
    <mergeCell ref="B7:B12"/>
    <mergeCell ref="G7:G12"/>
    <mergeCell ref="H7:H12"/>
    <mergeCell ref="I7:I12"/>
    <mergeCell ref="L7:L8"/>
    <mergeCell ref="M7:M8"/>
    <mergeCell ref="B3:I3"/>
    <mergeCell ref="L3:R3"/>
    <mergeCell ref="T3:Z3"/>
    <mergeCell ref="AB3:AH3"/>
    <mergeCell ref="B4:I4"/>
    <mergeCell ref="L4:R4"/>
    <mergeCell ref="T4:Z4"/>
    <mergeCell ref="AB4:AH4"/>
  </mergeCells>
  <printOptions horizontalCentered="1"/>
  <pageMargins left="0.25" right="0.25" top="0.75" bottom="0.75" header="0.3" footer="0.3"/>
  <pageSetup paperSize="9"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B7BA-82D6-43ED-BA2C-AB0321C333CE}">
  <sheetPr>
    <tabColor theme="8" tint="0.39997558519241921"/>
  </sheetPr>
  <dimension ref="B1:AE353"/>
  <sheetViews>
    <sheetView showGridLines="0" topLeftCell="B1" zoomScaleNormal="100" zoomScaleSheetLayoutView="85" workbookViewId="0">
      <pane xSplit="6" ySplit="5" topLeftCell="O6" activePane="bottomRight" state="frozen"/>
      <selection activeCell="Q12" sqref="Q12"/>
      <selection pane="topRight" activeCell="Q12" sqref="Q12"/>
      <selection pane="bottomLeft" activeCell="Q12" sqref="Q12"/>
      <selection pane="bottomRight" activeCell="Q12" sqref="Q12"/>
    </sheetView>
  </sheetViews>
  <sheetFormatPr defaultRowHeight="14.5" x14ac:dyDescent="0.35"/>
  <cols>
    <col min="1" max="1" width="2.1796875" customWidth="1"/>
    <col min="2" max="2" width="4.26953125" style="162" customWidth="1"/>
    <col min="3" max="3" width="6.26953125" style="162" customWidth="1"/>
    <col min="4" max="4" width="14.1796875" style="162" customWidth="1"/>
    <col min="5" max="5" width="28.54296875" style="162" customWidth="1"/>
    <col min="6" max="6" width="25.7265625" style="162" customWidth="1"/>
    <col min="7" max="7" width="7.81640625" style="165" bestFit="1" customWidth="1"/>
    <col min="8" max="8" width="6" style="162" customWidth="1"/>
    <col min="9" max="9" width="5.1796875" style="162" customWidth="1"/>
    <col min="10" max="10" width="10.54296875" style="162" customWidth="1"/>
    <col min="11" max="11" width="8.81640625" style="166" customWidth="1"/>
    <col min="12" max="12" width="12" style="166" customWidth="1"/>
    <col min="13" max="13" width="10" style="167" customWidth="1"/>
    <col min="14" max="14" width="8.54296875" style="94" customWidth="1"/>
    <col min="15" max="15" width="12" style="168" customWidth="1"/>
    <col min="16" max="16" width="13.453125" style="94" customWidth="1"/>
    <col min="17" max="17" width="21.54296875" style="94" customWidth="1"/>
    <col min="18" max="23" width="15.54296875" style="94" hidden="1" customWidth="1"/>
    <col min="24" max="24" width="27.26953125" style="94" hidden="1" customWidth="1"/>
    <col min="25" max="26" width="13.81640625" style="94" hidden="1" customWidth="1"/>
    <col min="27" max="27" width="14.26953125" style="94" bestFit="1" customWidth="1"/>
    <col min="28" max="28" width="7.54296875" style="94" customWidth="1"/>
    <col min="29" max="29" width="12.54296875" style="94" bestFit="1" customWidth="1"/>
    <col min="30" max="30" width="11.7265625" customWidth="1"/>
  </cols>
  <sheetData>
    <row r="1" spans="2:28" ht="17.5" x14ac:dyDescent="0.35">
      <c r="C1" s="163" t="s">
        <v>165</v>
      </c>
      <c r="D1" s="163">
        <v>140.97999999999999</v>
      </c>
      <c r="E1" s="164" t="s">
        <v>166</v>
      </c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</row>
    <row r="2" spans="2:28" x14ac:dyDescent="0.35">
      <c r="C2" s="163" t="s">
        <v>167</v>
      </c>
      <c r="D2" s="163">
        <v>192.08</v>
      </c>
    </row>
    <row r="3" spans="2:28" ht="15" customHeight="1" x14ac:dyDescent="0.35">
      <c r="B3" s="169" t="s">
        <v>8</v>
      </c>
      <c r="C3" s="170"/>
      <c r="D3" s="170"/>
      <c r="E3" s="171"/>
      <c r="F3" s="172" t="s">
        <v>168</v>
      </c>
      <c r="G3" s="173"/>
      <c r="H3" s="174" t="s">
        <v>169</v>
      </c>
      <c r="I3" s="175"/>
      <c r="J3" s="176" t="s">
        <v>170</v>
      </c>
      <c r="K3" s="177"/>
      <c r="L3" s="177"/>
      <c r="M3" s="177"/>
      <c r="N3" s="177"/>
      <c r="O3" s="178"/>
      <c r="P3" s="179">
        <v>2026</v>
      </c>
      <c r="Q3" s="180"/>
      <c r="R3" s="181">
        <v>2026</v>
      </c>
      <c r="S3" s="182"/>
      <c r="T3" s="183">
        <v>2027</v>
      </c>
      <c r="U3" s="184"/>
      <c r="V3" s="185" t="s">
        <v>171</v>
      </c>
      <c r="W3" s="186"/>
      <c r="X3" s="187" t="s">
        <v>172</v>
      </c>
      <c r="Y3" s="94" t="s">
        <v>173</v>
      </c>
      <c r="Z3" s="94" t="s">
        <v>174</v>
      </c>
      <c r="AA3" s="188" t="s">
        <v>68</v>
      </c>
      <c r="AB3" s="189" t="s">
        <v>69</v>
      </c>
    </row>
    <row r="4" spans="2:28" x14ac:dyDescent="0.35">
      <c r="B4" s="190"/>
      <c r="C4" s="191"/>
      <c r="D4" s="191"/>
      <c r="E4" s="192"/>
      <c r="F4" s="193" t="s">
        <v>175</v>
      </c>
      <c r="G4" s="193" t="s">
        <v>176</v>
      </c>
      <c r="H4" s="194"/>
      <c r="I4" s="195"/>
      <c r="J4" s="193" t="s">
        <v>176</v>
      </c>
      <c r="K4" s="172" t="s">
        <v>177</v>
      </c>
      <c r="L4" s="173"/>
      <c r="M4" s="196" t="s">
        <v>178</v>
      </c>
      <c r="N4" s="193" t="s">
        <v>179</v>
      </c>
      <c r="O4" s="197" t="s">
        <v>180</v>
      </c>
      <c r="P4" s="198" t="s">
        <v>181</v>
      </c>
      <c r="Q4" s="199" t="s">
        <v>182</v>
      </c>
      <c r="R4" s="200" t="s">
        <v>181</v>
      </c>
      <c r="S4" s="200" t="s">
        <v>182</v>
      </c>
      <c r="T4" s="201" t="s">
        <v>181</v>
      </c>
      <c r="U4" s="201" t="s">
        <v>182</v>
      </c>
      <c r="V4" s="202" t="s">
        <v>181</v>
      </c>
      <c r="W4" s="202" t="s">
        <v>182</v>
      </c>
      <c r="X4" s="203"/>
      <c r="AA4" s="204"/>
      <c r="AB4" s="204"/>
    </row>
    <row r="5" spans="2:28" ht="28" x14ac:dyDescent="0.35">
      <c r="B5" s="205"/>
      <c r="C5" s="206"/>
      <c r="D5" s="206"/>
      <c r="E5" s="207"/>
      <c r="F5" s="208"/>
      <c r="G5" s="208"/>
      <c r="H5" s="209"/>
      <c r="I5" s="210"/>
      <c r="J5" s="208"/>
      <c r="K5" s="211" t="s">
        <v>183</v>
      </c>
      <c r="L5" s="212" t="s">
        <v>184</v>
      </c>
      <c r="M5" s="213"/>
      <c r="N5" s="208"/>
      <c r="O5" s="214"/>
      <c r="P5" s="215"/>
      <c r="Q5" s="216"/>
      <c r="R5" s="217"/>
      <c r="S5" s="217"/>
      <c r="T5" s="218"/>
      <c r="U5" s="218"/>
      <c r="V5" s="219"/>
      <c r="W5" s="219"/>
      <c r="X5" s="220"/>
      <c r="AA5" s="221"/>
      <c r="AB5" s="221"/>
    </row>
    <row r="6" spans="2:28" x14ac:dyDescent="0.35">
      <c r="B6" s="222" t="s">
        <v>185</v>
      </c>
      <c r="C6" s="223"/>
      <c r="D6" s="223"/>
      <c r="E6" s="224"/>
      <c r="F6" s="225"/>
      <c r="G6" s="226"/>
      <c r="H6" s="227"/>
      <c r="I6" s="228"/>
      <c r="J6" s="229"/>
      <c r="K6" s="230"/>
      <c r="L6" s="230"/>
      <c r="M6" s="231"/>
      <c r="N6" s="232"/>
      <c r="O6" s="233"/>
      <c r="P6" s="233"/>
      <c r="Q6" s="233"/>
      <c r="R6" s="233"/>
      <c r="S6" s="233"/>
      <c r="T6" s="233"/>
      <c r="U6" s="233"/>
      <c r="V6" s="233"/>
      <c r="W6" s="233"/>
      <c r="X6" s="232"/>
      <c r="AA6" s="232"/>
      <c r="AB6" s="232"/>
    </row>
    <row r="7" spans="2:28" x14ac:dyDescent="0.35">
      <c r="B7" s="234"/>
      <c r="C7" s="223" t="s">
        <v>186</v>
      </c>
      <c r="D7" s="223"/>
      <c r="E7" s="224"/>
      <c r="F7" s="225"/>
      <c r="G7" s="226"/>
      <c r="H7" s="227"/>
      <c r="I7" s="228"/>
      <c r="J7" s="229"/>
      <c r="K7" s="230"/>
      <c r="L7" s="230"/>
      <c r="M7" s="231"/>
      <c r="N7" s="232"/>
      <c r="O7" s="233"/>
      <c r="P7" s="235"/>
      <c r="Q7" s="233"/>
      <c r="R7" s="233"/>
      <c r="S7" s="233"/>
      <c r="T7" s="233"/>
      <c r="U7" s="233"/>
      <c r="V7" s="233"/>
      <c r="W7" s="233"/>
      <c r="X7" s="232"/>
      <c r="AA7" s="232"/>
      <c r="AB7" s="232"/>
    </row>
    <row r="8" spans="2:28" x14ac:dyDescent="0.35">
      <c r="B8" s="236"/>
      <c r="C8" s="237"/>
      <c r="D8" s="237" t="s">
        <v>72</v>
      </c>
      <c r="E8" s="238"/>
      <c r="F8" s="225" t="s">
        <v>187</v>
      </c>
      <c r="G8" s="226" t="s">
        <v>188</v>
      </c>
      <c r="H8" s="227"/>
      <c r="I8" s="228"/>
      <c r="J8" s="229" t="s">
        <v>189</v>
      </c>
      <c r="K8" s="239">
        <v>1</v>
      </c>
      <c r="L8" s="230">
        <v>140.97999999999999</v>
      </c>
      <c r="M8" s="240">
        <v>0.25</v>
      </c>
      <c r="N8" s="235">
        <v>1</v>
      </c>
      <c r="O8" s="233">
        <f>K8*L8*M8*N8</f>
        <v>35.244999999999997</v>
      </c>
      <c r="P8" s="235">
        <v>149108.51999999999</v>
      </c>
      <c r="Q8" s="235">
        <f>P8*$O8</f>
        <v>5255329.7873999989</v>
      </c>
      <c r="R8" s="233">
        <v>149108.51999999999</v>
      </c>
      <c r="S8" s="233">
        <f>R8*$O8</f>
        <v>5255329.7873999989</v>
      </c>
      <c r="T8" s="233">
        <v>158800.57379999998</v>
      </c>
      <c r="U8" s="233">
        <f>T8*$O8</f>
        <v>5596926.2235809993</v>
      </c>
      <c r="V8" s="233">
        <f>W8/O8</f>
        <v>152339.20459999997</v>
      </c>
      <c r="W8" s="241">
        <f>AVERAGEIF($P$4:$U$4,W$4,$P8:$U8)</f>
        <v>5369195.2661269987</v>
      </c>
      <c r="X8" s="232"/>
      <c r="AA8" s="235">
        <f>Q8/$D$1</f>
        <v>37277.129999999997</v>
      </c>
      <c r="AB8" s="232"/>
    </row>
    <row r="9" spans="2:28" hidden="1" x14ac:dyDescent="0.35">
      <c r="B9" s="242"/>
      <c r="C9" s="243"/>
      <c r="D9" s="243"/>
      <c r="E9" s="244"/>
      <c r="F9" s="225" t="s">
        <v>190</v>
      </c>
      <c r="G9" s="226" t="s">
        <v>191</v>
      </c>
      <c r="H9" s="227"/>
      <c r="I9" s="228"/>
      <c r="J9" s="229"/>
      <c r="K9" s="230"/>
      <c r="L9" s="230"/>
      <c r="M9" s="240"/>
      <c r="N9" s="235">
        <v>1</v>
      </c>
      <c r="O9" s="233"/>
      <c r="P9" s="235"/>
      <c r="Q9" s="235"/>
      <c r="R9" s="233"/>
      <c r="S9" s="233"/>
      <c r="T9" s="233"/>
      <c r="U9" s="233"/>
      <c r="V9" s="233"/>
      <c r="W9" s="233"/>
      <c r="X9" s="232"/>
      <c r="AA9" s="232"/>
      <c r="AB9" s="232"/>
    </row>
    <row r="10" spans="2:28" hidden="1" x14ac:dyDescent="0.35">
      <c r="B10" s="242"/>
      <c r="C10" s="243"/>
      <c r="D10" s="243"/>
      <c r="E10" s="244"/>
      <c r="F10" s="225" t="s">
        <v>192</v>
      </c>
      <c r="G10" s="226" t="s">
        <v>193</v>
      </c>
      <c r="H10" s="227"/>
      <c r="I10" s="228"/>
      <c r="J10" s="229"/>
      <c r="K10" s="230"/>
      <c r="L10" s="230"/>
      <c r="M10" s="240"/>
      <c r="N10" s="235">
        <v>1</v>
      </c>
      <c r="O10" s="233"/>
      <c r="P10" s="235"/>
      <c r="Q10" s="235"/>
      <c r="R10" s="233"/>
      <c r="S10" s="233"/>
      <c r="T10" s="233"/>
      <c r="U10" s="233"/>
      <c r="V10" s="233"/>
      <c r="W10" s="233"/>
      <c r="X10" s="232"/>
      <c r="AA10" s="232"/>
      <c r="AB10" s="232"/>
    </row>
    <row r="11" spans="2:28" hidden="1" x14ac:dyDescent="0.35">
      <c r="B11" s="242"/>
      <c r="C11" s="243"/>
      <c r="D11" s="243"/>
      <c r="E11" s="244"/>
      <c r="F11" s="225" t="s">
        <v>194</v>
      </c>
      <c r="G11" s="226" t="s">
        <v>193</v>
      </c>
      <c r="H11" s="227"/>
      <c r="I11" s="228"/>
      <c r="J11" s="229"/>
      <c r="K11" s="230"/>
      <c r="L11" s="230"/>
      <c r="M11" s="240">
        <v>6.9999999999999999E-4</v>
      </c>
      <c r="N11" s="235">
        <v>1</v>
      </c>
      <c r="O11" s="233"/>
      <c r="P11" s="235"/>
      <c r="Q11" s="235"/>
      <c r="R11" s="233"/>
      <c r="S11" s="233"/>
      <c r="T11" s="233"/>
      <c r="U11" s="233"/>
      <c r="V11" s="233"/>
      <c r="W11" s="233"/>
      <c r="X11" s="232"/>
      <c r="AA11" s="232"/>
      <c r="AB11" s="232"/>
    </row>
    <row r="12" spans="2:28" hidden="1" x14ac:dyDescent="0.35">
      <c r="B12" s="242"/>
      <c r="C12" s="243"/>
      <c r="D12" s="243"/>
      <c r="E12" s="244"/>
      <c r="F12" s="225" t="s">
        <v>195</v>
      </c>
      <c r="G12" s="226" t="s">
        <v>193</v>
      </c>
      <c r="H12" s="227"/>
      <c r="I12" s="228"/>
      <c r="J12" s="229"/>
      <c r="K12" s="230"/>
      <c r="L12" s="230"/>
      <c r="M12" s="240">
        <v>1.2999999999999999E-3</v>
      </c>
      <c r="N12" s="235">
        <v>1</v>
      </c>
      <c r="O12" s="233"/>
      <c r="P12" s="235"/>
      <c r="Q12" s="235"/>
      <c r="R12" s="233"/>
      <c r="S12" s="233"/>
      <c r="T12" s="233"/>
      <c r="U12" s="233"/>
      <c r="V12" s="233"/>
      <c r="W12" s="233"/>
      <c r="X12" s="232"/>
      <c r="AA12" s="232"/>
      <c r="AB12" s="232"/>
    </row>
    <row r="13" spans="2:28" x14ac:dyDescent="0.35">
      <c r="B13" s="236"/>
      <c r="C13" s="237"/>
      <c r="D13" s="237" t="s">
        <v>196</v>
      </c>
      <c r="E13" s="238" t="s">
        <v>197</v>
      </c>
      <c r="F13" s="225" t="s">
        <v>187</v>
      </c>
      <c r="G13" s="226" t="s">
        <v>188</v>
      </c>
      <c r="H13" s="227"/>
      <c r="I13" s="228"/>
      <c r="J13" s="229"/>
      <c r="K13" s="230"/>
      <c r="L13" s="230"/>
      <c r="M13" s="240">
        <v>10</v>
      </c>
      <c r="N13" s="235">
        <v>1</v>
      </c>
      <c r="O13" s="233"/>
      <c r="P13" s="235"/>
      <c r="Q13" s="235"/>
      <c r="R13" s="233"/>
      <c r="S13" s="233"/>
      <c r="T13" s="233"/>
      <c r="U13" s="233"/>
      <c r="V13" s="233"/>
      <c r="W13" s="233"/>
      <c r="X13" s="232" t="s">
        <v>198</v>
      </c>
      <c r="AA13" s="232"/>
      <c r="AB13" s="232"/>
    </row>
    <row r="14" spans="2:28" hidden="1" x14ac:dyDescent="0.35">
      <c r="B14" s="245"/>
      <c r="C14" s="246"/>
      <c r="D14" s="246"/>
      <c r="E14" s="247" t="s">
        <v>199</v>
      </c>
      <c r="F14" s="225" t="s">
        <v>187</v>
      </c>
      <c r="G14" s="226" t="s">
        <v>188</v>
      </c>
      <c r="H14" s="227"/>
      <c r="I14" s="228"/>
      <c r="J14" s="229"/>
      <c r="K14" s="230"/>
      <c r="L14" s="230"/>
      <c r="M14" s="240">
        <v>10</v>
      </c>
      <c r="N14" s="235">
        <v>1</v>
      </c>
      <c r="O14" s="233"/>
      <c r="P14" s="235"/>
      <c r="Q14" s="235"/>
      <c r="R14" s="233"/>
      <c r="S14" s="233"/>
      <c r="T14" s="233"/>
      <c r="U14" s="233"/>
      <c r="V14" s="233"/>
      <c r="W14" s="233"/>
      <c r="X14" s="232"/>
      <c r="AA14" s="232"/>
      <c r="AB14" s="232"/>
    </row>
    <row r="15" spans="2:28" hidden="1" x14ac:dyDescent="0.35">
      <c r="B15" s="248"/>
      <c r="C15" s="249"/>
      <c r="D15" s="249"/>
      <c r="E15" s="250" t="s">
        <v>200</v>
      </c>
      <c r="F15" s="225" t="s">
        <v>187</v>
      </c>
      <c r="G15" s="226" t="s">
        <v>188</v>
      </c>
      <c r="H15" s="227"/>
      <c r="I15" s="228"/>
      <c r="J15" s="229"/>
      <c r="K15" s="230"/>
      <c r="L15" s="230"/>
      <c r="M15" s="240"/>
      <c r="N15" s="235"/>
      <c r="O15" s="233"/>
      <c r="P15" s="235"/>
      <c r="Q15" s="235"/>
      <c r="R15" s="233"/>
      <c r="S15" s="233"/>
      <c r="T15" s="233"/>
      <c r="U15" s="233"/>
      <c r="V15" s="233"/>
      <c r="W15" s="233"/>
      <c r="X15" s="232"/>
      <c r="AA15" s="232"/>
      <c r="AB15" s="232"/>
    </row>
    <row r="16" spans="2:28" x14ac:dyDescent="0.35">
      <c r="B16" s="236"/>
      <c r="C16" s="237"/>
      <c r="D16" s="237" t="s">
        <v>201</v>
      </c>
      <c r="E16" s="238" t="s">
        <v>197</v>
      </c>
      <c r="F16" s="225" t="s">
        <v>187</v>
      </c>
      <c r="G16" s="226" t="s">
        <v>188</v>
      </c>
      <c r="H16" s="227"/>
      <c r="I16" s="228"/>
      <c r="J16" s="229"/>
      <c r="K16" s="230"/>
      <c r="L16" s="230"/>
      <c r="M16" s="240">
        <v>20</v>
      </c>
      <c r="N16" s="235">
        <v>1</v>
      </c>
      <c r="O16" s="233"/>
      <c r="P16" s="235"/>
      <c r="Q16" s="235"/>
      <c r="R16" s="233"/>
      <c r="S16" s="233"/>
      <c r="T16" s="233"/>
      <c r="U16" s="233"/>
      <c r="V16" s="233"/>
      <c r="W16" s="233"/>
      <c r="X16" s="232" t="s">
        <v>198</v>
      </c>
      <c r="AA16" s="232"/>
      <c r="AB16" s="232"/>
    </row>
    <row r="17" spans="2:30" hidden="1" x14ac:dyDescent="0.35">
      <c r="B17" s="248"/>
      <c r="C17" s="249"/>
      <c r="D17" s="249"/>
      <c r="E17" s="247" t="s">
        <v>199</v>
      </c>
      <c r="F17" s="225" t="s">
        <v>187</v>
      </c>
      <c r="G17" s="226" t="s">
        <v>188</v>
      </c>
      <c r="H17" s="227"/>
      <c r="I17" s="228"/>
      <c r="J17" s="229"/>
      <c r="K17" s="230"/>
      <c r="L17" s="230"/>
      <c r="M17" s="240">
        <v>12</v>
      </c>
      <c r="N17" s="235">
        <v>1</v>
      </c>
      <c r="O17" s="233"/>
      <c r="P17" s="235"/>
      <c r="Q17" s="235"/>
      <c r="R17" s="233"/>
      <c r="S17" s="233"/>
      <c r="T17" s="233"/>
      <c r="U17" s="233"/>
      <c r="V17" s="233"/>
      <c r="W17" s="233"/>
      <c r="X17" s="232"/>
      <c r="AA17" s="232"/>
      <c r="AB17" s="232"/>
    </row>
    <row r="18" spans="2:30" x14ac:dyDescent="0.35">
      <c r="B18" s="245"/>
      <c r="C18" s="246"/>
      <c r="D18" s="237" t="s">
        <v>202</v>
      </c>
      <c r="E18" s="251" t="s">
        <v>197</v>
      </c>
      <c r="F18" s="225" t="s">
        <v>187</v>
      </c>
      <c r="G18" s="226" t="s">
        <v>188</v>
      </c>
      <c r="H18" s="227"/>
      <c r="I18" s="228"/>
      <c r="J18" s="229"/>
      <c r="K18" s="230"/>
      <c r="L18" s="230"/>
      <c r="M18" s="240"/>
      <c r="N18" s="235"/>
      <c r="O18" s="233"/>
      <c r="P18" s="235"/>
      <c r="Q18" s="235"/>
      <c r="R18" s="233"/>
      <c r="S18" s="233"/>
      <c r="T18" s="233"/>
      <c r="U18" s="233"/>
      <c r="V18" s="233"/>
      <c r="W18" s="233"/>
      <c r="X18" s="232"/>
      <c r="AA18" s="232"/>
      <c r="AB18" s="232"/>
    </row>
    <row r="19" spans="2:30" hidden="1" x14ac:dyDescent="0.35">
      <c r="B19" s="248"/>
      <c r="C19" s="249"/>
      <c r="D19" s="249"/>
      <c r="E19" s="247" t="s">
        <v>199</v>
      </c>
      <c r="F19" s="225" t="s">
        <v>187</v>
      </c>
      <c r="G19" s="226" t="s">
        <v>188</v>
      </c>
      <c r="H19" s="227"/>
      <c r="I19" s="228"/>
      <c r="J19" s="229"/>
      <c r="K19" s="230"/>
      <c r="L19" s="230"/>
      <c r="M19" s="240"/>
      <c r="N19" s="235"/>
      <c r="O19" s="233"/>
      <c r="P19" s="235"/>
      <c r="Q19" s="235"/>
      <c r="R19" s="233"/>
      <c r="S19" s="233"/>
      <c r="T19" s="233"/>
      <c r="U19" s="233"/>
      <c r="V19" s="233"/>
      <c r="W19" s="233"/>
      <c r="X19" s="232"/>
      <c r="AA19" s="232"/>
      <c r="AB19" s="232"/>
    </row>
    <row r="20" spans="2:30" x14ac:dyDescent="0.35">
      <c r="B20" s="245"/>
      <c r="C20" s="246"/>
      <c r="D20" s="237" t="s">
        <v>203</v>
      </c>
      <c r="E20" s="251" t="s">
        <v>197</v>
      </c>
      <c r="F20" s="225" t="s">
        <v>204</v>
      </c>
      <c r="G20" s="226" t="s">
        <v>205</v>
      </c>
      <c r="H20" s="227"/>
      <c r="I20" s="228"/>
      <c r="J20" s="229"/>
      <c r="K20" s="230"/>
      <c r="L20" s="230"/>
      <c r="M20" s="240">
        <v>6</v>
      </c>
      <c r="N20" s="235">
        <v>1</v>
      </c>
      <c r="O20" s="233"/>
      <c r="P20" s="235"/>
      <c r="Q20" s="235"/>
      <c r="R20" s="233"/>
      <c r="S20" s="233"/>
      <c r="T20" s="233"/>
      <c r="U20" s="233"/>
      <c r="V20" s="233"/>
      <c r="W20" s="233"/>
      <c r="X20" s="232" t="s">
        <v>198</v>
      </c>
      <c r="AA20" s="232"/>
      <c r="AB20" s="232"/>
    </row>
    <row r="21" spans="2:30" hidden="1" x14ac:dyDescent="0.35">
      <c r="B21" s="245"/>
      <c r="C21" s="246"/>
      <c r="D21" s="246"/>
      <c r="E21" s="247" t="s">
        <v>199</v>
      </c>
      <c r="F21" s="225" t="s">
        <v>204</v>
      </c>
      <c r="G21" s="226" t="s">
        <v>205</v>
      </c>
      <c r="H21" s="227"/>
      <c r="I21" s="228"/>
      <c r="J21" s="229"/>
      <c r="K21" s="230"/>
      <c r="L21" s="230"/>
      <c r="M21" s="240">
        <v>5</v>
      </c>
      <c r="N21" s="235">
        <v>1</v>
      </c>
      <c r="O21" s="233"/>
      <c r="P21" s="235"/>
      <c r="Q21" s="235"/>
      <c r="R21" s="233"/>
      <c r="S21" s="233"/>
      <c r="T21" s="233"/>
      <c r="U21" s="233"/>
      <c r="V21" s="233"/>
      <c r="W21" s="233"/>
      <c r="X21" s="232"/>
      <c r="AA21" s="232"/>
      <c r="AB21" s="232"/>
    </row>
    <row r="22" spans="2:30" hidden="1" x14ac:dyDescent="0.35">
      <c r="B22" s="248"/>
      <c r="C22" s="249"/>
      <c r="D22" s="249"/>
      <c r="E22" s="250" t="s">
        <v>200</v>
      </c>
      <c r="F22" s="225" t="s">
        <v>204</v>
      </c>
      <c r="G22" s="226" t="s">
        <v>205</v>
      </c>
      <c r="H22" s="227"/>
      <c r="I22" s="228"/>
      <c r="J22" s="229"/>
      <c r="K22" s="230"/>
      <c r="L22" s="230"/>
      <c r="M22" s="240">
        <v>4</v>
      </c>
      <c r="N22" s="235">
        <v>1</v>
      </c>
      <c r="O22" s="233"/>
      <c r="P22" s="235"/>
      <c r="Q22" s="235"/>
      <c r="R22" s="233"/>
      <c r="S22" s="233"/>
      <c r="T22" s="233"/>
      <c r="U22" s="233"/>
      <c r="V22" s="233"/>
      <c r="W22" s="233"/>
      <c r="X22" s="232"/>
      <c r="AA22" s="232"/>
      <c r="AB22" s="232"/>
    </row>
    <row r="23" spans="2:30" s="270" customFormat="1" ht="20.25" customHeight="1" x14ac:dyDescent="0.35">
      <c r="B23" s="252"/>
      <c r="C23" s="253"/>
      <c r="D23" s="253" t="s">
        <v>79</v>
      </c>
      <c r="E23" s="254"/>
      <c r="F23" s="255" t="s">
        <v>204</v>
      </c>
      <c r="G23" s="256" t="s">
        <v>205</v>
      </c>
      <c r="H23" s="257"/>
      <c r="I23" s="258"/>
      <c r="J23" s="259" t="s">
        <v>206</v>
      </c>
      <c r="K23" s="260">
        <v>1</v>
      </c>
      <c r="L23" s="261">
        <f>D1*(1-0.12)</f>
        <v>124.0624</v>
      </c>
      <c r="M23" s="262">
        <f>2.85*2</f>
        <v>5.7</v>
      </c>
      <c r="N23" s="263">
        <v>1</v>
      </c>
      <c r="O23" s="262">
        <f>K23*L23*M23*N23</f>
        <v>707.15567999999996</v>
      </c>
      <c r="P23" s="263">
        <v>1051433.6840914285</v>
      </c>
      <c r="Q23" s="263">
        <f>P23*$O23</f>
        <v>743527301.84857929</v>
      </c>
      <c r="R23" s="262">
        <v>1051433.6840914285</v>
      </c>
      <c r="S23" s="262">
        <f>R23*$O23</f>
        <v>743527301.84857929</v>
      </c>
      <c r="T23" s="262">
        <v>1113470.7641787431</v>
      </c>
      <c r="U23" s="262">
        <f>T23*$O23</f>
        <v>787397175.40293872</v>
      </c>
      <c r="V23" s="262">
        <f>W23/O23</f>
        <v>1072112.7107872001</v>
      </c>
      <c r="W23" s="264">
        <f>AVERAGEIF($P$4:$U$4,W$4,$P23:$U23)</f>
        <v>758150593.03336573</v>
      </c>
      <c r="X23" s="265" t="s">
        <v>207</v>
      </c>
      <c r="Y23" s="266">
        <f>Q23/L23</f>
        <v>5993171.9993211422</v>
      </c>
      <c r="Z23" s="267"/>
      <c r="AA23" s="268">
        <f>(Q23+Q24+Q25)/35.245</f>
        <v>23411403.444778424</v>
      </c>
      <c r="AB23" s="268"/>
      <c r="AC23" s="267"/>
      <c r="AD23" s="269">
        <f>92518125/35.245</f>
        <v>2625000</v>
      </c>
    </row>
    <row r="24" spans="2:30" x14ac:dyDescent="0.35">
      <c r="B24" s="242"/>
      <c r="C24" s="271"/>
      <c r="D24" s="271"/>
      <c r="E24" s="272"/>
      <c r="F24" s="273" t="s">
        <v>187</v>
      </c>
      <c r="G24" s="274" t="s">
        <v>188</v>
      </c>
      <c r="H24" s="275"/>
      <c r="I24" s="276"/>
      <c r="J24" s="277" t="s">
        <v>189</v>
      </c>
      <c r="K24" s="278">
        <v>1</v>
      </c>
      <c r="L24" s="279">
        <f>O23/10</f>
        <v>70.71556799999999</v>
      </c>
      <c r="M24" s="235">
        <f>3*2</f>
        <v>6</v>
      </c>
      <c r="N24" s="235">
        <v>1</v>
      </c>
      <c r="O24" s="233">
        <f t="shared" ref="O24:O25" si="0">K24*L24*M24*N24</f>
        <v>424.29340799999994</v>
      </c>
      <c r="P24" s="235">
        <v>149108.51999999999</v>
      </c>
      <c r="Q24" s="235">
        <f t="shared" ref="Q24:Q25" si="1">P24*$O24</f>
        <v>63265762.112636149</v>
      </c>
      <c r="R24" s="233"/>
      <c r="S24" s="233"/>
      <c r="T24" s="233"/>
      <c r="U24" s="233"/>
      <c r="V24" s="233"/>
      <c r="W24" s="241"/>
      <c r="X24" s="280" t="s">
        <v>208</v>
      </c>
      <c r="Y24" s="281"/>
      <c r="AA24" s="282"/>
      <c r="AB24" s="282"/>
    </row>
    <row r="25" spans="2:30" x14ac:dyDescent="0.35">
      <c r="B25" s="283"/>
      <c r="C25" s="284"/>
      <c r="D25" s="284"/>
      <c r="E25" s="285"/>
      <c r="F25" s="286" t="s">
        <v>209</v>
      </c>
      <c r="G25" s="274" t="s">
        <v>210</v>
      </c>
      <c r="H25" s="275"/>
      <c r="I25" s="276"/>
      <c r="J25" s="277"/>
      <c r="K25" s="278">
        <v>1</v>
      </c>
      <c r="L25" s="279">
        <f>(O23*25)/400</f>
        <v>44.197229999999998</v>
      </c>
      <c r="M25" s="235">
        <v>2</v>
      </c>
      <c r="N25" s="235">
        <v>1</v>
      </c>
      <c r="O25" s="233">
        <f t="shared" si="0"/>
        <v>88.394459999999995</v>
      </c>
      <c r="P25" s="235">
        <v>207500</v>
      </c>
      <c r="Q25" s="235">
        <f t="shared" si="1"/>
        <v>18341850.449999999</v>
      </c>
      <c r="R25" s="233"/>
      <c r="S25" s="233"/>
      <c r="T25" s="233"/>
      <c r="U25" s="233"/>
      <c r="V25" s="233"/>
      <c r="W25" s="241"/>
      <c r="X25" s="280" t="s">
        <v>211</v>
      </c>
      <c r="Y25" s="281"/>
      <c r="AA25" s="287"/>
      <c r="AB25" s="282"/>
    </row>
    <row r="26" spans="2:30" x14ac:dyDescent="0.35">
      <c r="B26" s="275"/>
      <c r="C26" s="276"/>
      <c r="D26" s="276" t="s">
        <v>82</v>
      </c>
      <c r="E26" s="288"/>
      <c r="F26" s="273"/>
      <c r="G26" s="274"/>
      <c r="H26" s="275"/>
      <c r="I26" s="276"/>
      <c r="J26" s="277"/>
      <c r="K26" s="289"/>
      <c r="L26" s="289"/>
      <c r="M26" s="235"/>
      <c r="N26" s="235"/>
      <c r="O26" s="233"/>
      <c r="P26" s="235"/>
      <c r="Q26" s="233"/>
      <c r="R26" s="233"/>
      <c r="S26" s="233"/>
      <c r="T26" s="233"/>
      <c r="U26" s="233"/>
      <c r="V26" s="233"/>
      <c r="W26" s="233"/>
      <c r="X26" s="232"/>
      <c r="Y26" s="281"/>
      <c r="AA26" s="232"/>
      <c r="AB26" s="232"/>
    </row>
    <row r="27" spans="2:30" x14ac:dyDescent="0.35">
      <c r="B27" s="290"/>
      <c r="C27" s="291"/>
      <c r="D27" s="291"/>
      <c r="E27" s="291" t="s">
        <v>212</v>
      </c>
      <c r="F27" s="273" t="s">
        <v>187</v>
      </c>
      <c r="G27" s="274" t="s">
        <v>188</v>
      </c>
      <c r="H27" s="275"/>
      <c r="I27" s="276"/>
      <c r="J27" s="277" t="s">
        <v>189</v>
      </c>
      <c r="K27" s="278">
        <v>1</v>
      </c>
      <c r="L27" s="289">
        <v>140.97999999999999</v>
      </c>
      <c r="M27" s="235">
        <v>1</v>
      </c>
      <c r="N27" s="235">
        <v>1</v>
      </c>
      <c r="O27" s="233">
        <f t="shared" ref="O27:O38" si="2">K27*L27*M27*N27</f>
        <v>140.97999999999999</v>
      </c>
      <c r="P27" s="235">
        <v>149108.51999999999</v>
      </c>
      <c r="Q27" s="235">
        <f t="shared" ref="Q27:Q67" si="3">P27*$O27</f>
        <v>21021319.149599995</v>
      </c>
      <c r="R27" s="233">
        <v>149108.51999999999</v>
      </c>
      <c r="S27" s="233">
        <f t="shared" ref="S27:S45" si="4">R27*$O27</f>
        <v>21021319.149599995</v>
      </c>
      <c r="T27" s="233">
        <v>158800.57379999998</v>
      </c>
      <c r="U27" s="233">
        <f t="shared" ref="U27:U45" si="5">T27*$O27</f>
        <v>22387704.894323997</v>
      </c>
      <c r="V27" s="233">
        <f t="shared" ref="V27:V45" si="6">W27/O27</f>
        <v>152339.20459999997</v>
      </c>
      <c r="W27" s="241">
        <f t="shared" ref="W27:W45" si="7">AVERAGEIF($P$4:$U$4,W$4,$P27:$U27)</f>
        <v>21476781.064507995</v>
      </c>
      <c r="X27" s="232" t="s">
        <v>213</v>
      </c>
      <c r="Y27" s="281"/>
      <c r="AA27" s="235">
        <f>Q27/$D$1</f>
        <v>149108.51999999999</v>
      </c>
      <c r="AB27" s="232"/>
    </row>
    <row r="28" spans="2:30" ht="45" customHeight="1" x14ac:dyDescent="0.35">
      <c r="B28" s="242"/>
      <c r="C28" s="243"/>
      <c r="D28" s="243"/>
      <c r="E28" s="292" t="s">
        <v>214</v>
      </c>
      <c r="F28" s="293" t="s">
        <v>215</v>
      </c>
      <c r="G28" s="294" t="s">
        <v>205</v>
      </c>
      <c r="H28" s="295"/>
      <c r="I28" s="296"/>
      <c r="J28" s="297" t="s">
        <v>206</v>
      </c>
      <c r="K28" s="298">
        <v>1</v>
      </c>
      <c r="L28" s="299">
        <v>140.97999999999999</v>
      </c>
      <c r="M28" s="300">
        <v>10.8</v>
      </c>
      <c r="N28" s="301">
        <v>1</v>
      </c>
      <c r="O28" s="300">
        <f t="shared" si="2"/>
        <v>1522.5840000000001</v>
      </c>
      <c r="P28" s="301">
        <v>720338.0730320001</v>
      </c>
      <c r="Q28" s="301">
        <f t="shared" si="3"/>
        <v>1096775224.589355</v>
      </c>
      <c r="R28" s="233">
        <v>720338.0730320001</v>
      </c>
      <c r="S28" s="233">
        <f t="shared" si="4"/>
        <v>1096775224.589355</v>
      </c>
      <c r="T28" s="233">
        <v>761671.70213055995</v>
      </c>
      <c r="U28" s="233">
        <f t="shared" si="5"/>
        <v>1159709146.9167566</v>
      </c>
      <c r="V28" s="233">
        <f t="shared" si="6"/>
        <v>734115.94939818687</v>
      </c>
      <c r="W28" s="241">
        <f t="shared" si="7"/>
        <v>1117753198.698489</v>
      </c>
      <c r="X28" s="280" t="s">
        <v>216</v>
      </c>
      <c r="Y28" s="281">
        <f>Q28/192.08</f>
        <v>5709991.7981536593</v>
      </c>
      <c r="Z28" s="281">
        <f>Y28/122</f>
        <v>46803.211460275896</v>
      </c>
      <c r="AA28" s="301">
        <f>Q28/$D$1</f>
        <v>7779651.188745603</v>
      </c>
      <c r="AB28" s="302"/>
      <c r="AD28" s="303">
        <f>AA28/136</f>
        <v>57203.317564305908</v>
      </c>
    </row>
    <row r="29" spans="2:30" x14ac:dyDescent="0.35">
      <c r="B29" s="242"/>
      <c r="C29" s="243"/>
      <c r="D29" s="243"/>
      <c r="E29" s="272"/>
      <c r="F29" s="293" t="s">
        <v>187</v>
      </c>
      <c r="G29" s="294" t="s">
        <v>188</v>
      </c>
      <c r="H29" s="295"/>
      <c r="I29" s="296"/>
      <c r="J29" s="297" t="s">
        <v>189</v>
      </c>
      <c r="K29" s="298">
        <v>1</v>
      </c>
      <c r="L29" s="304">
        <f>O28/10</f>
        <v>152.25839999999999</v>
      </c>
      <c r="M29" s="301">
        <f>3*4</f>
        <v>12</v>
      </c>
      <c r="N29" s="301">
        <v>1</v>
      </c>
      <c r="O29" s="300">
        <f t="shared" si="2"/>
        <v>1827.1007999999999</v>
      </c>
      <c r="P29" s="301">
        <v>149108.51999999999</v>
      </c>
      <c r="Q29" s="301">
        <f t="shared" si="3"/>
        <v>272436296.17881596</v>
      </c>
      <c r="R29" s="300"/>
      <c r="S29" s="300"/>
      <c r="T29" s="300"/>
      <c r="U29" s="300"/>
      <c r="V29" s="300"/>
      <c r="W29" s="241"/>
      <c r="X29" s="113" t="s">
        <v>217</v>
      </c>
      <c r="Y29" s="305"/>
      <c r="Z29" s="305"/>
      <c r="AA29" s="301">
        <f>Q29/$D$1</f>
        <v>1932446.4191999999</v>
      </c>
      <c r="AB29" s="302"/>
    </row>
    <row r="30" spans="2:30" x14ac:dyDescent="0.35">
      <c r="B30" s="242"/>
      <c r="C30" s="243"/>
      <c r="D30" s="243"/>
      <c r="E30" s="272"/>
      <c r="F30" s="286" t="s">
        <v>209</v>
      </c>
      <c r="G30" s="274" t="s">
        <v>210</v>
      </c>
      <c r="H30" s="275"/>
      <c r="I30" s="276"/>
      <c r="J30" s="277"/>
      <c r="K30" s="278">
        <v>0</v>
      </c>
      <c r="L30" s="279">
        <f>(O28*18)/400</f>
        <v>68.516280000000009</v>
      </c>
      <c r="M30" s="235">
        <v>2</v>
      </c>
      <c r="N30" s="235">
        <v>1</v>
      </c>
      <c r="O30" s="233">
        <f t="shared" si="2"/>
        <v>0</v>
      </c>
      <c r="P30" s="235">
        <v>207500</v>
      </c>
      <c r="Q30" s="235">
        <f t="shared" si="3"/>
        <v>0</v>
      </c>
      <c r="R30" s="233"/>
      <c r="S30" s="233"/>
      <c r="T30" s="233"/>
      <c r="U30" s="233"/>
      <c r="V30" s="233"/>
      <c r="W30" s="241"/>
      <c r="X30" s="280" t="s">
        <v>218</v>
      </c>
      <c r="Y30" s="281"/>
      <c r="Z30" s="281"/>
      <c r="AA30" s="287"/>
      <c r="AB30" s="302"/>
    </row>
    <row r="31" spans="2:30" x14ac:dyDescent="0.35">
      <c r="B31" s="242"/>
      <c r="C31" s="243"/>
      <c r="D31" s="243"/>
      <c r="E31" s="306" t="s">
        <v>219</v>
      </c>
      <c r="F31" s="273" t="s">
        <v>187</v>
      </c>
      <c r="G31" s="274" t="s">
        <v>188</v>
      </c>
      <c r="H31" s="275"/>
      <c r="I31" s="276"/>
      <c r="J31" s="229" t="s">
        <v>189</v>
      </c>
      <c r="K31" s="239">
        <v>0</v>
      </c>
      <c r="L31" s="289">
        <v>140.97999999999999</v>
      </c>
      <c r="M31" s="233">
        <v>0.5</v>
      </c>
      <c r="N31" s="235">
        <v>1</v>
      </c>
      <c r="O31" s="233">
        <f t="shared" si="2"/>
        <v>0</v>
      </c>
      <c r="P31" s="235">
        <v>149108.51999999999</v>
      </c>
      <c r="Q31" s="235">
        <f t="shared" si="3"/>
        <v>0</v>
      </c>
      <c r="R31" s="233"/>
      <c r="S31" s="233"/>
      <c r="T31" s="233"/>
      <c r="U31" s="233"/>
      <c r="V31" s="233"/>
      <c r="W31" s="241"/>
      <c r="X31" s="232"/>
      <c r="Y31" s="281"/>
      <c r="Z31" s="281"/>
      <c r="AA31" s="282">
        <f>Q31/35.245</f>
        <v>0</v>
      </c>
      <c r="AB31" s="232"/>
    </row>
    <row r="32" spans="2:30" hidden="1" x14ac:dyDescent="0.35">
      <c r="B32" s="283"/>
      <c r="C32" s="307"/>
      <c r="D32" s="307"/>
      <c r="E32" s="308"/>
      <c r="F32" s="273" t="s">
        <v>220</v>
      </c>
      <c r="G32" s="274" t="s">
        <v>191</v>
      </c>
      <c r="H32" s="275"/>
      <c r="I32" s="276"/>
      <c r="J32" s="277" t="s">
        <v>191</v>
      </c>
      <c r="K32" s="278">
        <v>0</v>
      </c>
      <c r="L32" s="289">
        <v>140.97999999999999</v>
      </c>
      <c r="M32" s="235">
        <v>24</v>
      </c>
      <c r="N32" s="235">
        <v>1</v>
      </c>
      <c r="O32" s="235">
        <f t="shared" si="2"/>
        <v>0</v>
      </c>
      <c r="P32" s="235">
        <v>70350</v>
      </c>
      <c r="Q32" s="235">
        <f t="shared" si="3"/>
        <v>0</v>
      </c>
      <c r="R32" s="233">
        <v>70350</v>
      </c>
      <c r="S32" s="233">
        <f t="shared" si="4"/>
        <v>0</v>
      </c>
      <c r="T32" s="233">
        <v>73867.5</v>
      </c>
      <c r="U32" s="233">
        <f t="shared" si="5"/>
        <v>0</v>
      </c>
      <c r="V32" s="233" t="e">
        <f t="shared" si="6"/>
        <v>#DIV/0!</v>
      </c>
      <c r="W32" s="241">
        <f t="shared" si="7"/>
        <v>0</v>
      </c>
      <c r="X32" s="232"/>
      <c r="AA32" s="282">
        <f>Q32/35.245</f>
        <v>0</v>
      </c>
      <c r="AB32" s="232"/>
    </row>
    <row r="33" spans="2:31" s="270" customFormat="1" ht="28" x14ac:dyDescent="0.35">
      <c r="B33" s="309"/>
      <c r="C33" s="310"/>
      <c r="D33" s="310" t="s">
        <v>84</v>
      </c>
      <c r="E33" s="311"/>
      <c r="F33" s="255" t="s">
        <v>215</v>
      </c>
      <c r="G33" s="256" t="s">
        <v>205</v>
      </c>
      <c r="H33" s="257"/>
      <c r="I33" s="258"/>
      <c r="J33" s="259" t="s">
        <v>206</v>
      </c>
      <c r="K33" s="260">
        <v>1</v>
      </c>
      <c r="L33" s="312">
        <v>140.97999999999999</v>
      </c>
      <c r="M33" s="262">
        <v>8.5</v>
      </c>
      <c r="N33" s="263">
        <v>1</v>
      </c>
      <c r="O33" s="262">
        <f t="shared" si="2"/>
        <v>1198.33</v>
      </c>
      <c r="P33" s="263">
        <v>720338.0730320001</v>
      </c>
      <c r="Q33" s="263">
        <f t="shared" si="3"/>
        <v>863202723.05643666</v>
      </c>
      <c r="R33" s="262"/>
      <c r="S33" s="262"/>
      <c r="T33" s="262"/>
      <c r="U33" s="262"/>
      <c r="V33" s="262"/>
      <c r="W33" s="264"/>
      <c r="X33" s="265" t="s">
        <v>221</v>
      </c>
      <c r="Y33" s="267"/>
      <c r="Z33" s="267"/>
      <c r="AA33" s="263">
        <f t="shared" ref="AA33:AA37" si="8">Q33/$D$1</f>
        <v>6122873.6207720013</v>
      </c>
      <c r="AB33" s="268"/>
      <c r="AC33" s="313"/>
      <c r="AD33" s="314"/>
      <c r="AE33" s="269">
        <f>AB33/600</f>
        <v>0</v>
      </c>
    </row>
    <row r="34" spans="2:31" x14ac:dyDescent="0.35">
      <c r="B34" s="242"/>
      <c r="C34" s="243"/>
      <c r="D34" s="271"/>
      <c r="E34" s="272"/>
      <c r="F34" s="273" t="s">
        <v>187</v>
      </c>
      <c r="G34" s="274" t="s">
        <v>188</v>
      </c>
      <c r="H34" s="275"/>
      <c r="I34" s="276"/>
      <c r="J34" s="277" t="s">
        <v>189</v>
      </c>
      <c r="K34" s="278">
        <v>1</v>
      </c>
      <c r="L34" s="279">
        <f>O33/10</f>
        <v>119.833</v>
      </c>
      <c r="M34" s="235">
        <f>3*2</f>
        <v>6</v>
      </c>
      <c r="N34" s="235">
        <v>1</v>
      </c>
      <c r="O34" s="233">
        <f t="shared" si="2"/>
        <v>718.99800000000005</v>
      </c>
      <c r="P34" s="301">
        <v>149108.51999999999</v>
      </c>
      <c r="Q34" s="235">
        <f t="shared" si="3"/>
        <v>107208727.66295999</v>
      </c>
      <c r="R34" s="233"/>
      <c r="S34" s="233"/>
      <c r="T34" s="233"/>
      <c r="U34" s="233"/>
      <c r="V34" s="233"/>
      <c r="W34" s="241"/>
      <c r="X34" s="280" t="s">
        <v>208</v>
      </c>
      <c r="AA34" s="301">
        <f t="shared" si="8"/>
        <v>760453.45200000005</v>
      </c>
      <c r="AB34" s="302"/>
    </row>
    <row r="35" spans="2:31" x14ac:dyDescent="0.35">
      <c r="B35" s="242"/>
      <c r="C35" s="243"/>
      <c r="D35" s="271"/>
      <c r="E35" s="272"/>
      <c r="F35" s="286" t="s">
        <v>209</v>
      </c>
      <c r="G35" s="274" t="s">
        <v>210</v>
      </c>
      <c r="H35" s="275"/>
      <c r="I35" s="276"/>
      <c r="J35" s="277" t="s">
        <v>210</v>
      </c>
      <c r="K35" s="278">
        <v>0</v>
      </c>
      <c r="L35" s="279">
        <f>(O33*18)/400</f>
        <v>53.924849999999999</v>
      </c>
      <c r="M35" s="235">
        <v>2</v>
      </c>
      <c r="N35" s="235">
        <v>1</v>
      </c>
      <c r="O35" s="233">
        <f t="shared" si="2"/>
        <v>0</v>
      </c>
      <c r="P35" s="301">
        <v>207500</v>
      </c>
      <c r="Q35" s="235">
        <f t="shared" si="3"/>
        <v>0</v>
      </c>
      <c r="R35" s="233"/>
      <c r="S35" s="233"/>
      <c r="T35" s="233"/>
      <c r="U35" s="233"/>
      <c r="V35" s="233"/>
      <c r="W35" s="241"/>
      <c r="X35" s="280" t="s">
        <v>218</v>
      </c>
      <c r="AA35" s="301">
        <f t="shared" si="8"/>
        <v>0</v>
      </c>
      <c r="AB35" s="302"/>
    </row>
    <row r="36" spans="2:31" ht="28.5" x14ac:dyDescent="0.35">
      <c r="B36" s="290"/>
      <c r="C36" s="291"/>
      <c r="D36" s="315" t="s">
        <v>222</v>
      </c>
      <c r="E36" s="292"/>
      <c r="F36" s="293" t="s">
        <v>215</v>
      </c>
      <c r="G36" s="294" t="s">
        <v>205</v>
      </c>
      <c r="H36" s="295"/>
      <c r="I36" s="296"/>
      <c r="J36" s="297" t="s">
        <v>206</v>
      </c>
      <c r="K36" s="298">
        <v>1</v>
      </c>
      <c r="L36" s="299">
        <v>140.97999999999999</v>
      </c>
      <c r="M36" s="316">
        <f>600/60</f>
        <v>10</v>
      </c>
      <c r="N36" s="301">
        <v>1</v>
      </c>
      <c r="O36" s="300">
        <f t="shared" si="2"/>
        <v>1409.8</v>
      </c>
      <c r="P36" s="301">
        <v>720338.0730320001</v>
      </c>
      <c r="Q36" s="301">
        <f>P36*$O36</f>
        <v>1015532615.3605137</v>
      </c>
      <c r="R36" s="233">
        <v>720338.0730320001</v>
      </c>
      <c r="S36" s="233">
        <f>R36*$O36</f>
        <v>1015532615.3605137</v>
      </c>
      <c r="T36" s="233">
        <v>761671.70213055995</v>
      </c>
      <c r="U36" s="233">
        <f>T36*$O36</f>
        <v>1073804765.6636634</v>
      </c>
      <c r="V36" s="233">
        <f>W36/O36</f>
        <v>734115.94939818676</v>
      </c>
      <c r="W36" s="241">
        <f t="shared" si="7"/>
        <v>1034956665.4615636</v>
      </c>
      <c r="X36" s="280" t="s">
        <v>221</v>
      </c>
      <c r="AA36" s="301">
        <f t="shared" si="8"/>
        <v>7203380.730320001</v>
      </c>
      <c r="AB36" s="302"/>
      <c r="AC36" s="168"/>
      <c r="AE36" s="303">
        <f>AA36/600</f>
        <v>12005.634550533336</v>
      </c>
    </row>
    <row r="37" spans="2:31" x14ac:dyDescent="0.35">
      <c r="B37" s="242"/>
      <c r="C37" s="243"/>
      <c r="D37" s="271"/>
      <c r="E37" s="272"/>
      <c r="F37" s="273" t="s">
        <v>187</v>
      </c>
      <c r="G37" s="274" t="s">
        <v>188</v>
      </c>
      <c r="H37" s="275"/>
      <c r="I37" s="276"/>
      <c r="J37" s="277" t="s">
        <v>189</v>
      </c>
      <c r="K37" s="278">
        <v>1</v>
      </c>
      <c r="L37" s="279">
        <f>O36/10</f>
        <v>140.97999999999999</v>
      </c>
      <c r="M37" s="235">
        <f>3*2</f>
        <v>6</v>
      </c>
      <c r="N37" s="235">
        <v>1</v>
      </c>
      <c r="O37" s="233">
        <f t="shared" si="2"/>
        <v>845.87999999999988</v>
      </c>
      <c r="P37" s="301">
        <v>149108.51999999999</v>
      </c>
      <c r="Q37" s="235">
        <f t="shared" ref="Q37:Q38" si="9">P37*$O37</f>
        <v>126127914.89759998</v>
      </c>
      <c r="R37" s="233"/>
      <c r="S37" s="233"/>
      <c r="T37" s="233"/>
      <c r="U37" s="233"/>
      <c r="V37" s="233"/>
      <c r="W37" s="241"/>
      <c r="X37" s="280" t="s">
        <v>223</v>
      </c>
      <c r="AA37" s="301">
        <f t="shared" si="8"/>
        <v>894651.11999999988</v>
      </c>
      <c r="AB37" s="302"/>
    </row>
    <row r="38" spans="2:31" x14ac:dyDescent="0.35">
      <c r="B38" s="242"/>
      <c r="C38" s="243"/>
      <c r="D38" s="271"/>
      <c r="E38" s="272"/>
      <c r="F38" s="286" t="s">
        <v>209</v>
      </c>
      <c r="G38" s="274" t="s">
        <v>210</v>
      </c>
      <c r="H38" s="275"/>
      <c r="I38" s="276"/>
      <c r="J38" s="277" t="s">
        <v>210</v>
      </c>
      <c r="K38" s="278">
        <v>0</v>
      </c>
      <c r="L38" s="279">
        <f>(O36*18)/400</f>
        <v>63.440999999999995</v>
      </c>
      <c r="M38" s="235">
        <v>2</v>
      </c>
      <c r="N38" s="235">
        <v>1</v>
      </c>
      <c r="O38" s="233">
        <f t="shared" si="2"/>
        <v>0</v>
      </c>
      <c r="P38" s="301">
        <v>207500</v>
      </c>
      <c r="Q38" s="235">
        <f t="shared" si="9"/>
        <v>0</v>
      </c>
      <c r="R38" s="233"/>
      <c r="S38" s="233"/>
      <c r="T38" s="233"/>
      <c r="U38" s="233"/>
      <c r="V38" s="233"/>
      <c r="W38" s="241"/>
      <c r="X38" s="280" t="s">
        <v>218</v>
      </c>
      <c r="AA38" s="282"/>
      <c r="AB38" s="302"/>
    </row>
    <row r="39" spans="2:31" x14ac:dyDescent="0.35">
      <c r="B39" s="275"/>
      <c r="C39" s="276"/>
      <c r="D39" s="276" t="s">
        <v>224</v>
      </c>
      <c r="E39" s="288"/>
      <c r="F39" s="273"/>
      <c r="G39" s="274"/>
      <c r="H39" s="275"/>
      <c r="I39" s="276"/>
      <c r="J39" s="277"/>
      <c r="K39" s="278"/>
      <c r="L39" s="289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41"/>
      <c r="X39" s="232"/>
      <c r="AA39" s="232"/>
      <c r="AB39" s="232"/>
    </row>
    <row r="40" spans="2:31" x14ac:dyDescent="0.35">
      <c r="B40" s="283"/>
      <c r="C40" s="307"/>
      <c r="D40" s="307"/>
      <c r="E40" s="308" t="s">
        <v>225</v>
      </c>
      <c r="F40" s="273" t="s">
        <v>187</v>
      </c>
      <c r="G40" s="274" t="s">
        <v>188</v>
      </c>
      <c r="H40" s="275"/>
      <c r="I40" s="276"/>
      <c r="J40" s="277"/>
      <c r="K40" s="278">
        <v>1</v>
      </c>
      <c r="L40" s="317">
        <f>140.98</f>
        <v>140.97999999999999</v>
      </c>
      <c r="M40" s="233">
        <v>0.25</v>
      </c>
      <c r="N40" s="233">
        <v>1</v>
      </c>
      <c r="O40" s="233">
        <f>K40*L40*M40*N40</f>
        <v>35.244999999999997</v>
      </c>
      <c r="P40" s="301">
        <v>149108.51999999999</v>
      </c>
      <c r="Q40" s="233">
        <f>P40*$O40</f>
        <v>5255329.7873999989</v>
      </c>
      <c r="R40" s="233">
        <v>149108.51999999999</v>
      </c>
      <c r="S40" s="233">
        <f>R40*$O40</f>
        <v>5255329.7873999989</v>
      </c>
      <c r="T40" s="233">
        <v>158800.57379999998</v>
      </c>
      <c r="U40" s="233">
        <f>T40*$O40</f>
        <v>5596926.2235809993</v>
      </c>
      <c r="V40" s="233">
        <f>W40/O40</f>
        <v>152339.20459999997</v>
      </c>
      <c r="W40" s="241">
        <f>AVERAGEIF($P$4:$U$4,W$4,$P40:$U40)</f>
        <v>5369195.2661269987</v>
      </c>
      <c r="X40" s="232" t="s">
        <v>226</v>
      </c>
      <c r="Y40" s="281">
        <f>Q40/L40</f>
        <v>37277.129999999997</v>
      </c>
      <c r="AA40" s="301">
        <f t="shared" ref="AA40:AA42" si="10">Q40/$D$1</f>
        <v>37277.129999999997</v>
      </c>
      <c r="AB40" s="232"/>
    </row>
    <row r="41" spans="2:31" x14ac:dyDescent="0.35">
      <c r="B41" s="275"/>
      <c r="C41" s="276"/>
      <c r="D41" s="276"/>
      <c r="E41" s="276" t="s">
        <v>227</v>
      </c>
      <c r="F41" s="273" t="s">
        <v>215</v>
      </c>
      <c r="G41" s="274" t="s">
        <v>205</v>
      </c>
      <c r="H41" s="275"/>
      <c r="I41" s="276"/>
      <c r="J41" s="277" t="s">
        <v>206</v>
      </c>
      <c r="K41" s="278">
        <v>1</v>
      </c>
      <c r="L41" s="289">
        <v>140.97999999999999</v>
      </c>
      <c r="M41" s="233">
        <v>1.45</v>
      </c>
      <c r="N41" s="233">
        <v>1</v>
      </c>
      <c r="O41" s="233">
        <f>K41*L41*M41*N41</f>
        <v>204.42099999999999</v>
      </c>
      <c r="P41" s="301">
        <v>720338.0730320001</v>
      </c>
      <c r="Q41" s="235">
        <f t="shared" si="3"/>
        <v>147252229.22727448</v>
      </c>
      <c r="R41" s="233">
        <v>720338.0730320001</v>
      </c>
      <c r="S41" s="233">
        <f t="shared" si="4"/>
        <v>147252229.22727448</v>
      </c>
      <c r="T41" s="233">
        <v>761671.70213055995</v>
      </c>
      <c r="U41" s="233">
        <f t="shared" si="5"/>
        <v>155701691.02123117</v>
      </c>
      <c r="V41" s="233">
        <f t="shared" si="6"/>
        <v>734115.94939818664</v>
      </c>
      <c r="W41" s="241">
        <f t="shared" si="7"/>
        <v>150068716.4919267</v>
      </c>
      <c r="X41" s="232" t="s">
        <v>228</v>
      </c>
      <c r="Y41" s="281">
        <f>Q41/192.08</f>
        <v>766619.26919655595</v>
      </c>
      <c r="AA41" s="301">
        <f t="shared" si="10"/>
        <v>1044490.2058964001</v>
      </c>
      <c r="AB41" s="232"/>
    </row>
    <row r="42" spans="2:31" x14ac:dyDescent="0.35">
      <c r="B42" s="290"/>
      <c r="C42" s="291"/>
      <c r="D42" s="291"/>
      <c r="E42" s="315"/>
      <c r="F42" s="293" t="s">
        <v>187</v>
      </c>
      <c r="G42" s="294" t="s">
        <v>188</v>
      </c>
      <c r="H42" s="295"/>
      <c r="I42" s="296"/>
      <c r="J42" s="297" t="s">
        <v>189</v>
      </c>
      <c r="K42" s="298">
        <v>1</v>
      </c>
      <c r="L42" s="304">
        <f>O41/10</f>
        <v>20.4421</v>
      </c>
      <c r="M42" s="301">
        <f>3*2</f>
        <v>6</v>
      </c>
      <c r="N42" s="301">
        <v>1</v>
      </c>
      <c r="O42" s="300">
        <f t="shared" ref="O42:O43" si="11">K42*L42*M42*N42</f>
        <v>122.65260000000001</v>
      </c>
      <c r="P42" s="301">
        <v>149108.51999999999</v>
      </c>
      <c r="Q42" s="301">
        <f t="shared" si="3"/>
        <v>18288547.660151999</v>
      </c>
      <c r="R42" s="300"/>
      <c r="S42" s="300"/>
      <c r="T42" s="300"/>
      <c r="U42" s="300"/>
      <c r="V42" s="300"/>
      <c r="W42" s="241"/>
      <c r="X42" s="113" t="s">
        <v>223</v>
      </c>
      <c r="Y42" s="305"/>
      <c r="Z42" s="98"/>
      <c r="AA42" s="301">
        <f t="shared" si="10"/>
        <v>129724.4124</v>
      </c>
      <c r="AB42" s="232"/>
    </row>
    <row r="43" spans="2:31" x14ac:dyDescent="0.35">
      <c r="B43" s="290"/>
      <c r="C43" s="291"/>
      <c r="D43" s="291"/>
      <c r="E43" s="291"/>
      <c r="F43" s="286" t="s">
        <v>209</v>
      </c>
      <c r="G43" s="274" t="s">
        <v>210</v>
      </c>
      <c r="H43" s="275"/>
      <c r="I43" s="276"/>
      <c r="J43" s="277" t="s">
        <v>210</v>
      </c>
      <c r="K43" s="278">
        <v>0</v>
      </c>
      <c r="L43" s="279">
        <f>(O41*18)/400</f>
        <v>9.1989450000000001</v>
      </c>
      <c r="M43" s="235">
        <v>2</v>
      </c>
      <c r="N43" s="235">
        <v>1</v>
      </c>
      <c r="O43" s="233">
        <f t="shared" si="11"/>
        <v>0</v>
      </c>
      <c r="P43" s="301">
        <v>207500</v>
      </c>
      <c r="Q43" s="235">
        <f t="shared" si="3"/>
        <v>0</v>
      </c>
      <c r="R43" s="233"/>
      <c r="S43" s="233"/>
      <c r="T43" s="233"/>
      <c r="U43" s="233"/>
      <c r="V43" s="233"/>
      <c r="W43" s="241"/>
      <c r="X43" s="280" t="s">
        <v>218</v>
      </c>
      <c r="Y43" s="281"/>
      <c r="AA43" s="302">
        <f>Q43/140.98</f>
        <v>0</v>
      </c>
      <c r="AB43" s="232"/>
    </row>
    <row r="44" spans="2:31" x14ac:dyDescent="0.35">
      <c r="B44" s="290"/>
      <c r="C44" s="291"/>
      <c r="D44" s="291" t="s">
        <v>229</v>
      </c>
      <c r="E44" s="306"/>
      <c r="F44" s="273" t="s">
        <v>187</v>
      </c>
      <c r="G44" s="274" t="s">
        <v>188</v>
      </c>
      <c r="H44" s="275"/>
      <c r="I44" s="276"/>
      <c r="J44" s="277" t="s">
        <v>189</v>
      </c>
      <c r="K44" s="278">
        <v>1</v>
      </c>
      <c r="L44" s="289">
        <v>192.08</v>
      </c>
      <c r="M44" s="233">
        <v>1.5</v>
      </c>
      <c r="N44" s="235">
        <v>1</v>
      </c>
      <c r="O44" s="233">
        <f>K44*L44*M44*N44</f>
        <v>288.12</v>
      </c>
      <c r="P44" s="301">
        <v>149108.51999999999</v>
      </c>
      <c r="Q44" s="235">
        <f t="shared" si="3"/>
        <v>42961146.782399997</v>
      </c>
      <c r="R44" s="233">
        <v>149108.51999999999</v>
      </c>
      <c r="S44" s="233">
        <f t="shared" si="4"/>
        <v>42961146.782399997</v>
      </c>
      <c r="T44" s="233">
        <v>158800.57379999998</v>
      </c>
      <c r="U44" s="233">
        <f t="shared" si="5"/>
        <v>45753621.323255993</v>
      </c>
      <c r="V44" s="233">
        <f t="shared" si="6"/>
        <v>152339.2046</v>
      </c>
      <c r="W44" s="241">
        <f t="shared" si="7"/>
        <v>43891971.629351996</v>
      </c>
      <c r="X44" s="232"/>
      <c r="AA44" s="302">
        <f>Q44/$D$2</f>
        <v>223662.77999999997</v>
      </c>
      <c r="AB44" s="232"/>
    </row>
    <row r="45" spans="2:31" x14ac:dyDescent="0.35">
      <c r="B45" s="242"/>
      <c r="C45" s="243"/>
      <c r="D45" s="243"/>
      <c r="E45" s="244"/>
      <c r="F45" s="273" t="s">
        <v>230</v>
      </c>
      <c r="G45" s="274" t="s">
        <v>193</v>
      </c>
      <c r="H45" s="275"/>
      <c r="I45" s="276"/>
      <c r="J45" s="277" t="s">
        <v>189</v>
      </c>
      <c r="K45" s="278">
        <v>1</v>
      </c>
      <c r="L45" s="289">
        <v>192.08</v>
      </c>
      <c r="M45" s="233">
        <v>3.1E-2</v>
      </c>
      <c r="N45" s="235">
        <v>1</v>
      </c>
      <c r="O45" s="233">
        <f>K45*L45*M45*N45</f>
        <v>5.9544800000000002</v>
      </c>
      <c r="P45" s="301">
        <v>1434791.925</v>
      </c>
      <c r="Q45" s="235">
        <f t="shared" si="3"/>
        <v>8543439.8215740006</v>
      </c>
      <c r="R45" s="233">
        <v>1434791.925</v>
      </c>
      <c r="S45" s="233">
        <f t="shared" si="4"/>
        <v>8543439.8215740006</v>
      </c>
      <c r="T45" s="233">
        <v>1506531.5212500002</v>
      </c>
      <c r="U45" s="233">
        <f t="shared" si="5"/>
        <v>8970611.8126527015</v>
      </c>
      <c r="V45" s="233">
        <f t="shared" si="6"/>
        <v>1458705.1237500003</v>
      </c>
      <c r="W45" s="241">
        <f t="shared" si="7"/>
        <v>8685830.4852669016</v>
      </c>
      <c r="X45" s="232"/>
      <c r="AA45" s="302">
        <f t="shared" ref="AA45:AA56" si="12">Q45/$D$2</f>
        <v>44478.549675000002</v>
      </c>
      <c r="AB45" s="232"/>
    </row>
    <row r="46" spans="2:31" x14ac:dyDescent="0.35">
      <c r="B46" s="245"/>
      <c r="C46" s="246"/>
      <c r="D46" s="246"/>
      <c r="E46" s="251"/>
      <c r="F46" s="225" t="s">
        <v>231</v>
      </c>
      <c r="G46" s="226" t="s">
        <v>232</v>
      </c>
      <c r="H46" s="227"/>
      <c r="I46" s="228"/>
      <c r="J46" s="229" t="s">
        <v>189</v>
      </c>
      <c r="K46" s="239">
        <v>0.23499999999999999</v>
      </c>
      <c r="L46" s="289">
        <v>192.08</v>
      </c>
      <c r="M46" s="233">
        <v>0.9</v>
      </c>
      <c r="N46" s="235">
        <v>1</v>
      </c>
      <c r="O46" s="233">
        <f t="shared" ref="O46:O67" si="13">K46*L46*M46*N46</f>
        <v>40.624920000000003</v>
      </c>
      <c r="P46" s="301">
        <v>35343</v>
      </c>
      <c r="Q46" s="235">
        <f t="shared" si="3"/>
        <v>1435806.5475600001</v>
      </c>
      <c r="R46" s="233"/>
      <c r="S46" s="233"/>
      <c r="T46" s="233"/>
      <c r="U46" s="233"/>
      <c r="V46" s="233"/>
      <c r="W46" s="233"/>
      <c r="X46" s="232"/>
      <c r="AA46" s="302">
        <f t="shared" si="12"/>
        <v>7475.0445</v>
      </c>
      <c r="AB46" s="232"/>
    </row>
    <row r="47" spans="2:31" x14ac:dyDescent="0.35">
      <c r="B47" s="245"/>
      <c r="C47" s="246"/>
      <c r="D47" s="246"/>
      <c r="E47" s="251"/>
      <c r="F47" s="225" t="s">
        <v>233</v>
      </c>
      <c r="G47" s="226" t="s">
        <v>191</v>
      </c>
      <c r="H47" s="227"/>
      <c r="I47" s="228"/>
      <c r="J47" s="229" t="s">
        <v>189</v>
      </c>
      <c r="K47" s="239">
        <v>0.74</v>
      </c>
      <c r="L47" s="289">
        <v>192.08</v>
      </c>
      <c r="M47" s="233">
        <v>3.5999999999999997E-2</v>
      </c>
      <c r="N47" s="235">
        <v>1</v>
      </c>
      <c r="O47" s="233">
        <f t="shared" si="13"/>
        <v>5.1170112000000003</v>
      </c>
      <c r="P47" s="301">
        <v>96390</v>
      </c>
      <c r="Q47" s="235">
        <f t="shared" si="3"/>
        <v>493228.70956800005</v>
      </c>
      <c r="R47" s="233">
        <v>96390</v>
      </c>
      <c r="S47" s="233">
        <f t="shared" ref="S47:S56" si="14">R47*$O47</f>
        <v>493228.70956800005</v>
      </c>
      <c r="T47" s="233">
        <v>101209.5</v>
      </c>
      <c r="U47" s="233">
        <f t="shared" ref="U47:U56" si="15">T47*$O47</f>
        <v>517890.14504640002</v>
      </c>
      <c r="V47" s="233">
        <f t="shared" ref="V47:V55" si="16">W47/O47</f>
        <v>97996.500000000015</v>
      </c>
      <c r="W47" s="241">
        <f t="shared" ref="W47:W56" si="17">AVERAGEIF($P$4:$U$4,W$4,$P47:$U47)</f>
        <v>501449.18806080008</v>
      </c>
      <c r="X47" s="232"/>
      <c r="AA47" s="302">
        <f t="shared" si="12"/>
        <v>2567.8296</v>
      </c>
      <c r="AB47" s="232"/>
    </row>
    <row r="48" spans="2:31" x14ac:dyDescent="0.35">
      <c r="B48" s="245"/>
      <c r="C48" s="246"/>
      <c r="D48" s="246"/>
      <c r="E48" s="251"/>
      <c r="F48" s="225" t="s">
        <v>234</v>
      </c>
      <c r="G48" s="226" t="s">
        <v>232</v>
      </c>
      <c r="H48" s="227"/>
      <c r="I48" s="228"/>
      <c r="J48" s="229" t="s">
        <v>189</v>
      </c>
      <c r="K48" s="239">
        <v>0.5</v>
      </c>
      <c r="L48" s="289">
        <v>192.08</v>
      </c>
      <c r="M48" s="233">
        <v>0.9</v>
      </c>
      <c r="N48" s="235">
        <v>1</v>
      </c>
      <c r="O48" s="233">
        <f t="shared" si="13"/>
        <v>86.436000000000007</v>
      </c>
      <c r="P48" s="301">
        <v>28381.5</v>
      </c>
      <c r="Q48" s="235">
        <f t="shared" si="3"/>
        <v>2453183.3340000003</v>
      </c>
      <c r="R48" s="233">
        <v>28381.5</v>
      </c>
      <c r="S48" s="233">
        <f t="shared" si="14"/>
        <v>2453183.3340000003</v>
      </c>
      <c r="T48" s="233">
        <v>29800.575000000001</v>
      </c>
      <c r="U48" s="233">
        <f t="shared" si="15"/>
        <v>2575842.5007000002</v>
      </c>
      <c r="V48" s="233">
        <f t="shared" si="16"/>
        <v>28854.524999999998</v>
      </c>
      <c r="W48" s="241">
        <f t="shared" si="17"/>
        <v>2494069.7228999999</v>
      </c>
      <c r="X48" s="232"/>
      <c r="AA48" s="302">
        <f t="shared" si="12"/>
        <v>12771.675000000001</v>
      </c>
      <c r="AB48" s="232"/>
    </row>
    <row r="49" spans="2:28" x14ac:dyDescent="0.35">
      <c r="B49" s="245"/>
      <c r="C49" s="246"/>
      <c r="D49" s="246"/>
      <c r="E49" s="251"/>
      <c r="F49" s="225" t="s">
        <v>235</v>
      </c>
      <c r="G49" s="226" t="s">
        <v>232</v>
      </c>
      <c r="H49" s="227"/>
      <c r="I49" s="228"/>
      <c r="J49" s="229" t="s">
        <v>189</v>
      </c>
      <c r="K49" s="239">
        <v>0.74</v>
      </c>
      <c r="L49" s="289">
        <v>192.08</v>
      </c>
      <c r="M49" s="233">
        <v>0.27</v>
      </c>
      <c r="N49" s="235">
        <v>1</v>
      </c>
      <c r="O49" s="233">
        <f t="shared" si="13"/>
        <v>38.377584000000006</v>
      </c>
      <c r="P49" s="301">
        <v>44982</v>
      </c>
      <c r="Q49" s="235">
        <f t="shared" si="3"/>
        <v>1726300.4834880002</v>
      </c>
      <c r="R49" s="233">
        <v>44982</v>
      </c>
      <c r="S49" s="233">
        <f t="shared" si="14"/>
        <v>1726300.4834880002</v>
      </c>
      <c r="T49" s="233">
        <v>47231.1</v>
      </c>
      <c r="U49" s="233">
        <f t="shared" si="15"/>
        <v>1812615.5076624001</v>
      </c>
      <c r="V49" s="233">
        <f t="shared" si="16"/>
        <v>45731.7</v>
      </c>
      <c r="W49" s="241">
        <f t="shared" si="17"/>
        <v>1755072.1582128003</v>
      </c>
      <c r="X49" s="232"/>
      <c r="AA49" s="302">
        <f t="shared" si="12"/>
        <v>8987.4036000000015</v>
      </c>
      <c r="AB49" s="232"/>
    </row>
    <row r="50" spans="2:28" x14ac:dyDescent="0.35">
      <c r="B50" s="245"/>
      <c r="C50" s="246"/>
      <c r="D50" s="246"/>
      <c r="E50" s="251"/>
      <c r="F50" s="225" t="s">
        <v>236</v>
      </c>
      <c r="G50" s="226" t="s">
        <v>188</v>
      </c>
      <c r="H50" s="227"/>
      <c r="I50" s="228"/>
      <c r="J50" s="229" t="s">
        <v>189</v>
      </c>
      <c r="K50" s="239">
        <v>1</v>
      </c>
      <c r="L50" s="289">
        <v>192.08</v>
      </c>
      <c r="M50" s="233">
        <f>M44</f>
        <v>1.5</v>
      </c>
      <c r="N50" s="235">
        <v>1</v>
      </c>
      <c r="O50" s="233">
        <f t="shared" si="13"/>
        <v>288.12</v>
      </c>
      <c r="P50" s="301">
        <v>3940.5</v>
      </c>
      <c r="Q50" s="235">
        <f t="shared" si="3"/>
        <v>1135336.8600000001</v>
      </c>
      <c r="R50" s="233">
        <v>3940.5</v>
      </c>
      <c r="S50" s="233">
        <f t="shared" si="14"/>
        <v>1135336.8600000001</v>
      </c>
      <c r="T50" s="233">
        <v>4196.6324999999997</v>
      </c>
      <c r="U50" s="233">
        <f t="shared" si="15"/>
        <v>1209133.7559</v>
      </c>
      <c r="V50" s="233">
        <f t="shared" si="16"/>
        <v>4025.8774999999996</v>
      </c>
      <c r="W50" s="241">
        <f t="shared" si="17"/>
        <v>1159935.8252999999</v>
      </c>
      <c r="X50" s="232"/>
      <c r="AA50" s="302">
        <f t="shared" si="12"/>
        <v>5910.75</v>
      </c>
      <c r="AB50" s="232"/>
    </row>
    <row r="51" spans="2:28" x14ac:dyDescent="0.35">
      <c r="B51" s="245"/>
      <c r="C51" s="246"/>
      <c r="D51" s="246"/>
      <c r="E51" s="251"/>
      <c r="F51" s="232" t="s">
        <v>237</v>
      </c>
      <c r="G51" s="318" t="s">
        <v>193</v>
      </c>
      <c r="H51" s="319">
        <v>4</v>
      </c>
      <c r="I51" s="320" t="s">
        <v>238</v>
      </c>
      <c r="J51" s="229" t="s">
        <v>189</v>
      </c>
      <c r="K51" s="239">
        <v>1</v>
      </c>
      <c r="L51" s="289">
        <v>192.08</v>
      </c>
      <c r="M51" s="321">
        <f>((M$44*N$44)/240*($H51/N51))</f>
        <v>2.5000000000000001E-2</v>
      </c>
      <c r="N51" s="235">
        <v>1</v>
      </c>
      <c r="O51" s="233">
        <f t="shared" si="13"/>
        <v>4.8020000000000005</v>
      </c>
      <c r="P51" s="301">
        <v>44982</v>
      </c>
      <c r="Q51" s="235">
        <f t="shared" si="3"/>
        <v>216003.56400000001</v>
      </c>
      <c r="R51" s="233">
        <v>44982</v>
      </c>
      <c r="S51" s="233">
        <f t="shared" si="14"/>
        <v>216003.56400000001</v>
      </c>
      <c r="T51" s="233">
        <v>47231.1</v>
      </c>
      <c r="U51" s="233">
        <f t="shared" si="15"/>
        <v>226803.74220000001</v>
      </c>
      <c r="V51" s="233">
        <f t="shared" si="16"/>
        <v>45731.7</v>
      </c>
      <c r="W51" s="241">
        <f t="shared" si="17"/>
        <v>219603.62340000001</v>
      </c>
      <c r="X51" s="232"/>
      <c r="AA51" s="302">
        <f t="shared" si="12"/>
        <v>1124.55</v>
      </c>
      <c r="AB51" s="232"/>
    </row>
    <row r="52" spans="2:28" x14ac:dyDescent="0.35">
      <c r="B52" s="245"/>
      <c r="C52" s="246"/>
      <c r="D52" s="246"/>
      <c r="E52" s="251"/>
      <c r="F52" s="232" t="s">
        <v>239</v>
      </c>
      <c r="G52" s="318" t="s">
        <v>193</v>
      </c>
      <c r="H52" s="319">
        <v>12</v>
      </c>
      <c r="I52" s="320" t="s">
        <v>238</v>
      </c>
      <c r="J52" s="229" t="s">
        <v>189</v>
      </c>
      <c r="K52" s="239">
        <v>1</v>
      </c>
      <c r="L52" s="289">
        <v>192.08</v>
      </c>
      <c r="M52" s="321">
        <f>((M$44*N$44)/240*($H52/N52))</f>
        <v>7.5000000000000011E-2</v>
      </c>
      <c r="N52" s="235">
        <v>1</v>
      </c>
      <c r="O52" s="233">
        <f t="shared" si="13"/>
        <v>14.406000000000002</v>
      </c>
      <c r="P52" s="301">
        <v>14700</v>
      </c>
      <c r="Q52" s="235">
        <f t="shared" si="3"/>
        <v>211768.20000000004</v>
      </c>
      <c r="R52" s="233">
        <v>14700</v>
      </c>
      <c r="S52" s="233">
        <f t="shared" si="14"/>
        <v>211768.20000000004</v>
      </c>
      <c r="T52" s="233">
        <v>15435</v>
      </c>
      <c r="U52" s="233">
        <f t="shared" si="15"/>
        <v>222356.61000000004</v>
      </c>
      <c r="V52" s="233">
        <f t="shared" si="16"/>
        <v>14945</v>
      </c>
      <c r="W52" s="241">
        <f t="shared" si="17"/>
        <v>215297.67000000004</v>
      </c>
      <c r="X52" s="232"/>
      <c r="AA52" s="302">
        <f t="shared" si="12"/>
        <v>1102.5000000000002</v>
      </c>
      <c r="AB52" s="232"/>
    </row>
    <row r="53" spans="2:28" x14ac:dyDescent="0.35">
      <c r="B53" s="245"/>
      <c r="C53" s="246"/>
      <c r="D53" s="246"/>
      <c r="E53" s="251"/>
      <c r="F53" s="232" t="s">
        <v>240</v>
      </c>
      <c r="G53" s="318" t="s">
        <v>193</v>
      </c>
      <c r="H53" s="319">
        <v>1</v>
      </c>
      <c r="I53" s="320" t="s">
        <v>238</v>
      </c>
      <c r="J53" s="229" t="s">
        <v>189</v>
      </c>
      <c r="K53" s="239">
        <v>1</v>
      </c>
      <c r="L53" s="289">
        <v>192.08</v>
      </c>
      <c r="M53" s="321">
        <f>((M$44*N$44)/240*($H53/N53))</f>
        <v>6.2500000000000003E-3</v>
      </c>
      <c r="N53" s="235">
        <v>1</v>
      </c>
      <c r="O53" s="233">
        <f t="shared" si="13"/>
        <v>1.2005000000000001</v>
      </c>
      <c r="P53" s="301">
        <v>39359.25</v>
      </c>
      <c r="Q53" s="235">
        <f t="shared" si="3"/>
        <v>47250.779625000003</v>
      </c>
      <c r="R53" s="233">
        <v>39359.25</v>
      </c>
      <c r="S53" s="233">
        <f t="shared" si="14"/>
        <v>47250.779625000003</v>
      </c>
      <c r="T53" s="233">
        <v>41327.212500000001</v>
      </c>
      <c r="U53" s="233">
        <f t="shared" si="15"/>
        <v>49613.31860625001</v>
      </c>
      <c r="V53" s="233">
        <f t="shared" si="16"/>
        <v>40015.237500000003</v>
      </c>
      <c r="W53" s="241">
        <f t="shared" si="17"/>
        <v>48038.292618750005</v>
      </c>
      <c r="X53" s="232"/>
      <c r="AA53" s="302">
        <f t="shared" si="12"/>
        <v>245.99531250000001</v>
      </c>
      <c r="AB53" s="232"/>
    </row>
    <row r="54" spans="2:28" x14ac:dyDescent="0.35">
      <c r="B54" s="245"/>
      <c r="C54" s="246"/>
      <c r="D54" s="246"/>
      <c r="E54" s="251"/>
      <c r="F54" s="232" t="s">
        <v>241</v>
      </c>
      <c r="G54" s="318" t="s">
        <v>193</v>
      </c>
      <c r="H54" s="319">
        <v>2</v>
      </c>
      <c r="I54" s="320" t="s">
        <v>238</v>
      </c>
      <c r="J54" s="229" t="s">
        <v>189</v>
      </c>
      <c r="K54" s="239">
        <v>1</v>
      </c>
      <c r="L54" s="289">
        <v>192.08</v>
      </c>
      <c r="M54" s="321">
        <f>((M$44*N$44)/240*($H54/N54))</f>
        <v>1.2500000000000001E-2</v>
      </c>
      <c r="N54" s="235">
        <v>1</v>
      </c>
      <c r="O54" s="233">
        <f t="shared" si="13"/>
        <v>2.4010000000000002</v>
      </c>
      <c r="P54" s="301">
        <v>33736.5</v>
      </c>
      <c r="Q54" s="235">
        <f t="shared" si="3"/>
        <v>81001.336500000005</v>
      </c>
      <c r="R54" s="233">
        <v>33736.5</v>
      </c>
      <c r="S54" s="233">
        <f t="shared" si="14"/>
        <v>81001.336500000005</v>
      </c>
      <c r="T54" s="233">
        <v>35423.325000000004</v>
      </c>
      <c r="U54" s="233">
        <f t="shared" si="15"/>
        <v>85051.403325000021</v>
      </c>
      <c r="V54" s="233">
        <f t="shared" si="16"/>
        <v>34298.775000000001</v>
      </c>
      <c r="W54" s="241">
        <f t="shared" si="17"/>
        <v>82351.358775000015</v>
      </c>
      <c r="X54" s="232"/>
      <c r="AA54" s="302">
        <f t="shared" si="12"/>
        <v>421.70625000000001</v>
      </c>
      <c r="AB54" s="232"/>
    </row>
    <row r="55" spans="2:28" x14ac:dyDescent="0.35">
      <c r="B55" s="245"/>
      <c r="C55" s="246"/>
      <c r="D55" s="246"/>
      <c r="E55" s="251"/>
      <c r="F55" s="232" t="s">
        <v>242</v>
      </c>
      <c r="G55" s="318" t="s">
        <v>193</v>
      </c>
      <c r="H55" s="319">
        <v>1</v>
      </c>
      <c r="I55" s="320" t="s">
        <v>238</v>
      </c>
      <c r="J55" s="229" t="s">
        <v>189</v>
      </c>
      <c r="K55" s="239">
        <v>1</v>
      </c>
      <c r="L55" s="289">
        <v>192.08</v>
      </c>
      <c r="M55" s="321">
        <f>((M$44*N$44)/240*($H55/N55))</f>
        <v>6.2500000000000003E-3</v>
      </c>
      <c r="N55" s="235">
        <v>1</v>
      </c>
      <c r="O55" s="233">
        <f t="shared" si="13"/>
        <v>1.2005000000000001</v>
      </c>
      <c r="P55" s="301">
        <v>89964</v>
      </c>
      <c r="Q55" s="235">
        <f t="shared" si="3"/>
        <v>108001.78200000001</v>
      </c>
      <c r="R55" s="233">
        <v>89964</v>
      </c>
      <c r="S55" s="233">
        <f t="shared" si="14"/>
        <v>108001.78200000001</v>
      </c>
      <c r="T55" s="233">
        <v>94462.2</v>
      </c>
      <c r="U55" s="233">
        <f t="shared" si="15"/>
        <v>113401.8711</v>
      </c>
      <c r="V55" s="233">
        <f t="shared" si="16"/>
        <v>91463.4</v>
      </c>
      <c r="W55" s="241">
        <f t="shared" si="17"/>
        <v>109801.81170000001</v>
      </c>
      <c r="X55" s="232"/>
      <c r="AA55" s="302">
        <f t="shared" si="12"/>
        <v>562.27499999999998</v>
      </c>
      <c r="AB55" s="232"/>
    </row>
    <row r="56" spans="2:28" x14ac:dyDescent="0.35">
      <c r="B56" s="248"/>
      <c r="C56" s="249"/>
      <c r="D56" s="246"/>
      <c r="E56" s="322" t="s">
        <v>243</v>
      </c>
      <c r="F56" s="323" t="s">
        <v>244</v>
      </c>
      <c r="G56" s="318" t="s">
        <v>210</v>
      </c>
      <c r="H56" s="319"/>
      <c r="I56" s="320"/>
      <c r="J56" s="229" t="s">
        <v>189</v>
      </c>
      <c r="K56" s="239">
        <v>1</v>
      </c>
      <c r="L56" s="289">
        <v>192.08</v>
      </c>
      <c r="M56" s="324">
        <v>0.27</v>
      </c>
      <c r="N56" s="235">
        <v>1</v>
      </c>
      <c r="O56" s="233">
        <f t="shared" si="13"/>
        <v>51.86160000000001</v>
      </c>
      <c r="P56" s="235">
        <f>200000</f>
        <v>200000</v>
      </c>
      <c r="Q56" s="235">
        <f t="shared" si="3"/>
        <v>10372320.000000002</v>
      </c>
      <c r="R56" s="233">
        <v>69295.8</v>
      </c>
      <c r="S56" s="233">
        <f t="shared" si="14"/>
        <v>3593791.061280001</v>
      </c>
      <c r="T56" s="233">
        <v>72760.590000000011</v>
      </c>
      <c r="U56" s="233">
        <f t="shared" si="15"/>
        <v>3773480.6143440013</v>
      </c>
      <c r="V56" s="233">
        <f>W56/O56</f>
        <v>114018.79666666669</v>
      </c>
      <c r="W56" s="241">
        <f t="shared" si="17"/>
        <v>5913197.2252080021</v>
      </c>
      <c r="X56" s="232"/>
      <c r="AA56" s="302">
        <f t="shared" si="12"/>
        <v>54000.000000000007</v>
      </c>
      <c r="AB56" s="232"/>
    </row>
    <row r="57" spans="2:28" x14ac:dyDescent="0.35">
      <c r="B57" s="242"/>
      <c r="C57" s="291" t="s">
        <v>104</v>
      </c>
      <c r="D57" s="291"/>
      <c r="E57" s="325"/>
      <c r="F57" s="273" t="s">
        <v>187</v>
      </c>
      <c r="G57" s="318" t="s">
        <v>188</v>
      </c>
      <c r="H57" s="319"/>
      <c r="I57" s="320"/>
      <c r="J57" s="277" t="s">
        <v>189</v>
      </c>
      <c r="K57" s="239">
        <v>1</v>
      </c>
      <c r="L57" s="289">
        <v>140.97999999999999</v>
      </c>
      <c r="M57" s="321">
        <v>0.25</v>
      </c>
      <c r="N57" s="235">
        <v>1</v>
      </c>
      <c r="O57" s="233">
        <f t="shared" si="13"/>
        <v>35.244999999999997</v>
      </c>
      <c r="P57" s="301">
        <v>149108.51999999999</v>
      </c>
      <c r="Q57" s="235">
        <f t="shared" si="3"/>
        <v>5255329.7873999989</v>
      </c>
      <c r="R57" s="233"/>
      <c r="S57" s="233"/>
      <c r="T57" s="233"/>
      <c r="U57" s="233"/>
      <c r="V57" s="233"/>
      <c r="W57" s="241"/>
      <c r="X57" s="232"/>
      <c r="AA57" s="302">
        <f>Q57/$D$1</f>
        <v>37277.129999999997</v>
      </c>
      <c r="AB57" s="232"/>
    </row>
    <row r="58" spans="2:28" x14ac:dyDescent="0.35">
      <c r="B58" s="245"/>
      <c r="C58" s="246"/>
      <c r="D58" s="246"/>
      <c r="E58" s="326"/>
      <c r="F58" s="225" t="s">
        <v>236</v>
      </c>
      <c r="G58" s="318" t="s">
        <v>188</v>
      </c>
      <c r="H58" s="319"/>
      <c r="I58" s="320"/>
      <c r="J58" s="277" t="s">
        <v>189</v>
      </c>
      <c r="K58" s="239">
        <v>1</v>
      </c>
      <c r="L58" s="289">
        <v>140.97999999999999</v>
      </c>
      <c r="M58" s="321">
        <v>0.25</v>
      </c>
      <c r="N58" s="235">
        <v>1</v>
      </c>
      <c r="O58" s="233">
        <f t="shared" si="13"/>
        <v>35.244999999999997</v>
      </c>
      <c r="P58" s="301">
        <v>3940.5</v>
      </c>
      <c r="Q58" s="235">
        <f t="shared" si="3"/>
        <v>138882.92249999999</v>
      </c>
      <c r="R58" s="233"/>
      <c r="S58" s="233"/>
      <c r="T58" s="233"/>
      <c r="U58" s="233"/>
      <c r="V58" s="233"/>
      <c r="W58" s="241"/>
      <c r="X58" s="232"/>
      <c r="AA58" s="302">
        <f t="shared" ref="AA58:AA67" si="18">Q58/$D$1</f>
        <v>985.125</v>
      </c>
      <c r="AB58" s="232"/>
    </row>
    <row r="59" spans="2:28" x14ac:dyDescent="0.35">
      <c r="B59" s="245"/>
      <c r="C59" s="246"/>
      <c r="D59" s="246"/>
      <c r="E59" s="326"/>
      <c r="F59" s="225" t="s">
        <v>235</v>
      </c>
      <c r="G59" s="318" t="s">
        <v>232</v>
      </c>
      <c r="H59" s="319"/>
      <c r="I59" s="320"/>
      <c r="J59" s="229" t="s">
        <v>189</v>
      </c>
      <c r="K59" s="239">
        <v>1</v>
      </c>
      <c r="L59" s="289">
        <v>140.97999999999999</v>
      </c>
      <c r="M59" s="327">
        <v>5.0000000000000001E-3</v>
      </c>
      <c r="N59" s="235">
        <v>1</v>
      </c>
      <c r="O59" s="233">
        <f t="shared" si="13"/>
        <v>0.70489999999999997</v>
      </c>
      <c r="P59" s="301">
        <v>44982</v>
      </c>
      <c r="Q59" s="235">
        <f t="shared" si="3"/>
        <v>31707.811799999999</v>
      </c>
      <c r="R59" s="233"/>
      <c r="S59" s="233"/>
      <c r="T59" s="233"/>
      <c r="U59" s="233"/>
      <c r="V59" s="233"/>
      <c r="W59" s="241"/>
      <c r="X59" s="232"/>
      <c r="AA59" s="302">
        <f t="shared" si="18"/>
        <v>224.91000000000003</v>
      </c>
      <c r="AB59" s="232"/>
    </row>
    <row r="60" spans="2:28" x14ac:dyDescent="0.35">
      <c r="B60" s="245"/>
      <c r="C60" s="246"/>
      <c r="D60" s="246"/>
      <c r="E60" s="326"/>
      <c r="F60" s="273" t="s">
        <v>245</v>
      </c>
      <c r="G60" s="318" t="s">
        <v>232</v>
      </c>
      <c r="H60" s="319"/>
      <c r="I60" s="320"/>
      <c r="J60" s="229" t="s">
        <v>189</v>
      </c>
      <c r="K60" s="239">
        <v>1</v>
      </c>
      <c r="L60" s="289">
        <v>140.97999999999999</v>
      </c>
      <c r="M60" s="324">
        <f>300/1000</f>
        <v>0.3</v>
      </c>
      <c r="N60" s="235">
        <v>1</v>
      </c>
      <c r="O60" s="233">
        <f t="shared" si="13"/>
        <v>42.293999999999997</v>
      </c>
      <c r="P60" s="301">
        <v>1606500</v>
      </c>
      <c r="Q60" s="235">
        <f t="shared" si="3"/>
        <v>67945311</v>
      </c>
      <c r="R60" s="233"/>
      <c r="S60" s="233"/>
      <c r="T60" s="233"/>
      <c r="U60" s="233"/>
      <c r="V60" s="233"/>
      <c r="W60" s="241"/>
      <c r="X60" s="232"/>
      <c r="AA60" s="302">
        <f t="shared" si="18"/>
        <v>481950.00000000006</v>
      </c>
      <c r="AB60" s="232"/>
    </row>
    <row r="61" spans="2:28" x14ac:dyDescent="0.35">
      <c r="B61" s="245"/>
      <c r="C61" s="246"/>
      <c r="D61" s="246"/>
      <c r="E61" s="326"/>
      <c r="F61" s="273" t="s">
        <v>230</v>
      </c>
      <c r="G61" s="318" t="s">
        <v>193</v>
      </c>
      <c r="H61" s="319"/>
      <c r="I61" s="320"/>
      <c r="J61" s="229" t="s">
        <v>189</v>
      </c>
      <c r="K61" s="239">
        <v>1</v>
      </c>
      <c r="L61" s="289">
        <v>140.97999999999999</v>
      </c>
      <c r="M61" s="327">
        <v>1E-3</v>
      </c>
      <c r="N61" s="235">
        <v>1</v>
      </c>
      <c r="O61" s="233">
        <f t="shared" si="13"/>
        <v>0.14097999999999999</v>
      </c>
      <c r="P61" s="301">
        <v>1434791.925</v>
      </c>
      <c r="Q61" s="235">
        <f t="shared" si="3"/>
        <v>202276.96558650001</v>
      </c>
      <c r="R61" s="233"/>
      <c r="S61" s="233"/>
      <c r="T61" s="233"/>
      <c r="U61" s="233"/>
      <c r="V61" s="233"/>
      <c r="W61" s="241"/>
      <c r="X61" s="232"/>
      <c r="AA61" s="302">
        <f t="shared" si="18"/>
        <v>1434.7919250000002</v>
      </c>
      <c r="AB61" s="232"/>
    </row>
    <row r="62" spans="2:28" x14ac:dyDescent="0.35">
      <c r="B62" s="245"/>
      <c r="C62" s="246"/>
      <c r="D62" s="246"/>
      <c r="E62" s="326"/>
      <c r="F62" s="232" t="s">
        <v>237</v>
      </c>
      <c r="G62" s="318" t="s">
        <v>193</v>
      </c>
      <c r="H62" s="319"/>
      <c r="I62" s="320"/>
      <c r="J62" s="229" t="s">
        <v>189</v>
      </c>
      <c r="K62" s="239">
        <v>1</v>
      </c>
      <c r="L62" s="289">
        <v>140.97999999999999</v>
      </c>
      <c r="M62" s="328">
        <v>4.1999999999999997E-3</v>
      </c>
      <c r="N62" s="235">
        <v>1</v>
      </c>
      <c r="O62" s="233">
        <f t="shared" si="13"/>
        <v>0.59211599999999998</v>
      </c>
      <c r="P62" s="301">
        <v>44982</v>
      </c>
      <c r="Q62" s="235">
        <f t="shared" si="3"/>
        <v>26634.561911999997</v>
      </c>
      <c r="R62" s="233"/>
      <c r="S62" s="233"/>
      <c r="T62" s="233"/>
      <c r="U62" s="233"/>
      <c r="V62" s="233"/>
      <c r="W62" s="241"/>
      <c r="X62" s="232"/>
      <c r="AA62" s="329">
        <f t="shared" si="18"/>
        <v>188.92439999999999</v>
      </c>
      <c r="AB62" s="232"/>
    </row>
    <row r="63" spans="2:28" x14ac:dyDescent="0.35">
      <c r="B63" s="245"/>
      <c r="C63" s="246"/>
      <c r="D63" s="246"/>
      <c r="E63" s="326"/>
      <c r="F63" s="232" t="s">
        <v>239</v>
      </c>
      <c r="G63" s="318" t="s">
        <v>193</v>
      </c>
      <c r="H63" s="319"/>
      <c r="I63" s="320"/>
      <c r="J63" s="229" t="s">
        <v>189</v>
      </c>
      <c r="K63" s="239">
        <v>1</v>
      </c>
      <c r="L63" s="289">
        <v>140.97999999999999</v>
      </c>
      <c r="M63" s="328">
        <v>1.2500000000000001E-2</v>
      </c>
      <c r="N63" s="235">
        <v>1</v>
      </c>
      <c r="O63" s="233">
        <f t="shared" si="13"/>
        <v>1.7622499999999999</v>
      </c>
      <c r="P63" s="301">
        <v>14700</v>
      </c>
      <c r="Q63" s="235">
        <f t="shared" si="3"/>
        <v>25905.074999999997</v>
      </c>
      <c r="R63" s="233"/>
      <c r="S63" s="233"/>
      <c r="T63" s="233"/>
      <c r="U63" s="233"/>
      <c r="V63" s="233"/>
      <c r="W63" s="241"/>
      <c r="X63" s="232"/>
      <c r="AA63" s="329">
        <f t="shared" si="18"/>
        <v>183.75</v>
      </c>
      <c r="AB63" s="232"/>
    </row>
    <row r="64" spans="2:28" x14ac:dyDescent="0.35">
      <c r="B64" s="245"/>
      <c r="C64" s="246"/>
      <c r="D64" s="246"/>
      <c r="E64" s="326"/>
      <c r="F64" s="232" t="s">
        <v>240</v>
      </c>
      <c r="G64" s="318" t="s">
        <v>193</v>
      </c>
      <c r="H64" s="319"/>
      <c r="I64" s="320"/>
      <c r="J64" s="229" t="s">
        <v>189</v>
      </c>
      <c r="K64" s="239">
        <v>1</v>
      </c>
      <c r="L64" s="289">
        <v>140.97999999999999</v>
      </c>
      <c r="M64" s="328">
        <v>1E-3</v>
      </c>
      <c r="N64" s="235">
        <v>1</v>
      </c>
      <c r="O64" s="233">
        <f t="shared" si="13"/>
        <v>0.14097999999999999</v>
      </c>
      <c r="P64" s="301">
        <v>39359.25</v>
      </c>
      <c r="Q64" s="235">
        <f t="shared" si="3"/>
        <v>5548.8670649999995</v>
      </c>
      <c r="R64" s="233"/>
      <c r="S64" s="233"/>
      <c r="T64" s="233"/>
      <c r="U64" s="233"/>
      <c r="V64" s="233"/>
      <c r="W64" s="241"/>
      <c r="X64" s="232"/>
      <c r="AA64" s="329">
        <f t="shared" si="18"/>
        <v>39.359249999999996</v>
      </c>
      <c r="AB64" s="232"/>
    </row>
    <row r="65" spans="2:28" x14ac:dyDescent="0.35">
      <c r="B65" s="245"/>
      <c r="C65" s="246"/>
      <c r="D65" s="246"/>
      <c r="E65" s="326"/>
      <c r="F65" s="232" t="s">
        <v>241</v>
      </c>
      <c r="G65" s="318" t="s">
        <v>193</v>
      </c>
      <c r="H65" s="319"/>
      <c r="I65" s="320"/>
      <c r="J65" s="229" t="s">
        <v>189</v>
      </c>
      <c r="K65" s="239">
        <v>1</v>
      </c>
      <c r="L65" s="289">
        <v>140.97999999999999</v>
      </c>
      <c r="M65" s="328">
        <v>2.0999999999999999E-3</v>
      </c>
      <c r="N65" s="235">
        <v>1</v>
      </c>
      <c r="O65" s="233">
        <f t="shared" si="13"/>
        <v>0.29605799999999999</v>
      </c>
      <c r="P65" s="301">
        <v>33736.5</v>
      </c>
      <c r="Q65" s="235">
        <f t="shared" si="3"/>
        <v>9987.9607169999999</v>
      </c>
      <c r="R65" s="233"/>
      <c r="S65" s="233"/>
      <c r="T65" s="233"/>
      <c r="U65" s="233"/>
      <c r="V65" s="233"/>
      <c r="W65" s="241"/>
      <c r="X65" s="232"/>
      <c r="AA65" s="329">
        <f t="shared" si="18"/>
        <v>70.846650000000011</v>
      </c>
      <c r="AB65" s="232"/>
    </row>
    <row r="66" spans="2:28" x14ac:dyDescent="0.35">
      <c r="B66" s="245"/>
      <c r="C66" s="246"/>
      <c r="D66" s="246"/>
      <c r="E66" s="326"/>
      <c r="F66" s="232" t="s">
        <v>242</v>
      </c>
      <c r="G66" s="318" t="s">
        <v>246</v>
      </c>
      <c r="H66" s="319"/>
      <c r="I66" s="320"/>
      <c r="J66" s="229" t="s">
        <v>189</v>
      </c>
      <c r="K66" s="239">
        <v>1</v>
      </c>
      <c r="L66" s="289">
        <v>140.97999999999999</v>
      </c>
      <c r="M66" s="328">
        <v>1E-3</v>
      </c>
      <c r="N66" s="235">
        <v>1</v>
      </c>
      <c r="O66" s="233">
        <f t="shared" si="13"/>
        <v>0.14097999999999999</v>
      </c>
      <c r="P66" s="301">
        <v>89964</v>
      </c>
      <c r="Q66" s="235">
        <f t="shared" si="3"/>
        <v>12683.12472</v>
      </c>
      <c r="R66" s="233"/>
      <c r="S66" s="233"/>
      <c r="T66" s="233"/>
      <c r="U66" s="233"/>
      <c r="V66" s="233"/>
      <c r="W66" s="241"/>
      <c r="X66" s="232"/>
      <c r="AA66" s="329">
        <f t="shared" si="18"/>
        <v>89.963999999999999</v>
      </c>
      <c r="AB66" s="232"/>
    </row>
    <row r="67" spans="2:28" x14ac:dyDescent="0.35">
      <c r="B67" s="245"/>
      <c r="C67" s="246"/>
      <c r="D67" s="246"/>
      <c r="E67" s="326"/>
      <c r="F67" s="323" t="s">
        <v>244</v>
      </c>
      <c r="G67" s="318" t="s">
        <v>210</v>
      </c>
      <c r="H67" s="319"/>
      <c r="I67" s="320"/>
      <c r="J67" s="229" t="s">
        <v>189</v>
      </c>
      <c r="K67" s="239">
        <v>1</v>
      </c>
      <c r="L67" s="289">
        <v>140.97999999999999</v>
      </c>
      <c r="M67" s="324">
        <v>0.27</v>
      </c>
      <c r="N67" s="330">
        <v>1</v>
      </c>
      <c r="O67" s="233">
        <f t="shared" si="13"/>
        <v>38.064599999999999</v>
      </c>
      <c r="P67" s="301">
        <v>69295.8</v>
      </c>
      <c r="Q67" s="235">
        <f t="shared" si="3"/>
        <v>2637716.9086799999</v>
      </c>
      <c r="R67" s="233"/>
      <c r="S67" s="233"/>
      <c r="T67" s="233"/>
      <c r="U67" s="233"/>
      <c r="V67" s="233"/>
      <c r="W67" s="241"/>
      <c r="X67" s="232"/>
      <c r="AA67" s="302">
        <f t="shared" si="18"/>
        <v>18709.866000000002</v>
      </c>
      <c r="AB67" s="232"/>
    </row>
    <row r="68" spans="2:28" x14ac:dyDescent="0.35">
      <c r="B68" s="236"/>
      <c r="C68" s="237"/>
      <c r="D68" s="237" t="s">
        <v>247</v>
      </c>
      <c r="E68" s="238"/>
      <c r="F68" s="225" t="s">
        <v>187</v>
      </c>
      <c r="G68" s="226" t="s">
        <v>188</v>
      </c>
      <c r="H68" s="227"/>
      <c r="I68" s="228"/>
      <c r="J68" s="229"/>
      <c r="K68" s="230"/>
      <c r="L68" s="230"/>
      <c r="M68" s="231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2"/>
      <c r="AA68" s="232"/>
      <c r="AB68" s="232"/>
    </row>
    <row r="69" spans="2:28" hidden="1" x14ac:dyDescent="0.35">
      <c r="B69" s="248"/>
      <c r="C69" s="249"/>
      <c r="D69" s="249"/>
      <c r="E69" s="250"/>
      <c r="F69" s="225" t="s">
        <v>215</v>
      </c>
      <c r="G69" s="226" t="s">
        <v>205</v>
      </c>
      <c r="H69" s="227"/>
      <c r="I69" s="228"/>
      <c r="J69" s="229"/>
      <c r="K69" s="230"/>
      <c r="L69" s="230"/>
      <c r="M69" s="231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2"/>
      <c r="AA69" s="232"/>
      <c r="AB69" s="232"/>
    </row>
    <row r="70" spans="2:28" x14ac:dyDescent="0.35">
      <c r="B70" s="236"/>
      <c r="C70" s="237"/>
      <c r="D70" s="237" t="s">
        <v>248</v>
      </c>
      <c r="E70" s="238"/>
      <c r="F70" s="225" t="s">
        <v>187</v>
      </c>
      <c r="G70" s="226" t="s">
        <v>188</v>
      </c>
      <c r="H70" s="227"/>
      <c r="I70" s="228"/>
      <c r="J70" s="229"/>
      <c r="K70" s="230"/>
      <c r="L70" s="230"/>
      <c r="M70" s="231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2"/>
      <c r="AA70" s="232"/>
      <c r="AB70" s="232"/>
    </row>
    <row r="71" spans="2:28" hidden="1" x14ac:dyDescent="0.35">
      <c r="B71" s="248"/>
      <c r="C71" s="249"/>
      <c r="D71" s="249"/>
      <c r="E71" s="250"/>
      <c r="F71" s="225" t="s">
        <v>215</v>
      </c>
      <c r="G71" s="226" t="s">
        <v>205</v>
      </c>
      <c r="H71" s="227"/>
      <c r="I71" s="228"/>
      <c r="J71" s="229"/>
      <c r="K71" s="230"/>
      <c r="L71" s="230"/>
      <c r="M71" s="231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2"/>
      <c r="AA71" s="232"/>
      <c r="AB71" s="232"/>
    </row>
    <row r="72" spans="2:28" x14ac:dyDescent="0.35">
      <c r="B72" s="236"/>
      <c r="C72" s="237"/>
      <c r="D72" s="237" t="s">
        <v>249</v>
      </c>
      <c r="E72" s="238"/>
      <c r="F72" s="225" t="s">
        <v>187</v>
      </c>
      <c r="G72" s="226" t="s">
        <v>188</v>
      </c>
      <c r="H72" s="227"/>
      <c r="I72" s="228"/>
      <c r="J72" s="229"/>
      <c r="K72" s="230"/>
      <c r="L72" s="230"/>
      <c r="M72" s="231">
        <v>0.5</v>
      </c>
      <c r="N72" s="235">
        <v>1</v>
      </c>
      <c r="O72" s="233"/>
      <c r="P72" s="233"/>
      <c r="Q72" s="233"/>
      <c r="R72" s="233"/>
      <c r="S72" s="233"/>
      <c r="T72" s="233"/>
      <c r="U72" s="233"/>
      <c r="V72" s="233"/>
      <c r="W72" s="233"/>
      <c r="X72" s="232"/>
      <c r="AA72" s="232"/>
      <c r="AB72" s="232"/>
    </row>
    <row r="73" spans="2:28" hidden="1" x14ac:dyDescent="0.35">
      <c r="B73" s="245"/>
      <c r="C73" s="246"/>
      <c r="D73" s="246"/>
      <c r="E73" s="251"/>
      <c r="F73" s="225" t="s">
        <v>250</v>
      </c>
      <c r="G73" s="226" t="s">
        <v>193</v>
      </c>
      <c r="H73" s="227"/>
      <c r="I73" s="228"/>
      <c r="J73" s="229"/>
      <c r="K73" s="230"/>
      <c r="L73" s="230"/>
      <c r="M73" s="231">
        <v>4.0000000000000001E-3</v>
      </c>
      <c r="N73" s="235">
        <v>1</v>
      </c>
      <c r="O73" s="233"/>
      <c r="P73" s="233"/>
      <c r="Q73" s="233"/>
      <c r="R73" s="233"/>
      <c r="S73" s="233"/>
      <c r="T73" s="233"/>
      <c r="U73" s="233"/>
      <c r="V73" s="233"/>
      <c r="W73" s="233"/>
      <c r="X73" s="232"/>
      <c r="AA73" s="232"/>
      <c r="AB73" s="232"/>
    </row>
    <row r="74" spans="2:28" hidden="1" x14ac:dyDescent="0.35">
      <c r="B74" s="248"/>
      <c r="C74" s="249"/>
      <c r="D74" s="249"/>
      <c r="E74" s="250"/>
      <c r="F74" s="225" t="s">
        <v>195</v>
      </c>
      <c r="G74" s="226" t="s">
        <v>193</v>
      </c>
      <c r="H74" s="227"/>
      <c r="I74" s="228"/>
      <c r="J74" s="229"/>
      <c r="K74" s="230"/>
      <c r="L74" s="230"/>
      <c r="M74" s="231"/>
      <c r="N74" s="235"/>
      <c r="O74" s="233"/>
      <c r="P74" s="233"/>
      <c r="Q74" s="233"/>
      <c r="R74" s="233"/>
      <c r="S74" s="233"/>
      <c r="T74" s="233"/>
      <c r="U74" s="233"/>
      <c r="V74" s="233"/>
      <c r="W74" s="233"/>
      <c r="X74" s="232"/>
      <c r="AA74" s="232"/>
      <c r="AB74" s="232"/>
    </row>
    <row r="75" spans="2:28" x14ac:dyDescent="0.35">
      <c r="B75" s="331"/>
      <c r="C75" s="332"/>
      <c r="D75" s="333" t="s">
        <v>251</v>
      </c>
      <c r="E75" s="334"/>
      <c r="F75" s="335"/>
      <c r="G75" s="336"/>
      <c r="H75" s="337"/>
      <c r="I75" s="338"/>
      <c r="J75" s="339"/>
      <c r="K75" s="340"/>
      <c r="L75" s="340"/>
      <c r="M75" s="341"/>
      <c r="N75" s="342"/>
      <c r="O75" s="342"/>
      <c r="P75" s="342"/>
      <c r="Q75" s="343">
        <f>SUM(Q8:Q74)</f>
        <v>4649567944.9548187</v>
      </c>
      <c r="R75" s="342"/>
      <c r="S75" s="342"/>
      <c r="T75" s="342"/>
      <c r="U75" s="342"/>
      <c r="V75" s="342"/>
      <c r="W75" s="342"/>
      <c r="X75" s="344"/>
      <c r="Y75" s="345"/>
      <c r="Z75" s="345"/>
      <c r="AA75" s="346">
        <f>Q75/$D$1</f>
        <v>32980337.246097453</v>
      </c>
      <c r="AB75" s="344">
        <f>Q75/$Q$332*100</f>
        <v>51.996369241637431</v>
      </c>
    </row>
    <row r="76" spans="2:28" x14ac:dyDescent="0.35">
      <c r="B76" s="222" t="s">
        <v>252</v>
      </c>
      <c r="C76" s="223"/>
      <c r="D76" s="228"/>
      <c r="E76" s="247"/>
      <c r="F76" s="225"/>
      <c r="G76" s="226"/>
      <c r="H76" s="227"/>
      <c r="I76" s="228"/>
      <c r="J76" s="229"/>
      <c r="K76" s="230"/>
      <c r="L76" s="230"/>
      <c r="M76" s="231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2"/>
      <c r="AA76" s="232"/>
      <c r="AB76" s="232"/>
    </row>
    <row r="77" spans="2:28" x14ac:dyDescent="0.35">
      <c r="B77" s="234"/>
      <c r="C77" s="223" t="s">
        <v>253</v>
      </c>
      <c r="D77" s="223"/>
      <c r="E77" s="247"/>
      <c r="F77" s="225"/>
      <c r="G77" s="226"/>
      <c r="H77" s="227"/>
      <c r="I77" s="228"/>
      <c r="J77" s="229"/>
      <c r="K77" s="230"/>
      <c r="L77" s="230"/>
      <c r="M77" s="231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2"/>
      <c r="AA77" s="232"/>
      <c r="AB77" s="232"/>
    </row>
    <row r="78" spans="2:28" x14ac:dyDescent="0.35">
      <c r="B78" s="236"/>
      <c r="C78" s="237"/>
      <c r="D78" s="237" t="s">
        <v>254</v>
      </c>
      <c r="E78" s="238"/>
      <c r="F78" s="225" t="s">
        <v>187</v>
      </c>
      <c r="G78" s="226" t="s">
        <v>188</v>
      </c>
      <c r="H78" s="227"/>
      <c r="I78" s="228"/>
      <c r="J78" s="229"/>
      <c r="K78" s="230"/>
      <c r="L78" s="230"/>
      <c r="M78" s="231"/>
      <c r="N78" s="235"/>
      <c r="O78" s="233"/>
      <c r="P78" s="233"/>
      <c r="Q78" s="233"/>
      <c r="R78" s="233"/>
      <c r="S78" s="233"/>
      <c r="T78" s="233"/>
      <c r="U78" s="233"/>
      <c r="V78" s="233"/>
      <c r="W78" s="233"/>
      <c r="X78" s="232"/>
      <c r="AA78" s="232"/>
      <c r="AB78" s="232"/>
    </row>
    <row r="79" spans="2:28" hidden="1" x14ac:dyDescent="0.35">
      <c r="B79" s="347"/>
      <c r="C79" s="348"/>
      <c r="D79" s="348"/>
      <c r="E79" s="349"/>
      <c r="F79" s="225" t="s">
        <v>204</v>
      </c>
      <c r="G79" s="226" t="s">
        <v>205</v>
      </c>
      <c r="H79" s="227"/>
      <c r="I79" s="228"/>
      <c r="J79" s="229"/>
      <c r="K79" s="230"/>
      <c r="L79" s="230"/>
      <c r="M79" s="328">
        <f>30/1000</f>
        <v>0.03</v>
      </c>
      <c r="N79" s="235">
        <v>1</v>
      </c>
      <c r="O79" s="233"/>
      <c r="P79" s="233"/>
      <c r="Q79" s="233"/>
      <c r="R79" s="233"/>
      <c r="S79" s="233"/>
      <c r="T79" s="233"/>
      <c r="U79" s="233"/>
      <c r="V79" s="233"/>
      <c r="W79" s="233"/>
      <c r="X79" s="232"/>
      <c r="AA79" s="232"/>
      <c r="AB79" s="232"/>
    </row>
    <row r="80" spans="2:28" hidden="1" x14ac:dyDescent="0.35">
      <c r="B80" s="350"/>
      <c r="C80" s="351"/>
      <c r="D80" s="351"/>
      <c r="E80" s="352"/>
      <c r="F80" s="225" t="s">
        <v>255</v>
      </c>
      <c r="G80" s="226" t="s">
        <v>205</v>
      </c>
      <c r="H80" s="227"/>
      <c r="I80" s="228"/>
      <c r="J80" s="229"/>
      <c r="K80" s="230"/>
      <c r="L80" s="230"/>
      <c r="M80" s="328">
        <f>12/1000</f>
        <v>1.2E-2</v>
      </c>
      <c r="N80" s="235">
        <v>1</v>
      </c>
      <c r="O80" s="233"/>
      <c r="P80" s="233"/>
      <c r="Q80" s="233"/>
      <c r="R80" s="233"/>
      <c r="S80" s="233"/>
      <c r="T80" s="233"/>
      <c r="U80" s="233"/>
      <c r="V80" s="233"/>
      <c r="W80" s="233"/>
      <c r="X80" s="232"/>
      <c r="AA80" s="232"/>
      <c r="AB80" s="232"/>
    </row>
    <row r="81" spans="2:28" x14ac:dyDescent="0.35">
      <c r="B81" s="236"/>
      <c r="C81" s="237"/>
      <c r="D81" s="237" t="s">
        <v>256</v>
      </c>
      <c r="E81" s="238"/>
      <c r="F81" s="225" t="s">
        <v>187</v>
      </c>
      <c r="G81" s="226" t="s">
        <v>188</v>
      </c>
      <c r="H81" s="227"/>
      <c r="I81" s="228"/>
      <c r="J81" s="229"/>
      <c r="K81" s="230"/>
      <c r="L81" s="230"/>
      <c r="M81" s="231"/>
      <c r="N81" s="235"/>
      <c r="O81" s="233"/>
      <c r="P81" s="233"/>
      <c r="Q81" s="233"/>
      <c r="R81" s="233"/>
      <c r="S81" s="233"/>
      <c r="T81" s="233"/>
      <c r="U81" s="233"/>
      <c r="V81" s="233"/>
      <c r="W81" s="233"/>
      <c r="X81" s="232"/>
      <c r="AA81" s="232"/>
      <c r="AB81" s="232"/>
    </row>
    <row r="82" spans="2:28" hidden="1" x14ac:dyDescent="0.35">
      <c r="B82" s="245"/>
      <c r="C82" s="246"/>
      <c r="D82" s="246"/>
      <c r="E82" s="251"/>
      <c r="F82" s="225" t="s">
        <v>204</v>
      </c>
      <c r="G82" s="226" t="s">
        <v>205</v>
      </c>
      <c r="H82" s="227"/>
      <c r="I82" s="228"/>
      <c r="J82" s="229"/>
      <c r="K82" s="230"/>
      <c r="L82" s="230"/>
      <c r="M82" s="231">
        <v>2.4E-2</v>
      </c>
      <c r="N82" s="235">
        <v>1</v>
      </c>
      <c r="O82" s="233"/>
      <c r="P82" s="233"/>
      <c r="Q82" s="233"/>
      <c r="R82" s="233"/>
      <c r="S82" s="233"/>
      <c r="T82" s="233"/>
      <c r="U82" s="233"/>
      <c r="V82" s="233"/>
      <c r="W82" s="233"/>
      <c r="X82" s="232"/>
      <c r="AA82" s="232"/>
      <c r="AB82" s="232"/>
    </row>
    <row r="83" spans="2:28" hidden="1" x14ac:dyDescent="0.35">
      <c r="B83" s="248"/>
      <c r="C83" s="249"/>
      <c r="D83" s="249"/>
      <c r="E83" s="250"/>
      <c r="F83" s="225" t="s">
        <v>255</v>
      </c>
      <c r="G83" s="226" t="s">
        <v>205</v>
      </c>
      <c r="H83" s="227"/>
      <c r="I83" s="228"/>
      <c r="J83" s="229"/>
      <c r="K83" s="230"/>
      <c r="L83" s="230"/>
      <c r="M83" s="231">
        <v>8.9999999999999993E-3</v>
      </c>
      <c r="N83" s="235">
        <v>1</v>
      </c>
      <c r="O83" s="233"/>
      <c r="P83" s="233"/>
      <c r="Q83" s="233"/>
      <c r="R83" s="233"/>
      <c r="S83" s="233"/>
      <c r="T83" s="233"/>
      <c r="U83" s="233"/>
      <c r="V83" s="233"/>
      <c r="W83" s="233"/>
      <c r="X83" s="232"/>
      <c r="AA83" s="232"/>
      <c r="AB83" s="232"/>
    </row>
    <row r="84" spans="2:28" x14ac:dyDescent="0.35">
      <c r="B84" s="236"/>
      <c r="C84" s="237"/>
      <c r="D84" s="237" t="s">
        <v>257</v>
      </c>
      <c r="E84" s="238"/>
      <c r="F84" s="225" t="s">
        <v>187</v>
      </c>
      <c r="G84" s="226" t="s">
        <v>188</v>
      </c>
      <c r="H84" s="227"/>
      <c r="I84" s="228"/>
      <c r="J84" s="229"/>
      <c r="K84" s="230"/>
      <c r="L84" s="230"/>
      <c r="M84" s="231"/>
      <c r="N84" s="235"/>
      <c r="O84" s="233"/>
      <c r="P84" s="233"/>
      <c r="Q84" s="233"/>
      <c r="R84" s="233"/>
      <c r="S84" s="233"/>
      <c r="T84" s="233"/>
      <c r="U84" s="233"/>
      <c r="V84" s="233"/>
      <c r="W84" s="233"/>
      <c r="X84" s="232"/>
      <c r="AA84" s="232"/>
      <c r="AB84" s="232"/>
    </row>
    <row r="85" spans="2:28" hidden="1" x14ac:dyDescent="0.35">
      <c r="B85" s="353"/>
      <c r="C85" s="354"/>
      <c r="D85" s="354"/>
      <c r="E85" s="355"/>
      <c r="F85" s="356" t="s">
        <v>204</v>
      </c>
      <c r="G85" s="357" t="s">
        <v>205</v>
      </c>
      <c r="H85" s="358"/>
      <c r="I85" s="359"/>
      <c r="J85" s="360"/>
      <c r="K85" s="361"/>
      <c r="L85" s="361"/>
      <c r="M85" s="321">
        <v>0.02</v>
      </c>
      <c r="N85" s="362">
        <v>1</v>
      </c>
      <c r="O85" s="321"/>
      <c r="P85" s="321"/>
      <c r="Q85" s="321"/>
      <c r="R85" s="321"/>
      <c r="S85" s="321"/>
      <c r="T85" s="321"/>
      <c r="U85" s="321"/>
      <c r="V85" s="321"/>
      <c r="W85" s="321"/>
      <c r="X85" s="232"/>
      <c r="AA85" s="232"/>
      <c r="AB85" s="232"/>
    </row>
    <row r="86" spans="2:28" hidden="1" x14ac:dyDescent="0.35">
      <c r="B86" s="363"/>
      <c r="C86" s="364"/>
      <c r="D86" s="364"/>
      <c r="E86" s="365"/>
      <c r="F86" s="356" t="s">
        <v>255</v>
      </c>
      <c r="G86" s="357" t="s">
        <v>205</v>
      </c>
      <c r="H86" s="358"/>
      <c r="I86" s="359"/>
      <c r="J86" s="360"/>
      <c r="K86" s="361"/>
      <c r="L86" s="361"/>
      <c r="M86" s="321">
        <v>7.0000000000000007E-2</v>
      </c>
      <c r="N86" s="362">
        <v>1</v>
      </c>
      <c r="O86" s="321"/>
      <c r="P86" s="321"/>
      <c r="Q86" s="321"/>
      <c r="R86" s="321"/>
      <c r="S86" s="321"/>
      <c r="T86" s="321"/>
      <c r="U86" s="321"/>
      <c r="V86" s="321"/>
      <c r="W86" s="321"/>
      <c r="X86" s="232"/>
      <c r="AA86" s="232"/>
      <c r="AB86" s="232"/>
    </row>
    <row r="87" spans="2:28" x14ac:dyDescent="0.35">
      <c r="B87" s="236"/>
      <c r="C87" s="237"/>
      <c r="D87" s="237" t="s">
        <v>258</v>
      </c>
      <c r="E87" s="238"/>
      <c r="F87" s="225" t="s">
        <v>187</v>
      </c>
      <c r="G87" s="226" t="s">
        <v>188</v>
      </c>
      <c r="H87" s="227"/>
      <c r="I87" s="228"/>
      <c r="J87" s="229"/>
      <c r="K87" s="230"/>
      <c r="L87" s="230"/>
      <c r="M87" s="233"/>
      <c r="N87" s="235"/>
      <c r="O87" s="233"/>
      <c r="P87" s="233"/>
      <c r="Q87" s="233"/>
      <c r="R87" s="233"/>
      <c r="S87" s="233"/>
      <c r="T87" s="233"/>
      <c r="U87" s="233"/>
      <c r="V87" s="233"/>
      <c r="W87" s="233"/>
      <c r="X87" s="232"/>
      <c r="AA87" s="232"/>
      <c r="AB87" s="232"/>
    </row>
    <row r="88" spans="2:28" hidden="1" x14ac:dyDescent="0.35">
      <c r="B88" s="245"/>
      <c r="C88" s="246"/>
      <c r="D88" s="246"/>
      <c r="E88" s="251"/>
      <c r="F88" s="225" t="s">
        <v>204</v>
      </c>
      <c r="G88" s="226" t="s">
        <v>205</v>
      </c>
      <c r="H88" s="227"/>
      <c r="I88" s="228"/>
      <c r="J88" s="229"/>
      <c r="K88" s="230"/>
      <c r="L88" s="230"/>
      <c r="M88" s="233">
        <v>0.02</v>
      </c>
      <c r="N88" s="235">
        <v>1</v>
      </c>
      <c r="O88" s="233"/>
      <c r="P88" s="233"/>
      <c r="Q88" s="233"/>
      <c r="R88" s="233"/>
      <c r="S88" s="233"/>
      <c r="T88" s="233"/>
      <c r="U88" s="233"/>
      <c r="V88" s="233"/>
      <c r="W88" s="233"/>
      <c r="X88" s="232"/>
      <c r="AA88" s="232"/>
      <c r="AB88" s="232"/>
    </row>
    <row r="89" spans="2:28" hidden="1" x14ac:dyDescent="0.35">
      <c r="B89" s="248"/>
      <c r="C89" s="249"/>
      <c r="D89" s="249"/>
      <c r="E89" s="250"/>
      <c r="F89" s="225" t="s">
        <v>255</v>
      </c>
      <c r="G89" s="226" t="s">
        <v>205</v>
      </c>
      <c r="H89" s="227"/>
      <c r="I89" s="228"/>
      <c r="J89" s="229"/>
      <c r="K89" s="230"/>
      <c r="L89" s="230"/>
      <c r="M89" s="366">
        <v>7.0000000000000001E-3</v>
      </c>
      <c r="N89" s="235">
        <v>1</v>
      </c>
      <c r="O89" s="233"/>
      <c r="P89" s="233"/>
      <c r="Q89" s="233"/>
      <c r="R89" s="233"/>
      <c r="S89" s="233"/>
      <c r="T89" s="233"/>
      <c r="U89" s="233"/>
      <c r="V89" s="233"/>
      <c r="W89" s="233"/>
      <c r="X89" s="232"/>
      <c r="AA89" s="232"/>
      <c r="AB89" s="232"/>
    </row>
    <row r="90" spans="2:28" x14ac:dyDescent="0.35">
      <c r="B90" s="367" t="s">
        <v>259</v>
      </c>
      <c r="C90" s="368"/>
      <c r="D90" s="368"/>
      <c r="E90" s="369"/>
      <c r="F90" s="335"/>
      <c r="G90" s="336"/>
      <c r="H90" s="337"/>
      <c r="I90" s="338"/>
      <c r="J90" s="339"/>
      <c r="K90" s="340"/>
      <c r="L90" s="340"/>
      <c r="M90" s="341"/>
      <c r="N90" s="342"/>
      <c r="O90" s="342"/>
      <c r="P90" s="342"/>
      <c r="Q90" s="342">
        <f>SUM(Q78:Q89)</f>
        <v>0</v>
      </c>
      <c r="R90" s="342"/>
      <c r="S90" s="342"/>
      <c r="T90" s="342"/>
      <c r="U90" s="342"/>
      <c r="V90" s="342"/>
      <c r="W90" s="342"/>
      <c r="X90" s="370"/>
      <c r="Y90" s="371"/>
      <c r="Z90" s="371"/>
      <c r="AA90" s="370"/>
      <c r="AB90" s="370"/>
    </row>
    <row r="91" spans="2:28" x14ac:dyDescent="0.35">
      <c r="B91" s="248"/>
      <c r="C91" s="223" t="s">
        <v>260</v>
      </c>
      <c r="D91" s="249"/>
      <c r="E91" s="250"/>
      <c r="F91" s="225"/>
      <c r="G91" s="226"/>
      <c r="H91" s="227"/>
      <c r="I91" s="228"/>
      <c r="J91" s="229"/>
      <c r="K91" s="230"/>
      <c r="L91" s="230"/>
      <c r="M91" s="231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2"/>
      <c r="AA91" s="232"/>
      <c r="AB91" s="232"/>
    </row>
    <row r="92" spans="2:28" x14ac:dyDescent="0.35">
      <c r="B92" s="236"/>
      <c r="C92" s="237"/>
      <c r="D92" s="237" t="s">
        <v>261</v>
      </c>
      <c r="E92" s="238"/>
      <c r="F92" s="225" t="s">
        <v>187</v>
      </c>
      <c r="G92" s="226" t="s">
        <v>188</v>
      </c>
      <c r="H92" s="227"/>
      <c r="I92" s="228"/>
      <c r="J92" s="229"/>
      <c r="K92" s="230"/>
      <c r="L92" s="230"/>
      <c r="M92" s="231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2"/>
      <c r="AA92" s="232"/>
      <c r="AB92" s="232"/>
    </row>
    <row r="93" spans="2:28" hidden="1" x14ac:dyDescent="0.35">
      <c r="B93" s="245"/>
      <c r="C93" s="246"/>
      <c r="D93" s="246"/>
      <c r="E93" s="251"/>
      <c r="F93" s="225" t="s">
        <v>262</v>
      </c>
      <c r="G93" s="226" t="s">
        <v>10</v>
      </c>
      <c r="H93" s="227"/>
      <c r="I93" s="228"/>
      <c r="J93" s="229"/>
      <c r="K93" s="230"/>
      <c r="L93" s="230"/>
      <c r="M93" s="231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2"/>
      <c r="AA93" s="232"/>
      <c r="AB93" s="232"/>
    </row>
    <row r="94" spans="2:28" hidden="1" x14ac:dyDescent="0.35">
      <c r="B94" s="248"/>
      <c r="C94" s="249"/>
      <c r="D94" s="249"/>
      <c r="E94" s="250"/>
      <c r="F94" s="225" t="s">
        <v>263</v>
      </c>
      <c r="G94" s="226" t="s">
        <v>205</v>
      </c>
      <c r="H94" s="227"/>
      <c r="I94" s="228"/>
      <c r="J94" s="229"/>
      <c r="K94" s="230"/>
      <c r="L94" s="230"/>
      <c r="M94" s="231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2"/>
      <c r="AA94" s="232"/>
      <c r="AB94" s="232"/>
    </row>
    <row r="95" spans="2:28" x14ac:dyDescent="0.35">
      <c r="B95" s="236"/>
      <c r="C95" s="237"/>
      <c r="D95" s="237" t="s">
        <v>264</v>
      </c>
      <c r="E95" s="238"/>
      <c r="F95" s="225" t="s">
        <v>187</v>
      </c>
      <c r="G95" s="226" t="s">
        <v>188</v>
      </c>
      <c r="H95" s="227"/>
      <c r="I95" s="228"/>
      <c r="J95" s="229"/>
      <c r="K95" s="230"/>
      <c r="L95" s="230"/>
      <c r="M95" s="231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2"/>
      <c r="AA95" s="232"/>
      <c r="AB95" s="232"/>
    </row>
    <row r="96" spans="2:28" hidden="1" x14ac:dyDescent="0.35">
      <c r="B96" s="245"/>
      <c r="C96" s="246"/>
      <c r="D96" s="246"/>
      <c r="E96" s="251"/>
      <c r="F96" s="225" t="s">
        <v>265</v>
      </c>
      <c r="G96" s="226" t="s">
        <v>10</v>
      </c>
      <c r="H96" s="227"/>
      <c r="I96" s="228"/>
      <c r="J96" s="229"/>
      <c r="K96" s="230"/>
      <c r="L96" s="230"/>
      <c r="M96" s="231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2"/>
      <c r="AA96" s="232"/>
      <c r="AB96" s="232"/>
    </row>
    <row r="97" spans="2:29" hidden="1" x14ac:dyDescent="0.35">
      <c r="B97" s="248"/>
      <c r="C97" s="249"/>
      <c r="D97" s="249"/>
      <c r="E97" s="250"/>
      <c r="F97" s="225" t="s">
        <v>263</v>
      </c>
      <c r="G97" s="226" t="s">
        <v>205</v>
      </c>
      <c r="H97" s="227"/>
      <c r="I97" s="228"/>
      <c r="J97" s="229"/>
      <c r="K97" s="230"/>
      <c r="L97" s="230"/>
      <c r="M97" s="231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2"/>
      <c r="AA97" s="232"/>
      <c r="AB97" s="232"/>
    </row>
    <row r="98" spans="2:29" x14ac:dyDescent="0.35">
      <c r="B98" s="236"/>
      <c r="C98" s="237"/>
      <c r="D98" s="237" t="s">
        <v>266</v>
      </c>
      <c r="E98" s="238"/>
      <c r="F98" s="225" t="s">
        <v>187</v>
      </c>
      <c r="G98" s="226" t="s">
        <v>188</v>
      </c>
      <c r="H98" s="227"/>
      <c r="I98" s="228"/>
      <c r="J98" s="229"/>
      <c r="K98" s="230"/>
      <c r="L98" s="230"/>
      <c r="M98" s="231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2"/>
      <c r="AA98" s="232"/>
      <c r="AB98" s="232"/>
    </row>
    <row r="99" spans="2:29" hidden="1" x14ac:dyDescent="0.35">
      <c r="B99" s="245"/>
      <c r="C99" s="246"/>
      <c r="D99" s="246"/>
      <c r="E99" s="251"/>
      <c r="F99" s="225" t="s">
        <v>267</v>
      </c>
      <c r="G99" s="226" t="s">
        <v>10</v>
      </c>
      <c r="H99" s="227"/>
      <c r="I99" s="228"/>
      <c r="J99" s="229"/>
      <c r="K99" s="230"/>
      <c r="L99" s="230"/>
      <c r="M99" s="231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2"/>
      <c r="AA99" s="232"/>
      <c r="AB99" s="232"/>
    </row>
    <row r="100" spans="2:29" hidden="1" x14ac:dyDescent="0.35">
      <c r="B100" s="248"/>
      <c r="C100" s="249"/>
      <c r="D100" s="249"/>
      <c r="E100" s="250"/>
      <c r="F100" s="225" t="s">
        <v>263</v>
      </c>
      <c r="G100" s="226" t="s">
        <v>205</v>
      </c>
      <c r="H100" s="227"/>
      <c r="I100" s="228"/>
      <c r="J100" s="229"/>
      <c r="K100" s="230"/>
      <c r="L100" s="230"/>
      <c r="M100" s="231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2"/>
      <c r="AA100" s="232"/>
      <c r="AB100" s="232"/>
    </row>
    <row r="101" spans="2:29" x14ac:dyDescent="0.35">
      <c r="B101" s="236"/>
      <c r="C101" s="237"/>
      <c r="D101" s="237" t="s">
        <v>268</v>
      </c>
      <c r="E101" s="238"/>
      <c r="F101" s="225" t="s">
        <v>187</v>
      </c>
      <c r="G101" s="226" t="s">
        <v>188</v>
      </c>
      <c r="H101" s="227"/>
      <c r="I101" s="228"/>
      <c r="J101" s="229"/>
      <c r="K101" s="230"/>
      <c r="L101" s="230"/>
      <c r="M101" s="231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2"/>
      <c r="AA101" s="232"/>
      <c r="AB101" s="232"/>
    </row>
    <row r="102" spans="2:29" hidden="1" x14ac:dyDescent="0.35">
      <c r="B102" s="245"/>
      <c r="C102" s="246"/>
      <c r="D102" s="246"/>
      <c r="E102" s="251"/>
      <c r="F102" s="225" t="s">
        <v>269</v>
      </c>
      <c r="G102" s="226" t="s">
        <v>10</v>
      </c>
      <c r="H102" s="227"/>
      <c r="I102" s="228"/>
      <c r="J102" s="229"/>
      <c r="K102" s="230"/>
      <c r="L102" s="230"/>
      <c r="M102" s="235">
        <v>1</v>
      </c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2"/>
      <c r="AA102" s="232"/>
      <c r="AB102" s="232"/>
    </row>
    <row r="103" spans="2:29" hidden="1" x14ac:dyDescent="0.35">
      <c r="B103" s="248"/>
      <c r="C103" s="249"/>
      <c r="D103" s="249"/>
      <c r="E103" s="250"/>
      <c r="F103" s="225" t="s">
        <v>215</v>
      </c>
      <c r="G103" s="226" t="s">
        <v>205</v>
      </c>
      <c r="H103" s="227"/>
      <c r="I103" s="228"/>
      <c r="J103" s="229"/>
      <c r="K103" s="230"/>
      <c r="L103" s="230"/>
      <c r="M103" s="235">
        <v>4</v>
      </c>
      <c r="N103" s="235"/>
      <c r="O103" s="233"/>
      <c r="P103" s="233"/>
      <c r="Q103" s="233"/>
      <c r="R103" s="233"/>
      <c r="S103" s="233"/>
      <c r="T103" s="233"/>
      <c r="U103" s="233"/>
      <c r="V103" s="233"/>
      <c r="W103" s="233"/>
      <c r="X103" s="232"/>
      <c r="AA103" s="232"/>
      <c r="AB103" s="232"/>
    </row>
    <row r="104" spans="2:29" s="375" customFormat="1" x14ac:dyDescent="0.35">
      <c r="B104" s="290"/>
      <c r="C104" s="291"/>
      <c r="D104" s="291" t="s">
        <v>270</v>
      </c>
      <c r="E104" s="306"/>
      <c r="F104" s="273" t="s">
        <v>187</v>
      </c>
      <c r="G104" s="274" t="s">
        <v>188</v>
      </c>
      <c r="H104" s="275"/>
      <c r="I104" s="276"/>
      <c r="J104" s="277"/>
      <c r="K104" s="289"/>
      <c r="L104" s="289"/>
      <c r="M104" s="372">
        <v>1</v>
      </c>
      <c r="N104" s="372">
        <v>1</v>
      </c>
      <c r="O104" s="373"/>
      <c r="P104" s="373"/>
      <c r="Q104" s="373"/>
      <c r="R104" s="373"/>
      <c r="S104" s="373"/>
      <c r="T104" s="373"/>
      <c r="U104" s="373"/>
      <c r="V104" s="373"/>
      <c r="W104" s="373"/>
      <c r="X104" s="374"/>
      <c r="Y104" s="286"/>
      <c r="Z104" s="286"/>
      <c r="AA104" s="374"/>
      <c r="AB104" s="374"/>
      <c r="AC104" s="286"/>
    </row>
    <row r="105" spans="2:29" s="375" customFormat="1" hidden="1" x14ac:dyDescent="0.35">
      <c r="B105" s="242"/>
      <c r="C105" s="243"/>
      <c r="D105" s="243"/>
      <c r="E105" s="244"/>
      <c r="F105" s="273" t="s">
        <v>270</v>
      </c>
      <c r="G105" s="274" t="s">
        <v>10</v>
      </c>
      <c r="H105" s="275"/>
      <c r="I105" s="276"/>
      <c r="J105" s="277"/>
      <c r="K105" s="289"/>
      <c r="L105" s="289"/>
      <c r="M105" s="372">
        <v>7</v>
      </c>
      <c r="N105" s="372">
        <v>1</v>
      </c>
      <c r="O105" s="373"/>
      <c r="P105" s="373"/>
      <c r="Q105" s="373"/>
      <c r="R105" s="373"/>
      <c r="S105" s="373"/>
      <c r="T105" s="373"/>
      <c r="U105" s="373"/>
      <c r="V105" s="373"/>
      <c r="W105" s="373"/>
      <c r="X105" s="374"/>
      <c r="Y105" s="286"/>
      <c r="Z105" s="286"/>
      <c r="AA105" s="374"/>
      <c r="AB105" s="374"/>
      <c r="AC105" s="286"/>
    </row>
    <row r="106" spans="2:29" s="375" customFormat="1" hidden="1" x14ac:dyDescent="0.35">
      <c r="B106" s="283"/>
      <c r="C106" s="307"/>
      <c r="D106" s="307"/>
      <c r="E106" s="308"/>
      <c r="F106" s="273" t="s">
        <v>263</v>
      </c>
      <c r="G106" s="274" t="s">
        <v>205</v>
      </c>
      <c r="H106" s="275"/>
      <c r="I106" s="276"/>
      <c r="J106" s="277"/>
      <c r="K106" s="289"/>
      <c r="L106" s="289"/>
      <c r="M106" s="372">
        <v>3</v>
      </c>
      <c r="N106" s="372">
        <v>1</v>
      </c>
      <c r="O106" s="373"/>
      <c r="P106" s="373"/>
      <c r="Q106" s="373"/>
      <c r="R106" s="373"/>
      <c r="S106" s="373"/>
      <c r="T106" s="373"/>
      <c r="U106" s="373"/>
      <c r="V106" s="373"/>
      <c r="W106" s="373"/>
      <c r="X106" s="374"/>
      <c r="Y106" s="286"/>
      <c r="Z106" s="286"/>
      <c r="AA106" s="374"/>
      <c r="AB106" s="374"/>
      <c r="AC106" s="286"/>
    </row>
    <row r="107" spans="2:29" s="375" customFormat="1" x14ac:dyDescent="0.35">
      <c r="B107" s="290"/>
      <c r="C107" s="291"/>
      <c r="D107" s="291" t="s">
        <v>271</v>
      </c>
      <c r="E107" s="306"/>
      <c r="F107" s="273" t="s">
        <v>187</v>
      </c>
      <c r="G107" s="274" t="s">
        <v>188</v>
      </c>
      <c r="H107" s="275"/>
      <c r="I107" s="276"/>
      <c r="J107" s="277"/>
      <c r="K107" s="289"/>
      <c r="L107" s="289"/>
      <c r="M107" s="372">
        <v>1</v>
      </c>
      <c r="N107" s="372">
        <v>1</v>
      </c>
      <c r="O107" s="373"/>
      <c r="P107" s="373"/>
      <c r="Q107" s="373"/>
      <c r="R107" s="373"/>
      <c r="S107" s="373"/>
      <c r="T107" s="373"/>
      <c r="U107" s="373"/>
      <c r="V107" s="373"/>
      <c r="W107" s="373"/>
      <c r="X107" s="374"/>
      <c r="Y107" s="286"/>
      <c r="Z107" s="286"/>
      <c r="AA107" s="374"/>
      <c r="AB107" s="374"/>
      <c r="AC107" s="286"/>
    </row>
    <row r="108" spans="2:29" s="375" customFormat="1" hidden="1" x14ac:dyDescent="0.35">
      <c r="B108" s="242"/>
      <c r="C108" s="243"/>
      <c r="D108" s="243"/>
      <c r="E108" s="244"/>
      <c r="F108" s="273" t="s">
        <v>271</v>
      </c>
      <c r="G108" s="274" t="s">
        <v>10</v>
      </c>
      <c r="H108" s="275"/>
      <c r="I108" s="276"/>
      <c r="J108" s="277"/>
      <c r="K108" s="289"/>
      <c r="L108" s="289"/>
      <c r="M108" s="372">
        <v>7</v>
      </c>
      <c r="N108" s="372">
        <v>1</v>
      </c>
      <c r="O108" s="373"/>
      <c r="P108" s="373"/>
      <c r="Q108" s="373"/>
      <c r="R108" s="373"/>
      <c r="S108" s="373"/>
      <c r="T108" s="373"/>
      <c r="U108" s="373"/>
      <c r="V108" s="373"/>
      <c r="W108" s="373"/>
      <c r="X108" s="374"/>
      <c r="Y108" s="286"/>
      <c r="Z108" s="286"/>
      <c r="AA108" s="374"/>
      <c r="AB108" s="374"/>
      <c r="AC108" s="286"/>
    </row>
    <row r="109" spans="2:29" s="375" customFormat="1" hidden="1" x14ac:dyDescent="0.35">
      <c r="B109" s="283"/>
      <c r="C109" s="307"/>
      <c r="D109" s="307"/>
      <c r="E109" s="308"/>
      <c r="F109" s="273" t="s">
        <v>263</v>
      </c>
      <c r="G109" s="274" t="s">
        <v>205</v>
      </c>
      <c r="H109" s="275"/>
      <c r="I109" s="276"/>
      <c r="J109" s="277"/>
      <c r="K109" s="289"/>
      <c r="L109" s="289"/>
      <c r="M109" s="372">
        <v>3</v>
      </c>
      <c r="N109" s="372">
        <v>1</v>
      </c>
      <c r="O109" s="373"/>
      <c r="P109" s="373"/>
      <c r="Q109" s="373"/>
      <c r="R109" s="373"/>
      <c r="S109" s="373"/>
      <c r="T109" s="373"/>
      <c r="U109" s="373"/>
      <c r="V109" s="373"/>
      <c r="W109" s="373"/>
      <c r="X109" s="374"/>
      <c r="Y109" s="286"/>
      <c r="Z109" s="286"/>
      <c r="AA109" s="374"/>
      <c r="AB109" s="374"/>
      <c r="AC109" s="286"/>
    </row>
    <row r="110" spans="2:29" s="375" customFormat="1" x14ac:dyDescent="0.35">
      <c r="B110" s="290"/>
      <c r="C110" s="291"/>
      <c r="D110" s="291" t="s">
        <v>272</v>
      </c>
      <c r="E110" s="306"/>
      <c r="F110" s="273" t="s">
        <v>187</v>
      </c>
      <c r="G110" s="274" t="s">
        <v>188</v>
      </c>
      <c r="H110" s="275"/>
      <c r="I110" s="276"/>
      <c r="J110" s="277"/>
      <c r="K110" s="289"/>
      <c r="L110" s="289"/>
      <c r="M110" s="372">
        <v>1</v>
      </c>
      <c r="N110" s="372">
        <v>1</v>
      </c>
      <c r="O110" s="373"/>
      <c r="P110" s="373"/>
      <c r="Q110" s="373"/>
      <c r="R110" s="373"/>
      <c r="S110" s="373"/>
      <c r="T110" s="373"/>
      <c r="U110" s="373"/>
      <c r="V110" s="373"/>
      <c r="W110" s="373"/>
      <c r="X110" s="374"/>
      <c r="Y110" s="286"/>
      <c r="Z110" s="286"/>
      <c r="AA110" s="374"/>
      <c r="AB110" s="374"/>
      <c r="AC110" s="286"/>
    </row>
    <row r="111" spans="2:29" s="375" customFormat="1" hidden="1" x14ac:dyDescent="0.35">
      <c r="B111" s="242"/>
      <c r="C111" s="243"/>
      <c r="D111" s="243"/>
      <c r="E111" s="244"/>
      <c r="F111" s="273" t="s">
        <v>272</v>
      </c>
      <c r="G111" s="274" t="s">
        <v>10</v>
      </c>
      <c r="H111" s="275"/>
      <c r="I111" s="276"/>
      <c r="J111" s="277"/>
      <c r="K111" s="289"/>
      <c r="L111" s="289"/>
      <c r="M111" s="372">
        <v>7</v>
      </c>
      <c r="N111" s="372">
        <v>1</v>
      </c>
      <c r="O111" s="373"/>
      <c r="P111" s="373"/>
      <c r="Q111" s="373"/>
      <c r="R111" s="373"/>
      <c r="S111" s="373"/>
      <c r="T111" s="373"/>
      <c r="U111" s="373"/>
      <c r="V111" s="373"/>
      <c r="W111" s="373"/>
      <c r="X111" s="374"/>
      <c r="Y111" s="286"/>
      <c r="Z111" s="286"/>
      <c r="AA111" s="374"/>
      <c r="AB111" s="374"/>
      <c r="AC111" s="286"/>
    </row>
    <row r="112" spans="2:29" s="375" customFormat="1" hidden="1" x14ac:dyDescent="0.35">
      <c r="B112" s="283"/>
      <c r="C112" s="307"/>
      <c r="D112" s="307"/>
      <c r="E112" s="308"/>
      <c r="F112" s="273" t="s">
        <v>263</v>
      </c>
      <c r="G112" s="274" t="s">
        <v>205</v>
      </c>
      <c r="H112" s="275"/>
      <c r="I112" s="276"/>
      <c r="J112" s="277"/>
      <c r="K112" s="289"/>
      <c r="L112" s="289"/>
      <c r="M112" s="372">
        <v>3</v>
      </c>
      <c r="N112" s="372">
        <v>1</v>
      </c>
      <c r="O112" s="373"/>
      <c r="P112" s="373"/>
      <c r="Q112" s="373"/>
      <c r="R112" s="373"/>
      <c r="S112" s="373"/>
      <c r="T112" s="373"/>
      <c r="U112" s="373"/>
      <c r="V112" s="373"/>
      <c r="W112" s="373"/>
      <c r="X112" s="374"/>
      <c r="Y112" s="286"/>
      <c r="Z112" s="286"/>
      <c r="AA112" s="374"/>
      <c r="AB112" s="374"/>
      <c r="AC112" s="286"/>
    </row>
    <row r="113" spans="2:29" s="375" customFormat="1" x14ac:dyDescent="0.35">
      <c r="B113" s="331"/>
      <c r="C113" s="332"/>
      <c r="D113" s="333" t="s">
        <v>273</v>
      </c>
      <c r="E113" s="334"/>
      <c r="F113" s="335"/>
      <c r="G113" s="336"/>
      <c r="H113" s="337"/>
      <c r="I113" s="338"/>
      <c r="J113" s="339"/>
      <c r="K113" s="340"/>
      <c r="L113" s="340"/>
      <c r="M113" s="341"/>
      <c r="N113" s="342"/>
      <c r="O113" s="342"/>
      <c r="P113" s="342"/>
      <c r="Q113" s="342">
        <f>SUM(Q92:Q112)</f>
        <v>0</v>
      </c>
      <c r="R113" s="342"/>
      <c r="S113" s="342"/>
      <c r="T113" s="342"/>
      <c r="U113" s="342"/>
      <c r="V113" s="342"/>
      <c r="W113" s="342"/>
      <c r="X113" s="370"/>
      <c r="Y113" s="371"/>
      <c r="Z113" s="371"/>
      <c r="AA113" s="370"/>
      <c r="AB113" s="370"/>
      <c r="AC113" s="286"/>
    </row>
    <row r="114" spans="2:29" s="375" customFormat="1" x14ac:dyDescent="0.35">
      <c r="B114" s="275"/>
      <c r="C114" s="376" t="s">
        <v>274</v>
      </c>
      <c r="D114" s="276"/>
      <c r="E114" s="288"/>
      <c r="F114" s="273"/>
      <c r="G114" s="274"/>
      <c r="H114" s="275"/>
      <c r="I114" s="276"/>
      <c r="J114" s="277"/>
      <c r="K114" s="289"/>
      <c r="L114" s="289"/>
      <c r="M114" s="377"/>
      <c r="N114" s="373"/>
      <c r="O114" s="373"/>
      <c r="P114" s="373"/>
      <c r="Q114" s="373"/>
      <c r="R114" s="373"/>
      <c r="S114" s="373"/>
      <c r="T114" s="373"/>
      <c r="U114" s="373"/>
      <c r="V114" s="373"/>
      <c r="W114" s="373"/>
      <c r="X114" s="374"/>
      <c r="Y114" s="286"/>
      <c r="Z114" s="286"/>
      <c r="AA114" s="374"/>
      <c r="AB114" s="374"/>
      <c r="AC114" s="286"/>
    </row>
    <row r="115" spans="2:29" x14ac:dyDescent="0.35">
      <c r="B115" s="236"/>
      <c r="C115" s="237"/>
      <c r="D115" s="237" t="s">
        <v>275</v>
      </c>
      <c r="E115" s="238"/>
      <c r="F115" s="225" t="s">
        <v>187</v>
      </c>
      <c r="G115" s="226" t="s">
        <v>188</v>
      </c>
      <c r="H115" s="227"/>
      <c r="I115" s="228"/>
      <c r="J115" s="229"/>
      <c r="K115" s="230"/>
      <c r="L115" s="230"/>
      <c r="M115" s="231"/>
      <c r="N115" s="235">
        <v>1</v>
      </c>
      <c r="O115" s="233"/>
      <c r="P115" s="233"/>
      <c r="Q115" s="233"/>
      <c r="R115" s="233"/>
      <c r="S115" s="233"/>
      <c r="T115" s="233"/>
      <c r="U115" s="233"/>
      <c r="V115" s="233"/>
      <c r="W115" s="233"/>
      <c r="X115" s="232"/>
      <c r="AA115" s="232"/>
      <c r="AB115" s="232"/>
    </row>
    <row r="116" spans="2:29" hidden="1" x14ac:dyDescent="0.35">
      <c r="B116" s="248"/>
      <c r="C116" s="249"/>
      <c r="D116" s="249"/>
      <c r="E116" s="250"/>
      <c r="F116" s="225" t="s">
        <v>215</v>
      </c>
      <c r="G116" s="226" t="s">
        <v>205</v>
      </c>
      <c r="H116" s="227"/>
      <c r="I116" s="228"/>
      <c r="J116" s="229"/>
      <c r="K116" s="230"/>
      <c r="L116" s="230"/>
      <c r="M116" s="231">
        <f>1/10</f>
        <v>0.1</v>
      </c>
      <c r="N116" s="235">
        <v>1</v>
      </c>
      <c r="O116" s="233"/>
      <c r="P116" s="233"/>
      <c r="Q116" s="233"/>
      <c r="R116" s="233"/>
      <c r="S116" s="233"/>
      <c r="T116" s="233"/>
      <c r="U116" s="233"/>
      <c r="V116" s="233"/>
      <c r="W116" s="233"/>
      <c r="X116" s="232"/>
      <c r="AA116" s="232"/>
      <c r="AB116" s="232"/>
    </row>
    <row r="117" spans="2:29" x14ac:dyDescent="0.35">
      <c r="B117" s="236"/>
      <c r="C117" s="237"/>
      <c r="D117" s="237" t="s">
        <v>276</v>
      </c>
      <c r="E117" s="238"/>
      <c r="F117" s="225" t="s">
        <v>187</v>
      </c>
      <c r="G117" s="226" t="s">
        <v>188</v>
      </c>
      <c r="H117" s="227"/>
      <c r="I117" s="228"/>
      <c r="J117" s="229"/>
      <c r="K117" s="230"/>
      <c r="L117" s="230"/>
      <c r="M117" s="231"/>
      <c r="N117" s="235">
        <v>1</v>
      </c>
      <c r="O117" s="233"/>
      <c r="P117" s="233"/>
      <c r="Q117" s="233"/>
      <c r="R117" s="233"/>
      <c r="S117" s="233"/>
      <c r="T117" s="233"/>
      <c r="U117" s="233"/>
      <c r="V117" s="233"/>
      <c r="W117" s="233"/>
      <c r="X117" s="232"/>
      <c r="AA117" s="232"/>
      <c r="AB117" s="232"/>
    </row>
    <row r="118" spans="2:29" x14ac:dyDescent="0.35">
      <c r="B118" s="248"/>
      <c r="C118" s="249"/>
      <c r="D118" s="249" t="s">
        <v>277</v>
      </c>
      <c r="E118" s="250"/>
      <c r="F118" s="225" t="s">
        <v>215</v>
      </c>
      <c r="G118" s="226" t="s">
        <v>205</v>
      </c>
      <c r="H118" s="227"/>
      <c r="I118" s="228"/>
      <c r="J118" s="229"/>
      <c r="K118" s="239">
        <v>1</v>
      </c>
      <c r="L118" s="230"/>
      <c r="M118" s="231">
        <f>1/30</f>
        <v>3.3333333333333333E-2</v>
      </c>
      <c r="N118" s="235">
        <v>1</v>
      </c>
      <c r="O118" s="233">
        <f>K118*L118*M118*N118</f>
        <v>0</v>
      </c>
      <c r="P118" s="301">
        <v>720338.0730320001</v>
      </c>
      <c r="Q118" s="233">
        <f>P118*$O118</f>
        <v>0</v>
      </c>
      <c r="R118" s="233"/>
      <c r="S118" s="233"/>
      <c r="T118" s="233"/>
      <c r="U118" s="233"/>
      <c r="V118" s="233"/>
      <c r="W118" s="233"/>
      <c r="X118" s="232"/>
      <c r="AA118" s="232"/>
      <c r="AB118" s="232"/>
    </row>
    <row r="119" spans="2:29" x14ac:dyDescent="0.35">
      <c r="B119" s="236"/>
      <c r="C119" s="291"/>
      <c r="D119" s="291" t="s">
        <v>108</v>
      </c>
      <c r="E119" s="306"/>
      <c r="F119" s="273" t="s">
        <v>187</v>
      </c>
      <c r="G119" s="274" t="s">
        <v>188</v>
      </c>
      <c r="H119" s="275"/>
      <c r="I119" s="276"/>
      <c r="J119" s="277"/>
      <c r="K119" s="278">
        <v>0</v>
      </c>
      <c r="L119" s="289">
        <v>2</v>
      </c>
      <c r="M119" s="235">
        <v>1</v>
      </c>
      <c r="N119" s="235">
        <v>1</v>
      </c>
      <c r="O119" s="373">
        <f>K119*L119*M119*N119</f>
        <v>0</v>
      </c>
      <c r="P119" s="301">
        <v>149108.51999999999</v>
      </c>
      <c r="Q119" s="233">
        <f>P119*$O119</f>
        <v>0</v>
      </c>
      <c r="R119" s="233"/>
      <c r="S119" s="233"/>
      <c r="T119" s="233"/>
      <c r="U119" s="233"/>
      <c r="V119" s="233"/>
      <c r="W119" s="233"/>
      <c r="X119" s="232" t="s">
        <v>278</v>
      </c>
      <c r="AA119" s="302">
        <f>Q119/140.98</f>
        <v>0</v>
      </c>
      <c r="AB119" s="232"/>
    </row>
    <row r="120" spans="2:29" hidden="1" x14ac:dyDescent="0.35">
      <c r="B120" s="248"/>
      <c r="C120" s="249"/>
      <c r="D120" s="307"/>
      <c r="E120" s="308"/>
      <c r="F120" s="273" t="s">
        <v>215</v>
      </c>
      <c r="G120" s="274" t="s">
        <v>205</v>
      </c>
      <c r="H120" s="275"/>
      <c r="I120" s="276"/>
      <c r="J120" s="277" t="s">
        <v>279</v>
      </c>
      <c r="K120" s="278">
        <v>0</v>
      </c>
      <c r="L120" s="289">
        <f>1200</f>
        <v>1200</v>
      </c>
      <c r="M120" s="231">
        <f>1/60</f>
        <v>1.6666666666666666E-2</v>
      </c>
      <c r="N120" s="235">
        <v>1</v>
      </c>
      <c r="O120" s="235">
        <f>K120*L120*M120*N120</f>
        <v>0</v>
      </c>
      <c r="P120" s="301">
        <v>720338.0730320001</v>
      </c>
      <c r="Q120" s="233">
        <f>P120*$O120</f>
        <v>0</v>
      </c>
      <c r="R120" s="233">
        <v>720338.0730320001</v>
      </c>
      <c r="S120" s="233">
        <f>R120*$O120</f>
        <v>0</v>
      </c>
      <c r="T120" s="233">
        <v>761671.70213055995</v>
      </c>
      <c r="U120" s="233">
        <f>T120*$O120</f>
        <v>0</v>
      </c>
      <c r="V120" s="233" t="e">
        <f>W120/O120</f>
        <v>#DIV/0!</v>
      </c>
      <c r="W120" s="241">
        <f>AVERAGEIF($P$4:$U$4,W$4,$P120:$U120)</f>
        <v>0</v>
      </c>
      <c r="X120" s="232" t="s">
        <v>280</v>
      </c>
      <c r="AA120" s="302">
        <f>Q120/140.98</f>
        <v>0</v>
      </c>
      <c r="AB120" s="232"/>
    </row>
    <row r="121" spans="2:29" x14ac:dyDescent="0.35">
      <c r="B121" s="367" t="s">
        <v>281</v>
      </c>
      <c r="C121" s="368"/>
      <c r="D121" s="368"/>
      <c r="E121" s="369"/>
      <c r="F121" s="335"/>
      <c r="G121" s="336"/>
      <c r="H121" s="337"/>
      <c r="I121" s="338"/>
      <c r="J121" s="339"/>
      <c r="K121" s="378"/>
      <c r="L121" s="340"/>
      <c r="M121" s="341"/>
      <c r="N121" s="342"/>
      <c r="O121" s="379"/>
      <c r="P121" s="379"/>
      <c r="Q121" s="343">
        <f>SUM(Q118:Q120)</f>
        <v>0</v>
      </c>
      <c r="R121" s="342"/>
      <c r="S121" s="342"/>
      <c r="T121" s="342"/>
      <c r="U121" s="342"/>
      <c r="V121" s="342"/>
      <c r="W121" s="380"/>
      <c r="X121" s="370"/>
      <c r="AA121" s="346">
        <f>Q121/140.98</f>
        <v>0</v>
      </c>
      <c r="AB121" s="344">
        <f>Q121/7783811040.11*100</f>
        <v>0</v>
      </c>
    </row>
    <row r="122" spans="2:29" x14ac:dyDescent="0.35">
      <c r="B122" s="275"/>
      <c r="C122" s="376" t="s">
        <v>282</v>
      </c>
      <c r="D122" s="276"/>
      <c r="E122" s="288"/>
      <c r="F122" s="273"/>
      <c r="G122" s="274"/>
      <c r="H122" s="275"/>
      <c r="I122" s="276"/>
      <c r="J122" s="277"/>
      <c r="K122" s="289"/>
      <c r="L122" s="289"/>
      <c r="M122" s="231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2"/>
      <c r="AA122" s="232"/>
      <c r="AB122" s="232"/>
    </row>
    <row r="123" spans="2:29" x14ac:dyDescent="0.35">
      <c r="B123" s="290"/>
      <c r="C123" s="291"/>
      <c r="D123" s="291" t="s">
        <v>283</v>
      </c>
      <c r="E123" s="306"/>
      <c r="F123" s="273" t="s">
        <v>187</v>
      </c>
      <c r="G123" s="274" t="s">
        <v>188</v>
      </c>
      <c r="H123" s="275"/>
      <c r="I123" s="276"/>
      <c r="J123" s="277"/>
      <c r="K123" s="289"/>
      <c r="L123" s="289"/>
      <c r="M123" s="231"/>
      <c r="N123" s="235">
        <v>1</v>
      </c>
      <c r="O123" s="233"/>
      <c r="P123" s="233"/>
      <c r="Q123" s="233"/>
      <c r="R123" s="233"/>
      <c r="S123" s="233"/>
      <c r="T123" s="233"/>
      <c r="U123" s="233"/>
      <c r="V123" s="233"/>
      <c r="W123" s="233"/>
      <c r="X123" s="232"/>
      <c r="AA123" s="232"/>
      <c r="AB123" s="232"/>
    </row>
    <row r="124" spans="2:29" hidden="1" x14ac:dyDescent="0.35">
      <c r="B124" s="283"/>
      <c r="C124" s="307"/>
      <c r="D124" s="307"/>
      <c r="E124" s="308"/>
      <c r="F124" s="273" t="s">
        <v>215</v>
      </c>
      <c r="G124" s="274" t="s">
        <v>205</v>
      </c>
      <c r="H124" s="275"/>
      <c r="I124" s="276"/>
      <c r="J124" s="277" t="s">
        <v>279</v>
      </c>
      <c r="K124" s="278">
        <v>1</v>
      </c>
      <c r="L124" s="289"/>
      <c r="M124" s="240">
        <f>1/10</f>
        <v>0.1</v>
      </c>
      <c r="N124" s="235">
        <v>1</v>
      </c>
      <c r="O124" s="373">
        <f>K124*L124*M124*N124</f>
        <v>0</v>
      </c>
      <c r="P124" s="301">
        <v>720338.0730320001</v>
      </c>
      <c r="Q124" s="233">
        <f>P124*$O124</f>
        <v>0</v>
      </c>
      <c r="R124" s="233">
        <v>720338.0730320001</v>
      </c>
      <c r="S124" s="233">
        <f>R124*$O124</f>
        <v>0</v>
      </c>
      <c r="T124" s="233">
        <v>761671.70213055995</v>
      </c>
      <c r="U124" s="233">
        <f>T124*$O124</f>
        <v>0</v>
      </c>
      <c r="V124" s="233" t="e">
        <f>W124/O124</f>
        <v>#DIV/0!</v>
      </c>
      <c r="W124" s="241">
        <f>AVERAGEIF($P$4:$U$4,W$4,$P124:$U124)</f>
        <v>0</v>
      </c>
      <c r="X124" s="329"/>
      <c r="AA124" s="232"/>
      <c r="AB124" s="232"/>
    </row>
    <row r="125" spans="2:29" x14ac:dyDescent="0.35">
      <c r="B125" s="290"/>
      <c r="C125" s="291"/>
      <c r="D125" s="291" t="s">
        <v>112</v>
      </c>
      <c r="E125" s="306"/>
      <c r="F125" s="273" t="s">
        <v>187</v>
      </c>
      <c r="G125" s="274" t="s">
        <v>188</v>
      </c>
      <c r="H125" s="275"/>
      <c r="I125" s="276"/>
      <c r="J125" s="277"/>
      <c r="K125" s="278">
        <v>1</v>
      </c>
      <c r="L125" s="289">
        <v>8</v>
      </c>
      <c r="M125" s="235">
        <v>1</v>
      </c>
      <c r="N125" s="235">
        <v>1</v>
      </c>
      <c r="O125" s="373">
        <f>K125*L125*M125*N125</f>
        <v>8</v>
      </c>
      <c r="P125" s="301">
        <v>149108.51999999999</v>
      </c>
      <c r="Q125" s="235">
        <f>P125*$O125</f>
        <v>1192868.1599999999</v>
      </c>
      <c r="R125" s="233"/>
      <c r="S125" s="233"/>
      <c r="T125" s="233"/>
      <c r="U125" s="233"/>
      <c r="V125" s="233"/>
      <c r="W125" s="233"/>
      <c r="X125" s="232"/>
      <c r="AA125" s="302">
        <f>Q125/46.1</f>
        <v>25875.665075921905</v>
      </c>
      <c r="AB125" s="232"/>
    </row>
    <row r="126" spans="2:29" x14ac:dyDescent="0.35">
      <c r="B126" s="283"/>
      <c r="C126" s="307"/>
      <c r="D126" s="307"/>
      <c r="E126" s="308"/>
      <c r="F126" s="273" t="s">
        <v>215</v>
      </c>
      <c r="G126" s="274" t="s">
        <v>205</v>
      </c>
      <c r="H126" s="275"/>
      <c r="I126" s="276"/>
      <c r="J126" s="277" t="s">
        <v>279</v>
      </c>
      <c r="K126" s="278">
        <v>1</v>
      </c>
      <c r="L126" s="381">
        <v>2675</v>
      </c>
      <c r="M126" s="377">
        <f>1/33</f>
        <v>3.0303030303030304E-2</v>
      </c>
      <c r="N126" s="235">
        <v>1</v>
      </c>
      <c r="O126" s="373">
        <f>K126*L126*M126*N126</f>
        <v>81.060606060606062</v>
      </c>
      <c r="P126" s="301">
        <v>720338.0730320001</v>
      </c>
      <c r="Q126" s="235">
        <f>P126*$O126</f>
        <v>58391040.76850304</v>
      </c>
      <c r="R126" s="233">
        <v>720338.0730320001</v>
      </c>
      <c r="S126" s="233">
        <f>R126*$O126</f>
        <v>58391040.76850304</v>
      </c>
      <c r="T126" s="233">
        <v>761671.70213055995</v>
      </c>
      <c r="U126" s="233">
        <f>T126*$O126</f>
        <v>61741569.793916605</v>
      </c>
      <c r="V126" s="233">
        <f>W126/O126</f>
        <v>734115.94939818676</v>
      </c>
      <c r="W126" s="241">
        <f>AVERAGEIF($P$4:$U$4,W$4,$P126:$U126)</f>
        <v>59507883.776974231</v>
      </c>
      <c r="X126" s="233"/>
      <c r="AA126" s="302">
        <f>Q126/46.1</f>
        <v>1266616.9364100443</v>
      </c>
      <c r="AB126" s="232"/>
    </row>
    <row r="127" spans="2:29" x14ac:dyDescent="0.35">
      <c r="B127" s="290"/>
      <c r="C127" s="291"/>
      <c r="D127" s="291" t="s">
        <v>284</v>
      </c>
      <c r="E127" s="306"/>
      <c r="F127" s="273" t="s">
        <v>187</v>
      </c>
      <c r="G127" s="274" t="s">
        <v>188</v>
      </c>
      <c r="H127" s="275"/>
      <c r="I127" s="276"/>
      <c r="J127" s="277"/>
      <c r="K127" s="278">
        <v>1</v>
      </c>
      <c r="L127" s="289">
        <v>6</v>
      </c>
      <c r="M127" s="235">
        <v>1</v>
      </c>
      <c r="N127" s="235">
        <v>1</v>
      </c>
      <c r="O127" s="373">
        <f>K127*L127*M127*N127</f>
        <v>6</v>
      </c>
      <c r="P127" s="301">
        <v>149108.51999999999</v>
      </c>
      <c r="Q127" s="235">
        <f>P127*$O127</f>
        <v>894651.11999999988</v>
      </c>
      <c r="R127" s="233"/>
      <c r="S127" s="233"/>
      <c r="T127" s="233"/>
      <c r="U127" s="233"/>
      <c r="V127" s="233"/>
      <c r="W127" s="233"/>
      <c r="X127" s="232"/>
      <c r="AA127" s="302">
        <f t="shared" ref="AA127:AA129" si="19">Q127/140.98</f>
        <v>6345.9435380905088</v>
      </c>
      <c r="AB127" s="232"/>
    </row>
    <row r="128" spans="2:29" x14ac:dyDescent="0.35">
      <c r="B128" s="283"/>
      <c r="C128" s="307"/>
      <c r="D128" s="307"/>
      <c r="E128" s="308"/>
      <c r="F128" s="273" t="s">
        <v>215</v>
      </c>
      <c r="G128" s="274" t="s">
        <v>205</v>
      </c>
      <c r="H128" s="275"/>
      <c r="I128" s="276"/>
      <c r="J128" s="277" t="s">
        <v>279</v>
      </c>
      <c r="K128" s="278">
        <v>1</v>
      </c>
      <c r="L128" s="381">
        <v>3670</v>
      </c>
      <c r="M128" s="382">
        <f>1/60</f>
        <v>1.6666666666666666E-2</v>
      </c>
      <c r="N128" s="235">
        <v>1</v>
      </c>
      <c r="O128" s="373">
        <f>K128*L128*M128*N128</f>
        <v>61.166666666666664</v>
      </c>
      <c r="P128" s="301">
        <v>720338.0730320001</v>
      </c>
      <c r="Q128" s="235">
        <f>P128*$O128</f>
        <v>44060678.800457336</v>
      </c>
      <c r="R128" s="233">
        <v>720338.0730320001</v>
      </c>
      <c r="S128" s="233">
        <f>R128*$O128</f>
        <v>44060678.800457336</v>
      </c>
      <c r="T128" s="233">
        <v>761671.70213055995</v>
      </c>
      <c r="U128" s="233">
        <f>T128*$O128</f>
        <v>46588919.113652579</v>
      </c>
      <c r="V128" s="233">
        <f>W128/O128</f>
        <v>734115.94939818664</v>
      </c>
      <c r="W128" s="241">
        <f>AVERAGEIF($P$4:$U$4,W$4,$P128:$U128)</f>
        <v>44903425.571522415</v>
      </c>
      <c r="X128" s="232" t="s">
        <v>285</v>
      </c>
      <c r="AA128" s="302">
        <f t="shared" si="19"/>
        <v>312531.41438826313</v>
      </c>
      <c r="AB128" s="232"/>
    </row>
    <row r="129" spans="2:28" x14ac:dyDescent="0.35">
      <c r="B129" s="367" t="s">
        <v>286</v>
      </c>
      <c r="C129" s="368"/>
      <c r="D129" s="368"/>
      <c r="E129" s="369"/>
      <c r="F129" s="335"/>
      <c r="G129" s="336"/>
      <c r="H129" s="337"/>
      <c r="I129" s="338"/>
      <c r="J129" s="339"/>
      <c r="K129" s="378"/>
      <c r="L129" s="383"/>
      <c r="M129" s="384"/>
      <c r="N129" s="342"/>
      <c r="O129" s="342"/>
      <c r="P129" s="379"/>
      <c r="Q129" s="385">
        <f>SUM(Q123:Q128)</f>
        <v>104539238.84896037</v>
      </c>
      <c r="R129" s="342"/>
      <c r="S129" s="342"/>
      <c r="T129" s="342"/>
      <c r="U129" s="342"/>
      <c r="V129" s="342"/>
      <c r="W129" s="380"/>
      <c r="X129" s="370"/>
      <c r="AA129" s="346">
        <f t="shared" si="19"/>
        <v>741518.22137154476</v>
      </c>
      <c r="AB129" s="344">
        <f>Q129/$Q$332*100</f>
        <v>1.169067949491615</v>
      </c>
    </row>
    <row r="130" spans="2:28" x14ac:dyDescent="0.35">
      <c r="B130" s="242"/>
      <c r="C130" s="386" t="s">
        <v>287</v>
      </c>
      <c r="D130" s="243"/>
      <c r="E130" s="244"/>
      <c r="F130" s="273" t="s">
        <v>187</v>
      </c>
      <c r="G130" s="274" t="s">
        <v>188</v>
      </c>
      <c r="H130" s="275"/>
      <c r="I130" s="276"/>
      <c r="J130" s="277" t="s">
        <v>10</v>
      </c>
      <c r="K130" s="289"/>
      <c r="L130" s="289"/>
      <c r="M130" s="235">
        <v>3</v>
      </c>
      <c r="N130" s="235">
        <v>1</v>
      </c>
      <c r="O130" s="233"/>
      <c r="P130" s="233"/>
      <c r="Q130" s="233"/>
      <c r="R130" s="233"/>
      <c r="S130" s="233"/>
      <c r="T130" s="233"/>
      <c r="U130" s="233"/>
      <c r="V130" s="233"/>
      <c r="W130" s="233"/>
      <c r="X130" s="232"/>
      <c r="AA130" s="232"/>
      <c r="AB130" s="232"/>
    </row>
    <row r="131" spans="2:28" hidden="1" x14ac:dyDescent="0.35">
      <c r="B131" s="242"/>
      <c r="C131" s="243"/>
      <c r="D131" s="243"/>
      <c r="E131" s="244"/>
      <c r="F131" s="273" t="s">
        <v>288</v>
      </c>
      <c r="G131" s="274" t="s">
        <v>10</v>
      </c>
      <c r="H131" s="275"/>
      <c r="I131" s="276"/>
      <c r="J131" s="277"/>
      <c r="K131" s="289"/>
      <c r="L131" s="289"/>
      <c r="M131" s="235"/>
      <c r="N131" s="235">
        <v>1</v>
      </c>
      <c r="O131" s="233"/>
      <c r="P131" s="233"/>
      <c r="Q131" s="233"/>
      <c r="R131" s="233"/>
      <c r="S131" s="233"/>
      <c r="T131" s="233"/>
      <c r="U131" s="233"/>
      <c r="V131" s="233"/>
      <c r="W131" s="233"/>
      <c r="X131" s="232"/>
      <c r="AA131" s="232"/>
      <c r="AB131" s="232"/>
    </row>
    <row r="132" spans="2:28" hidden="1" x14ac:dyDescent="0.35">
      <c r="B132" s="283"/>
      <c r="C132" s="307"/>
      <c r="D132" s="307"/>
      <c r="E132" s="308"/>
      <c r="F132" s="273" t="s">
        <v>215</v>
      </c>
      <c r="G132" s="274" t="s">
        <v>205</v>
      </c>
      <c r="H132" s="275"/>
      <c r="I132" s="276"/>
      <c r="J132" s="277"/>
      <c r="K132" s="289"/>
      <c r="L132" s="289"/>
      <c r="M132" s="235">
        <v>3</v>
      </c>
      <c r="N132" s="235">
        <v>1</v>
      </c>
      <c r="O132" s="233"/>
      <c r="P132" s="233"/>
      <c r="Q132" s="233"/>
      <c r="R132" s="233"/>
      <c r="S132" s="233"/>
      <c r="T132" s="233"/>
      <c r="U132" s="233"/>
      <c r="V132" s="233"/>
      <c r="W132" s="233"/>
      <c r="X132" s="232"/>
      <c r="AA132" s="232"/>
      <c r="AB132" s="232"/>
    </row>
    <row r="133" spans="2:28" x14ac:dyDescent="0.35">
      <c r="B133" s="367" t="s">
        <v>289</v>
      </c>
      <c r="C133" s="368"/>
      <c r="D133" s="368"/>
      <c r="E133" s="369"/>
      <c r="F133" s="335"/>
      <c r="G133" s="336"/>
      <c r="H133" s="337"/>
      <c r="I133" s="338"/>
      <c r="J133" s="339"/>
      <c r="K133" s="340"/>
      <c r="L133" s="340"/>
      <c r="M133" s="341"/>
      <c r="N133" s="342"/>
      <c r="O133" s="342"/>
      <c r="P133" s="342"/>
      <c r="Q133" s="342">
        <f>SUM(Q130:Q132)</f>
        <v>0</v>
      </c>
      <c r="R133" s="342"/>
      <c r="S133" s="342"/>
      <c r="T133" s="342"/>
      <c r="U133" s="342"/>
      <c r="V133" s="342"/>
      <c r="W133" s="342"/>
      <c r="X133" s="370"/>
      <c r="AA133" s="370"/>
      <c r="AB133" s="370"/>
    </row>
    <row r="134" spans="2:28" x14ac:dyDescent="0.35">
      <c r="B134" s="275"/>
      <c r="C134" s="376" t="s">
        <v>290</v>
      </c>
      <c r="D134" s="276"/>
      <c r="E134" s="288"/>
      <c r="F134" s="273"/>
      <c r="G134" s="274"/>
      <c r="H134" s="275"/>
      <c r="I134" s="276"/>
      <c r="J134" s="277"/>
      <c r="K134" s="289"/>
      <c r="L134" s="289"/>
      <c r="M134" s="231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2"/>
      <c r="AA134" s="232"/>
      <c r="AB134" s="232"/>
    </row>
    <row r="135" spans="2:28" x14ac:dyDescent="0.35">
      <c r="B135" s="290"/>
      <c r="C135" s="291"/>
      <c r="D135" s="291" t="s">
        <v>123</v>
      </c>
      <c r="E135" s="306"/>
      <c r="F135" s="273" t="s">
        <v>187</v>
      </c>
      <c r="G135" s="274" t="s">
        <v>188</v>
      </c>
      <c r="H135" s="275"/>
      <c r="I135" s="276"/>
      <c r="J135" s="277"/>
      <c r="K135" s="289"/>
      <c r="L135" s="289"/>
      <c r="M135" s="231">
        <f>1/3</f>
        <v>0.33333333333333331</v>
      </c>
      <c r="N135" s="235">
        <v>1</v>
      </c>
      <c r="O135" s="233"/>
      <c r="P135" s="233"/>
      <c r="Q135" s="233"/>
      <c r="R135" s="233"/>
      <c r="S135" s="233"/>
      <c r="T135" s="233"/>
      <c r="U135" s="233"/>
      <c r="V135" s="233"/>
      <c r="W135" s="233"/>
      <c r="X135" s="232"/>
      <c r="AA135" s="232"/>
      <c r="AB135" s="232"/>
    </row>
    <row r="136" spans="2:28" hidden="1" x14ac:dyDescent="0.35">
      <c r="B136" s="283"/>
      <c r="C136" s="307"/>
      <c r="D136" s="307"/>
      <c r="E136" s="308"/>
      <c r="F136" s="273" t="s">
        <v>291</v>
      </c>
      <c r="G136" s="274" t="s">
        <v>193</v>
      </c>
      <c r="H136" s="275"/>
      <c r="I136" s="276"/>
      <c r="J136" s="277"/>
      <c r="K136" s="289"/>
      <c r="L136" s="289"/>
      <c r="M136" s="231"/>
      <c r="N136" s="235"/>
      <c r="O136" s="233"/>
      <c r="P136" s="233"/>
      <c r="Q136" s="233"/>
      <c r="R136" s="233"/>
      <c r="S136" s="233"/>
      <c r="T136" s="233"/>
      <c r="U136" s="233"/>
      <c r="V136" s="233"/>
      <c r="W136" s="233"/>
      <c r="X136" s="232"/>
      <c r="AA136" s="232"/>
      <c r="AB136" s="232"/>
    </row>
    <row r="137" spans="2:28" x14ac:dyDescent="0.35">
      <c r="B137" s="290"/>
      <c r="C137" s="291"/>
      <c r="D137" s="291" t="s">
        <v>292</v>
      </c>
      <c r="E137" s="306"/>
      <c r="F137" s="273" t="s">
        <v>187</v>
      </c>
      <c r="G137" s="274" t="s">
        <v>188</v>
      </c>
      <c r="H137" s="275"/>
      <c r="I137" s="276"/>
      <c r="J137" s="277"/>
      <c r="K137" s="289"/>
      <c r="L137" s="289"/>
      <c r="M137" s="231"/>
      <c r="N137" s="235"/>
      <c r="O137" s="233"/>
      <c r="P137" s="233"/>
      <c r="Q137" s="233"/>
      <c r="R137" s="233"/>
      <c r="S137" s="233"/>
      <c r="T137" s="233"/>
      <c r="U137" s="233"/>
      <c r="V137" s="233"/>
      <c r="W137" s="233"/>
      <c r="X137" s="232"/>
      <c r="AA137" s="232"/>
      <c r="AB137" s="232"/>
    </row>
    <row r="138" spans="2:28" hidden="1" x14ac:dyDescent="0.35">
      <c r="B138" s="283"/>
      <c r="C138" s="307"/>
      <c r="D138" s="307"/>
      <c r="E138" s="308"/>
      <c r="F138" s="273" t="s">
        <v>291</v>
      </c>
      <c r="G138" s="274" t="s">
        <v>193</v>
      </c>
      <c r="H138" s="275"/>
      <c r="I138" s="276"/>
      <c r="J138" s="277"/>
      <c r="K138" s="289"/>
      <c r="L138" s="289"/>
      <c r="M138" s="231"/>
      <c r="N138" s="235"/>
      <c r="O138" s="233"/>
      <c r="P138" s="233"/>
      <c r="Q138" s="233"/>
      <c r="R138" s="233"/>
      <c r="S138" s="233"/>
      <c r="T138" s="233"/>
      <c r="U138" s="233"/>
      <c r="V138" s="233"/>
      <c r="W138" s="233"/>
      <c r="X138" s="232"/>
      <c r="AA138" s="232"/>
      <c r="AB138" s="232"/>
    </row>
    <row r="139" spans="2:28" x14ac:dyDescent="0.35">
      <c r="B139" s="290"/>
      <c r="C139" s="291"/>
      <c r="D139" s="291" t="s">
        <v>293</v>
      </c>
      <c r="E139" s="306"/>
      <c r="F139" s="273" t="s">
        <v>187</v>
      </c>
      <c r="G139" s="274" t="s">
        <v>188</v>
      </c>
      <c r="H139" s="275"/>
      <c r="I139" s="276"/>
      <c r="J139" s="277" t="s">
        <v>189</v>
      </c>
      <c r="K139" s="387">
        <v>1</v>
      </c>
      <c r="L139" s="317"/>
      <c r="M139" s="240">
        <v>0.2</v>
      </c>
      <c r="N139" s="235">
        <v>1</v>
      </c>
      <c r="O139" s="235">
        <f>K139*L139*M139*N139</f>
        <v>0</v>
      </c>
      <c r="P139" s="301">
        <v>149108.51999999999</v>
      </c>
      <c r="Q139" s="233">
        <f>O139*P139</f>
        <v>0</v>
      </c>
      <c r="R139" s="233"/>
      <c r="S139" s="233"/>
      <c r="T139" s="233"/>
      <c r="U139" s="233"/>
      <c r="V139" s="233"/>
      <c r="W139" s="233"/>
      <c r="X139" s="232" t="s">
        <v>294</v>
      </c>
      <c r="AA139" s="232"/>
      <c r="AB139" s="232"/>
    </row>
    <row r="140" spans="2:28" hidden="1" x14ac:dyDescent="0.35">
      <c r="B140" s="242"/>
      <c r="C140" s="243"/>
      <c r="D140" s="243"/>
      <c r="E140" s="244"/>
      <c r="F140" s="273" t="s">
        <v>215</v>
      </c>
      <c r="G140" s="274" t="s">
        <v>205</v>
      </c>
      <c r="H140" s="275"/>
      <c r="I140" s="276"/>
      <c r="J140" s="277" t="s">
        <v>189</v>
      </c>
      <c r="K140" s="387">
        <v>1</v>
      </c>
      <c r="L140" s="317"/>
      <c r="M140" s="235">
        <v>20</v>
      </c>
      <c r="N140" s="235">
        <v>1</v>
      </c>
      <c r="O140" s="235">
        <f>K140*L140*M140*N140</f>
        <v>0</v>
      </c>
      <c r="P140" s="301">
        <v>720338.0730320001</v>
      </c>
      <c r="Q140" s="235">
        <f>O140*P140</f>
        <v>0</v>
      </c>
      <c r="R140" s="233"/>
      <c r="S140" s="233"/>
      <c r="T140" s="233"/>
      <c r="U140" s="233"/>
      <c r="V140" s="233"/>
      <c r="W140" s="233"/>
      <c r="X140" s="232"/>
      <c r="AA140" s="232"/>
      <c r="AB140" s="232"/>
    </row>
    <row r="141" spans="2:28" x14ac:dyDescent="0.35">
      <c r="B141" s="283"/>
      <c r="C141" s="307"/>
      <c r="D141" s="307" t="s">
        <v>295</v>
      </c>
      <c r="E141" s="308"/>
      <c r="F141" s="273" t="s">
        <v>215</v>
      </c>
      <c r="G141" s="274" t="s">
        <v>205</v>
      </c>
      <c r="H141" s="275"/>
      <c r="I141" s="276"/>
      <c r="J141" s="277" t="s">
        <v>296</v>
      </c>
      <c r="K141" s="387">
        <v>1</v>
      </c>
      <c r="L141" s="388"/>
      <c r="M141" s="366">
        <f>1/26</f>
        <v>3.8461538461538464E-2</v>
      </c>
      <c r="N141" s="235">
        <v>1</v>
      </c>
      <c r="O141" s="235">
        <f>K141*L141*M141*N141</f>
        <v>0</v>
      </c>
      <c r="P141" s="301">
        <v>720338.0730320001</v>
      </c>
      <c r="Q141" s="235">
        <f>O141*P141</f>
        <v>0</v>
      </c>
      <c r="R141" s="233"/>
      <c r="S141" s="233"/>
      <c r="T141" s="233"/>
      <c r="U141" s="233"/>
      <c r="V141" s="233"/>
      <c r="W141" s="233"/>
      <c r="X141" s="233"/>
      <c r="AA141" s="232"/>
      <c r="AB141" s="232"/>
    </row>
    <row r="142" spans="2:28" x14ac:dyDescent="0.35">
      <c r="B142" s="290"/>
      <c r="C142" s="291"/>
      <c r="D142" s="291" t="s">
        <v>125</v>
      </c>
      <c r="E142" s="306"/>
      <c r="F142" s="273" t="s">
        <v>187</v>
      </c>
      <c r="G142" s="274" t="s">
        <v>188</v>
      </c>
      <c r="H142" s="275"/>
      <c r="I142" s="276"/>
      <c r="J142" s="277"/>
      <c r="K142" s="289"/>
      <c r="L142" s="317"/>
      <c r="M142" s="231">
        <v>0.33329999999999999</v>
      </c>
      <c r="N142" s="235">
        <v>1</v>
      </c>
      <c r="O142" s="233"/>
      <c r="P142" s="301">
        <v>149108.51999999999</v>
      </c>
      <c r="Q142" s="233"/>
      <c r="R142" s="233"/>
      <c r="S142" s="233"/>
      <c r="T142" s="233"/>
      <c r="U142" s="233"/>
      <c r="V142" s="233"/>
      <c r="W142" s="233"/>
      <c r="X142" s="232"/>
      <c r="AA142" s="232"/>
      <c r="AB142" s="232"/>
    </row>
    <row r="143" spans="2:28" hidden="1" x14ac:dyDescent="0.35">
      <c r="B143" s="283"/>
      <c r="C143" s="307"/>
      <c r="D143" s="307"/>
      <c r="E143" s="308"/>
      <c r="F143" s="273" t="s">
        <v>291</v>
      </c>
      <c r="G143" s="274" t="s">
        <v>193</v>
      </c>
      <c r="H143" s="275"/>
      <c r="I143" s="276"/>
      <c r="J143" s="277"/>
      <c r="K143" s="289"/>
      <c r="L143" s="289"/>
      <c r="M143" s="231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2"/>
      <c r="AA143" s="232"/>
      <c r="AB143" s="232"/>
    </row>
    <row r="144" spans="2:28" x14ac:dyDescent="0.35">
      <c r="B144" s="367" t="s">
        <v>297</v>
      </c>
      <c r="C144" s="368"/>
      <c r="D144" s="368"/>
      <c r="E144" s="369"/>
      <c r="F144" s="335"/>
      <c r="G144" s="336"/>
      <c r="H144" s="337"/>
      <c r="I144" s="338"/>
      <c r="J144" s="339"/>
      <c r="K144" s="340"/>
      <c r="L144" s="340"/>
      <c r="M144" s="341"/>
      <c r="N144" s="342"/>
      <c r="O144" s="342"/>
      <c r="P144" s="342"/>
      <c r="Q144" s="343">
        <f>SUM(Q135:Q143)</f>
        <v>0</v>
      </c>
      <c r="R144" s="342"/>
      <c r="S144" s="342"/>
      <c r="T144" s="342"/>
      <c r="U144" s="342"/>
      <c r="V144" s="342"/>
      <c r="W144" s="342"/>
      <c r="X144" s="370"/>
      <c r="Y144" s="371"/>
      <c r="Z144" s="371"/>
      <c r="AA144" s="370"/>
      <c r="AB144" s="370"/>
    </row>
    <row r="145" spans="2:29" x14ac:dyDescent="0.35">
      <c r="B145" s="275"/>
      <c r="C145" s="376" t="s">
        <v>298</v>
      </c>
      <c r="D145" s="276"/>
      <c r="E145" s="288"/>
      <c r="F145" s="273"/>
      <c r="G145" s="274"/>
      <c r="H145" s="275"/>
      <c r="I145" s="276"/>
      <c r="J145" s="277"/>
      <c r="K145" s="289"/>
      <c r="L145" s="289"/>
      <c r="M145" s="231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2"/>
      <c r="AA145" s="232"/>
      <c r="AB145" s="232"/>
    </row>
    <row r="146" spans="2:29" x14ac:dyDescent="0.35">
      <c r="B146" s="290"/>
      <c r="C146" s="291"/>
      <c r="D146" s="291" t="s">
        <v>299</v>
      </c>
      <c r="E146" s="306"/>
      <c r="F146" s="273" t="s">
        <v>187</v>
      </c>
      <c r="G146" s="274" t="s">
        <v>188</v>
      </c>
      <c r="H146" s="275"/>
      <c r="I146" s="276"/>
      <c r="J146" s="277"/>
      <c r="K146" s="289"/>
      <c r="L146" s="289"/>
      <c r="M146" s="231"/>
      <c r="N146" s="235">
        <v>1</v>
      </c>
      <c r="O146" s="233"/>
      <c r="P146" s="233"/>
      <c r="Q146" s="233"/>
      <c r="R146" s="233"/>
      <c r="S146" s="233"/>
      <c r="T146" s="233"/>
      <c r="U146" s="233"/>
      <c r="V146" s="233"/>
      <c r="W146" s="233"/>
      <c r="X146" s="232"/>
      <c r="AA146" s="232"/>
      <c r="AB146" s="232"/>
    </row>
    <row r="147" spans="2:29" hidden="1" x14ac:dyDescent="0.35">
      <c r="B147" s="283"/>
      <c r="C147" s="307"/>
      <c r="D147" s="307"/>
      <c r="E147" s="308"/>
      <c r="F147" s="273" t="s">
        <v>300</v>
      </c>
      <c r="G147" s="274" t="s">
        <v>10</v>
      </c>
      <c r="H147" s="275"/>
      <c r="I147" s="276"/>
      <c r="J147" s="277"/>
      <c r="K147" s="289"/>
      <c r="L147" s="289"/>
      <c r="M147" s="231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2"/>
      <c r="AA147" s="232"/>
      <c r="AB147" s="232"/>
    </row>
    <row r="148" spans="2:29" x14ac:dyDescent="0.35">
      <c r="B148" s="290"/>
      <c r="C148" s="291"/>
      <c r="D148" s="291" t="s">
        <v>301</v>
      </c>
      <c r="E148" s="306"/>
      <c r="F148" s="273" t="s">
        <v>187</v>
      </c>
      <c r="G148" s="274" t="s">
        <v>188</v>
      </c>
      <c r="H148" s="275"/>
      <c r="I148" s="276"/>
      <c r="J148" s="277"/>
      <c r="K148" s="289"/>
      <c r="L148" s="289"/>
      <c r="M148" s="231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2"/>
      <c r="AA148" s="232"/>
      <c r="AB148" s="232"/>
    </row>
    <row r="149" spans="2:29" hidden="1" x14ac:dyDescent="0.35">
      <c r="B149" s="283"/>
      <c r="C149" s="307"/>
      <c r="D149" s="307"/>
      <c r="E149" s="308"/>
      <c r="F149" s="273" t="s">
        <v>302</v>
      </c>
      <c r="G149" s="274" t="s">
        <v>10</v>
      </c>
      <c r="H149" s="275"/>
      <c r="I149" s="276"/>
      <c r="J149" s="277"/>
      <c r="K149" s="289"/>
      <c r="L149" s="289"/>
      <c r="M149" s="231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2"/>
      <c r="AA149" s="232"/>
      <c r="AB149" s="232"/>
    </row>
    <row r="150" spans="2:29" x14ac:dyDescent="0.35">
      <c r="B150" s="290"/>
      <c r="C150" s="291"/>
      <c r="D150" s="291" t="s">
        <v>303</v>
      </c>
      <c r="E150" s="306"/>
      <c r="F150" s="273" t="s">
        <v>187</v>
      </c>
      <c r="G150" s="274" t="s">
        <v>188</v>
      </c>
      <c r="H150" s="275"/>
      <c r="I150" s="276"/>
      <c r="J150" s="277"/>
      <c r="K150" s="289"/>
      <c r="L150" s="289"/>
      <c r="M150" s="231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2"/>
      <c r="AA150" s="232"/>
      <c r="AB150" s="232"/>
    </row>
    <row r="151" spans="2:29" hidden="1" x14ac:dyDescent="0.35">
      <c r="B151" s="283"/>
      <c r="C151" s="307"/>
      <c r="D151" s="307"/>
      <c r="E151" s="308"/>
      <c r="F151" s="273" t="s">
        <v>304</v>
      </c>
      <c r="G151" s="274" t="s">
        <v>10</v>
      </c>
      <c r="H151" s="275"/>
      <c r="I151" s="276"/>
      <c r="J151" s="277"/>
      <c r="K151" s="289"/>
      <c r="L151" s="289"/>
      <c r="M151" s="231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2"/>
      <c r="AA151" s="232"/>
      <c r="AB151" s="232"/>
    </row>
    <row r="152" spans="2:29" x14ac:dyDescent="0.35">
      <c r="B152" s="367" t="s">
        <v>305</v>
      </c>
      <c r="C152" s="368"/>
      <c r="D152" s="368"/>
      <c r="E152" s="369"/>
      <c r="F152" s="389"/>
      <c r="G152" s="390"/>
      <c r="H152" s="391"/>
      <c r="I152" s="392"/>
      <c r="J152" s="393"/>
      <c r="K152" s="394"/>
      <c r="L152" s="394"/>
      <c r="M152" s="395"/>
      <c r="N152" s="343"/>
      <c r="O152" s="343"/>
      <c r="P152" s="343"/>
      <c r="Q152" s="343">
        <f>SUM(Q146:Q151)</f>
        <v>0</v>
      </c>
      <c r="R152" s="343"/>
      <c r="S152" s="343"/>
      <c r="T152" s="343"/>
      <c r="U152" s="343"/>
      <c r="V152" s="343"/>
      <c r="W152" s="343"/>
      <c r="X152" s="396"/>
      <c r="Y152" s="371"/>
      <c r="Z152" s="371"/>
      <c r="AA152" s="370"/>
      <c r="AB152" s="370"/>
    </row>
    <row r="153" spans="2:29" x14ac:dyDescent="0.35">
      <c r="B153" s="242"/>
      <c r="C153" s="386" t="s">
        <v>306</v>
      </c>
      <c r="D153" s="243"/>
      <c r="E153" s="244"/>
      <c r="F153" s="273" t="s">
        <v>187</v>
      </c>
      <c r="G153" s="274" t="s">
        <v>188</v>
      </c>
      <c r="H153" s="275"/>
      <c r="I153" s="276"/>
      <c r="J153" s="277"/>
      <c r="K153" s="289"/>
      <c r="L153" s="289"/>
      <c r="M153" s="231"/>
      <c r="N153" s="235">
        <v>1</v>
      </c>
      <c r="O153" s="233"/>
      <c r="P153" s="233"/>
      <c r="Q153" s="233"/>
      <c r="R153" s="233"/>
      <c r="S153" s="233"/>
      <c r="T153" s="233"/>
      <c r="U153" s="233"/>
      <c r="V153" s="233"/>
      <c r="W153" s="233"/>
      <c r="X153" s="232"/>
      <c r="AA153" s="232"/>
      <c r="AB153" s="232"/>
    </row>
    <row r="154" spans="2:29" hidden="1" x14ac:dyDescent="0.35">
      <c r="B154" s="242"/>
      <c r="C154" s="243"/>
      <c r="D154" s="243"/>
      <c r="E154" s="244"/>
      <c r="F154" s="273" t="s">
        <v>307</v>
      </c>
      <c r="G154" s="274" t="s">
        <v>10</v>
      </c>
      <c r="H154" s="275"/>
      <c r="I154" s="276"/>
      <c r="J154" s="277"/>
      <c r="K154" s="289"/>
      <c r="L154" s="289"/>
      <c r="M154" s="231"/>
      <c r="N154" s="235">
        <v>1</v>
      </c>
      <c r="O154" s="233"/>
      <c r="P154" s="233"/>
      <c r="Q154" s="233"/>
      <c r="R154" s="233"/>
      <c r="S154" s="233"/>
      <c r="T154" s="233"/>
      <c r="U154" s="233"/>
      <c r="V154" s="233"/>
      <c r="W154" s="233"/>
      <c r="X154" s="232"/>
      <c r="AA154" s="232"/>
      <c r="AB154" s="232"/>
    </row>
    <row r="155" spans="2:29" hidden="1" x14ac:dyDescent="0.35">
      <c r="B155" s="283"/>
      <c r="C155" s="307"/>
      <c r="D155" s="307"/>
      <c r="E155" s="308"/>
      <c r="F155" s="273" t="s">
        <v>263</v>
      </c>
      <c r="G155" s="274" t="s">
        <v>205</v>
      </c>
      <c r="H155" s="275"/>
      <c r="I155" s="276"/>
      <c r="J155" s="277"/>
      <c r="K155" s="289"/>
      <c r="L155" s="289"/>
      <c r="M155" s="231"/>
      <c r="N155" s="235">
        <v>1</v>
      </c>
      <c r="O155" s="233"/>
      <c r="P155" s="233"/>
      <c r="Q155" s="233"/>
      <c r="R155" s="233"/>
      <c r="S155" s="233"/>
      <c r="T155" s="233"/>
      <c r="U155" s="233"/>
      <c r="V155" s="233"/>
      <c r="W155" s="233"/>
      <c r="X155" s="232"/>
      <c r="AA155" s="232"/>
      <c r="AB155" s="232"/>
    </row>
    <row r="156" spans="2:29" x14ac:dyDescent="0.35">
      <c r="B156" s="283"/>
      <c r="C156" s="397" t="s">
        <v>308</v>
      </c>
      <c r="D156" s="307"/>
      <c r="E156" s="308"/>
      <c r="F156" s="273" t="s">
        <v>215</v>
      </c>
      <c r="G156" s="274"/>
      <c r="H156" s="275"/>
      <c r="I156" s="276"/>
      <c r="J156" s="277"/>
      <c r="K156" s="278"/>
      <c r="L156" s="289">
        <v>600</v>
      </c>
      <c r="M156" s="231">
        <f>1/120</f>
        <v>8.3333333333333332E-3</v>
      </c>
      <c r="N156" s="235">
        <v>1</v>
      </c>
      <c r="O156" s="233">
        <f>K156*M156*N156</f>
        <v>0</v>
      </c>
      <c r="P156" s="301">
        <v>720338.0730320001</v>
      </c>
      <c r="Q156" s="233">
        <f>P156*$O156</f>
        <v>0</v>
      </c>
      <c r="R156" s="233">
        <v>720338.0730320001</v>
      </c>
      <c r="S156" s="233">
        <f>R156*$O156</f>
        <v>0</v>
      </c>
      <c r="T156" s="233">
        <v>761671.70213055995</v>
      </c>
      <c r="U156" s="233">
        <f>T156*$O156</f>
        <v>0</v>
      </c>
      <c r="V156" s="233" t="e">
        <f>W156/O156</f>
        <v>#DIV/0!</v>
      </c>
      <c r="W156" s="241">
        <f>AVERAGEIF($P$4:$U$4,W$4,$P156:$U156)</f>
        <v>0</v>
      </c>
      <c r="X156" s="232"/>
      <c r="AA156" s="232"/>
      <c r="AB156" s="232"/>
    </row>
    <row r="157" spans="2:29" x14ac:dyDescent="0.35">
      <c r="B157" s="283"/>
      <c r="C157" s="397" t="s">
        <v>309</v>
      </c>
      <c r="D157" s="307"/>
      <c r="E157" s="308"/>
      <c r="F157" s="273" t="s">
        <v>215</v>
      </c>
      <c r="G157" s="274"/>
      <c r="H157" s="275"/>
      <c r="I157" s="276"/>
      <c r="J157" s="277"/>
      <c r="K157" s="278"/>
      <c r="L157" s="289">
        <v>192.08</v>
      </c>
      <c r="M157" s="235">
        <v>28</v>
      </c>
      <c r="N157" s="235">
        <v>1</v>
      </c>
      <c r="O157" s="233">
        <f>K157*M157*N157</f>
        <v>0</v>
      </c>
      <c r="P157" s="301">
        <v>720338.0730320001</v>
      </c>
      <c r="Q157" s="235">
        <f>P157*$O157</f>
        <v>0</v>
      </c>
      <c r="R157" s="233">
        <v>720338.0730320001</v>
      </c>
      <c r="S157" s="233">
        <f>R157*$O157</f>
        <v>0</v>
      </c>
      <c r="T157" s="233">
        <v>761671.70213055995</v>
      </c>
      <c r="U157" s="233">
        <f>T157*$O157</f>
        <v>0</v>
      </c>
      <c r="V157" s="233" t="e">
        <f>W157/O157</f>
        <v>#DIV/0!</v>
      </c>
      <c r="W157" s="241">
        <f>AVERAGEIF($P$4:$U$4,W$4,$P157:$U157)</f>
        <v>0</v>
      </c>
      <c r="X157" s="232"/>
      <c r="AA157" s="232"/>
      <c r="AB157" s="232"/>
    </row>
    <row r="158" spans="2:29" x14ac:dyDescent="0.35">
      <c r="B158" s="367" t="s">
        <v>310</v>
      </c>
      <c r="C158" s="368"/>
      <c r="D158" s="368"/>
      <c r="E158" s="369"/>
      <c r="F158" s="335"/>
      <c r="G158" s="336"/>
      <c r="H158" s="337"/>
      <c r="I158" s="338"/>
      <c r="J158" s="339"/>
      <c r="K158" s="340"/>
      <c r="L158" s="340"/>
      <c r="M158" s="341"/>
      <c r="N158" s="342"/>
      <c r="O158" s="342"/>
      <c r="P158" s="342"/>
      <c r="Q158" s="385">
        <f>Q152+Q144+Q133+Q129+Q121+Q113+Q90</f>
        <v>104539238.84896037</v>
      </c>
      <c r="R158" s="342"/>
      <c r="S158" s="342"/>
      <c r="T158" s="342"/>
      <c r="U158" s="342"/>
      <c r="V158" s="342"/>
      <c r="W158" s="342"/>
      <c r="X158" s="398"/>
      <c r="Y158" s="371"/>
      <c r="Z158" s="371"/>
      <c r="AA158" s="346">
        <f t="shared" ref="AA158:AA159" si="20">Q158/140.98</f>
        <v>741518.22137154476</v>
      </c>
      <c r="AB158" s="344">
        <f>Q158/$Q$332*100</f>
        <v>1.169067949491615</v>
      </c>
    </row>
    <row r="159" spans="2:29" s="415" customFormat="1" x14ac:dyDescent="0.35">
      <c r="B159" s="399" t="s">
        <v>311</v>
      </c>
      <c r="C159" s="400"/>
      <c r="D159" s="400"/>
      <c r="E159" s="401"/>
      <c r="F159" s="402"/>
      <c r="G159" s="403"/>
      <c r="H159" s="404"/>
      <c r="I159" s="405"/>
      <c r="J159" s="406"/>
      <c r="K159" s="407"/>
      <c r="L159" s="407"/>
      <c r="M159" s="408"/>
      <c r="N159" s="409"/>
      <c r="O159" s="409"/>
      <c r="P159" s="409"/>
      <c r="Q159" s="410">
        <f>Q75+Q158</f>
        <v>4754107183.8037786</v>
      </c>
      <c r="R159" s="409"/>
      <c r="S159" s="409">
        <f>SUM(S6:S157)-S157-S156-S120</f>
        <v>3198641522.0335183</v>
      </c>
      <c r="T159" s="409"/>
      <c r="U159" s="409">
        <f>SUM(U6:U157)-U157-U156-U120</f>
        <v>3383835247.8584375</v>
      </c>
      <c r="V159" s="409"/>
      <c r="W159" s="409">
        <f>SUM(W6:W157)-W157-W156-W120</f>
        <v>3262632273.6213975</v>
      </c>
      <c r="X159" s="411"/>
      <c r="Y159" s="412"/>
      <c r="Z159" s="412"/>
      <c r="AA159" s="413">
        <f t="shared" si="20"/>
        <v>33721855.467468992</v>
      </c>
      <c r="AB159" s="414">
        <f>Q159/$Q$332*100</f>
        <v>53.165437191129037</v>
      </c>
      <c r="AC159" s="412"/>
    </row>
    <row r="160" spans="2:29" s="415" customFormat="1" x14ac:dyDescent="0.35">
      <c r="B160" s="399" t="s">
        <v>312</v>
      </c>
      <c r="C160" s="400"/>
      <c r="D160" s="400"/>
      <c r="E160" s="401"/>
      <c r="F160" s="402"/>
      <c r="G160" s="403"/>
      <c r="H160" s="404"/>
      <c r="I160" s="405"/>
      <c r="J160" s="406"/>
      <c r="K160" s="407"/>
      <c r="L160" s="407"/>
      <c r="M160" s="408"/>
      <c r="N160" s="409"/>
      <c r="O160" s="409"/>
      <c r="P160" s="409"/>
      <c r="Q160" s="409"/>
      <c r="R160" s="409"/>
      <c r="S160" s="409" t="e">
        <f>SUM(S6:S158)-S27-S28-S32-S23-S40-S41-#REF!</f>
        <v>#REF!</v>
      </c>
      <c r="T160" s="409"/>
      <c r="U160" s="409" t="e">
        <f>SUM(U6:U158)-U27-U28-U32-U23-U40-U41-#REF!</f>
        <v>#REF!</v>
      </c>
      <c r="V160" s="409"/>
      <c r="W160" s="409" t="e">
        <f>SUM(W6:W158)-W27-W28-W32-W23-W40-W41-#REF!</f>
        <v>#REF!</v>
      </c>
      <c r="X160" s="411"/>
      <c r="Y160" s="412"/>
      <c r="Z160" s="412"/>
      <c r="AA160" s="416"/>
      <c r="AB160" s="95"/>
      <c r="AC160" s="412"/>
    </row>
    <row r="161" spans="2:28" x14ac:dyDescent="0.35">
      <c r="B161" s="222" t="s">
        <v>313</v>
      </c>
      <c r="C161" s="228"/>
      <c r="D161" s="228"/>
      <c r="E161" s="247"/>
      <c r="F161" s="225"/>
      <c r="G161" s="226"/>
      <c r="H161" s="227"/>
      <c r="I161" s="228"/>
      <c r="J161" s="229"/>
      <c r="K161" s="230"/>
      <c r="L161" s="230"/>
      <c r="M161" s="231"/>
      <c r="N161" s="233"/>
      <c r="O161" s="233"/>
      <c r="P161" s="233"/>
      <c r="Q161" s="373"/>
      <c r="R161" s="233"/>
      <c r="S161" s="233"/>
      <c r="T161" s="233"/>
      <c r="U161" s="233"/>
      <c r="V161" s="233"/>
      <c r="W161" s="233"/>
      <c r="X161" s="232"/>
      <c r="AA161" s="232"/>
      <c r="AB161" s="232"/>
    </row>
    <row r="162" spans="2:28" x14ac:dyDescent="0.35">
      <c r="B162" s="227"/>
      <c r="C162" s="223" t="s">
        <v>314</v>
      </c>
      <c r="D162" s="228"/>
      <c r="E162" s="247"/>
      <c r="F162" s="225"/>
      <c r="G162" s="226"/>
      <c r="H162" s="227"/>
      <c r="I162" s="228"/>
      <c r="J162" s="229"/>
      <c r="K162" s="230"/>
      <c r="L162" s="230"/>
      <c r="M162" s="231"/>
      <c r="N162" s="233"/>
      <c r="O162" s="233"/>
      <c r="P162" s="233"/>
      <c r="Q162" s="373"/>
      <c r="R162" s="233"/>
      <c r="S162" s="233"/>
      <c r="T162" s="233"/>
      <c r="U162" s="233"/>
      <c r="V162" s="233"/>
      <c r="W162" s="233"/>
      <c r="X162" s="232"/>
      <c r="AA162" s="232"/>
      <c r="AB162" s="232"/>
    </row>
    <row r="163" spans="2:28" x14ac:dyDescent="0.35">
      <c r="B163" s="236"/>
      <c r="C163" s="237"/>
      <c r="D163" s="237" t="s">
        <v>119</v>
      </c>
      <c r="E163" s="238"/>
      <c r="F163" s="225" t="s">
        <v>187</v>
      </c>
      <c r="G163" s="226" t="s">
        <v>188</v>
      </c>
      <c r="H163" s="227"/>
      <c r="I163" s="228"/>
      <c r="J163" s="229" t="s">
        <v>189</v>
      </c>
      <c r="K163" s="239">
        <v>1</v>
      </c>
      <c r="L163" s="230">
        <v>192.08</v>
      </c>
      <c r="M163" s="235">
        <v>6</v>
      </c>
      <c r="N163" s="235">
        <v>1</v>
      </c>
      <c r="O163" s="233">
        <f>K163*L163*M163*N163</f>
        <v>1152.48</v>
      </c>
      <c r="P163" s="301">
        <v>149108.51999999999</v>
      </c>
      <c r="Q163" s="372">
        <f>P163*$O163</f>
        <v>171844587.12959999</v>
      </c>
      <c r="R163" s="233">
        <v>149108.51999999999</v>
      </c>
      <c r="S163" s="233">
        <f>R163*$O163</f>
        <v>171844587.12959999</v>
      </c>
      <c r="T163" s="233">
        <v>158800.57379999998</v>
      </c>
      <c r="U163" s="233">
        <f>T163*$O163</f>
        <v>183014485.29302397</v>
      </c>
      <c r="V163" s="233">
        <f>W163/O163</f>
        <v>152339.2046</v>
      </c>
      <c r="W163" s="241">
        <f>AVERAGEIF($P$4:$U$4,W$4,$P163:$U163)</f>
        <v>175567886.51740798</v>
      </c>
      <c r="X163" s="232" t="s">
        <v>315</v>
      </c>
      <c r="Z163" s="417">
        <f>W163+W188+W213</f>
        <v>1185083233.9925039</v>
      </c>
      <c r="AA163" s="329">
        <f>Q163/$D$2</f>
        <v>894651.11999999988</v>
      </c>
      <c r="AB163" s="232"/>
    </row>
    <row r="164" spans="2:28" x14ac:dyDescent="0.35">
      <c r="B164" s="245"/>
      <c r="C164" s="246"/>
      <c r="D164" s="246"/>
      <c r="E164" s="251"/>
      <c r="F164" s="225" t="s">
        <v>316</v>
      </c>
      <c r="G164" s="226" t="s">
        <v>191</v>
      </c>
      <c r="H164" s="227"/>
      <c r="I164" s="228"/>
      <c r="J164" s="229"/>
      <c r="K164" s="230"/>
      <c r="L164" s="230"/>
      <c r="M164" s="372">
        <v>3</v>
      </c>
      <c r="N164" s="372">
        <v>1</v>
      </c>
      <c r="O164" s="373"/>
      <c r="P164" s="233"/>
      <c r="Q164" s="373"/>
      <c r="R164" s="233"/>
      <c r="S164" s="233"/>
      <c r="T164" s="233"/>
      <c r="U164" s="233"/>
      <c r="V164" s="233"/>
      <c r="W164" s="233"/>
      <c r="X164" s="232"/>
      <c r="AA164" s="329">
        <f t="shared" ref="AA164:AA184" si="21">Q164/192.08</f>
        <v>0</v>
      </c>
      <c r="AB164" s="232"/>
    </row>
    <row r="165" spans="2:28" x14ac:dyDescent="0.35">
      <c r="B165" s="245"/>
      <c r="C165" s="246"/>
      <c r="D165" s="246"/>
      <c r="E165" s="251"/>
      <c r="F165" s="225" t="s">
        <v>317</v>
      </c>
      <c r="G165" s="226" t="s">
        <v>191</v>
      </c>
      <c r="H165" s="227"/>
      <c r="I165" s="228"/>
      <c r="J165" s="229"/>
      <c r="K165" s="230"/>
      <c r="L165" s="230"/>
      <c r="M165" s="372">
        <v>6</v>
      </c>
      <c r="N165" s="372">
        <v>1</v>
      </c>
      <c r="O165" s="373"/>
      <c r="P165" s="233"/>
      <c r="Q165" s="373"/>
      <c r="R165" s="233"/>
      <c r="S165" s="233"/>
      <c r="T165" s="233"/>
      <c r="U165" s="233"/>
      <c r="V165" s="233"/>
      <c r="W165" s="233"/>
      <c r="X165" s="232"/>
      <c r="AA165" s="329">
        <f t="shared" si="21"/>
        <v>0</v>
      </c>
      <c r="AB165" s="232"/>
    </row>
    <row r="166" spans="2:28" x14ac:dyDescent="0.35">
      <c r="B166" s="245"/>
      <c r="C166" s="246"/>
      <c r="D166" s="246"/>
      <c r="E166" s="251"/>
      <c r="F166" s="225" t="s">
        <v>318</v>
      </c>
      <c r="G166" s="226" t="s">
        <v>188</v>
      </c>
      <c r="H166" s="227"/>
      <c r="I166" s="228"/>
      <c r="J166" s="229"/>
      <c r="K166" s="239">
        <v>1</v>
      </c>
      <c r="L166" s="418">
        <v>288120</v>
      </c>
      <c r="M166" s="377">
        <f>1/2000</f>
        <v>5.0000000000000001E-4</v>
      </c>
      <c r="N166" s="372">
        <v>1</v>
      </c>
      <c r="O166" s="233">
        <f>K166*L166*M166*N166</f>
        <v>144.06</v>
      </c>
      <c r="P166" s="233">
        <f>P163</f>
        <v>149108.51999999999</v>
      </c>
      <c r="Q166" s="372">
        <f>P166*$O166</f>
        <v>21480573.391199999</v>
      </c>
      <c r="R166" s="233"/>
      <c r="S166" s="233"/>
      <c r="T166" s="233"/>
      <c r="U166" s="233"/>
      <c r="V166" s="233"/>
      <c r="W166" s="419"/>
      <c r="X166" s="232" t="s">
        <v>319</v>
      </c>
      <c r="AA166" s="302">
        <f t="shared" ref="AA166:AA181" si="22">Q166/$D$2</f>
        <v>111831.38999999998</v>
      </c>
      <c r="AB166" s="232"/>
    </row>
    <row r="167" spans="2:28" x14ac:dyDescent="0.35">
      <c r="B167" s="245"/>
      <c r="C167" s="246"/>
      <c r="D167" s="246"/>
      <c r="E167" s="251"/>
      <c r="F167" s="225" t="s">
        <v>320</v>
      </c>
      <c r="G167" s="226" t="s">
        <v>193</v>
      </c>
      <c r="H167" s="227"/>
      <c r="I167" s="228"/>
      <c r="J167" s="229"/>
      <c r="K167" s="420">
        <v>1</v>
      </c>
      <c r="L167" s="418">
        <v>288120</v>
      </c>
      <c r="M167" s="372">
        <v>1</v>
      </c>
      <c r="N167" s="372">
        <v>1</v>
      </c>
      <c r="O167" s="372">
        <f>K167*L167*M167*N167</f>
        <v>288120</v>
      </c>
      <c r="P167" s="235">
        <v>500</v>
      </c>
      <c r="Q167" s="372">
        <f t="shared" ref="Q167:Q188" si="23">P167*$O167</f>
        <v>144060000</v>
      </c>
      <c r="R167" s="233"/>
      <c r="S167" s="233"/>
      <c r="T167" s="233"/>
      <c r="U167" s="233"/>
      <c r="V167" s="233"/>
      <c r="W167" s="419"/>
      <c r="X167" s="232" t="s">
        <v>321</v>
      </c>
      <c r="Y167" s="421"/>
      <c r="AA167" s="302">
        <f t="shared" si="22"/>
        <v>750000</v>
      </c>
      <c r="AB167" s="232"/>
    </row>
    <row r="168" spans="2:28" x14ac:dyDescent="0.35">
      <c r="B168" s="245"/>
      <c r="C168" s="246"/>
      <c r="D168" s="246"/>
      <c r="E168" s="251"/>
      <c r="F168" s="232" t="s">
        <v>322</v>
      </c>
      <c r="G168" s="318" t="s">
        <v>191</v>
      </c>
      <c r="H168" s="319"/>
      <c r="I168" s="320"/>
      <c r="J168" s="232"/>
      <c r="K168" s="420">
        <v>1</v>
      </c>
      <c r="L168" s="418">
        <v>288120</v>
      </c>
      <c r="M168" s="422">
        <f>50/1000</f>
        <v>0.05</v>
      </c>
      <c r="N168" s="235">
        <v>1</v>
      </c>
      <c r="O168" s="235">
        <f t="shared" ref="O168:O188" si="24">K168*L168*M168*N168</f>
        <v>14406</v>
      </c>
      <c r="P168" s="301">
        <v>2415</v>
      </c>
      <c r="Q168" s="372">
        <f t="shared" si="23"/>
        <v>34790490</v>
      </c>
      <c r="R168" s="233"/>
      <c r="S168" s="233"/>
      <c r="T168" s="233"/>
      <c r="U168" s="233"/>
      <c r="V168" s="233"/>
      <c r="W168" s="419"/>
      <c r="X168" s="232" t="s">
        <v>323</v>
      </c>
      <c r="Y168" s="421"/>
      <c r="AA168" s="302">
        <f t="shared" si="22"/>
        <v>181125</v>
      </c>
      <c r="AB168" s="232"/>
    </row>
    <row r="169" spans="2:28" x14ac:dyDescent="0.35">
      <c r="B169" s="245"/>
      <c r="C169" s="246"/>
      <c r="D169" s="246"/>
      <c r="E169" s="251"/>
      <c r="F169" s="225" t="s">
        <v>324</v>
      </c>
      <c r="G169" s="226" t="s">
        <v>191</v>
      </c>
      <c r="H169" s="227"/>
      <c r="I169" s="228"/>
      <c r="J169" s="229" t="s">
        <v>325</v>
      </c>
      <c r="K169" s="239">
        <v>1</v>
      </c>
      <c r="L169" s="230">
        <v>192.08</v>
      </c>
      <c r="M169" s="423">
        <v>0.3</v>
      </c>
      <c r="N169" s="372">
        <v>1</v>
      </c>
      <c r="O169" s="373">
        <f t="shared" si="24"/>
        <v>57.624000000000002</v>
      </c>
      <c r="P169" s="301">
        <v>562275</v>
      </c>
      <c r="Q169" s="372">
        <f t="shared" si="23"/>
        <v>32400534.600000001</v>
      </c>
      <c r="R169" s="233">
        <v>562275</v>
      </c>
      <c r="S169" s="233">
        <f>R169*$O169</f>
        <v>32400534.600000001</v>
      </c>
      <c r="T169" s="233">
        <v>590388.75</v>
      </c>
      <c r="U169" s="233">
        <f>T169*$O169</f>
        <v>34020561.329999998</v>
      </c>
      <c r="V169" s="233">
        <f>W169/O169</f>
        <v>571646.25</v>
      </c>
      <c r="W169" s="241">
        <f>AVERAGEIF($P$4:$U$4,W$4,$P169:$U169)</f>
        <v>32940543.510000002</v>
      </c>
      <c r="X169" s="232" t="s">
        <v>326</v>
      </c>
      <c r="Z169" s="417">
        <f>W169</f>
        <v>32940543.510000002</v>
      </c>
      <c r="AA169" s="302">
        <f t="shared" si="22"/>
        <v>168682.5</v>
      </c>
      <c r="AB169" s="232"/>
    </row>
    <row r="170" spans="2:28" x14ac:dyDescent="0.35">
      <c r="B170" s="245"/>
      <c r="C170" s="246"/>
      <c r="D170" s="246"/>
      <c r="E170" s="251"/>
      <c r="F170" s="225" t="s">
        <v>327</v>
      </c>
      <c r="G170" s="226" t="s">
        <v>328</v>
      </c>
      <c r="H170" s="227"/>
      <c r="I170" s="228"/>
      <c r="J170" s="229"/>
      <c r="K170" s="239">
        <v>1</v>
      </c>
      <c r="L170" s="372">
        <f>O169*5000</f>
        <v>288120</v>
      </c>
      <c r="M170" s="372">
        <v>1</v>
      </c>
      <c r="N170" s="372">
        <v>1</v>
      </c>
      <c r="O170" s="372">
        <f t="shared" si="24"/>
        <v>288120</v>
      </c>
      <c r="P170" s="235">
        <v>100</v>
      </c>
      <c r="Q170" s="372">
        <f t="shared" si="23"/>
        <v>28812000</v>
      </c>
      <c r="R170" s="233"/>
      <c r="S170" s="233"/>
      <c r="T170" s="233"/>
      <c r="U170" s="233"/>
      <c r="V170" s="233"/>
      <c r="W170" s="233"/>
      <c r="X170" s="232" t="s">
        <v>329</v>
      </c>
      <c r="AA170" s="302">
        <f t="shared" si="22"/>
        <v>150000</v>
      </c>
      <c r="AB170" s="232"/>
    </row>
    <row r="171" spans="2:28" x14ac:dyDescent="0.35">
      <c r="B171" s="245"/>
      <c r="C171" s="246"/>
      <c r="D171" s="246"/>
      <c r="E171" s="251"/>
      <c r="F171" s="225" t="s">
        <v>330</v>
      </c>
      <c r="G171" s="226" t="s">
        <v>331</v>
      </c>
      <c r="H171" s="227"/>
      <c r="I171" s="228"/>
      <c r="J171" s="229"/>
      <c r="K171" s="239">
        <v>1</v>
      </c>
      <c r="L171" s="372">
        <v>288120</v>
      </c>
      <c r="M171" s="377">
        <f>1/3000</f>
        <v>3.3333333333333332E-4</v>
      </c>
      <c r="N171" s="372">
        <v>1</v>
      </c>
      <c r="O171" s="372">
        <f t="shared" si="24"/>
        <v>96.039999999999992</v>
      </c>
      <c r="P171" s="235">
        <v>200000</v>
      </c>
      <c r="Q171" s="372">
        <f t="shared" si="23"/>
        <v>19208000</v>
      </c>
      <c r="R171" s="233"/>
      <c r="S171" s="233"/>
      <c r="T171" s="233"/>
      <c r="U171" s="233"/>
      <c r="V171" s="233"/>
      <c r="W171" s="419"/>
      <c r="X171" s="232" t="s">
        <v>332</v>
      </c>
      <c r="AA171" s="302">
        <f t="shared" si="22"/>
        <v>100000</v>
      </c>
      <c r="AB171" s="232"/>
    </row>
    <row r="172" spans="2:28" x14ac:dyDescent="0.35">
      <c r="B172" s="245"/>
      <c r="C172" s="246"/>
      <c r="D172" s="246"/>
      <c r="E172" s="251"/>
      <c r="F172" s="225" t="s">
        <v>333</v>
      </c>
      <c r="G172" s="226" t="s">
        <v>331</v>
      </c>
      <c r="H172" s="227"/>
      <c r="I172" s="228"/>
      <c r="J172" s="229" t="s">
        <v>334</v>
      </c>
      <c r="K172" s="239">
        <v>1</v>
      </c>
      <c r="L172" s="372">
        <v>807</v>
      </c>
      <c r="M172" s="423">
        <f>1/5</f>
        <v>0.2</v>
      </c>
      <c r="N172" s="372">
        <v>1</v>
      </c>
      <c r="O172" s="423">
        <f t="shared" si="24"/>
        <v>161.4</v>
      </c>
      <c r="P172" s="235">
        <v>200000</v>
      </c>
      <c r="Q172" s="372">
        <f t="shared" si="23"/>
        <v>32280000</v>
      </c>
      <c r="R172" s="233"/>
      <c r="S172" s="233"/>
      <c r="T172" s="233"/>
      <c r="U172" s="233"/>
      <c r="V172" s="233"/>
      <c r="W172" s="419"/>
      <c r="X172" s="232" t="s">
        <v>335</v>
      </c>
      <c r="AA172" s="302">
        <f t="shared" si="22"/>
        <v>168054.97709287796</v>
      </c>
      <c r="AB172" s="232"/>
    </row>
    <row r="173" spans="2:28" x14ac:dyDescent="0.35">
      <c r="B173" s="245"/>
      <c r="C173" s="246"/>
      <c r="D173" s="246"/>
      <c r="E173" s="251"/>
      <c r="F173" s="225" t="s">
        <v>263</v>
      </c>
      <c r="G173" s="226" t="s">
        <v>205</v>
      </c>
      <c r="H173" s="227"/>
      <c r="I173" s="228"/>
      <c r="J173" s="229"/>
      <c r="K173" s="239">
        <v>1</v>
      </c>
      <c r="L173" s="372">
        <f>L171</f>
        <v>288120</v>
      </c>
      <c r="M173" s="377">
        <v>5.5999999999999995E-4</v>
      </c>
      <c r="N173" s="372">
        <v>1</v>
      </c>
      <c r="O173" s="423">
        <f t="shared" si="24"/>
        <v>161.34719999999999</v>
      </c>
      <c r="P173" s="301">
        <v>680210.06624999992</v>
      </c>
      <c r="Q173" s="372">
        <f t="shared" si="23"/>
        <v>109749989.60125197</v>
      </c>
      <c r="R173" s="233"/>
      <c r="S173" s="233"/>
      <c r="T173" s="233"/>
      <c r="U173" s="233"/>
      <c r="V173" s="233"/>
      <c r="W173" s="419"/>
      <c r="X173" s="232" t="s">
        <v>336</v>
      </c>
      <c r="AA173" s="302">
        <f t="shared" si="22"/>
        <v>571376.45564999979</v>
      </c>
      <c r="AB173" s="232"/>
    </row>
    <row r="174" spans="2:28" x14ac:dyDescent="0.35">
      <c r="B174" s="248"/>
      <c r="C174" s="246"/>
      <c r="D174" s="249"/>
      <c r="E174" s="250"/>
      <c r="F174" s="225"/>
      <c r="G174" s="226"/>
      <c r="H174" s="227"/>
      <c r="I174" s="228"/>
      <c r="J174" s="229"/>
      <c r="K174" s="239"/>
      <c r="L174" s="230"/>
      <c r="M174" s="423">
        <v>3.4</v>
      </c>
      <c r="N174" s="372">
        <v>1</v>
      </c>
      <c r="O174" s="373">
        <f t="shared" si="24"/>
        <v>0</v>
      </c>
      <c r="P174" s="233"/>
      <c r="Q174" s="373">
        <f t="shared" si="23"/>
        <v>0</v>
      </c>
      <c r="R174" s="233" t="e">
        <v>#N/A</v>
      </c>
      <c r="S174" s="233" t="e">
        <f>R174*$O174</f>
        <v>#N/A</v>
      </c>
      <c r="T174" s="233" t="e">
        <v>#N/A</v>
      </c>
      <c r="U174" s="233" t="e">
        <f>T174*$O174</f>
        <v>#N/A</v>
      </c>
      <c r="V174" s="233" t="e">
        <f>W174/O174</f>
        <v>#N/A</v>
      </c>
      <c r="W174" s="241" t="e">
        <f>AVERAGEIF($P$4:$U$4,W$4,$P174:$U174)</f>
        <v>#N/A</v>
      </c>
      <c r="X174" s="424" t="s">
        <v>337</v>
      </c>
      <c r="AA174" s="329">
        <f t="shared" si="21"/>
        <v>0</v>
      </c>
      <c r="AB174" s="232"/>
    </row>
    <row r="175" spans="2:28" x14ac:dyDescent="0.35">
      <c r="B175" s="425"/>
      <c r="C175" s="426"/>
      <c r="D175" s="426" t="s">
        <v>121</v>
      </c>
      <c r="E175" s="427"/>
      <c r="F175" s="225" t="s">
        <v>187</v>
      </c>
      <c r="G175" s="226" t="s">
        <v>188</v>
      </c>
      <c r="H175" s="227"/>
      <c r="I175" s="228"/>
      <c r="J175" s="229"/>
      <c r="K175" s="239">
        <v>1</v>
      </c>
      <c r="L175" s="418">
        <v>288120</v>
      </c>
      <c r="M175" s="377">
        <f>1/4500</f>
        <v>2.2222222222222223E-4</v>
      </c>
      <c r="N175" s="372">
        <v>1</v>
      </c>
      <c r="O175" s="233">
        <f t="shared" si="24"/>
        <v>64.026666666666671</v>
      </c>
      <c r="P175" s="301">
        <v>149108.51999999999</v>
      </c>
      <c r="Q175" s="372">
        <f t="shared" si="23"/>
        <v>9546921.5072000008</v>
      </c>
      <c r="R175" s="233"/>
      <c r="S175" s="233"/>
      <c r="T175" s="233"/>
      <c r="U175" s="233"/>
      <c r="V175" s="233"/>
      <c r="W175" s="241"/>
      <c r="X175" s="374"/>
      <c r="AA175" s="302">
        <f t="shared" si="22"/>
        <v>49702.840000000004</v>
      </c>
      <c r="AB175" s="232"/>
    </row>
    <row r="176" spans="2:28" x14ac:dyDescent="0.35">
      <c r="B176" s="428"/>
      <c r="C176" s="429"/>
      <c r="D176" s="429"/>
      <c r="E176" s="430"/>
      <c r="F176" s="225" t="s">
        <v>338</v>
      </c>
      <c r="G176" s="226" t="s">
        <v>334</v>
      </c>
      <c r="H176" s="227"/>
      <c r="I176" s="228"/>
      <c r="J176" s="229" t="s">
        <v>339</v>
      </c>
      <c r="K176" s="239">
        <v>1</v>
      </c>
      <c r="L176" s="230">
        <f>114/2</f>
        <v>57</v>
      </c>
      <c r="M176" s="382">
        <f>6/62</f>
        <v>9.6774193548387094E-2</v>
      </c>
      <c r="N176" s="372">
        <v>1</v>
      </c>
      <c r="O176" s="233">
        <f t="shared" si="24"/>
        <v>5.5161290322580641</v>
      </c>
      <c r="P176" s="301">
        <v>2126250</v>
      </c>
      <c r="Q176" s="372">
        <f t="shared" si="23"/>
        <v>11728669.354838708</v>
      </c>
      <c r="R176" s="233"/>
      <c r="S176" s="233"/>
      <c r="T176" s="233"/>
      <c r="U176" s="233"/>
      <c r="V176" s="233"/>
      <c r="W176" s="241"/>
      <c r="X176" s="374"/>
      <c r="AA176" s="302">
        <f t="shared" si="22"/>
        <v>61061.377315903308</v>
      </c>
      <c r="AB176" s="232"/>
    </row>
    <row r="177" spans="2:29" x14ac:dyDescent="0.35">
      <c r="B177" s="428" t="s">
        <v>126</v>
      </c>
      <c r="C177" s="429"/>
      <c r="D177" s="429"/>
      <c r="E177" s="429"/>
      <c r="F177" s="225" t="s">
        <v>187</v>
      </c>
      <c r="G177" s="226" t="s">
        <v>188</v>
      </c>
      <c r="H177" s="227"/>
      <c r="I177" s="228"/>
      <c r="J177" s="229"/>
      <c r="K177" s="239">
        <v>1</v>
      </c>
      <c r="L177" s="418">
        <v>288120</v>
      </c>
      <c r="M177" s="377">
        <f>1/5000</f>
        <v>2.0000000000000001E-4</v>
      </c>
      <c r="N177" s="372">
        <v>1</v>
      </c>
      <c r="O177" s="233">
        <f t="shared" si="24"/>
        <v>57.624000000000002</v>
      </c>
      <c r="P177" s="301">
        <v>149108.51999999999</v>
      </c>
      <c r="Q177" s="372">
        <f t="shared" si="23"/>
        <v>8592229.3564800005</v>
      </c>
      <c r="R177" s="233"/>
      <c r="S177" s="233"/>
      <c r="T177" s="233"/>
      <c r="U177" s="233"/>
      <c r="V177" s="233"/>
      <c r="W177" s="241"/>
      <c r="X177" s="374"/>
      <c r="AA177" s="302">
        <f t="shared" si="22"/>
        <v>44732.555999999997</v>
      </c>
      <c r="AB177" s="232"/>
    </row>
    <row r="178" spans="2:29" s="270" customFormat="1" x14ac:dyDescent="0.35">
      <c r="B178" s="431" t="s">
        <v>340</v>
      </c>
      <c r="C178" s="432"/>
      <c r="D178" s="432"/>
      <c r="E178" s="433"/>
      <c r="F178" s="434" t="s">
        <v>187</v>
      </c>
      <c r="G178" s="435" t="s">
        <v>188</v>
      </c>
      <c r="H178" s="436"/>
      <c r="I178" s="437"/>
      <c r="J178" s="438"/>
      <c r="K178" s="439">
        <v>1</v>
      </c>
      <c r="L178" s="440">
        <v>288120</v>
      </c>
      <c r="M178" s="441">
        <v>1E-4</v>
      </c>
      <c r="N178" s="442">
        <v>2</v>
      </c>
      <c r="O178" s="262">
        <f t="shared" si="24"/>
        <v>57.624000000000002</v>
      </c>
      <c r="P178" s="263">
        <v>149108.51999999999</v>
      </c>
      <c r="Q178" s="442">
        <f t="shared" si="23"/>
        <v>8592229.3564800005</v>
      </c>
      <c r="R178" s="262"/>
      <c r="S178" s="262"/>
      <c r="T178" s="262"/>
      <c r="U178" s="262"/>
      <c r="V178" s="262"/>
      <c r="W178" s="264"/>
      <c r="X178" s="443"/>
      <c r="Y178" s="267"/>
      <c r="Z178" s="267"/>
      <c r="AA178" s="268">
        <f t="shared" si="22"/>
        <v>44732.555999999997</v>
      </c>
      <c r="AB178" s="444"/>
      <c r="AC178" s="267"/>
    </row>
    <row r="179" spans="2:29" s="270" customFormat="1" x14ac:dyDescent="0.35">
      <c r="B179" s="445"/>
      <c r="C179" s="446"/>
      <c r="D179" s="446"/>
      <c r="E179" s="447"/>
      <c r="F179" s="444" t="s">
        <v>341</v>
      </c>
      <c r="G179" s="435" t="s">
        <v>232</v>
      </c>
      <c r="H179" s="436"/>
      <c r="I179" s="437"/>
      <c r="J179" s="438"/>
      <c r="K179" s="439">
        <v>1</v>
      </c>
      <c r="L179" s="440">
        <v>288120</v>
      </c>
      <c r="M179" s="448">
        <f>0.01/1000</f>
        <v>1.0000000000000001E-5</v>
      </c>
      <c r="N179" s="442">
        <v>2</v>
      </c>
      <c r="O179" s="262">
        <f t="shared" si="24"/>
        <v>5.7624000000000004</v>
      </c>
      <c r="P179" s="263">
        <v>53496.45</v>
      </c>
      <c r="Q179" s="442">
        <f t="shared" si="23"/>
        <v>308267.94348000002</v>
      </c>
      <c r="R179" s="262"/>
      <c r="S179" s="262"/>
      <c r="T179" s="262"/>
      <c r="U179" s="262"/>
      <c r="V179" s="262"/>
      <c r="W179" s="264"/>
      <c r="X179" s="443" t="s">
        <v>342</v>
      </c>
      <c r="Y179" s="267"/>
      <c r="Z179" s="267"/>
      <c r="AA179" s="268">
        <f t="shared" si="22"/>
        <v>1604.8934999999999</v>
      </c>
      <c r="AB179" s="444"/>
      <c r="AC179" s="267"/>
    </row>
    <row r="180" spans="2:29" s="270" customFormat="1" x14ac:dyDescent="0.35">
      <c r="B180" s="445"/>
      <c r="C180" s="446"/>
      <c r="D180" s="446"/>
      <c r="E180" s="447"/>
      <c r="F180" s="434" t="s">
        <v>235</v>
      </c>
      <c r="G180" s="435" t="s">
        <v>232</v>
      </c>
      <c r="H180" s="436"/>
      <c r="I180" s="437"/>
      <c r="J180" s="438"/>
      <c r="K180" s="439">
        <v>1</v>
      </c>
      <c r="L180" s="440">
        <v>288120</v>
      </c>
      <c r="M180" s="449">
        <f>0.002/1000</f>
        <v>1.9999999999999999E-6</v>
      </c>
      <c r="N180" s="442">
        <v>2</v>
      </c>
      <c r="O180" s="262">
        <f t="shared" si="24"/>
        <v>1.1524799999999999</v>
      </c>
      <c r="P180" s="263">
        <v>44982</v>
      </c>
      <c r="Q180" s="442">
        <f t="shared" si="23"/>
        <v>51840.855359999994</v>
      </c>
      <c r="R180" s="262"/>
      <c r="S180" s="262"/>
      <c r="T180" s="262"/>
      <c r="U180" s="262"/>
      <c r="V180" s="262"/>
      <c r="W180" s="264"/>
      <c r="X180" s="443" t="s">
        <v>343</v>
      </c>
      <c r="Y180" s="267"/>
      <c r="Z180" s="267"/>
      <c r="AA180" s="268">
        <f t="shared" si="22"/>
        <v>269.89199999999994</v>
      </c>
      <c r="AB180" s="444"/>
      <c r="AC180" s="267"/>
    </row>
    <row r="181" spans="2:29" s="270" customFormat="1" x14ac:dyDescent="0.35">
      <c r="B181" s="450"/>
      <c r="C181" s="451"/>
      <c r="D181" s="451"/>
      <c r="E181" s="452"/>
      <c r="F181" s="434" t="s">
        <v>236</v>
      </c>
      <c r="G181" s="435" t="s">
        <v>188</v>
      </c>
      <c r="H181" s="436"/>
      <c r="I181" s="437"/>
      <c r="J181" s="438" t="s">
        <v>344</v>
      </c>
      <c r="K181" s="439">
        <v>1</v>
      </c>
      <c r="L181" s="440">
        <v>288120</v>
      </c>
      <c r="M181" s="441">
        <v>1E-4</v>
      </c>
      <c r="N181" s="263">
        <v>2</v>
      </c>
      <c r="O181" s="262">
        <f t="shared" si="24"/>
        <v>57.624000000000002</v>
      </c>
      <c r="P181" s="263">
        <v>3940.5</v>
      </c>
      <c r="Q181" s="442">
        <f t="shared" si="23"/>
        <v>227067.372</v>
      </c>
      <c r="R181" s="262"/>
      <c r="S181" s="262"/>
      <c r="T181" s="262"/>
      <c r="U181" s="262"/>
      <c r="V181" s="262"/>
      <c r="W181" s="264"/>
      <c r="X181" s="443"/>
      <c r="Y181" s="267"/>
      <c r="Z181" s="267"/>
      <c r="AA181" s="268">
        <f t="shared" si="22"/>
        <v>1182.1499999999999</v>
      </c>
      <c r="AB181" s="444"/>
      <c r="AC181" s="267"/>
    </row>
    <row r="182" spans="2:29" s="270" customFormat="1" x14ac:dyDescent="0.35">
      <c r="B182" s="431" t="s">
        <v>345</v>
      </c>
      <c r="C182" s="432"/>
      <c r="D182" s="432"/>
      <c r="E182" s="433"/>
      <c r="F182" s="255" t="s">
        <v>187</v>
      </c>
      <c r="G182" s="435" t="s">
        <v>188</v>
      </c>
      <c r="H182" s="436"/>
      <c r="I182" s="437"/>
      <c r="J182" s="438"/>
      <c r="K182" s="439">
        <v>0</v>
      </c>
      <c r="L182" s="440">
        <v>288120</v>
      </c>
      <c r="M182" s="441">
        <v>1E-4</v>
      </c>
      <c r="N182" s="442">
        <v>2</v>
      </c>
      <c r="O182" s="262">
        <f t="shared" si="24"/>
        <v>0</v>
      </c>
      <c r="P182" s="263">
        <v>149108.51999999999</v>
      </c>
      <c r="Q182" s="453">
        <f t="shared" si="23"/>
        <v>0</v>
      </c>
      <c r="R182" s="262"/>
      <c r="S182" s="262"/>
      <c r="T182" s="262"/>
      <c r="U182" s="262"/>
      <c r="V182" s="262"/>
      <c r="W182" s="264"/>
      <c r="X182" s="443"/>
      <c r="Y182" s="267"/>
      <c r="Z182" s="267"/>
      <c r="AA182" s="454">
        <f t="shared" si="21"/>
        <v>0</v>
      </c>
      <c r="AB182" s="444"/>
      <c r="AC182" s="267"/>
    </row>
    <row r="183" spans="2:29" s="270" customFormat="1" x14ac:dyDescent="0.35">
      <c r="B183" s="445"/>
      <c r="C183" s="446"/>
      <c r="D183" s="446"/>
      <c r="E183" s="447"/>
      <c r="F183" s="255" t="s">
        <v>346</v>
      </c>
      <c r="G183" s="435" t="s">
        <v>191</v>
      </c>
      <c r="H183" s="436"/>
      <c r="I183" s="437"/>
      <c r="J183" s="438"/>
      <c r="K183" s="439">
        <v>0</v>
      </c>
      <c r="L183" s="440">
        <v>288120</v>
      </c>
      <c r="M183" s="448">
        <f>0.02/1000</f>
        <v>2.0000000000000002E-5</v>
      </c>
      <c r="N183" s="263">
        <v>2</v>
      </c>
      <c r="O183" s="262">
        <f t="shared" si="24"/>
        <v>0</v>
      </c>
      <c r="P183" s="263">
        <v>141750</v>
      </c>
      <c r="Q183" s="453">
        <f t="shared" si="23"/>
        <v>0</v>
      </c>
      <c r="R183" s="262"/>
      <c r="S183" s="262"/>
      <c r="T183" s="262"/>
      <c r="U183" s="262"/>
      <c r="V183" s="262"/>
      <c r="W183" s="264"/>
      <c r="X183" s="443" t="s">
        <v>347</v>
      </c>
      <c r="Y183" s="267"/>
      <c r="Z183" s="267"/>
      <c r="AA183" s="454">
        <f t="shared" si="21"/>
        <v>0</v>
      </c>
      <c r="AB183" s="444"/>
      <c r="AC183" s="267"/>
    </row>
    <row r="184" spans="2:29" s="270" customFormat="1" x14ac:dyDescent="0.35">
      <c r="B184" s="450"/>
      <c r="C184" s="451"/>
      <c r="D184" s="451"/>
      <c r="E184" s="452"/>
      <c r="F184" s="255" t="s">
        <v>236</v>
      </c>
      <c r="G184" s="435" t="s">
        <v>188</v>
      </c>
      <c r="H184" s="436"/>
      <c r="I184" s="437"/>
      <c r="J184" s="438" t="s">
        <v>344</v>
      </c>
      <c r="K184" s="439">
        <v>0</v>
      </c>
      <c r="L184" s="440">
        <v>288120</v>
      </c>
      <c r="M184" s="441">
        <v>1E-4</v>
      </c>
      <c r="N184" s="263">
        <v>2</v>
      </c>
      <c r="O184" s="262">
        <f t="shared" si="24"/>
        <v>0</v>
      </c>
      <c r="P184" s="263">
        <v>3940.5</v>
      </c>
      <c r="Q184" s="453">
        <f t="shared" si="23"/>
        <v>0</v>
      </c>
      <c r="R184" s="262"/>
      <c r="S184" s="262"/>
      <c r="T184" s="262"/>
      <c r="U184" s="262"/>
      <c r="V184" s="262"/>
      <c r="W184" s="264"/>
      <c r="X184" s="443"/>
      <c r="Y184" s="267"/>
      <c r="Z184" s="267"/>
      <c r="AA184" s="454">
        <f t="shared" si="21"/>
        <v>0</v>
      </c>
      <c r="AB184" s="444"/>
      <c r="AC184" s="267"/>
    </row>
    <row r="185" spans="2:29" s="270" customFormat="1" x14ac:dyDescent="0.35">
      <c r="B185" s="455" t="s">
        <v>133</v>
      </c>
      <c r="C185" s="456"/>
      <c r="D185" s="456"/>
      <c r="E185" s="456"/>
      <c r="F185" s="434" t="s">
        <v>187</v>
      </c>
      <c r="G185" s="435" t="s">
        <v>188</v>
      </c>
      <c r="H185" s="436"/>
      <c r="I185" s="437"/>
      <c r="J185" s="438"/>
      <c r="K185" s="439">
        <v>1</v>
      </c>
      <c r="L185" s="440">
        <v>288120</v>
      </c>
      <c r="M185" s="441">
        <f>1/5000</f>
        <v>2.0000000000000001E-4</v>
      </c>
      <c r="N185" s="453">
        <v>1</v>
      </c>
      <c r="O185" s="262">
        <f t="shared" si="24"/>
        <v>57.624000000000002</v>
      </c>
      <c r="P185" s="263">
        <v>149108.51999999999</v>
      </c>
      <c r="Q185" s="442">
        <f t="shared" si="23"/>
        <v>8592229.3564800005</v>
      </c>
      <c r="R185" s="262"/>
      <c r="S185" s="262"/>
      <c r="T185" s="262"/>
      <c r="U185" s="262"/>
      <c r="V185" s="262"/>
      <c r="W185" s="264"/>
      <c r="X185" s="443" t="s">
        <v>348</v>
      </c>
      <c r="Y185" s="267"/>
      <c r="Z185" s="267"/>
      <c r="AA185" s="268">
        <f t="shared" ref="AA185:AA188" si="25">Q185/$D$2</f>
        <v>44732.555999999997</v>
      </c>
      <c r="AB185" s="444"/>
      <c r="AC185" s="267"/>
    </row>
    <row r="186" spans="2:29" s="270" customFormat="1" x14ac:dyDescent="0.35">
      <c r="B186" s="457" t="s">
        <v>349</v>
      </c>
      <c r="C186" s="458"/>
      <c r="D186" s="458"/>
      <c r="E186" s="458"/>
      <c r="F186" s="434" t="s">
        <v>187</v>
      </c>
      <c r="G186" s="435" t="s">
        <v>188</v>
      </c>
      <c r="H186" s="436"/>
      <c r="I186" s="437"/>
      <c r="J186" s="438"/>
      <c r="K186" s="439">
        <v>1</v>
      </c>
      <c r="L186" s="440">
        <v>288120</v>
      </c>
      <c r="M186" s="448">
        <f>1/50000</f>
        <v>2.0000000000000002E-5</v>
      </c>
      <c r="N186" s="453">
        <v>1</v>
      </c>
      <c r="O186" s="262">
        <f t="shared" si="24"/>
        <v>5.7624000000000004</v>
      </c>
      <c r="P186" s="263">
        <v>149108.51999999999</v>
      </c>
      <c r="Q186" s="442">
        <f t="shared" si="23"/>
        <v>859222.93564799998</v>
      </c>
      <c r="R186" s="262"/>
      <c r="S186" s="262"/>
      <c r="T186" s="262"/>
      <c r="U186" s="262"/>
      <c r="V186" s="262"/>
      <c r="W186" s="264"/>
      <c r="X186" s="443"/>
      <c r="Y186" s="267"/>
      <c r="Z186" s="267"/>
      <c r="AA186" s="268">
        <f t="shared" si="25"/>
        <v>4473.2555999999995</v>
      </c>
      <c r="AB186" s="444"/>
      <c r="AC186" s="267"/>
    </row>
    <row r="187" spans="2:29" s="270" customFormat="1" ht="19" customHeight="1" x14ac:dyDescent="0.35">
      <c r="B187" s="455"/>
      <c r="C187" s="456"/>
      <c r="D187" s="456"/>
      <c r="E187" s="459"/>
      <c r="F187" s="434" t="s">
        <v>350</v>
      </c>
      <c r="G187" s="435" t="s">
        <v>351</v>
      </c>
      <c r="H187" s="436"/>
      <c r="I187" s="437"/>
      <c r="J187" s="438"/>
      <c r="K187" s="439">
        <v>1</v>
      </c>
      <c r="L187" s="440">
        <v>1</v>
      </c>
      <c r="M187" s="442">
        <v>1</v>
      </c>
      <c r="N187" s="453">
        <v>1</v>
      </c>
      <c r="O187" s="262">
        <f t="shared" si="24"/>
        <v>1</v>
      </c>
      <c r="P187" s="263">
        <v>5592015</v>
      </c>
      <c r="Q187" s="442">
        <f t="shared" si="23"/>
        <v>5592015</v>
      </c>
      <c r="R187" s="262"/>
      <c r="S187" s="262"/>
      <c r="T187" s="262"/>
      <c r="U187" s="262"/>
      <c r="V187" s="262"/>
      <c r="W187" s="264"/>
      <c r="X187" s="460" t="s">
        <v>352</v>
      </c>
      <c r="Y187" s="267"/>
      <c r="Z187" s="267"/>
      <c r="AA187" s="268">
        <f t="shared" si="25"/>
        <v>29112.94773011245</v>
      </c>
      <c r="AB187" s="444"/>
      <c r="AC187" s="267"/>
    </row>
    <row r="188" spans="2:29" x14ac:dyDescent="0.35">
      <c r="B188" s="227"/>
      <c r="C188" s="228"/>
      <c r="D188" s="228" t="s">
        <v>136</v>
      </c>
      <c r="E188" s="247"/>
      <c r="F188" s="225" t="s">
        <v>187</v>
      </c>
      <c r="G188" s="226" t="s">
        <v>188</v>
      </c>
      <c r="H188" s="227"/>
      <c r="I188" s="228"/>
      <c r="J188" s="229" t="s">
        <v>189</v>
      </c>
      <c r="K188" s="239">
        <v>1</v>
      </c>
      <c r="L188" s="230">
        <v>192.08</v>
      </c>
      <c r="M188" s="372">
        <v>5</v>
      </c>
      <c r="N188" s="373">
        <v>6</v>
      </c>
      <c r="O188" s="373">
        <f t="shared" si="24"/>
        <v>5762.4000000000005</v>
      </c>
      <c r="P188" s="301">
        <v>149108.51999999999</v>
      </c>
      <c r="Q188" s="235">
        <f t="shared" si="23"/>
        <v>859222935.648</v>
      </c>
      <c r="R188" s="233">
        <v>149108.51999999999</v>
      </c>
      <c r="S188" s="233">
        <f>R188*$O188</f>
        <v>859222935.648</v>
      </c>
      <c r="T188" s="233">
        <v>158800.57379999998</v>
      </c>
      <c r="U188" s="233">
        <f>T188*$O188</f>
        <v>915072426.46511996</v>
      </c>
      <c r="V188" s="233">
        <f>W188/O188</f>
        <v>152339.20459999997</v>
      </c>
      <c r="W188" s="241">
        <f>AVERAGEIF($P$4:$U$4,W$4,$P188:$U188)</f>
        <v>877839432.58703995</v>
      </c>
      <c r="X188" s="232" t="s">
        <v>353</v>
      </c>
      <c r="AA188" s="302">
        <f t="shared" si="25"/>
        <v>4473255.5999999996</v>
      </c>
      <c r="AB188" s="232"/>
    </row>
    <row r="189" spans="2:29" x14ac:dyDescent="0.35">
      <c r="B189" s="236"/>
      <c r="C189" s="237"/>
      <c r="D189" s="237" t="s">
        <v>354</v>
      </c>
      <c r="E189" s="238"/>
      <c r="F189" s="225" t="s">
        <v>187</v>
      </c>
      <c r="G189" s="226" t="s">
        <v>188</v>
      </c>
      <c r="H189" s="227"/>
      <c r="I189" s="228"/>
      <c r="J189" s="229"/>
      <c r="K189" s="230"/>
      <c r="L189" s="230"/>
      <c r="M189" s="231">
        <v>1</v>
      </c>
      <c r="N189" s="233">
        <v>1</v>
      </c>
      <c r="O189" s="233"/>
      <c r="P189" s="233"/>
      <c r="Q189" s="235"/>
      <c r="R189" s="233"/>
      <c r="S189" s="233"/>
      <c r="T189" s="233"/>
      <c r="U189" s="233"/>
      <c r="V189" s="233"/>
      <c r="W189" s="233"/>
      <c r="X189" s="232"/>
      <c r="AA189" s="232"/>
      <c r="AB189" s="232"/>
    </row>
    <row r="190" spans="2:29" hidden="1" x14ac:dyDescent="0.35">
      <c r="B190" s="245"/>
      <c r="C190" s="246"/>
      <c r="D190" s="246"/>
      <c r="E190" s="251"/>
      <c r="F190" s="225" t="s">
        <v>231</v>
      </c>
      <c r="G190" s="226" t="s">
        <v>232</v>
      </c>
      <c r="H190" s="227"/>
      <c r="I190" s="228"/>
      <c r="J190" s="229"/>
      <c r="K190" s="230"/>
      <c r="L190" s="230"/>
      <c r="M190" s="231">
        <v>0.6</v>
      </c>
      <c r="N190" s="233">
        <v>1</v>
      </c>
      <c r="O190" s="233"/>
      <c r="P190" s="233"/>
      <c r="Q190" s="235"/>
      <c r="R190" s="233"/>
      <c r="S190" s="233"/>
      <c r="T190" s="233"/>
      <c r="U190" s="233"/>
      <c r="V190" s="233"/>
      <c r="W190" s="233"/>
      <c r="X190" s="232"/>
      <c r="AA190" s="232"/>
      <c r="AB190" s="232"/>
    </row>
    <row r="191" spans="2:29" hidden="1" x14ac:dyDescent="0.35">
      <c r="B191" s="245"/>
      <c r="C191" s="246"/>
      <c r="D191" s="246"/>
      <c r="E191" s="251"/>
      <c r="F191" s="225" t="s">
        <v>233</v>
      </c>
      <c r="G191" s="226" t="s">
        <v>191</v>
      </c>
      <c r="H191" s="227"/>
      <c r="I191" s="228"/>
      <c r="J191" s="229"/>
      <c r="K191" s="230"/>
      <c r="L191" s="230"/>
      <c r="M191" s="231">
        <f>24/1000</f>
        <v>2.4E-2</v>
      </c>
      <c r="N191" s="233">
        <v>1</v>
      </c>
      <c r="O191" s="233"/>
      <c r="P191" s="233"/>
      <c r="Q191" s="235"/>
      <c r="R191" s="233"/>
      <c r="S191" s="233"/>
      <c r="T191" s="233"/>
      <c r="U191" s="233"/>
      <c r="V191" s="233"/>
      <c r="W191" s="233"/>
      <c r="X191" s="232"/>
      <c r="AA191" s="232"/>
      <c r="AB191" s="232"/>
    </row>
    <row r="192" spans="2:29" hidden="1" x14ac:dyDescent="0.35">
      <c r="B192" s="245"/>
      <c r="C192" s="246"/>
      <c r="D192" s="246"/>
      <c r="E192" s="251"/>
      <c r="F192" s="225" t="s">
        <v>235</v>
      </c>
      <c r="G192" s="226" t="s">
        <v>232</v>
      </c>
      <c r="H192" s="227"/>
      <c r="I192" s="228"/>
      <c r="J192" s="229"/>
      <c r="K192" s="230"/>
      <c r="L192" s="230"/>
      <c r="M192" s="231">
        <v>0.18</v>
      </c>
      <c r="N192" s="233">
        <v>1</v>
      </c>
      <c r="O192" s="233"/>
      <c r="P192" s="233"/>
      <c r="Q192" s="235"/>
      <c r="R192" s="233"/>
      <c r="S192" s="233"/>
      <c r="T192" s="233"/>
      <c r="U192" s="233"/>
      <c r="V192" s="233"/>
      <c r="W192" s="233"/>
      <c r="X192" s="232"/>
      <c r="AA192" s="232"/>
      <c r="AB192" s="232"/>
    </row>
    <row r="193" spans="2:28" hidden="1" x14ac:dyDescent="0.35">
      <c r="B193" s="245"/>
      <c r="C193" s="246"/>
      <c r="D193" s="246"/>
      <c r="E193" s="251"/>
      <c r="F193" s="225" t="s">
        <v>230</v>
      </c>
      <c r="G193" s="226" t="s">
        <v>193</v>
      </c>
      <c r="H193" s="227"/>
      <c r="I193" s="228"/>
      <c r="J193" s="229"/>
      <c r="K193" s="230"/>
      <c r="L193" s="230"/>
      <c r="M193" s="231">
        <v>0.01</v>
      </c>
      <c r="N193" s="233">
        <v>1</v>
      </c>
      <c r="O193" s="233"/>
      <c r="P193" s="233"/>
      <c r="Q193" s="235"/>
      <c r="R193" s="233"/>
      <c r="S193" s="233"/>
      <c r="T193" s="233"/>
      <c r="U193" s="233"/>
      <c r="V193" s="233"/>
      <c r="W193" s="233"/>
      <c r="X193" s="232"/>
      <c r="AA193" s="232"/>
      <c r="AB193" s="232"/>
    </row>
    <row r="194" spans="2:28" hidden="1" x14ac:dyDescent="0.35">
      <c r="B194" s="245"/>
      <c r="C194" s="246"/>
      <c r="D194" s="246"/>
      <c r="E194" s="251"/>
      <c r="F194" s="225" t="s">
        <v>236</v>
      </c>
      <c r="G194" s="226" t="s">
        <v>188</v>
      </c>
      <c r="H194" s="227"/>
      <c r="I194" s="228"/>
      <c r="J194" s="229"/>
      <c r="K194" s="230"/>
      <c r="L194" s="230"/>
      <c r="M194" s="231">
        <v>1</v>
      </c>
      <c r="N194" s="233">
        <v>1</v>
      </c>
      <c r="O194" s="233"/>
      <c r="P194" s="233"/>
      <c r="Q194" s="235"/>
      <c r="R194" s="233"/>
      <c r="S194" s="233"/>
      <c r="T194" s="233"/>
      <c r="U194" s="233"/>
      <c r="V194" s="233"/>
      <c r="W194" s="233"/>
      <c r="X194" s="232"/>
      <c r="AA194" s="232"/>
      <c r="AB194" s="232"/>
    </row>
    <row r="195" spans="2:28" hidden="1" x14ac:dyDescent="0.35">
      <c r="B195" s="245"/>
      <c r="C195" s="246"/>
      <c r="D195" s="246"/>
      <c r="E195" s="251"/>
      <c r="F195" s="232" t="s">
        <v>237</v>
      </c>
      <c r="G195" s="318" t="s">
        <v>193</v>
      </c>
      <c r="H195" s="319">
        <v>4</v>
      </c>
      <c r="I195" s="320" t="s">
        <v>238</v>
      </c>
      <c r="J195" s="232"/>
      <c r="K195" s="461"/>
      <c r="L195" s="461"/>
      <c r="M195" s="341">
        <f>((M$189*N$189)/240*($H195/N195))</f>
        <v>1.6666666666666666E-2</v>
      </c>
      <c r="N195" s="233">
        <v>1</v>
      </c>
      <c r="O195" s="233"/>
      <c r="P195" s="233"/>
      <c r="Q195" s="235"/>
      <c r="R195" s="233"/>
      <c r="S195" s="233"/>
      <c r="T195" s="233"/>
      <c r="U195" s="233"/>
      <c r="V195" s="233"/>
      <c r="W195" s="233"/>
      <c r="X195" s="232"/>
      <c r="AA195" s="232"/>
      <c r="AB195" s="232"/>
    </row>
    <row r="196" spans="2:28" hidden="1" x14ac:dyDescent="0.35">
      <c r="B196" s="245"/>
      <c r="C196" s="246"/>
      <c r="D196" s="246"/>
      <c r="E196" s="251"/>
      <c r="F196" s="232" t="s">
        <v>239</v>
      </c>
      <c r="G196" s="318" t="s">
        <v>193</v>
      </c>
      <c r="H196" s="319">
        <v>12</v>
      </c>
      <c r="I196" s="320" t="s">
        <v>238</v>
      </c>
      <c r="J196" s="232"/>
      <c r="K196" s="461"/>
      <c r="L196" s="461"/>
      <c r="M196" s="341">
        <f>((M$189*N$189)/240*($H196/N196))</f>
        <v>0.05</v>
      </c>
      <c r="N196" s="233">
        <v>1</v>
      </c>
      <c r="O196" s="233"/>
      <c r="P196" s="233"/>
      <c r="Q196" s="235"/>
      <c r="R196" s="233"/>
      <c r="S196" s="233"/>
      <c r="T196" s="233"/>
      <c r="U196" s="233"/>
      <c r="V196" s="233"/>
      <c r="W196" s="233"/>
      <c r="X196" s="232"/>
      <c r="AA196" s="232"/>
      <c r="AB196" s="232"/>
    </row>
    <row r="197" spans="2:28" hidden="1" x14ac:dyDescent="0.35">
      <c r="B197" s="245"/>
      <c r="C197" s="246"/>
      <c r="D197" s="246"/>
      <c r="E197" s="251"/>
      <c r="F197" s="232" t="s">
        <v>240</v>
      </c>
      <c r="G197" s="318" t="s">
        <v>193</v>
      </c>
      <c r="H197" s="319">
        <v>1</v>
      </c>
      <c r="I197" s="320" t="s">
        <v>238</v>
      </c>
      <c r="J197" s="232"/>
      <c r="K197" s="461"/>
      <c r="L197" s="461"/>
      <c r="M197" s="341">
        <f>((M$189*N$189)/240*($H197/N197))</f>
        <v>4.1666666666666666E-3</v>
      </c>
      <c r="N197" s="233">
        <v>1</v>
      </c>
      <c r="O197" s="233"/>
      <c r="P197" s="233"/>
      <c r="Q197" s="235"/>
      <c r="R197" s="233"/>
      <c r="S197" s="233"/>
      <c r="T197" s="233"/>
      <c r="U197" s="233"/>
      <c r="V197" s="233"/>
      <c r="W197" s="233"/>
      <c r="X197" s="232"/>
      <c r="AA197" s="232"/>
      <c r="AB197" s="232"/>
    </row>
    <row r="198" spans="2:28" hidden="1" x14ac:dyDescent="0.35">
      <c r="B198" s="245"/>
      <c r="C198" s="246"/>
      <c r="D198" s="246"/>
      <c r="E198" s="251"/>
      <c r="F198" s="232" t="s">
        <v>241</v>
      </c>
      <c r="G198" s="318" t="s">
        <v>193</v>
      </c>
      <c r="H198" s="319">
        <v>2</v>
      </c>
      <c r="I198" s="320" t="s">
        <v>238</v>
      </c>
      <c r="J198" s="232"/>
      <c r="K198" s="461"/>
      <c r="L198" s="461"/>
      <c r="M198" s="341">
        <f>((M$189*N$189)/240*($H198/N198))</f>
        <v>8.3333333333333332E-3</v>
      </c>
      <c r="N198" s="233">
        <v>1</v>
      </c>
      <c r="O198" s="233"/>
      <c r="P198" s="233"/>
      <c r="Q198" s="235"/>
      <c r="R198" s="233"/>
      <c r="S198" s="233"/>
      <c r="T198" s="233"/>
      <c r="U198" s="233"/>
      <c r="V198" s="233"/>
      <c r="W198" s="233"/>
      <c r="X198" s="232"/>
      <c r="AA198" s="232"/>
      <c r="AB198" s="232"/>
    </row>
    <row r="199" spans="2:28" hidden="1" x14ac:dyDescent="0.35">
      <c r="B199" s="248"/>
      <c r="C199" s="249"/>
      <c r="D199" s="249"/>
      <c r="E199" s="250"/>
      <c r="F199" s="232" t="s">
        <v>242</v>
      </c>
      <c r="G199" s="318" t="s">
        <v>193</v>
      </c>
      <c r="H199" s="319">
        <v>1</v>
      </c>
      <c r="I199" s="320" t="s">
        <v>238</v>
      </c>
      <c r="J199" s="232"/>
      <c r="K199" s="461"/>
      <c r="L199" s="461"/>
      <c r="M199" s="341">
        <f>((M$189*N$189)/240*($H199/N199))</f>
        <v>4.1666666666666666E-3</v>
      </c>
      <c r="N199" s="233">
        <v>1</v>
      </c>
      <c r="O199" s="233"/>
      <c r="P199" s="233"/>
      <c r="Q199" s="235"/>
      <c r="R199" s="233"/>
      <c r="S199" s="233"/>
      <c r="T199" s="233"/>
      <c r="U199" s="233"/>
      <c r="V199" s="233"/>
      <c r="W199" s="233"/>
      <c r="X199" s="232"/>
      <c r="AA199" s="232"/>
      <c r="AB199" s="232"/>
    </row>
    <row r="200" spans="2:28" x14ac:dyDescent="0.35">
      <c r="B200" s="236"/>
      <c r="C200" s="237"/>
      <c r="D200" s="237" t="s">
        <v>88</v>
      </c>
      <c r="E200" s="238"/>
      <c r="F200" s="225" t="s">
        <v>187</v>
      </c>
      <c r="G200" s="226" t="s">
        <v>188</v>
      </c>
      <c r="H200" s="227"/>
      <c r="I200" s="228"/>
      <c r="J200" s="229"/>
      <c r="K200" s="239"/>
      <c r="L200" s="230">
        <v>1</v>
      </c>
      <c r="M200" s="231">
        <v>1.5</v>
      </c>
      <c r="N200" s="233">
        <v>1</v>
      </c>
      <c r="O200" s="233">
        <f>K200*L200*M200*N200</f>
        <v>0</v>
      </c>
      <c r="P200" s="233">
        <v>140008</v>
      </c>
      <c r="Q200" s="235">
        <f>P200*$O200</f>
        <v>0</v>
      </c>
      <c r="R200" s="233">
        <v>149108.51999999999</v>
      </c>
      <c r="S200" s="233">
        <f>R200*$O200</f>
        <v>0</v>
      </c>
      <c r="T200" s="233">
        <v>158800.57379999998</v>
      </c>
      <c r="U200" s="233">
        <f>T200*$O200</f>
        <v>0</v>
      </c>
      <c r="V200" s="233" t="e">
        <f>W200/O200</f>
        <v>#DIV/0!</v>
      </c>
      <c r="W200" s="241">
        <f>AVERAGEIF($P$4:$U$4,W$4,$P200:$U200)</f>
        <v>0</v>
      </c>
      <c r="X200" s="232"/>
      <c r="AA200" s="232"/>
      <c r="AB200" s="232"/>
    </row>
    <row r="201" spans="2:28" hidden="1" x14ac:dyDescent="0.35">
      <c r="B201" s="245"/>
      <c r="C201" s="246"/>
      <c r="D201" s="246"/>
      <c r="E201" s="251"/>
      <c r="F201" s="225" t="s">
        <v>231</v>
      </c>
      <c r="G201" s="226" t="s">
        <v>232</v>
      </c>
      <c r="H201" s="227"/>
      <c r="I201" s="228"/>
      <c r="J201" s="229"/>
      <c r="K201" s="239"/>
      <c r="L201" s="230">
        <v>1</v>
      </c>
      <c r="M201" s="231">
        <v>1.5</v>
      </c>
      <c r="N201" s="233">
        <v>2</v>
      </c>
      <c r="O201" s="233">
        <f t="shared" ref="O201:O209" si="26">K201*L201*M201*N201</f>
        <v>0</v>
      </c>
      <c r="P201" s="233">
        <v>36352.800000000003</v>
      </c>
      <c r="Q201" s="235">
        <f t="shared" ref="Q201:Q209" si="27">P201*$O201</f>
        <v>0</v>
      </c>
      <c r="R201" s="233">
        <v>35343</v>
      </c>
      <c r="S201" s="233">
        <f t="shared" ref="S201:S209" si="28">R201*$O201</f>
        <v>0</v>
      </c>
      <c r="T201" s="233">
        <v>37110.15</v>
      </c>
      <c r="U201" s="233">
        <f t="shared" ref="U201:U209" si="29">T201*$O201</f>
        <v>0</v>
      </c>
      <c r="V201" s="233" t="e">
        <f t="shared" ref="V201:V209" si="30">W201/O201</f>
        <v>#DIV/0!</v>
      </c>
      <c r="W201" s="241">
        <f t="shared" ref="W201:W209" si="31">AVERAGEIF($P$4:$U$4,W$4,$P201:$U201)</f>
        <v>0</v>
      </c>
      <c r="X201" s="232"/>
      <c r="AA201" s="232"/>
      <c r="AB201" s="232"/>
    </row>
    <row r="202" spans="2:28" hidden="1" x14ac:dyDescent="0.35">
      <c r="B202" s="245"/>
      <c r="C202" s="246"/>
      <c r="D202" s="246"/>
      <c r="E202" s="251"/>
      <c r="F202" s="225" t="s">
        <v>235</v>
      </c>
      <c r="G202" s="226" t="s">
        <v>232</v>
      </c>
      <c r="H202" s="227"/>
      <c r="I202" s="228"/>
      <c r="J202" s="229"/>
      <c r="K202" s="239"/>
      <c r="L202" s="230">
        <v>1</v>
      </c>
      <c r="M202" s="231">
        <v>2.7E-2</v>
      </c>
      <c r="N202" s="233">
        <v>2</v>
      </c>
      <c r="O202" s="233">
        <f t="shared" si="26"/>
        <v>0</v>
      </c>
      <c r="P202" s="233">
        <v>46267.199999999997</v>
      </c>
      <c r="Q202" s="235">
        <f t="shared" si="27"/>
        <v>0</v>
      </c>
      <c r="R202" s="233">
        <v>44982</v>
      </c>
      <c r="S202" s="233">
        <f t="shared" si="28"/>
        <v>0</v>
      </c>
      <c r="T202" s="233">
        <v>47231.1</v>
      </c>
      <c r="U202" s="233">
        <f t="shared" si="29"/>
        <v>0</v>
      </c>
      <c r="V202" s="233" t="e">
        <f t="shared" si="30"/>
        <v>#DIV/0!</v>
      </c>
      <c r="W202" s="241">
        <f t="shared" si="31"/>
        <v>0</v>
      </c>
      <c r="X202" s="232"/>
      <c r="AA202" s="232"/>
      <c r="AB202" s="232"/>
    </row>
    <row r="203" spans="2:28" hidden="1" x14ac:dyDescent="0.35">
      <c r="B203" s="245"/>
      <c r="C203" s="246"/>
      <c r="D203" s="246"/>
      <c r="E203" s="251"/>
      <c r="F203" s="225" t="s">
        <v>230</v>
      </c>
      <c r="G203" s="226" t="s">
        <v>193</v>
      </c>
      <c r="H203" s="227"/>
      <c r="I203" s="228"/>
      <c r="J203" s="229"/>
      <c r="K203" s="239"/>
      <c r="L203" s="230">
        <v>1</v>
      </c>
      <c r="M203" s="231">
        <v>0.01</v>
      </c>
      <c r="N203" s="233">
        <v>1</v>
      </c>
      <c r="O203" s="233">
        <f t="shared" si="26"/>
        <v>0</v>
      </c>
      <c r="P203" s="233">
        <v>1366468.5</v>
      </c>
      <c r="Q203" s="235">
        <f t="shared" si="27"/>
        <v>0</v>
      </c>
      <c r="R203" s="233">
        <v>1434791.925</v>
      </c>
      <c r="S203" s="233">
        <f t="shared" si="28"/>
        <v>0</v>
      </c>
      <c r="T203" s="233">
        <v>1506531.5212500002</v>
      </c>
      <c r="U203" s="233">
        <f t="shared" si="29"/>
        <v>0</v>
      </c>
      <c r="V203" s="233" t="e">
        <f t="shared" si="30"/>
        <v>#DIV/0!</v>
      </c>
      <c r="W203" s="241">
        <f t="shared" si="31"/>
        <v>0</v>
      </c>
      <c r="X203" s="232"/>
      <c r="AA203" s="232"/>
      <c r="AB203" s="232"/>
    </row>
    <row r="204" spans="2:28" hidden="1" x14ac:dyDescent="0.35">
      <c r="B204" s="245"/>
      <c r="C204" s="246"/>
      <c r="D204" s="246"/>
      <c r="E204" s="251"/>
      <c r="F204" s="225" t="s">
        <v>236</v>
      </c>
      <c r="G204" s="226" t="s">
        <v>188</v>
      </c>
      <c r="H204" s="227"/>
      <c r="I204" s="228"/>
      <c r="J204" s="229"/>
      <c r="K204" s="239"/>
      <c r="L204" s="230">
        <v>1</v>
      </c>
      <c r="M204" s="231">
        <v>1</v>
      </c>
      <c r="N204" s="233">
        <v>2</v>
      </c>
      <c r="O204" s="233">
        <f t="shared" si="26"/>
        <v>0</v>
      </c>
      <c r="P204" s="233">
        <v>3700</v>
      </c>
      <c r="Q204" s="235">
        <f t="shared" si="27"/>
        <v>0</v>
      </c>
      <c r="R204" s="233">
        <v>3940.5</v>
      </c>
      <c r="S204" s="233">
        <f t="shared" si="28"/>
        <v>0</v>
      </c>
      <c r="T204" s="233">
        <v>4196.6324999999997</v>
      </c>
      <c r="U204" s="233">
        <f t="shared" si="29"/>
        <v>0</v>
      </c>
      <c r="V204" s="233" t="e">
        <f t="shared" si="30"/>
        <v>#DIV/0!</v>
      </c>
      <c r="W204" s="241">
        <f t="shared" si="31"/>
        <v>0</v>
      </c>
      <c r="X204" s="232"/>
      <c r="AA204" s="232"/>
      <c r="AB204" s="232"/>
    </row>
    <row r="205" spans="2:28" hidden="1" x14ac:dyDescent="0.35">
      <c r="B205" s="245"/>
      <c r="C205" s="246"/>
      <c r="D205" s="246"/>
      <c r="E205" s="251"/>
      <c r="F205" s="232" t="s">
        <v>237</v>
      </c>
      <c r="G205" s="318" t="s">
        <v>193</v>
      </c>
      <c r="H205" s="319">
        <v>4</v>
      </c>
      <c r="I205" s="320" t="s">
        <v>238</v>
      </c>
      <c r="J205" s="232"/>
      <c r="K205" s="239"/>
      <c r="L205" s="230">
        <v>1</v>
      </c>
      <c r="M205" s="341">
        <f>((M$200*N$200)/240*($H205/N205))</f>
        <v>2.5000000000000001E-2</v>
      </c>
      <c r="N205" s="233">
        <v>1</v>
      </c>
      <c r="O205" s="233">
        <f t="shared" si="26"/>
        <v>0</v>
      </c>
      <c r="P205" s="233">
        <v>42840</v>
      </c>
      <c r="Q205" s="235">
        <f t="shared" si="27"/>
        <v>0</v>
      </c>
      <c r="R205" s="233">
        <v>44982</v>
      </c>
      <c r="S205" s="233">
        <f t="shared" si="28"/>
        <v>0</v>
      </c>
      <c r="T205" s="233">
        <v>47231.1</v>
      </c>
      <c r="U205" s="233">
        <f t="shared" si="29"/>
        <v>0</v>
      </c>
      <c r="V205" s="233" t="e">
        <f t="shared" si="30"/>
        <v>#DIV/0!</v>
      </c>
      <c r="W205" s="241">
        <f t="shared" si="31"/>
        <v>0</v>
      </c>
      <c r="X205" s="232"/>
      <c r="AA205" s="232"/>
      <c r="AB205" s="232"/>
    </row>
    <row r="206" spans="2:28" hidden="1" x14ac:dyDescent="0.35">
      <c r="B206" s="245"/>
      <c r="C206" s="246"/>
      <c r="D206" s="246"/>
      <c r="E206" s="251"/>
      <c r="F206" s="232" t="s">
        <v>239</v>
      </c>
      <c r="G206" s="318" t="s">
        <v>193</v>
      </c>
      <c r="H206" s="319">
        <v>12</v>
      </c>
      <c r="I206" s="320" t="s">
        <v>238</v>
      </c>
      <c r="J206" s="232"/>
      <c r="K206" s="239"/>
      <c r="L206" s="230">
        <v>1</v>
      </c>
      <c r="M206" s="341">
        <f>((M$200*N$200)/240*($H206/N206))</f>
        <v>7.5000000000000011E-2</v>
      </c>
      <c r="N206" s="233">
        <v>1</v>
      </c>
      <c r="O206" s="233">
        <f t="shared" si="26"/>
        <v>0</v>
      </c>
      <c r="P206" s="233">
        <v>14000</v>
      </c>
      <c r="Q206" s="235">
        <f t="shared" si="27"/>
        <v>0</v>
      </c>
      <c r="R206" s="233">
        <v>14700</v>
      </c>
      <c r="S206" s="233">
        <f t="shared" si="28"/>
        <v>0</v>
      </c>
      <c r="T206" s="233">
        <v>15435</v>
      </c>
      <c r="U206" s="233">
        <f t="shared" si="29"/>
        <v>0</v>
      </c>
      <c r="V206" s="233" t="e">
        <f t="shared" si="30"/>
        <v>#DIV/0!</v>
      </c>
      <c r="W206" s="241">
        <f t="shared" si="31"/>
        <v>0</v>
      </c>
      <c r="X206" s="232"/>
      <c r="AA206" s="232"/>
      <c r="AB206" s="232"/>
    </row>
    <row r="207" spans="2:28" hidden="1" x14ac:dyDescent="0.35">
      <c r="B207" s="245"/>
      <c r="C207" s="246"/>
      <c r="D207" s="246"/>
      <c r="E207" s="251"/>
      <c r="F207" s="232" t="s">
        <v>240</v>
      </c>
      <c r="G207" s="318" t="s">
        <v>193</v>
      </c>
      <c r="H207" s="319">
        <v>1</v>
      </c>
      <c r="I207" s="320" t="s">
        <v>238</v>
      </c>
      <c r="J207" s="232"/>
      <c r="K207" s="239"/>
      <c r="L207" s="230">
        <v>1</v>
      </c>
      <c r="M207" s="341">
        <f>((M$200*N$200)/240*($H207/N207))</f>
        <v>6.2500000000000003E-3</v>
      </c>
      <c r="N207" s="233">
        <v>1</v>
      </c>
      <c r="O207" s="233">
        <f t="shared" si="26"/>
        <v>0</v>
      </c>
      <c r="P207" s="233">
        <v>37485</v>
      </c>
      <c r="Q207" s="235">
        <f t="shared" si="27"/>
        <v>0</v>
      </c>
      <c r="R207" s="233">
        <v>39359.25</v>
      </c>
      <c r="S207" s="233">
        <f t="shared" si="28"/>
        <v>0</v>
      </c>
      <c r="T207" s="233">
        <v>41327.212500000001</v>
      </c>
      <c r="U207" s="233">
        <f t="shared" si="29"/>
        <v>0</v>
      </c>
      <c r="V207" s="233" t="e">
        <f t="shared" si="30"/>
        <v>#DIV/0!</v>
      </c>
      <c r="W207" s="241">
        <f t="shared" si="31"/>
        <v>0</v>
      </c>
      <c r="X207" s="232"/>
      <c r="AA207" s="232"/>
      <c r="AB207" s="232"/>
    </row>
    <row r="208" spans="2:28" hidden="1" x14ac:dyDescent="0.35">
      <c r="B208" s="245"/>
      <c r="C208" s="246"/>
      <c r="D208" s="246"/>
      <c r="E208" s="251"/>
      <c r="F208" s="232" t="s">
        <v>241</v>
      </c>
      <c r="G208" s="318" t="s">
        <v>193</v>
      </c>
      <c r="H208" s="319">
        <v>2</v>
      </c>
      <c r="I208" s="320" t="s">
        <v>238</v>
      </c>
      <c r="J208" s="232"/>
      <c r="K208" s="239"/>
      <c r="L208" s="230">
        <v>1</v>
      </c>
      <c r="M208" s="341">
        <f>((M$200*N$200)/240*($H208/N208))</f>
        <v>1.2500000000000001E-2</v>
      </c>
      <c r="N208" s="233">
        <v>1</v>
      </c>
      <c r="O208" s="233">
        <f t="shared" si="26"/>
        <v>0</v>
      </c>
      <c r="P208" s="233">
        <v>32130</v>
      </c>
      <c r="Q208" s="235">
        <f t="shared" si="27"/>
        <v>0</v>
      </c>
      <c r="R208" s="233">
        <v>33736.5</v>
      </c>
      <c r="S208" s="233">
        <f t="shared" si="28"/>
        <v>0</v>
      </c>
      <c r="T208" s="233">
        <v>35423.325000000004</v>
      </c>
      <c r="U208" s="233">
        <f t="shared" si="29"/>
        <v>0</v>
      </c>
      <c r="V208" s="233" t="e">
        <f t="shared" si="30"/>
        <v>#DIV/0!</v>
      </c>
      <c r="W208" s="241">
        <f t="shared" si="31"/>
        <v>0</v>
      </c>
      <c r="X208" s="232"/>
      <c r="AA208" s="232"/>
      <c r="AB208" s="232"/>
    </row>
    <row r="209" spans="2:28" hidden="1" x14ac:dyDescent="0.35">
      <c r="B209" s="248"/>
      <c r="C209" s="249"/>
      <c r="D209" s="249"/>
      <c r="E209" s="250"/>
      <c r="F209" s="232" t="s">
        <v>242</v>
      </c>
      <c r="G209" s="318" t="s">
        <v>193</v>
      </c>
      <c r="H209" s="319">
        <v>1</v>
      </c>
      <c r="I209" s="320" t="s">
        <v>238</v>
      </c>
      <c r="J209" s="232"/>
      <c r="K209" s="239"/>
      <c r="L209" s="230">
        <v>1</v>
      </c>
      <c r="M209" s="341">
        <f>((M$200*N$200)/240*($H209/N209))</f>
        <v>6.2500000000000003E-3</v>
      </c>
      <c r="N209" s="233">
        <v>1</v>
      </c>
      <c r="O209" s="233">
        <f t="shared" si="26"/>
        <v>0</v>
      </c>
      <c r="P209" s="233">
        <v>85680</v>
      </c>
      <c r="Q209" s="235">
        <f t="shared" si="27"/>
        <v>0</v>
      </c>
      <c r="R209" s="233">
        <v>89964</v>
      </c>
      <c r="S209" s="233">
        <f t="shared" si="28"/>
        <v>0</v>
      </c>
      <c r="T209" s="233">
        <v>94462.2</v>
      </c>
      <c r="U209" s="233">
        <f t="shared" si="29"/>
        <v>0</v>
      </c>
      <c r="V209" s="233" t="e">
        <f t="shared" si="30"/>
        <v>#DIV/0!</v>
      </c>
      <c r="W209" s="241">
        <f t="shared" si="31"/>
        <v>0</v>
      </c>
      <c r="X209" s="232"/>
      <c r="AA209" s="232"/>
      <c r="AB209" s="232"/>
    </row>
    <row r="210" spans="2:28" x14ac:dyDescent="0.35">
      <c r="B210" s="367" t="s">
        <v>355</v>
      </c>
      <c r="C210" s="368"/>
      <c r="D210" s="368"/>
      <c r="E210" s="369"/>
      <c r="F210" s="370"/>
      <c r="G210" s="462"/>
      <c r="H210" s="463"/>
      <c r="I210" s="464"/>
      <c r="J210" s="370"/>
      <c r="K210" s="378"/>
      <c r="L210" s="340"/>
      <c r="M210" s="341"/>
      <c r="N210" s="342"/>
      <c r="O210" s="342"/>
      <c r="P210" s="342"/>
      <c r="Q210" s="385">
        <f>SUM(Q163:Q188)</f>
        <v>1507939803.4080186</v>
      </c>
      <c r="R210" s="342"/>
      <c r="S210" s="342"/>
      <c r="T210" s="342"/>
      <c r="U210" s="342"/>
      <c r="V210" s="342"/>
      <c r="W210" s="380"/>
      <c r="X210" s="465"/>
      <c r="Y210" s="466"/>
      <c r="Z210" s="466"/>
      <c r="AA210" s="467">
        <f>Q210/$D$2</f>
        <v>7850582.066888893</v>
      </c>
      <c r="AB210" s="468">
        <f>Q210/$Q$332*100</f>
        <v>16.863372197247759</v>
      </c>
    </row>
    <row r="211" spans="2:28" x14ac:dyDescent="0.35">
      <c r="B211" s="227"/>
      <c r="C211" s="223" t="s">
        <v>356</v>
      </c>
      <c r="D211" s="228"/>
      <c r="E211" s="247"/>
      <c r="F211" s="225"/>
      <c r="G211" s="226"/>
      <c r="H211" s="227"/>
      <c r="I211" s="228"/>
      <c r="J211" s="229"/>
      <c r="K211" s="230"/>
      <c r="L211" s="230"/>
      <c r="M211" s="231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2"/>
      <c r="AA211" s="232"/>
      <c r="AB211" s="232"/>
    </row>
    <row r="212" spans="2:28" x14ac:dyDescent="0.35">
      <c r="B212" s="227"/>
      <c r="C212" s="228"/>
      <c r="D212" s="228" t="s">
        <v>357</v>
      </c>
      <c r="E212" s="247"/>
      <c r="F212" s="225"/>
      <c r="G212" s="226"/>
      <c r="H212" s="227"/>
      <c r="I212" s="228"/>
      <c r="J212" s="229"/>
      <c r="K212" s="230"/>
      <c r="L212" s="230"/>
      <c r="M212" s="231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2"/>
      <c r="AA212" s="232"/>
      <c r="AB212" s="232"/>
    </row>
    <row r="213" spans="2:28" x14ac:dyDescent="0.35">
      <c r="B213" s="469"/>
      <c r="C213" s="470"/>
      <c r="D213" s="470"/>
      <c r="E213" s="471" t="s">
        <v>358</v>
      </c>
      <c r="F213" s="232" t="s">
        <v>187</v>
      </c>
      <c r="G213" s="318" t="s">
        <v>188</v>
      </c>
      <c r="H213" s="319"/>
      <c r="I213" s="320"/>
      <c r="J213" s="232" t="s">
        <v>189</v>
      </c>
      <c r="K213" s="420">
        <v>1</v>
      </c>
      <c r="L213" s="230">
        <v>192.08</v>
      </c>
      <c r="M213" s="422">
        <v>1.5</v>
      </c>
      <c r="N213" s="235">
        <v>3</v>
      </c>
      <c r="O213" s="233">
        <f>K213*L213*M213*N213</f>
        <v>864.36</v>
      </c>
      <c r="P213" s="301">
        <v>149108.51999999999</v>
      </c>
      <c r="Q213" s="235">
        <f>P213*$O213</f>
        <v>128883440.34719999</v>
      </c>
      <c r="R213" s="233">
        <v>149108.51999999999</v>
      </c>
      <c r="S213" s="233">
        <f>R213*$O213</f>
        <v>128883440.34719999</v>
      </c>
      <c r="T213" s="233">
        <v>158800.57379999998</v>
      </c>
      <c r="U213" s="233">
        <f>T213*$O213</f>
        <v>137260863.96976799</v>
      </c>
      <c r="V213" s="233">
        <f>W213/O213</f>
        <v>152339.2046</v>
      </c>
      <c r="W213" s="241">
        <f>AVERAGEIF($P$4:$U$4,W$4,$P213:$U213)</f>
        <v>131675914.888056</v>
      </c>
      <c r="X213" s="232"/>
      <c r="AA213" s="472">
        <f>Q213/$D$2</f>
        <v>670988.34</v>
      </c>
      <c r="AB213" s="232"/>
    </row>
    <row r="214" spans="2:28" x14ac:dyDescent="0.35">
      <c r="B214" s="245"/>
      <c r="C214" s="246"/>
      <c r="D214" s="246"/>
      <c r="E214" s="251"/>
      <c r="F214" s="232" t="s">
        <v>359</v>
      </c>
      <c r="G214" s="318" t="s">
        <v>188</v>
      </c>
      <c r="H214" s="319"/>
      <c r="I214" s="320"/>
      <c r="J214" s="232"/>
      <c r="K214" s="420">
        <v>0.3</v>
      </c>
      <c r="L214" s="230">
        <v>192.08</v>
      </c>
      <c r="M214" s="422">
        <v>0.18</v>
      </c>
      <c r="N214" s="235">
        <f>N213</f>
        <v>3</v>
      </c>
      <c r="O214" s="233">
        <f>K214*L214*M214*N214</f>
        <v>31.116959999999999</v>
      </c>
      <c r="P214" s="301">
        <v>149108.51999999999</v>
      </c>
      <c r="Q214" s="235">
        <f>P214*$O214</f>
        <v>4639803.8524991991</v>
      </c>
      <c r="R214" s="233"/>
      <c r="S214" s="233"/>
      <c r="T214" s="233"/>
      <c r="U214" s="233"/>
      <c r="V214" s="233"/>
      <c r="W214" s="233"/>
      <c r="X214" s="232"/>
      <c r="Y214" s="473"/>
      <c r="Z214" s="473"/>
      <c r="AA214" s="472">
        <f t="shared" ref="AA214:AA222" si="32">Q214/$D$2</f>
        <v>24155.580239999992</v>
      </c>
      <c r="AB214" s="232"/>
    </row>
    <row r="215" spans="2:28" x14ac:dyDescent="0.35">
      <c r="B215" s="245"/>
      <c r="C215" s="246"/>
      <c r="D215" s="246"/>
      <c r="E215" s="251"/>
      <c r="F215" s="232" t="s">
        <v>236</v>
      </c>
      <c r="G215" s="318" t="s">
        <v>188</v>
      </c>
      <c r="H215" s="319"/>
      <c r="I215" s="320"/>
      <c r="J215" s="232"/>
      <c r="K215" s="420">
        <v>1</v>
      </c>
      <c r="L215" s="230">
        <v>192.08</v>
      </c>
      <c r="M215" s="474">
        <v>0.5</v>
      </c>
      <c r="N215" s="235">
        <f>N214</f>
        <v>3</v>
      </c>
      <c r="O215" s="233">
        <f t="shared" ref="O215:O221" si="33">K215*L215*M215*N215</f>
        <v>288.12</v>
      </c>
      <c r="P215" s="301">
        <v>3940.5</v>
      </c>
      <c r="Q215" s="235">
        <f t="shared" ref="Q215:Q221" si="34">P215*$O215</f>
        <v>1135336.8600000001</v>
      </c>
      <c r="R215" s="233"/>
      <c r="S215" s="233"/>
      <c r="T215" s="233"/>
      <c r="U215" s="233"/>
      <c r="V215" s="233"/>
      <c r="W215" s="233"/>
      <c r="X215" s="232"/>
      <c r="Y215" s="473"/>
      <c r="AA215" s="472">
        <f t="shared" si="32"/>
        <v>5910.75</v>
      </c>
      <c r="AB215" s="232"/>
    </row>
    <row r="216" spans="2:28" x14ac:dyDescent="0.35">
      <c r="B216" s="245"/>
      <c r="C216" s="246"/>
      <c r="D216" s="246"/>
      <c r="E216" s="251"/>
      <c r="F216" s="232" t="s">
        <v>360</v>
      </c>
      <c r="G216" s="318" t="s">
        <v>193</v>
      </c>
      <c r="H216" s="319">
        <v>1</v>
      </c>
      <c r="I216" s="320" t="s">
        <v>238</v>
      </c>
      <c r="J216" s="232"/>
      <c r="K216" s="420">
        <v>1</v>
      </c>
      <c r="L216" s="230">
        <v>192.08</v>
      </c>
      <c r="M216" s="377">
        <f>((M$213*N$213)/240*($H216/N216))</f>
        <v>6.2499999999999995E-3</v>
      </c>
      <c r="N216" s="235">
        <v>3</v>
      </c>
      <c r="O216" s="233">
        <f t="shared" si="33"/>
        <v>3.6014999999999997</v>
      </c>
      <c r="P216" s="301">
        <v>5250</v>
      </c>
      <c r="Q216" s="235">
        <f t="shared" si="34"/>
        <v>18907.875</v>
      </c>
      <c r="R216" s="233"/>
      <c r="S216" s="233"/>
      <c r="T216" s="233"/>
      <c r="U216" s="233"/>
      <c r="V216" s="233"/>
      <c r="W216" s="233"/>
      <c r="X216" s="232"/>
      <c r="AA216" s="472">
        <f t="shared" si="32"/>
        <v>98.4375</v>
      </c>
      <c r="AB216" s="232"/>
    </row>
    <row r="217" spans="2:28" x14ac:dyDescent="0.35">
      <c r="B217" s="245"/>
      <c r="C217" s="246"/>
      <c r="D217" s="246"/>
      <c r="E217" s="251"/>
      <c r="F217" s="232" t="s">
        <v>237</v>
      </c>
      <c r="G217" s="318" t="s">
        <v>193</v>
      </c>
      <c r="H217" s="319">
        <v>4</v>
      </c>
      <c r="I217" s="320" t="s">
        <v>238</v>
      </c>
      <c r="J217" s="232"/>
      <c r="K217" s="420">
        <v>1</v>
      </c>
      <c r="L217" s="230">
        <v>192.08</v>
      </c>
      <c r="M217" s="382">
        <f t="shared" ref="M217:M220" si="35">((M$213*N$213)/240*($H217/N217))</f>
        <v>2.4999999999999998E-2</v>
      </c>
      <c r="N217" s="235">
        <v>3</v>
      </c>
      <c r="O217" s="233">
        <f t="shared" si="33"/>
        <v>14.405999999999999</v>
      </c>
      <c r="P217" s="301">
        <v>44982</v>
      </c>
      <c r="Q217" s="235">
        <f t="shared" si="34"/>
        <v>648010.69199999992</v>
      </c>
      <c r="R217" s="233"/>
      <c r="S217" s="233"/>
      <c r="T217" s="233"/>
      <c r="U217" s="233"/>
      <c r="V217" s="233"/>
      <c r="W217" s="233"/>
      <c r="X217" s="232"/>
      <c r="AA217" s="472">
        <f t="shared" si="32"/>
        <v>3373.6499999999992</v>
      </c>
      <c r="AB217" s="232"/>
    </row>
    <row r="218" spans="2:28" x14ac:dyDescent="0.35">
      <c r="B218" s="245"/>
      <c r="C218" s="246"/>
      <c r="D218" s="246"/>
      <c r="E218" s="251"/>
      <c r="F218" s="232" t="s">
        <v>239</v>
      </c>
      <c r="G218" s="318" t="s">
        <v>193</v>
      </c>
      <c r="H218" s="319">
        <v>12</v>
      </c>
      <c r="I218" s="320" t="s">
        <v>238</v>
      </c>
      <c r="J218" s="232"/>
      <c r="K218" s="420">
        <v>1</v>
      </c>
      <c r="L218" s="230">
        <v>192.08</v>
      </c>
      <c r="M218" s="382">
        <f t="shared" si="35"/>
        <v>7.4999999999999997E-2</v>
      </c>
      <c r="N218" s="235">
        <v>3</v>
      </c>
      <c r="O218" s="233">
        <f t="shared" si="33"/>
        <v>43.218000000000004</v>
      </c>
      <c r="P218" s="301">
        <v>14700</v>
      </c>
      <c r="Q218" s="235">
        <f>P218*$O218</f>
        <v>635304.60000000009</v>
      </c>
      <c r="R218" s="233"/>
      <c r="S218" s="233"/>
      <c r="T218" s="233"/>
      <c r="U218" s="233"/>
      <c r="V218" s="233"/>
      <c r="W218" s="233"/>
      <c r="X218" s="232"/>
      <c r="AA218" s="472">
        <f t="shared" si="32"/>
        <v>3307.5000000000005</v>
      </c>
      <c r="AB218" s="232"/>
    </row>
    <row r="219" spans="2:28" x14ac:dyDescent="0.35">
      <c r="B219" s="245"/>
      <c r="C219" s="246"/>
      <c r="D219" s="246"/>
      <c r="E219" s="251"/>
      <c r="F219" s="232" t="s">
        <v>241</v>
      </c>
      <c r="G219" s="318" t="s">
        <v>193</v>
      </c>
      <c r="H219" s="319">
        <v>2</v>
      </c>
      <c r="I219" s="320" t="s">
        <v>238</v>
      </c>
      <c r="J219" s="232"/>
      <c r="K219" s="420">
        <v>1</v>
      </c>
      <c r="L219" s="230">
        <v>192.08</v>
      </c>
      <c r="M219" s="377">
        <f t="shared" si="35"/>
        <v>1.2499999999999999E-2</v>
      </c>
      <c r="N219" s="235">
        <v>3</v>
      </c>
      <c r="O219" s="233">
        <f t="shared" si="33"/>
        <v>7.2029999999999994</v>
      </c>
      <c r="P219" s="301">
        <v>33736.5</v>
      </c>
      <c r="Q219" s="235">
        <f>P219*$O219</f>
        <v>243004.00949999999</v>
      </c>
      <c r="R219" s="233"/>
      <c r="S219" s="233"/>
      <c r="T219" s="233"/>
      <c r="U219" s="233"/>
      <c r="V219" s="233"/>
      <c r="W219" s="233"/>
      <c r="X219" s="232"/>
      <c r="AA219" s="472">
        <f t="shared" si="32"/>
        <v>1265.1187499999999</v>
      </c>
      <c r="AB219" s="232"/>
    </row>
    <row r="220" spans="2:28" x14ac:dyDescent="0.35">
      <c r="B220" s="245"/>
      <c r="C220" s="246"/>
      <c r="D220" s="246"/>
      <c r="E220" s="251"/>
      <c r="F220" s="232" t="s">
        <v>242</v>
      </c>
      <c r="G220" s="318" t="s">
        <v>193</v>
      </c>
      <c r="H220" s="319">
        <v>1</v>
      </c>
      <c r="I220" s="320" t="s">
        <v>238</v>
      </c>
      <c r="J220" s="232"/>
      <c r="K220" s="420">
        <v>1</v>
      </c>
      <c r="L220" s="230">
        <v>192.08</v>
      </c>
      <c r="M220" s="377">
        <f t="shared" si="35"/>
        <v>6.2499999999999995E-3</v>
      </c>
      <c r="N220" s="235">
        <v>3</v>
      </c>
      <c r="O220" s="233">
        <f t="shared" si="33"/>
        <v>3.6014999999999997</v>
      </c>
      <c r="P220" s="301">
        <v>89964</v>
      </c>
      <c r="Q220" s="235">
        <f t="shared" si="34"/>
        <v>324005.34599999996</v>
      </c>
      <c r="R220" s="233"/>
      <c r="S220" s="233"/>
      <c r="T220" s="233"/>
      <c r="U220" s="233"/>
      <c r="V220" s="233"/>
      <c r="W220" s="233"/>
      <c r="X220" s="232"/>
      <c r="AA220" s="472">
        <f t="shared" si="32"/>
        <v>1686.8249999999996</v>
      </c>
      <c r="AB220" s="232"/>
    </row>
    <row r="221" spans="2:28" x14ac:dyDescent="0.35">
      <c r="B221" s="245"/>
      <c r="C221" s="246"/>
      <c r="D221" s="246"/>
      <c r="E221" s="251"/>
      <c r="F221" s="232" t="s">
        <v>322</v>
      </c>
      <c r="G221" s="318" t="s">
        <v>191</v>
      </c>
      <c r="H221" s="319"/>
      <c r="I221" s="320"/>
      <c r="J221" s="232" t="s">
        <v>325</v>
      </c>
      <c r="K221" s="420">
        <v>1</v>
      </c>
      <c r="L221" s="230">
        <v>192.08</v>
      </c>
      <c r="M221" s="474">
        <f>(5*680)/1000</f>
        <v>3.4</v>
      </c>
      <c r="N221" s="235">
        <v>1</v>
      </c>
      <c r="O221" s="231">
        <f t="shared" si="33"/>
        <v>653.072</v>
      </c>
      <c r="P221" s="301">
        <v>2415</v>
      </c>
      <c r="Q221" s="235">
        <f t="shared" si="34"/>
        <v>1577168.8800000001</v>
      </c>
      <c r="R221" s="233"/>
      <c r="S221" s="233"/>
      <c r="T221" s="233"/>
      <c r="U221" s="233"/>
      <c r="V221" s="233"/>
      <c r="W221" s="419"/>
      <c r="X221" s="232" t="s">
        <v>361</v>
      </c>
      <c r="AA221" s="472">
        <f t="shared" si="32"/>
        <v>8211</v>
      </c>
      <c r="AB221" s="232"/>
    </row>
    <row r="222" spans="2:28" x14ac:dyDescent="0.35">
      <c r="B222" s="248"/>
      <c r="C222" s="249"/>
      <c r="D222" s="249"/>
      <c r="E222" s="250"/>
      <c r="F222" s="95" t="s">
        <v>362</v>
      </c>
      <c r="G222" s="318" t="s">
        <v>191</v>
      </c>
      <c r="H222" s="319"/>
      <c r="I222" s="320"/>
      <c r="J222" s="232" t="s">
        <v>325</v>
      </c>
      <c r="K222" s="420">
        <v>1</v>
      </c>
      <c r="L222" s="230">
        <v>192.08</v>
      </c>
      <c r="M222" s="474">
        <f>(5*680)/1000</f>
        <v>3.4</v>
      </c>
      <c r="N222" s="235">
        <v>2</v>
      </c>
      <c r="O222" s="233">
        <f>K222*L222*M222*N222</f>
        <v>1306.144</v>
      </c>
      <c r="P222" s="301">
        <v>6253.7370000000001</v>
      </c>
      <c r="Q222" s="235">
        <f>P222*$O222</f>
        <v>8168281.0601280006</v>
      </c>
      <c r="R222" s="233">
        <v>6253.7370000000001</v>
      </c>
      <c r="S222" s="233">
        <f>R222*$O222</f>
        <v>8168281.0601280006</v>
      </c>
      <c r="T222" s="233">
        <v>6566.4238500000001</v>
      </c>
      <c r="U222" s="233">
        <f>T222*$O222</f>
        <v>8576695.1131344009</v>
      </c>
      <c r="V222" s="233">
        <f>W222/O222</f>
        <v>6357.9659500000007</v>
      </c>
      <c r="W222" s="241">
        <f>AVERAGEIF($P$4:$U$4,W$4,$P222:$U222)</f>
        <v>8304419.077796801</v>
      </c>
      <c r="X222" s="232" t="s">
        <v>361</v>
      </c>
      <c r="Z222" s="417">
        <f>W222</f>
        <v>8304419.077796801</v>
      </c>
      <c r="AA222" s="472">
        <f t="shared" si="32"/>
        <v>42525.411599999999</v>
      </c>
      <c r="AB222" s="232"/>
    </row>
    <row r="223" spans="2:28" x14ac:dyDescent="0.35">
      <c r="B223" s="236"/>
      <c r="C223" s="237"/>
      <c r="D223" s="237" t="s">
        <v>363</v>
      </c>
      <c r="E223" s="238"/>
      <c r="F223" s="225" t="s">
        <v>187</v>
      </c>
      <c r="G223" s="226" t="s">
        <v>188</v>
      </c>
      <c r="H223" s="227"/>
      <c r="I223" s="228"/>
      <c r="J223" s="229"/>
      <c r="K223" s="461"/>
      <c r="L223" s="461"/>
      <c r="M223" s="231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2"/>
      <c r="AA223" s="232"/>
      <c r="AB223" s="232"/>
    </row>
    <row r="224" spans="2:28" hidden="1" x14ac:dyDescent="0.35">
      <c r="B224" s="245"/>
      <c r="C224" s="246"/>
      <c r="D224" s="246"/>
      <c r="E224" s="251"/>
      <c r="F224" s="225" t="s">
        <v>364</v>
      </c>
      <c r="G224" s="226"/>
      <c r="H224" s="227"/>
      <c r="I224" s="228"/>
      <c r="J224" s="229"/>
      <c r="K224" s="230"/>
      <c r="L224" s="230"/>
      <c r="M224" s="231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2"/>
      <c r="AA224" s="232"/>
      <c r="AB224" s="232"/>
    </row>
    <row r="225" spans="2:29" hidden="1" x14ac:dyDescent="0.35">
      <c r="B225" s="248"/>
      <c r="C225" s="249"/>
      <c r="D225" s="249"/>
      <c r="E225" s="250"/>
      <c r="F225" s="225" t="s">
        <v>365</v>
      </c>
      <c r="G225" s="226" t="s">
        <v>205</v>
      </c>
      <c r="H225" s="227"/>
      <c r="I225" s="228"/>
      <c r="J225" s="229"/>
      <c r="K225" s="230"/>
      <c r="L225" s="230"/>
      <c r="M225" s="231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2"/>
      <c r="AA225" s="232"/>
      <c r="AB225" s="232"/>
    </row>
    <row r="226" spans="2:29" x14ac:dyDescent="0.35">
      <c r="B226" s="227"/>
      <c r="C226" s="228"/>
      <c r="D226" s="228" t="s">
        <v>366</v>
      </c>
      <c r="E226" s="247"/>
      <c r="F226" s="225"/>
      <c r="G226" s="226" t="s">
        <v>367</v>
      </c>
      <c r="H226" s="227"/>
      <c r="I226" s="228"/>
      <c r="J226" s="229"/>
      <c r="K226" s="230"/>
      <c r="L226" s="230"/>
      <c r="M226" s="231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2"/>
      <c r="AA226" s="232"/>
      <c r="AB226" s="232"/>
    </row>
    <row r="227" spans="2:29" x14ac:dyDescent="0.35">
      <c r="B227" s="236"/>
      <c r="C227" s="237"/>
      <c r="D227" s="237"/>
      <c r="E227" s="238" t="s">
        <v>142</v>
      </c>
      <c r="F227" s="232" t="s">
        <v>368</v>
      </c>
      <c r="G227" s="226" t="s">
        <v>188</v>
      </c>
      <c r="H227" s="227"/>
      <c r="I227" s="228"/>
      <c r="J227" s="229" t="s">
        <v>367</v>
      </c>
      <c r="K227" s="239">
        <v>1</v>
      </c>
      <c r="L227" s="475">
        <f>(O222+O221+O168+O240+O241+O242+O243+O244+O265+O266+O285+'SI TB SERAK'!O31)/1000</f>
        <v>52.298032000000006</v>
      </c>
      <c r="M227" s="235">
        <v>1</v>
      </c>
      <c r="N227" s="235">
        <v>1</v>
      </c>
      <c r="O227" s="233">
        <f>K227*L227*M227*N227</f>
        <v>52.298032000000006</v>
      </c>
      <c r="P227" s="301">
        <v>20767.5</v>
      </c>
      <c r="Q227" s="235">
        <f>P227*$O227</f>
        <v>1086099.37956</v>
      </c>
      <c r="R227" s="233">
        <v>20767.5</v>
      </c>
      <c r="S227" s="233">
        <f>R227*$O227</f>
        <v>1086099.37956</v>
      </c>
      <c r="T227" s="233">
        <v>22117.387499999997</v>
      </c>
      <c r="U227" s="233">
        <f>T227*$O227</f>
        <v>1156695.8392314001</v>
      </c>
      <c r="V227" s="233">
        <f>W227/O227</f>
        <v>21217.462499999998</v>
      </c>
      <c r="W227" s="241">
        <f>AVERAGEIF($P$4:$U$4,W$4,$P227:$U227)</f>
        <v>1109631.5327838</v>
      </c>
      <c r="X227" s="232"/>
      <c r="Z227" s="417">
        <f>W227</f>
        <v>1109631.5327838</v>
      </c>
      <c r="AA227" s="472">
        <f t="shared" ref="AA227:AA228" si="36">Q227/$D$2</f>
        <v>5654.4115970428984</v>
      </c>
      <c r="AB227" s="232"/>
    </row>
    <row r="228" spans="2:29" x14ac:dyDescent="0.35">
      <c r="B228" s="245"/>
      <c r="C228" s="246"/>
      <c r="D228" s="246"/>
      <c r="E228" s="251"/>
      <c r="F228" s="232" t="s">
        <v>369</v>
      </c>
      <c r="G228" s="226"/>
      <c r="H228" s="227"/>
      <c r="I228" s="228"/>
      <c r="J228" s="229" t="s">
        <v>367</v>
      </c>
      <c r="K228" s="239">
        <v>1</v>
      </c>
      <c r="L228" s="475">
        <f>L227</f>
        <v>52.298032000000006</v>
      </c>
      <c r="M228" s="235">
        <v>1</v>
      </c>
      <c r="N228" s="235">
        <v>1</v>
      </c>
      <c r="O228" s="233">
        <f>K228*L228*M228*N228</f>
        <v>52.298032000000006</v>
      </c>
      <c r="P228" s="301">
        <v>20767.5</v>
      </c>
      <c r="Q228" s="235">
        <f>P228*$O228</f>
        <v>1086099.37956</v>
      </c>
      <c r="R228" s="233"/>
      <c r="S228" s="233"/>
      <c r="T228" s="233"/>
      <c r="U228" s="233"/>
      <c r="V228" s="233"/>
      <c r="W228" s="241"/>
      <c r="X228" s="232"/>
      <c r="Z228" s="417"/>
      <c r="AA228" s="472">
        <f t="shared" si="36"/>
        <v>5654.4115970428984</v>
      </c>
      <c r="AB228" s="232"/>
    </row>
    <row r="229" spans="2:29" hidden="1" x14ac:dyDescent="0.35">
      <c r="B229" s="245"/>
      <c r="C229" s="246"/>
      <c r="D229" s="246"/>
      <c r="E229" s="251"/>
      <c r="F229" s="225" t="s">
        <v>365</v>
      </c>
      <c r="G229" s="226" t="s">
        <v>205</v>
      </c>
      <c r="H229" s="227"/>
      <c r="I229" s="228"/>
      <c r="J229" s="229"/>
      <c r="K229" s="230"/>
      <c r="L229" s="230"/>
      <c r="M229" s="231">
        <f>2/4</f>
        <v>0.5</v>
      </c>
      <c r="N229" s="235">
        <v>1</v>
      </c>
      <c r="O229" s="233"/>
      <c r="P229" s="233"/>
      <c r="Q229" s="235"/>
      <c r="R229" s="233"/>
      <c r="S229" s="233"/>
      <c r="T229" s="233"/>
      <c r="U229" s="233"/>
      <c r="V229" s="233"/>
      <c r="W229" s="233"/>
      <c r="X229" s="232"/>
      <c r="AA229" s="232"/>
      <c r="AB229" s="232"/>
    </row>
    <row r="230" spans="2:29" x14ac:dyDescent="0.35">
      <c r="B230" s="248"/>
      <c r="C230" s="249"/>
      <c r="D230" s="249"/>
      <c r="E230" s="250"/>
      <c r="F230" s="225" t="s">
        <v>370</v>
      </c>
      <c r="G230" s="226" t="s">
        <v>205</v>
      </c>
      <c r="H230" s="227"/>
      <c r="I230" s="228"/>
      <c r="J230" s="229" t="s">
        <v>367</v>
      </c>
      <c r="K230" s="239">
        <v>1</v>
      </c>
      <c r="L230" s="230">
        <f>L227</f>
        <v>52.298032000000006</v>
      </c>
      <c r="M230" s="235">
        <v>1</v>
      </c>
      <c r="N230" s="235">
        <v>1</v>
      </c>
      <c r="O230" s="233">
        <f>K230*L230*M230*N230</f>
        <v>52.298032000000006</v>
      </c>
      <c r="P230" s="301">
        <v>62200</v>
      </c>
      <c r="Q230" s="235">
        <f>P230*$O230</f>
        <v>3252937.5904000006</v>
      </c>
      <c r="R230" s="233">
        <v>62200</v>
      </c>
      <c r="S230" s="233">
        <f>R230*$O230</f>
        <v>3252937.5904000006</v>
      </c>
      <c r="T230" s="233">
        <v>68420</v>
      </c>
      <c r="U230" s="233">
        <f>T230*$O230</f>
        <v>3578231.3494400005</v>
      </c>
      <c r="V230" s="233">
        <f>W230/O230</f>
        <v>64273.333333333336</v>
      </c>
      <c r="W230" s="241">
        <f>AVERAGEIF($P$4:$U$4,W$4,$P230:$U230)</f>
        <v>3361368.8434133339</v>
      </c>
      <c r="X230" s="232"/>
      <c r="Z230" s="417">
        <f>W230</f>
        <v>3361368.8434133339</v>
      </c>
      <c r="AA230" s="472">
        <f t="shared" ref="AA230:AA231" si="37">Q230/$D$2</f>
        <v>16935.3268971262</v>
      </c>
      <c r="AB230" s="232"/>
    </row>
    <row r="231" spans="2:29" x14ac:dyDescent="0.35">
      <c r="B231" s="236"/>
      <c r="C231" s="237"/>
      <c r="D231" s="237"/>
      <c r="E231" s="238" t="s">
        <v>144</v>
      </c>
      <c r="F231" s="232" t="s">
        <v>371</v>
      </c>
      <c r="G231" s="226" t="s">
        <v>188</v>
      </c>
      <c r="H231" s="227"/>
      <c r="I231" s="228"/>
      <c r="J231" s="229" t="s">
        <v>367</v>
      </c>
      <c r="K231" s="239">
        <v>1</v>
      </c>
      <c r="L231" s="475">
        <f>L230</f>
        <v>52.298032000000006</v>
      </c>
      <c r="M231" s="235">
        <v>1</v>
      </c>
      <c r="N231" s="235">
        <v>1</v>
      </c>
      <c r="O231" s="233">
        <f>K231*L231*M231*N231</f>
        <v>52.298032000000006</v>
      </c>
      <c r="P231" s="301">
        <v>34080</v>
      </c>
      <c r="Q231" s="235">
        <f>P231*$O231</f>
        <v>1782316.9305600002</v>
      </c>
      <c r="R231" s="233">
        <v>34080</v>
      </c>
      <c r="S231" s="233">
        <f>R231*$O231</f>
        <v>1782316.9305600002</v>
      </c>
      <c r="T231" s="233">
        <v>36295.199999999997</v>
      </c>
      <c r="U231" s="233">
        <f>T231*$O231</f>
        <v>1898167.5310464001</v>
      </c>
      <c r="V231" s="233">
        <f>W231/O231</f>
        <v>34818.400000000001</v>
      </c>
      <c r="W231" s="241">
        <f>AVERAGEIF($P$4:$U$4,W$4,$P231:$U231)</f>
        <v>1820933.7973888002</v>
      </c>
      <c r="X231" s="232"/>
      <c r="Z231" s="417">
        <f>W231</f>
        <v>1820933.7973888002</v>
      </c>
      <c r="AA231" s="472">
        <f t="shared" si="37"/>
        <v>9279.0344156601423</v>
      </c>
      <c r="AB231" s="232"/>
    </row>
    <row r="232" spans="2:29" hidden="1" x14ac:dyDescent="0.35">
      <c r="B232" s="248"/>
      <c r="C232" s="249"/>
      <c r="D232" s="249"/>
      <c r="E232" s="250"/>
      <c r="F232" s="225" t="s">
        <v>370</v>
      </c>
      <c r="G232" s="226" t="s">
        <v>191</v>
      </c>
      <c r="H232" s="227"/>
      <c r="I232" s="228"/>
      <c r="J232" s="229"/>
      <c r="K232" s="230"/>
      <c r="L232" s="230"/>
      <c r="M232" s="231">
        <v>1</v>
      </c>
      <c r="N232" s="235">
        <v>1</v>
      </c>
      <c r="O232" s="233"/>
      <c r="P232" s="233"/>
      <c r="Q232" s="233"/>
      <c r="R232" s="233"/>
      <c r="S232" s="233"/>
      <c r="T232" s="233"/>
      <c r="U232" s="233"/>
      <c r="V232" s="233"/>
      <c r="W232" s="233"/>
      <c r="X232" s="232"/>
      <c r="AA232" s="232"/>
      <c r="AB232" s="232"/>
    </row>
    <row r="233" spans="2:29" s="415" customFormat="1" x14ac:dyDescent="0.35">
      <c r="B233" s="367" t="s">
        <v>372</v>
      </c>
      <c r="C233" s="368"/>
      <c r="D233" s="368"/>
      <c r="E233" s="369"/>
      <c r="F233" s="389"/>
      <c r="G233" s="390"/>
      <c r="H233" s="391"/>
      <c r="I233" s="392"/>
      <c r="J233" s="393"/>
      <c r="K233" s="394"/>
      <c r="L233" s="394"/>
      <c r="M233" s="395"/>
      <c r="N233" s="343"/>
      <c r="O233" s="343"/>
      <c r="P233" s="343"/>
      <c r="Q233" s="343">
        <f>SUM(Q213:Q232)</f>
        <v>153480716.80240718</v>
      </c>
      <c r="R233" s="343"/>
      <c r="S233" s="343" t="e">
        <f>SUM(S161:S232)</f>
        <v>#N/A</v>
      </c>
      <c r="T233" s="343"/>
      <c r="U233" s="343" t="e">
        <f>SUM(U161:U232)</f>
        <v>#N/A</v>
      </c>
      <c r="V233" s="343"/>
      <c r="W233" s="343" t="e">
        <f>SUM(W161:W232)</f>
        <v>#N/A</v>
      </c>
      <c r="X233" s="476"/>
      <c r="Y233" s="477"/>
      <c r="Z233" s="477"/>
      <c r="AA233" s="468">
        <f>Q233/$D$2</f>
        <v>799045.79759687197</v>
      </c>
      <c r="AB233" s="468">
        <f>Q233/$Q$332*100</f>
        <v>1.7163831385642214</v>
      </c>
      <c r="AC233" s="412"/>
    </row>
    <row r="234" spans="2:29" x14ac:dyDescent="0.35">
      <c r="B234" s="227"/>
      <c r="C234" s="223" t="s">
        <v>373</v>
      </c>
      <c r="D234" s="228"/>
      <c r="E234" s="247"/>
      <c r="F234" s="225"/>
      <c r="G234" s="226"/>
      <c r="H234" s="227"/>
      <c r="I234" s="228"/>
      <c r="J234" s="229"/>
      <c r="K234" s="230"/>
      <c r="L234" s="230"/>
      <c r="M234" s="231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2"/>
      <c r="AA234" s="232"/>
      <c r="AB234" s="232"/>
    </row>
    <row r="235" spans="2:29" x14ac:dyDescent="0.35">
      <c r="B235" s="236"/>
      <c r="C235" s="237"/>
      <c r="D235" s="237" t="s">
        <v>147</v>
      </c>
      <c r="E235" s="238"/>
      <c r="F235" s="225" t="s">
        <v>187</v>
      </c>
      <c r="G235" s="226" t="s">
        <v>188</v>
      </c>
      <c r="H235" s="227"/>
      <c r="I235" s="228"/>
      <c r="J235" s="229"/>
      <c r="K235" s="239">
        <v>1</v>
      </c>
      <c r="L235" s="230">
        <v>192.08</v>
      </c>
      <c r="M235" s="235">
        <v>3</v>
      </c>
      <c r="N235" s="235">
        <v>1</v>
      </c>
      <c r="O235" s="233">
        <f t="shared" ref="O235:O245" si="38">K235*L235*M235*N235</f>
        <v>576.24</v>
      </c>
      <c r="P235" s="301">
        <v>149108.51999999999</v>
      </c>
      <c r="Q235" s="235">
        <f>P235*$O235</f>
        <v>85922293.564799994</v>
      </c>
      <c r="R235" s="235">
        <v>149108.51999999999</v>
      </c>
      <c r="S235" s="235">
        <f>R235*$O235</f>
        <v>85922293.564799994</v>
      </c>
      <c r="T235" s="235">
        <v>158800.57379999998</v>
      </c>
      <c r="U235" s="235">
        <f>T235*$O235</f>
        <v>91507242.646511987</v>
      </c>
      <c r="V235" s="235">
        <f>W235/O235</f>
        <v>152339.2046</v>
      </c>
      <c r="W235" s="478">
        <f>AVERAGEIF($P$4:$U$4,W$4,$P235:$U235)</f>
        <v>87783943.258703992</v>
      </c>
      <c r="X235" s="479" t="s">
        <v>374</v>
      </c>
      <c r="Y235" s="421">
        <f>Q235/L235</f>
        <v>447325.55999999994</v>
      </c>
      <c r="Z235" s="421">
        <f>Y235/136</f>
        <v>3289.1585294117644</v>
      </c>
      <c r="AA235" s="472">
        <f t="shared" ref="AA235:AA244" si="39">Q235/$D$2</f>
        <v>447325.55999999994</v>
      </c>
      <c r="AB235" s="232"/>
    </row>
    <row r="236" spans="2:29" x14ac:dyDescent="0.35">
      <c r="B236" s="248"/>
      <c r="C236" s="249"/>
      <c r="D236" s="249"/>
      <c r="E236" s="250"/>
      <c r="F236" s="225" t="s">
        <v>375</v>
      </c>
      <c r="G236" s="226" t="s">
        <v>193</v>
      </c>
      <c r="H236" s="227"/>
      <c r="I236" s="228"/>
      <c r="J236" s="229"/>
      <c r="K236" s="239">
        <v>1</v>
      </c>
      <c r="L236" s="230">
        <v>192.08</v>
      </c>
      <c r="M236" s="235">
        <v>136</v>
      </c>
      <c r="N236" s="235">
        <v>1</v>
      </c>
      <c r="O236" s="233">
        <f t="shared" si="38"/>
        <v>26122.880000000001</v>
      </c>
      <c r="P236" s="301">
        <v>105</v>
      </c>
      <c r="Q236" s="235">
        <f>P236*$O236</f>
        <v>2742902.4</v>
      </c>
      <c r="R236" s="235">
        <v>105</v>
      </c>
      <c r="S236" s="235">
        <f>R236*$O236</f>
        <v>2742902.4</v>
      </c>
      <c r="T236" s="235">
        <v>110.25</v>
      </c>
      <c r="U236" s="235">
        <f>T236*$O236</f>
        <v>2880047.52</v>
      </c>
      <c r="V236" s="235">
        <f>W236/O236</f>
        <v>106.75</v>
      </c>
      <c r="W236" s="478">
        <f>AVERAGEIF($P$4:$U$4,W$4,$P236:$U236)</f>
        <v>2788617.44</v>
      </c>
      <c r="X236" s="480" t="s">
        <v>376</v>
      </c>
      <c r="Y236" s="421">
        <f>Q236/L236</f>
        <v>14279.999999999998</v>
      </c>
      <c r="Z236" s="421">
        <f>Y236/136</f>
        <v>104.99999999999999</v>
      </c>
      <c r="AA236" s="472">
        <f t="shared" si="39"/>
        <v>14279.999999999998</v>
      </c>
      <c r="AB236" s="232"/>
    </row>
    <row r="237" spans="2:29" x14ac:dyDescent="0.35">
      <c r="B237" s="236"/>
      <c r="C237" s="237"/>
      <c r="D237" s="291" t="s">
        <v>149</v>
      </c>
      <c r="E237" s="306"/>
      <c r="F237" s="225" t="s">
        <v>187</v>
      </c>
      <c r="G237" s="226" t="s">
        <v>188</v>
      </c>
      <c r="H237" s="227"/>
      <c r="I237" s="228"/>
      <c r="J237" s="229"/>
      <c r="K237" s="239">
        <v>1</v>
      </c>
      <c r="L237" s="230">
        <v>192.08</v>
      </c>
      <c r="M237" s="235">
        <v>3</v>
      </c>
      <c r="N237" s="235">
        <v>1</v>
      </c>
      <c r="O237" s="233">
        <f t="shared" si="38"/>
        <v>576.24</v>
      </c>
      <c r="P237" s="301">
        <v>149108.51999999999</v>
      </c>
      <c r="Q237" s="235">
        <f>P237*$O237</f>
        <v>85922293.564799994</v>
      </c>
      <c r="R237" s="235">
        <v>149108.51999999999</v>
      </c>
      <c r="S237" s="235">
        <f>R237*$O237</f>
        <v>85922293.564799994</v>
      </c>
      <c r="T237" s="235">
        <v>158800.57379999998</v>
      </c>
      <c r="U237" s="235">
        <f>T237*$O237</f>
        <v>91507242.646511987</v>
      </c>
      <c r="V237" s="235">
        <f>W237/O237</f>
        <v>152339.2046</v>
      </c>
      <c r="W237" s="478">
        <f>AVERAGEIF($P$4:$U$4,W$4,$P237:$U237)</f>
        <v>87783943.258703992</v>
      </c>
      <c r="X237" s="302"/>
      <c r="Y237" s="421">
        <f>Q237/L237</f>
        <v>447325.55999999994</v>
      </c>
      <c r="Z237" s="421">
        <f>Y237/136</f>
        <v>3289.1585294117644</v>
      </c>
      <c r="AA237" s="472">
        <f t="shared" si="39"/>
        <v>447325.55999999994</v>
      </c>
      <c r="AB237" s="232"/>
    </row>
    <row r="238" spans="2:29" x14ac:dyDescent="0.35">
      <c r="B238" s="245"/>
      <c r="C238" s="246"/>
      <c r="D238" s="243"/>
      <c r="E238" s="244"/>
      <c r="F238" s="232" t="s">
        <v>359</v>
      </c>
      <c r="G238" s="318" t="s">
        <v>367</v>
      </c>
      <c r="H238" s="319"/>
      <c r="I238" s="320"/>
      <c r="J238" s="232"/>
      <c r="K238" s="420">
        <v>1</v>
      </c>
      <c r="L238" s="230">
        <v>192.08</v>
      </c>
      <c r="M238" s="481">
        <v>3</v>
      </c>
      <c r="N238" s="235">
        <f>N237</f>
        <v>1</v>
      </c>
      <c r="O238" s="233">
        <f>K238*L238*M238*N238</f>
        <v>576.24</v>
      </c>
      <c r="P238" s="301">
        <v>149108.51999999999</v>
      </c>
      <c r="Q238" s="235">
        <f>P238*$O238</f>
        <v>85922293.564799994</v>
      </c>
      <c r="R238" s="235"/>
      <c r="S238" s="235"/>
      <c r="T238" s="235"/>
      <c r="U238" s="235"/>
      <c r="V238" s="235"/>
      <c r="W238" s="478"/>
      <c r="X238" s="302"/>
      <c r="Y238" s="421">
        <f>Q238/L238</f>
        <v>447325.55999999994</v>
      </c>
      <c r="Z238" s="421"/>
      <c r="AA238" s="472">
        <f t="shared" si="39"/>
        <v>447325.55999999994</v>
      </c>
      <c r="AB238" s="302">
        <f>P238/14008</f>
        <v>10.644525985151342</v>
      </c>
    </row>
    <row r="239" spans="2:29" x14ac:dyDescent="0.35">
      <c r="B239" s="245"/>
      <c r="C239" s="246"/>
      <c r="D239" s="243"/>
      <c r="E239" s="244"/>
      <c r="F239" s="232" t="s">
        <v>377</v>
      </c>
      <c r="G239" s="318" t="s">
        <v>191</v>
      </c>
      <c r="H239" s="319"/>
      <c r="I239" s="320"/>
      <c r="J239" s="232"/>
      <c r="K239" s="420">
        <v>1</v>
      </c>
      <c r="L239" s="482">
        <v>192.08</v>
      </c>
      <c r="M239" s="422">
        <f>4*136/100</f>
        <v>5.44</v>
      </c>
      <c r="N239" s="235">
        <f>N238</f>
        <v>1</v>
      </c>
      <c r="O239" s="233">
        <f>K239*L239*M239*N239</f>
        <v>1044.9152000000001</v>
      </c>
      <c r="P239" s="235">
        <v>10000</v>
      </c>
      <c r="Q239" s="235">
        <f>P239*$O239</f>
        <v>10449152.000000002</v>
      </c>
      <c r="R239" s="235"/>
      <c r="S239" s="235"/>
      <c r="T239" s="235"/>
      <c r="U239" s="235"/>
      <c r="V239" s="235"/>
      <c r="W239" s="478"/>
      <c r="X239" s="302" t="s">
        <v>378</v>
      </c>
      <c r="Y239" s="421"/>
      <c r="Z239" s="421"/>
      <c r="AA239" s="472">
        <f t="shared" si="39"/>
        <v>54400.000000000007</v>
      </c>
      <c r="AB239" s="232"/>
    </row>
    <row r="240" spans="2:29" x14ac:dyDescent="0.35">
      <c r="B240" s="245"/>
      <c r="C240" s="246"/>
      <c r="D240" s="243"/>
      <c r="E240" s="251"/>
      <c r="F240" s="225" t="s">
        <v>322</v>
      </c>
      <c r="G240" s="226" t="s">
        <v>191</v>
      </c>
      <c r="H240" s="227"/>
      <c r="I240" s="228"/>
      <c r="J240" s="229"/>
      <c r="K240" s="239">
        <v>1</v>
      </c>
      <c r="L240" s="230">
        <v>192.08</v>
      </c>
      <c r="M240" s="235">
        <f>0.5*136</f>
        <v>68</v>
      </c>
      <c r="N240" s="235">
        <v>1</v>
      </c>
      <c r="O240" s="233">
        <f t="shared" si="38"/>
        <v>13061.44</v>
      </c>
      <c r="P240" s="301">
        <v>2415</v>
      </c>
      <c r="Q240" s="235">
        <f t="shared" ref="Q240:Q249" si="40">P240*$O240</f>
        <v>31543377.600000001</v>
      </c>
      <c r="R240" s="235">
        <v>2415</v>
      </c>
      <c r="S240" s="235">
        <f t="shared" ref="S240:S249" si="41">R240*$O240</f>
        <v>31543377.600000001</v>
      </c>
      <c r="T240" s="235">
        <v>2535.75</v>
      </c>
      <c r="U240" s="235">
        <f t="shared" ref="U240:U249" si="42">T240*$O240</f>
        <v>33120546.48</v>
      </c>
      <c r="V240" s="235">
        <f t="shared" ref="V240:V250" si="43">W240/O240</f>
        <v>2455.25</v>
      </c>
      <c r="W240" s="478">
        <f t="shared" ref="W240:W250" si="44">AVERAGEIF($P$4:$U$4,W$4,$P240:$U240)</f>
        <v>32069100.560000002</v>
      </c>
      <c r="X240" s="302" t="s">
        <v>379</v>
      </c>
      <c r="Y240" s="421"/>
      <c r="Z240" s="421"/>
      <c r="AA240" s="472">
        <f t="shared" si="39"/>
        <v>164220</v>
      </c>
      <c r="AB240" s="232"/>
    </row>
    <row r="241" spans="2:30" x14ac:dyDescent="0.35">
      <c r="B241" s="245"/>
      <c r="C241" s="246"/>
      <c r="D241" s="483"/>
      <c r="E241" s="251"/>
      <c r="F241" s="225" t="s">
        <v>380</v>
      </c>
      <c r="G241" s="226" t="s">
        <v>191</v>
      </c>
      <c r="H241" s="227"/>
      <c r="I241" s="228"/>
      <c r="J241" s="229"/>
      <c r="K241" s="239">
        <v>1</v>
      </c>
      <c r="L241" s="475">
        <f>192.08-L265</f>
        <v>190.55058823529413</v>
      </c>
      <c r="M241" s="235">
        <f>0.25*136</f>
        <v>34</v>
      </c>
      <c r="N241" s="235">
        <v>1</v>
      </c>
      <c r="O241" s="233">
        <f t="shared" si="38"/>
        <v>6478.72</v>
      </c>
      <c r="P241" s="301">
        <v>24097.5</v>
      </c>
      <c r="Q241" s="235">
        <f>P241*$O241</f>
        <v>156120955.20000002</v>
      </c>
      <c r="R241" s="235">
        <v>24097.5</v>
      </c>
      <c r="S241" s="235">
        <f>R241*$O241</f>
        <v>156120955.20000002</v>
      </c>
      <c r="T241" s="235">
        <v>25302.375</v>
      </c>
      <c r="U241" s="235">
        <f>T241*$O241</f>
        <v>163927002.96000001</v>
      </c>
      <c r="V241" s="235">
        <f t="shared" si="43"/>
        <v>24499.125</v>
      </c>
      <c r="W241" s="478">
        <f t="shared" si="44"/>
        <v>158722971.12</v>
      </c>
      <c r="X241" s="302" t="s">
        <v>381</v>
      </c>
      <c r="Y241" s="421"/>
      <c r="Z241" s="421"/>
      <c r="AA241" s="472">
        <f t="shared" si="39"/>
        <v>812791.31195335276</v>
      </c>
      <c r="AB241" s="233"/>
      <c r="AC241" s="473">
        <f>AA241+AB241</f>
        <v>812791.31195335276</v>
      </c>
    </row>
    <row r="242" spans="2:30" x14ac:dyDescent="0.35">
      <c r="B242" s="245"/>
      <c r="C242" s="246"/>
      <c r="D242" s="246"/>
      <c r="E242" s="251"/>
      <c r="F242" s="225" t="s">
        <v>382</v>
      </c>
      <c r="G242" s="226" t="s">
        <v>191</v>
      </c>
      <c r="H242" s="227"/>
      <c r="I242" s="228"/>
      <c r="J242" s="229"/>
      <c r="K242" s="239">
        <v>1</v>
      </c>
      <c r="L242" s="230">
        <v>192.08</v>
      </c>
      <c r="M242" s="235">
        <f>0.25*136</f>
        <v>34</v>
      </c>
      <c r="N242" s="235">
        <v>1</v>
      </c>
      <c r="O242" s="233">
        <f>K242*L242*M242*N242</f>
        <v>6530.72</v>
      </c>
      <c r="P242" s="301">
        <v>5040</v>
      </c>
      <c r="Q242" s="235">
        <f>P242*$O242</f>
        <v>32914828.800000001</v>
      </c>
      <c r="R242" s="235"/>
      <c r="S242" s="235"/>
      <c r="T242" s="235"/>
      <c r="U242" s="235"/>
      <c r="V242" s="235"/>
      <c r="W242" s="478"/>
      <c r="X242" s="302" t="s">
        <v>381</v>
      </c>
      <c r="Y242" s="421"/>
      <c r="Z242" s="421"/>
      <c r="AA242" s="472">
        <f t="shared" si="39"/>
        <v>171360</v>
      </c>
      <c r="AB242" s="232"/>
    </row>
    <row r="243" spans="2:30" x14ac:dyDescent="0.35">
      <c r="B243" s="245"/>
      <c r="C243" s="246"/>
      <c r="D243" s="246"/>
      <c r="E243" s="251"/>
      <c r="F243" s="484" t="s">
        <v>383</v>
      </c>
      <c r="G243" s="226" t="s">
        <v>191</v>
      </c>
      <c r="H243" s="227"/>
      <c r="I243" s="228"/>
      <c r="J243" s="229"/>
      <c r="K243" s="239">
        <v>1</v>
      </c>
      <c r="L243" s="485"/>
      <c r="M243" s="235"/>
      <c r="N243" s="235">
        <v>1</v>
      </c>
      <c r="O243" s="233">
        <f>K243*L243*M243*N243</f>
        <v>0</v>
      </c>
      <c r="P243" s="301">
        <v>44331</v>
      </c>
      <c r="Q243" s="235">
        <f>P243*$O243</f>
        <v>0</v>
      </c>
      <c r="R243" s="235"/>
      <c r="S243" s="235"/>
      <c r="T243" s="235"/>
      <c r="U243" s="235"/>
      <c r="V243" s="235"/>
      <c r="W243" s="478"/>
      <c r="X243" s="302" t="s">
        <v>384</v>
      </c>
      <c r="Y243" s="421"/>
      <c r="Z243" s="421"/>
      <c r="AA243" s="472">
        <f t="shared" si="39"/>
        <v>0</v>
      </c>
      <c r="AB243" s="232"/>
    </row>
    <row r="244" spans="2:30" x14ac:dyDescent="0.35">
      <c r="B244" s="245"/>
      <c r="C244" s="246"/>
      <c r="D244" s="246"/>
      <c r="E244" s="251"/>
      <c r="F244" s="225" t="s">
        <v>385</v>
      </c>
      <c r="G244" s="226" t="s">
        <v>191</v>
      </c>
      <c r="H244" s="227"/>
      <c r="I244" s="228"/>
      <c r="J244" s="229"/>
      <c r="K244" s="239">
        <v>1</v>
      </c>
      <c r="L244" s="230">
        <v>192.08</v>
      </c>
      <c r="M244" s="235">
        <f>0.25*136</f>
        <v>34</v>
      </c>
      <c r="N244" s="235">
        <v>1</v>
      </c>
      <c r="O244" s="233">
        <f t="shared" si="38"/>
        <v>6530.72</v>
      </c>
      <c r="P244" s="301">
        <v>913.5</v>
      </c>
      <c r="Q244" s="235">
        <f>P244*$O244</f>
        <v>5965812.7200000007</v>
      </c>
      <c r="R244" s="235">
        <v>913.5</v>
      </c>
      <c r="S244" s="235">
        <f>R244*$O244</f>
        <v>5965812.7200000007</v>
      </c>
      <c r="T244" s="235">
        <v>959.17500000000007</v>
      </c>
      <c r="U244" s="235">
        <f>T244*$O244</f>
        <v>6264103.3560000006</v>
      </c>
      <c r="V244" s="235">
        <f>W244/O244</f>
        <v>928.72500000000014</v>
      </c>
      <c r="W244" s="478">
        <f t="shared" si="44"/>
        <v>6065242.932000001</v>
      </c>
      <c r="X244" s="302" t="s">
        <v>381</v>
      </c>
      <c r="Y244" s="421"/>
      <c r="Z244" s="421"/>
      <c r="AA244" s="472">
        <f t="shared" si="39"/>
        <v>31059</v>
      </c>
      <c r="AB244" s="232"/>
    </row>
    <row r="245" spans="2:30" x14ac:dyDescent="0.35">
      <c r="B245" s="248"/>
      <c r="C245" s="249"/>
      <c r="D245" s="249"/>
      <c r="E245" s="250"/>
      <c r="F245" s="225" t="s">
        <v>365</v>
      </c>
      <c r="G245" s="226" t="s">
        <v>205</v>
      </c>
      <c r="H245" s="227"/>
      <c r="I245" s="228"/>
      <c r="J245" s="229"/>
      <c r="K245" s="239">
        <v>1</v>
      </c>
      <c r="L245" s="486">
        <v>192.08</v>
      </c>
      <c r="M245" s="233">
        <v>0.255</v>
      </c>
      <c r="N245" s="235">
        <v>1</v>
      </c>
      <c r="O245" s="233">
        <f t="shared" si="38"/>
        <v>48.980400000000003</v>
      </c>
      <c r="P245" s="301">
        <v>146704.95000000001</v>
      </c>
      <c r="Q245" s="233">
        <f t="shared" si="40"/>
        <v>7185667.1329800012</v>
      </c>
      <c r="R245" s="233">
        <v>146704.95000000001</v>
      </c>
      <c r="S245" s="233">
        <f t="shared" si="41"/>
        <v>7185667.1329800012</v>
      </c>
      <c r="T245" s="233">
        <v>154040.19750000001</v>
      </c>
      <c r="U245" s="233">
        <f t="shared" si="42"/>
        <v>7544950.4896290014</v>
      </c>
      <c r="V245" s="233">
        <f t="shared" si="43"/>
        <v>149150.03250000003</v>
      </c>
      <c r="W245" s="241">
        <f t="shared" si="44"/>
        <v>7305428.2518630018</v>
      </c>
      <c r="X245" s="232"/>
      <c r="AA245" s="487">
        <f t="shared" ref="AA245" si="45">Q245/192.08</f>
        <v>37409.762250000007</v>
      </c>
      <c r="AB245" s="232"/>
      <c r="AC245" s="488" cm="1">
        <f t="array" ref="AC245">SUM(($O$240:$O$244)/1000)/3</f>
        <v>10.867200000000002</v>
      </c>
      <c r="AD245" t="s">
        <v>386</v>
      </c>
    </row>
    <row r="246" spans="2:30" x14ac:dyDescent="0.35">
      <c r="B246" s="236"/>
      <c r="C246" s="237"/>
      <c r="D246" s="237" t="s">
        <v>151</v>
      </c>
      <c r="E246" s="238"/>
      <c r="F246" s="225" t="s">
        <v>187</v>
      </c>
      <c r="G246" s="226" t="s">
        <v>188</v>
      </c>
      <c r="H246" s="227"/>
      <c r="I246" s="228"/>
      <c r="J246" s="229"/>
      <c r="K246" s="239">
        <v>1</v>
      </c>
      <c r="L246" s="230">
        <v>192.08</v>
      </c>
      <c r="M246" s="235">
        <v>4</v>
      </c>
      <c r="N246" s="235">
        <v>1</v>
      </c>
      <c r="O246" s="233">
        <f>K246*L246*M246*N246</f>
        <v>768.32</v>
      </c>
      <c r="P246" s="301">
        <v>149108.51999999999</v>
      </c>
      <c r="Q246" s="235">
        <f t="shared" si="40"/>
        <v>114563058.0864</v>
      </c>
      <c r="R246" s="235">
        <v>149108.51999999999</v>
      </c>
      <c r="S246" s="235">
        <f t="shared" si="41"/>
        <v>114563058.0864</v>
      </c>
      <c r="T246" s="235">
        <v>158800.57379999998</v>
      </c>
      <c r="U246" s="235">
        <f t="shared" si="42"/>
        <v>122009656.86201599</v>
      </c>
      <c r="V246" s="235">
        <f t="shared" si="43"/>
        <v>152339.2046</v>
      </c>
      <c r="W246" s="478">
        <f t="shared" si="44"/>
        <v>117045257.67827201</v>
      </c>
      <c r="X246" s="302"/>
      <c r="Y246" s="421">
        <f>Q246/L246</f>
        <v>596434.07999999996</v>
      </c>
      <c r="Z246" s="421">
        <f>Y246/136</f>
        <v>4385.5447058823529</v>
      </c>
      <c r="AA246" s="472">
        <f t="shared" ref="AA246:AA250" si="46">Q246/$D$2</f>
        <v>596434.07999999996</v>
      </c>
      <c r="AB246" s="329"/>
    </row>
    <row r="247" spans="2:30" x14ac:dyDescent="0.35">
      <c r="B247" s="245"/>
      <c r="C247" s="246"/>
      <c r="D247" s="246"/>
      <c r="E247" s="251"/>
      <c r="F247" s="225" t="s">
        <v>387</v>
      </c>
      <c r="G247" s="226" t="s">
        <v>388</v>
      </c>
      <c r="H247" s="227"/>
      <c r="I247" s="228"/>
      <c r="J247" s="229"/>
      <c r="K247" s="239">
        <v>1</v>
      </c>
      <c r="L247" s="230">
        <v>192.08</v>
      </c>
      <c r="M247" s="235">
        <v>136</v>
      </c>
      <c r="N247" s="235">
        <v>1</v>
      </c>
      <c r="O247" s="481">
        <f>K247*L247*M247*N247</f>
        <v>26122.880000000001</v>
      </c>
      <c r="P247" s="235">
        <v>1500</v>
      </c>
      <c r="Q247" s="235">
        <f t="shared" si="40"/>
        <v>39184320</v>
      </c>
      <c r="R247" s="235"/>
      <c r="S247" s="235"/>
      <c r="T247" s="235"/>
      <c r="U247" s="235"/>
      <c r="V247" s="235"/>
      <c r="W247" s="478"/>
      <c r="X247" s="302"/>
      <c r="Y247" s="421"/>
      <c r="Z247" s="421"/>
      <c r="AA247" s="472">
        <f t="shared" si="46"/>
        <v>204000</v>
      </c>
      <c r="AB247" s="329"/>
    </row>
    <row r="248" spans="2:30" x14ac:dyDescent="0.35">
      <c r="B248" s="245"/>
      <c r="C248" s="246"/>
      <c r="D248" s="246"/>
      <c r="E248" s="251"/>
      <c r="F248" s="225" t="s">
        <v>389</v>
      </c>
      <c r="G248" s="226" t="s">
        <v>388</v>
      </c>
      <c r="H248" s="227"/>
      <c r="I248" s="228"/>
      <c r="J248" s="229"/>
      <c r="K248" s="239">
        <v>1</v>
      </c>
      <c r="L248" s="230">
        <v>192.08</v>
      </c>
      <c r="M248" s="235">
        <v>136</v>
      </c>
      <c r="N248" s="235">
        <v>1</v>
      </c>
      <c r="O248" s="233">
        <f>K248*L248*M248*N248</f>
        <v>26122.880000000001</v>
      </c>
      <c r="P248" s="301">
        <v>50400</v>
      </c>
      <c r="Q248" s="235">
        <f t="shared" si="40"/>
        <v>1316593152</v>
      </c>
      <c r="R248" s="235">
        <v>50400</v>
      </c>
      <c r="S248" s="235">
        <f t="shared" si="41"/>
        <v>1316593152</v>
      </c>
      <c r="T248" s="235">
        <v>52920</v>
      </c>
      <c r="U248" s="235">
        <f t="shared" si="42"/>
        <v>1382422809.6000001</v>
      </c>
      <c r="V248" s="235">
        <f t="shared" si="43"/>
        <v>51240</v>
      </c>
      <c r="W248" s="478">
        <f t="shared" si="44"/>
        <v>1338536371.2</v>
      </c>
      <c r="X248" s="302"/>
      <c r="Y248" s="421"/>
      <c r="Z248" s="421"/>
      <c r="AA248" s="472">
        <f t="shared" si="46"/>
        <v>6854400</v>
      </c>
      <c r="AB248" s="232"/>
    </row>
    <row r="249" spans="2:30" x14ac:dyDescent="0.35">
      <c r="B249" s="245"/>
      <c r="C249" s="246"/>
      <c r="D249" s="246"/>
      <c r="E249" s="251"/>
      <c r="F249" s="225" t="s">
        <v>390</v>
      </c>
      <c r="G249" s="226" t="s">
        <v>388</v>
      </c>
      <c r="H249" s="227"/>
      <c r="I249" s="228"/>
      <c r="J249" s="229"/>
      <c r="K249" s="239">
        <v>1</v>
      </c>
      <c r="L249" s="230">
        <v>192.08</v>
      </c>
      <c r="M249" s="235">
        <v>136</v>
      </c>
      <c r="N249" s="235">
        <v>1</v>
      </c>
      <c r="O249" s="233">
        <f>K249*L249*M249*N249</f>
        <v>26122.880000000001</v>
      </c>
      <c r="P249" s="301">
        <v>4725</v>
      </c>
      <c r="Q249" s="235">
        <f t="shared" si="40"/>
        <v>123430608</v>
      </c>
      <c r="R249" s="235">
        <v>4725</v>
      </c>
      <c r="S249" s="235">
        <f t="shared" si="41"/>
        <v>123430608</v>
      </c>
      <c r="T249" s="235">
        <v>4961.25</v>
      </c>
      <c r="U249" s="235">
        <f t="shared" si="42"/>
        <v>129602138.40000001</v>
      </c>
      <c r="V249" s="235">
        <f t="shared" si="43"/>
        <v>4803.75</v>
      </c>
      <c r="W249" s="478">
        <f t="shared" si="44"/>
        <v>125487784.8</v>
      </c>
      <c r="X249" s="302"/>
      <c r="Y249" s="421">
        <f>Q249/L249</f>
        <v>642600</v>
      </c>
      <c r="Z249" s="421">
        <f>Y249/136</f>
        <v>4725</v>
      </c>
      <c r="AA249" s="472">
        <f t="shared" si="46"/>
        <v>642600</v>
      </c>
      <c r="AB249" s="232"/>
    </row>
    <row r="250" spans="2:30" x14ac:dyDescent="0.35">
      <c r="B250" s="248"/>
      <c r="C250" s="249"/>
      <c r="D250" s="249"/>
      <c r="E250" s="250"/>
      <c r="F250" s="225" t="s">
        <v>365</v>
      </c>
      <c r="G250" s="226" t="s">
        <v>205</v>
      </c>
      <c r="H250" s="227"/>
      <c r="I250" s="228"/>
      <c r="J250" s="229"/>
      <c r="K250" s="239">
        <v>0.25</v>
      </c>
      <c r="L250" s="230">
        <v>192.08</v>
      </c>
      <c r="M250" s="235">
        <v>2</v>
      </c>
      <c r="N250" s="235">
        <v>1</v>
      </c>
      <c r="O250" s="233">
        <f>K250*M250*N250*L250</f>
        <v>96.04</v>
      </c>
      <c r="P250" s="301">
        <v>146704.95000000001</v>
      </c>
      <c r="Q250" s="235">
        <f>P250*$O250</f>
        <v>14089543.398000002</v>
      </c>
      <c r="R250" s="235">
        <v>146704.95000000001</v>
      </c>
      <c r="S250" s="235">
        <f>R250*$O250</f>
        <v>14089543.398000002</v>
      </c>
      <c r="T250" s="235">
        <v>154040.19750000001</v>
      </c>
      <c r="U250" s="235">
        <f>T250*$O250</f>
        <v>14794020.567900002</v>
      </c>
      <c r="V250" s="235">
        <f t="shared" si="43"/>
        <v>149150.03250000003</v>
      </c>
      <c r="W250" s="478">
        <f t="shared" si="44"/>
        <v>14324369.121300003</v>
      </c>
      <c r="X250" s="302"/>
      <c r="Y250" s="421"/>
      <c r="Z250" s="421"/>
      <c r="AA250" s="472">
        <f t="shared" si="46"/>
        <v>73352.475000000006</v>
      </c>
      <c r="AB250" s="232"/>
    </row>
    <row r="251" spans="2:30" s="415" customFormat="1" x14ac:dyDescent="0.35">
      <c r="B251" s="367" t="s">
        <v>391</v>
      </c>
      <c r="C251" s="368"/>
      <c r="D251" s="368"/>
      <c r="E251" s="369"/>
      <c r="F251" s="389"/>
      <c r="G251" s="390"/>
      <c r="H251" s="391"/>
      <c r="I251" s="392"/>
      <c r="J251" s="393"/>
      <c r="K251" s="394"/>
      <c r="L251" s="394"/>
      <c r="M251" s="395"/>
      <c r="N251" s="343"/>
      <c r="O251" s="343"/>
      <c r="P251" s="343"/>
      <c r="Q251" s="385">
        <f>SUM(Q235:Q250)</f>
        <v>2112550258.03178</v>
      </c>
      <c r="R251" s="385"/>
      <c r="S251" s="385" t="e">
        <f>SUM(S179:S250)</f>
        <v>#N/A</v>
      </c>
      <c r="T251" s="385"/>
      <c r="U251" s="385" t="e">
        <f>SUM(U179:U250)</f>
        <v>#N/A</v>
      </c>
      <c r="V251" s="385"/>
      <c r="W251" s="385" t="e">
        <f>SUM(W179:W250)</f>
        <v>#N/A</v>
      </c>
      <c r="X251" s="489"/>
      <c r="Y251" s="490"/>
      <c r="Z251" s="490"/>
      <c r="AA251" s="489">
        <f>Q251/$D$2</f>
        <v>10998283.309203353</v>
      </c>
      <c r="AB251" s="468">
        <f>Q251/$Q$332*100</f>
        <v>23.624763539013998</v>
      </c>
      <c r="AC251" s="412"/>
    </row>
    <row r="252" spans="2:30" x14ac:dyDescent="0.35">
      <c r="B252" s="227"/>
      <c r="C252" s="223" t="s">
        <v>392</v>
      </c>
      <c r="D252" s="228"/>
      <c r="E252" s="247"/>
      <c r="F252" s="225"/>
      <c r="G252" s="226"/>
      <c r="H252" s="227"/>
      <c r="I252" s="228"/>
      <c r="J252" s="229"/>
      <c r="K252" s="230"/>
      <c r="L252" s="230"/>
      <c r="M252" s="231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2"/>
      <c r="AA252" s="232"/>
      <c r="AB252" s="232"/>
    </row>
    <row r="253" spans="2:30" x14ac:dyDescent="0.35">
      <c r="B253" s="227"/>
      <c r="C253" s="223"/>
      <c r="D253" s="228" t="s">
        <v>393</v>
      </c>
      <c r="E253" s="247"/>
      <c r="F253" s="225"/>
      <c r="G253" s="226"/>
      <c r="H253" s="227"/>
      <c r="I253" s="228"/>
      <c r="J253" s="229"/>
      <c r="K253" s="230"/>
      <c r="L253" s="230"/>
      <c r="M253" s="231"/>
      <c r="N253" s="235"/>
      <c r="O253" s="233"/>
      <c r="P253" s="233"/>
      <c r="Q253" s="233"/>
      <c r="R253" s="233"/>
      <c r="S253" s="233"/>
      <c r="T253" s="233"/>
      <c r="U253" s="233"/>
      <c r="V253" s="233"/>
      <c r="W253" s="233"/>
      <c r="X253" s="232"/>
      <c r="AA253" s="232"/>
      <c r="AB253" s="232"/>
    </row>
    <row r="254" spans="2:30" x14ac:dyDescent="0.35">
      <c r="B254" s="236"/>
      <c r="C254" s="237"/>
      <c r="D254" s="237"/>
      <c r="E254" s="238" t="s">
        <v>394</v>
      </c>
      <c r="F254" s="225" t="s">
        <v>187</v>
      </c>
      <c r="G254" s="226" t="s">
        <v>188</v>
      </c>
      <c r="H254" s="227"/>
      <c r="I254" s="228"/>
      <c r="J254" s="229"/>
      <c r="K254" s="230"/>
      <c r="L254" s="230"/>
      <c r="M254" s="231"/>
      <c r="N254" s="235"/>
      <c r="O254" s="233"/>
      <c r="P254" s="233"/>
      <c r="Q254" s="233"/>
      <c r="R254" s="233"/>
      <c r="S254" s="233"/>
      <c r="T254" s="233"/>
      <c r="U254" s="233"/>
      <c r="V254" s="233"/>
      <c r="W254" s="233"/>
      <c r="X254" s="232"/>
      <c r="AA254" s="232"/>
      <c r="AB254" s="232"/>
    </row>
    <row r="255" spans="2:30" hidden="1" x14ac:dyDescent="0.35">
      <c r="B255" s="245"/>
      <c r="C255" s="246"/>
      <c r="D255" s="246"/>
      <c r="E255" s="251"/>
      <c r="F255" s="225" t="s">
        <v>395</v>
      </c>
      <c r="G255" s="226" t="s">
        <v>232</v>
      </c>
      <c r="H255" s="227"/>
      <c r="I255" s="228"/>
      <c r="J255" s="229"/>
      <c r="K255" s="230"/>
      <c r="L255" s="230"/>
      <c r="M255" s="231"/>
      <c r="N255" s="235"/>
      <c r="O255" s="233"/>
      <c r="P255" s="233"/>
      <c r="Q255" s="233"/>
      <c r="R255" s="233"/>
      <c r="S255" s="233"/>
      <c r="T255" s="233"/>
      <c r="U255" s="233"/>
      <c r="V255" s="233"/>
      <c r="W255" s="233"/>
      <c r="X255" s="232"/>
      <c r="AA255" s="232"/>
      <c r="AB255" s="232"/>
    </row>
    <row r="256" spans="2:30" hidden="1" x14ac:dyDescent="0.35">
      <c r="B256" s="248"/>
      <c r="C256" s="249"/>
      <c r="D256" s="249"/>
      <c r="E256" s="250"/>
      <c r="F256" s="225" t="s">
        <v>396</v>
      </c>
      <c r="G256" s="226" t="s">
        <v>193</v>
      </c>
      <c r="H256" s="227"/>
      <c r="I256" s="228"/>
      <c r="J256" s="229"/>
      <c r="K256" s="230"/>
      <c r="L256" s="230"/>
      <c r="M256" s="231"/>
      <c r="N256" s="235"/>
      <c r="O256" s="233"/>
      <c r="P256" s="233"/>
      <c r="Q256" s="233"/>
      <c r="R256" s="233"/>
      <c r="S256" s="233"/>
      <c r="T256" s="233"/>
      <c r="U256" s="233"/>
      <c r="V256" s="233"/>
      <c r="W256" s="233"/>
      <c r="X256" s="232"/>
      <c r="AA256" s="232"/>
      <c r="AB256" s="232"/>
    </row>
    <row r="257" spans="2:28" x14ac:dyDescent="0.35">
      <c r="B257" s="236"/>
      <c r="C257" s="237"/>
      <c r="D257" s="237"/>
      <c r="E257" s="238" t="s">
        <v>397</v>
      </c>
      <c r="F257" s="225" t="s">
        <v>187</v>
      </c>
      <c r="G257" s="226" t="s">
        <v>188</v>
      </c>
      <c r="H257" s="227"/>
      <c r="I257" s="228"/>
      <c r="J257" s="229"/>
      <c r="K257" s="239">
        <v>1</v>
      </c>
      <c r="L257" s="230">
        <v>192.08</v>
      </c>
      <c r="M257" s="233">
        <v>0.25</v>
      </c>
      <c r="N257" s="235">
        <v>2</v>
      </c>
      <c r="O257" s="233">
        <f>K257*L257*M257*N257</f>
        <v>96.04</v>
      </c>
      <c r="P257" s="301">
        <v>149108.51999999999</v>
      </c>
      <c r="Q257" s="235">
        <f>P257*$O257</f>
        <v>14320382.2608</v>
      </c>
      <c r="R257" s="233">
        <v>149108.51999999999</v>
      </c>
      <c r="S257" s="233">
        <f>R257*$O257</f>
        <v>14320382.2608</v>
      </c>
      <c r="T257" s="233">
        <v>158800.57379999998</v>
      </c>
      <c r="U257" s="233">
        <f>T257*$O257</f>
        <v>15251207.107751999</v>
      </c>
      <c r="V257" s="233">
        <f>W257/O257</f>
        <v>152339.2046</v>
      </c>
      <c r="W257" s="241">
        <f>AVERAGEIF($P$4:$U$4,W$4,$P257:$U257)</f>
        <v>14630657.209784001</v>
      </c>
      <c r="X257" s="232"/>
      <c r="AA257" s="472">
        <f t="shared" ref="AA257:AA258" si="47">Q257/$D$2</f>
        <v>74554.259999999995</v>
      </c>
      <c r="AB257" s="232"/>
    </row>
    <row r="258" spans="2:28" x14ac:dyDescent="0.35">
      <c r="B258" s="248"/>
      <c r="C258" s="249"/>
      <c r="D258" s="249"/>
      <c r="E258" s="250"/>
      <c r="F258" s="225" t="s">
        <v>398</v>
      </c>
      <c r="G258" s="226" t="s">
        <v>191</v>
      </c>
      <c r="H258" s="227"/>
      <c r="I258" s="228"/>
      <c r="J258" s="229"/>
      <c r="K258" s="239">
        <v>1</v>
      </c>
      <c r="L258" s="230">
        <v>192.08</v>
      </c>
      <c r="M258" s="366">
        <v>1.0880000000000001</v>
      </c>
      <c r="N258" s="235">
        <v>2</v>
      </c>
      <c r="O258" s="233">
        <f>K258*L258*M258*N258</f>
        <v>417.96608000000003</v>
      </c>
      <c r="P258" s="301">
        <v>34272</v>
      </c>
      <c r="Q258" s="235">
        <f>P258*$O258</f>
        <v>14324533.493760001</v>
      </c>
      <c r="R258" s="233">
        <v>34272</v>
      </c>
      <c r="S258" s="233">
        <f>R258*$O258</f>
        <v>14324533.493760001</v>
      </c>
      <c r="T258" s="233">
        <v>35985.599999999999</v>
      </c>
      <c r="U258" s="233">
        <f>T258*$O258</f>
        <v>15040760.168448001</v>
      </c>
      <c r="V258" s="233">
        <f>W258/O258</f>
        <v>34843.200000000004</v>
      </c>
      <c r="W258" s="241">
        <f>AVERAGEIF($P$4:$U$4,W$4,$P258:$U258)</f>
        <v>14563275.718656002</v>
      </c>
      <c r="X258" s="232"/>
      <c r="AA258" s="472">
        <f t="shared" si="47"/>
        <v>74575.872000000003</v>
      </c>
      <c r="AB258" s="232"/>
    </row>
    <row r="259" spans="2:28" x14ac:dyDescent="0.35">
      <c r="B259" s="236"/>
      <c r="C259" s="237"/>
      <c r="D259" s="237"/>
      <c r="E259" s="306" t="s">
        <v>399</v>
      </c>
      <c r="F259" s="225" t="s">
        <v>187</v>
      </c>
      <c r="G259" s="226" t="s">
        <v>188</v>
      </c>
      <c r="H259" s="227"/>
      <c r="I259" s="228"/>
      <c r="J259" s="229"/>
      <c r="K259" s="239">
        <v>0</v>
      </c>
      <c r="L259" s="230">
        <v>51.1</v>
      </c>
      <c r="M259" s="233">
        <v>0.25</v>
      </c>
      <c r="N259" s="235">
        <v>3</v>
      </c>
      <c r="O259" s="233">
        <f>K259*L259*M259*N259</f>
        <v>0</v>
      </c>
      <c r="P259" s="233">
        <v>140008</v>
      </c>
      <c r="Q259" s="233">
        <f>P259*$O259</f>
        <v>0</v>
      </c>
      <c r="R259" s="233"/>
      <c r="S259" s="233"/>
      <c r="T259" s="233"/>
      <c r="U259" s="233"/>
      <c r="V259" s="233"/>
      <c r="W259" s="233"/>
      <c r="X259" s="232"/>
      <c r="AA259" s="235">
        <f t="shared" ref="AA259:AA260" si="48">Q259/L259</f>
        <v>0</v>
      </c>
      <c r="AB259" s="232"/>
    </row>
    <row r="260" spans="2:28" hidden="1" x14ac:dyDescent="0.35">
      <c r="B260" s="245"/>
      <c r="C260" s="246"/>
      <c r="D260" s="246"/>
      <c r="E260" s="251"/>
      <c r="F260" s="225" t="s">
        <v>400</v>
      </c>
      <c r="G260" s="226" t="s">
        <v>401</v>
      </c>
      <c r="H260" s="227"/>
      <c r="I260" s="228"/>
      <c r="J260" s="229"/>
      <c r="K260" s="239">
        <v>0</v>
      </c>
      <c r="L260" s="230">
        <v>51.1</v>
      </c>
      <c r="M260" s="233">
        <f>5*136/1000</f>
        <v>0.68</v>
      </c>
      <c r="N260" s="235">
        <v>3</v>
      </c>
      <c r="O260" s="233">
        <f>K260*L260*M260*N260</f>
        <v>0</v>
      </c>
      <c r="P260" s="233">
        <v>30844.799999999999</v>
      </c>
      <c r="Q260" s="233">
        <f>P260*$O260</f>
        <v>0</v>
      </c>
      <c r="R260" s="233"/>
      <c r="S260" s="233"/>
      <c r="T260" s="233"/>
      <c r="U260" s="233"/>
      <c r="V260" s="233"/>
      <c r="W260" s="233"/>
      <c r="X260" s="232" t="s">
        <v>361</v>
      </c>
      <c r="AA260" s="235">
        <f t="shared" si="48"/>
        <v>0</v>
      </c>
      <c r="AB260" s="232"/>
    </row>
    <row r="261" spans="2:28" hidden="1" x14ac:dyDescent="0.35">
      <c r="B261" s="245"/>
      <c r="C261" s="246"/>
      <c r="D261" s="246"/>
      <c r="E261" s="251"/>
      <c r="F261" s="225" t="s">
        <v>402</v>
      </c>
      <c r="G261" s="226" t="s">
        <v>403</v>
      </c>
      <c r="H261" s="227"/>
      <c r="I261" s="228"/>
      <c r="J261" s="229"/>
      <c r="K261" s="230"/>
      <c r="L261" s="230"/>
      <c r="M261" s="231"/>
      <c r="N261" s="235"/>
      <c r="O261" s="233"/>
      <c r="P261" s="233"/>
      <c r="Q261" s="233"/>
      <c r="R261" s="233"/>
      <c r="S261" s="233"/>
      <c r="T261" s="233"/>
      <c r="U261" s="233"/>
      <c r="V261" s="233"/>
      <c r="W261" s="233"/>
      <c r="X261" s="232"/>
      <c r="AA261" s="232"/>
      <c r="AB261" s="232"/>
    </row>
    <row r="262" spans="2:28" hidden="1" x14ac:dyDescent="0.35">
      <c r="B262" s="245"/>
      <c r="C262" s="246"/>
      <c r="D262" s="246"/>
      <c r="E262" s="251"/>
      <c r="F262" s="225" t="s">
        <v>404</v>
      </c>
      <c r="G262" s="226" t="s">
        <v>191</v>
      </c>
      <c r="H262" s="227"/>
      <c r="I262" s="228"/>
      <c r="J262" s="229"/>
      <c r="K262" s="230"/>
      <c r="L262" s="230"/>
      <c r="M262" s="231"/>
      <c r="N262" s="235"/>
      <c r="O262" s="233"/>
      <c r="P262" s="233"/>
      <c r="Q262" s="233"/>
      <c r="R262" s="233"/>
      <c r="S262" s="233"/>
      <c r="T262" s="233"/>
      <c r="U262" s="233"/>
      <c r="V262" s="233"/>
      <c r="W262" s="233"/>
      <c r="X262" s="232"/>
      <c r="AA262" s="232"/>
      <c r="AB262" s="232"/>
    </row>
    <row r="263" spans="2:28" hidden="1" x14ac:dyDescent="0.35">
      <c r="B263" s="248"/>
      <c r="C263" s="249"/>
      <c r="D263" s="249"/>
      <c r="E263" s="250"/>
      <c r="F263" s="225" t="s">
        <v>405</v>
      </c>
      <c r="G263" s="226" t="s">
        <v>193</v>
      </c>
      <c r="H263" s="227"/>
      <c r="I263" s="228"/>
      <c r="J263" s="229"/>
      <c r="K263" s="239">
        <v>1</v>
      </c>
      <c r="L263" s="230">
        <v>20</v>
      </c>
      <c r="M263" s="235">
        <v>1</v>
      </c>
      <c r="N263" s="235">
        <v>1</v>
      </c>
      <c r="O263" s="235">
        <f>K263*L263*M263*N263</f>
        <v>20</v>
      </c>
      <c r="P263" s="235">
        <v>25000</v>
      </c>
      <c r="Q263" s="235">
        <f>P263*$O263</f>
        <v>500000</v>
      </c>
      <c r="R263" s="233"/>
      <c r="S263" s="233"/>
      <c r="T263" s="233"/>
      <c r="U263" s="233"/>
      <c r="V263" s="233"/>
      <c r="W263" s="233"/>
      <c r="X263" s="232"/>
      <c r="AA263" s="232"/>
      <c r="AB263" s="232"/>
    </row>
    <row r="264" spans="2:28" x14ac:dyDescent="0.35">
      <c r="B264" s="236"/>
      <c r="C264" s="237"/>
      <c r="D264" s="237"/>
      <c r="E264" s="238" t="s">
        <v>162</v>
      </c>
      <c r="F264" s="225" t="s">
        <v>187</v>
      </c>
      <c r="G264" s="226" t="s">
        <v>188</v>
      </c>
      <c r="H264" s="227"/>
      <c r="I264" s="228"/>
      <c r="J264" s="229" t="s">
        <v>189</v>
      </c>
      <c r="K264" s="239">
        <v>1</v>
      </c>
      <c r="L264" s="475">
        <f>208/136</f>
        <v>1.5294117647058822</v>
      </c>
      <c r="M264" s="235">
        <v>3</v>
      </c>
      <c r="N264" s="235">
        <v>1</v>
      </c>
      <c r="O264" s="233">
        <f t="shared" ref="O264:O265" si="49">K264*L264*M264*N264</f>
        <v>4.5882352941176467</v>
      </c>
      <c r="P264" s="301">
        <v>149108.51999999999</v>
      </c>
      <c r="Q264" s="235">
        <f>P264*$O264</f>
        <v>684144.97411764693</v>
      </c>
      <c r="R264" s="233"/>
      <c r="S264" s="233"/>
      <c r="T264" s="233"/>
      <c r="U264" s="233"/>
      <c r="V264" s="233"/>
      <c r="W264" s="233"/>
      <c r="X264" s="232" t="s">
        <v>406</v>
      </c>
      <c r="AA264" s="235">
        <f t="shared" ref="AA264:AA266" si="50">Q264/L264</f>
        <v>447325.55999999994</v>
      </c>
      <c r="AB264" s="232"/>
    </row>
    <row r="265" spans="2:28" x14ac:dyDescent="0.35">
      <c r="B265" s="245"/>
      <c r="C265" s="246"/>
      <c r="D265" s="246"/>
      <c r="E265" s="251"/>
      <c r="F265" s="225" t="s">
        <v>380</v>
      </c>
      <c r="G265" s="226" t="s">
        <v>191</v>
      </c>
      <c r="H265" s="227"/>
      <c r="I265" s="228"/>
      <c r="J265" s="229"/>
      <c r="K265" s="239">
        <v>1</v>
      </c>
      <c r="L265" s="475">
        <f>208/136</f>
        <v>1.5294117647058822</v>
      </c>
      <c r="M265" s="235">
        <f>0.5*136</f>
        <v>68</v>
      </c>
      <c r="N265" s="235">
        <v>1</v>
      </c>
      <c r="O265" s="233">
        <f t="shared" si="49"/>
        <v>104</v>
      </c>
      <c r="P265" s="301">
        <v>24097.5</v>
      </c>
      <c r="Q265" s="233">
        <f>P265*$O265</f>
        <v>2506140</v>
      </c>
      <c r="R265" s="233"/>
      <c r="S265" s="233"/>
      <c r="T265" s="233"/>
      <c r="U265" s="233"/>
      <c r="V265" s="233"/>
      <c r="W265" s="233"/>
      <c r="X265" s="232" t="s">
        <v>407</v>
      </c>
      <c r="AA265" s="235">
        <f t="shared" si="50"/>
        <v>1638630</v>
      </c>
      <c r="AB265" s="232"/>
    </row>
    <row r="266" spans="2:28" x14ac:dyDescent="0.35">
      <c r="B266" s="248"/>
      <c r="C266" s="249"/>
      <c r="D266" s="249"/>
      <c r="E266" s="250"/>
      <c r="F266" s="225" t="s">
        <v>383</v>
      </c>
      <c r="G266" s="226" t="s">
        <v>191</v>
      </c>
      <c r="H266" s="227"/>
      <c r="I266" s="228"/>
      <c r="J266" s="229"/>
      <c r="K266" s="239">
        <v>1</v>
      </c>
      <c r="L266" s="475">
        <f>208/136</f>
        <v>1.5294117647058822</v>
      </c>
      <c r="M266" s="235">
        <f>0.2*136</f>
        <v>27.200000000000003</v>
      </c>
      <c r="N266" s="235">
        <v>1</v>
      </c>
      <c r="O266" s="233">
        <f>K266*L266*M266*N266</f>
        <v>41.6</v>
      </c>
      <c r="P266" s="301">
        <v>44331</v>
      </c>
      <c r="Q266" s="233">
        <f>P266*$O266</f>
        <v>1844169.6</v>
      </c>
      <c r="R266" s="233"/>
      <c r="S266" s="233"/>
      <c r="T266" s="233"/>
      <c r="U266" s="233"/>
      <c r="V266" s="233"/>
      <c r="W266" s="233"/>
      <c r="X266" s="232" t="s">
        <v>408</v>
      </c>
      <c r="AA266" s="235">
        <f t="shared" si="50"/>
        <v>1205803.2000000002</v>
      </c>
      <c r="AB266" s="232"/>
    </row>
    <row r="267" spans="2:28" x14ac:dyDescent="0.35">
      <c r="B267" s="236"/>
      <c r="C267" s="237"/>
      <c r="D267" s="237"/>
      <c r="E267" s="238" t="s">
        <v>409</v>
      </c>
      <c r="F267" s="225" t="s">
        <v>187</v>
      </c>
      <c r="G267" s="226" t="s">
        <v>188</v>
      </c>
      <c r="H267" s="227"/>
      <c r="I267" s="228"/>
      <c r="J267" s="229"/>
      <c r="K267" s="230"/>
      <c r="L267" s="230"/>
      <c r="M267" s="240">
        <v>22.5</v>
      </c>
      <c r="N267" s="235">
        <v>1</v>
      </c>
      <c r="O267" s="233"/>
      <c r="P267" s="233"/>
      <c r="Q267" s="233"/>
      <c r="R267" s="233"/>
      <c r="S267" s="233"/>
      <c r="T267" s="233"/>
      <c r="U267" s="233"/>
      <c r="V267" s="233"/>
      <c r="W267" s="233"/>
      <c r="X267" s="232"/>
      <c r="AA267" s="232"/>
      <c r="AB267" s="232"/>
    </row>
    <row r="268" spans="2:28" hidden="1" x14ac:dyDescent="0.35">
      <c r="B268" s="245"/>
      <c r="C268" s="246"/>
      <c r="D268" s="246"/>
      <c r="E268" s="251"/>
      <c r="F268" s="225" t="s">
        <v>410</v>
      </c>
      <c r="G268" s="226" t="s">
        <v>411</v>
      </c>
      <c r="H268" s="227"/>
      <c r="I268" s="228"/>
      <c r="J268" s="229"/>
      <c r="K268" s="230"/>
      <c r="L268" s="230"/>
      <c r="M268" s="240">
        <v>0.27200000000000002</v>
      </c>
      <c r="N268" s="235">
        <v>1</v>
      </c>
      <c r="O268" s="233"/>
      <c r="P268" s="233"/>
      <c r="Q268" s="233"/>
      <c r="R268" s="233"/>
      <c r="S268" s="233"/>
      <c r="T268" s="233"/>
      <c r="U268" s="233"/>
      <c r="V268" s="233"/>
      <c r="W268" s="419"/>
      <c r="X268" s="319"/>
      <c r="AA268" s="232"/>
      <c r="AB268" s="232"/>
    </row>
    <row r="269" spans="2:28" hidden="1" x14ac:dyDescent="0.35">
      <c r="B269" s="245"/>
      <c r="C269" s="246"/>
      <c r="D269" s="246"/>
      <c r="E269" s="251"/>
      <c r="F269" s="225" t="s">
        <v>412</v>
      </c>
      <c r="G269" s="226" t="s">
        <v>191</v>
      </c>
      <c r="H269" s="227"/>
      <c r="I269" s="228"/>
      <c r="J269" s="229"/>
      <c r="K269" s="230"/>
      <c r="L269" s="230"/>
      <c r="M269" s="240">
        <v>0.13600000000000001</v>
      </c>
      <c r="N269" s="235">
        <v>1</v>
      </c>
      <c r="O269" s="233"/>
      <c r="P269" s="233"/>
      <c r="Q269" s="233"/>
      <c r="R269" s="233"/>
      <c r="S269" s="233"/>
      <c r="T269" s="233"/>
      <c r="U269" s="233"/>
      <c r="V269" s="233"/>
      <c r="W269" s="419"/>
      <c r="X269" s="319"/>
      <c r="AA269" s="232"/>
      <c r="AB269" s="232"/>
    </row>
    <row r="270" spans="2:28" x14ac:dyDescent="0.35">
      <c r="B270" s="236"/>
      <c r="C270" s="237"/>
      <c r="D270" s="237" t="s">
        <v>163</v>
      </c>
      <c r="E270" s="238"/>
      <c r="F270" s="225" t="s">
        <v>187</v>
      </c>
      <c r="G270" s="226" t="s">
        <v>188</v>
      </c>
      <c r="H270" s="227"/>
      <c r="I270" s="228"/>
      <c r="J270" s="229"/>
      <c r="K270" s="239">
        <v>0.15</v>
      </c>
      <c r="L270" s="230">
        <v>192.08</v>
      </c>
      <c r="M270" s="235">
        <v>5</v>
      </c>
      <c r="N270" s="235">
        <v>1</v>
      </c>
      <c r="O270" s="235">
        <f>K270*L270*M270*N270</f>
        <v>144.06</v>
      </c>
      <c r="P270" s="235">
        <v>140008</v>
      </c>
      <c r="Q270" s="235">
        <f>P270*$O270</f>
        <v>20169552.48</v>
      </c>
      <c r="R270" s="233">
        <v>149108.51999999999</v>
      </c>
      <c r="S270" s="233">
        <f>R270*$O270</f>
        <v>21480573.391199999</v>
      </c>
      <c r="T270" s="233">
        <v>158800.57379999998</v>
      </c>
      <c r="U270" s="233">
        <f>T270*$O270</f>
        <v>22876810.661627997</v>
      </c>
      <c r="V270" s="233">
        <f>W270/O270</f>
        <v>149305.69793333331</v>
      </c>
      <c r="W270" s="241">
        <f>AVERAGEIF($P$4:$U$4,W$4,$P270:$U270)</f>
        <v>21508978.844275996</v>
      </c>
      <c r="X270" s="491"/>
      <c r="AA270" s="235">
        <f>Q270/$D$2</f>
        <v>105006</v>
      </c>
      <c r="AB270" s="232"/>
    </row>
    <row r="271" spans="2:28" x14ac:dyDescent="0.35">
      <c r="B271" s="248"/>
      <c r="C271" s="249"/>
      <c r="D271" s="249"/>
      <c r="E271" s="250"/>
      <c r="F271" s="225" t="s">
        <v>291</v>
      </c>
      <c r="G271" s="226" t="s">
        <v>193</v>
      </c>
      <c r="H271" s="227"/>
      <c r="I271" s="228"/>
      <c r="J271" s="229"/>
      <c r="K271" s="239">
        <v>1</v>
      </c>
      <c r="L271" s="230">
        <v>10</v>
      </c>
      <c r="M271" s="235">
        <v>1</v>
      </c>
      <c r="N271" s="235">
        <v>1</v>
      </c>
      <c r="O271" s="235">
        <f>K271*L271*M271*N271</f>
        <v>10</v>
      </c>
      <c r="P271" s="235">
        <v>75798.75</v>
      </c>
      <c r="Q271" s="235">
        <f>P271*$O271</f>
        <v>757987.5</v>
      </c>
      <c r="R271" s="492"/>
      <c r="S271" s="492"/>
      <c r="T271" s="492"/>
      <c r="U271" s="492"/>
      <c r="V271" s="492"/>
      <c r="W271" s="492"/>
      <c r="X271" s="491"/>
      <c r="AA271" s="235">
        <f>Q271/$D$2</f>
        <v>3946.2073094543939</v>
      </c>
      <c r="AB271" s="232"/>
    </row>
    <row r="272" spans="2:28" x14ac:dyDescent="0.35">
      <c r="B272" s="236"/>
      <c r="C272" s="237"/>
      <c r="D272" s="237" t="s">
        <v>161</v>
      </c>
      <c r="E272" s="238"/>
      <c r="F272" s="225" t="s">
        <v>187</v>
      </c>
      <c r="G272" s="226" t="s">
        <v>188</v>
      </c>
      <c r="H272" s="227"/>
      <c r="I272" s="228"/>
      <c r="J272" s="229"/>
      <c r="K272" s="239"/>
      <c r="L272" s="230">
        <v>192.08</v>
      </c>
      <c r="M272" s="235">
        <v>4</v>
      </c>
      <c r="N272" s="235">
        <v>1</v>
      </c>
      <c r="O272" s="235">
        <f>K272*L272*M272*N272</f>
        <v>0</v>
      </c>
      <c r="P272" s="235">
        <v>140008</v>
      </c>
      <c r="Q272" s="233">
        <f>P272*$O272</f>
        <v>0</v>
      </c>
      <c r="R272" s="233"/>
      <c r="S272" s="233"/>
      <c r="T272" s="233"/>
      <c r="U272" s="233"/>
      <c r="V272" s="233"/>
      <c r="W272" s="233"/>
      <c r="X272" s="232" t="s">
        <v>413</v>
      </c>
      <c r="AA272" s="232"/>
      <c r="AB272" s="232"/>
    </row>
    <row r="273" spans="2:29" hidden="1" x14ac:dyDescent="0.35">
      <c r="B273" s="248"/>
      <c r="C273" s="249"/>
      <c r="D273" s="249"/>
      <c r="E273" s="250"/>
      <c r="F273" s="225" t="s">
        <v>291</v>
      </c>
      <c r="G273" s="226" t="s">
        <v>193</v>
      </c>
      <c r="H273" s="227"/>
      <c r="I273" s="228"/>
      <c r="J273" s="229"/>
      <c r="K273" s="230"/>
      <c r="L273" s="230"/>
      <c r="M273" s="231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2"/>
      <c r="AA273" s="232"/>
      <c r="AB273" s="232"/>
    </row>
    <row r="274" spans="2:29" s="415" customFormat="1" x14ac:dyDescent="0.35">
      <c r="B274" s="367" t="s">
        <v>414</v>
      </c>
      <c r="C274" s="368"/>
      <c r="D274" s="368"/>
      <c r="E274" s="369"/>
      <c r="F274" s="389"/>
      <c r="G274" s="390"/>
      <c r="H274" s="391"/>
      <c r="I274" s="392"/>
      <c r="J274" s="393"/>
      <c r="K274" s="394"/>
      <c r="L274" s="394"/>
      <c r="M274" s="395"/>
      <c r="N274" s="343"/>
      <c r="O274" s="343"/>
      <c r="P274" s="343"/>
      <c r="Q274" s="385">
        <f>SUM(Q254:Q273)</f>
        <v>55106910.308677644</v>
      </c>
      <c r="R274" s="343"/>
      <c r="S274" s="343" t="e">
        <f>SUM(S201:S273)</f>
        <v>#N/A</v>
      </c>
      <c r="T274" s="343"/>
      <c r="U274" s="343" t="e">
        <f>SUM(U201:U273)</f>
        <v>#N/A</v>
      </c>
      <c r="V274" s="343"/>
      <c r="W274" s="343" t="e">
        <f>SUM(W201:W273)</f>
        <v>#N/A</v>
      </c>
      <c r="X274" s="465"/>
      <c r="Y274" s="466"/>
      <c r="Z274" s="466"/>
      <c r="AA274" s="493">
        <f>Q274/192.08</f>
        <v>286895.61801685567</v>
      </c>
      <c r="AB274" s="468">
        <f>Q274/$Q$332*100</f>
        <v>0.61626355181774684</v>
      </c>
      <c r="AC274" s="412"/>
    </row>
    <row r="275" spans="2:29" x14ac:dyDescent="0.35">
      <c r="B275" s="227"/>
      <c r="C275" s="223" t="s">
        <v>415</v>
      </c>
      <c r="D275" s="228"/>
      <c r="E275" s="247"/>
      <c r="F275" s="225"/>
      <c r="G275" s="226"/>
      <c r="H275" s="227"/>
      <c r="I275" s="228"/>
      <c r="J275" s="229"/>
      <c r="K275" s="230"/>
      <c r="L275" s="289"/>
      <c r="M275" s="377"/>
      <c r="N275" s="373"/>
      <c r="O275" s="373"/>
      <c r="P275" s="233"/>
      <c r="Q275" s="233"/>
      <c r="R275" s="233"/>
      <c r="S275" s="233"/>
      <c r="T275" s="233"/>
      <c r="U275" s="233"/>
      <c r="V275" s="233"/>
      <c r="W275" s="233"/>
      <c r="X275" s="232"/>
      <c r="AA275" s="232"/>
      <c r="AB275" s="232"/>
    </row>
    <row r="276" spans="2:29" x14ac:dyDescent="0.35">
      <c r="B276" s="236"/>
      <c r="C276" s="494"/>
      <c r="D276" s="237" t="s">
        <v>357</v>
      </c>
      <c r="E276" s="238"/>
      <c r="F276" s="225"/>
      <c r="G276" s="226"/>
      <c r="H276" s="227"/>
      <c r="I276" s="228"/>
      <c r="J276" s="229"/>
      <c r="K276" s="230"/>
      <c r="L276" s="289"/>
      <c r="M276" s="377"/>
      <c r="N276" s="372"/>
      <c r="O276" s="373"/>
      <c r="P276" s="233"/>
      <c r="Q276" s="233"/>
      <c r="R276" s="233"/>
      <c r="S276" s="233"/>
      <c r="T276" s="233"/>
      <c r="U276" s="233"/>
      <c r="V276" s="233"/>
      <c r="W276" s="233"/>
      <c r="X276" s="232"/>
      <c r="AA276" s="232"/>
      <c r="AB276" s="232"/>
    </row>
    <row r="277" spans="2:29" x14ac:dyDescent="0.35">
      <c r="B277" s="245"/>
      <c r="C277" s="495"/>
      <c r="D277" s="246"/>
      <c r="E277" s="470" t="s">
        <v>154</v>
      </c>
      <c r="F277" s="232" t="s">
        <v>187</v>
      </c>
      <c r="G277" s="318" t="s">
        <v>188</v>
      </c>
      <c r="H277" s="319"/>
      <c r="I277" s="320"/>
      <c r="J277" s="318" t="s">
        <v>189</v>
      </c>
      <c r="K277" s="420">
        <v>1</v>
      </c>
      <c r="L277" s="496">
        <v>192.08</v>
      </c>
      <c r="M277" s="497">
        <v>0.5</v>
      </c>
      <c r="N277" s="372">
        <v>1</v>
      </c>
      <c r="O277" s="498">
        <f t="shared" ref="O277:O285" si="51">K277*L277*M277*N277</f>
        <v>96.04</v>
      </c>
      <c r="P277" s="301">
        <v>149108.51999999999</v>
      </c>
      <c r="Q277" s="235">
        <f t="shared" ref="Q277:Q285" si="52">P277*$O277</f>
        <v>14320382.2608</v>
      </c>
      <c r="R277" s="233">
        <v>149108.51999999999</v>
      </c>
      <c r="S277" s="233">
        <f t="shared" ref="S277:S285" si="53">R277*$O277</f>
        <v>14320382.2608</v>
      </c>
      <c r="T277" s="233">
        <v>158800.57379999998</v>
      </c>
      <c r="U277" s="233">
        <f t="shared" ref="U277:U285" si="54">T277*$O277</f>
        <v>15251207.107751999</v>
      </c>
      <c r="V277" s="233">
        <f t="shared" ref="V277:V285" si="55">W277/O277</f>
        <v>152339.2046</v>
      </c>
      <c r="W277" s="241">
        <f t="shared" ref="W277:W285" si="56">AVERAGEIF($P$4:$U$4,W$4,$P277:$U277)</f>
        <v>14630657.209784001</v>
      </c>
      <c r="X277" s="232"/>
      <c r="AA277" s="235">
        <f>Q277/$D$2</f>
        <v>74554.259999999995</v>
      </c>
      <c r="AB277" s="232"/>
    </row>
    <row r="278" spans="2:29" x14ac:dyDescent="0.35">
      <c r="B278" s="245"/>
      <c r="C278" s="495"/>
      <c r="D278" s="246"/>
      <c r="E278" s="94"/>
      <c r="F278" s="232" t="s">
        <v>359</v>
      </c>
      <c r="G278" s="318" t="s">
        <v>188</v>
      </c>
      <c r="H278" s="319"/>
      <c r="I278" s="320"/>
      <c r="J278" s="318" t="s">
        <v>189</v>
      </c>
      <c r="K278" s="420">
        <v>1</v>
      </c>
      <c r="L278" s="496">
        <v>192.08</v>
      </c>
      <c r="M278" s="499">
        <v>0.18</v>
      </c>
      <c r="N278" s="372">
        <f>N277</f>
        <v>1</v>
      </c>
      <c r="O278" s="498">
        <f t="shared" si="51"/>
        <v>34.574400000000004</v>
      </c>
      <c r="P278" s="301">
        <v>149108.51999999999</v>
      </c>
      <c r="Q278" s="235">
        <f t="shared" si="52"/>
        <v>5155337.6138880001</v>
      </c>
      <c r="R278" s="233">
        <v>149108.51999999999</v>
      </c>
      <c r="S278" s="233">
        <f t="shared" si="53"/>
        <v>5155337.6138880001</v>
      </c>
      <c r="T278" s="233">
        <v>158800.57379999998</v>
      </c>
      <c r="U278" s="233">
        <f t="shared" si="54"/>
        <v>5490434.5587907201</v>
      </c>
      <c r="V278" s="233">
        <f t="shared" si="55"/>
        <v>152339.20459999997</v>
      </c>
      <c r="W278" s="241">
        <f t="shared" si="56"/>
        <v>5267036.5955222398</v>
      </c>
      <c r="X278" s="232"/>
      <c r="AA278" s="235">
        <f t="shared" ref="AA278:AA285" si="57">Q278/$D$2</f>
        <v>26839.533599999999</v>
      </c>
      <c r="AB278" s="232"/>
    </row>
    <row r="279" spans="2:29" x14ac:dyDescent="0.35">
      <c r="B279" s="245"/>
      <c r="C279" s="495"/>
      <c r="D279" s="246" t="s">
        <v>416</v>
      </c>
      <c r="E279" s="94"/>
      <c r="F279" s="232" t="s">
        <v>236</v>
      </c>
      <c r="G279" s="318" t="s">
        <v>188</v>
      </c>
      <c r="H279" s="319"/>
      <c r="I279" s="320"/>
      <c r="J279" s="318" t="s">
        <v>189</v>
      </c>
      <c r="K279" s="420">
        <v>1</v>
      </c>
      <c r="L279" s="496">
        <v>192.08</v>
      </c>
      <c r="M279" s="497">
        <f>M277</f>
        <v>0.5</v>
      </c>
      <c r="N279" s="372">
        <f t="shared" ref="N279:N285" si="58">N278</f>
        <v>1</v>
      </c>
      <c r="O279" s="498">
        <f t="shared" si="51"/>
        <v>96.04</v>
      </c>
      <c r="P279" s="301">
        <v>3940.5</v>
      </c>
      <c r="Q279" s="235">
        <f t="shared" si="52"/>
        <v>378445.62000000005</v>
      </c>
      <c r="R279" s="233">
        <v>3940.5</v>
      </c>
      <c r="S279" s="233">
        <f t="shared" si="53"/>
        <v>378445.62000000005</v>
      </c>
      <c r="T279" s="233">
        <v>4196.6324999999997</v>
      </c>
      <c r="U279" s="233">
        <f t="shared" si="54"/>
        <v>403044.58529999998</v>
      </c>
      <c r="V279" s="233">
        <f t="shared" si="55"/>
        <v>4025.8775000000001</v>
      </c>
      <c r="W279" s="241">
        <f t="shared" si="56"/>
        <v>386645.27510000003</v>
      </c>
      <c r="X279" s="232"/>
      <c r="AA279" s="235">
        <f t="shared" si="57"/>
        <v>1970.2500000000002</v>
      </c>
      <c r="AB279" s="232"/>
    </row>
    <row r="280" spans="2:29" x14ac:dyDescent="0.35">
      <c r="B280" s="245"/>
      <c r="C280" s="495"/>
      <c r="D280" s="246"/>
      <c r="E280" s="94"/>
      <c r="F280" s="232" t="s">
        <v>360</v>
      </c>
      <c r="G280" s="318" t="s">
        <v>193</v>
      </c>
      <c r="H280" s="319">
        <v>1</v>
      </c>
      <c r="I280" s="320" t="s">
        <v>238</v>
      </c>
      <c r="J280" s="318" t="s">
        <v>189</v>
      </c>
      <c r="K280" s="420">
        <v>1</v>
      </c>
      <c r="L280" s="496">
        <v>192.08</v>
      </c>
      <c r="M280" s="500">
        <f>((M$277*N$277)/240)*($H280/N280)</f>
        <v>2.0833333333333333E-3</v>
      </c>
      <c r="N280" s="372">
        <f t="shared" si="58"/>
        <v>1</v>
      </c>
      <c r="O280" s="498">
        <f t="shared" si="51"/>
        <v>0.40016666666666667</v>
      </c>
      <c r="P280" s="301">
        <v>5250</v>
      </c>
      <c r="Q280" s="235">
        <f t="shared" si="52"/>
        <v>2100.875</v>
      </c>
      <c r="R280" s="233">
        <v>5250</v>
      </c>
      <c r="S280" s="233">
        <f t="shared" si="53"/>
        <v>2100.875</v>
      </c>
      <c r="T280" s="233">
        <v>5512.5</v>
      </c>
      <c r="U280" s="233">
        <f t="shared" si="54"/>
        <v>2205.9187499999998</v>
      </c>
      <c r="V280" s="233">
        <f t="shared" si="55"/>
        <v>5337.4999999999991</v>
      </c>
      <c r="W280" s="241">
        <f t="shared" si="56"/>
        <v>2135.8895833333331</v>
      </c>
      <c r="X280" s="232"/>
      <c r="AA280" s="235">
        <f t="shared" si="57"/>
        <v>10.9375</v>
      </c>
      <c r="AB280" s="232"/>
    </row>
    <row r="281" spans="2:29" x14ac:dyDescent="0.35">
      <c r="B281" s="245"/>
      <c r="C281" s="495"/>
      <c r="D281" s="246"/>
      <c r="E281" s="94"/>
      <c r="F281" s="232" t="s">
        <v>237</v>
      </c>
      <c r="G281" s="318" t="s">
        <v>193</v>
      </c>
      <c r="H281" s="319">
        <v>4</v>
      </c>
      <c r="I281" s="320" t="s">
        <v>238</v>
      </c>
      <c r="J281" s="318" t="s">
        <v>189</v>
      </c>
      <c r="K281" s="420">
        <v>1</v>
      </c>
      <c r="L281" s="496">
        <v>192.08</v>
      </c>
      <c r="M281" s="500">
        <f>((M$277*N$277)/240)*($H281/N281)</f>
        <v>8.3333333333333332E-3</v>
      </c>
      <c r="N281" s="372">
        <f t="shared" si="58"/>
        <v>1</v>
      </c>
      <c r="O281" s="498">
        <f t="shared" si="51"/>
        <v>1.6006666666666667</v>
      </c>
      <c r="P281" s="301">
        <v>44982</v>
      </c>
      <c r="Q281" s="235">
        <f t="shared" si="52"/>
        <v>72001.187999999995</v>
      </c>
      <c r="R281" s="233">
        <v>44982</v>
      </c>
      <c r="S281" s="233">
        <f t="shared" si="53"/>
        <v>72001.187999999995</v>
      </c>
      <c r="T281" s="233">
        <v>47231.1</v>
      </c>
      <c r="U281" s="233">
        <f t="shared" si="54"/>
        <v>75601.247399999993</v>
      </c>
      <c r="V281" s="233">
        <f t="shared" si="55"/>
        <v>45731.69999999999</v>
      </c>
      <c r="W281" s="241">
        <f t="shared" si="56"/>
        <v>73201.207799999989</v>
      </c>
      <c r="X281" s="232"/>
      <c r="AA281" s="235">
        <f t="shared" si="57"/>
        <v>374.84999999999997</v>
      </c>
      <c r="AB281" s="232"/>
    </row>
    <row r="282" spans="2:29" x14ac:dyDescent="0.35">
      <c r="B282" s="245"/>
      <c r="C282" s="495"/>
      <c r="D282" s="246"/>
      <c r="E282" s="94"/>
      <c r="F282" s="232" t="s">
        <v>239</v>
      </c>
      <c r="G282" s="318" t="s">
        <v>193</v>
      </c>
      <c r="H282" s="319">
        <v>12</v>
      </c>
      <c r="I282" s="320" t="s">
        <v>238</v>
      </c>
      <c r="J282" s="318" t="s">
        <v>189</v>
      </c>
      <c r="K282" s="420">
        <v>1</v>
      </c>
      <c r="L282" s="496">
        <v>192.08</v>
      </c>
      <c r="M282" s="500">
        <f>((M$277*N$277)/240)*($H282/N282)</f>
        <v>2.5000000000000001E-2</v>
      </c>
      <c r="N282" s="372">
        <f t="shared" si="58"/>
        <v>1</v>
      </c>
      <c r="O282" s="498">
        <f t="shared" si="51"/>
        <v>4.8020000000000005</v>
      </c>
      <c r="P282" s="301">
        <v>14700</v>
      </c>
      <c r="Q282" s="235">
        <f t="shared" si="52"/>
        <v>70589.400000000009</v>
      </c>
      <c r="R282" s="233">
        <v>14700</v>
      </c>
      <c r="S282" s="233">
        <f t="shared" si="53"/>
        <v>70589.400000000009</v>
      </c>
      <c r="T282" s="233">
        <v>15435</v>
      </c>
      <c r="U282" s="233">
        <f t="shared" si="54"/>
        <v>74118.87000000001</v>
      </c>
      <c r="V282" s="233">
        <f t="shared" si="55"/>
        <v>14945.000000000002</v>
      </c>
      <c r="W282" s="241">
        <f t="shared" si="56"/>
        <v>71765.890000000014</v>
      </c>
      <c r="X282" s="232"/>
      <c r="AA282" s="235">
        <f t="shared" si="57"/>
        <v>367.5</v>
      </c>
      <c r="AB282" s="232"/>
    </row>
    <row r="283" spans="2:29" x14ac:dyDescent="0.35">
      <c r="B283" s="245"/>
      <c r="C283" s="495"/>
      <c r="D283" s="246"/>
      <c r="E283" s="94"/>
      <c r="F283" s="232" t="s">
        <v>241</v>
      </c>
      <c r="G283" s="318" t="s">
        <v>193</v>
      </c>
      <c r="H283" s="319">
        <v>2</v>
      </c>
      <c r="I283" s="320" t="s">
        <v>238</v>
      </c>
      <c r="J283" s="318" t="s">
        <v>189</v>
      </c>
      <c r="K283" s="420">
        <v>1</v>
      </c>
      <c r="L283" s="496">
        <v>192.08</v>
      </c>
      <c r="M283" s="500">
        <f>((M$277*N$277)/240)*($H283/N283)</f>
        <v>4.1666666666666666E-3</v>
      </c>
      <c r="N283" s="372">
        <f t="shared" si="58"/>
        <v>1</v>
      </c>
      <c r="O283" s="498">
        <f t="shared" si="51"/>
        <v>0.80033333333333334</v>
      </c>
      <c r="P283" s="301">
        <v>33736.5</v>
      </c>
      <c r="Q283" s="235">
        <f t="shared" si="52"/>
        <v>27000.445500000002</v>
      </c>
      <c r="R283" s="233">
        <v>33736.5</v>
      </c>
      <c r="S283" s="233">
        <f t="shared" si="53"/>
        <v>27000.445500000002</v>
      </c>
      <c r="T283" s="233">
        <v>35423.325000000004</v>
      </c>
      <c r="U283" s="233">
        <f t="shared" si="54"/>
        <v>28350.467775000005</v>
      </c>
      <c r="V283" s="233">
        <f t="shared" si="55"/>
        <v>34298.775000000001</v>
      </c>
      <c r="W283" s="241">
        <f t="shared" si="56"/>
        <v>27450.452925000001</v>
      </c>
      <c r="X283" s="232"/>
      <c r="AA283" s="235">
        <f t="shared" si="57"/>
        <v>140.56874999999999</v>
      </c>
      <c r="AB283" s="232"/>
    </row>
    <row r="284" spans="2:29" x14ac:dyDescent="0.35">
      <c r="B284" s="245"/>
      <c r="C284" s="495"/>
      <c r="D284" s="246"/>
      <c r="E284" s="94"/>
      <c r="F284" s="232" t="s">
        <v>242</v>
      </c>
      <c r="G284" s="318" t="s">
        <v>193</v>
      </c>
      <c r="H284" s="319">
        <v>1</v>
      </c>
      <c r="I284" s="320" t="s">
        <v>238</v>
      </c>
      <c r="J284" s="318" t="s">
        <v>189</v>
      </c>
      <c r="K284" s="420">
        <v>1</v>
      </c>
      <c r="L284" s="496">
        <v>192.08</v>
      </c>
      <c r="M284" s="500">
        <f>((M$277*N$277)/240)*($H284/N284)</f>
        <v>2.0833333333333333E-3</v>
      </c>
      <c r="N284" s="372">
        <f t="shared" si="58"/>
        <v>1</v>
      </c>
      <c r="O284" s="498">
        <f t="shared" si="51"/>
        <v>0.40016666666666667</v>
      </c>
      <c r="P284" s="301">
        <v>89964</v>
      </c>
      <c r="Q284" s="235">
        <f t="shared" si="52"/>
        <v>36000.593999999997</v>
      </c>
      <c r="R284" s="233">
        <v>89964</v>
      </c>
      <c r="S284" s="233">
        <f t="shared" si="53"/>
        <v>36000.593999999997</v>
      </c>
      <c r="T284" s="233">
        <v>94462.2</v>
      </c>
      <c r="U284" s="233">
        <f t="shared" si="54"/>
        <v>37800.623699999996</v>
      </c>
      <c r="V284" s="233">
        <f t="shared" si="55"/>
        <v>91463.39999999998</v>
      </c>
      <c r="W284" s="241">
        <f t="shared" si="56"/>
        <v>36600.603899999995</v>
      </c>
      <c r="X284" s="232"/>
      <c r="AA284" s="235">
        <f t="shared" si="57"/>
        <v>187.42499999999998</v>
      </c>
      <c r="AB284" s="232"/>
    </row>
    <row r="285" spans="2:29" x14ac:dyDescent="0.35">
      <c r="B285" s="245"/>
      <c r="C285" s="495"/>
      <c r="D285" s="246"/>
      <c r="E285" s="94"/>
      <c r="F285" s="95" t="s">
        <v>417</v>
      </c>
      <c r="G285" s="318" t="s">
        <v>191</v>
      </c>
      <c r="H285" s="319"/>
      <c r="I285" s="320"/>
      <c r="J285" s="318" t="s">
        <v>325</v>
      </c>
      <c r="K285" s="420">
        <v>1</v>
      </c>
      <c r="L285" s="496">
        <v>192.08</v>
      </c>
      <c r="M285" s="499">
        <f>(75/1000)*136</f>
        <v>10.199999999999999</v>
      </c>
      <c r="N285" s="372">
        <f t="shared" si="58"/>
        <v>1</v>
      </c>
      <c r="O285" s="498">
        <f t="shared" si="51"/>
        <v>1959.2159999999999</v>
      </c>
      <c r="P285" s="301">
        <v>5820</v>
      </c>
      <c r="Q285" s="235">
        <f t="shared" si="52"/>
        <v>11402637.119999999</v>
      </c>
      <c r="R285" s="233">
        <v>5820</v>
      </c>
      <c r="S285" s="233">
        <f t="shared" si="53"/>
        <v>11402637.119999999</v>
      </c>
      <c r="T285" s="233">
        <v>6111</v>
      </c>
      <c r="U285" s="233">
        <f t="shared" si="54"/>
        <v>11972768.976</v>
      </c>
      <c r="V285" s="233">
        <f t="shared" si="55"/>
        <v>5917</v>
      </c>
      <c r="W285" s="241">
        <f t="shared" si="56"/>
        <v>11592681.071999999</v>
      </c>
      <c r="X285" s="232"/>
      <c r="AA285" s="235">
        <f t="shared" si="57"/>
        <v>59363.999999999993</v>
      </c>
      <c r="AB285" s="232"/>
    </row>
    <row r="286" spans="2:29" x14ac:dyDescent="0.35">
      <c r="B286" s="245"/>
      <c r="C286" s="495"/>
      <c r="D286" s="246"/>
      <c r="E286" s="251"/>
      <c r="F286" s="225"/>
      <c r="G286" s="226"/>
      <c r="H286" s="227"/>
      <c r="I286" s="228"/>
      <c r="J286" s="229"/>
      <c r="K286" s="230"/>
      <c r="L286" s="230"/>
      <c r="M286" s="231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2"/>
      <c r="AA286" s="232"/>
      <c r="AB286" s="232"/>
    </row>
    <row r="287" spans="2:29" x14ac:dyDescent="0.35">
      <c r="B287" s="236"/>
      <c r="C287" s="237"/>
      <c r="D287" s="237"/>
      <c r="E287" s="238" t="s">
        <v>418</v>
      </c>
      <c r="F287" s="225" t="s">
        <v>187</v>
      </c>
      <c r="G287" s="226" t="s">
        <v>188</v>
      </c>
      <c r="H287" s="227"/>
      <c r="I287" s="228"/>
      <c r="J287" s="229"/>
      <c r="K287" s="230"/>
      <c r="L287" s="230"/>
      <c r="M287" s="231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2"/>
      <c r="AA287" s="232"/>
      <c r="AB287" s="232"/>
    </row>
    <row r="288" spans="2:29" hidden="1" x14ac:dyDescent="0.35">
      <c r="B288" s="245"/>
      <c r="C288" s="246"/>
      <c r="D288" s="246"/>
      <c r="E288" s="251"/>
      <c r="F288" s="225" t="s">
        <v>417</v>
      </c>
      <c r="G288" s="226" t="s">
        <v>191</v>
      </c>
      <c r="H288" s="227"/>
      <c r="I288" s="228"/>
      <c r="J288" s="229"/>
      <c r="K288" s="230"/>
      <c r="L288" s="230"/>
      <c r="M288" s="231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2"/>
      <c r="AA288" s="232"/>
      <c r="AB288" s="232"/>
    </row>
    <row r="289" spans="2:28" hidden="1" x14ac:dyDescent="0.35">
      <c r="B289" s="248"/>
      <c r="C289" s="249"/>
      <c r="D289" s="249"/>
      <c r="E289" s="250"/>
      <c r="F289" s="225" t="s">
        <v>365</v>
      </c>
      <c r="G289" s="226" t="s">
        <v>205</v>
      </c>
      <c r="H289" s="227"/>
      <c r="I289" s="228"/>
      <c r="J289" s="229"/>
      <c r="K289" s="230"/>
      <c r="L289" s="230"/>
      <c r="M289" s="231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2"/>
      <c r="AA289" s="232"/>
      <c r="AB289" s="232"/>
    </row>
    <row r="290" spans="2:28" x14ac:dyDescent="0.35">
      <c r="B290" s="236"/>
      <c r="C290" s="237"/>
      <c r="D290" s="237"/>
      <c r="E290" s="238" t="s">
        <v>419</v>
      </c>
      <c r="F290" s="225" t="s">
        <v>187</v>
      </c>
      <c r="G290" s="226" t="s">
        <v>188</v>
      </c>
      <c r="H290" s="227"/>
      <c r="I290" s="228"/>
      <c r="J290" s="229"/>
      <c r="K290" s="230"/>
      <c r="L290" s="230"/>
      <c r="M290" s="231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2"/>
      <c r="AA290" s="232"/>
      <c r="AB290" s="232"/>
    </row>
    <row r="291" spans="2:28" hidden="1" x14ac:dyDescent="0.35">
      <c r="B291" s="245"/>
      <c r="C291" s="246"/>
      <c r="D291" s="246"/>
      <c r="E291" s="251"/>
      <c r="F291" s="225" t="s">
        <v>322</v>
      </c>
      <c r="G291" s="226" t="s">
        <v>191</v>
      </c>
      <c r="H291" s="227"/>
      <c r="I291" s="228"/>
      <c r="J291" s="229"/>
      <c r="K291" s="230"/>
      <c r="L291" s="230"/>
      <c r="M291" s="231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2"/>
      <c r="AA291" s="232"/>
      <c r="AB291" s="232"/>
    </row>
    <row r="292" spans="2:28" hidden="1" x14ac:dyDescent="0.35">
      <c r="B292" s="248"/>
      <c r="C292" s="249"/>
      <c r="D292" s="249"/>
      <c r="E292" s="250"/>
      <c r="F292" s="225" t="s">
        <v>365</v>
      </c>
      <c r="G292" s="226" t="s">
        <v>205</v>
      </c>
      <c r="H292" s="227"/>
      <c r="I292" s="228"/>
      <c r="J292" s="229"/>
      <c r="K292" s="230"/>
      <c r="L292" s="230"/>
      <c r="M292" s="231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2"/>
      <c r="AA292" s="232"/>
      <c r="AB292" s="232"/>
    </row>
    <row r="293" spans="2:28" x14ac:dyDescent="0.35">
      <c r="B293" s="236"/>
      <c r="C293" s="237"/>
      <c r="D293" s="237"/>
      <c r="E293" s="238" t="s">
        <v>420</v>
      </c>
      <c r="F293" s="225" t="s">
        <v>187</v>
      </c>
      <c r="G293" s="226" t="s">
        <v>188</v>
      </c>
      <c r="H293" s="227"/>
      <c r="I293" s="228"/>
      <c r="J293" s="229"/>
      <c r="K293" s="230"/>
      <c r="L293" s="230"/>
      <c r="M293" s="231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2"/>
      <c r="AA293" s="232"/>
      <c r="AB293" s="232"/>
    </row>
    <row r="294" spans="2:28" hidden="1" x14ac:dyDescent="0.35">
      <c r="B294" s="245"/>
      <c r="C294" s="246"/>
      <c r="D294" s="246"/>
      <c r="E294" s="251"/>
      <c r="F294" s="225" t="s">
        <v>421</v>
      </c>
      <c r="G294" s="226" t="s">
        <v>191</v>
      </c>
      <c r="H294" s="227"/>
      <c r="I294" s="228"/>
      <c r="J294" s="229"/>
      <c r="K294" s="230"/>
      <c r="L294" s="230"/>
      <c r="M294" s="231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2"/>
      <c r="AA294" s="232"/>
      <c r="AB294" s="232"/>
    </row>
    <row r="295" spans="2:28" hidden="1" x14ac:dyDescent="0.35">
      <c r="B295" s="248"/>
      <c r="C295" s="249"/>
      <c r="D295" s="249"/>
      <c r="E295" s="250"/>
      <c r="F295" s="225" t="s">
        <v>365</v>
      </c>
      <c r="G295" s="226" t="s">
        <v>205</v>
      </c>
      <c r="H295" s="227"/>
      <c r="I295" s="228"/>
      <c r="J295" s="229"/>
      <c r="K295" s="230"/>
      <c r="L295" s="230"/>
      <c r="M295" s="231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2"/>
      <c r="AA295" s="232"/>
      <c r="AB295" s="232"/>
    </row>
    <row r="296" spans="2:28" x14ac:dyDescent="0.35">
      <c r="B296" s="236"/>
      <c r="C296" s="237"/>
      <c r="D296" s="237"/>
      <c r="E296" s="238" t="s">
        <v>422</v>
      </c>
      <c r="F296" s="225" t="s">
        <v>187</v>
      </c>
      <c r="G296" s="226" t="s">
        <v>188</v>
      </c>
      <c r="H296" s="227"/>
      <c r="I296" s="228"/>
      <c r="J296" s="229"/>
      <c r="K296" s="230"/>
      <c r="L296" s="230"/>
      <c r="M296" s="231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2"/>
      <c r="AA296" s="232"/>
      <c r="AB296" s="232"/>
    </row>
    <row r="297" spans="2:28" hidden="1" x14ac:dyDescent="0.35">
      <c r="B297" s="245"/>
      <c r="C297" s="246"/>
      <c r="D297" s="246"/>
      <c r="E297" s="251"/>
      <c r="F297" s="225" t="s">
        <v>423</v>
      </c>
      <c r="G297" s="226" t="s">
        <v>191</v>
      </c>
      <c r="H297" s="227"/>
      <c r="I297" s="228"/>
      <c r="J297" s="229"/>
      <c r="K297" s="230"/>
      <c r="L297" s="230"/>
      <c r="M297" s="231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2"/>
      <c r="AA297" s="232"/>
      <c r="AB297" s="232"/>
    </row>
    <row r="298" spans="2:28" hidden="1" x14ac:dyDescent="0.35">
      <c r="B298" s="248"/>
      <c r="C298" s="249"/>
      <c r="D298" s="249"/>
      <c r="E298" s="250"/>
      <c r="F298" s="225" t="s">
        <v>365</v>
      </c>
      <c r="G298" s="226" t="s">
        <v>205</v>
      </c>
      <c r="H298" s="227"/>
      <c r="I298" s="228"/>
      <c r="J298" s="229"/>
      <c r="K298" s="230"/>
      <c r="L298" s="230"/>
      <c r="M298" s="231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2"/>
      <c r="AA298" s="232"/>
      <c r="AB298" s="232"/>
    </row>
    <row r="299" spans="2:28" x14ac:dyDescent="0.35">
      <c r="B299" s="236"/>
      <c r="C299" s="237"/>
      <c r="D299" s="237"/>
      <c r="E299" s="238" t="s">
        <v>424</v>
      </c>
      <c r="F299" s="225" t="s">
        <v>187</v>
      </c>
      <c r="G299" s="226" t="s">
        <v>188</v>
      </c>
      <c r="H299" s="227"/>
      <c r="I299" s="228"/>
      <c r="J299" s="229"/>
      <c r="K299" s="230"/>
      <c r="L299" s="230"/>
      <c r="M299" s="231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2"/>
      <c r="AA299" s="232"/>
      <c r="AB299" s="232"/>
    </row>
    <row r="300" spans="2:28" hidden="1" x14ac:dyDescent="0.35">
      <c r="B300" s="245"/>
      <c r="C300" s="246"/>
      <c r="D300" s="246"/>
      <c r="E300" s="251"/>
      <c r="F300" s="225" t="s">
        <v>425</v>
      </c>
      <c r="G300" s="226" t="s">
        <v>191</v>
      </c>
      <c r="H300" s="227"/>
      <c r="I300" s="228"/>
      <c r="J300" s="229"/>
      <c r="K300" s="230"/>
      <c r="L300" s="230"/>
      <c r="M300" s="231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2"/>
      <c r="AA300" s="232"/>
      <c r="AB300" s="232"/>
    </row>
    <row r="301" spans="2:28" hidden="1" x14ac:dyDescent="0.35">
      <c r="B301" s="248"/>
      <c r="C301" s="249"/>
      <c r="D301" s="249"/>
      <c r="E301" s="250"/>
      <c r="F301" s="225" t="s">
        <v>365</v>
      </c>
      <c r="G301" s="226" t="s">
        <v>205</v>
      </c>
      <c r="H301" s="227"/>
      <c r="I301" s="228"/>
      <c r="J301" s="229"/>
      <c r="K301" s="230"/>
      <c r="L301" s="230"/>
      <c r="M301" s="231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2"/>
      <c r="AA301" s="232"/>
      <c r="AB301" s="232"/>
    </row>
    <row r="302" spans="2:28" x14ac:dyDescent="0.35">
      <c r="B302" s="236"/>
      <c r="C302" s="237"/>
      <c r="D302" s="237"/>
      <c r="E302" s="238" t="s">
        <v>426</v>
      </c>
      <c r="F302" s="232" t="s">
        <v>187</v>
      </c>
      <c r="G302" s="501" t="s">
        <v>188</v>
      </c>
      <c r="H302" s="319"/>
      <c r="I302" s="320"/>
      <c r="J302" s="232"/>
      <c r="K302" s="501"/>
      <c r="L302" s="501"/>
      <c r="M302" s="502"/>
      <c r="N302" s="321"/>
      <c r="O302" s="233"/>
      <c r="P302" s="233"/>
      <c r="Q302" s="233"/>
      <c r="R302" s="233"/>
      <c r="S302" s="233"/>
      <c r="T302" s="233"/>
      <c r="U302" s="233"/>
      <c r="V302" s="233"/>
      <c r="W302" s="233"/>
      <c r="X302" s="232"/>
      <c r="AA302" s="232"/>
      <c r="AB302" s="232"/>
    </row>
    <row r="303" spans="2:28" hidden="1" x14ac:dyDescent="0.35">
      <c r="B303" s="245"/>
      <c r="C303" s="246"/>
      <c r="D303" s="246"/>
      <c r="E303" s="251"/>
      <c r="F303" s="232" t="s">
        <v>359</v>
      </c>
      <c r="G303" s="501" t="s">
        <v>188</v>
      </c>
      <c r="H303" s="319"/>
      <c r="I303" s="320"/>
      <c r="J303" s="232"/>
      <c r="K303" s="501"/>
      <c r="L303" s="501"/>
      <c r="M303" s="502"/>
      <c r="N303" s="321"/>
      <c r="O303" s="233"/>
      <c r="P303" s="233"/>
      <c r="Q303" s="233"/>
      <c r="R303" s="233"/>
      <c r="S303" s="233"/>
      <c r="T303" s="233"/>
      <c r="U303" s="233"/>
      <c r="V303" s="233"/>
      <c r="W303" s="233"/>
      <c r="X303" s="232"/>
      <c r="AA303" s="232"/>
      <c r="AB303" s="232"/>
    </row>
    <row r="304" spans="2:28" hidden="1" x14ac:dyDescent="0.35">
      <c r="B304" s="245"/>
      <c r="C304" s="246"/>
      <c r="D304" s="246"/>
      <c r="E304" s="251"/>
      <c r="F304" s="232" t="s">
        <v>236</v>
      </c>
      <c r="G304" s="501" t="s">
        <v>188</v>
      </c>
      <c r="H304" s="319"/>
      <c r="I304" s="320"/>
      <c r="J304" s="232"/>
      <c r="K304" s="501"/>
      <c r="L304" s="501"/>
      <c r="M304" s="502"/>
      <c r="N304" s="321"/>
      <c r="O304" s="233"/>
      <c r="P304" s="233"/>
      <c r="Q304" s="233"/>
      <c r="R304" s="233"/>
      <c r="S304" s="233"/>
      <c r="T304" s="233"/>
      <c r="U304" s="233"/>
      <c r="V304" s="233"/>
      <c r="W304" s="233"/>
      <c r="X304" s="232"/>
      <c r="AA304" s="232"/>
      <c r="AB304" s="232"/>
    </row>
    <row r="305" spans="2:28" hidden="1" x14ac:dyDescent="0.35">
      <c r="B305" s="245"/>
      <c r="C305" s="246"/>
      <c r="D305" s="246"/>
      <c r="E305" s="251"/>
      <c r="F305" s="232" t="s">
        <v>360</v>
      </c>
      <c r="G305" s="501" t="s">
        <v>193</v>
      </c>
      <c r="H305" s="319">
        <v>1</v>
      </c>
      <c r="I305" s="320" t="s">
        <v>238</v>
      </c>
      <c r="J305" s="232"/>
      <c r="K305" s="501"/>
      <c r="L305" s="501"/>
      <c r="M305" s="502"/>
      <c r="N305" s="321"/>
      <c r="O305" s="233"/>
      <c r="P305" s="233"/>
      <c r="Q305" s="233"/>
      <c r="R305" s="233"/>
      <c r="S305" s="233"/>
      <c r="T305" s="233"/>
      <c r="U305" s="233"/>
      <c r="V305" s="233"/>
      <c r="W305" s="233"/>
      <c r="X305" s="232"/>
      <c r="AA305" s="232"/>
      <c r="AB305" s="232"/>
    </row>
    <row r="306" spans="2:28" hidden="1" x14ac:dyDescent="0.35">
      <c r="B306" s="245"/>
      <c r="C306" s="246"/>
      <c r="D306" s="246"/>
      <c r="E306" s="251"/>
      <c r="F306" s="232" t="s">
        <v>237</v>
      </c>
      <c r="G306" s="501" t="s">
        <v>193</v>
      </c>
      <c r="H306" s="319">
        <v>4</v>
      </c>
      <c r="I306" s="320" t="s">
        <v>238</v>
      </c>
      <c r="J306" s="232"/>
      <c r="K306" s="501"/>
      <c r="L306" s="501"/>
      <c r="M306" s="502"/>
      <c r="N306" s="321"/>
      <c r="O306" s="233"/>
      <c r="P306" s="233"/>
      <c r="Q306" s="233"/>
      <c r="R306" s="233"/>
      <c r="S306" s="233"/>
      <c r="T306" s="233"/>
      <c r="U306" s="233"/>
      <c r="V306" s="233"/>
      <c r="W306" s="233"/>
      <c r="X306" s="232"/>
      <c r="AA306" s="232"/>
      <c r="AB306" s="232"/>
    </row>
    <row r="307" spans="2:28" hidden="1" x14ac:dyDescent="0.35">
      <c r="B307" s="245"/>
      <c r="C307" s="246"/>
      <c r="D307" s="246"/>
      <c r="E307" s="251"/>
      <c r="F307" s="232" t="s">
        <v>239</v>
      </c>
      <c r="G307" s="501" t="s">
        <v>193</v>
      </c>
      <c r="H307" s="319">
        <v>12</v>
      </c>
      <c r="I307" s="320" t="s">
        <v>238</v>
      </c>
      <c r="J307" s="232"/>
      <c r="K307" s="501"/>
      <c r="L307" s="501"/>
      <c r="M307" s="502"/>
      <c r="N307" s="321"/>
      <c r="O307" s="233"/>
      <c r="P307" s="233"/>
      <c r="Q307" s="233"/>
      <c r="R307" s="233"/>
      <c r="S307" s="233"/>
      <c r="T307" s="233"/>
      <c r="U307" s="233"/>
      <c r="V307" s="233"/>
      <c r="W307" s="233"/>
      <c r="X307" s="232"/>
      <c r="AA307" s="232"/>
      <c r="AB307" s="232"/>
    </row>
    <row r="308" spans="2:28" hidden="1" x14ac:dyDescent="0.35">
      <c r="B308" s="245"/>
      <c r="C308" s="246"/>
      <c r="D308" s="246"/>
      <c r="E308" s="251"/>
      <c r="F308" s="232" t="s">
        <v>241</v>
      </c>
      <c r="G308" s="501" t="s">
        <v>193</v>
      </c>
      <c r="H308" s="319">
        <v>2</v>
      </c>
      <c r="I308" s="320" t="s">
        <v>238</v>
      </c>
      <c r="J308" s="232"/>
      <c r="K308" s="501"/>
      <c r="L308" s="501"/>
      <c r="M308" s="502"/>
      <c r="N308" s="321"/>
      <c r="O308" s="233"/>
      <c r="P308" s="233"/>
      <c r="Q308" s="233"/>
      <c r="R308" s="233"/>
      <c r="S308" s="233"/>
      <c r="T308" s="233"/>
      <c r="U308" s="233"/>
      <c r="V308" s="233"/>
      <c r="W308" s="233"/>
      <c r="X308" s="232"/>
      <c r="AA308" s="232"/>
      <c r="AB308" s="232"/>
    </row>
    <row r="309" spans="2:28" hidden="1" x14ac:dyDescent="0.35">
      <c r="B309" s="245"/>
      <c r="C309" s="246"/>
      <c r="D309" s="246"/>
      <c r="E309" s="251"/>
      <c r="F309" s="232" t="s">
        <v>242</v>
      </c>
      <c r="G309" s="501" t="s">
        <v>193</v>
      </c>
      <c r="H309" s="319">
        <v>1</v>
      </c>
      <c r="I309" s="320" t="s">
        <v>238</v>
      </c>
      <c r="J309" s="232"/>
      <c r="K309" s="501"/>
      <c r="L309" s="501"/>
      <c r="M309" s="502"/>
      <c r="N309" s="362"/>
      <c r="O309" s="233"/>
      <c r="P309" s="233"/>
      <c r="Q309" s="233"/>
      <c r="R309" s="233"/>
      <c r="S309" s="233"/>
      <c r="T309" s="233"/>
      <c r="U309" s="233"/>
      <c r="V309" s="233"/>
      <c r="W309" s="233"/>
      <c r="X309" s="232"/>
      <c r="AA309" s="232"/>
      <c r="AB309" s="232"/>
    </row>
    <row r="310" spans="2:28" hidden="1" x14ac:dyDescent="0.35">
      <c r="B310" s="248"/>
      <c r="C310" s="249"/>
      <c r="D310" s="249"/>
      <c r="E310" s="250"/>
      <c r="F310" s="95" t="s">
        <v>427</v>
      </c>
      <c r="G310" s="501" t="s">
        <v>191</v>
      </c>
      <c r="H310" s="319"/>
      <c r="I310" s="320"/>
      <c r="J310" s="232"/>
      <c r="K310" s="501"/>
      <c r="L310" s="501"/>
      <c r="M310" s="502"/>
      <c r="N310" s="362"/>
      <c r="O310" s="233"/>
      <c r="P310" s="233"/>
      <c r="Q310" s="233"/>
      <c r="R310" s="233"/>
      <c r="S310" s="233"/>
      <c r="T310" s="233"/>
      <c r="U310" s="233"/>
      <c r="V310" s="233"/>
      <c r="W310" s="233"/>
      <c r="X310" s="232"/>
      <c r="AA310" s="232"/>
      <c r="AB310" s="232"/>
    </row>
    <row r="311" spans="2:28" x14ac:dyDescent="0.35">
      <c r="B311" s="236"/>
      <c r="C311" s="237"/>
      <c r="D311" s="237" t="s">
        <v>428</v>
      </c>
      <c r="E311" s="238"/>
      <c r="F311" s="225" t="s">
        <v>187</v>
      </c>
      <c r="G311" s="226" t="s">
        <v>188</v>
      </c>
      <c r="H311" s="227"/>
      <c r="I311" s="228"/>
      <c r="J311" s="229"/>
      <c r="K311" s="230"/>
      <c r="L311" s="230">
        <v>1</v>
      </c>
      <c r="M311" s="231">
        <v>6</v>
      </c>
      <c r="N311" s="235">
        <v>1</v>
      </c>
      <c r="O311" s="233"/>
      <c r="P311" s="233"/>
      <c r="Q311" s="233"/>
      <c r="R311" s="233"/>
      <c r="S311" s="233"/>
      <c r="T311" s="233"/>
      <c r="U311" s="233"/>
      <c r="V311" s="233"/>
      <c r="W311" s="233"/>
      <c r="X311" s="232"/>
      <c r="AA311" s="232"/>
      <c r="AB311" s="232"/>
    </row>
    <row r="312" spans="2:28" hidden="1" x14ac:dyDescent="0.35">
      <c r="B312" s="248"/>
      <c r="C312" s="249"/>
      <c r="D312" s="249"/>
      <c r="E312" s="250"/>
      <c r="F312" s="225" t="s">
        <v>429</v>
      </c>
      <c r="G312" s="226" t="s">
        <v>367</v>
      </c>
      <c r="H312" s="227"/>
      <c r="I312" s="228"/>
      <c r="J312" s="229"/>
      <c r="K312" s="230"/>
      <c r="L312" s="230">
        <v>1</v>
      </c>
      <c r="M312" s="231">
        <v>40</v>
      </c>
      <c r="N312" s="235">
        <v>1</v>
      </c>
      <c r="O312" s="233"/>
      <c r="P312" s="233"/>
      <c r="Q312" s="233"/>
      <c r="R312" s="233"/>
      <c r="S312" s="233"/>
      <c r="T312" s="233"/>
      <c r="U312" s="233"/>
      <c r="V312" s="233"/>
      <c r="W312" s="233"/>
      <c r="X312" s="232"/>
      <c r="AA312" s="232"/>
      <c r="AB312" s="232"/>
    </row>
    <row r="313" spans="2:28" x14ac:dyDescent="0.35">
      <c r="B313" s="236"/>
      <c r="C313" s="237"/>
      <c r="D313" s="237" t="s">
        <v>363</v>
      </c>
      <c r="E313" s="238"/>
      <c r="F313" s="225" t="s">
        <v>187</v>
      </c>
      <c r="G313" s="226" t="s">
        <v>188</v>
      </c>
      <c r="H313" s="227"/>
      <c r="I313" s="228"/>
      <c r="J313" s="229"/>
      <c r="K313" s="230"/>
      <c r="L313" s="230"/>
      <c r="M313" s="231"/>
      <c r="N313" s="235"/>
      <c r="O313" s="233"/>
      <c r="P313" s="233"/>
      <c r="Q313" s="233"/>
      <c r="R313" s="233"/>
      <c r="S313" s="233"/>
      <c r="T313" s="233"/>
      <c r="U313" s="233"/>
      <c r="V313" s="233"/>
      <c r="W313" s="233"/>
      <c r="X313" s="232"/>
      <c r="AA313" s="232"/>
      <c r="AB313" s="232"/>
    </row>
    <row r="314" spans="2:28" hidden="1" x14ac:dyDescent="0.35">
      <c r="B314" s="245"/>
      <c r="C314" s="246"/>
      <c r="D314" s="246"/>
      <c r="E314" s="251"/>
      <c r="F314" s="225" t="s">
        <v>430</v>
      </c>
      <c r="G314" s="226" t="s">
        <v>191</v>
      </c>
      <c r="H314" s="227"/>
      <c r="I314" s="228"/>
      <c r="J314" s="229"/>
      <c r="K314" s="230"/>
      <c r="L314" s="230"/>
      <c r="M314" s="231"/>
      <c r="N314" s="235"/>
      <c r="O314" s="233"/>
      <c r="P314" s="233"/>
      <c r="Q314" s="233"/>
      <c r="R314" s="233"/>
      <c r="S314" s="233"/>
      <c r="T314" s="233"/>
      <c r="U314" s="233"/>
      <c r="V314" s="233"/>
      <c r="W314" s="233"/>
      <c r="X314" s="232"/>
      <c r="AA314" s="232"/>
      <c r="AB314" s="232"/>
    </row>
    <row r="315" spans="2:28" hidden="1" x14ac:dyDescent="0.35">
      <c r="B315" s="248"/>
      <c r="C315" s="249"/>
      <c r="D315" s="249"/>
      <c r="E315" s="250"/>
      <c r="F315" s="225" t="s">
        <v>365</v>
      </c>
      <c r="G315" s="226" t="s">
        <v>205</v>
      </c>
      <c r="H315" s="227"/>
      <c r="I315" s="228"/>
      <c r="J315" s="229"/>
      <c r="K315" s="230"/>
      <c r="L315" s="230"/>
      <c r="M315" s="231"/>
      <c r="N315" s="235"/>
      <c r="O315" s="233"/>
      <c r="P315" s="233"/>
      <c r="Q315" s="233"/>
      <c r="R315" s="233"/>
      <c r="S315" s="233"/>
      <c r="T315" s="233"/>
      <c r="U315" s="233"/>
      <c r="V315" s="233"/>
      <c r="W315" s="233"/>
      <c r="X315" s="232"/>
      <c r="AA315" s="232"/>
      <c r="AB315" s="232"/>
    </row>
    <row r="316" spans="2:28" x14ac:dyDescent="0.35">
      <c r="B316" s="227"/>
      <c r="C316" s="228"/>
      <c r="D316" s="228" t="s">
        <v>366</v>
      </c>
      <c r="E316" s="247"/>
      <c r="F316" s="225"/>
      <c r="G316" s="226"/>
      <c r="H316" s="227"/>
      <c r="I316" s="228"/>
      <c r="J316" s="229"/>
      <c r="K316" s="230"/>
      <c r="L316" s="230"/>
      <c r="M316" s="231"/>
      <c r="N316" s="235"/>
      <c r="O316" s="233"/>
      <c r="P316" s="233"/>
      <c r="Q316" s="233"/>
      <c r="R316" s="233"/>
      <c r="S316" s="233"/>
      <c r="T316" s="233"/>
      <c r="U316" s="233"/>
      <c r="V316" s="233"/>
      <c r="W316" s="233"/>
      <c r="X316" s="232"/>
      <c r="AA316" s="232"/>
      <c r="AB316" s="232"/>
    </row>
    <row r="317" spans="2:28" x14ac:dyDescent="0.35">
      <c r="B317" s="236"/>
      <c r="C317" s="237"/>
      <c r="D317" s="237"/>
      <c r="E317" s="238" t="s">
        <v>142</v>
      </c>
      <c r="F317" s="225" t="s">
        <v>368</v>
      </c>
      <c r="G317" s="226" t="s">
        <v>367</v>
      </c>
      <c r="H317" s="227"/>
      <c r="I317" s="228"/>
      <c r="J317" s="229"/>
      <c r="K317" s="361"/>
      <c r="L317" s="361"/>
      <c r="M317" s="328">
        <v>1</v>
      </c>
      <c r="N317" s="362">
        <v>1</v>
      </c>
      <c r="O317" s="373"/>
      <c r="P317" s="373"/>
      <c r="Q317" s="373"/>
      <c r="R317" s="373"/>
      <c r="S317" s="373"/>
      <c r="T317" s="373"/>
      <c r="U317" s="373"/>
      <c r="V317" s="373"/>
      <c r="W317" s="373"/>
      <c r="X317" s="232"/>
      <c r="AA317" s="232"/>
      <c r="AB317" s="232"/>
    </row>
    <row r="318" spans="2:28" hidden="1" x14ac:dyDescent="0.35">
      <c r="B318" s="245"/>
      <c r="C318" s="246"/>
      <c r="D318" s="246"/>
      <c r="E318" s="251"/>
      <c r="F318" s="225" t="s">
        <v>365</v>
      </c>
      <c r="G318" s="226" t="s">
        <v>205</v>
      </c>
      <c r="H318" s="227"/>
      <c r="I318" s="228"/>
      <c r="J318" s="229"/>
      <c r="K318" s="361"/>
      <c r="L318" s="361"/>
      <c r="M318" s="328">
        <v>5.0000000000000001E-3</v>
      </c>
      <c r="N318" s="362">
        <v>1</v>
      </c>
      <c r="O318" s="233"/>
      <c r="P318" s="233"/>
      <c r="Q318" s="233"/>
      <c r="R318" s="233"/>
      <c r="S318" s="233"/>
      <c r="T318" s="233"/>
      <c r="U318" s="233"/>
      <c r="V318" s="233"/>
      <c r="W318" s="233"/>
      <c r="X318" s="232"/>
      <c r="AA318" s="232"/>
      <c r="AB318" s="232"/>
    </row>
    <row r="319" spans="2:28" hidden="1" x14ac:dyDescent="0.35">
      <c r="B319" s="248"/>
      <c r="C319" s="249"/>
      <c r="D319" s="249"/>
      <c r="E319" s="250"/>
      <c r="F319" s="232" t="s">
        <v>370</v>
      </c>
      <c r="G319" s="501" t="s">
        <v>367</v>
      </c>
      <c r="H319" s="319"/>
      <c r="I319" s="320"/>
      <c r="J319" s="232"/>
      <c r="K319" s="361"/>
      <c r="L319" s="361"/>
      <c r="M319" s="328">
        <v>1</v>
      </c>
      <c r="N319" s="362">
        <v>1</v>
      </c>
      <c r="O319" s="233"/>
      <c r="P319" s="233"/>
      <c r="Q319" s="233"/>
      <c r="R319" s="233"/>
      <c r="S319" s="233"/>
      <c r="T319" s="233"/>
      <c r="U319" s="233"/>
      <c r="V319" s="233"/>
      <c r="W319" s="233"/>
      <c r="X319" s="232"/>
      <c r="AA319" s="232"/>
      <c r="AB319" s="232"/>
    </row>
    <row r="320" spans="2:28" x14ac:dyDescent="0.35">
      <c r="B320" s="236"/>
      <c r="C320" s="237"/>
      <c r="D320" s="237"/>
      <c r="E320" s="238" t="s">
        <v>144</v>
      </c>
      <c r="F320" s="225" t="s">
        <v>371</v>
      </c>
      <c r="G320" s="226" t="s">
        <v>367</v>
      </c>
      <c r="H320" s="227"/>
      <c r="I320" s="228"/>
      <c r="J320" s="229"/>
      <c r="K320" s="361"/>
      <c r="L320" s="361"/>
      <c r="M320" s="328">
        <v>1</v>
      </c>
      <c r="N320" s="362">
        <v>1</v>
      </c>
      <c r="O320" s="233"/>
      <c r="P320" s="233"/>
      <c r="Q320" s="233"/>
      <c r="R320" s="233"/>
      <c r="S320" s="233"/>
      <c r="T320" s="233"/>
      <c r="U320" s="233"/>
      <c r="V320" s="233"/>
      <c r="W320" s="233"/>
      <c r="X320" s="232"/>
      <c r="AA320" s="232"/>
      <c r="AB320" s="232"/>
    </row>
    <row r="321" spans="2:29" hidden="1" x14ac:dyDescent="0.35">
      <c r="B321" s="248"/>
      <c r="C321" s="249"/>
      <c r="D321" s="249"/>
      <c r="E321" s="250"/>
      <c r="F321" s="225" t="s">
        <v>431</v>
      </c>
      <c r="G321" s="226" t="s">
        <v>191</v>
      </c>
      <c r="H321" s="227"/>
      <c r="I321" s="228"/>
      <c r="J321" s="229"/>
      <c r="K321" s="361"/>
      <c r="L321" s="361"/>
      <c r="M321" s="328">
        <v>1</v>
      </c>
      <c r="N321" s="362">
        <v>1</v>
      </c>
      <c r="O321" s="233"/>
      <c r="P321" s="233"/>
      <c r="Q321" s="233"/>
      <c r="R321" s="233"/>
      <c r="S321" s="233"/>
      <c r="T321" s="233"/>
      <c r="U321" s="233"/>
      <c r="V321" s="233"/>
      <c r="W321" s="233"/>
      <c r="X321" s="232"/>
      <c r="AA321" s="232"/>
      <c r="AB321" s="232"/>
    </row>
    <row r="322" spans="2:29" s="415" customFormat="1" x14ac:dyDescent="0.35">
      <c r="B322" s="367" t="s">
        <v>432</v>
      </c>
      <c r="C322" s="368"/>
      <c r="D322" s="368"/>
      <c r="E322" s="369"/>
      <c r="F322" s="389"/>
      <c r="G322" s="390"/>
      <c r="H322" s="391"/>
      <c r="I322" s="392"/>
      <c r="J322" s="393"/>
      <c r="K322" s="394"/>
      <c r="L322" s="394"/>
      <c r="M322" s="395"/>
      <c r="N322" s="343"/>
      <c r="O322" s="343"/>
      <c r="P322" s="343"/>
      <c r="Q322" s="385">
        <f>SUM(Q276:Q321)</f>
        <v>31464495.117187999</v>
      </c>
      <c r="R322" s="343"/>
      <c r="S322" s="343" t="e">
        <f>SUM(S249:S321)</f>
        <v>#N/A</v>
      </c>
      <c r="T322" s="343"/>
      <c r="U322" s="343" t="e">
        <f>SUM(U249:U321)</f>
        <v>#N/A</v>
      </c>
      <c r="V322" s="343"/>
      <c r="W322" s="343" t="e">
        <f>SUM(W249:W321)</f>
        <v>#N/A</v>
      </c>
      <c r="X322" s="396"/>
      <c r="Y322" s="412"/>
      <c r="Z322" s="412"/>
      <c r="AA322" s="385">
        <f>Q322/$D$2</f>
        <v>163809.32484999998</v>
      </c>
      <c r="AB322" s="344">
        <f>Q322/$Q$332*100</f>
        <v>0.35186914687207632</v>
      </c>
      <c r="AC322" s="412"/>
    </row>
    <row r="323" spans="2:29" s="415" customFormat="1" x14ac:dyDescent="0.35">
      <c r="B323" s="399" t="s">
        <v>433</v>
      </c>
      <c r="C323" s="400"/>
      <c r="D323" s="400"/>
      <c r="E323" s="401"/>
      <c r="F323" s="402"/>
      <c r="G323" s="403"/>
      <c r="H323" s="404"/>
      <c r="I323" s="405"/>
      <c r="J323" s="406"/>
      <c r="K323" s="407"/>
      <c r="L323" s="407"/>
      <c r="M323" s="408"/>
      <c r="N323" s="409"/>
      <c r="O323" s="409"/>
      <c r="P323" s="409"/>
      <c r="Q323" s="410">
        <f>Q210+Q233+Q251+Q274+Q322</f>
        <v>3860542183.6680713</v>
      </c>
      <c r="R323" s="409"/>
      <c r="S323" s="409" t="e">
        <f>SUM(S235:S321)</f>
        <v>#N/A</v>
      </c>
      <c r="T323" s="409"/>
      <c r="U323" s="409" t="e">
        <f>SUM(U235:U321)</f>
        <v>#N/A</v>
      </c>
      <c r="V323" s="409"/>
      <c r="W323" s="409" t="e">
        <f>SUM(W235:W321)</f>
        <v>#N/A</v>
      </c>
      <c r="X323" s="416"/>
      <c r="Y323" s="503"/>
      <c r="Z323" s="503"/>
      <c r="AA323" s="504">
        <f>Q323/192.08</f>
        <v>20098616.11655597</v>
      </c>
      <c r="AB323" s="414">
        <f>Q323/$Q$332*100</f>
        <v>43.1726515735158</v>
      </c>
      <c r="AC323" s="412"/>
    </row>
    <row r="324" spans="2:29" x14ac:dyDescent="0.35">
      <c r="B324" s="227"/>
      <c r="C324" s="223" t="s">
        <v>434</v>
      </c>
      <c r="D324" s="228"/>
      <c r="E324" s="247"/>
      <c r="F324" s="225"/>
      <c r="G324" s="226" t="s">
        <v>189</v>
      </c>
      <c r="H324" s="227"/>
      <c r="I324" s="228"/>
      <c r="J324" s="229"/>
      <c r="K324" s="230"/>
      <c r="L324" s="230"/>
      <c r="M324" s="231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2"/>
      <c r="AA324" s="232"/>
      <c r="AB324" s="232"/>
    </row>
    <row r="325" spans="2:29" x14ac:dyDescent="0.35">
      <c r="B325" s="236"/>
      <c r="C325" s="237"/>
      <c r="D325" s="237" t="s">
        <v>153</v>
      </c>
      <c r="E325" s="306"/>
      <c r="F325" s="273" t="s">
        <v>187</v>
      </c>
      <c r="G325" s="274" t="s">
        <v>188</v>
      </c>
      <c r="H325" s="275"/>
      <c r="I325" s="276"/>
      <c r="J325" s="277"/>
      <c r="K325" s="278">
        <v>1</v>
      </c>
      <c r="L325" s="230">
        <v>131.71260000000001</v>
      </c>
      <c r="M325" s="235">
        <v>1</v>
      </c>
      <c r="N325" s="235">
        <v>12</v>
      </c>
      <c r="O325" s="233">
        <f>K325*M325*L325*N325</f>
        <v>1580.5512000000001</v>
      </c>
      <c r="P325" s="233">
        <v>140008</v>
      </c>
      <c r="Q325" s="233">
        <f>O325*P325</f>
        <v>221289812.40960002</v>
      </c>
      <c r="R325" s="233">
        <v>149108.51999999999</v>
      </c>
      <c r="S325" s="233">
        <f>R325*O325</f>
        <v>235673650.21622398</v>
      </c>
      <c r="T325" s="233">
        <v>158800.57379999998</v>
      </c>
      <c r="U325" s="233">
        <f>T325*O325</f>
        <v>250992437.48027855</v>
      </c>
      <c r="V325" s="233">
        <f>W325/O325</f>
        <v>149305.69793333331</v>
      </c>
      <c r="W325" s="233">
        <f>(Q325+S325+U325)/3</f>
        <v>235985300.03536749</v>
      </c>
      <c r="X325" s="481" t="s">
        <v>435</v>
      </c>
      <c r="Z325" s="417">
        <f>W325*1000</f>
        <v>235985300035.36749</v>
      </c>
      <c r="AA325" s="505">
        <f>Q325/$D$2</f>
        <v>1152071.0766847148</v>
      </c>
      <c r="AB325" s="232"/>
    </row>
    <row r="326" spans="2:29" x14ac:dyDescent="0.35">
      <c r="B326" s="245"/>
      <c r="C326" s="246"/>
      <c r="D326" s="246"/>
      <c r="E326" s="244"/>
      <c r="F326" s="273" t="s">
        <v>436</v>
      </c>
      <c r="G326" s="274" t="s">
        <v>437</v>
      </c>
      <c r="H326" s="275"/>
      <c r="I326" s="276"/>
      <c r="J326" s="277"/>
      <c r="K326" s="278"/>
      <c r="L326" s="230">
        <v>140.97999999999999</v>
      </c>
      <c r="M326" s="235">
        <v>1</v>
      </c>
      <c r="N326" s="235">
        <v>12</v>
      </c>
      <c r="O326" s="233">
        <f>K326*M326*L326*N326</f>
        <v>0</v>
      </c>
      <c r="P326" s="233">
        <v>2498.34</v>
      </c>
      <c r="Q326" s="233">
        <f>O326*P326</f>
        <v>0</v>
      </c>
      <c r="R326" s="233">
        <v>2623.2570000000001</v>
      </c>
      <c r="S326" s="233">
        <f>R326*O326</f>
        <v>0</v>
      </c>
      <c r="T326" s="233">
        <v>2754.4198500000002</v>
      </c>
      <c r="U326" s="233">
        <f>T326*O326</f>
        <v>0</v>
      </c>
      <c r="V326" s="233" t="e">
        <f>W326/O326</f>
        <v>#DIV/0!</v>
      </c>
      <c r="W326" s="233">
        <f>(Q326+S326+U326)/3</f>
        <v>0</v>
      </c>
      <c r="X326" s="232"/>
      <c r="AA326" s="374"/>
      <c r="AB326" s="232"/>
    </row>
    <row r="327" spans="2:29" x14ac:dyDescent="0.35">
      <c r="B327" s="248"/>
      <c r="C327" s="249"/>
      <c r="D327" s="249"/>
      <c r="E327" s="308"/>
      <c r="F327" s="273" t="s">
        <v>438</v>
      </c>
      <c r="G327" s="274" t="s">
        <v>437</v>
      </c>
      <c r="H327" s="275"/>
      <c r="I327" s="276"/>
      <c r="J327" s="277"/>
      <c r="K327" s="278">
        <v>1</v>
      </c>
      <c r="L327" s="230">
        <v>192.08</v>
      </c>
      <c r="M327" s="235">
        <v>12</v>
      </c>
      <c r="N327" s="235">
        <v>12</v>
      </c>
      <c r="O327" s="233">
        <f>K327*M327*L327*N327</f>
        <v>27659.52</v>
      </c>
      <c r="P327" s="233">
        <v>1213.03</v>
      </c>
      <c r="Q327" s="233">
        <f>O327*P327</f>
        <v>33551827.545600001</v>
      </c>
      <c r="R327" s="233">
        <v>1273.6814999999999</v>
      </c>
      <c r="S327" s="233">
        <f>R327*O327</f>
        <v>35229418.922880001</v>
      </c>
      <c r="T327" s="233">
        <v>1337.365575</v>
      </c>
      <c r="U327" s="233">
        <f>T327*O327</f>
        <v>36990889.869024001</v>
      </c>
      <c r="V327" s="233">
        <f>W327/O327</f>
        <v>1274.6923583333335</v>
      </c>
      <c r="W327" s="233">
        <f>(Q327+S327+U327)/3</f>
        <v>35257378.779168002</v>
      </c>
      <c r="X327" s="232"/>
      <c r="AA327" s="505">
        <f t="shared" ref="AA327:AA329" si="59">Q327/$D$2</f>
        <v>174676.32</v>
      </c>
      <c r="AB327" s="232"/>
    </row>
    <row r="328" spans="2:29" x14ac:dyDescent="0.35">
      <c r="B328" s="236"/>
      <c r="C328" s="237"/>
      <c r="D328" s="237" t="s">
        <v>439</v>
      </c>
      <c r="E328" s="306"/>
      <c r="F328" s="232" t="s">
        <v>187</v>
      </c>
      <c r="G328" s="318" t="s">
        <v>188</v>
      </c>
      <c r="H328" s="319"/>
      <c r="I328" s="320"/>
      <c r="J328" s="318" t="s">
        <v>189</v>
      </c>
      <c r="K328" s="420">
        <v>1</v>
      </c>
      <c r="L328" s="506">
        <v>192.08</v>
      </c>
      <c r="M328" s="240">
        <v>0.2</v>
      </c>
      <c r="N328" s="372">
        <v>12</v>
      </c>
      <c r="O328" s="507">
        <f>K328*L328*M328*N328</f>
        <v>460.99200000000008</v>
      </c>
      <c r="P328" s="301">
        <v>149108.51999999999</v>
      </c>
      <c r="Q328" s="492">
        <f>P328*$O328</f>
        <v>68737834.851840004</v>
      </c>
      <c r="R328" s="235">
        <v>149108.51999999999</v>
      </c>
      <c r="S328" s="492">
        <f>R328*$O328</f>
        <v>68737834.851840004</v>
      </c>
      <c r="T328" s="233"/>
      <c r="U328" s="233"/>
      <c r="V328" s="233"/>
      <c r="W328" s="233"/>
      <c r="X328" s="232"/>
      <c r="AA328" s="505">
        <f t="shared" si="59"/>
        <v>357860.44799999997</v>
      </c>
      <c r="AB328" s="232"/>
    </row>
    <row r="329" spans="2:29" x14ac:dyDescent="0.35">
      <c r="B329" s="248"/>
      <c r="C329" s="249"/>
      <c r="D329" s="249"/>
      <c r="E329" s="250"/>
      <c r="F329" s="232" t="s">
        <v>440</v>
      </c>
      <c r="G329" s="318" t="s">
        <v>351</v>
      </c>
      <c r="H329" s="319"/>
      <c r="I329" s="320"/>
      <c r="J329" s="318" t="s">
        <v>189</v>
      </c>
      <c r="K329" s="420">
        <v>1</v>
      </c>
      <c r="L329" s="506">
        <v>192.08</v>
      </c>
      <c r="M329" s="500">
        <v>0.08</v>
      </c>
      <c r="N329" s="372">
        <v>12</v>
      </c>
      <c r="O329" s="507">
        <f>K329*L329*M329*N329</f>
        <v>184.39680000000001</v>
      </c>
      <c r="P329" s="301">
        <v>21000</v>
      </c>
      <c r="Q329" s="492">
        <f>P329*$O329</f>
        <v>3872332.8000000003</v>
      </c>
      <c r="R329" s="235">
        <v>21000</v>
      </c>
      <c r="S329" s="492">
        <f>R329*$O329</f>
        <v>3872332.8000000003</v>
      </c>
      <c r="T329" s="233"/>
      <c r="U329" s="233"/>
      <c r="V329" s="233"/>
      <c r="W329" s="233"/>
      <c r="X329" s="232"/>
      <c r="AA329" s="505">
        <f t="shared" si="59"/>
        <v>20160</v>
      </c>
      <c r="AB329" s="232"/>
    </row>
    <row r="330" spans="2:29" x14ac:dyDescent="0.35">
      <c r="B330" s="227"/>
      <c r="C330" s="228"/>
      <c r="D330" s="228" t="s">
        <v>441</v>
      </c>
      <c r="E330" s="247"/>
      <c r="F330" s="225" t="s">
        <v>187</v>
      </c>
      <c r="G330" s="226" t="s">
        <v>188</v>
      </c>
      <c r="H330" s="227"/>
      <c r="I330" s="228"/>
      <c r="J330" s="229"/>
      <c r="K330" s="239"/>
      <c r="L330" s="230"/>
      <c r="M330" s="231"/>
      <c r="N330" s="235"/>
      <c r="O330" s="233"/>
      <c r="P330" s="233"/>
      <c r="Q330" s="233"/>
      <c r="R330" s="233"/>
      <c r="S330" s="233"/>
      <c r="T330" s="233"/>
      <c r="U330" s="233"/>
      <c r="V330" s="233"/>
      <c r="W330" s="233"/>
      <c r="X330" s="232"/>
      <c r="AA330" s="232"/>
      <c r="AB330" s="232"/>
    </row>
    <row r="331" spans="2:29" x14ac:dyDescent="0.35">
      <c r="B331" s="399" t="s">
        <v>442</v>
      </c>
      <c r="C331" s="400"/>
      <c r="D331" s="400"/>
      <c r="E331" s="401"/>
      <c r="F331" s="508"/>
      <c r="G331" s="509"/>
      <c r="H331" s="510"/>
      <c r="I331" s="511"/>
      <c r="J331" s="512"/>
      <c r="K331" s="513"/>
      <c r="L331" s="513"/>
      <c r="M331" s="514"/>
      <c r="N331" s="515"/>
      <c r="O331" s="515"/>
      <c r="P331" s="515"/>
      <c r="Q331" s="410">
        <f>SUM(Q325:Q330)</f>
        <v>327451807.60704005</v>
      </c>
      <c r="R331" s="515"/>
      <c r="S331" s="409">
        <f>SUM(S325:S330)</f>
        <v>343513236.79094404</v>
      </c>
      <c r="T331" s="515"/>
      <c r="U331" s="409">
        <f>SUM(U325:U330)</f>
        <v>287983327.34930253</v>
      </c>
      <c r="V331" s="515"/>
      <c r="W331" s="409">
        <f>SUM(W325:W330)</f>
        <v>271242678.8145355</v>
      </c>
      <c r="X331" s="516"/>
      <c r="Y331" s="517"/>
      <c r="Z331" s="517"/>
      <c r="AA331" s="504">
        <f>Q331/192.08</f>
        <v>1704767.8446847149</v>
      </c>
      <c r="AB331" s="414">
        <f>Q331/$Q$332*100</f>
        <v>3.6619112353551642</v>
      </c>
    </row>
    <row r="332" spans="2:29" ht="14.25" customHeight="1" x14ac:dyDescent="0.35">
      <c r="B332" s="518" t="s">
        <v>443</v>
      </c>
      <c r="C332" s="519"/>
      <c r="D332" s="519"/>
      <c r="E332" s="520"/>
      <c r="F332" s="521"/>
      <c r="G332" s="522"/>
      <c r="H332" s="523"/>
      <c r="I332" s="524"/>
      <c r="J332" s="525"/>
      <c r="K332" s="526"/>
      <c r="L332" s="526"/>
      <c r="M332" s="527"/>
      <c r="N332" s="528"/>
      <c r="O332" s="528"/>
      <c r="P332" s="528"/>
      <c r="Q332" s="529">
        <f>Q159+Q323+Q331</f>
        <v>8942101175.0788898</v>
      </c>
      <c r="R332" s="233"/>
      <c r="S332" s="530" t="e">
        <f>S159+S233+S323+S331</f>
        <v>#N/A</v>
      </c>
      <c r="T332" s="233"/>
      <c r="U332" s="530" t="e">
        <f>U159+U233+U323+U331</f>
        <v>#N/A</v>
      </c>
      <c r="V332" s="233"/>
      <c r="W332" s="530" t="e">
        <f>W159+W233+W323+W331</f>
        <v>#N/A</v>
      </c>
      <c r="X332" s="516"/>
      <c r="Y332" s="517"/>
      <c r="Z332" s="517"/>
      <c r="AA332" s="504">
        <f>Q332/192.08</f>
        <v>46554046.100993797</v>
      </c>
      <c r="AB332" s="504">
        <f>Q332/$Q$332*100</f>
        <v>100</v>
      </c>
    </row>
    <row r="333" spans="2:29" ht="14.25" hidden="1" customHeight="1" x14ac:dyDescent="0.35">
      <c r="B333" s="227"/>
      <c r="C333" s="228"/>
      <c r="D333" s="228"/>
      <c r="E333" s="224" t="s">
        <v>444</v>
      </c>
      <c r="F333" s="225"/>
      <c r="G333" s="226"/>
      <c r="H333" s="227"/>
      <c r="I333" s="228"/>
      <c r="J333" s="229"/>
      <c r="K333" s="230"/>
      <c r="L333" s="230"/>
      <c r="M333" s="231"/>
      <c r="N333" s="233"/>
      <c r="O333" s="233"/>
      <c r="P333" s="233"/>
      <c r="Q333" s="530"/>
      <c r="R333" s="233"/>
      <c r="S333" s="530" t="e">
        <f>S160+S233+S323+S331</f>
        <v>#REF!</v>
      </c>
      <c r="T333" s="233"/>
      <c r="U333" s="530" t="e">
        <f>U160+U233+U323+U331</f>
        <v>#REF!</v>
      </c>
      <c r="V333" s="233"/>
      <c r="W333" s="530" t="e">
        <f>W160+W233+W323+W331</f>
        <v>#REF!</v>
      </c>
      <c r="X333" s="232"/>
      <c r="AA333" s="232"/>
      <c r="AB333" s="232"/>
    </row>
    <row r="335" spans="2:29" hidden="1" x14ac:dyDescent="0.35">
      <c r="B335" s="162" t="s">
        <v>445</v>
      </c>
      <c r="E335" s="162" t="s">
        <v>446</v>
      </c>
      <c r="Q335" s="417">
        <f>Q159</f>
        <v>4754107183.8037786</v>
      </c>
      <c r="S335" s="417">
        <f>S159</f>
        <v>3198641522.0335183</v>
      </c>
      <c r="U335" s="417">
        <f>U159</f>
        <v>3383835247.8584375</v>
      </c>
      <c r="W335" s="417">
        <f>W159</f>
        <v>3262632273.6213975</v>
      </c>
      <c r="X335" s="531">
        <v>4403451913</v>
      </c>
    </row>
    <row r="336" spans="2:29" hidden="1" x14ac:dyDescent="0.35">
      <c r="E336" s="162" t="s">
        <v>447</v>
      </c>
      <c r="Q336" s="417">
        <f>Q233</f>
        <v>153480716.80240718</v>
      </c>
      <c r="S336" s="417" t="e">
        <f>S233</f>
        <v>#N/A</v>
      </c>
      <c r="U336" s="417" t="e">
        <f>U233</f>
        <v>#N/A</v>
      </c>
      <c r="W336" s="417" t="e">
        <f>W233</f>
        <v>#N/A</v>
      </c>
      <c r="X336" s="94">
        <v>192.08</v>
      </c>
    </row>
    <row r="337" spans="2:24" hidden="1" x14ac:dyDescent="0.35">
      <c r="E337" s="162" t="s">
        <v>448</v>
      </c>
      <c r="Q337" s="417">
        <f>Q323+Q331</f>
        <v>4187993991.2751112</v>
      </c>
      <c r="S337" s="417" t="e">
        <f>S323+S331</f>
        <v>#N/A</v>
      </c>
      <c r="U337" s="417" t="e">
        <f>U323+U331</f>
        <v>#N/A</v>
      </c>
      <c r="W337" s="417" t="e">
        <f>W323+W331</f>
        <v>#N/A</v>
      </c>
      <c r="X337" s="161">
        <f>X335/X336</f>
        <v>22925093.258017492</v>
      </c>
    </row>
    <row r="338" spans="2:24" hidden="1" x14ac:dyDescent="0.35">
      <c r="D338" s="532"/>
      <c r="E338" s="532" t="s">
        <v>449</v>
      </c>
      <c r="Q338" s="533">
        <f>SUM(Q335:Q337)</f>
        <v>9095581891.8812981</v>
      </c>
      <c r="S338" s="533" t="e">
        <f>SUM(S335:S337)</f>
        <v>#N/A</v>
      </c>
      <c r="U338" s="533" t="e">
        <f>SUM(U335:U337)</f>
        <v>#N/A</v>
      </c>
      <c r="W338" s="533" t="e">
        <f>SUM(W335:W337)</f>
        <v>#N/A</v>
      </c>
    </row>
    <row r="339" spans="2:24" hidden="1" x14ac:dyDescent="0.35">
      <c r="E339" s="162" t="s">
        <v>450</v>
      </c>
      <c r="Q339" s="417">
        <v>8312350.2295139572</v>
      </c>
      <c r="S339" s="417">
        <v>8806702.7758242767</v>
      </c>
      <c r="U339" s="417">
        <v>9358867.8296416011</v>
      </c>
      <c r="W339" s="417">
        <v>8825973.6116599441</v>
      </c>
    </row>
    <row r="340" spans="2:24" hidden="1" x14ac:dyDescent="0.35">
      <c r="E340" s="162" t="s">
        <v>451</v>
      </c>
      <c r="Q340" s="417">
        <v>9187460.1098226663</v>
      </c>
      <c r="S340" s="417">
        <v>9737037.9488375001</v>
      </c>
      <c r="U340" s="417">
        <v>10320570.522023778</v>
      </c>
      <c r="W340" s="417">
        <v>9748356.1935613137</v>
      </c>
    </row>
    <row r="341" spans="2:24" hidden="1" x14ac:dyDescent="0.35">
      <c r="E341" s="162" t="s">
        <v>452</v>
      </c>
      <c r="Q341" s="417">
        <v>10347754.554240417</v>
      </c>
      <c r="S341" s="417">
        <v>10976935.955994632</v>
      </c>
      <c r="U341" s="417">
        <v>11645972.994754417</v>
      </c>
      <c r="W341" s="417">
        <v>10990221.16832982</v>
      </c>
    </row>
    <row r="342" spans="2:24" hidden="1" x14ac:dyDescent="0.35">
      <c r="Q342" s="533">
        <f>SUM(Q339:Q341)</f>
        <v>27847564.893577039</v>
      </c>
      <c r="S342" s="533">
        <f>SUM(S339:S341)</f>
        <v>29520676.680656407</v>
      </c>
      <c r="U342" s="533">
        <f>SUM(U339:U341)</f>
        <v>31325411.346419796</v>
      </c>
      <c r="W342" s="533">
        <f>SUM(W339:W341)</f>
        <v>29564550.97355108</v>
      </c>
    </row>
    <row r="343" spans="2:24" hidden="1" x14ac:dyDescent="0.35">
      <c r="E343" s="532" t="s">
        <v>453</v>
      </c>
      <c r="Q343" s="533">
        <f>Q342+Q338</f>
        <v>9123429456.7748756</v>
      </c>
      <c r="S343" s="533" t="e">
        <f>S342+S338</f>
        <v>#N/A</v>
      </c>
      <c r="U343" s="533" t="e">
        <f>U342+U338</f>
        <v>#N/A</v>
      </c>
      <c r="W343" s="533" t="e">
        <f>W342+W338</f>
        <v>#N/A</v>
      </c>
    </row>
    <row r="344" spans="2:24" hidden="1" x14ac:dyDescent="0.35"/>
    <row r="345" spans="2:24" hidden="1" x14ac:dyDescent="0.35">
      <c r="B345" s="162" t="s">
        <v>454</v>
      </c>
      <c r="E345" s="162" t="s">
        <v>446</v>
      </c>
      <c r="Q345" s="417">
        <f>Q160</f>
        <v>0</v>
      </c>
      <c r="S345" s="417" t="e">
        <f>S160</f>
        <v>#REF!</v>
      </c>
      <c r="U345" s="417" t="e">
        <f>U160</f>
        <v>#REF!</v>
      </c>
      <c r="W345" s="417" t="e">
        <f>W160</f>
        <v>#REF!</v>
      </c>
    </row>
    <row r="346" spans="2:24" hidden="1" x14ac:dyDescent="0.35">
      <c r="E346" s="162" t="s">
        <v>447</v>
      </c>
      <c r="Q346" s="417">
        <f>Q233</f>
        <v>153480716.80240718</v>
      </c>
      <c r="S346" s="417" t="e">
        <f>S233</f>
        <v>#N/A</v>
      </c>
      <c r="U346" s="417" t="e">
        <f>U233</f>
        <v>#N/A</v>
      </c>
      <c r="W346" s="417" t="e">
        <f>W233</f>
        <v>#N/A</v>
      </c>
    </row>
    <row r="347" spans="2:24" hidden="1" x14ac:dyDescent="0.35">
      <c r="E347" s="162" t="s">
        <v>448</v>
      </c>
      <c r="Q347" s="417">
        <f>Q323+Q331</f>
        <v>4187993991.2751112</v>
      </c>
      <c r="S347" s="417" t="e">
        <f>S323+S331</f>
        <v>#N/A</v>
      </c>
      <c r="U347" s="417" t="e">
        <f>U323+U331</f>
        <v>#N/A</v>
      </c>
      <c r="W347" s="417" t="e">
        <f>W323+W331</f>
        <v>#N/A</v>
      </c>
    </row>
    <row r="348" spans="2:24" hidden="1" x14ac:dyDescent="0.35">
      <c r="E348" s="532" t="s">
        <v>449</v>
      </c>
      <c r="Q348" s="533">
        <f>SUM(Q345:Q347)</f>
        <v>4341474708.0775185</v>
      </c>
      <c r="S348" s="533" t="e">
        <f>SUM(S345:S347)</f>
        <v>#REF!</v>
      </c>
      <c r="U348" s="533" t="e">
        <f>SUM(U345:U347)</f>
        <v>#REF!</v>
      </c>
      <c r="W348" s="533" t="e">
        <f>SUM(W345:W347)</f>
        <v>#REF!</v>
      </c>
    </row>
    <row r="349" spans="2:24" hidden="1" x14ac:dyDescent="0.35">
      <c r="E349" s="162" t="s">
        <v>450</v>
      </c>
      <c r="Q349" s="417">
        <f>Q339</f>
        <v>8312350.2295139572</v>
      </c>
      <c r="S349" s="417">
        <f>S339</f>
        <v>8806702.7758242767</v>
      </c>
      <c r="U349" s="417">
        <f>U339</f>
        <v>9358867.8296416011</v>
      </c>
      <c r="W349" s="417">
        <f>W339</f>
        <v>8825973.6116599441</v>
      </c>
    </row>
    <row r="350" spans="2:24" hidden="1" x14ac:dyDescent="0.35">
      <c r="E350" s="162" t="s">
        <v>451</v>
      </c>
      <c r="Q350" s="417">
        <f>Q340</f>
        <v>9187460.1098226663</v>
      </c>
      <c r="S350" s="417">
        <f>S340</f>
        <v>9737037.9488375001</v>
      </c>
      <c r="U350" s="417">
        <f t="shared" ref="U350:W351" si="60">U340</f>
        <v>10320570.522023778</v>
      </c>
      <c r="W350" s="417">
        <f t="shared" si="60"/>
        <v>9748356.1935613137</v>
      </c>
    </row>
    <row r="351" spans="2:24" hidden="1" x14ac:dyDescent="0.35">
      <c r="E351" s="162" t="s">
        <v>452</v>
      </c>
      <c r="Q351" s="417">
        <f>Q341</f>
        <v>10347754.554240417</v>
      </c>
      <c r="S351" s="417">
        <f>S341</f>
        <v>10976935.955994632</v>
      </c>
      <c r="U351" s="417">
        <f t="shared" si="60"/>
        <v>11645972.994754417</v>
      </c>
      <c r="W351" s="417">
        <f t="shared" si="60"/>
        <v>10990221.16832982</v>
      </c>
    </row>
    <row r="352" spans="2:24" hidden="1" x14ac:dyDescent="0.35">
      <c r="Q352" s="533">
        <f>SUM(Q349:Q351)</f>
        <v>27847564.893577039</v>
      </c>
      <c r="S352" s="533">
        <f>SUM(S349:S351)</f>
        <v>29520676.680656407</v>
      </c>
      <c r="U352" s="533">
        <f>SUM(U349:U351)</f>
        <v>31325411.346419796</v>
      </c>
      <c r="W352" s="533">
        <f>SUM(W349:W351)</f>
        <v>29564550.97355108</v>
      </c>
    </row>
    <row r="353" spans="5:23" hidden="1" x14ac:dyDescent="0.35">
      <c r="E353" s="532" t="s">
        <v>455</v>
      </c>
      <c r="Q353" s="533">
        <f>Q352+Q348</f>
        <v>4369322272.9710951</v>
      </c>
      <c r="S353" s="533" t="e">
        <f>S352+S348</f>
        <v>#REF!</v>
      </c>
      <c r="U353" s="533" t="e">
        <f>U352+U348</f>
        <v>#REF!</v>
      </c>
      <c r="W353" s="533" t="e">
        <f>W352+W348</f>
        <v>#REF!</v>
      </c>
    </row>
  </sheetData>
  <mergeCells count="46">
    <mergeCell ref="B331:E331"/>
    <mergeCell ref="B332:E332"/>
    <mergeCell ref="B210:E210"/>
    <mergeCell ref="B233:E233"/>
    <mergeCell ref="B251:E251"/>
    <mergeCell ref="B274:E274"/>
    <mergeCell ref="B322:E322"/>
    <mergeCell ref="B323:E323"/>
    <mergeCell ref="B152:E152"/>
    <mergeCell ref="B158:E158"/>
    <mergeCell ref="B159:E159"/>
    <mergeCell ref="B160:E160"/>
    <mergeCell ref="B178:E181"/>
    <mergeCell ref="B182:E184"/>
    <mergeCell ref="W4:W5"/>
    <mergeCell ref="B90:E90"/>
    <mergeCell ref="B121:E121"/>
    <mergeCell ref="B129:E129"/>
    <mergeCell ref="B133:E133"/>
    <mergeCell ref="B144:E144"/>
    <mergeCell ref="Q4:Q5"/>
    <mergeCell ref="R4:R5"/>
    <mergeCell ref="S4:S5"/>
    <mergeCell ref="T4:T5"/>
    <mergeCell ref="U4:U5"/>
    <mergeCell ref="V4:V5"/>
    <mergeCell ref="AA3:AA5"/>
    <mergeCell ref="AB3:AB5"/>
    <mergeCell ref="F4:F5"/>
    <mergeCell ref="G4:G5"/>
    <mergeCell ref="J4:J5"/>
    <mergeCell ref="K4:L4"/>
    <mergeCell ref="M4:M5"/>
    <mergeCell ref="N4:N5"/>
    <mergeCell ref="O4:O5"/>
    <mergeCell ref="P4:P5"/>
    <mergeCell ref="E1:AB1"/>
    <mergeCell ref="B3:E5"/>
    <mergeCell ref="F3:G3"/>
    <mergeCell ref="H3:I5"/>
    <mergeCell ref="J3:O3"/>
    <mergeCell ref="P3:Q3"/>
    <mergeCell ref="R3:S3"/>
    <mergeCell ref="T3:U3"/>
    <mergeCell ref="V3:W3"/>
    <mergeCell ref="X3:X5"/>
  </mergeCells>
  <printOptions horizontalCentered="1"/>
  <pageMargins left="0.25" right="0.25" top="0.75" bottom="0.75" header="0.3" footer="0.3"/>
  <pageSetup paperSize="9" scale="60" orientation="landscape" r:id="rId1"/>
  <rowBreaks count="4" manualBreakCount="4">
    <brk id="56" min="1" max="27" man="1"/>
    <brk id="130" min="1" max="27" man="1"/>
    <brk id="209" min="1" max="27" man="1"/>
    <brk id="273" min="1" max="27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A8B2-AAEB-47F7-BACC-1CC16EACBF02}">
  <sheetPr>
    <tabColor theme="8" tint="0.39997558519241921"/>
  </sheetPr>
  <dimension ref="A1:AC337"/>
  <sheetViews>
    <sheetView showGridLines="0" zoomScale="85" zoomScaleNormal="85" workbookViewId="0">
      <pane xSplit="6" ySplit="4" topLeftCell="K5" activePane="bottomRight" state="frozen"/>
      <selection activeCell="Q12" sqref="Q12"/>
      <selection pane="topRight" activeCell="Q12" sqref="Q12"/>
      <selection pane="bottomLeft" activeCell="Q12" sqref="Q12"/>
      <selection pane="bottomRight" activeCell="Q12" sqref="Q12"/>
    </sheetView>
  </sheetViews>
  <sheetFormatPr defaultRowHeight="14.5" x14ac:dyDescent="0.35"/>
  <cols>
    <col min="1" max="1" width="2.1796875" style="94" customWidth="1"/>
    <col min="2" max="3" width="4.26953125" style="162" customWidth="1"/>
    <col min="4" max="4" width="14.1796875" style="162" customWidth="1"/>
    <col min="5" max="5" width="29.26953125" style="162" customWidth="1"/>
    <col min="6" max="6" width="25.7265625" style="162" customWidth="1"/>
    <col min="7" max="7" width="7.81640625" style="165" bestFit="1" customWidth="1"/>
    <col min="8" max="8" width="6" style="162" customWidth="1"/>
    <col min="9" max="9" width="5.1796875" style="162" customWidth="1"/>
    <col min="10" max="10" width="9.1796875" style="162" customWidth="1"/>
    <col min="11" max="11" width="8.81640625" style="166" customWidth="1"/>
    <col min="12" max="12" width="12" style="166" customWidth="1"/>
    <col min="13" max="13" width="9" style="167" customWidth="1"/>
    <col min="14" max="14" width="8.54296875" style="94" customWidth="1"/>
    <col min="15" max="15" width="12" style="168" customWidth="1"/>
    <col min="16" max="16" width="15.54296875" style="94" customWidth="1"/>
    <col min="17" max="17" width="21.54296875" style="94" customWidth="1"/>
    <col min="18" max="23" width="15.54296875" style="94" hidden="1" customWidth="1"/>
    <col min="24" max="24" width="48.7265625" style="94" hidden="1" customWidth="1"/>
    <col min="25" max="26" width="13.81640625" style="94" hidden="1" customWidth="1"/>
    <col min="27" max="27" width="15.453125" style="94" bestFit="1" customWidth="1"/>
    <col min="28" max="28" width="6.54296875" style="94" customWidth="1"/>
    <col min="29" max="29" width="9.26953125" style="94" bestFit="1" customWidth="1"/>
  </cols>
  <sheetData>
    <row r="1" spans="1:29" s="99" customFormat="1" ht="26.65" customHeight="1" x14ac:dyDescent="0.35">
      <c r="A1" s="98"/>
      <c r="B1" s="534"/>
      <c r="C1" s="534"/>
      <c r="D1" s="535" t="s">
        <v>456</v>
      </c>
      <c r="E1" s="536">
        <v>51.1</v>
      </c>
      <c r="F1" s="537" t="s">
        <v>457</v>
      </c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537"/>
      <c r="R1" s="537"/>
      <c r="S1" s="537"/>
      <c r="T1" s="537"/>
      <c r="U1" s="537"/>
      <c r="V1" s="537"/>
      <c r="W1" s="537"/>
      <c r="X1" s="537"/>
      <c r="Y1" s="537"/>
      <c r="Z1" s="537"/>
      <c r="AA1" s="537"/>
      <c r="AB1" s="537"/>
      <c r="AC1" s="538"/>
    </row>
    <row r="2" spans="1:29" ht="15" customHeight="1" x14ac:dyDescent="0.35">
      <c r="B2" s="169" t="s">
        <v>8</v>
      </c>
      <c r="C2" s="170"/>
      <c r="D2" s="170"/>
      <c r="E2" s="171"/>
      <c r="F2" s="172" t="s">
        <v>168</v>
      </c>
      <c r="G2" s="173"/>
      <c r="H2" s="174" t="s">
        <v>169</v>
      </c>
      <c r="I2" s="175"/>
      <c r="J2" s="176" t="s">
        <v>170</v>
      </c>
      <c r="K2" s="177"/>
      <c r="L2" s="177"/>
      <c r="M2" s="177"/>
      <c r="N2" s="177"/>
      <c r="O2" s="178"/>
      <c r="P2" s="179">
        <v>2026</v>
      </c>
      <c r="Q2" s="180"/>
      <c r="R2" s="181">
        <v>2026</v>
      </c>
      <c r="S2" s="182"/>
      <c r="T2" s="183">
        <v>2027</v>
      </c>
      <c r="U2" s="184"/>
      <c r="V2" s="185" t="s">
        <v>171</v>
      </c>
      <c r="W2" s="186"/>
      <c r="X2" s="187" t="s">
        <v>172</v>
      </c>
      <c r="Y2" s="94" t="s">
        <v>173</v>
      </c>
      <c r="Z2" s="94" t="s">
        <v>174</v>
      </c>
      <c r="AA2" s="188" t="s">
        <v>68</v>
      </c>
      <c r="AB2" s="189" t="s">
        <v>69</v>
      </c>
    </row>
    <row r="3" spans="1:29" x14ac:dyDescent="0.35">
      <c r="B3" s="190"/>
      <c r="C3" s="191"/>
      <c r="D3" s="191"/>
      <c r="E3" s="192"/>
      <c r="F3" s="193" t="s">
        <v>175</v>
      </c>
      <c r="G3" s="193" t="s">
        <v>176</v>
      </c>
      <c r="H3" s="194"/>
      <c r="I3" s="195"/>
      <c r="J3" s="193" t="s">
        <v>176</v>
      </c>
      <c r="K3" s="172" t="s">
        <v>177</v>
      </c>
      <c r="L3" s="173"/>
      <c r="M3" s="196" t="s">
        <v>178</v>
      </c>
      <c r="N3" s="193" t="s">
        <v>179</v>
      </c>
      <c r="O3" s="197" t="s">
        <v>180</v>
      </c>
      <c r="P3" s="198" t="s">
        <v>181</v>
      </c>
      <c r="Q3" s="199" t="s">
        <v>182</v>
      </c>
      <c r="R3" s="200" t="s">
        <v>181</v>
      </c>
      <c r="S3" s="200" t="s">
        <v>182</v>
      </c>
      <c r="T3" s="201" t="s">
        <v>181</v>
      </c>
      <c r="U3" s="201" t="s">
        <v>182</v>
      </c>
      <c r="V3" s="202" t="s">
        <v>181</v>
      </c>
      <c r="W3" s="202" t="s">
        <v>182</v>
      </c>
      <c r="X3" s="203"/>
      <c r="AA3" s="204"/>
      <c r="AB3" s="204"/>
    </row>
    <row r="4" spans="1:29" ht="28" x14ac:dyDescent="0.35">
      <c r="B4" s="205"/>
      <c r="C4" s="206"/>
      <c r="D4" s="206"/>
      <c r="E4" s="207"/>
      <c r="F4" s="208"/>
      <c r="G4" s="208"/>
      <c r="H4" s="209"/>
      <c r="I4" s="210"/>
      <c r="J4" s="208"/>
      <c r="K4" s="211" t="s">
        <v>183</v>
      </c>
      <c r="L4" s="212" t="s">
        <v>184</v>
      </c>
      <c r="M4" s="213"/>
      <c r="N4" s="208"/>
      <c r="O4" s="214"/>
      <c r="P4" s="215"/>
      <c r="Q4" s="216"/>
      <c r="R4" s="217"/>
      <c r="S4" s="217"/>
      <c r="T4" s="218"/>
      <c r="U4" s="218"/>
      <c r="V4" s="219"/>
      <c r="W4" s="219"/>
      <c r="X4" s="220"/>
      <c r="AA4" s="221"/>
      <c r="AB4" s="221"/>
    </row>
    <row r="5" spans="1:29" x14ac:dyDescent="0.35">
      <c r="B5" s="222" t="s">
        <v>185</v>
      </c>
      <c r="C5" s="223"/>
      <c r="D5" s="223"/>
      <c r="E5" s="224"/>
      <c r="F5" s="225"/>
      <c r="G5" s="226"/>
      <c r="H5" s="227"/>
      <c r="I5" s="228"/>
      <c r="J5" s="229"/>
      <c r="K5" s="230"/>
      <c r="L5" s="230"/>
      <c r="M5" s="231"/>
      <c r="N5" s="232"/>
      <c r="O5" s="233"/>
      <c r="P5" s="233"/>
      <c r="Q5" s="233"/>
      <c r="R5" s="233"/>
      <c r="S5" s="233"/>
      <c r="T5" s="233"/>
      <c r="U5" s="233"/>
      <c r="V5" s="233"/>
      <c r="W5" s="233"/>
      <c r="X5" s="232"/>
      <c r="AA5" s="232"/>
      <c r="AB5" s="232"/>
    </row>
    <row r="6" spans="1:29" x14ac:dyDescent="0.35">
      <c r="B6" s="234"/>
      <c r="C6" s="223" t="s">
        <v>186</v>
      </c>
      <c r="D6" s="223"/>
      <c r="E6" s="224"/>
      <c r="F6" s="225"/>
      <c r="G6" s="226"/>
      <c r="H6" s="227"/>
      <c r="I6" s="228"/>
      <c r="J6" s="229"/>
      <c r="K6" s="230"/>
      <c r="L6" s="230"/>
      <c r="M6" s="231"/>
      <c r="N6" s="232"/>
      <c r="O6" s="233"/>
      <c r="P6" s="235"/>
      <c r="Q6" s="233"/>
      <c r="R6" s="233"/>
      <c r="S6" s="233"/>
      <c r="T6" s="233"/>
      <c r="U6" s="233"/>
      <c r="V6" s="233"/>
      <c r="W6" s="233"/>
      <c r="X6" s="232"/>
      <c r="AA6" s="232"/>
      <c r="AB6" s="232"/>
    </row>
    <row r="7" spans="1:29" x14ac:dyDescent="0.35">
      <c r="B7" s="236"/>
      <c r="C7" s="237"/>
      <c r="D7" s="237" t="s">
        <v>72</v>
      </c>
      <c r="E7" s="238"/>
      <c r="F7" s="225" t="s">
        <v>187</v>
      </c>
      <c r="G7" s="226" t="s">
        <v>188</v>
      </c>
      <c r="H7" s="227"/>
      <c r="I7" s="228"/>
      <c r="J7" s="229" t="s">
        <v>189</v>
      </c>
      <c r="K7" s="239">
        <v>1</v>
      </c>
      <c r="L7" s="539">
        <v>51.1</v>
      </c>
      <c r="M7" s="240">
        <v>0.25</v>
      </c>
      <c r="N7" s="235">
        <v>1</v>
      </c>
      <c r="O7" s="233">
        <f>K7*L7*M7*N7</f>
        <v>12.775</v>
      </c>
      <c r="P7" s="235">
        <v>149108.51999999999</v>
      </c>
      <c r="Q7" s="235">
        <f>P7*$O7</f>
        <v>1904861.3429999999</v>
      </c>
      <c r="R7" s="233">
        <v>149108.51999999999</v>
      </c>
      <c r="S7" s="233">
        <f>R7*$O7</f>
        <v>1904861.3429999999</v>
      </c>
      <c r="T7" s="233">
        <v>158800.57379999998</v>
      </c>
      <c r="U7" s="233">
        <f>T7*$O7</f>
        <v>2028677.3302949998</v>
      </c>
      <c r="V7" s="233">
        <f>W7/O7</f>
        <v>152339.20459999997</v>
      </c>
      <c r="W7" s="241">
        <f>AVERAGEIF($P$3:$U$3,W$3,$P7:$U7)</f>
        <v>1946133.3387649998</v>
      </c>
      <c r="X7" s="232"/>
      <c r="AA7" s="472">
        <f>Q7/$E$1</f>
        <v>37277.129999999997</v>
      </c>
      <c r="AB7" s="232"/>
    </row>
    <row r="8" spans="1:29" hidden="1" x14ac:dyDescent="0.35">
      <c r="B8" s="242"/>
      <c r="C8" s="243"/>
      <c r="D8" s="243"/>
      <c r="E8" s="244"/>
      <c r="F8" s="225" t="s">
        <v>190</v>
      </c>
      <c r="G8" s="226" t="s">
        <v>191</v>
      </c>
      <c r="H8" s="227"/>
      <c r="I8" s="228"/>
      <c r="J8" s="229"/>
      <c r="K8" s="230"/>
      <c r="L8" s="230"/>
      <c r="M8" s="240"/>
      <c r="N8" s="235">
        <v>1</v>
      </c>
      <c r="O8" s="233"/>
      <c r="P8" s="235">
        <v>69079.5</v>
      </c>
      <c r="Q8" s="235"/>
      <c r="R8" s="233"/>
      <c r="S8" s="233"/>
      <c r="T8" s="233"/>
      <c r="U8" s="233"/>
      <c r="V8" s="233"/>
      <c r="W8" s="233"/>
      <c r="X8" s="232"/>
      <c r="AA8" s="472" t="e">
        <f t="shared" ref="AA8:AA21" si="0">Q8/L8</f>
        <v>#DIV/0!</v>
      </c>
      <c r="AB8" s="232"/>
    </row>
    <row r="9" spans="1:29" hidden="1" x14ac:dyDescent="0.35">
      <c r="B9" s="242"/>
      <c r="C9" s="243"/>
      <c r="D9" s="243"/>
      <c r="E9" s="244"/>
      <c r="F9" s="225" t="s">
        <v>192</v>
      </c>
      <c r="G9" s="226" t="s">
        <v>193</v>
      </c>
      <c r="H9" s="227"/>
      <c r="I9" s="228"/>
      <c r="J9" s="229"/>
      <c r="K9" s="230"/>
      <c r="L9" s="230"/>
      <c r="M9" s="240"/>
      <c r="N9" s="235">
        <v>1</v>
      </c>
      <c r="O9" s="233"/>
      <c r="P9" s="235">
        <v>0</v>
      </c>
      <c r="Q9" s="235"/>
      <c r="R9" s="233"/>
      <c r="S9" s="233"/>
      <c r="T9" s="233"/>
      <c r="U9" s="233"/>
      <c r="V9" s="233"/>
      <c r="W9" s="233"/>
      <c r="X9" s="232"/>
      <c r="AA9" s="472" t="e">
        <f t="shared" si="0"/>
        <v>#DIV/0!</v>
      </c>
      <c r="AB9" s="232"/>
    </row>
    <row r="10" spans="1:29" hidden="1" x14ac:dyDescent="0.35">
      <c r="B10" s="242"/>
      <c r="C10" s="243"/>
      <c r="D10" s="243"/>
      <c r="E10" s="244"/>
      <c r="F10" s="225" t="s">
        <v>194</v>
      </c>
      <c r="G10" s="226" t="s">
        <v>193</v>
      </c>
      <c r="H10" s="227"/>
      <c r="I10" s="228"/>
      <c r="J10" s="229"/>
      <c r="K10" s="230"/>
      <c r="L10" s="230"/>
      <c r="M10" s="240">
        <v>6.9999999999999999E-4</v>
      </c>
      <c r="N10" s="235">
        <v>1</v>
      </c>
      <c r="O10" s="233"/>
      <c r="P10" s="235">
        <v>0</v>
      </c>
      <c r="Q10" s="235"/>
      <c r="R10" s="233"/>
      <c r="S10" s="233"/>
      <c r="T10" s="233"/>
      <c r="U10" s="233"/>
      <c r="V10" s="233"/>
      <c r="W10" s="233"/>
      <c r="X10" s="232"/>
      <c r="AA10" s="472" t="e">
        <f t="shared" si="0"/>
        <v>#DIV/0!</v>
      </c>
      <c r="AB10" s="232"/>
    </row>
    <row r="11" spans="1:29" hidden="1" x14ac:dyDescent="0.35">
      <c r="B11" s="242"/>
      <c r="C11" s="243"/>
      <c r="D11" s="243"/>
      <c r="E11" s="244"/>
      <c r="F11" s="225" t="s">
        <v>195</v>
      </c>
      <c r="G11" s="226" t="s">
        <v>193</v>
      </c>
      <c r="H11" s="227"/>
      <c r="I11" s="228"/>
      <c r="J11" s="229"/>
      <c r="K11" s="230"/>
      <c r="L11" s="230"/>
      <c r="M11" s="240">
        <v>1.2999999999999999E-3</v>
      </c>
      <c r="N11" s="235">
        <v>1</v>
      </c>
      <c r="O11" s="233"/>
      <c r="P11" s="235">
        <v>0</v>
      </c>
      <c r="Q11" s="235"/>
      <c r="R11" s="233"/>
      <c r="S11" s="233"/>
      <c r="T11" s="233"/>
      <c r="U11" s="233"/>
      <c r="V11" s="233"/>
      <c r="W11" s="233"/>
      <c r="X11" s="232"/>
      <c r="AA11" s="472" t="e">
        <f t="shared" si="0"/>
        <v>#DIV/0!</v>
      </c>
      <c r="AB11" s="232"/>
    </row>
    <row r="12" spans="1:29" x14ac:dyDescent="0.35">
      <c r="B12" s="236"/>
      <c r="C12" s="237"/>
      <c r="D12" s="237" t="s">
        <v>196</v>
      </c>
      <c r="E12" s="238" t="s">
        <v>197</v>
      </c>
      <c r="F12" s="225" t="s">
        <v>187</v>
      </c>
      <c r="G12" s="226" t="s">
        <v>188</v>
      </c>
      <c r="H12" s="227"/>
      <c r="I12" s="228"/>
      <c r="J12" s="229"/>
      <c r="K12" s="230"/>
      <c r="L12" s="230"/>
      <c r="M12" s="240">
        <v>10</v>
      </c>
      <c r="N12" s="235">
        <v>1</v>
      </c>
      <c r="O12" s="233"/>
      <c r="P12" s="235">
        <v>149108.51999999999</v>
      </c>
      <c r="Q12" s="235"/>
      <c r="R12" s="233"/>
      <c r="S12" s="233"/>
      <c r="T12" s="233"/>
      <c r="U12" s="233"/>
      <c r="V12" s="233"/>
      <c r="W12" s="233"/>
      <c r="X12" s="232" t="s">
        <v>198</v>
      </c>
      <c r="AA12" s="472" t="e">
        <f t="shared" si="0"/>
        <v>#DIV/0!</v>
      </c>
      <c r="AB12" s="232"/>
    </row>
    <row r="13" spans="1:29" hidden="1" x14ac:dyDescent="0.35">
      <c r="B13" s="245"/>
      <c r="C13" s="246"/>
      <c r="D13" s="246"/>
      <c r="E13" s="247" t="s">
        <v>199</v>
      </c>
      <c r="F13" s="225" t="s">
        <v>187</v>
      </c>
      <c r="G13" s="226" t="s">
        <v>188</v>
      </c>
      <c r="H13" s="227"/>
      <c r="I13" s="228"/>
      <c r="J13" s="229"/>
      <c r="K13" s="230"/>
      <c r="L13" s="230"/>
      <c r="M13" s="240">
        <v>10</v>
      </c>
      <c r="N13" s="235">
        <v>1</v>
      </c>
      <c r="O13" s="233"/>
      <c r="P13" s="235">
        <v>149108.51999999999</v>
      </c>
      <c r="Q13" s="235"/>
      <c r="R13" s="233"/>
      <c r="S13" s="233"/>
      <c r="T13" s="233"/>
      <c r="U13" s="233"/>
      <c r="V13" s="233"/>
      <c r="W13" s="233"/>
      <c r="X13" s="232"/>
      <c r="AA13" s="472" t="e">
        <f t="shared" si="0"/>
        <v>#DIV/0!</v>
      </c>
      <c r="AB13" s="232"/>
    </row>
    <row r="14" spans="1:29" hidden="1" x14ac:dyDescent="0.35">
      <c r="B14" s="248"/>
      <c r="C14" s="249"/>
      <c r="D14" s="249"/>
      <c r="E14" s="250" t="s">
        <v>200</v>
      </c>
      <c r="F14" s="225" t="s">
        <v>187</v>
      </c>
      <c r="G14" s="226" t="s">
        <v>188</v>
      </c>
      <c r="H14" s="227"/>
      <c r="I14" s="228"/>
      <c r="J14" s="229"/>
      <c r="K14" s="230"/>
      <c r="L14" s="230"/>
      <c r="M14" s="240"/>
      <c r="N14" s="235"/>
      <c r="O14" s="233"/>
      <c r="P14" s="235">
        <v>149108.51999999999</v>
      </c>
      <c r="Q14" s="235"/>
      <c r="R14" s="233"/>
      <c r="S14" s="233"/>
      <c r="T14" s="233"/>
      <c r="U14" s="233"/>
      <c r="V14" s="233"/>
      <c r="W14" s="233"/>
      <c r="X14" s="232"/>
      <c r="AA14" s="472" t="e">
        <f t="shared" si="0"/>
        <v>#DIV/0!</v>
      </c>
      <c r="AB14" s="232"/>
    </row>
    <row r="15" spans="1:29" x14ac:dyDescent="0.35">
      <c r="B15" s="236"/>
      <c r="C15" s="237"/>
      <c r="D15" s="237" t="s">
        <v>201</v>
      </c>
      <c r="E15" s="238" t="s">
        <v>197</v>
      </c>
      <c r="F15" s="225" t="s">
        <v>187</v>
      </c>
      <c r="G15" s="226" t="s">
        <v>188</v>
      </c>
      <c r="H15" s="227"/>
      <c r="I15" s="228"/>
      <c r="J15" s="229"/>
      <c r="K15" s="230"/>
      <c r="L15" s="230"/>
      <c r="M15" s="240">
        <v>20</v>
      </c>
      <c r="N15" s="235">
        <v>1</v>
      </c>
      <c r="O15" s="233"/>
      <c r="P15" s="235">
        <v>149108.51999999999</v>
      </c>
      <c r="Q15" s="235"/>
      <c r="R15" s="233"/>
      <c r="S15" s="233"/>
      <c r="T15" s="233"/>
      <c r="U15" s="233"/>
      <c r="V15" s="233"/>
      <c r="W15" s="233"/>
      <c r="X15" s="232" t="s">
        <v>198</v>
      </c>
      <c r="AA15" s="472" t="e">
        <f t="shared" si="0"/>
        <v>#DIV/0!</v>
      </c>
      <c r="AB15" s="232"/>
    </row>
    <row r="16" spans="1:29" hidden="1" x14ac:dyDescent="0.35">
      <c r="B16" s="248"/>
      <c r="C16" s="249"/>
      <c r="D16" s="249"/>
      <c r="E16" s="247" t="s">
        <v>199</v>
      </c>
      <c r="F16" s="225" t="s">
        <v>187</v>
      </c>
      <c r="G16" s="226" t="s">
        <v>188</v>
      </c>
      <c r="H16" s="227"/>
      <c r="I16" s="228"/>
      <c r="J16" s="229"/>
      <c r="K16" s="230"/>
      <c r="L16" s="230"/>
      <c r="M16" s="240">
        <v>12</v>
      </c>
      <c r="N16" s="235">
        <v>1</v>
      </c>
      <c r="O16" s="233"/>
      <c r="P16" s="235">
        <v>149108.51999999999</v>
      </c>
      <c r="Q16" s="235"/>
      <c r="R16" s="233"/>
      <c r="S16" s="233"/>
      <c r="T16" s="233"/>
      <c r="U16" s="233"/>
      <c r="V16" s="233"/>
      <c r="W16" s="233"/>
      <c r="X16" s="232"/>
      <c r="AA16" s="472" t="e">
        <f t="shared" si="0"/>
        <v>#DIV/0!</v>
      </c>
      <c r="AB16" s="232"/>
    </row>
    <row r="17" spans="2:29" x14ac:dyDescent="0.35">
      <c r="B17" s="245"/>
      <c r="C17" s="246"/>
      <c r="D17" s="237" t="s">
        <v>202</v>
      </c>
      <c r="E17" s="251" t="s">
        <v>197</v>
      </c>
      <c r="F17" s="225" t="s">
        <v>187</v>
      </c>
      <c r="G17" s="226" t="s">
        <v>188</v>
      </c>
      <c r="H17" s="227"/>
      <c r="I17" s="228"/>
      <c r="J17" s="229"/>
      <c r="K17" s="230"/>
      <c r="L17" s="230"/>
      <c r="M17" s="240"/>
      <c r="N17" s="235"/>
      <c r="O17" s="233"/>
      <c r="P17" s="235">
        <v>149108.51999999999</v>
      </c>
      <c r="Q17" s="235"/>
      <c r="R17" s="233"/>
      <c r="S17" s="233"/>
      <c r="T17" s="233"/>
      <c r="U17" s="233"/>
      <c r="V17" s="233"/>
      <c r="W17" s="233"/>
      <c r="X17" s="232"/>
      <c r="AA17" s="472" t="e">
        <f t="shared" si="0"/>
        <v>#DIV/0!</v>
      </c>
      <c r="AB17" s="232"/>
    </row>
    <row r="18" spans="2:29" hidden="1" x14ac:dyDescent="0.35">
      <c r="B18" s="248"/>
      <c r="C18" s="249"/>
      <c r="D18" s="249"/>
      <c r="E18" s="247" t="s">
        <v>199</v>
      </c>
      <c r="F18" s="225" t="s">
        <v>187</v>
      </c>
      <c r="G18" s="226" t="s">
        <v>188</v>
      </c>
      <c r="H18" s="227"/>
      <c r="I18" s="228"/>
      <c r="J18" s="229"/>
      <c r="K18" s="230"/>
      <c r="L18" s="230"/>
      <c r="M18" s="240"/>
      <c r="N18" s="235"/>
      <c r="O18" s="233"/>
      <c r="P18" s="235">
        <v>149108.51999999999</v>
      </c>
      <c r="Q18" s="235"/>
      <c r="R18" s="233"/>
      <c r="S18" s="233"/>
      <c r="T18" s="233"/>
      <c r="U18" s="233"/>
      <c r="V18" s="233"/>
      <c r="W18" s="233"/>
      <c r="X18" s="232"/>
      <c r="AA18" s="472" t="e">
        <f t="shared" si="0"/>
        <v>#DIV/0!</v>
      </c>
      <c r="AB18" s="232"/>
    </row>
    <row r="19" spans="2:29" x14ac:dyDescent="0.35">
      <c r="B19" s="245"/>
      <c r="C19" s="246"/>
      <c r="D19" s="237" t="s">
        <v>203</v>
      </c>
      <c r="E19" s="251" t="s">
        <v>197</v>
      </c>
      <c r="F19" s="225" t="s">
        <v>204</v>
      </c>
      <c r="G19" s="226" t="s">
        <v>205</v>
      </c>
      <c r="H19" s="227"/>
      <c r="I19" s="228"/>
      <c r="J19" s="229"/>
      <c r="K19" s="230"/>
      <c r="L19" s="230"/>
      <c r="M19" s="240">
        <v>6</v>
      </c>
      <c r="N19" s="235">
        <v>1</v>
      </c>
      <c r="O19" s="233"/>
      <c r="P19" s="235">
        <v>1051433.6840914285</v>
      </c>
      <c r="Q19" s="235"/>
      <c r="R19" s="233"/>
      <c r="S19" s="233"/>
      <c r="T19" s="233"/>
      <c r="U19" s="233"/>
      <c r="V19" s="233"/>
      <c r="W19" s="233"/>
      <c r="X19" s="232" t="s">
        <v>198</v>
      </c>
      <c r="AA19" s="472" t="e">
        <f t="shared" si="0"/>
        <v>#DIV/0!</v>
      </c>
      <c r="AB19" s="232"/>
    </row>
    <row r="20" spans="2:29" hidden="1" x14ac:dyDescent="0.35">
      <c r="B20" s="245"/>
      <c r="C20" s="246"/>
      <c r="D20" s="246"/>
      <c r="E20" s="247" t="s">
        <v>199</v>
      </c>
      <c r="F20" s="225" t="s">
        <v>204</v>
      </c>
      <c r="G20" s="226" t="s">
        <v>205</v>
      </c>
      <c r="H20" s="227"/>
      <c r="I20" s="228"/>
      <c r="J20" s="229"/>
      <c r="K20" s="230"/>
      <c r="L20" s="230"/>
      <c r="M20" s="240">
        <v>5</v>
      </c>
      <c r="N20" s="235">
        <v>1</v>
      </c>
      <c r="O20" s="233"/>
      <c r="P20" s="235">
        <v>1051433.6840914285</v>
      </c>
      <c r="Q20" s="235"/>
      <c r="R20" s="233"/>
      <c r="S20" s="233"/>
      <c r="T20" s="233"/>
      <c r="U20" s="233"/>
      <c r="V20" s="233"/>
      <c r="W20" s="233"/>
      <c r="X20" s="232"/>
      <c r="AA20" s="472" t="e">
        <f t="shared" si="0"/>
        <v>#DIV/0!</v>
      </c>
      <c r="AB20" s="232"/>
    </row>
    <row r="21" spans="2:29" hidden="1" x14ac:dyDescent="0.35">
      <c r="B21" s="248"/>
      <c r="C21" s="249"/>
      <c r="D21" s="249"/>
      <c r="E21" s="250" t="s">
        <v>200</v>
      </c>
      <c r="F21" s="225" t="s">
        <v>204</v>
      </c>
      <c r="G21" s="226" t="s">
        <v>205</v>
      </c>
      <c r="H21" s="227"/>
      <c r="I21" s="228"/>
      <c r="J21" s="229"/>
      <c r="K21" s="230"/>
      <c r="L21" s="230"/>
      <c r="M21" s="240">
        <v>4</v>
      </c>
      <c r="N21" s="235">
        <v>1</v>
      </c>
      <c r="O21" s="233"/>
      <c r="P21" s="235">
        <v>1051433.6840914285</v>
      </c>
      <c r="Q21" s="235"/>
      <c r="R21" s="233"/>
      <c r="S21" s="233"/>
      <c r="T21" s="233"/>
      <c r="U21" s="233"/>
      <c r="V21" s="233"/>
      <c r="W21" s="233"/>
      <c r="X21" s="232"/>
      <c r="AA21" s="472" t="e">
        <f t="shared" si="0"/>
        <v>#DIV/0!</v>
      </c>
      <c r="AB21" s="232"/>
    </row>
    <row r="22" spans="2:29" x14ac:dyDescent="0.35">
      <c r="B22" s="275"/>
      <c r="C22" s="276"/>
      <c r="D22" s="276" t="s">
        <v>79</v>
      </c>
      <c r="E22" s="288"/>
      <c r="F22" s="273" t="s">
        <v>204</v>
      </c>
      <c r="G22" s="274" t="s">
        <v>205</v>
      </c>
      <c r="H22" s="275"/>
      <c r="I22" s="276"/>
      <c r="J22" s="277" t="s">
        <v>206</v>
      </c>
      <c r="K22" s="278">
        <v>1</v>
      </c>
      <c r="L22" s="539">
        <v>51.1</v>
      </c>
      <c r="M22" s="300">
        <f>2.85*2</f>
        <v>5.7</v>
      </c>
      <c r="N22" s="235">
        <v>1</v>
      </c>
      <c r="O22" s="233">
        <f>K22*L22*M22*N22</f>
        <v>291.27000000000004</v>
      </c>
      <c r="P22" s="235">
        <v>1051433.6840914285</v>
      </c>
      <c r="Q22" s="235">
        <f>P22*$O22</f>
        <v>306251089.16531044</v>
      </c>
      <c r="R22" s="233">
        <v>1051433.6840914285</v>
      </c>
      <c r="S22" s="233">
        <f>R22*$O22</f>
        <v>306251089.16531044</v>
      </c>
      <c r="T22" s="233">
        <v>1113470.7641787431</v>
      </c>
      <c r="U22" s="233">
        <f>T22*$O22</f>
        <v>324320629.48234254</v>
      </c>
      <c r="V22" s="233">
        <f>W22/O22</f>
        <v>1072112.7107872001</v>
      </c>
      <c r="W22" s="241">
        <f>AVERAGEIF($P$3:$U$3,W$3,$P22:$U22)</f>
        <v>312274269.27098781</v>
      </c>
      <c r="X22" s="232" t="s">
        <v>458</v>
      </c>
      <c r="Y22" s="281">
        <f>Q22/L22</f>
        <v>5993171.9993211431</v>
      </c>
      <c r="AA22" s="472">
        <f t="shared" ref="AA22:AA23" si="1">Q22/$E$1</f>
        <v>5993171.9993211431</v>
      </c>
      <c r="AB22" s="232"/>
    </row>
    <row r="23" spans="2:29" x14ac:dyDescent="0.35">
      <c r="B23" s="275"/>
      <c r="C23" s="276"/>
      <c r="D23" s="276"/>
      <c r="E23" s="288"/>
      <c r="F23" s="273" t="s">
        <v>187</v>
      </c>
      <c r="G23" s="274" t="s">
        <v>188</v>
      </c>
      <c r="H23" s="275"/>
      <c r="I23" s="276"/>
      <c r="J23" s="277" t="s">
        <v>189</v>
      </c>
      <c r="K23" s="278">
        <v>1</v>
      </c>
      <c r="L23" s="279">
        <f>O22/10</f>
        <v>29.127000000000002</v>
      </c>
      <c r="M23" s="235">
        <f>3*2</f>
        <v>6</v>
      </c>
      <c r="N23" s="235">
        <v>1</v>
      </c>
      <c r="O23" s="233">
        <f t="shared" ref="O23:O24" si="2">K23*L23*M23*N23</f>
        <v>174.762</v>
      </c>
      <c r="P23" s="235">
        <v>149108.51999999999</v>
      </c>
      <c r="Q23" s="235">
        <f t="shared" ref="Q23:Q24" si="3">P23*$O23</f>
        <v>26058503.172239996</v>
      </c>
      <c r="R23" s="233"/>
      <c r="S23" s="233"/>
      <c r="T23" s="233"/>
      <c r="U23" s="233"/>
      <c r="V23" s="233"/>
      <c r="W23" s="241"/>
      <c r="X23" s="232"/>
      <c r="Y23" s="281"/>
      <c r="AA23" s="472">
        <f t="shared" si="1"/>
        <v>509951.13839999994</v>
      </c>
      <c r="AB23" s="232"/>
    </row>
    <row r="24" spans="2:29" hidden="1" x14ac:dyDescent="0.35">
      <c r="B24" s="275"/>
      <c r="C24" s="276"/>
      <c r="D24" s="276"/>
      <c r="E24" s="288"/>
      <c r="F24" s="286" t="s">
        <v>209</v>
      </c>
      <c r="G24" s="274" t="s">
        <v>210</v>
      </c>
      <c r="H24" s="275"/>
      <c r="I24" s="276"/>
      <c r="J24" s="277"/>
      <c r="K24" s="278">
        <v>0</v>
      </c>
      <c r="L24" s="279">
        <f>(O22*25)/400</f>
        <v>18.204375000000002</v>
      </c>
      <c r="M24" s="235">
        <v>2</v>
      </c>
      <c r="N24" s="235">
        <v>1</v>
      </c>
      <c r="O24" s="233">
        <f t="shared" si="2"/>
        <v>0</v>
      </c>
      <c r="P24" s="235">
        <v>207500</v>
      </c>
      <c r="Q24" s="235">
        <f t="shared" si="3"/>
        <v>0</v>
      </c>
      <c r="R24" s="233"/>
      <c r="S24" s="233"/>
      <c r="T24" s="233"/>
      <c r="U24" s="233"/>
      <c r="V24" s="233"/>
      <c r="W24" s="241"/>
      <c r="X24" s="232"/>
      <c r="Y24" s="281"/>
      <c r="AA24" s="472"/>
      <c r="AB24" s="232"/>
    </row>
    <row r="25" spans="2:29" x14ac:dyDescent="0.35">
      <c r="B25" s="275"/>
      <c r="C25" s="276"/>
      <c r="D25" s="276" t="s">
        <v>82</v>
      </c>
      <c r="E25" s="288"/>
      <c r="F25" s="273"/>
      <c r="G25" s="274"/>
      <c r="H25" s="275"/>
      <c r="I25" s="276"/>
      <c r="J25" s="277"/>
      <c r="K25" s="289"/>
      <c r="L25" s="289"/>
      <c r="M25" s="235"/>
      <c r="N25" s="235"/>
      <c r="O25" s="233"/>
      <c r="P25" s="235"/>
      <c r="Q25" s="233"/>
      <c r="R25" s="233"/>
      <c r="S25" s="233"/>
      <c r="T25" s="233"/>
      <c r="U25" s="233"/>
      <c r="V25" s="233"/>
      <c r="W25" s="233"/>
      <c r="X25" s="232"/>
      <c r="Y25" s="281"/>
      <c r="AA25" s="232"/>
      <c r="AB25" s="232"/>
    </row>
    <row r="26" spans="2:29" x14ac:dyDescent="0.35">
      <c r="B26" s="290"/>
      <c r="C26" s="291"/>
      <c r="D26" s="291"/>
      <c r="E26" s="291" t="s">
        <v>212</v>
      </c>
      <c r="F26" s="273" t="s">
        <v>187</v>
      </c>
      <c r="G26" s="274" t="s">
        <v>188</v>
      </c>
      <c r="H26" s="275"/>
      <c r="I26" s="276"/>
      <c r="J26" s="277" t="s">
        <v>189</v>
      </c>
      <c r="K26" s="278">
        <v>1</v>
      </c>
      <c r="L26" s="539">
        <v>51.1</v>
      </c>
      <c r="M26" s="235">
        <v>1</v>
      </c>
      <c r="N26" s="235">
        <v>1</v>
      </c>
      <c r="O26" s="233">
        <f>K26*L26*M26*N26</f>
        <v>51.1</v>
      </c>
      <c r="P26" s="235">
        <v>149108.51999999999</v>
      </c>
      <c r="Q26" s="235">
        <f t="shared" ref="Q26:Q52" si="4">P26*$O26</f>
        <v>7619445.3719999995</v>
      </c>
      <c r="R26" s="233">
        <v>149108.51999999999</v>
      </c>
      <c r="S26" s="233">
        <f t="shared" ref="S26:S41" si="5">R26*$O26</f>
        <v>7619445.3719999995</v>
      </c>
      <c r="T26" s="233">
        <v>158800.57379999998</v>
      </c>
      <c r="U26" s="233">
        <f t="shared" ref="U26:U41" si="6">T26*$O26</f>
        <v>8114709.321179999</v>
      </c>
      <c r="V26" s="233">
        <f t="shared" ref="V26:V41" si="7">W26/O26</f>
        <v>152339.20459999997</v>
      </c>
      <c r="W26" s="241">
        <f t="shared" ref="W26:W41" si="8">AVERAGEIF($P$3:$U$3,W$3,$P26:$U26)</f>
        <v>7784533.355059999</v>
      </c>
      <c r="X26" s="232"/>
      <c r="Y26" s="281"/>
      <c r="AA26" s="472">
        <f t="shared" ref="AA26:AA33" si="9">Q26/$E$1</f>
        <v>149108.51999999999</v>
      </c>
      <c r="AB26" s="232"/>
    </row>
    <row r="27" spans="2:29" x14ac:dyDescent="0.35">
      <c r="B27" s="242"/>
      <c r="C27" s="243"/>
      <c r="D27" s="243"/>
      <c r="E27" s="306" t="s">
        <v>214</v>
      </c>
      <c r="F27" s="273" t="s">
        <v>215</v>
      </c>
      <c r="G27" s="274" t="s">
        <v>205</v>
      </c>
      <c r="H27" s="275"/>
      <c r="I27" s="276"/>
      <c r="J27" s="277" t="s">
        <v>206</v>
      </c>
      <c r="K27" s="278">
        <v>1</v>
      </c>
      <c r="L27" s="539">
        <v>51.1</v>
      </c>
      <c r="M27" s="300">
        <v>12</v>
      </c>
      <c r="N27" s="235">
        <v>1</v>
      </c>
      <c r="O27" s="233">
        <f>K27*L27*M27*N27</f>
        <v>613.20000000000005</v>
      </c>
      <c r="P27" s="235">
        <v>720338.0730320001</v>
      </c>
      <c r="Q27" s="235">
        <f t="shared" si="4"/>
        <v>441711306.38322252</v>
      </c>
      <c r="R27" s="233">
        <v>720338.0730320001</v>
      </c>
      <c r="S27" s="233">
        <f t="shared" si="5"/>
        <v>441711306.38322252</v>
      </c>
      <c r="T27" s="233">
        <v>761671.70213055995</v>
      </c>
      <c r="U27" s="233">
        <f t="shared" si="6"/>
        <v>467057087.74645942</v>
      </c>
      <c r="V27" s="233">
        <f t="shared" si="7"/>
        <v>734115.94939818664</v>
      </c>
      <c r="W27" s="241">
        <f t="shared" si="8"/>
        <v>450159900.17096812</v>
      </c>
      <c r="X27" s="232" t="s">
        <v>459</v>
      </c>
      <c r="Y27" s="281">
        <f>Q27/192.08</f>
        <v>2299621.5451021581</v>
      </c>
      <c r="Z27" s="281">
        <f>Y27/122</f>
        <v>18849.35692706687</v>
      </c>
      <c r="AA27" s="472">
        <f t="shared" si="9"/>
        <v>8644056.8763840012</v>
      </c>
      <c r="AB27" s="232"/>
      <c r="AC27" s="281">
        <f>AA27/136</f>
        <v>63559.241738117656</v>
      </c>
    </row>
    <row r="28" spans="2:29" x14ac:dyDescent="0.35">
      <c r="B28" s="242"/>
      <c r="C28" s="243"/>
      <c r="D28" s="243"/>
      <c r="E28" s="244"/>
      <c r="F28" s="273" t="s">
        <v>187</v>
      </c>
      <c r="G28" s="274" t="s">
        <v>188</v>
      </c>
      <c r="H28" s="275"/>
      <c r="I28" s="276"/>
      <c r="J28" s="277" t="s">
        <v>189</v>
      </c>
      <c r="K28" s="278">
        <v>1</v>
      </c>
      <c r="L28" s="279">
        <f>O27/10</f>
        <v>61.320000000000007</v>
      </c>
      <c r="M28" s="235">
        <f>3*2</f>
        <v>6</v>
      </c>
      <c r="N28" s="235">
        <v>1</v>
      </c>
      <c r="O28" s="233">
        <f t="shared" ref="O28:O29" si="10">K28*L28*M28*N28</f>
        <v>367.92000000000007</v>
      </c>
      <c r="P28" s="235">
        <v>149108.51999999999</v>
      </c>
      <c r="Q28" s="235">
        <f t="shared" si="4"/>
        <v>54860006.67840001</v>
      </c>
      <c r="R28" s="233"/>
      <c r="S28" s="233"/>
      <c r="T28" s="233"/>
      <c r="U28" s="233"/>
      <c r="V28" s="233"/>
      <c r="W28" s="241"/>
      <c r="X28" s="232"/>
      <c r="Y28" s="281"/>
      <c r="Z28" s="281"/>
      <c r="AA28" s="472">
        <f t="shared" si="9"/>
        <v>1073581.3440000003</v>
      </c>
      <c r="AB28" s="232"/>
      <c r="AC28" s="281"/>
    </row>
    <row r="29" spans="2:29" x14ac:dyDescent="0.35">
      <c r="B29" s="242"/>
      <c r="C29" s="243"/>
      <c r="D29" s="243"/>
      <c r="E29" s="244"/>
      <c r="F29" s="286" t="s">
        <v>209</v>
      </c>
      <c r="G29" s="274" t="s">
        <v>210</v>
      </c>
      <c r="H29" s="275"/>
      <c r="I29" s="276"/>
      <c r="J29" s="277"/>
      <c r="K29" s="278">
        <v>0</v>
      </c>
      <c r="L29" s="279">
        <f>(O27*18)/400</f>
        <v>27.594000000000001</v>
      </c>
      <c r="M29" s="235">
        <v>2</v>
      </c>
      <c r="N29" s="235">
        <v>1</v>
      </c>
      <c r="O29" s="233">
        <f t="shared" si="10"/>
        <v>0</v>
      </c>
      <c r="P29" s="235">
        <v>207500</v>
      </c>
      <c r="Q29" s="235">
        <f t="shared" si="4"/>
        <v>0</v>
      </c>
      <c r="R29" s="233"/>
      <c r="S29" s="233"/>
      <c r="T29" s="233"/>
      <c r="U29" s="233"/>
      <c r="V29" s="233"/>
      <c r="W29" s="241"/>
      <c r="X29" s="232"/>
      <c r="Y29" s="281"/>
      <c r="Z29" s="281"/>
      <c r="AA29" s="540"/>
      <c r="AB29" s="232"/>
    </row>
    <row r="30" spans="2:29" x14ac:dyDescent="0.35">
      <c r="B30" s="242"/>
      <c r="C30" s="243"/>
      <c r="D30" s="243"/>
      <c r="E30" s="244" t="s">
        <v>219</v>
      </c>
      <c r="F30" s="273" t="s">
        <v>187</v>
      </c>
      <c r="G30" s="274" t="s">
        <v>188</v>
      </c>
      <c r="H30" s="275"/>
      <c r="I30" s="276"/>
      <c r="J30" s="229"/>
      <c r="K30" s="239">
        <v>1</v>
      </c>
      <c r="L30" s="539">
        <v>51.1</v>
      </c>
      <c r="M30" s="235">
        <v>1</v>
      </c>
      <c r="N30" s="235">
        <v>1</v>
      </c>
      <c r="O30" s="233">
        <f>K30*L30*M30*N30</f>
        <v>51.1</v>
      </c>
      <c r="P30" s="235">
        <v>149108.51999999999</v>
      </c>
      <c r="Q30" s="235">
        <f t="shared" si="4"/>
        <v>7619445.3719999995</v>
      </c>
      <c r="R30" s="233"/>
      <c r="S30" s="233"/>
      <c r="T30" s="233"/>
      <c r="U30" s="233"/>
      <c r="V30" s="233"/>
      <c r="W30" s="241"/>
      <c r="X30" s="232"/>
      <c r="Y30" s="281"/>
      <c r="Z30" s="281"/>
      <c r="AA30" s="472">
        <f t="shared" si="9"/>
        <v>149108.51999999999</v>
      </c>
      <c r="AB30" s="232"/>
    </row>
    <row r="31" spans="2:29" x14ac:dyDescent="0.35">
      <c r="B31" s="283"/>
      <c r="C31" s="307"/>
      <c r="D31" s="307"/>
      <c r="E31" s="308"/>
      <c r="F31" s="273" t="s">
        <v>220</v>
      </c>
      <c r="G31" s="274" t="s">
        <v>191</v>
      </c>
      <c r="H31" s="275"/>
      <c r="I31" s="276"/>
      <c r="J31" s="277" t="s">
        <v>191</v>
      </c>
      <c r="K31" s="278">
        <v>1</v>
      </c>
      <c r="L31" s="539">
        <v>51.1</v>
      </c>
      <c r="M31" s="235">
        <v>24</v>
      </c>
      <c r="N31" s="235">
        <v>1</v>
      </c>
      <c r="O31" s="235">
        <f>K31*L31*M31*N31</f>
        <v>1226.4000000000001</v>
      </c>
      <c r="P31" s="235">
        <v>70350</v>
      </c>
      <c r="Q31" s="235">
        <f t="shared" si="4"/>
        <v>86277240</v>
      </c>
      <c r="R31" s="233">
        <v>70350</v>
      </c>
      <c r="S31" s="233">
        <f t="shared" si="5"/>
        <v>86277240</v>
      </c>
      <c r="T31" s="233">
        <v>73867.5</v>
      </c>
      <c r="U31" s="233">
        <f t="shared" si="6"/>
        <v>90591102</v>
      </c>
      <c r="V31" s="233">
        <f t="shared" si="7"/>
        <v>71522.5</v>
      </c>
      <c r="W31" s="241">
        <f t="shared" si="8"/>
        <v>87715194</v>
      </c>
      <c r="X31" s="232"/>
      <c r="AA31" s="472">
        <f t="shared" si="9"/>
        <v>1688400</v>
      </c>
      <c r="AB31" s="232"/>
    </row>
    <row r="32" spans="2:29" x14ac:dyDescent="0.35">
      <c r="B32" s="290"/>
      <c r="C32" s="291"/>
      <c r="D32" s="291" t="s">
        <v>98</v>
      </c>
      <c r="E32" s="306"/>
      <c r="F32" s="273" t="s">
        <v>215</v>
      </c>
      <c r="G32" s="274" t="s">
        <v>205</v>
      </c>
      <c r="H32" s="275"/>
      <c r="I32" s="276"/>
      <c r="J32" s="277" t="s">
        <v>206</v>
      </c>
      <c r="K32" s="278">
        <v>1</v>
      </c>
      <c r="L32" s="539">
        <v>51.1</v>
      </c>
      <c r="M32" s="233">
        <v>2.9</v>
      </c>
      <c r="N32" s="235">
        <v>1</v>
      </c>
      <c r="O32" s="233">
        <f>K32*L32*M32*N32</f>
        <v>148.19</v>
      </c>
      <c r="P32" s="235">
        <v>720338.0730320001</v>
      </c>
      <c r="Q32" s="235">
        <f>P32*$O32</f>
        <v>106746899.04261209</v>
      </c>
      <c r="R32" s="233">
        <v>720338.0730320001</v>
      </c>
      <c r="S32" s="233">
        <f>R32*$O32</f>
        <v>106746899.04261209</v>
      </c>
      <c r="T32" s="233">
        <v>761671.70213055995</v>
      </c>
      <c r="U32" s="233">
        <f>T32*$O32</f>
        <v>112872129.53872767</v>
      </c>
      <c r="V32" s="233">
        <f>W32/O32</f>
        <v>734115.94939818664</v>
      </c>
      <c r="W32" s="241">
        <f t="shared" si="8"/>
        <v>108788642.54131728</v>
      </c>
      <c r="X32" s="232"/>
      <c r="AA32" s="472">
        <f t="shared" si="9"/>
        <v>2088980.4117928001</v>
      </c>
      <c r="AB32" s="232"/>
    </row>
    <row r="33" spans="2:28" x14ac:dyDescent="0.35">
      <c r="B33" s="290"/>
      <c r="C33" s="291"/>
      <c r="D33" s="291"/>
      <c r="E33" s="306"/>
      <c r="F33" s="273" t="s">
        <v>187</v>
      </c>
      <c r="G33" s="274" t="s">
        <v>188</v>
      </c>
      <c r="H33" s="275"/>
      <c r="I33" s="276"/>
      <c r="J33" s="277" t="s">
        <v>189</v>
      </c>
      <c r="K33" s="278">
        <v>1</v>
      </c>
      <c r="L33" s="279">
        <f>O32/10</f>
        <v>14.818999999999999</v>
      </c>
      <c r="M33" s="235">
        <f>3*2</f>
        <v>6</v>
      </c>
      <c r="N33" s="235">
        <v>1</v>
      </c>
      <c r="O33" s="233">
        <f t="shared" ref="O33:O34" si="11">K33*L33*M33*N33</f>
        <v>88.913999999999987</v>
      </c>
      <c r="P33" s="235">
        <v>149108.51999999999</v>
      </c>
      <c r="Q33" s="235">
        <f t="shared" ref="Q33:Q34" si="12">P33*$O33</f>
        <v>13257834.947279997</v>
      </c>
      <c r="R33" s="233"/>
      <c r="S33" s="233"/>
      <c r="T33" s="233"/>
      <c r="U33" s="233"/>
      <c r="V33" s="233"/>
      <c r="W33" s="241"/>
      <c r="X33" s="232"/>
      <c r="AA33" s="472">
        <f t="shared" si="9"/>
        <v>259448.82479999994</v>
      </c>
      <c r="AB33" s="232"/>
    </row>
    <row r="34" spans="2:28" x14ac:dyDescent="0.35">
      <c r="B34" s="290"/>
      <c r="C34" s="291"/>
      <c r="D34" s="291"/>
      <c r="E34" s="306"/>
      <c r="F34" s="286" t="s">
        <v>209</v>
      </c>
      <c r="G34" s="274" t="s">
        <v>210</v>
      </c>
      <c r="H34" s="275"/>
      <c r="I34" s="276"/>
      <c r="J34" s="277"/>
      <c r="K34" s="278">
        <v>0</v>
      </c>
      <c r="L34" s="279">
        <f>(O32*18)/400</f>
        <v>6.6685499999999998</v>
      </c>
      <c r="M34" s="235">
        <v>2</v>
      </c>
      <c r="N34" s="235">
        <v>1</v>
      </c>
      <c r="O34" s="233">
        <f t="shared" si="11"/>
        <v>0</v>
      </c>
      <c r="P34" s="235">
        <v>207500</v>
      </c>
      <c r="Q34" s="235">
        <f t="shared" si="12"/>
        <v>0</v>
      </c>
      <c r="R34" s="233"/>
      <c r="S34" s="233"/>
      <c r="T34" s="233"/>
      <c r="U34" s="233"/>
      <c r="V34" s="233"/>
      <c r="W34" s="241"/>
      <c r="X34" s="232"/>
      <c r="AA34" s="540"/>
      <c r="AB34" s="232"/>
    </row>
    <row r="35" spans="2:28" x14ac:dyDescent="0.35">
      <c r="B35" s="275"/>
      <c r="C35" s="276"/>
      <c r="D35" s="276" t="s">
        <v>224</v>
      </c>
      <c r="E35" s="288"/>
      <c r="F35" s="273"/>
      <c r="G35" s="274"/>
      <c r="H35" s="275"/>
      <c r="I35" s="276"/>
      <c r="J35" s="277"/>
      <c r="K35" s="278"/>
      <c r="L35" s="289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41"/>
      <c r="X35" s="232"/>
      <c r="AA35" s="232"/>
      <c r="AB35" s="232"/>
    </row>
    <row r="36" spans="2:28" x14ac:dyDescent="0.35">
      <c r="B36" s="283"/>
      <c r="C36" s="307"/>
      <c r="D36" s="307"/>
      <c r="E36" s="308" t="s">
        <v>225</v>
      </c>
      <c r="F36" s="273" t="s">
        <v>187</v>
      </c>
      <c r="G36" s="274" t="s">
        <v>188</v>
      </c>
      <c r="H36" s="275"/>
      <c r="I36" s="276"/>
      <c r="J36" s="277"/>
      <c r="K36" s="278">
        <v>1</v>
      </c>
      <c r="L36" s="317">
        <f>51.1</f>
        <v>51.1</v>
      </c>
      <c r="M36" s="233">
        <v>0.25</v>
      </c>
      <c r="N36" s="233">
        <v>1</v>
      </c>
      <c r="O36" s="233">
        <f>K36*L36*M36*N36</f>
        <v>12.775</v>
      </c>
      <c r="P36" s="235">
        <v>149108.51999999999</v>
      </c>
      <c r="Q36" s="233">
        <f>P36*$O36</f>
        <v>1904861.3429999999</v>
      </c>
      <c r="R36" s="233">
        <v>149108.51999999999</v>
      </c>
      <c r="S36" s="233">
        <f>R36*$O36</f>
        <v>1904861.3429999999</v>
      </c>
      <c r="T36" s="233">
        <v>158800.57379999998</v>
      </c>
      <c r="U36" s="233">
        <f>T36*$O36</f>
        <v>2028677.3302949998</v>
      </c>
      <c r="V36" s="233">
        <f>W36/O36</f>
        <v>152339.20459999997</v>
      </c>
      <c r="W36" s="241">
        <f>AVERAGEIF($P$3:$U$3,W$3,$P36:$U36)</f>
        <v>1946133.3387649998</v>
      </c>
      <c r="X36" s="232" t="s">
        <v>226</v>
      </c>
      <c r="Y36" s="281">
        <f>Q36/L36</f>
        <v>37277.129999999997</v>
      </c>
      <c r="AA36" s="472">
        <f t="shared" ref="AA36:AA38" si="13">Q36/$E$1</f>
        <v>37277.129999999997</v>
      </c>
      <c r="AB36" s="232"/>
    </row>
    <row r="37" spans="2:28" x14ac:dyDescent="0.35">
      <c r="B37" s="275"/>
      <c r="C37" s="276"/>
      <c r="D37" s="276"/>
      <c r="E37" s="276" t="s">
        <v>227</v>
      </c>
      <c r="F37" s="273" t="s">
        <v>215</v>
      </c>
      <c r="G37" s="274" t="s">
        <v>205</v>
      </c>
      <c r="H37" s="275"/>
      <c r="I37" s="276"/>
      <c r="J37" s="277" t="s">
        <v>206</v>
      </c>
      <c r="K37" s="278">
        <v>1</v>
      </c>
      <c r="L37" s="539">
        <v>51.1</v>
      </c>
      <c r="M37" s="233">
        <v>1.45</v>
      </c>
      <c r="N37" s="233">
        <v>1</v>
      </c>
      <c r="O37" s="233">
        <f>K37*L37*M37*N37</f>
        <v>74.094999999999999</v>
      </c>
      <c r="P37" s="235">
        <v>720338.0730320001</v>
      </c>
      <c r="Q37" s="235">
        <f t="shared" si="4"/>
        <v>53373449.521306045</v>
      </c>
      <c r="R37" s="233">
        <v>720338.0730320001</v>
      </c>
      <c r="S37" s="233">
        <f t="shared" si="5"/>
        <v>53373449.521306045</v>
      </c>
      <c r="T37" s="233">
        <v>761671.70213055995</v>
      </c>
      <c r="U37" s="233">
        <f t="shared" si="6"/>
        <v>56436064.769363835</v>
      </c>
      <c r="V37" s="233">
        <f t="shared" si="7"/>
        <v>734115.94939818664</v>
      </c>
      <c r="W37" s="241">
        <f t="shared" si="8"/>
        <v>54394321.270658642</v>
      </c>
      <c r="X37" s="232" t="s">
        <v>460</v>
      </c>
      <c r="Y37" s="281">
        <f>Q37/192.08</f>
        <v>277870.93669984402</v>
      </c>
      <c r="AA37" s="472">
        <f t="shared" si="13"/>
        <v>1044490.2058964</v>
      </c>
      <c r="AB37" s="232"/>
    </row>
    <row r="38" spans="2:28" x14ac:dyDescent="0.35">
      <c r="B38" s="290"/>
      <c r="C38" s="291"/>
      <c r="D38" s="291"/>
      <c r="E38" s="291"/>
      <c r="F38" s="273" t="s">
        <v>187</v>
      </c>
      <c r="G38" s="274" t="s">
        <v>188</v>
      </c>
      <c r="H38" s="275"/>
      <c r="I38" s="276"/>
      <c r="J38" s="277" t="s">
        <v>189</v>
      </c>
      <c r="K38" s="278">
        <v>1</v>
      </c>
      <c r="L38" s="279">
        <f>O37/10</f>
        <v>7.4094999999999995</v>
      </c>
      <c r="M38" s="235">
        <f>3*2</f>
        <v>6</v>
      </c>
      <c r="N38" s="235">
        <v>1</v>
      </c>
      <c r="O38" s="233">
        <f t="shared" ref="O38:O39" si="14">K38*L38*M38*N38</f>
        <v>44.456999999999994</v>
      </c>
      <c r="P38" s="235">
        <v>149108.51999999999</v>
      </c>
      <c r="Q38" s="235">
        <f t="shared" si="4"/>
        <v>6628917.4736399986</v>
      </c>
      <c r="R38" s="233"/>
      <c r="S38" s="233"/>
      <c r="T38" s="233"/>
      <c r="U38" s="233"/>
      <c r="V38" s="233"/>
      <c r="W38" s="241"/>
      <c r="X38" s="232"/>
      <c r="Y38" s="281"/>
      <c r="AA38" s="472">
        <f t="shared" si="13"/>
        <v>129724.41239999997</v>
      </c>
      <c r="AB38" s="232"/>
    </row>
    <row r="39" spans="2:28" x14ac:dyDescent="0.35">
      <c r="B39" s="290"/>
      <c r="C39" s="291"/>
      <c r="D39" s="291"/>
      <c r="E39" s="291"/>
      <c r="F39" s="286" t="s">
        <v>209</v>
      </c>
      <c r="G39" s="274" t="s">
        <v>210</v>
      </c>
      <c r="H39" s="275"/>
      <c r="I39" s="276"/>
      <c r="J39" s="277"/>
      <c r="K39" s="278">
        <v>0</v>
      </c>
      <c r="L39" s="279">
        <f>(O37*18)/400</f>
        <v>3.3342749999999999</v>
      </c>
      <c r="M39" s="235">
        <v>2</v>
      </c>
      <c r="N39" s="235">
        <v>1</v>
      </c>
      <c r="O39" s="233">
        <f t="shared" si="14"/>
        <v>0</v>
      </c>
      <c r="P39" s="235">
        <v>207500</v>
      </c>
      <c r="Q39" s="235">
        <f t="shared" si="4"/>
        <v>0</v>
      </c>
      <c r="R39" s="233"/>
      <c r="S39" s="233"/>
      <c r="T39" s="233"/>
      <c r="U39" s="233"/>
      <c r="V39" s="233"/>
      <c r="W39" s="241"/>
      <c r="X39" s="232"/>
      <c r="Y39" s="281"/>
      <c r="AA39" s="540"/>
      <c r="AB39" s="232"/>
    </row>
    <row r="40" spans="2:28" x14ac:dyDescent="0.35">
      <c r="B40" s="290"/>
      <c r="C40" s="291"/>
      <c r="D40" s="291" t="s">
        <v>229</v>
      </c>
      <c r="E40" s="306"/>
      <c r="F40" s="273" t="s">
        <v>187</v>
      </c>
      <c r="G40" s="274" t="s">
        <v>188</v>
      </c>
      <c r="H40" s="275"/>
      <c r="I40" s="276"/>
      <c r="J40" s="277" t="s">
        <v>189</v>
      </c>
      <c r="K40" s="278">
        <v>1</v>
      </c>
      <c r="L40" s="539"/>
      <c r="M40" s="233">
        <v>1.5</v>
      </c>
      <c r="N40" s="233">
        <v>1</v>
      </c>
      <c r="O40" s="233">
        <f>K40*L40*M40*N40</f>
        <v>0</v>
      </c>
      <c r="P40" s="235">
        <v>149108.51999999999</v>
      </c>
      <c r="Q40" s="235">
        <f t="shared" si="4"/>
        <v>0</v>
      </c>
      <c r="R40" s="233">
        <v>149108.51999999999</v>
      </c>
      <c r="S40" s="233">
        <f t="shared" si="5"/>
        <v>0</v>
      </c>
      <c r="T40" s="233">
        <v>158800.57379999998</v>
      </c>
      <c r="U40" s="233">
        <f t="shared" si="6"/>
        <v>0</v>
      </c>
      <c r="V40" s="233" t="e">
        <f t="shared" si="7"/>
        <v>#DIV/0!</v>
      </c>
      <c r="W40" s="241">
        <f t="shared" si="8"/>
        <v>0</v>
      </c>
      <c r="X40" s="232"/>
      <c r="AA40" s="232"/>
      <c r="AB40" s="232"/>
    </row>
    <row r="41" spans="2:28" hidden="1" x14ac:dyDescent="0.35">
      <c r="B41" s="242"/>
      <c r="C41" s="243"/>
      <c r="D41" s="243"/>
      <c r="E41" s="244"/>
      <c r="F41" s="273" t="s">
        <v>230</v>
      </c>
      <c r="G41" s="274" t="s">
        <v>193</v>
      </c>
      <c r="H41" s="275"/>
      <c r="I41" s="276"/>
      <c r="J41" s="277" t="s">
        <v>189</v>
      </c>
      <c r="K41" s="278">
        <v>1</v>
      </c>
      <c r="L41" s="539"/>
      <c r="M41" s="233">
        <v>3.1E-2</v>
      </c>
      <c r="N41" s="233">
        <v>1</v>
      </c>
      <c r="O41" s="233">
        <f>K41*L41*M41*N41</f>
        <v>0</v>
      </c>
      <c r="P41" s="235">
        <v>1434791.925</v>
      </c>
      <c r="Q41" s="235">
        <f t="shared" si="4"/>
        <v>0</v>
      </c>
      <c r="R41" s="233">
        <v>1434791.925</v>
      </c>
      <c r="S41" s="233">
        <f t="shared" si="5"/>
        <v>0</v>
      </c>
      <c r="T41" s="233">
        <v>1506531.5212500002</v>
      </c>
      <c r="U41" s="233">
        <f t="shared" si="6"/>
        <v>0</v>
      </c>
      <c r="V41" s="233" t="e">
        <f t="shared" si="7"/>
        <v>#DIV/0!</v>
      </c>
      <c r="W41" s="241">
        <f t="shared" si="8"/>
        <v>0</v>
      </c>
      <c r="X41" s="232"/>
      <c r="AA41" s="232"/>
      <c r="AB41" s="232"/>
    </row>
    <row r="42" spans="2:28" hidden="1" x14ac:dyDescent="0.35">
      <c r="B42" s="245"/>
      <c r="C42" s="246"/>
      <c r="D42" s="246"/>
      <c r="E42" s="251"/>
      <c r="F42" s="225" t="s">
        <v>231</v>
      </c>
      <c r="G42" s="226" t="s">
        <v>232</v>
      </c>
      <c r="H42" s="227"/>
      <c r="I42" s="228"/>
      <c r="J42" s="229" t="s">
        <v>189</v>
      </c>
      <c r="K42" s="239">
        <v>1</v>
      </c>
      <c r="L42" s="539"/>
      <c r="M42" s="233">
        <v>0.9</v>
      </c>
      <c r="N42" s="233">
        <v>1</v>
      </c>
      <c r="O42" s="233">
        <f t="shared" ref="O42:O52" si="15">K42*L42*M42*N42</f>
        <v>0</v>
      </c>
      <c r="P42" s="235">
        <v>35343</v>
      </c>
      <c r="Q42" s="235">
        <f t="shared" si="4"/>
        <v>0</v>
      </c>
      <c r="R42" s="233"/>
      <c r="S42" s="233"/>
      <c r="T42" s="233"/>
      <c r="U42" s="233"/>
      <c r="V42" s="233"/>
      <c r="W42" s="233"/>
      <c r="X42" s="232"/>
      <c r="AA42" s="232"/>
      <c r="AB42" s="232"/>
    </row>
    <row r="43" spans="2:28" hidden="1" x14ac:dyDescent="0.35">
      <c r="B43" s="245"/>
      <c r="C43" s="246"/>
      <c r="D43" s="246"/>
      <c r="E43" s="251"/>
      <c r="F43" s="225" t="s">
        <v>233</v>
      </c>
      <c r="G43" s="226" t="s">
        <v>191</v>
      </c>
      <c r="H43" s="227"/>
      <c r="I43" s="228"/>
      <c r="J43" s="229" t="s">
        <v>189</v>
      </c>
      <c r="K43" s="239">
        <v>1</v>
      </c>
      <c r="L43" s="539"/>
      <c r="M43" s="233">
        <v>3.5999999999999997E-2</v>
      </c>
      <c r="N43" s="233">
        <v>1</v>
      </c>
      <c r="O43" s="233">
        <f t="shared" si="15"/>
        <v>0</v>
      </c>
      <c r="P43" s="235">
        <v>96390</v>
      </c>
      <c r="Q43" s="235">
        <f t="shared" si="4"/>
        <v>0</v>
      </c>
      <c r="R43" s="233">
        <v>96390</v>
      </c>
      <c r="S43" s="233">
        <f t="shared" ref="S43:S52" si="16">R43*$O43</f>
        <v>0</v>
      </c>
      <c r="T43" s="233">
        <v>101209.5</v>
      </c>
      <c r="U43" s="233">
        <f t="shared" ref="U43:U52" si="17">T43*$O43</f>
        <v>0</v>
      </c>
      <c r="V43" s="233" t="e">
        <f t="shared" ref="V43:V51" si="18">W43/O43</f>
        <v>#DIV/0!</v>
      </c>
      <c r="W43" s="241">
        <f t="shared" ref="W43:W52" si="19">AVERAGEIF($P$3:$U$3,W$3,$P43:$U43)</f>
        <v>0</v>
      </c>
      <c r="X43" s="232"/>
      <c r="AA43" s="232"/>
      <c r="AB43" s="232"/>
    </row>
    <row r="44" spans="2:28" hidden="1" x14ac:dyDescent="0.35">
      <c r="B44" s="245"/>
      <c r="C44" s="246"/>
      <c r="D44" s="246"/>
      <c r="E44" s="251"/>
      <c r="F44" s="225" t="s">
        <v>234</v>
      </c>
      <c r="G44" s="226" t="s">
        <v>232</v>
      </c>
      <c r="H44" s="227"/>
      <c r="I44" s="228"/>
      <c r="J44" s="229" t="s">
        <v>189</v>
      </c>
      <c r="K44" s="239">
        <v>0.5</v>
      </c>
      <c r="L44" s="539"/>
      <c r="M44" s="233">
        <v>0.9</v>
      </c>
      <c r="N44" s="233">
        <v>1</v>
      </c>
      <c r="O44" s="233">
        <f t="shared" si="15"/>
        <v>0</v>
      </c>
      <c r="P44" s="235">
        <v>28381.5</v>
      </c>
      <c r="Q44" s="235">
        <f t="shared" si="4"/>
        <v>0</v>
      </c>
      <c r="R44" s="233">
        <v>28381.5</v>
      </c>
      <c r="S44" s="233">
        <f t="shared" si="16"/>
        <v>0</v>
      </c>
      <c r="T44" s="233">
        <v>29800.575000000001</v>
      </c>
      <c r="U44" s="233">
        <f t="shared" si="17"/>
        <v>0</v>
      </c>
      <c r="V44" s="233" t="e">
        <f t="shared" si="18"/>
        <v>#DIV/0!</v>
      </c>
      <c r="W44" s="241">
        <f t="shared" si="19"/>
        <v>0</v>
      </c>
      <c r="X44" s="232"/>
      <c r="AA44" s="232"/>
      <c r="AB44" s="232"/>
    </row>
    <row r="45" spans="2:28" hidden="1" x14ac:dyDescent="0.35">
      <c r="B45" s="245"/>
      <c r="C45" s="246"/>
      <c r="D45" s="246"/>
      <c r="E45" s="251"/>
      <c r="F45" s="225" t="s">
        <v>235</v>
      </c>
      <c r="G45" s="226" t="s">
        <v>232</v>
      </c>
      <c r="H45" s="227"/>
      <c r="I45" s="228"/>
      <c r="J45" s="229" t="s">
        <v>189</v>
      </c>
      <c r="K45" s="239">
        <v>1</v>
      </c>
      <c r="L45" s="539"/>
      <c r="M45" s="233">
        <v>0.27</v>
      </c>
      <c r="N45" s="233">
        <v>1</v>
      </c>
      <c r="O45" s="233">
        <f t="shared" si="15"/>
        <v>0</v>
      </c>
      <c r="P45" s="235">
        <v>44982</v>
      </c>
      <c r="Q45" s="235">
        <f t="shared" si="4"/>
        <v>0</v>
      </c>
      <c r="R45" s="233">
        <v>44982</v>
      </c>
      <c r="S45" s="233">
        <f t="shared" si="16"/>
        <v>0</v>
      </c>
      <c r="T45" s="233">
        <v>47231.1</v>
      </c>
      <c r="U45" s="233">
        <f t="shared" si="17"/>
        <v>0</v>
      </c>
      <c r="V45" s="233" t="e">
        <f t="shared" si="18"/>
        <v>#DIV/0!</v>
      </c>
      <c r="W45" s="241">
        <f t="shared" si="19"/>
        <v>0</v>
      </c>
      <c r="X45" s="232"/>
      <c r="AA45" s="232"/>
      <c r="AB45" s="232"/>
    </row>
    <row r="46" spans="2:28" hidden="1" x14ac:dyDescent="0.35">
      <c r="B46" s="245"/>
      <c r="C46" s="246"/>
      <c r="D46" s="246"/>
      <c r="E46" s="251"/>
      <c r="F46" s="225" t="s">
        <v>236</v>
      </c>
      <c r="G46" s="226" t="s">
        <v>188</v>
      </c>
      <c r="H46" s="227"/>
      <c r="I46" s="228"/>
      <c r="J46" s="229" t="s">
        <v>189</v>
      </c>
      <c r="K46" s="239">
        <v>1</v>
      </c>
      <c r="L46" s="539"/>
      <c r="M46" s="233">
        <f>M40</f>
        <v>1.5</v>
      </c>
      <c r="N46" s="233">
        <v>1</v>
      </c>
      <c r="O46" s="233">
        <f t="shared" si="15"/>
        <v>0</v>
      </c>
      <c r="P46" s="235">
        <v>3940.5</v>
      </c>
      <c r="Q46" s="235">
        <f t="shared" si="4"/>
        <v>0</v>
      </c>
      <c r="R46" s="233">
        <v>3940.5</v>
      </c>
      <c r="S46" s="233">
        <f t="shared" si="16"/>
        <v>0</v>
      </c>
      <c r="T46" s="233">
        <v>4196.6324999999997</v>
      </c>
      <c r="U46" s="233">
        <f t="shared" si="17"/>
        <v>0</v>
      </c>
      <c r="V46" s="233" t="e">
        <f t="shared" si="18"/>
        <v>#DIV/0!</v>
      </c>
      <c r="W46" s="241">
        <f t="shared" si="19"/>
        <v>0</v>
      </c>
      <c r="X46" s="232"/>
      <c r="AA46" s="232"/>
      <c r="AB46" s="232"/>
    </row>
    <row r="47" spans="2:28" hidden="1" x14ac:dyDescent="0.35">
      <c r="B47" s="245"/>
      <c r="C47" s="246"/>
      <c r="D47" s="246"/>
      <c r="E47" s="251"/>
      <c r="F47" s="232" t="s">
        <v>237</v>
      </c>
      <c r="G47" s="318" t="s">
        <v>193</v>
      </c>
      <c r="H47" s="319">
        <v>4</v>
      </c>
      <c r="I47" s="320" t="s">
        <v>238</v>
      </c>
      <c r="J47" s="229" t="s">
        <v>189</v>
      </c>
      <c r="K47" s="239">
        <v>1</v>
      </c>
      <c r="L47" s="539"/>
      <c r="M47" s="321">
        <f>((M$40*N$40)/240*($H47/N47))</f>
        <v>2.5000000000000001E-2</v>
      </c>
      <c r="N47" s="233">
        <v>1</v>
      </c>
      <c r="O47" s="233">
        <f t="shared" si="15"/>
        <v>0</v>
      </c>
      <c r="P47" s="235">
        <v>44982</v>
      </c>
      <c r="Q47" s="235">
        <f t="shared" si="4"/>
        <v>0</v>
      </c>
      <c r="R47" s="233">
        <v>44982</v>
      </c>
      <c r="S47" s="233">
        <f t="shared" si="16"/>
        <v>0</v>
      </c>
      <c r="T47" s="233">
        <v>47231.1</v>
      </c>
      <c r="U47" s="233">
        <f t="shared" si="17"/>
        <v>0</v>
      </c>
      <c r="V47" s="233" t="e">
        <f t="shared" si="18"/>
        <v>#DIV/0!</v>
      </c>
      <c r="W47" s="241">
        <f t="shared" si="19"/>
        <v>0</v>
      </c>
      <c r="X47" s="232"/>
      <c r="AA47" s="232"/>
      <c r="AB47" s="232"/>
    </row>
    <row r="48" spans="2:28" hidden="1" x14ac:dyDescent="0.35">
      <c r="B48" s="245"/>
      <c r="C48" s="246"/>
      <c r="D48" s="246"/>
      <c r="E48" s="251"/>
      <c r="F48" s="232" t="s">
        <v>239</v>
      </c>
      <c r="G48" s="318" t="s">
        <v>193</v>
      </c>
      <c r="H48" s="319">
        <v>12</v>
      </c>
      <c r="I48" s="320" t="s">
        <v>238</v>
      </c>
      <c r="J48" s="229" t="s">
        <v>189</v>
      </c>
      <c r="K48" s="239">
        <v>1</v>
      </c>
      <c r="L48" s="539"/>
      <c r="M48" s="321">
        <f>((M$40*N$40)/240*($H48/N48))</f>
        <v>7.5000000000000011E-2</v>
      </c>
      <c r="N48" s="233">
        <v>1</v>
      </c>
      <c r="O48" s="233">
        <f t="shared" si="15"/>
        <v>0</v>
      </c>
      <c r="P48" s="235">
        <v>14700</v>
      </c>
      <c r="Q48" s="235">
        <f t="shared" si="4"/>
        <v>0</v>
      </c>
      <c r="R48" s="233">
        <v>14700</v>
      </c>
      <c r="S48" s="233">
        <f t="shared" si="16"/>
        <v>0</v>
      </c>
      <c r="T48" s="233">
        <v>15435</v>
      </c>
      <c r="U48" s="233">
        <f t="shared" si="17"/>
        <v>0</v>
      </c>
      <c r="V48" s="233" t="e">
        <f t="shared" si="18"/>
        <v>#DIV/0!</v>
      </c>
      <c r="W48" s="241">
        <f t="shared" si="19"/>
        <v>0</v>
      </c>
      <c r="X48" s="232"/>
      <c r="AA48" s="232"/>
      <c r="AB48" s="232"/>
    </row>
    <row r="49" spans="2:28" hidden="1" x14ac:dyDescent="0.35">
      <c r="B49" s="245"/>
      <c r="C49" s="246"/>
      <c r="D49" s="246"/>
      <c r="E49" s="251"/>
      <c r="F49" s="232" t="s">
        <v>240</v>
      </c>
      <c r="G49" s="318" t="s">
        <v>193</v>
      </c>
      <c r="H49" s="319">
        <v>1</v>
      </c>
      <c r="I49" s="320" t="s">
        <v>238</v>
      </c>
      <c r="J49" s="229" t="s">
        <v>189</v>
      </c>
      <c r="K49" s="239">
        <v>1</v>
      </c>
      <c r="L49" s="539"/>
      <c r="M49" s="321">
        <f>((M$40*N$40)/240*($H49/N49))</f>
        <v>6.2500000000000003E-3</v>
      </c>
      <c r="N49" s="233">
        <v>1</v>
      </c>
      <c r="O49" s="233">
        <f t="shared" si="15"/>
        <v>0</v>
      </c>
      <c r="P49" s="235">
        <v>39359.25</v>
      </c>
      <c r="Q49" s="235">
        <f t="shared" si="4"/>
        <v>0</v>
      </c>
      <c r="R49" s="233">
        <v>39359.25</v>
      </c>
      <c r="S49" s="233">
        <f t="shared" si="16"/>
        <v>0</v>
      </c>
      <c r="T49" s="233">
        <v>41327.212500000001</v>
      </c>
      <c r="U49" s="233">
        <f t="shared" si="17"/>
        <v>0</v>
      </c>
      <c r="V49" s="233" t="e">
        <f t="shared" si="18"/>
        <v>#DIV/0!</v>
      </c>
      <c r="W49" s="241">
        <f t="shared" si="19"/>
        <v>0</v>
      </c>
      <c r="X49" s="232"/>
      <c r="AA49" s="232"/>
      <c r="AB49" s="232"/>
    </row>
    <row r="50" spans="2:28" hidden="1" x14ac:dyDescent="0.35">
      <c r="B50" s="245"/>
      <c r="C50" s="246"/>
      <c r="D50" s="246"/>
      <c r="E50" s="251"/>
      <c r="F50" s="232" t="s">
        <v>241</v>
      </c>
      <c r="G50" s="318" t="s">
        <v>193</v>
      </c>
      <c r="H50" s="319">
        <v>2</v>
      </c>
      <c r="I50" s="320" t="s">
        <v>238</v>
      </c>
      <c r="J50" s="229" t="s">
        <v>189</v>
      </c>
      <c r="K50" s="239">
        <v>1</v>
      </c>
      <c r="L50" s="539"/>
      <c r="M50" s="321">
        <f>((M$40*N$40)/240*($H50/N50))</f>
        <v>1.2500000000000001E-2</v>
      </c>
      <c r="N50" s="233">
        <v>1</v>
      </c>
      <c r="O50" s="233">
        <f t="shared" si="15"/>
        <v>0</v>
      </c>
      <c r="P50" s="235">
        <v>33736.5</v>
      </c>
      <c r="Q50" s="235">
        <f t="shared" si="4"/>
        <v>0</v>
      </c>
      <c r="R50" s="233">
        <v>33736.5</v>
      </c>
      <c r="S50" s="233">
        <f t="shared" si="16"/>
        <v>0</v>
      </c>
      <c r="T50" s="233">
        <v>35423.325000000004</v>
      </c>
      <c r="U50" s="233">
        <f t="shared" si="17"/>
        <v>0</v>
      </c>
      <c r="V50" s="233" t="e">
        <f t="shared" si="18"/>
        <v>#DIV/0!</v>
      </c>
      <c r="W50" s="241">
        <f t="shared" si="19"/>
        <v>0</v>
      </c>
      <c r="X50" s="232"/>
      <c r="AA50" s="232"/>
      <c r="AB50" s="232"/>
    </row>
    <row r="51" spans="2:28" hidden="1" x14ac:dyDescent="0.35">
      <c r="B51" s="245"/>
      <c r="C51" s="246"/>
      <c r="D51" s="246"/>
      <c r="E51" s="251"/>
      <c r="F51" s="232" t="s">
        <v>242</v>
      </c>
      <c r="G51" s="318" t="s">
        <v>193</v>
      </c>
      <c r="H51" s="319">
        <v>1</v>
      </c>
      <c r="I51" s="320" t="s">
        <v>238</v>
      </c>
      <c r="J51" s="229" t="s">
        <v>189</v>
      </c>
      <c r="K51" s="239">
        <v>1</v>
      </c>
      <c r="L51" s="539"/>
      <c r="M51" s="321">
        <f>((M$40*N$40)/240*($H51/N51))</f>
        <v>6.2500000000000003E-3</v>
      </c>
      <c r="N51" s="233">
        <v>1</v>
      </c>
      <c r="O51" s="233">
        <f t="shared" si="15"/>
        <v>0</v>
      </c>
      <c r="P51" s="235">
        <v>89964</v>
      </c>
      <c r="Q51" s="235">
        <f t="shared" si="4"/>
        <v>0</v>
      </c>
      <c r="R51" s="233">
        <v>89964</v>
      </c>
      <c r="S51" s="233">
        <f t="shared" si="16"/>
        <v>0</v>
      </c>
      <c r="T51" s="233">
        <v>94462.2</v>
      </c>
      <c r="U51" s="233">
        <f t="shared" si="17"/>
        <v>0</v>
      </c>
      <c r="V51" s="233" t="e">
        <f t="shared" si="18"/>
        <v>#DIV/0!</v>
      </c>
      <c r="W51" s="241">
        <f t="shared" si="19"/>
        <v>0</v>
      </c>
      <c r="X51" s="232"/>
      <c r="AA51" s="232"/>
      <c r="AB51" s="232"/>
    </row>
    <row r="52" spans="2:28" x14ac:dyDescent="0.35">
      <c r="B52" s="248"/>
      <c r="C52" s="249"/>
      <c r="D52" s="249"/>
      <c r="E52" s="233" t="s">
        <v>243</v>
      </c>
      <c r="F52" s="323" t="s">
        <v>244</v>
      </c>
      <c r="G52" s="318" t="s">
        <v>210</v>
      </c>
      <c r="H52" s="319"/>
      <c r="I52" s="320"/>
      <c r="J52" s="229" t="s">
        <v>189</v>
      </c>
      <c r="K52" s="239">
        <v>1</v>
      </c>
      <c r="L52" s="539"/>
      <c r="M52" s="324">
        <v>0.27</v>
      </c>
      <c r="N52" s="233">
        <v>1</v>
      </c>
      <c r="O52" s="233">
        <f t="shared" si="15"/>
        <v>0</v>
      </c>
      <c r="P52" s="235">
        <f>200000</f>
        <v>200000</v>
      </c>
      <c r="Q52" s="235">
        <f t="shared" si="4"/>
        <v>0</v>
      </c>
      <c r="R52" s="233">
        <v>69295.8</v>
      </c>
      <c r="S52" s="233">
        <f t="shared" si="16"/>
        <v>0</v>
      </c>
      <c r="T52" s="233">
        <v>72760.590000000011</v>
      </c>
      <c r="U52" s="233">
        <f t="shared" si="17"/>
        <v>0</v>
      </c>
      <c r="V52" s="233" t="e">
        <f>W52/O52</f>
        <v>#DIV/0!</v>
      </c>
      <c r="W52" s="241">
        <f t="shared" si="19"/>
        <v>0</v>
      </c>
      <c r="X52" s="232"/>
      <c r="AA52" s="232"/>
      <c r="AB52" s="232"/>
    </row>
    <row r="53" spans="2:28" x14ac:dyDescent="0.35">
      <c r="B53" s="236"/>
      <c r="C53" s="237"/>
      <c r="D53" s="237" t="s">
        <v>247</v>
      </c>
      <c r="E53" s="238"/>
      <c r="F53" s="225" t="s">
        <v>187</v>
      </c>
      <c r="G53" s="226" t="s">
        <v>188</v>
      </c>
      <c r="H53" s="227"/>
      <c r="I53" s="228"/>
      <c r="J53" s="229"/>
      <c r="K53" s="230"/>
      <c r="L53" s="230"/>
      <c r="M53" s="231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2"/>
      <c r="AA53" s="232"/>
      <c r="AB53" s="232"/>
    </row>
    <row r="54" spans="2:28" hidden="1" x14ac:dyDescent="0.35">
      <c r="B54" s="248"/>
      <c r="C54" s="249"/>
      <c r="D54" s="249"/>
      <c r="E54" s="250"/>
      <c r="F54" s="225" t="s">
        <v>215</v>
      </c>
      <c r="G54" s="226" t="s">
        <v>205</v>
      </c>
      <c r="H54" s="227"/>
      <c r="I54" s="228"/>
      <c r="J54" s="229"/>
      <c r="K54" s="230"/>
      <c r="L54" s="230"/>
      <c r="M54" s="231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2"/>
      <c r="AA54" s="232"/>
      <c r="AB54" s="232"/>
    </row>
    <row r="55" spans="2:28" x14ac:dyDescent="0.35">
      <c r="B55" s="236"/>
      <c r="C55" s="237"/>
      <c r="D55" s="237" t="s">
        <v>248</v>
      </c>
      <c r="E55" s="238"/>
      <c r="F55" s="225" t="s">
        <v>187</v>
      </c>
      <c r="G55" s="226" t="s">
        <v>188</v>
      </c>
      <c r="H55" s="227"/>
      <c r="I55" s="228"/>
      <c r="J55" s="229"/>
      <c r="K55" s="230"/>
      <c r="L55" s="230"/>
      <c r="M55" s="231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2"/>
      <c r="AA55" s="232"/>
      <c r="AB55" s="232"/>
    </row>
    <row r="56" spans="2:28" hidden="1" x14ac:dyDescent="0.35">
      <c r="B56" s="248"/>
      <c r="C56" s="249"/>
      <c r="D56" s="249"/>
      <c r="E56" s="250"/>
      <c r="F56" s="225" t="s">
        <v>215</v>
      </c>
      <c r="G56" s="226" t="s">
        <v>205</v>
      </c>
      <c r="H56" s="227"/>
      <c r="I56" s="228"/>
      <c r="J56" s="229"/>
      <c r="K56" s="230"/>
      <c r="L56" s="230"/>
      <c r="M56" s="231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2"/>
      <c r="AA56" s="232"/>
      <c r="AB56" s="232"/>
    </row>
    <row r="57" spans="2:28" x14ac:dyDescent="0.35">
      <c r="B57" s="236"/>
      <c r="C57" s="237"/>
      <c r="D57" s="237" t="s">
        <v>249</v>
      </c>
      <c r="E57" s="238"/>
      <c r="F57" s="225" t="s">
        <v>187</v>
      </c>
      <c r="G57" s="226" t="s">
        <v>188</v>
      </c>
      <c r="H57" s="227"/>
      <c r="I57" s="228"/>
      <c r="J57" s="229"/>
      <c r="K57" s="230"/>
      <c r="L57" s="230"/>
      <c r="M57" s="231">
        <v>0.5</v>
      </c>
      <c r="N57" s="233">
        <v>1</v>
      </c>
      <c r="O57" s="233"/>
      <c r="P57" s="233"/>
      <c r="Q57" s="233"/>
      <c r="R57" s="233"/>
      <c r="S57" s="233"/>
      <c r="T57" s="233"/>
      <c r="U57" s="233"/>
      <c r="V57" s="233"/>
      <c r="W57" s="233"/>
      <c r="X57" s="232"/>
      <c r="AA57" s="232"/>
      <c r="AB57" s="232"/>
    </row>
    <row r="58" spans="2:28" hidden="1" x14ac:dyDescent="0.35">
      <c r="B58" s="245"/>
      <c r="C58" s="246"/>
      <c r="D58" s="246"/>
      <c r="E58" s="251"/>
      <c r="F58" s="225" t="s">
        <v>250</v>
      </c>
      <c r="G58" s="226" t="s">
        <v>193</v>
      </c>
      <c r="H58" s="227"/>
      <c r="I58" s="228"/>
      <c r="J58" s="229"/>
      <c r="K58" s="230"/>
      <c r="L58" s="230"/>
      <c r="M58" s="231">
        <v>4.0000000000000001E-3</v>
      </c>
      <c r="N58" s="233">
        <v>1</v>
      </c>
      <c r="O58" s="233"/>
      <c r="P58" s="233"/>
      <c r="Q58" s="233"/>
      <c r="R58" s="233"/>
      <c r="S58" s="233"/>
      <c r="T58" s="233"/>
      <c r="U58" s="233"/>
      <c r="V58" s="233"/>
      <c r="W58" s="233"/>
      <c r="X58" s="232"/>
      <c r="AA58" s="232"/>
      <c r="AB58" s="232"/>
    </row>
    <row r="59" spans="2:28" hidden="1" x14ac:dyDescent="0.35">
      <c r="B59" s="248"/>
      <c r="C59" s="249"/>
      <c r="D59" s="249"/>
      <c r="E59" s="250"/>
      <c r="F59" s="225" t="s">
        <v>195</v>
      </c>
      <c r="G59" s="226" t="s">
        <v>193</v>
      </c>
      <c r="H59" s="227"/>
      <c r="I59" s="228"/>
      <c r="J59" s="229"/>
      <c r="K59" s="230"/>
      <c r="L59" s="230"/>
      <c r="M59" s="231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2"/>
      <c r="AA59" s="232"/>
      <c r="AB59" s="232"/>
    </row>
    <row r="60" spans="2:28" x14ac:dyDescent="0.35">
      <c r="B60" s="331"/>
      <c r="C60" s="332"/>
      <c r="D60" s="333" t="s">
        <v>251</v>
      </c>
      <c r="E60" s="334"/>
      <c r="F60" s="335"/>
      <c r="G60" s="336"/>
      <c r="H60" s="337"/>
      <c r="I60" s="338"/>
      <c r="J60" s="339"/>
      <c r="K60" s="340"/>
      <c r="L60" s="340"/>
      <c r="M60" s="341"/>
      <c r="N60" s="342"/>
      <c r="O60" s="342"/>
      <c r="P60" s="342"/>
      <c r="Q60" s="343">
        <f>SUM(Q6:Q59)</f>
        <v>1114213859.8140111</v>
      </c>
      <c r="R60" s="342"/>
      <c r="S60" s="342"/>
      <c r="T60" s="342"/>
      <c r="U60" s="342"/>
      <c r="V60" s="342"/>
      <c r="W60" s="342"/>
      <c r="X60" s="370"/>
      <c r="Y60" s="371"/>
      <c r="Z60" s="371"/>
      <c r="AA60" s="541">
        <f>Q60/$E$1</f>
        <v>21804576.512994345</v>
      </c>
      <c r="AB60" s="542">
        <f>Q60/$Q$315*100</f>
        <v>82.761245106553133</v>
      </c>
    </row>
    <row r="61" spans="2:28" x14ac:dyDescent="0.35">
      <c r="B61" s="222" t="s">
        <v>252</v>
      </c>
      <c r="C61" s="223"/>
      <c r="D61" s="228"/>
      <c r="E61" s="247"/>
      <c r="F61" s="225"/>
      <c r="G61" s="226"/>
      <c r="H61" s="227"/>
      <c r="I61" s="228"/>
      <c r="J61" s="229"/>
      <c r="K61" s="230"/>
      <c r="L61" s="230"/>
      <c r="M61" s="231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2"/>
      <c r="AA61" s="232"/>
      <c r="AB61" s="232"/>
    </row>
    <row r="62" spans="2:28" x14ac:dyDescent="0.35">
      <c r="B62" s="234"/>
      <c r="C62" s="223" t="s">
        <v>253</v>
      </c>
      <c r="D62" s="223"/>
      <c r="E62" s="247"/>
      <c r="F62" s="225"/>
      <c r="G62" s="226"/>
      <c r="H62" s="227"/>
      <c r="I62" s="228"/>
      <c r="J62" s="229"/>
      <c r="K62" s="230"/>
      <c r="L62" s="230"/>
      <c r="M62" s="231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2"/>
      <c r="AA62" s="232"/>
      <c r="AB62" s="232"/>
    </row>
    <row r="63" spans="2:28" x14ac:dyDescent="0.35">
      <c r="B63" s="236"/>
      <c r="C63" s="237"/>
      <c r="D63" s="237" t="s">
        <v>254</v>
      </c>
      <c r="E63" s="238"/>
      <c r="F63" s="225" t="s">
        <v>187</v>
      </c>
      <c r="G63" s="226" t="s">
        <v>188</v>
      </c>
      <c r="H63" s="227"/>
      <c r="I63" s="228"/>
      <c r="J63" s="229"/>
      <c r="K63" s="230"/>
      <c r="L63" s="230"/>
      <c r="M63" s="231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2"/>
      <c r="AA63" s="232"/>
      <c r="AB63" s="232"/>
    </row>
    <row r="64" spans="2:28" hidden="1" x14ac:dyDescent="0.35">
      <c r="B64" s="347"/>
      <c r="C64" s="348"/>
      <c r="D64" s="348"/>
      <c r="E64" s="349"/>
      <c r="F64" s="225" t="s">
        <v>204</v>
      </c>
      <c r="G64" s="226" t="s">
        <v>205</v>
      </c>
      <c r="H64" s="227"/>
      <c r="I64" s="228"/>
      <c r="J64" s="229"/>
      <c r="K64" s="230"/>
      <c r="L64" s="230"/>
      <c r="M64" s="328">
        <f>30/1000</f>
        <v>0.03</v>
      </c>
      <c r="N64" s="233">
        <v>1</v>
      </c>
      <c r="O64" s="233"/>
      <c r="P64" s="233"/>
      <c r="Q64" s="233"/>
      <c r="R64" s="233"/>
      <c r="S64" s="233"/>
      <c r="T64" s="233"/>
      <c r="U64" s="233"/>
      <c r="V64" s="233"/>
      <c r="W64" s="233"/>
      <c r="X64" s="232"/>
      <c r="AA64" s="232"/>
      <c r="AB64" s="232"/>
    </row>
    <row r="65" spans="2:28" hidden="1" x14ac:dyDescent="0.35">
      <c r="B65" s="350"/>
      <c r="C65" s="351"/>
      <c r="D65" s="351"/>
      <c r="E65" s="352"/>
      <c r="F65" s="225" t="s">
        <v>255</v>
      </c>
      <c r="G65" s="226" t="s">
        <v>205</v>
      </c>
      <c r="H65" s="227"/>
      <c r="I65" s="228"/>
      <c r="J65" s="229"/>
      <c r="K65" s="230"/>
      <c r="L65" s="230"/>
      <c r="M65" s="328">
        <f>12/1000</f>
        <v>1.2E-2</v>
      </c>
      <c r="N65" s="233">
        <v>1</v>
      </c>
      <c r="O65" s="233"/>
      <c r="P65" s="233"/>
      <c r="Q65" s="233"/>
      <c r="R65" s="233"/>
      <c r="S65" s="233"/>
      <c r="T65" s="233"/>
      <c r="U65" s="233"/>
      <c r="V65" s="233"/>
      <c r="W65" s="233"/>
      <c r="X65" s="232"/>
      <c r="AA65" s="232"/>
      <c r="AB65" s="232"/>
    </row>
    <row r="66" spans="2:28" x14ac:dyDescent="0.35">
      <c r="B66" s="236"/>
      <c r="C66" s="237"/>
      <c r="D66" s="237" t="s">
        <v>256</v>
      </c>
      <c r="E66" s="238"/>
      <c r="F66" s="225" t="s">
        <v>187</v>
      </c>
      <c r="G66" s="226" t="s">
        <v>188</v>
      </c>
      <c r="H66" s="227"/>
      <c r="I66" s="228"/>
      <c r="J66" s="229"/>
      <c r="K66" s="230"/>
      <c r="L66" s="230"/>
      <c r="M66" s="231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2"/>
      <c r="AA66" s="232"/>
      <c r="AB66" s="232"/>
    </row>
    <row r="67" spans="2:28" hidden="1" x14ac:dyDescent="0.35">
      <c r="B67" s="245"/>
      <c r="C67" s="246"/>
      <c r="D67" s="246"/>
      <c r="E67" s="251"/>
      <c r="F67" s="225" t="s">
        <v>204</v>
      </c>
      <c r="G67" s="226" t="s">
        <v>205</v>
      </c>
      <c r="H67" s="227"/>
      <c r="I67" s="228"/>
      <c r="J67" s="229"/>
      <c r="K67" s="230"/>
      <c r="L67" s="230"/>
      <c r="M67" s="231">
        <v>2.4E-2</v>
      </c>
      <c r="N67" s="233">
        <v>1</v>
      </c>
      <c r="O67" s="233"/>
      <c r="P67" s="233"/>
      <c r="Q67" s="233"/>
      <c r="R67" s="233"/>
      <c r="S67" s="233"/>
      <c r="T67" s="233"/>
      <c r="U67" s="233"/>
      <c r="V67" s="233"/>
      <c r="W67" s="233"/>
      <c r="X67" s="232"/>
      <c r="AA67" s="232"/>
      <c r="AB67" s="232"/>
    </row>
    <row r="68" spans="2:28" hidden="1" x14ac:dyDescent="0.35">
      <c r="B68" s="248"/>
      <c r="C68" s="249"/>
      <c r="D68" s="249"/>
      <c r="E68" s="250"/>
      <c r="F68" s="225" t="s">
        <v>255</v>
      </c>
      <c r="G68" s="226" t="s">
        <v>205</v>
      </c>
      <c r="H68" s="227"/>
      <c r="I68" s="228"/>
      <c r="J68" s="229"/>
      <c r="K68" s="230"/>
      <c r="L68" s="230"/>
      <c r="M68" s="231">
        <v>8.9999999999999993E-3</v>
      </c>
      <c r="N68" s="233">
        <v>1</v>
      </c>
      <c r="O68" s="233"/>
      <c r="P68" s="233"/>
      <c r="Q68" s="233"/>
      <c r="R68" s="233"/>
      <c r="S68" s="233"/>
      <c r="T68" s="233"/>
      <c r="U68" s="233"/>
      <c r="V68" s="233"/>
      <c r="W68" s="233"/>
      <c r="X68" s="232"/>
      <c r="AA68" s="232"/>
      <c r="AB68" s="232"/>
    </row>
    <row r="69" spans="2:28" x14ac:dyDescent="0.35">
      <c r="B69" s="236"/>
      <c r="C69" s="237"/>
      <c r="D69" s="237" t="s">
        <v>257</v>
      </c>
      <c r="E69" s="238"/>
      <c r="F69" s="225" t="s">
        <v>187</v>
      </c>
      <c r="G69" s="226" t="s">
        <v>188</v>
      </c>
      <c r="H69" s="227"/>
      <c r="I69" s="228"/>
      <c r="J69" s="229"/>
      <c r="K69" s="230"/>
      <c r="L69" s="230"/>
      <c r="M69" s="231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2"/>
      <c r="AA69" s="232"/>
      <c r="AB69" s="232"/>
    </row>
    <row r="70" spans="2:28" hidden="1" x14ac:dyDescent="0.35">
      <c r="B70" s="353"/>
      <c r="C70" s="354"/>
      <c r="D70" s="354"/>
      <c r="E70" s="355"/>
      <c r="F70" s="356" t="s">
        <v>204</v>
      </c>
      <c r="G70" s="357" t="s">
        <v>205</v>
      </c>
      <c r="H70" s="358"/>
      <c r="I70" s="359"/>
      <c r="J70" s="360"/>
      <c r="K70" s="361"/>
      <c r="L70" s="361"/>
      <c r="M70" s="328">
        <v>0.02</v>
      </c>
      <c r="N70" s="321">
        <v>1</v>
      </c>
      <c r="O70" s="321"/>
      <c r="P70" s="321"/>
      <c r="Q70" s="321"/>
      <c r="R70" s="321"/>
      <c r="S70" s="321"/>
      <c r="T70" s="321"/>
      <c r="U70" s="321"/>
      <c r="V70" s="321"/>
      <c r="W70" s="321"/>
      <c r="X70" s="232"/>
      <c r="AA70" s="232"/>
      <c r="AB70" s="232"/>
    </row>
    <row r="71" spans="2:28" hidden="1" x14ac:dyDescent="0.35">
      <c r="B71" s="363"/>
      <c r="C71" s="364"/>
      <c r="D71" s="364"/>
      <c r="E71" s="365"/>
      <c r="F71" s="356" t="s">
        <v>255</v>
      </c>
      <c r="G71" s="357" t="s">
        <v>205</v>
      </c>
      <c r="H71" s="358"/>
      <c r="I71" s="359"/>
      <c r="J71" s="360"/>
      <c r="K71" s="361"/>
      <c r="L71" s="361"/>
      <c r="M71" s="328">
        <v>7.0000000000000007E-2</v>
      </c>
      <c r="N71" s="321">
        <v>1</v>
      </c>
      <c r="O71" s="321"/>
      <c r="P71" s="321"/>
      <c r="Q71" s="321"/>
      <c r="R71" s="321"/>
      <c r="S71" s="321"/>
      <c r="T71" s="321"/>
      <c r="U71" s="321"/>
      <c r="V71" s="321"/>
      <c r="W71" s="321"/>
      <c r="X71" s="232"/>
      <c r="AA71" s="232"/>
      <c r="AB71" s="232"/>
    </row>
    <row r="72" spans="2:28" x14ac:dyDescent="0.35">
      <c r="B72" s="236"/>
      <c r="C72" s="237"/>
      <c r="D72" s="237" t="s">
        <v>258</v>
      </c>
      <c r="E72" s="238"/>
      <c r="F72" s="225" t="s">
        <v>187</v>
      </c>
      <c r="G72" s="226" t="s">
        <v>188</v>
      </c>
      <c r="H72" s="227"/>
      <c r="I72" s="228"/>
      <c r="J72" s="229"/>
      <c r="K72" s="230"/>
      <c r="L72" s="230"/>
      <c r="M72" s="231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2"/>
      <c r="AA72" s="232"/>
      <c r="AB72" s="232"/>
    </row>
    <row r="73" spans="2:28" hidden="1" x14ac:dyDescent="0.35">
      <c r="B73" s="245"/>
      <c r="C73" s="246"/>
      <c r="D73" s="246"/>
      <c r="E73" s="251"/>
      <c r="F73" s="225" t="s">
        <v>204</v>
      </c>
      <c r="G73" s="226" t="s">
        <v>205</v>
      </c>
      <c r="H73" s="227"/>
      <c r="I73" s="228"/>
      <c r="J73" s="229"/>
      <c r="K73" s="230"/>
      <c r="L73" s="230"/>
      <c r="M73" s="231">
        <v>0.02</v>
      </c>
      <c r="N73" s="233">
        <v>1</v>
      </c>
      <c r="O73" s="233"/>
      <c r="P73" s="233"/>
      <c r="Q73" s="233"/>
      <c r="R73" s="233"/>
      <c r="S73" s="233"/>
      <c r="T73" s="233"/>
      <c r="U73" s="233"/>
      <c r="V73" s="233"/>
      <c r="W73" s="233"/>
      <c r="X73" s="232"/>
      <c r="AA73" s="232"/>
      <c r="AB73" s="232"/>
    </row>
    <row r="74" spans="2:28" hidden="1" x14ac:dyDescent="0.35">
      <c r="B74" s="248"/>
      <c r="C74" s="249"/>
      <c r="D74" s="249"/>
      <c r="E74" s="250"/>
      <c r="F74" s="225" t="s">
        <v>255</v>
      </c>
      <c r="G74" s="226" t="s">
        <v>205</v>
      </c>
      <c r="H74" s="227"/>
      <c r="I74" s="228"/>
      <c r="J74" s="229"/>
      <c r="K74" s="230"/>
      <c r="L74" s="230"/>
      <c r="M74" s="231">
        <v>7.0000000000000001E-3</v>
      </c>
      <c r="N74" s="233">
        <v>1</v>
      </c>
      <c r="O74" s="233"/>
      <c r="P74" s="233"/>
      <c r="Q74" s="233"/>
      <c r="R74" s="233"/>
      <c r="S74" s="233"/>
      <c r="T74" s="233"/>
      <c r="U74" s="233"/>
      <c r="V74" s="233"/>
      <c r="W74" s="233"/>
      <c r="X74" s="232"/>
      <c r="AA74" s="232"/>
      <c r="AB74" s="232"/>
    </row>
    <row r="75" spans="2:28" x14ac:dyDescent="0.35">
      <c r="B75" s="367" t="s">
        <v>259</v>
      </c>
      <c r="C75" s="368"/>
      <c r="D75" s="368"/>
      <c r="E75" s="369"/>
      <c r="F75" s="335"/>
      <c r="G75" s="336"/>
      <c r="H75" s="337"/>
      <c r="I75" s="338"/>
      <c r="J75" s="339"/>
      <c r="K75" s="340"/>
      <c r="L75" s="340"/>
      <c r="M75" s="341"/>
      <c r="N75" s="342"/>
      <c r="O75" s="342"/>
      <c r="P75" s="342"/>
      <c r="Q75" s="342">
        <f>SUM(Q63:Q74)</f>
        <v>0</v>
      </c>
      <c r="R75" s="342"/>
      <c r="S75" s="342"/>
      <c r="T75" s="342"/>
      <c r="U75" s="342"/>
      <c r="V75" s="342"/>
      <c r="W75" s="342"/>
      <c r="X75" s="370"/>
      <c r="AA75" s="370"/>
      <c r="AB75" s="370"/>
    </row>
    <row r="76" spans="2:28" x14ac:dyDescent="0.35">
      <c r="B76" s="248"/>
      <c r="C76" s="223" t="s">
        <v>260</v>
      </c>
      <c r="D76" s="249"/>
      <c r="E76" s="250"/>
      <c r="F76" s="225"/>
      <c r="G76" s="226"/>
      <c r="H76" s="227"/>
      <c r="I76" s="228"/>
      <c r="J76" s="229"/>
      <c r="K76" s="230"/>
      <c r="L76" s="230"/>
      <c r="M76" s="231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2"/>
      <c r="AA76" s="232"/>
      <c r="AB76" s="232"/>
    </row>
    <row r="77" spans="2:28" x14ac:dyDescent="0.35">
      <c r="B77" s="236"/>
      <c r="C77" s="237"/>
      <c r="D77" s="237" t="s">
        <v>261</v>
      </c>
      <c r="E77" s="238"/>
      <c r="F77" s="225" t="s">
        <v>187</v>
      </c>
      <c r="G77" s="226" t="s">
        <v>188</v>
      </c>
      <c r="H77" s="227"/>
      <c r="I77" s="228"/>
      <c r="J77" s="229"/>
      <c r="K77" s="230"/>
      <c r="L77" s="230"/>
      <c r="M77" s="231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2"/>
      <c r="AA77" s="232"/>
      <c r="AB77" s="232"/>
    </row>
    <row r="78" spans="2:28" hidden="1" x14ac:dyDescent="0.35">
      <c r="B78" s="245"/>
      <c r="C78" s="246"/>
      <c r="D78" s="246"/>
      <c r="E78" s="251"/>
      <c r="F78" s="225" t="s">
        <v>262</v>
      </c>
      <c r="G78" s="226" t="s">
        <v>10</v>
      </c>
      <c r="H78" s="227"/>
      <c r="I78" s="228"/>
      <c r="J78" s="229"/>
      <c r="K78" s="230"/>
      <c r="L78" s="230"/>
      <c r="M78" s="231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2"/>
      <c r="AA78" s="232"/>
      <c r="AB78" s="232"/>
    </row>
    <row r="79" spans="2:28" hidden="1" x14ac:dyDescent="0.35">
      <c r="B79" s="248"/>
      <c r="C79" s="249"/>
      <c r="D79" s="249"/>
      <c r="E79" s="250"/>
      <c r="F79" s="225" t="s">
        <v>263</v>
      </c>
      <c r="G79" s="226" t="s">
        <v>205</v>
      </c>
      <c r="H79" s="227"/>
      <c r="I79" s="228"/>
      <c r="J79" s="229"/>
      <c r="K79" s="230"/>
      <c r="L79" s="230"/>
      <c r="M79" s="231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2"/>
      <c r="AA79" s="232"/>
      <c r="AB79" s="232"/>
    </row>
    <row r="80" spans="2:28" x14ac:dyDescent="0.35">
      <c r="B80" s="236"/>
      <c r="C80" s="237"/>
      <c r="D80" s="237" t="s">
        <v>264</v>
      </c>
      <c r="E80" s="238"/>
      <c r="F80" s="225" t="s">
        <v>187</v>
      </c>
      <c r="G80" s="226" t="s">
        <v>188</v>
      </c>
      <c r="H80" s="227"/>
      <c r="I80" s="228"/>
      <c r="J80" s="229"/>
      <c r="K80" s="230"/>
      <c r="L80" s="230"/>
      <c r="M80" s="231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2"/>
      <c r="AA80" s="232"/>
      <c r="AB80" s="232"/>
    </row>
    <row r="81" spans="1:29" hidden="1" x14ac:dyDescent="0.35">
      <c r="B81" s="245"/>
      <c r="C81" s="246"/>
      <c r="D81" s="246"/>
      <c r="E81" s="251"/>
      <c r="F81" s="225" t="s">
        <v>265</v>
      </c>
      <c r="G81" s="226" t="s">
        <v>10</v>
      </c>
      <c r="H81" s="227"/>
      <c r="I81" s="228"/>
      <c r="J81" s="229"/>
      <c r="K81" s="230"/>
      <c r="L81" s="230"/>
      <c r="M81" s="231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2"/>
      <c r="AA81" s="232"/>
      <c r="AB81" s="232"/>
    </row>
    <row r="82" spans="1:29" hidden="1" x14ac:dyDescent="0.35">
      <c r="B82" s="248"/>
      <c r="C82" s="249"/>
      <c r="D82" s="249"/>
      <c r="E82" s="250"/>
      <c r="F82" s="225" t="s">
        <v>263</v>
      </c>
      <c r="G82" s="226" t="s">
        <v>205</v>
      </c>
      <c r="H82" s="227"/>
      <c r="I82" s="228"/>
      <c r="J82" s="229"/>
      <c r="K82" s="230"/>
      <c r="L82" s="230"/>
      <c r="M82" s="231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2"/>
      <c r="AA82" s="232"/>
      <c r="AB82" s="232"/>
    </row>
    <row r="83" spans="1:29" x14ac:dyDescent="0.35">
      <c r="B83" s="236"/>
      <c r="C83" s="237"/>
      <c r="D83" s="237" t="s">
        <v>266</v>
      </c>
      <c r="E83" s="238"/>
      <c r="F83" s="225" t="s">
        <v>187</v>
      </c>
      <c r="G83" s="226" t="s">
        <v>188</v>
      </c>
      <c r="H83" s="227"/>
      <c r="I83" s="228"/>
      <c r="J83" s="229"/>
      <c r="K83" s="230"/>
      <c r="L83" s="230"/>
      <c r="M83" s="231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2"/>
      <c r="AA83" s="232"/>
      <c r="AB83" s="232"/>
    </row>
    <row r="84" spans="1:29" hidden="1" x14ac:dyDescent="0.35">
      <c r="B84" s="245"/>
      <c r="C84" s="246"/>
      <c r="D84" s="246"/>
      <c r="E84" s="251"/>
      <c r="F84" s="225" t="s">
        <v>267</v>
      </c>
      <c r="G84" s="226" t="s">
        <v>10</v>
      </c>
      <c r="H84" s="227"/>
      <c r="I84" s="228"/>
      <c r="J84" s="229"/>
      <c r="K84" s="230"/>
      <c r="L84" s="230"/>
      <c r="M84" s="231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2"/>
      <c r="AA84" s="232"/>
      <c r="AB84" s="232"/>
    </row>
    <row r="85" spans="1:29" hidden="1" x14ac:dyDescent="0.35">
      <c r="B85" s="248"/>
      <c r="C85" s="249"/>
      <c r="D85" s="249"/>
      <c r="E85" s="250"/>
      <c r="F85" s="225" t="s">
        <v>263</v>
      </c>
      <c r="G85" s="226" t="s">
        <v>205</v>
      </c>
      <c r="H85" s="227"/>
      <c r="I85" s="228"/>
      <c r="J85" s="229"/>
      <c r="K85" s="230"/>
      <c r="L85" s="230"/>
      <c r="M85" s="231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2"/>
      <c r="AA85" s="232"/>
      <c r="AB85" s="232"/>
    </row>
    <row r="86" spans="1:29" x14ac:dyDescent="0.35">
      <c r="B86" s="236"/>
      <c r="C86" s="237"/>
      <c r="D86" s="237" t="s">
        <v>268</v>
      </c>
      <c r="E86" s="238"/>
      <c r="F86" s="225" t="s">
        <v>187</v>
      </c>
      <c r="G86" s="226" t="s">
        <v>188</v>
      </c>
      <c r="H86" s="227"/>
      <c r="I86" s="228"/>
      <c r="J86" s="229"/>
      <c r="K86" s="230"/>
      <c r="L86" s="230"/>
      <c r="M86" s="231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2"/>
      <c r="AA86" s="232"/>
      <c r="AB86" s="232"/>
    </row>
    <row r="87" spans="1:29" hidden="1" x14ac:dyDescent="0.35">
      <c r="B87" s="245"/>
      <c r="C87" s="246"/>
      <c r="D87" s="246"/>
      <c r="E87" s="251"/>
      <c r="F87" s="225" t="s">
        <v>269</v>
      </c>
      <c r="G87" s="226" t="s">
        <v>10</v>
      </c>
      <c r="H87" s="227"/>
      <c r="I87" s="228"/>
      <c r="J87" s="229"/>
      <c r="K87" s="230"/>
      <c r="L87" s="230"/>
      <c r="M87" s="231">
        <v>1</v>
      </c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2"/>
      <c r="AA87" s="232"/>
      <c r="AB87" s="232"/>
    </row>
    <row r="88" spans="1:29" hidden="1" x14ac:dyDescent="0.35">
      <c r="B88" s="248"/>
      <c r="C88" s="249"/>
      <c r="D88" s="249"/>
      <c r="E88" s="250"/>
      <c r="F88" s="225" t="s">
        <v>215</v>
      </c>
      <c r="G88" s="226" t="s">
        <v>205</v>
      </c>
      <c r="H88" s="227"/>
      <c r="I88" s="228"/>
      <c r="J88" s="229"/>
      <c r="K88" s="230"/>
      <c r="L88" s="230"/>
      <c r="M88" s="231">
        <v>4</v>
      </c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2"/>
      <c r="AA88" s="232"/>
      <c r="AB88" s="232"/>
    </row>
    <row r="89" spans="1:29" s="375" customFormat="1" x14ac:dyDescent="0.35">
      <c r="A89" s="286"/>
      <c r="B89" s="290"/>
      <c r="C89" s="291"/>
      <c r="D89" s="291" t="s">
        <v>270</v>
      </c>
      <c r="E89" s="306"/>
      <c r="F89" s="273" t="s">
        <v>187</v>
      </c>
      <c r="G89" s="274" t="s">
        <v>188</v>
      </c>
      <c r="H89" s="275"/>
      <c r="I89" s="276"/>
      <c r="J89" s="277"/>
      <c r="K89" s="289"/>
      <c r="L89" s="289"/>
      <c r="M89" s="377">
        <v>1</v>
      </c>
      <c r="N89" s="373">
        <v>1</v>
      </c>
      <c r="O89" s="373"/>
      <c r="P89" s="373"/>
      <c r="Q89" s="373"/>
      <c r="R89" s="373"/>
      <c r="S89" s="373"/>
      <c r="T89" s="373"/>
      <c r="U89" s="373"/>
      <c r="V89" s="373"/>
      <c r="W89" s="373"/>
      <c r="X89" s="374"/>
      <c r="Y89" s="286"/>
      <c r="Z89" s="286"/>
      <c r="AA89" s="374"/>
      <c r="AB89" s="374"/>
      <c r="AC89" s="286"/>
    </row>
    <row r="90" spans="1:29" s="375" customFormat="1" hidden="1" x14ac:dyDescent="0.35">
      <c r="A90" s="286"/>
      <c r="B90" s="242"/>
      <c r="C90" s="243"/>
      <c r="D90" s="243"/>
      <c r="E90" s="244"/>
      <c r="F90" s="273" t="s">
        <v>270</v>
      </c>
      <c r="G90" s="274" t="s">
        <v>10</v>
      </c>
      <c r="H90" s="275"/>
      <c r="I90" s="276"/>
      <c r="J90" s="277"/>
      <c r="K90" s="289"/>
      <c r="L90" s="289"/>
      <c r="M90" s="377">
        <v>7</v>
      </c>
      <c r="N90" s="373">
        <v>1</v>
      </c>
      <c r="O90" s="373"/>
      <c r="P90" s="373"/>
      <c r="Q90" s="373"/>
      <c r="R90" s="373"/>
      <c r="S90" s="373"/>
      <c r="T90" s="373"/>
      <c r="U90" s="373"/>
      <c r="V90" s="373"/>
      <c r="W90" s="373"/>
      <c r="X90" s="374"/>
      <c r="Y90" s="286"/>
      <c r="Z90" s="286"/>
      <c r="AA90" s="374"/>
      <c r="AB90" s="374"/>
      <c r="AC90" s="286"/>
    </row>
    <row r="91" spans="1:29" s="375" customFormat="1" hidden="1" x14ac:dyDescent="0.35">
      <c r="A91" s="286"/>
      <c r="B91" s="283"/>
      <c r="C91" s="307"/>
      <c r="D91" s="307"/>
      <c r="E91" s="308"/>
      <c r="F91" s="273" t="s">
        <v>263</v>
      </c>
      <c r="G91" s="274" t="s">
        <v>205</v>
      </c>
      <c r="H91" s="275"/>
      <c r="I91" s="276"/>
      <c r="J91" s="277"/>
      <c r="K91" s="289"/>
      <c r="L91" s="289"/>
      <c r="M91" s="377">
        <v>3</v>
      </c>
      <c r="N91" s="373">
        <v>1</v>
      </c>
      <c r="O91" s="373"/>
      <c r="P91" s="373"/>
      <c r="Q91" s="373"/>
      <c r="R91" s="373"/>
      <c r="S91" s="373"/>
      <c r="T91" s="373"/>
      <c r="U91" s="373"/>
      <c r="V91" s="373"/>
      <c r="W91" s="373"/>
      <c r="X91" s="374"/>
      <c r="Y91" s="286"/>
      <c r="Z91" s="286"/>
      <c r="AA91" s="374"/>
      <c r="AB91" s="374"/>
      <c r="AC91" s="286"/>
    </row>
    <row r="92" spans="1:29" s="375" customFormat="1" x14ac:dyDescent="0.35">
      <c r="A92" s="286"/>
      <c r="B92" s="290"/>
      <c r="C92" s="291"/>
      <c r="D92" s="291" t="s">
        <v>271</v>
      </c>
      <c r="E92" s="306"/>
      <c r="F92" s="273" t="s">
        <v>187</v>
      </c>
      <c r="G92" s="274" t="s">
        <v>188</v>
      </c>
      <c r="H92" s="275"/>
      <c r="I92" s="276"/>
      <c r="J92" s="277"/>
      <c r="K92" s="289"/>
      <c r="L92" s="289"/>
      <c r="M92" s="377">
        <v>1</v>
      </c>
      <c r="N92" s="373">
        <v>1</v>
      </c>
      <c r="O92" s="373"/>
      <c r="P92" s="373"/>
      <c r="Q92" s="373"/>
      <c r="R92" s="373"/>
      <c r="S92" s="373"/>
      <c r="T92" s="373"/>
      <c r="U92" s="373"/>
      <c r="V92" s="373"/>
      <c r="W92" s="373"/>
      <c r="X92" s="374"/>
      <c r="Y92" s="286"/>
      <c r="Z92" s="286"/>
      <c r="AA92" s="374"/>
      <c r="AB92" s="374"/>
      <c r="AC92" s="286"/>
    </row>
    <row r="93" spans="1:29" s="375" customFormat="1" hidden="1" x14ac:dyDescent="0.35">
      <c r="A93" s="286"/>
      <c r="B93" s="242"/>
      <c r="C93" s="243"/>
      <c r="D93" s="243"/>
      <c r="E93" s="244"/>
      <c r="F93" s="273" t="s">
        <v>271</v>
      </c>
      <c r="G93" s="274" t="s">
        <v>10</v>
      </c>
      <c r="H93" s="275"/>
      <c r="I93" s="276"/>
      <c r="J93" s="277"/>
      <c r="K93" s="289"/>
      <c r="L93" s="289"/>
      <c r="M93" s="377">
        <v>7</v>
      </c>
      <c r="N93" s="373">
        <v>1</v>
      </c>
      <c r="O93" s="373"/>
      <c r="P93" s="373"/>
      <c r="Q93" s="373"/>
      <c r="R93" s="373"/>
      <c r="S93" s="373"/>
      <c r="T93" s="373"/>
      <c r="U93" s="373"/>
      <c r="V93" s="373"/>
      <c r="W93" s="373"/>
      <c r="X93" s="374"/>
      <c r="Y93" s="286"/>
      <c r="Z93" s="286"/>
      <c r="AA93" s="374"/>
      <c r="AB93" s="374"/>
      <c r="AC93" s="286"/>
    </row>
    <row r="94" spans="1:29" s="375" customFormat="1" hidden="1" x14ac:dyDescent="0.35">
      <c r="A94" s="286"/>
      <c r="B94" s="283"/>
      <c r="C94" s="307"/>
      <c r="D94" s="307"/>
      <c r="E94" s="308"/>
      <c r="F94" s="273" t="s">
        <v>263</v>
      </c>
      <c r="G94" s="274" t="s">
        <v>205</v>
      </c>
      <c r="H94" s="275"/>
      <c r="I94" s="276"/>
      <c r="J94" s="277"/>
      <c r="K94" s="289"/>
      <c r="L94" s="289"/>
      <c r="M94" s="377">
        <v>3</v>
      </c>
      <c r="N94" s="373">
        <v>1</v>
      </c>
      <c r="O94" s="373"/>
      <c r="P94" s="373"/>
      <c r="Q94" s="373"/>
      <c r="R94" s="373"/>
      <c r="S94" s="373"/>
      <c r="T94" s="373"/>
      <c r="U94" s="373"/>
      <c r="V94" s="373"/>
      <c r="W94" s="373"/>
      <c r="X94" s="374"/>
      <c r="Y94" s="286"/>
      <c r="Z94" s="286"/>
      <c r="AA94" s="374"/>
      <c r="AB94" s="374"/>
      <c r="AC94" s="286"/>
    </row>
    <row r="95" spans="1:29" s="375" customFormat="1" x14ac:dyDescent="0.35">
      <c r="A95" s="286"/>
      <c r="B95" s="290"/>
      <c r="C95" s="291"/>
      <c r="D95" s="291" t="s">
        <v>272</v>
      </c>
      <c r="E95" s="306"/>
      <c r="F95" s="273" t="s">
        <v>187</v>
      </c>
      <c r="G95" s="274" t="s">
        <v>188</v>
      </c>
      <c r="H95" s="275"/>
      <c r="I95" s="276"/>
      <c r="J95" s="277"/>
      <c r="K95" s="289"/>
      <c r="L95" s="289"/>
      <c r="M95" s="377">
        <v>1</v>
      </c>
      <c r="N95" s="373">
        <v>1</v>
      </c>
      <c r="O95" s="373"/>
      <c r="P95" s="373"/>
      <c r="Q95" s="373"/>
      <c r="R95" s="373"/>
      <c r="S95" s="373"/>
      <c r="T95" s="373"/>
      <c r="U95" s="373"/>
      <c r="V95" s="373"/>
      <c r="W95" s="373"/>
      <c r="X95" s="374"/>
      <c r="Y95" s="286"/>
      <c r="Z95" s="286"/>
      <c r="AA95" s="374"/>
      <c r="AB95" s="374"/>
      <c r="AC95" s="286"/>
    </row>
    <row r="96" spans="1:29" s="375" customFormat="1" hidden="1" x14ac:dyDescent="0.35">
      <c r="A96" s="286"/>
      <c r="B96" s="242"/>
      <c r="C96" s="243"/>
      <c r="D96" s="243"/>
      <c r="E96" s="244"/>
      <c r="F96" s="273" t="s">
        <v>272</v>
      </c>
      <c r="G96" s="274" t="s">
        <v>10</v>
      </c>
      <c r="H96" s="275"/>
      <c r="I96" s="276"/>
      <c r="J96" s="277"/>
      <c r="K96" s="289"/>
      <c r="L96" s="289"/>
      <c r="M96" s="377">
        <v>7</v>
      </c>
      <c r="N96" s="373">
        <v>1</v>
      </c>
      <c r="O96" s="373"/>
      <c r="P96" s="373"/>
      <c r="Q96" s="373"/>
      <c r="R96" s="373"/>
      <c r="S96" s="373"/>
      <c r="T96" s="373"/>
      <c r="U96" s="373"/>
      <c r="V96" s="373"/>
      <c r="W96" s="373"/>
      <c r="X96" s="374"/>
      <c r="Y96" s="286"/>
      <c r="Z96" s="286"/>
      <c r="AA96" s="374"/>
      <c r="AB96" s="374"/>
      <c r="AC96" s="286"/>
    </row>
    <row r="97" spans="1:29" s="375" customFormat="1" hidden="1" x14ac:dyDescent="0.35">
      <c r="A97" s="286"/>
      <c r="B97" s="283"/>
      <c r="C97" s="307"/>
      <c r="D97" s="307"/>
      <c r="E97" s="308"/>
      <c r="F97" s="273" t="s">
        <v>263</v>
      </c>
      <c r="G97" s="274" t="s">
        <v>205</v>
      </c>
      <c r="H97" s="275"/>
      <c r="I97" s="276"/>
      <c r="J97" s="277"/>
      <c r="K97" s="289"/>
      <c r="L97" s="289"/>
      <c r="M97" s="377">
        <v>3</v>
      </c>
      <c r="N97" s="373">
        <v>1</v>
      </c>
      <c r="O97" s="373"/>
      <c r="P97" s="373"/>
      <c r="Q97" s="373"/>
      <c r="R97" s="373"/>
      <c r="S97" s="373"/>
      <c r="T97" s="373"/>
      <c r="U97" s="373"/>
      <c r="V97" s="373"/>
      <c r="W97" s="373"/>
      <c r="X97" s="374"/>
      <c r="Y97" s="286"/>
      <c r="Z97" s="286"/>
      <c r="AA97" s="374"/>
      <c r="AB97" s="374"/>
      <c r="AC97" s="286"/>
    </row>
    <row r="98" spans="1:29" s="375" customFormat="1" x14ac:dyDescent="0.35">
      <c r="A98" s="286"/>
      <c r="B98" s="331"/>
      <c r="C98" s="332"/>
      <c r="D98" s="333" t="s">
        <v>273</v>
      </c>
      <c r="E98" s="334"/>
      <c r="F98" s="335"/>
      <c r="G98" s="336"/>
      <c r="H98" s="337"/>
      <c r="I98" s="338"/>
      <c r="J98" s="339"/>
      <c r="K98" s="340"/>
      <c r="L98" s="340"/>
      <c r="M98" s="341"/>
      <c r="N98" s="342"/>
      <c r="O98" s="342"/>
      <c r="P98" s="342"/>
      <c r="Q98" s="342">
        <f>SUM(Q77:Q97)</f>
        <v>0</v>
      </c>
      <c r="R98" s="342"/>
      <c r="S98" s="342"/>
      <c r="T98" s="342"/>
      <c r="U98" s="342"/>
      <c r="V98" s="342"/>
      <c r="W98" s="342"/>
      <c r="X98" s="370"/>
      <c r="Y98" s="286"/>
      <c r="Z98" s="286"/>
      <c r="AA98" s="370"/>
      <c r="AB98" s="370"/>
      <c r="AC98" s="286"/>
    </row>
    <row r="99" spans="1:29" s="375" customFormat="1" x14ac:dyDescent="0.35">
      <c r="A99" s="286"/>
      <c r="B99" s="275"/>
      <c r="C99" s="376" t="s">
        <v>274</v>
      </c>
      <c r="D99" s="276"/>
      <c r="E99" s="288"/>
      <c r="F99" s="273"/>
      <c r="G99" s="274"/>
      <c r="H99" s="275"/>
      <c r="I99" s="276"/>
      <c r="J99" s="277"/>
      <c r="K99" s="289"/>
      <c r="L99" s="289"/>
      <c r="M99" s="377"/>
      <c r="N99" s="373"/>
      <c r="O99" s="373"/>
      <c r="P99" s="373"/>
      <c r="Q99" s="373"/>
      <c r="R99" s="373"/>
      <c r="S99" s="373"/>
      <c r="T99" s="373"/>
      <c r="U99" s="373"/>
      <c r="V99" s="373"/>
      <c r="W99" s="373"/>
      <c r="X99" s="374"/>
      <c r="Y99" s="286"/>
      <c r="Z99" s="286"/>
      <c r="AA99" s="374"/>
      <c r="AB99" s="374"/>
      <c r="AC99" s="286"/>
    </row>
    <row r="100" spans="1:29" x14ac:dyDescent="0.35">
      <c r="B100" s="236"/>
      <c r="C100" s="237"/>
      <c r="D100" s="237" t="s">
        <v>275</v>
      </c>
      <c r="E100" s="238"/>
      <c r="F100" s="225" t="s">
        <v>187</v>
      </c>
      <c r="G100" s="226" t="s">
        <v>188</v>
      </c>
      <c r="H100" s="227"/>
      <c r="I100" s="228"/>
      <c r="J100" s="229"/>
      <c r="K100" s="230"/>
      <c r="L100" s="230"/>
      <c r="M100" s="231"/>
      <c r="N100" s="233">
        <v>1</v>
      </c>
      <c r="O100" s="233"/>
      <c r="P100" s="233"/>
      <c r="Q100" s="233"/>
      <c r="R100" s="233"/>
      <c r="S100" s="233"/>
      <c r="T100" s="233"/>
      <c r="U100" s="233"/>
      <c r="V100" s="233"/>
      <c r="W100" s="233"/>
      <c r="X100" s="232"/>
      <c r="AA100" s="232"/>
      <c r="AB100" s="232"/>
    </row>
    <row r="101" spans="1:29" hidden="1" x14ac:dyDescent="0.35">
      <c r="B101" s="248"/>
      <c r="C101" s="249"/>
      <c r="D101" s="249"/>
      <c r="E101" s="250"/>
      <c r="F101" s="225" t="s">
        <v>215</v>
      </c>
      <c r="G101" s="226" t="s">
        <v>205</v>
      </c>
      <c r="H101" s="227"/>
      <c r="I101" s="228"/>
      <c r="J101" s="229"/>
      <c r="K101" s="230"/>
      <c r="L101" s="230"/>
      <c r="M101" s="231">
        <f>1/10</f>
        <v>0.1</v>
      </c>
      <c r="N101" s="233">
        <v>1</v>
      </c>
      <c r="O101" s="233"/>
      <c r="P101" s="233"/>
      <c r="Q101" s="233"/>
      <c r="R101" s="233"/>
      <c r="S101" s="233"/>
      <c r="T101" s="233"/>
      <c r="U101" s="233"/>
      <c r="V101" s="233"/>
      <c r="W101" s="233"/>
      <c r="X101" s="232"/>
      <c r="AA101" s="232"/>
      <c r="AB101" s="232"/>
    </row>
    <row r="102" spans="1:29" x14ac:dyDescent="0.35">
      <c r="B102" s="236"/>
      <c r="C102" s="237"/>
      <c r="D102" s="237" t="s">
        <v>276</v>
      </c>
      <c r="E102" s="238"/>
      <c r="F102" s="225" t="s">
        <v>187</v>
      </c>
      <c r="G102" s="226" t="s">
        <v>188</v>
      </c>
      <c r="H102" s="227"/>
      <c r="I102" s="228"/>
      <c r="J102" s="229"/>
      <c r="K102" s="230"/>
      <c r="L102" s="230"/>
      <c r="M102" s="231"/>
      <c r="N102" s="233">
        <v>1</v>
      </c>
      <c r="O102" s="233"/>
      <c r="P102" s="233"/>
      <c r="Q102" s="233"/>
      <c r="R102" s="233"/>
      <c r="S102" s="233"/>
      <c r="T102" s="233"/>
      <c r="U102" s="233"/>
      <c r="V102" s="233"/>
      <c r="W102" s="233"/>
      <c r="X102" s="232"/>
      <c r="AA102" s="232"/>
      <c r="AB102" s="232"/>
    </row>
    <row r="103" spans="1:29" hidden="1" x14ac:dyDescent="0.35">
      <c r="B103" s="248"/>
      <c r="C103" s="249"/>
      <c r="D103" s="249" t="s">
        <v>277</v>
      </c>
      <c r="E103" s="250"/>
      <c r="F103" s="225" t="s">
        <v>215</v>
      </c>
      <c r="G103" s="226" t="s">
        <v>205</v>
      </c>
      <c r="H103" s="227"/>
      <c r="I103" s="228"/>
      <c r="J103" s="229"/>
      <c r="K103" s="239"/>
      <c r="L103" s="230"/>
      <c r="M103" s="231">
        <f>1/30</f>
        <v>3.3333333333333333E-2</v>
      </c>
      <c r="N103" s="233">
        <v>1</v>
      </c>
      <c r="O103" s="233">
        <f>K103*L103*M103*N103</f>
        <v>0</v>
      </c>
      <c r="P103" s="235">
        <v>681487.17873333325</v>
      </c>
      <c r="Q103" s="233">
        <f>P103*$O103</f>
        <v>0</v>
      </c>
      <c r="R103" s="233"/>
      <c r="S103" s="233"/>
      <c r="T103" s="233"/>
      <c r="U103" s="233"/>
      <c r="V103" s="233"/>
      <c r="W103" s="233"/>
      <c r="X103" s="232"/>
      <c r="AA103" s="232"/>
      <c r="AB103" s="232"/>
    </row>
    <row r="104" spans="1:29" x14ac:dyDescent="0.35">
      <c r="B104" s="236"/>
      <c r="C104" s="237"/>
      <c r="D104" s="291" t="s">
        <v>108</v>
      </c>
      <c r="E104" s="306"/>
      <c r="F104" s="273" t="s">
        <v>187</v>
      </c>
      <c r="G104" s="274" t="s">
        <v>188</v>
      </c>
      <c r="H104" s="275"/>
      <c r="I104" s="276"/>
      <c r="J104" s="277" t="s">
        <v>279</v>
      </c>
      <c r="K104" s="278">
        <v>0.15</v>
      </c>
      <c r="L104" s="289"/>
      <c r="M104" s="240">
        <v>0.2</v>
      </c>
      <c r="N104" s="233">
        <v>1</v>
      </c>
      <c r="O104" s="233">
        <f>K104*L104*M104*N104</f>
        <v>0</v>
      </c>
      <c r="P104" s="233">
        <v>140008</v>
      </c>
      <c r="Q104" s="233">
        <f>P104*$O104</f>
        <v>0</v>
      </c>
      <c r="R104" s="233"/>
      <c r="S104" s="233"/>
      <c r="T104" s="233"/>
      <c r="U104" s="233"/>
      <c r="V104" s="233"/>
      <c r="W104" s="233"/>
      <c r="X104" s="232" t="s">
        <v>461</v>
      </c>
      <c r="AA104" s="232"/>
      <c r="AB104" s="232"/>
    </row>
    <row r="105" spans="1:29" hidden="1" x14ac:dyDescent="0.35">
      <c r="B105" s="248"/>
      <c r="C105" s="249"/>
      <c r="D105" s="307"/>
      <c r="E105" s="308"/>
      <c r="F105" s="273" t="s">
        <v>215</v>
      </c>
      <c r="G105" s="274" t="s">
        <v>205</v>
      </c>
      <c r="H105" s="275"/>
      <c r="I105" s="276"/>
      <c r="J105" s="277" t="s">
        <v>279</v>
      </c>
      <c r="K105" s="278">
        <v>1</v>
      </c>
      <c r="L105" s="289"/>
      <c r="M105" s="231">
        <f>1/60</f>
        <v>1.6666666666666666E-2</v>
      </c>
      <c r="N105" s="233">
        <v>1</v>
      </c>
      <c r="O105" s="235">
        <f>K105*L105*M105*N105</f>
        <v>0</v>
      </c>
      <c r="P105" s="235">
        <v>681487.17873333325</v>
      </c>
      <c r="Q105" s="233">
        <f>P105*$O105</f>
        <v>0</v>
      </c>
      <c r="R105" s="233">
        <v>720338.0730320001</v>
      </c>
      <c r="S105" s="233">
        <f>R105*$O105</f>
        <v>0</v>
      </c>
      <c r="T105" s="233">
        <v>761671.70213055995</v>
      </c>
      <c r="U105" s="233">
        <f>T105*$O105</f>
        <v>0</v>
      </c>
      <c r="V105" s="233" t="e">
        <f>W105/O105</f>
        <v>#DIV/0!</v>
      </c>
      <c r="W105" s="241">
        <f>AVERAGEIF($P$3:$U$3,W$3,$P105:$U105)</f>
        <v>0</v>
      </c>
      <c r="X105" s="232" t="s">
        <v>462</v>
      </c>
      <c r="AA105" s="232"/>
      <c r="AB105" s="232"/>
    </row>
    <row r="106" spans="1:29" x14ac:dyDescent="0.35">
      <c r="B106" s="367" t="s">
        <v>281</v>
      </c>
      <c r="C106" s="368"/>
      <c r="D106" s="368"/>
      <c r="E106" s="369"/>
      <c r="F106" s="335"/>
      <c r="G106" s="336"/>
      <c r="H106" s="337"/>
      <c r="I106" s="338"/>
      <c r="J106" s="339"/>
      <c r="K106" s="378"/>
      <c r="L106" s="340"/>
      <c r="M106" s="341"/>
      <c r="N106" s="342"/>
      <c r="O106" s="379"/>
      <c r="P106" s="379"/>
      <c r="Q106" s="343">
        <f>SUM(Q103:Q105)</f>
        <v>0</v>
      </c>
      <c r="R106" s="342"/>
      <c r="S106" s="342"/>
      <c r="T106" s="342"/>
      <c r="U106" s="342"/>
      <c r="V106" s="342"/>
      <c r="W106" s="380"/>
      <c r="X106" s="370"/>
      <c r="AA106" s="370"/>
      <c r="AB106" s="370"/>
    </row>
    <row r="107" spans="1:29" x14ac:dyDescent="0.35">
      <c r="B107" s="275"/>
      <c r="C107" s="376" t="s">
        <v>282</v>
      </c>
      <c r="D107" s="276"/>
      <c r="E107" s="288"/>
      <c r="F107" s="273"/>
      <c r="G107" s="274"/>
      <c r="H107" s="275"/>
      <c r="I107" s="276"/>
      <c r="J107" s="277"/>
      <c r="K107" s="289"/>
      <c r="L107" s="289"/>
      <c r="M107" s="231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2"/>
      <c r="AA107" s="232"/>
      <c r="AB107" s="232"/>
    </row>
    <row r="108" spans="1:29" x14ac:dyDescent="0.35">
      <c r="B108" s="290"/>
      <c r="C108" s="291"/>
      <c r="D108" s="291" t="s">
        <v>283</v>
      </c>
      <c r="E108" s="306"/>
      <c r="F108" s="273" t="s">
        <v>187</v>
      </c>
      <c r="G108" s="274" t="s">
        <v>188</v>
      </c>
      <c r="H108" s="275"/>
      <c r="I108" s="276"/>
      <c r="J108" s="277"/>
      <c r="K108" s="289"/>
      <c r="L108" s="289"/>
      <c r="M108" s="231"/>
      <c r="N108" s="233">
        <v>1</v>
      </c>
      <c r="O108" s="233"/>
      <c r="P108" s="233"/>
      <c r="Q108" s="233"/>
      <c r="R108" s="233"/>
      <c r="S108" s="233"/>
      <c r="T108" s="233"/>
      <c r="U108" s="233"/>
      <c r="V108" s="233"/>
      <c r="W108" s="233"/>
      <c r="X108" s="232"/>
      <c r="AA108" s="232"/>
      <c r="AB108" s="232"/>
    </row>
    <row r="109" spans="1:29" hidden="1" x14ac:dyDescent="0.35">
      <c r="B109" s="283"/>
      <c r="C109" s="307"/>
      <c r="D109" s="307"/>
      <c r="E109" s="308"/>
      <c r="F109" s="273" t="s">
        <v>215</v>
      </c>
      <c r="G109" s="274" t="s">
        <v>205</v>
      </c>
      <c r="H109" s="275"/>
      <c r="I109" s="276"/>
      <c r="J109" s="277" t="s">
        <v>279</v>
      </c>
      <c r="K109" s="278"/>
      <c r="L109" s="289">
        <v>5</v>
      </c>
      <c r="M109" s="231">
        <v>0.1</v>
      </c>
      <c r="N109" s="233">
        <v>1</v>
      </c>
      <c r="O109" s="373">
        <f>K109*L109*M109*N109</f>
        <v>0</v>
      </c>
      <c r="P109" s="235">
        <v>681487.17873333325</v>
      </c>
      <c r="Q109" s="233">
        <f>P109*$O109</f>
        <v>0</v>
      </c>
      <c r="R109" s="233">
        <v>720338.0730320001</v>
      </c>
      <c r="S109" s="233">
        <f>R109*$O109</f>
        <v>0</v>
      </c>
      <c r="T109" s="233">
        <v>761671.70213055995</v>
      </c>
      <c r="U109" s="233">
        <f>T109*$O109</f>
        <v>0</v>
      </c>
      <c r="V109" s="233" t="e">
        <f>W109/O109</f>
        <v>#DIV/0!</v>
      </c>
      <c r="W109" s="241">
        <f>AVERAGEIF($P$3:$U$3,W$3,$P109:$U109)</f>
        <v>0</v>
      </c>
      <c r="X109" s="329"/>
      <c r="AA109" s="232"/>
      <c r="AB109" s="232"/>
    </row>
    <row r="110" spans="1:29" x14ac:dyDescent="0.35">
      <c r="B110" s="290"/>
      <c r="C110" s="291"/>
      <c r="D110" s="291" t="s">
        <v>463</v>
      </c>
      <c r="E110" s="306"/>
      <c r="F110" s="273" t="s">
        <v>187</v>
      </c>
      <c r="G110" s="274" t="s">
        <v>188</v>
      </c>
      <c r="H110" s="275"/>
      <c r="I110" s="276"/>
      <c r="J110" s="277"/>
      <c r="K110" s="289"/>
      <c r="L110" s="289"/>
      <c r="M110" s="231"/>
      <c r="N110" s="233">
        <v>1</v>
      </c>
      <c r="O110" s="373"/>
      <c r="P110" s="233"/>
      <c r="Q110" s="233"/>
      <c r="R110" s="233"/>
      <c r="S110" s="233"/>
      <c r="T110" s="233"/>
      <c r="U110" s="233"/>
      <c r="V110" s="233"/>
      <c r="W110" s="233"/>
      <c r="X110" s="232"/>
      <c r="AA110" s="232"/>
      <c r="AB110" s="232"/>
    </row>
    <row r="111" spans="1:29" hidden="1" x14ac:dyDescent="0.35">
      <c r="B111" s="283"/>
      <c r="C111" s="307"/>
      <c r="D111" s="307"/>
      <c r="E111" s="308"/>
      <c r="F111" s="273" t="s">
        <v>215</v>
      </c>
      <c r="G111" s="274" t="s">
        <v>205</v>
      </c>
      <c r="H111" s="275"/>
      <c r="I111" s="276"/>
      <c r="J111" s="277" t="s">
        <v>279</v>
      </c>
      <c r="K111" s="278"/>
      <c r="L111" s="289">
        <v>10</v>
      </c>
      <c r="M111" s="377">
        <v>0.03</v>
      </c>
      <c r="N111" s="233">
        <v>1</v>
      </c>
      <c r="O111" s="373">
        <f>K111*L111*M111*N111</f>
        <v>0</v>
      </c>
      <c r="P111" s="235">
        <v>681487.17873333325</v>
      </c>
      <c r="Q111" s="233">
        <f>P111*$O111</f>
        <v>0</v>
      </c>
      <c r="R111" s="233">
        <v>720338.0730320001</v>
      </c>
      <c r="S111" s="233">
        <f>R111*$O111</f>
        <v>0</v>
      </c>
      <c r="T111" s="233">
        <v>761671.70213055995</v>
      </c>
      <c r="U111" s="233">
        <f>T111*$O111</f>
        <v>0</v>
      </c>
      <c r="V111" s="233" t="e">
        <f>W111/O111</f>
        <v>#DIV/0!</v>
      </c>
      <c r="W111" s="241">
        <f>AVERAGEIF($P$3:$U$3,W$3,$P111:$U111)</f>
        <v>0</v>
      </c>
      <c r="X111" s="232"/>
      <c r="AA111" s="232"/>
      <c r="AB111" s="232"/>
    </row>
    <row r="112" spans="1:29" x14ac:dyDescent="0.35">
      <c r="B112" s="290"/>
      <c r="C112" s="291"/>
      <c r="D112" s="291" t="s">
        <v>464</v>
      </c>
      <c r="E112" s="306"/>
      <c r="F112" s="273" t="s">
        <v>187</v>
      </c>
      <c r="G112" s="274" t="s">
        <v>188</v>
      </c>
      <c r="H112" s="275"/>
      <c r="I112" s="276"/>
      <c r="J112" s="277"/>
      <c r="K112" s="289"/>
      <c r="L112" s="289"/>
      <c r="M112" s="231"/>
      <c r="N112" s="233">
        <v>1</v>
      </c>
      <c r="O112" s="373"/>
      <c r="P112" s="233"/>
      <c r="Q112" s="233"/>
      <c r="R112" s="233"/>
      <c r="S112" s="233"/>
      <c r="T112" s="233"/>
      <c r="U112" s="233"/>
      <c r="V112" s="233"/>
      <c r="W112" s="233"/>
      <c r="X112" s="232"/>
      <c r="AA112" s="232"/>
      <c r="AB112" s="232"/>
    </row>
    <row r="113" spans="2:28" hidden="1" x14ac:dyDescent="0.35">
      <c r="B113" s="283"/>
      <c r="C113" s="307"/>
      <c r="D113" s="307"/>
      <c r="E113" s="308"/>
      <c r="F113" s="273" t="s">
        <v>215</v>
      </c>
      <c r="G113" s="274" t="s">
        <v>205</v>
      </c>
      <c r="H113" s="275"/>
      <c r="I113" s="276"/>
      <c r="J113" s="277" t="s">
        <v>279</v>
      </c>
      <c r="K113" s="278"/>
      <c r="L113" s="289">
        <v>20</v>
      </c>
      <c r="M113" s="231">
        <v>1.67E-2</v>
      </c>
      <c r="N113" s="233">
        <v>1</v>
      </c>
      <c r="O113" s="373">
        <f>K113*L113*M113*N113</f>
        <v>0</v>
      </c>
      <c r="P113" s="235">
        <v>681487.17873333325</v>
      </c>
      <c r="Q113" s="233">
        <f>P113*$O113</f>
        <v>0</v>
      </c>
      <c r="R113" s="233">
        <v>720338.0730320001</v>
      </c>
      <c r="S113" s="233">
        <f>R113*$O113</f>
        <v>0</v>
      </c>
      <c r="T113" s="233">
        <v>761671.70213055995</v>
      </c>
      <c r="U113" s="233">
        <f>T113*$O113</f>
        <v>0</v>
      </c>
      <c r="V113" s="233" t="e">
        <f>W113/O113</f>
        <v>#DIV/0!</v>
      </c>
      <c r="W113" s="241">
        <f>AVERAGEIF($P$3:$U$3,W$3,$P113:$U113)</f>
        <v>0</v>
      </c>
      <c r="X113" s="232"/>
      <c r="AA113" s="232"/>
      <c r="AB113" s="232"/>
    </row>
    <row r="114" spans="2:28" x14ac:dyDescent="0.35">
      <c r="B114" s="367" t="s">
        <v>286</v>
      </c>
      <c r="C114" s="368"/>
      <c r="D114" s="368"/>
      <c r="E114" s="369"/>
      <c r="F114" s="335"/>
      <c r="G114" s="336"/>
      <c r="H114" s="337"/>
      <c r="I114" s="338"/>
      <c r="J114" s="339"/>
      <c r="K114" s="378"/>
      <c r="L114" s="383"/>
      <c r="M114" s="384"/>
      <c r="N114" s="342"/>
      <c r="O114" s="342"/>
      <c r="P114" s="379"/>
      <c r="Q114" s="343">
        <f>SUM(Q108:Q113)</f>
        <v>0</v>
      </c>
      <c r="R114" s="342"/>
      <c r="S114" s="342"/>
      <c r="T114" s="342"/>
      <c r="U114" s="342"/>
      <c r="V114" s="342"/>
      <c r="W114" s="380"/>
      <c r="X114" s="370"/>
      <c r="AA114" s="370"/>
      <c r="AB114" s="370"/>
    </row>
    <row r="115" spans="2:28" x14ac:dyDescent="0.35">
      <c r="B115" s="242"/>
      <c r="C115" s="386" t="s">
        <v>287</v>
      </c>
      <c r="D115" s="243"/>
      <c r="E115" s="244"/>
      <c r="F115" s="273" t="s">
        <v>187</v>
      </c>
      <c r="G115" s="274" t="s">
        <v>188</v>
      </c>
      <c r="H115" s="275"/>
      <c r="I115" s="276"/>
      <c r="J115" s="277" t="s">
        <v>10</v>
      </c>
      <c r="K115" s="289"/>
      <c r="L115" s="289"/>
      <c r="M115" s="231">
        <v>3</v>
      </c>
      <c r="N115" s="233">
        <v>1</v>
      </c>
      <c r="O115" s="233"/>
      <c r="P115" s="233"/>
      <c r="Q115" s="233"/>
      <c r="R115" s="233"/>
      <c r="S115" s="233"/>
      <c r="T115" s="233"/>
      <c r="U115" s="233"/>
      <c r="V115" s="233"/>
      <c r="W115" s="233"/>
      <c r="X115" s="232"/>
      <c r="AA115" s="232"/>
      <c r="AB115" s="232"/>
    </row>
    <row r="116" spans="2:28" hidden="1" x14ac:dyDescent="0.35">
      <c r="B116" s="242"/>
      <c r="C116" s="243"/>
      <c r="D116" s="243"/>
      <c r="E116" s="244"/>
      <c r="F116" s="273" t="s">
        <v>288</v>
      </c>
      <c r="G116" s="274" t="s">
        <v>10</v>
      </c>
      <c r="H116" s="275"/>
      <c r="I116" s="276"/>
      <c r="J116" s="277"/>
      <c r="K116" s="289"/>
      <c r="L116" s="289"/>
      <c r="M116" s="231"/>
      <c r="N116" s="233">
        <v>1</v>
      </c>
      <c r="O116" s="233"/>
      <c r="P116" s="233"/>
      <c r="Q116" s="233"/>
      <c r="R116" s="233"/>
      <c r="S116" s="233"/>
      <c r="T116" s="233"/>
      <c r="U116" s="233"/>
      <c r="V116" s="233"/>
      <c r="W116" s="233"/>
      <c r="X116" s="232"/>
      <c r="AA116" s="232"/>
      <c r="AB116" s="232"/>
    </row>
    <row r="117" spans="2:28" hidden="1" x14ac:dyDescent="0.35">
      <c r="B117" s="283"/>
      <c r="C117" s="307"/>
      <c r="D117" s="307"/>
      <c r="E117" s="308"/>
      <c r="F117" s="273" t="s">
        <v>215</v>
      </c>
      <c r="G117" s="274" t="s">
        <v>205</v>
      </c>
      <c r="H117" s="275"/>
      <c r="I117" s="276"/>
      <c r="J117" s="277"/>
      <c r="K117" s="289"/>
      <c r="L117" s="289"/>
      <c r="M117" s="231">
        <v>3</v>
      </c>
      <c r="N117" s="233">
        <v>1</v>
      </c>
      <c r="O117" s="233"/>
      <c r="P117" s="233"/>
      <c r="Q117" s="233"/>
      <c r="R117" s="233"/>
      <c r="S117" s="233"/>
      <c r="T117" s="233"/>
      <c r="U117" s="233"/>
      <c r="V117" s="233"/>
      <c r="W117" s="233"/>
      <c r="X117" s="232"/>
      <c r="AA117" s="232"/>
      <c r="AB117" s="232"/>
    </row>
    <row r="118" spans="2:28" x14ac:dyDescent="0.35">
      <c r="B118" s="367" t="s">
        <v>289</v>
      </c>
      <c r="C118" s="368"/>
      <c r="D118" s="368"/>
      <c r="E118" s="369"/>
      <c r="F118" s="335"/>
      <c r="G118" s="336"/>
      <c r="H118" s="337"/>
      <c r="I118" s="338"/>
      <c r="J118" s="339"/>
      <c r="K118" s="340"/>
      <c r="L118" s="340"/>
      <c r="M118" s="341"/>
      <c r="N118" s="342"/>
      <c r="O118" s="342"/>
      <c r="P118" s="342"/>
      <c r="Q118" s="342">
        <f>SUM(Q115:Q117)</f>
        <v>0</v>
      </c>
      <c r="R118" s="342"/>
      <c r="S118" s="342"/>
      <c r="T118" s="342"/>
      <c r="U118" s="342"/>
      <c r="V118" s="342"/>
      <c r="W118" s="342"/>
      <c r="X118" s="370"/>
      <c r="AA118" s="370"/>
      <c r="AB118" s="370"/>
    </row>
    <row r="119" spans="2:28" x14ac:dyDescent="0.35">
      <c r="B119" s="275"/>
      <c r="C119" s="376" t="s">
        <v>290</v>
      </c>
      <c r="D119" s="276"/>
      <c r="E119" s="288"/>
      <c r="F119" s="273"/>
      <c r="G119" s="274"/>
      <c r="H119" s="275"/>
      <c r="I119" s="276"/>
      <c r="J119" s="277"/>
      <c r="K119" s="289"/>
      <c r="L119" s="289"/>
      <c r="M119" s="231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2"/>
      <c r="AA119" s="232"/>
      <c r="AB119" s="232"/>
    </row>
    <row r="120" spans="2:28" x14ac:dyDescent="0.35">
      <c r="B120" s="290"/>
      <c r="C120" s="291"/>
      <c r="D120" s="291" t="s">
        <v>123</v>
      </c>
      <c r="E120" s="306"/>
      <c r="F120" s="273" t="s">
        <v>187</v>
      </c>
      <c r="G120" s="274" t="s">
        <v>188</v>
      </c>
      <c r="H120" s="275"/>
      <c r="I120" s="276"/>
      <c r="J120" s="277"/>
      <c r="K120" s="289"/>
      <c r="L120" s="289"/>
      <c r="M120" s="231">
        <f>1/3</f>
        <v>0.33333333333333331</v>
      </c>
      <c r="N120" s="233">
        <v>1</v>
      </c>
      <c r="O120" s="233"/>
      <c r="P120" s="233"/>
      <c r="Q120" s="233"/>
      <c r="R120" s="233"/>
      <c r="S120" s="233"/>
      <c r="T120" s="233"/>
      <c r="U120" s="233"/>
      <c r="V120" s="233"/>
      <c r="W120" s="233"/>
      <c r="X120" s="232"/>
      <c r="AA120" s="232"/>
      <c r="AB120" s="232"/>
    </row>
    <row r="121" spans="2:28" hidden="1" x14ac:dyDescent="0.35">
      <c r="B121" s="283"/>
      <c r="C121" s="307"/>
      <c r="D121" s="307"/>
      <c r="E121" s="308"/>
      <c r="F121" s="273" t="s">
        <v>291</v>
      </c>
      <c r="G121" s="274" t="s">
        <v>193</v>
      </c>
      <c r="H121" s="275"/>
      <c r="I121" s="276"/>
      <c r="J121" s="277"/>
      <c r="K121" s="289"/>
      <c r="L121" s="289"/>
      <c r="M121" s="231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2"/>
      <c r="AA121" s="232"/>
      <c r="AB121" s="232"/>
    </row>
    <row r="122" spans="2:28" x14ac:dyDescent="0.35">
      <c r="B122" s="290"/>
      <c r="C122" s="291"/>
      <c r="D122" s="291" t="s">
        <v>292</v>
      </c>
      <c r="E122" s="306"/>
      <c r="F122" s="273" t="s">
        <v>187</v>
      </c>
      <c r="G122" s="274" t="s">
        <v>188</v>
      </c>
      <c r="H122" s="275"/>
      <c r="I122" s="276"/>
      <c r="J122" s="277"/>
      <c r="K122" s="289"/>
      <c r="L122" s="289"/>
      <c r="M122" s="231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2"/>
      <c r="AA122" s="232"/>
      <c r="AB122" s="232"/>
    </row>
    <row r="123" spans="2:28" hidden="1" x14ac:dyDescent="0.35">
      <c r="B123" s="283"/>
      <c r="C123" s="307"/>
      <c r="D123" s="307"/>
      <c r="E123" s="308"/>
      <c r="F123" s="273" t="s">
        <v>291</v>
      </c>
      <c r="G123" s="274" t="s">
        <v>193</v>
      </c>
      <c r="H123" s="275"/>
      <c r="I123" s="276"/>
      <c r="J123" s="277"/>
      <c r="K123" s="289"/>
      <c r="L123" s="289"/>
      <c r="M123" s="231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2"/>
      <c r="AA123" s="232"/>
      <c r="AB123" s="232"/>
    </row>
    <row r="124" spans="2:28" x14ac:dyDescent="0.35">
      <c r="B124" s="290"/>
      <c r="C124" s="291"/>
      <c r="D124" s="291" t="s">
        <v>293</v>
      </c>
      <c r="E124" s="306"/>
      <c r="F124" s="273" t="s">
        <v>187</v>
      </c>
      <c r="G124" s="274" t="s">
        <v>188</v>
      </c>
      <c r="H124" s="275"/>
      <c r="I124" s="276"/>
      <c r="J124" s="277" t="s">
        <v>189</v>
      </c>
      <c r="K124" s="387">
        <v>1</v>
      </c>
      <c r="L124" s="317">
        <v>11.1</v>
      </c>
      <c r="M124" s="240">
        <v>1</v>
      </c>
      <c r="N124" s="233">
        <v>1</v>
      </c>
      <c r="O124" s="235">
        <f>K124*L124*M124*N124</f>
        <v>11.1</v>
      </c>
      <c r="P124" s="235">
        <v>149108.51999999999</v>
      </c>
      <c r="Q124" s="235">
        <f>O124*P124</f>
        <v>1655104.5719999999</v>
      </c>
      <c r="R124" s="233"/>
      <c r="S124" s="233"/>
      <c r="T124" s="233"/>
      <c r="U124" s="233"/>
      <c r="V124" s="233"/>
      <c r="W124" s="233"/>
      <c r="X124" s="232" t="s">
        <v>294</v>
      </c>
      <c r="AA124" s="302">
        <f>Q124/$L$124</f>
        <v>149108.51999999999</v>
      </c>
      <c r="AB124" s="232"/>
    </row>
    <row r="125" spans="2:28" x14ac:dyDescent="0.35">
      <c r="B125" s="242"/>
      <c r="C125" s="243"/>
      <c r="D125" s="243"/>
      <c r="E125" s="244"/>
      <c r="F125" s="273" t="s">
        <v>215</v>
      </c>
      <c r="G125" s="274" t="s">
        <v>205</v>
      </c>
      <c r="H125" s="275"/>
      <c r="I125" s="276"/>
      <c r="J125" s="277" t="s">
        <v>465</v>
      </c>
      <c r="K125" s="387">
        <v>1</v>
      </c>
      <c r="L125" s="543">
        <v>13888.319999999998</v>
      </c>
      <c r="M125" s="233">
        <f>1/50</f>
        <v>0.02</v>
      </c>
      <c r="N125" s="233">
        <v>1</v>
      </c>
      <c r="O125" s="235">
        <f>K125*L125*M125*N125</f>
        <v>277.76639999999998</v>
      </c>
      <c r="P125" s="235">
        <v>720338.0730320001</v>
      </c>
      <c r="Q125" s="235">
        <f>O125*P125</f>
        <v>200085713.32903573</v>
      </c>
      <c r="R125" s="233"/>
      <c r="S125" s="233"/>
      <c r="T125" s="233"/>
      <c r="U125" s="233"/>
      <c r="V125" s="233"/>
      <c r="W125" s="233"/>
      <c r="X125" s="487"/>
      <c r="AA125" s="302">
        <f>Q125/$L$124</f>
        <v>18025739.939552769</v>
      </c>
      <c r="AB125" s="232"/>
    </row>
    <row r="126" spans="2:28" x14ac:dyDescent="0.35">
      <c r="B126" s="283"/>
      <c r="C126" s="307"/>
      <c r="D126" s="307" t="s">
        <v>466</v>
      </c>
      <c r="E126" s="308"/>
      <c r="F126" s="273" t="s">
        <v>204</v>
      </c>
      <c r="G126" s="274" t="s">
        <v>205</v>
      </c>
      <c r="H126" s="275"/>
      <c r="I126" s="276"/>
      <c r="J126" s="277" t="s">
        <v>296</v>
      </c>
      <c r="K126" s="387">
        <v>1</v>
      </c>
      <c r="L126" s="543">
        <v>1443</v>
      </c>
      <c r="M126" s="233">
        <f>1/50</f>
        <v>0.02</v>
      </c>
      <c r="N126" s="233">
        <v>1</v>
      </c>
      <c r="O126" s="233">
        <f>K126*L126*M126*N126</f>
        <v>28.86</v>
      </c>
      <c r="P126" s="235">
        <v>1051433.6840914285</v>
      </c>
      <c r="Q126" s="235">
        <f>O126*P126</f>
        <v>30344376.122878626</v>
      </c>
      <c r="R126" s="233"/>
      <c r="S126" s="233"/>
      <c r="T126" s="233"/>
      <c r="U126" s="233"/>
      <c r="V126" s="233"/>
      <c r="W126" s="233"/>
      <c r="X126" s="232" t="s">
        <v>467</v>
      </c>
      <c r="AA126" s="302">
        <f>Q126/$L$124</f>
        <v>2733727.578637714</v>
      </c>
      <c r="AB126" s="232"/>
    </row>
    <row r="127" spans="2:28" x14ac:dyDescent="0.35">
      <c r="B127" s="290"/>
      <c r="C127" s="291"/>
      <c r="D127" s="291" t="s">
        <v>125</v>
      </c>
      <c r="E127" s="306"/>
      <c r="F127" s="273" t="s">
        <v>187</v>
      </c>
      <c r="G127" s="274" t="s">
        <v>188</v>
      </c>
      <c r="H127" s="275"/>
      <c r="I127" s="276"/>
      <c r="J127" s="277"/>
      <c r="K127" s="289"/>
      <c r="L127" s="289"/>
      <c r="M127" s="231">
        <v>0.33329999999999999</v>
      </c>
      <c r="N127" s="233">
        <v>1</v>
      </c>
      <c r="O127" s="233"/>
      <c r="P127" s="233"/>
      <c r="Q127" s="233"/>
      <c r="R127" s="233"/>
      <c r="S127" s="233"/>
      <c r="T127" s="233"/>
      <c r="U127" s="233"/>
      <c r="V127" s="233"/>
      <c r="W127" s="233"/>
      <c r="X127" s="302"/>
      <c r="AA127" s="232"/>
      <c r="AB127" s="232"/>
    </row>
    <row r="128" spans="2:28" hidden="1" x14ac:dyDescent="0.35">
      <c r="B128" s="283"/>
      <c r="C128" s="307"/>
      <c r="D128" s="307"/>
      <c r="E128" s="308"/>
      <c r="F128" s="273" t="s">
        <v>291</v>
      </c>
      <c r="G128" s="274" t="s">
        <v>193</v>
      </c>
      <c r="H128" s="275"/>
      <c r="I128" s="276"/>
      <c r="J128" s="277"/>
      <c r="K128" s="289"/>
      <c r="L128" s="289"/>
      <c r="M128" s="231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2"/>
      <c r="AA128" s="232"/>
      <c r="AB128" s="232"/>
    </row>
    <row r="129" spans="2:28" x14ac:dyDescent="0.35">
      <c r="B129" s="367" t="s">
        <v>297</v>
      </c>
      <c r="C129" s="368"/>
      <c r="D129" s="368"/>
      <c r="E129" s="369"/>
      <c r="F129" s="335"/>
      <c r="G129" s="336"/>
      <c r="H129" s="337"/>
      <c r="I129" s="338"/>
      <c r="J129" s="339"/>
      <c r="K129" s="340"/>
      <c r="L129" s="340"/>
      <c r="M129" s="341"/>
      <c r="N129" s="342"/>
      <c r="O129" s="342"/>
      <c r="P129" s="342"/>
      <c r="Q129" s="385">
        <f>SUM(Q120:Q128)</f>
        <v>232085194.02391434</v>
      </c>
      <c r="R129" s="342"/>
      <c r="S129" s="342"/>
      <c r="T129" s="342"/>
      <c r="U129" s="342"/>
      <c r="V129" s="342"/>
      <c r="W129" s="342"/>
      <c r="X129" s="370"/>
      <c r="AA129" s="346">
        <f>Q129/$L$124</f>
        <v>20908576.03819048</v>
      </c>
      <c r="AB129" s="542">
        <f>Q129/$Q$315*100</f>
        <v>17.238754893446874</v>
      </c>
    </row>
    <row r="130" spans="2:28" x14ac:dyDescent="0.35">
      <c r="B130" s="275"/>
      <c r="C130" s="376" t="s">
        <v>298</v>
      </c>
      <c r="D130" s="276"/>
      <c r="E130" s="288"/>
      <c r="F130" s="273"/>
      <c r="G130" s="274"/>
      <c r="H130" s="275"/>
      <c r="I130" s="276"/>
      <c r="J130" s="277"/>
      <c r="K130" s="289"/>
      <c r="L130" s="289"/>
      <c r="M130" s="231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2"/>
      <c r="AA130" s="232"/>
      <c r="AB130" s="232"/>
    </row>
    <row r="131" spans="2:28" x14ac:dyDescent="0.35">
      <c r="B131" s="290"/>
      <c r="C131" s="291"/>
      <c r="D131" s="291" t="s">
        <v>299</v>
      </c>
      <c r="E131" s="306"/>
      <c r="F131" s="273" t="s">
        <v>187</v>
      </c>
      <c r="G131" s="274" t="s">
        <v>188</v>
      </c>
      <c r="H131" s="275"/>
      <c r="I131" s="276"/>
      <c r="J131" s="277"/>
      <c r="K131" s="289"/>
      <c r="L131" s="289"/>
      <c r="M131" s="231"/>
      <c r="N131" s="233">
        <v>1</v>
      </c>
      <c r="O131" s="233"/>
      <c r="P131" s="233"/>
      <c r="Q131" s="233"/>
      <c r="R131" s="233"/>
      <c r="S131" s="233"/>
      <c r="T131" s="233"/>
      <c r="U131" s="233"/>
      <c r="V131" s="233"/>
      <c r="W131" s="233"/>
      <c r="X131" s="232"/>
      <c r="AA131" s="232"/>
      <c r="AB131" s="232"/>
    </row>
    <row r="132" spans="2:28" hidden="1" x14ac:dyDescent="0.35">
      <c r="B132" s="283"/>
      <c r="C132" s="307"/>
      <c r="D132" s="307"/>
      <c r="E132" s="308"/>
      <c r="F132" s="273" t="s">
        <v>300</v>
      </c>
      <c r="G132" s="274" t="s">
        <v>10</v>
      </c>
      <c r="H132" s="275"/>
      <c r="I132" s="276"/>
      <c r="J132" s="277"/>
      <c r="K132" s="289"/>
      <c r="L132" s="289"/>
      <c r="M132" s="231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2"/>
      <c r="AA132" s="232"/>
      <c r="AB132" s="232"/>
    </row>
    <row r="133" spans="2:28" x14ac:dyDescent="0.35">
      <c r="B133" s="290"/>
      <c r="C133" s="291"/>
      <c r="D133" s="291" t="s">
        <v>301</v>
      </c>
      <c r="E133" s="306"/>
      <c r="F133" s="273" t="s">
        <v>187</v>
      </c>
      <c r="G133" s="274" t="s">
        <v>188</v>
      </c>
      <c r="H133" s="275"/>
      <c r="I133" s="276"/>
      <c r="J133" s="277"/>
      <c r="K133" s="289"/>
      <c r="L133" s="289"/>
      <c r="M133" s="231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2"/>
      <c r="AA133" s="232"/>
      <c r="AB133" s="232"/>
    </row>
    <row r="134" spans="2:28" hidden="1" x14ac:dyDescent="0.35">
      <c r="B134" s="283"/>
      <c r="C134" s="307"/>
      <c r="D134" s="307"/>
      <c r="E134" s="308"/>
      <c r="F134" s="273" t="s">
        <v>302</v>
      </c>
      <c r="G134" s="274" t="s">
        <v>10</v>
      </c>
      <c r="H134" s="275"/>
      <c r="I134" s="276"/>
      <c r="J134" s="277"/>
      <c r="K134" s="289"/>
      <c r="L134" s="289"/>
      <c r="M134" s="231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2"/>
      <c r="AA134" s="232"/>
      <c r="AB134" s="232"/>
    </row>
    <row r="135" spans="2:28" x14ac:dyDescent="0.35">
      <c r="B135" s="290"/>
      <c r="C135" s="291"/>
      <c r="D135" s="291" t="s">
        <v>303</v>
      </c>
      <c r="E135" s="306"/>
      <c r="F135" s="273" t="s">
        <v>187</v>
      </c>
      <c r="G135" s="274" t="s">
        <v>188</v>
      </c>
      <c r="H135" s="275"/>
      <c r="I135" s="276"/>
      <c r="J135" s="277"/>
      <c r="K135" s="289"/>
      <c r="L135" s="289"/>
      <c r="M135" s="231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2"/>
      <c r="AA135" s="232"/>
      <c r="AB135" s="232"/>
    </row>
    <row r="136" spans="2:28" hidden="1" x14ac:dyDescent="0.35">
      <c r="B136" s="283"/>
      <c r="C136" s="307"/>
      <c r="D136" s="307"/>
      <c r="E136" s="308"/>
      <c r="F136" s="273" t="s">
        <v>304</v>
      </c>
      <c r="G136" s="274" t="s">
        <v>10</v>
      </c>
      <c r="H136" s="275"/>
      <c r="I136" s="276"/>
      <c r="J136" s="277"/>
      <c r="K136" s="289"/>
      <c r="L136" s="289"/>
      <c r="M136" s="231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2"/>
      <c r="AA136" s="232"/>
      <c r="AB136" s="232"/>
    </row>
    <row r="137" spans="2:28" x14ac:dyDescent="0.35">
      <c r="B137" s="367" t="s">
        <v>305</v>
      </c>
      <c r="C137" s="368"/>
      <c r="D137" s="368"/>
      <c r="E137" s="369"/>
      <c r="F137" s="389"/>
      <c r="G137" s="390"/>
      <c r="H137" s="391"/>
      <c r="I137" s="392"/>
      <c r="J137" s="393"/>
      <c r="K137" s="394"/>
      <c r="L137" s="394"/>
      <c r="M137" s="395"/>
      <c r="N137" s="343"/>
      <c r="O137" s="343"/>
      <c r="P137" s="343"/>
      <c r="Q137" s="343">
        <f>SUM(Q131:Q136)</f>
        <v>0</v>
      </c>
      <c r="R137" s="343"/>
      <c r="S137" s="343"/>
      <c r="T137" s="343"/>
      <c r="U137" s="343"/>
      <c r="V137" s="343"/>
      <c r="W137" s="343"/>
      <c r="X137" s="396"/>
      <c r="AA137" s="370"/>
      <c r="AB137" s="370"/>
    </row>
    <row r="138" spans="2:28" x14ac:dyDescent="0.35">
      <c r="B138" s="242"/>
      <c r="C138" s="386" t="s">
        <v>306</v>
      </c>
      <c r="D138" s="243"/>
      <c r="E138" s="244"/>
      <c r="F138" s="273" t="s">
        <v>187</v>
      </c>
      <c r="G138" s="274" t="s">
        <v>188</v>
      </c>
      <c r="H138" s="275"/>
      <c r="I138" s="276"/>
      <c r="J138" s="277"/>
      <c r="K138" s="289"/>
      <c r="L138" s="289"/>
      <c r="M138" s="231"/>
      <c r="N138" s="233">
        <v>1</v>
      </c>
      <c r="O138" s="233"/>
      <c r="P138" s="233"/>
      <c r="Q138" s="233"/>
      <c r="R138" s="233"/>
      <c r="S138" s="233"/>
      <c r="T138" s="233"/>
      <c r="U138" s="233"/>
      <c r="V138" s="233"/>
      <c r="W138" s="233"/>
      <c r="X138" s="232"/>
      <c r="AA138" s="232"/>
      <c r="AB138" s="232"/>
    </row>
    <row r="139" spans="2:28" hidden="1" x14ac:dyDescent="0.35">
      <c r="B139" s="242"/>
      <c r="C139" s="243"/>
      <c r="D139" s="243"/>
      <c r="E139" s="244"/>
      <c r="F139" s="273" t="s">
        <v>307</v>
      </c>
      <c r="G139" s="274" t="s">
        <v>10</v>
      </c>
      <c r="H139" s="275"/>
      <c r="I139" s="276"/>
      <c r="J139" s="277"/>
      <c r="K139" s="289"/>
      <c r="L139" s="289"/>
      <c r="M139" s="231"/>
      <c r="N139" s="233">
        <v>1</v>
      </c>
      <c r="O139" s="233"/>
      <c r="P139" s="233"/>
      <c r="Q139" s="233"/>
      <c r="R139" s="233"/>
      <c r="S139" s="233"/>
      <c r="T139" s="233"/>
      <c r="U139" s="233"/>
      <c r="V139" s="233"/>
      <c r="W139" s="233"/>
      <c r="X139" s="232"/>
      <c r="AA139" s="232"/>
      <c r="AB139" s="232"/>
    </row>
    <row r="140" spans="2:28" hidden="1" x14ac:dyDescent="0.35">
      <c r="B140" s="283"/>
      <c r="C140" s="307"/>
      <c r="D140" s="307"/>
      <c r="E140" s="308"/>
      <c r="F140" s="273" t="s">
        <v>263</v>
      </c>
      <c r="G140" s="274" t="s">
        <v>205</v>
      </c>
      <c r="H140" s="275"/>
      <c r="I140" s="276"/>
      <c r="J140" s="277"/>
      <c r="K140" s="289"/>
      <c r="L140" s="289"/>
      <c r="M140" s="231"/>
      <c r="N140" s="233">
        <v>1</v>
      </c>
      <c r="O140" s="233"/>
      <c r="P140" s="233"/>
      <c r="Q140" s="233"/>
      <c r="R140" s="233"/>
      <c r="S140" s="233"/>
      <c r="T140" s="233"/>
      <c r="U140" s="233"/>
      <c r="V140" s="233"/>
      <c r="W140" s="233"/>
      <c r="X140" s="232"/>
      <c r="AA140" s="232"/>
      <c r="AB140" s="232"/>
    </row>
    <row r="141" spans="2:28" x14ac:dyDescent="0.35">
      <c r="B141" s="283"/>
      <c r="C141" s="397" t="s">
        <v>308</v>
      </c>
      <c r="D141" s="307"/>
      <c r="E141" s="308"/>
      <c r="F141" s="273" t="s">
        <v>365</v>
      </c>
      <c r="G141" s="274" t="s">
        <v>468</v>
      </c>
      <c r="H141" s="275"/>
      <c r="I141" s="276"/>
      <c r="J141" s="277"/>
      <c r="K141" s="278">
        <v>0</v>
      </c>
      <c r="L141" s="289">
        <v>51.1</v>
      </c>
      <c r="M141" s="235">
        <v>2</v>
      </c>
      <c r="N141" s="233">
        <v>1</v>
      </c>
      <c r="O141" s="233">
        <f>K141*M141*N141*L141</f>
        <v>0</v>
      </c>
      <c r="P141" s="235">
        <v>139719</v>
      </c>
      <c r="Q141" s="233">
        <f>P141*$O141</f>
        <v>0</v>
      </c>
      <c r="R141" s="233">
        <v>146704.95000000001</v>
      </c>
      <c r="S141" s="233">
        <f>R141*$O141</f>
        <v>0</v>
      </c>
      <c r="T141" s="233">
        <v>154040.19750000001</v>
      </c>
      <c r="U141" s="233">
        <f>T141*$O141</f>
        <v>0</v>
      </c>
      <c r="V141" s="233" t="e">
        <f>W141/O141</f>
        <v>#DIV/0!</v>
      </c>
      <c r="W141" s="241">
        <f>AVERAGEIF($P$3:$U$3,W$3,$P141:$U141)</f>
        <v>0</v>
      </c>
      <c r="X141" s="232"/>
      <c r="AA141" s="232"/>
      <c r="AB141" s="232"/>
    </row>
    <row r="142" spans="2:28" x14ac:dyDescent="0.35">
      <c r="B142" s="367" t="s">
        <v>469</v>
      </c>
      <c r="C142" s="368"/>
      <c r="D142" s="368"/>
      <c r="E142" s="369"/>
      <c r="F142" s="335"/>
      <c r="G142" s="336"/>
      <c r="H142" s="337"/>
      <c r="I142" s="338"/>
      <c r="J142" s="339"/>
      <c r="K142" s="340"/>
      <c r="L142" s="340"/>
      <c r="M142" s="341"/>
      <c r="N142" s="342"/>
      <c r="O142" s="342"/>
      <c r="P142" s="342"/>
      <c r="Q142" s="343">
        <f>SUM(Q141)</f>
        <v>0</v>
      </c>
      <c r="R142" s="342"/>
      <c r="S142" s="342"/>
      <c r="T142" s="342"/>
      <c r="U142" s="342"/>
      <c r="V142" s="342"/>
      <c r="W142" s="342"/>
      <c r="X142" s="370"/>
      <c r="AA142" s="370"/>
      <c r="AB142" s="542">
        <f>Q142/1039179039.54*100</f>
        <v>0</v>
      </c>
    </row>
    <row r="143" spans="2:28" x14ac:dyDescent="0.35">
      <c r="B143" s="283"/>
      <c r="C143" s="397" t="s">
        <v>309</v>
      </c>
      <c r="D143" s="307"/>
      <c r="E143" s="308"/>
      <c r="F143" s="273" t="s">
        <v>215</v>
      </c>
      <c r="G143" s="274"/>
      <c r="H143" s="275"/>
      <c r="I143" s="276"/>
      <c r="J143" s="277"/>
      <c r="K143" s="278"/>
      <c r="L143" s="289"/>
      <c r="M143" s="235">
        <v>28</v>
      </c>
      <c r="N143" s="233">
        <v>1</v>
      </c>
      <c r="O143" s="233">
        <f>K143*M143*N143</f>
        <v>0</v>
      </c>
      <c r="P143" s="233">
        <v>681487.17873333325</v>
      </c>
      <c r="Q143" s="235">
        <f>P143*$O143</f>
        <v>0</v>
      </c>
      <c r="R143" s="233">
        <v>720338.0730320001</v>
      </c>
      <c r="S143" s="233">
        <f>R143*$O143</f>
        <v>0</v>
      </c>
      <c r="T143" s="233">
        <v>761671.70213055995</v>
      </c>
      <c r="U143" s="233">
        <f>T143*$O143</f>
        <v>0</v>
      </c>
      <c r="V143" s="233" t="e">
        <f>W143/O143</f>
        <v>#DIV/0!</v>
      </c>
      <c r="W143" s="241">
        <f>AVERAGEIF($P$3:$U$3,W$3,$P143:$U143)</f>
        <v>0</v>
      </c>
      <c r="X143" s="232"/>
      <c r="AA143" s="232"/>
      <c r="AB143" s="232"/>
    </row>
    <row r="144" spans="2:28" x14ac:dyDescent="0.35">
      <c r="B144" s="518" t="s">
        <v>310</v>
      </c>
      <c r="C144" s="519"/>
      <c r="D144" s="519"/>
      <c r="E144" s="520"/>
      <c r="F144" s="521"/>
      <c r="G144" s="522"/>
      <c r="H144" s="523"/>
      <c r="I144" s="524"/>
      <c r="J144" s="525"/>
      <c r="K144" s="526"/>
      <c r="L144" s="526"/>
      <c r="M144" s="527"/>
      <c r="N144" s="528"/>
      <c r="O144" s="528"/>
      <c r="P144" s="528"/>
      <c r="Q144" s="544">
        <f>Q137+Q129+Q118+Q114+Q106+Q98+Q75+Q142</f>
        <v>232085194.02391434</v>
      </c>
      <c r="R144" s="342"/>
      <c r="S144" s="342"/>
      <c r="T144" s="342"/>
      <c r="U144" s="342"/>
      <c r="V144" s="342"/>
      <c r="W144" s="342"/>
      <c r="X144" s="516"/>
      <c r="AA144" s="516"/>
      <c r="AB144" s="545">
        <f>Q144/$Q$315*100</f>
        <v>17.238754893446874</v>
      </c>
    </row>
    <row r="145" spans="1:29" s="415" customFormat="1" x14ac:dyDescent="0.35">
      <c r="A145" s="412"/>
      <c r="B145" s="399" t="s">
        <v>311</v>
      </c>
      <c r="C145" s="400"/>
      <c r="D145" s="400"/>
      <c r="E145" s="401"/>
      <c r="F145" s="402"/>
      <c r="G145" s="403"/>
      <c r="H145" s="404"/>
      <c r="I145" s="405"/>
      <c r="J145" s="406"/>
      <c r="K145" s="407"/>
      <c r="L145" s="407"/>
      <c r="M145" s="408"/>
      <c r="N145" s="409"/>
      <c r="O145" s="409"/>
      <c r="P145" s="409"/>
      <c r="Q145" s="409">
        <f>Q60+Q144</f>
        <v>1346299053.8379254</v>
      </c>
      <c r="R145" s="409"/>
      <c r="S145" s="409">
        <f>SUM(S5:S143)-S143-S142-S106</f>
        <v>1005789152.170451</v>
      </c>
      <c r="T145" s="409"/>
      <c r="U145" s="409">
        <f>SUM(U5:U143)-U143-U142-U106</f>
        <v>1063449077.5186634</v>
      </c>
      <c r="V145" s="409"/>
      <c r="W145" s="409">
        <f>SUM(W5:W143)-W143-W142-W106</f>
        <v>1025009127.2865219</v>
      </c>
      <c r="X145" s="411"/>
      <c r="Y145" s="412"/>
      <c r="Z145" s="412"/>
      <c r="AA145" s="416"/>
      <c r="AB145" s="546">
        <f>Q145/$Q$315*100</f>
        <v>100</v>
      </c>
      <c r="AC145" s="412"/>
    </row>
    <row r="146" spans="1:29" s="415" customFormat="1" x14ac:dyDescent="0.35">
      <c r="A146" s="412"/>
      <c r="B146" s="547"/>
      <c r="C146" s="548"/>
      <c r="D146" s="548"/>
      <c r="E146" s="549" t="s">
        <v>312</v>
      </c>
      <c r="F146" s="402"/>
      <c r="G146" s="403"/>
      <c r="H146" s="404"/>
      <c r="I146" s="405"/>
      <c r="J146" s="406"/>
      <c r="K146" s="407"/>
      <c r="L146" s="407"/>
      <c r="M146" s="408"/>
      <c r="N146" s="409"/>
      <c r="O146" s="409"/>
      <c r="P146" s="409"/>
      <c r="Q146" s="409"/>
      <c r="R146" s="409"/>
      <c r="S146" s="409" t="e">
        <f>SUM(S5:S143)-S26-S27-S31-S22-S36-S37-#REF!</f>
        <v>#REF!</v>
      </c>
      <c r="T146" s="409"/>
      <c r="U146" s="409" t="e">
        <f>SUM(U5:U143)-U26-U27-U31-U22-U36-U37-#REF!</f>
        <v>#REF!</v>
      </c>
      <c r="V146" s="409"/>
      <c r="W146" s="409" t="e">
        <f>SUM(W5:W143)-W26-W27-W31-W22-W36-W37-#REF!</f>
        <v>#REF!</v>
      </c>
      <c r="X146" s="411"/>
      <c r="Y146" s="412"/>
      <c r="Z146" s="412"/>
      <c r="AA146" s="95"/>
      <c r="AB146" s="95"/>
      <c r="AC146" s="412"/>
    </row>
    <row r="147" spans="1:29" x14ac:dyDescent="0.35">
      <c r="B147" s="222" t="s">
        <v>313</v>
      </c>
      <c r="C147" s="228"/>
      <c r="D147" s="228"/>
      <c r="E147" s="247"/>
      <c r="F147" s="225"/>
      <c r="G147" s="226"/>
      <c r="H147" s="227"/>
      <c r="I147" s="228"/>
      <c r="J147" s="229"/>
      <c r="K147" s="230"/>
      <c r="L147" s="230"/>
      <c r="M147" s="231"/>
      <c r="N147" s="233"/>
      <c r="O147" s="233"/>
      <c r="P147" s="233"/>
      <c r="Q147" s="373"/>
      <c r="R147" s="233"/>
      <c r="S147" s="233"/>
      <c r="T147" s="233"/>
      <c r="U147" s="233"/>
      <c r="V147" s="233"/>
      <c r="W147" s="233"/>
      <c r="X147" s="232"/>
      <c r="AA147" s="232"/>
      <c r="AB147" s="232"/>
    </row>
    <row r="148" spans="1:29" x14ac:dyDescent="0.35">
      <c r="B148" s="227"/>
      <c r="C148" s="223" t="s">
        <v>314</v>
      </c>
      <c r="D148" s="228"/>
      <c r="E148" s="247"/>
      <c r="F148" s="225"/>
      <c r="G148" s="226"/>
      <c r="H148" s="227"/>
      <c r="I148" s="228"/>
      <c r="J148" s="229"/>
      <c r="K148" s="230"/>
      <c r="L148" s="230"/>
      <c r="M148" s="231"/>
      <c r="N148" s="233"/>
      <c r="O148" s="233"/>
      <c r="P148" s="233"/>
      <c r="Q148" s="373"/>
      <c r="R148" s="233"/>
      <c r="S148" s="233"/>
      <c r="T148" s="233"/>
      <c r="U148" s="233"/>
      <c r="V148" s="233"/>
      <c r="W148" s="233"/>
      <c r="X148" s="232"/>
      <c r="AA148" s="232"/>
      <c r="AB148" s="232"/>
    </row>
    <row r="149" spans="1:29" x14ac:dyDescent="0.35">
      <c r="B149" s="236"/>
      <c r="C149" s="237"/>
      <c r="D149" s="237" t="s">
        <v>119</v>
      </c>
      <c r="E149" s="238"/>
      <c r="F149" s="225" t="s">
        <v>187</v>
      </c>
      <c r="G149" s="226" t="s">
        <v>188</v>
      </c>
      <c r="H149" s="227"/>
      <c r="I149" s="228"/>
      <c r="J149" s="229" t="s">
        <v>189</v>
      </c>
      <c r="K149" s="239">
        <v>1</v>
      </c>
      <c r="L149" s="230"/>
      <c r="M149" s="240">
        <v>6</v>
      </c>
      <c r="N149" s="233">
        <v>1</v>
      </c>
      <c r="O149" s="233">
        <f>K149*L149*M149*N149</f>
        <v>0</v>
      </c>
      <c r="P149" s="233">
        <v>140008</v>
      </c>
      <c r="Q149" s="372">
        <f>P149*$O149</f>
        <v>0</v>
      </c>
      <c r="R149" s="233">
        <v>149108.51999999999</v>
      </c>
      <c r="S149" s="233">
        <f>R149*$O149</f>
        <v>0</v>
      </c>
      <c r="T149" s="233">
        <v>158800.57379999998</v>
      </c>
      <c r="U149" s="233">
        <f>T149*$O149</f>
        <v>0</v>
      </c>
      <c r="V149" s="233" t="e">
        <f>W149/O149</f>
        <v>#DIV/0!</v>
      </c>
      <c r="W149" s="241">
        <f>AVERAGEIF($P$3:$U$3,W$3,$P149:$U149)</f>
        <v>0</v>
      </c>
      <c r="X149" s="232" t="s">
        <v>315</v>
      </c>
      <c r="Z149" s="417">
        <f>W149+W173+W198</f>
        <v>0</v>
      </c>
      <c r="AA149" s="329">
        <f>O149+O173+O198</f>
        <v>0</v>
      </c>
      <c r="AB149" s="232"/>
    </row>
    <row r="150" spans="1:29" x14ac:dyDescent="0.35">
      <c r="B150" s="245"/>
      <c r="C150" s="246"/>
      <c r="D150" s="246"/>
      <c r="E150" s="251"/>
      <c r="F150" s="225" t="s">
        <v>316</v>
      </c>
      <c r="G150" s="226" t="s">
        <v>191</v>
      </c>
      <c r="H150" s="227"/>
      <c r="I150" s="228"/>
      <c r="J150" s="229"/>
      <c r="K150" s="230"/>
      <c r="L150" s="230"/>
      <c r="M150" s="423">
        <v>3</v>
      </c>
      <c r="N150" s="373">
        <v>1</v>
      </c>
      <c r="O150" s="373"/>
      <c r="P150" s="233"/>
      <c r="Q150" s="373"/>
      <c r="R150" s="233"/>
      <c r="S150" s="233"/>
      <c r="T150" s="233"/>
      <c r="U150" s="233"/>
      <c r="V150" s="233"/>
      <c r="W150" s="233"/>
      <c r="X150" s="232"/>
      <c r="AA150" s="232"/>
      <c r="AB150" s="232"/>
    </row>
    <row r="151" spans="1:29" x14ac:dyDescent="0.35">
      <c r="B151" s="245"/>
      <c r="C151" s="246"/>
      <c r="D151" s="246"/>
      <c r="E151" s="251"/>
      <c r="F151" s="225" t="s">
        <v>317</v>
      </c>
      <c r="G151" s="226" t="s">
        <v>191</v>
      </c>
      <c r="H151" s="227"/>
      <c r="I151" s="228"/>
      <c r="J151" s="229"/>
      <c r="K151" s="230"/>
      <c r="L151" s="230"/>
      <c r="M151" s="423">
        <v>6</v>
      </c>
      <c r="N151" s="373">
        <v>1</v>
      </c>
      <c r="O151" s="373"/>
      <c r="P151" s="233"/>
      <c r="Q151" s="373"/>
      <c r="R151" s="233"/>
      <c r="S151" s="233"/>
      <c r="T151" s="233"/>
      <c r="U151" s="233"/>
      <c r="V151" s="233"/>
      <c r="W151" s="233"/>
      <c r="X151" s="232"/>
      <c r="AA151" s="232"/>
      <c r="AB151" s="232"/>
    </row>
    <row r="152" spans="1:29" x14ac:dyDescent="0.35">
      <c r="B152" s="245"/>
      <c r="C152" s="246"/>
      <c r="D152" s="246"/>
      <c r="E152" s="251"/>
      <c r="F152" s="225" t="s">
        <v>318</v>
      </c>
      <c r="G152" s="226" t="s">
        <v>188</v>
      </c>
      <c r="H152" s="227"/>
      <c r="I152" s="228"/>
      <c r="J152" s="229"/>
      <c r="K152" s="239">
        <v>1</v>
      </c>
      <c r="L152" s="418"/>
      <c r="M152" s="377">
        <f>1/2000</f>
        <v>5.0000000000000001E-4</v>
      </c>
      <c r="N152" s="373">
        <v>1</v>
      </c>
      <c r="O152" s="233">
        <f>K152*L152*M152*N152</f>
        <v>0</v>
      </c>
      <c r="P152" s="233">
        <v>140008</v>
      </c>
      <c r="Q152" s="372">
        <f>P152*$O152</f>
        <v>0</v>
      </c>
      <c r="R152" s="233"/>
      <c r="S152" s="233"/>
      <c r="T152" s="233"/>
      <c r="U152" s="233"/>
      <c r="V152" s="233"/>
      <c r="W152" s="419"/>
      <c r="X152" s="232" t="s">
        <v>319</v>
      </c>
      <c r="AA152" s="232"/>
      <c r="AB152" s="232"/>
    </row>
    <row r="153" spans="1:29" x14ac:dyDescent="0.35">
      <c r="B153" s="245"/>
      <c r="C153" s="246"/>
      <c r="D153" s="246"/>
      <c r="E153" s="251"/>
      <c r="F153" s="225" t="s">
        <v>320</v>
      </c>
      <c r="G153" s="226" t="s">
        <v>193</v>
      </c>
      <c r="H153" s="227"/>
      <c r="I153" s="228"/>
      <c r="J153" s="229"/>
      <c r="K153" s="420">
        <v>1</v>
      </c>
      <c r="L153" s="418"/>
      <c r="M153" s="423">
        <v>1</v>
      </c>
      <c r="N153" s="373">
        <v>1</v>
      </c>
      <c r="O153" s="372">
        <f>K153*L153*M153*N153</f>
        <v>0</v>
      </c>
      <c r="P153" s="235">
        <v>500</v>
      </c>
      <c r="Q153" s="372">
        <f t="shared" ref="Q153:Q173" si="20">P153*$O153</f>
        <v>0</v>
      </c>
      <c r="R153" s="233"/>
      <c r="S153" s="233"/>
      <c r="T153" s="233"/>
      <c r="U153" s="233"/>
      <c r="V153" s="233"/>
      <c r="W153" s="419"/>
      <c r="X153" s="232" t="s">
        <v>321</v>
      </c>
      <c r="Y153" s="421"/>
      <c r="AA153" s="232"/>
      <c r="AB153" s="232"/>
    </row>
    <row r="154" spans="1:29" x14ac:dyDescent="0.35">
      <c r="B154" s="245"/>
      <c r="C154" s="246"/>
      <c r="D154" s="246"/>
      <c r="E154" s="251"/>
      <c r="F154" s="232" t="s">
        <v>322</v>
      </c>
      <c r="G154" s="318" t="s">
        <v>191</v>
      </c>
      <c r="H154" s="319"/>
      <c r="I154" s="320"/>
      <c r="J154" s="232"/>
      <c r="K154" s="420">
        <v>1</v>
      </c>
      <c r="L154" s="418"/>
      <c r="M154" s="422">
        <f>50/1000</f>
        <v>0.05</v>
      </c>
      <c r="N154" s="233">
        <v>1</v>
      </c>
      <c r="O154" s="235">
        <f t="shared" ref="O154:O173" si="21">K154*L154*M154*N154</f>
        <v>0</v>
      </c>
      <c r="P154" s="235">
        <v>2530</v>
      </c>
      <c r="Q154" s="372">
        <f t="shared" si="20"/>
        <v>0</v>
      </c>
      <c r="R154" s="233"/>
      <c r="S154" s="233"/>
      <c r="T154" s="233"/>
      <c r="U154" s="233"/>
      <c r="V154" s="233"/>
      <c r="W154" s="419"/>
      <c r="X154" s="232" t="s">
        <v>323</v>
      </c>
      <c r="Y154" s="421"/>
      <c r="AA154" s="232"/>
      <c r="AB154" s="232"/>
    </row>
    <row r="155" spans="1:29" x14ac:dyDescent="0.35">
      <c r="B155" s="245"/>
      <c r="C155" s="246"/>
      <c r="D155" s="246"/>
      <c r="E155" s="251"/>
      <c r="F155" s="225" t="s">
        <v>324</v>
      </c>
      <c r="G155" s="226" t="s">
        <v>191</v>
      </c>
      <c r="H155" s="227"/>
      <c r="I155" s="228"/>
      <c r="J155" s="229" t="s">
        <v>325</v>
      </c>
      <c r="K155" s="239">
        <v>1</v>
      </c>
      <c r="L155" s="230"/>
      <c r="M155" s="423">
        <v>0.3</v>
      </c>
      <c r="N155" s="373">
        <v>1</v>
      </c>
      <c r="O155" s="373">
        <f t="shared" si="21"/>
        <v>0</v>
      </c>
      <c r="P155" s="235">
        <v>535500</v>
      </c>
      <c r="Q155" s="372">
        <f t="shared" si="20"/>
        <v>0</v>
      </c>
      <c r="R155" s="233">
        <v>562275</v>
      </c>
      <c r="S155" s="233">
        <f>R155*$O155</f>
        <v>0</v>
      </c>
      <c r="T155" s="233">
        <v>590388.75</v>
      </c>
      <c r="U155" s="233">
        <f>T155*$O155</f>
        <v>0</v>
      </c>
      <c r="V155" s="233" t="e">
        <f>W155/O155</f>
        <v>#DIV/0!</v>
      </c>
      <c r="W155" s="241">
        <f>AVERAGEIF($P$3:$U$3,W$3,$P155:$U155)</f>
        <v>0</v>
      </c>
      <c r="X155" s="232" t="s">
        <v>326</v>
      </c>
      <c r="Z155" s="417">
        <f>W155</f>
        <v>0</v>
      </c>
      <c r="AA155" s="232"/>
      <c r="AB155" s="232"/>
    </row>
    <row r="156" spans="1:29" x14ac:dyDescent="0.35">
      <c r="B156" s="245"/>
      <c r="C156" s="246"/>
      <c r="D156" s="246"/>
      <c r="E156" s="251"/>
      <c r="F156" s="225" t="s">
        <v>327</v>
      </c>
      <c r="G156" s="226" t="s">
        <v>328</v>
      </c>
      <c r="H156" s="227"/>
      <c r="I156" s="228"/>
      <c r="J156" s="229"/>
      <c r="K156" s="239">
        <v>1</v>
      </c>
      <c r="L156" s="372"/>
      <c r="M156" s="423">
        <v>1</v>
      </c>
      <c r="N156" s="373">
        <v>1</v>
      </c>
      <c r="O156" s="372">
        <f t="shared" si="21"/>
        <v>0</v>
      </c>
      <c r="P156" s="235">
        <v>100</v>
      </c>
      <c r="Q156" s="372">
        <f t="shared" si="20"/>
        <v>0</v>
      </c>
      <c r="R156" s="233"/>
      <c r="S156" s="233"/>
      <c r="T156" s="233"/>
      <c r="U156" s="233"/>
      <c r="V156" s="233"/>
      <c r="W156" s="233"/>
      <c r="X156" s="232" t="s">
        <v>329</v>
      </c>
      <c r="AA156" s="232"/>
      <c r="AB156" s="232"/>
    </row>
    <row r="157" spans="1:29" x14ac:dyDescent="0.35">
      <c r="B157" s="245"/>
      <c r="C157" s="246"/>
      <c r="D157" s="246"/>
      <c r="E157" s="251"/>
      <c r="F157" s="225" t="s">
        <v>330</v>
      </c>
      <c r="G157" s="226" t="s">
        <v>331</v>
      </c>
      <c r="H157" s="227"/>
      <c r="I157" s="228"/>
      <c r="J157" s="229"/>
      <c r="K157" s="239">
        <v>1</v>
      </c>
      <c r="L157" s="372"/>
      <c r="M157" s="377">
        <f>1/3000</f>
        <v>3.3333333333333332E-4</v>
      </c>
      <c r="N157" s="373">
        <v>1</v>
      </c>
      <c r="O157" s="372">
        <f t="shared" si="21"/>
        <v>0</v>
      </c>
      <c r="P157" s="235">
        <v>200000</v>
      </c>
      <c r="Q157" s="372">
        <f t="shared" si="20"/>
        <v>0</v>
      </c>
      <c r="R157" s="233"/>
      <c r="S157" s="233"/>
      <c r="T157" s="233"/>
      <c r="U157" s="233"/>
      <c r="V157" s="233"/>
      <c r="W157" s="419"/>
      <c r="X157" s="232" t="s">
        <v>332</v>
      </c>
      <c r="AA157" s="232"/>
      <c r="AB157" s="232"/>
    </row>
    <row r="158" spans="1:29" x14ac:dyDescent="0.35">
      <c r="B158" s="245"/>
      <c r="C158" s="246"/>
      <c r="D158" s="246"/>
      <c r="E158" s="251"/>
      <c r="F158" s="225" t="s">
        <v>333</v>
      </c>
      <c r="G158" s="226" t="s">
        <v>331</v>
      </c>
      <c r="H158" s="227"/>
      <c r="I158" s="228"/>
      <c r="J158" s="229" t="s">
        <v>334</v>
      </c>
      <c r="K158" s="239">
        <v>1</v>
      </c>
      <c r="L158" s="372"/>
      <c r="M158" s="373">
        <f>1/5</f>
        <v>0.2</v>
      </c>
      <c r="N158" s="373">
        <v>1</v>
      </c>
      <c r="O158" s="423">
        <f t="shared" si="21"/>
        <v>0</v>
      </c>
      <c r="P158" s="235">
        <v>200000</v>
      </c>
      <c r="Q158" s="372">
        <f t="shared" si="20"/>
        <v>0</v>
      </c>
      <c r="R158" s="233"/>
      <c r="S158" s="233"/>
      <c r="T158" s="233"/>
      <c r="U158" s="233"/>
      <c r="V158" s="233"/>
      <c r="W158" s="419"/>
      <c r="X158" s="232" t="s">
        <v>335</v>
      </c>
      <c r="AA158" s="232"/>
      <c r="AB158" s="232"/>
    </row>
    <row r="159" spans="1:29" x14ac:dyDescent="0.35">
      <c r="B159" s="245"/>
      <c r="C159" s="246"/>
      <c r="D159" s="246"/>
      <c r="E159" s="251"/>
      <c r="F159" s="225" t="s">
        <v>263</v>
      </c>
      <c r="G159" s="226" t="s">
        <v>205</v>
      </c>
      <c r="H159" s="227"/>
      <c r="I159" s="228"/>
      <c r="J159" s="229"/>
      <c r="K159" s="239">
        <v>1</v>
      </c>
      <c r="L159" s="372"/>
      <c r="M159" s="373">
        <v>1</v>
      </c>
      <c r="N159" s="373">
        <v>1</v>
      </c>
      <c r="O159" s="423">
        <f t="shared" si="21"/>
        <v>0</v>
      </c>
      <c r="P159" s="235">
        <v>538212</v>
      </c>
      <c r="Q159" s="372">
        <f t="shared" si="20"/>
        <v>0</v>
      </c>
      <c r="R159" s="233"/>
      <c r="S159" s="233"/>
      <c r="T159" s="233"/>
      <c r="U159" s="233"/>
      <c r="V159" s="233"/>
      <c r="W159" s="419"/>
      <c r="X159" s="232" t="s">
        <v>336</v>
      </c>
      <c r="AA159" s="232"/>
      <c r="AB159" s="232"/>
    </row>
    <row r="160" spans="1:29" x14ac:dyDescent="0.35">
      <c r="B160" s="425"/>
      <c r="C160" s="426"/>
      <c r="D160" s="426" t="s">
        <v>121</v>
      </c>
      <c r="E160" s="427"/>
      <c r="F160" s="225" t="s">
        <v>470</v>
      </c>
      <c r="G160" s="226" t="s">
        <v>188</v>
      </c>
      <c r="H160" s="227"/>
      <c r="I160" s="228"/>
      <c r="J160" s="229"/>
      <c r="K160" s="239">
        <v>1</v>
      </c>
      <c r="L160" s="418"/>
      <c r="M160" s="377">
        <f>1/4500</f>
        <v>2.2222222222222223E-4</v>
      </c>
      <c r="N160" s="373">
        <v>1</v>
      </c>
      <c r="O160" s="233">
        <f t="shared" si="21"/>
        <v>0</v>
      </c>
      <c r="P160" s="233">
        <v>140008</v>
      </c>
      <c r="Q160" s="372">
        <f t="shared" si="20"/>
        <v>0</v>
      </c>
      <c r="R160" s="233"/>
      <c r="S160" s="233"/>
      <c r="T160" s="233"/>
      <c r="U160" s="233"/>
      <c r="V160" s="233"/>
      <c r="W160" s="241"/>
      <c r="X160" s="374"/>
      <c r="AA160" s="232"/>
      <c r="AB160" s="232"/>
    </row>
    <row r="161" spans="1:29" x14ac:dyDescent="0.35">
      <c r="B161" s="428"/>
      <c r="C161" s="429"/>
      <c r="D161" s="429"/>
      <c r="E161" s="430"/>
      <c r="F161" s="225" t="s">
        <v>338</v>
      </c>
      <c r="G161" s="226" t="s">
        <v>334</v>
      </c>
      <c r="H161" s="227"/>
      <c r="I161" s="228"/>
      <c r="J161" s="229" t="s">
        <v>339</v>
      </c>
      <c r="K161" s="239">
        <v>1</v>
      </c>
      <c r="L161" s="230"/>
      <c r="M161" s="382">
        <f>6/62</f>
        <v>9.6774193548387094E-2</v>
      </c>
      <c r="N161" s="373">
        <v>1</v>
      </c>
      <c r="O161" s="233">
        <f t="shared" si="21"/>
        <v>0</v>
      </c>
      <c r="P161" s="235">
        <v>2500000</v>
      </c>
      <c r="Q161" s="373">
        <f t="shared" si="20"/>
        <v>0</v>
      </c>
      <c r="R161" s="233"/>
      <c r="S161" s="233"/>
      <c r="T161" s="233"/>
      <c r="U161" s="233"/>
      <c r="V161" s="233"/>
      <c r="W161" s="241"/>
      <c r="X161" s="374"/>
      <c r="AA161" s="232"/>
      <c r="AB161" s="232"/>
    </row>
    <row r="162" spans="1:29" x14ac:dyDescent="0.35">
      <c r="B162" s="428" t="s">
        <v>126</v>
      </c>
      <c r="C162" s="429"/>
      <c r="D162" s="429"/>
      <c r="E162" s="429"/>
      <c r="F162" s="225" t="s">
        <v>470</v>
      </c>
      <c r="G162" s="226" t="s">
        <v>188</v>
      </c>
      <c r="H162" s="227"/>
      <c r="I162" s="228"/>
      <c r="J162" s="229"/>
      <c r="K162" s="239">
        <v>1</v>
      </c>
      <c r="L162" s="418"/>
      <c r="M162" s="377">
        <f>1/5000</f>
        <v>2.0000000000000001E-4</v>
      </c>
      <c r="N162" s="373">
        <v>1</v>
      </c>
      <c r="O162" s="233">
        <f t="shared" si="21"/>
        <v>0</v>
      </c>
      <c r="P162" s="233">
        <v>140008</v>
      </c>
      <c r="Q162" s="373">
        <f t="shared" si="20"/>
        <v>0</v>
      </c>
      <c r="R162" s="233"/>
      <c r="S162" s="233"/>
      <c r="T162" s="233"/>
      <c r="U162" s="233"/>
      <c r="V162" s="233"/>
      <c r="W162" s="241"/>
      <c r="X162" s="374"/>
      <c r="AA162" s="232"/>
      <c r="AB162" s="232"/>
    </row>
    <row r="163" spans="1:29" x14ac:dyDescent="0.35">
      <c r="B163" s="550" t="s">
        <v>340</v>
      </c>
      <c r="C163" s="551"/>
      <c r="D163" s="551"/>
      <c r="E163" s="552"/>
      <c r="F163" s="225" t="s">
        <v>470</v>
      </c>
      <c r="G163" s="226" t="s">
        <v>188</v>
      </c>
      <c r="H163" s="227"/>
      <c r="I163" s="228"/>
      <c r="J163" s="229"/>
      <c r="K163" s="239">
        <v>1</v>
      </c>
      <c r="L163" s="418"/>
      <c r="M163" s="377">
        <v>1E-4</v>
      </c>
      <c r="N163" s="373">
        <v>2</v>
      </c>
      <c r="O163" s="233">
        <f t="shared" si="21"/>
        <v>0</v>
      </c>
      <c r="P163" s="233">
        <v>140008</v>
      </c>
      <c r="Q163" s="373">
        <f t="shared" si="20"/>
        <v>0</v>
      </c>
      <c r="R163" s="233"/>
      <c r="S163" s="233"/>
      <c r="T163" s="233"/>
      <c r="U163" s="233"/>
      <c r="V163" s="233"/>
      <c r="W163" s="241"/>
      <c r="X163" s="374"/>
      <c r="AA163" s="232"/>
      <c r="AB163" s="232"/>
    </row>
    <row r="164" spans="1:29" x14ac:dyDescent="0.35">
      <c r="B164" s="553"/>
      <c r="C164" s="554"/>
      <c r="D164" s="554"/>
      <c r="E164" s="555"/>
      <c r="F164" s="225" t="s">
        <v>471</v>
      </c>
      <c r="G164" s="226" t="s">
        <v>232</v>
      </c>
      <c r="H164" s="227"/>
      <c r="I164" s="228"/>
      <c r="J164" s="229"/>
      <c r="K164" s="239">
        <v>1</v>
      </c>
      <c r="L164" s="418"/>
      <c r="M164" s="556">
        <f>0.01/1000</f>
        <v>1.0000000000000001E-5</v>
      </c>
      <c r="N164" s="373">
        <v>2</v>
      </c>
      <c r="O164" s="233">
        <f t="shared" si="21"/>
        <v>0</v>
      </c>
      <c r="P164" s="233">
        <v>55024</v>
      </c>
      <c r="Q164" s="373">
        <f t="shared" si="20"/>
        <v>0</v>
      </c>
      <c r="R164" s="233"/>
      <c r="S164" s="233"/>
      <c r="T164" s="233"/>
      <c r="U164" s="233"/>
      <c r="V164" s="233"/>
      <c r="W164" s="241"/>
      <c r="X164" s="374" t="s">
        <v>342</v>
      </c>
      <c r="AA164" s="232"/>
      <c r="AB164" s="232"/>
    </row>
    <row r="165" spans="1:29" x14ac:dyDescent="0.35">
      <c r="B165" s="553"/>
      <c r="C165" s="554"/>
      <c r="D165" s="554"/>
      <c r="E165" s="555"/>
      <c r="F165" s="225" t="s">
        <v>235</v>
      </c>
      <c r="G165" s="226" t="s">
        <v>232</v>
      </c>
      <c r="H165" s="227"/>
      <c r="I165" s="228"/>
      <c r="J165" s="229"/>
      <c r="K165" s="239">
        <v>1</v>
      </c>
      <c r="L165" s="418"/>
      <c r="M165" s="556">
        <f>0.002/1000</f>
        <v>1.9999999999999999E-6</v>
      </c>
      <c r="N165" s="373">
        <v>2</v>
      </c>
      <c r="O165" s="233">
        <f t="shared" si="21"/>
        <v>0</v>
      </c>
      <c r="P165" s="233">
        <v>46267</v>
      </c>
      <c r="Q165" s="373">
        <f t="shared" si="20"/>
        <v>0</v>
      </c>
      <c r="R165" s="233"/>
      <c r="S165" s="233"/>
      <c r="T165" s="233"/>
      <c r="U165" s="233"/>
      <c r="V165" s="233"/>
      <c r="W165" s="241"/>
      <c r="X165" s="374" t="s">
        <v>343</v>
      </c>
      <c r="AA165" s="232"/>
      <c r="AB165" s="232"/>
    </row>
    <row r="166" spans="1:29" x14ac:dyDescent="0.35">
      <c r="B166" s="557"/>
      <c r="C166" s="558"/>
      <c r="D166" s="558"/>
      <c r="E166" s="559"/>
      <c r="F166" s="225" t="s">
        <v>236</v>
      </c>
      <c r="G166" s="226" t="s">
        <v>188</v>
      </c>
      <c r="H166" s="227"/>
      <c r="I166" s="228"/>
      <c r="J166" s="229" t="s">
        <v>344</v>
      </c>
      <c r="K166" s="239">
        <v>1</v>
      </c>
      <c r="L166" s="418"/>
      <c r="M166" s="377">
        <v>1E-4</v>
      </c>
      <c r="N166" s="233">
        <v>2</v>
      </c>
      <c r="O166" s="233">
        <f t="shared" si="21"/>
        <v>0</v>
      </c>
      <c r="P166" s="233">
        <v>3700</v>
      </c>
      <c r="Q166" s="373">
        <f t="shared" si="20"/>
        <v>0</v>
      </c>
      <c r="R166" s="233"/>
      <c r="S166" s="233"/>
      <c r="T166" s="233"/>
      <c r="U166" s="233"/>
      <c r="V166" s="233"/>
      <c r="W166" s="241"/>
      <c r="X166" s="374"/>
      <c r="AA166" s="232"/>
      <c r="AB166" s="232"/>
    </row>
    <row r="167" spans="1:29" x14ac:dyDescent="0.35">
      <c r="B167" s="550" t="s">
        <v>345</v>
      </c>
      <c r="C167" s="551"/>
      <c r="D167" s="551"/>
      <c r="E167" s="552"/>
      <c r="F167" s="225" t="s">
        <v>470</v>
      </c>
      <c r="G167" s="226" t="s">
        <v>188</v>
      </c>
      <c r="H167" s="227"/>
      <c r="I167" s="228"/>
      <c r="J167" s="229"/>
      <c r="K167" s="239">
        <v>1</v>
      </c>
      <c r="L167" s="418"/>
      <c r="M167" s="377">
        <v>1E-4</v>
      </c>
      <c r="N167" s="373">
        <v>2</v>
      </c>
      <c r="O167" s="233">
        <f t="shared" si="21"/>
        <v>0</v>
      </c>
      <c r="P167" s="233">
        <v>140008</v>
      </c>
      <c r="Q167" s="373">
        <f t="shared" si="20"/>
        <v>0</v>
      </c>
      <c r="R167" s="233"/>
      <c r="S167" s="233"/>
      <c r="T167" s="233"/>
      <c r="U167" s="233"/>
      <c r="V167" s="233"/>
      <c r="W167" s="241"/>
      <c r="X167" s="374"/>
      <c r="AA167" s="232"/>
      <c r="AB167" s="232"/>
    </row>
    <row r="168" spans="1:29" x14ac:dyDescent="0.35">
      <c r="B168" s="553"/>
      <c r="C168" s="554"/>
      <c r="D168" s="554"/>
      <c r="E168" s="555"/>
      <c r="F168" s="225" t="s">
        <v>346</v>
      </c>
      <c r="G168" s="226" t="s">
        <v>191</v>
      </c>
      <c r="H168" s="227"/>
      <c r="I168" s="228"/>
      <c r="J168" s="229"/>
      <c r="K168" s="239">
        <v>1</v>
      </c>
      <c r="L168" s="418"/>
      <c r="M168" s="556">
        <f>0.02/1000</f>
        <v>2.0000000000000002E-5</v>
      </c>
      <c r="N168" s="233">
        <v>2</v>
      </c>
      <c r="O168" s="233">
        <f t="shared" si="21"/>
        <v>0</v>
      </c>
      <c r="P168" s="233">
        <v>134807</v>
      </c>
      <c r="Q168" s="373">
        <f t="shared" si="20"/>
        <v>0</v>
      </c>
      <c r="R168" s="233"/>
      <c r="S168" s="233"/>
      <c r="T168" s="233"/>
      <c r="U168" s="233"/>
      <c r="V168" s="233"/>
      <c r="W168" s="241"/>
      <c r="X168" s="374" t="s">
        <v>347</v>
      </c>
      <c r="AA168" s="232"/>
      <c r="AB168" s="232"/>
    </row>
    <row r="169" spans="1:29" x14ac:dyDescent="0.35">
      <c r="B169" s="557"/>
      <c r="C169" s="558"/>
      <c r="D169" s="558"/>
      <c r="E169" s="559"/>
      <c r="F169" s="225" t="s">
        <v>236</v>
      </c>
      <c r="G169" s="226" t="s">
        <v>188</v>
      </c>
      <c r="H169" s="227"/>
      <c r="I169" s="228"/>
      <c r="J169" s="229" t="s">
        <v>344</v>
      </c>
      <c r="K169" s="239">
        <v>1</v>
      </c>
      <c r="L169" s="418"/>
      <c r="M169" s="377">
        <v>1E-4</v>
      </c>
      <c r="N169" s="233">
        <v>2</v>
      </c>
      <c r="O169" s="233">
        <f t="shared" si="21"/>
        <v>0</v>
      </c>
      <c r="P169" s="233">
        <v>3700</v>
      </c>
      <c r="Q169" s="373">
        <f t="shared" si="20"/>
        <v>0</v>
      </c>
      <c r="R169" s="233"/>
      <c r="S169" s="233"/>
      <c r="T169" s="233"/>
      <c r="U169" s="233"/>
      <c r="V169" s="233"/>
      <c r="W169" s="241"/>
      <c r="X169" s="374"/>
      <c r="AA169" s="232"/>
      <c r="AB169" s="232"/>
    </row>
    <row r="170" spans="1:29" x14ac:dyDescent="0.35">
      <c r="B170" s="428" t="s">
        <v>133</v>
      </c>
      <c r="C170" s="429"/>
      <c r="D170" s="429"/>
      <c r="E170" s="429"/>
      <c r="F170" s="225" t="s">
        <v>470</v>
      </c>
      <c r="G170" s="226" t="s">
        <v>188</v>
      </c>
      <c r="H170" s="227"/>
      <c r="I170" s="228"/>
      <c r="J170" s="229"/>
      <c r="K170" s="239">
        <v>1</v>
      </c>
      <c r="L170" s="418"/>
      <c r="M170" s="377">
        <f>1/5000</f>
        <v>2.0000000000000001E-4</v>
      </c>
      <c r="N170" s="373">
        <v>1</v>
      </c>
      <c r="O170" s="233">
        <f t="shared" si="21"/>
        <v>0</v>
      </c>
      <c r="P170" s="233">
        <v>140008</v>
      </c>
      <c r="Q170" s="373">
        <f t="shared" si="20"/>
        <v>0</v>
      </c>
      <c r="R170" s="233"/>
      <c r="S170" s="233"/>
      <c r="T170" s="233"/>
      <c r="U170" s="233"/>
      <c r="V170" s="233"/>
      <c r="W170" s="241"/>
      <c r="X170" s="374" t="s">
        <v>348</v>
      </c>
      <c r="AA170" s="232"/>
      <c r="AB170" s="232"/>
    </row>
    <row r="171" spans="1:29" x14ac:dyDescent="0.35">
      <c r="B171" s="560" t="s">
        <v>349</v>
      </c>
      <c r="C171" s="561"/>
      <c r="D171" s="561"/>
      <c r="E171" s="561"/>
      <c r="F171" s="225" t="s">
        <v>470</v>
      </c>
      <c r="G171" s="226" t="s">
        <v>188</v>
      </c>
      <c r="H171" s="227"/>
      <c r="I171" s="228"/>
      <c r="J171" s="229"/>
      <c r="K171" s="239">
        <v>1</v>
      </c>
      <c r="L171" s="418"/>
      <c r="M171" s="556">
        <f>1/50000</f>
        <v>2.0000000000000002E-5</v>
      </c>
      <c r="N171" s="373">
        <v>1</v>
      </c>
      <c r="O171" s="233">
        <f t="shared" si="21"/>
        <v>0</v>
      </c>
      <c r="P171" s="233">
        <v>140008</v>
      </c>
      <c r="Q171" s="373">
        <f t="shared" si="20"/>
        <v>0</v>
      </c>
      <c r="R171" s="233"/>
      <c r="S171" s="233"/>
      <c r="T171" s="233"/>
      <c r="U171" s="233"/>
      <c r="V171" s="233"/>
      <c r="W171" s="241"/>
      <c r="X171" s="374"/>
      <c r="AA171" s="232"/>
      <c r="AB171" s="232"/>
    </row>
    <row r="172" spans="1:29" s="270" customFormat="1" ht="18.649999999999999" customHeight="1" x14ac:dyDescent="0.35">
      <c r="A172" s="267"/>
      <c r="B172" s="455"/>
      <c r="C172" s="456"/>
      <c r="D172" s="456"/>
      <c r="E172" s="459"/>
      <c r="F172" s="434" t="s">
        <v>350</v>
      </c>
      <c r="G172" s="435" t="s">
        <v>351</v>
      </c>
      <c r="H172" s="436"/>
      <c r="I172" s="437"/>
      <c r="J172" s="438"/>
      <c r="K172" s="439">
        <v>1</v>
      </c>
      <c r="L172" s="440"/>
      <c r="M172" s="442">
        <v>1</v>
      </c>
      <c r="N172" s="453">
        <v>1</v>
      </c>
      <c r="O172" s="262">
        <f t="shared" si="21"/>
        <v>0</v>
      </c>
      <c r="P172" s="262">
        <v>5592015</v>
      </c>
      <c r="Q172" s="453">
        <f t="shared" si="20"/>
        <v>0</v>
      </c>
      <c r="R172" s="262"/>
      <c r="S172" s="262"/>
      <c r="T172" s="262"/>
      <c r="U172" s="262"/>
      <c r="V172" s="262"/>
      <c r="W172" s="264"/>
      <c r="X172" s="460" t="s">
        <v>352</v>
      </c>
      <c r="Y172" s="267"/>
      <c r="Z172" s="267"/>
      <c r="AA172" s="444"/>
      <c r="AB172" s="444"/>
      <c r="AC172" s="267"/>
    </row>
    <row r="173" spans="1:29" x14ac:dyDescent="0.35">
      <c r="B173" s="227"/>
      <c r="C173" s="228"/>
      <c r="D173" s="228" t="s">
        <v>136</v>
      </c>
      <c r="E173" s="247"/>
      <c r="F173" s="225" t="s">
        <v>187</v>
      </c>
      <c r="G173" s="226" t="s">
        <v>188</v>
      </c>
      <c r="H173" s="227"/>
      <c r="I173" s="228"/>
      <c r="J173" s="229" t="s">
        <v>189</v>
      </c>
      <c r="K173" s="239">
        <v>1</v>
      </c>
      <c r="L173" s="230"/>
      <c r="M173" s="423">
        <v>5</v>
      </c>
      <c r="N173" s="373">
        <v>6</v>
      </c>
      <c r="O173" s="373">
        <f t="shared" si="21"/>
        <v>0</v>
      </c>
      <c r="P173" s="235">
        <v>140008</v>
      </c>
      <c r="Q173" s="235">
        <f t="shared" si="20"/>
        <v>0</v>
      </c>
      <c r="R173" s="233">
        <v>149108.51999999999</v>
      </c>
      <c r="S173" s="233">
        <f>R173*$O173</f>
        <v>0</v>
      </c>
      <c r="T173" s="233">
        <v>158800.57379999998</v>
      </c>
      <c r="U173" s="233">
        <f>T173*$O173</f>
        <v>0</v>
      </c>
      <c r="V173" s="233" t="e">
        <f>W173/O173</f>
        <v>#DIV/0!</v>
      </c>
      <c r="W173" s="241">
        <f>AVERAGEIF($P$3:$U$3,W$3,$P173:$U173)</f>
        <v>0</v>
      </c>
      <c r="X173" s="232" t="s">
        <v>353</v>
      </c>
      <c r="AA173" s="232"/>
      <c r="AB173" s="232"/>
    </row>
    <row r="174" spans="1:29" x14ac:dyDescent="0.35">
      <c r="B174" s="236"/>
      <c r="C174" s="237"/>
      <c r="D174" s="237" t="s">
        <v>354</v>
      </c>
      <c r="E174" s="238"/>
      <c r="F174" s="225" t="s">
        <v>187</v>
      </c>
      <c r="G174" s="226" t="s">
        <v>188</v>
      </c>
      <c r="H174" s="227"/>
      <c r="I174" s="228"/>
      <c r="J174" s="229"/>
      <c r="K174" s="230"/>
      <c r="L174" s="230"/>
      <c r="M174" s="231">
        <v>1</v>
      </c>
      <c r="N174" s="233">
        <v>1</v>
      </c>
      <c r="O174" s="233"/>
      <c r="P174" s="233"/>
      <c r="Q174" s="233"/>
      <c r="R174" s="233"/>
      <c r="S174" s="233"/>
      <c r="T174" s="233"/>
      <c r="U174" s="233"/>
      <c r="V174" s="233"/>
      <c r="W174" s="233"/>
      <c r="X174" s="232"/>
      <c r="AA174" s="232"/>
      <c r="AB174" s="232"/>
    </row>
    <row r="175" spans="1:29" x14ac:dyDescent="0.35">
      <c r="B175" s="245"/>
      <c r="C175" s="246"/>
      <c r="D175" s="246"/>
      <c r="E175" s="251"/>
      <c r="F175" s="225" t="s">
        <v>231</v>
      </c>
      <c r="G175" s="226" t="s">
        <v>232</v>
      </c>
      <c r="H175" s="227"/>
      <c r="I175" s="228"/>
      <c r="J175" s="229"/>
      <c r="K175" s="230"/>
      <c r="L175" s="230"/>
      <c r="M175" s="231">
        <v>0.6</v>
      </c>
      <c r="N175" s="233">
        <v>1</v>
      </c>
      <c r="O175" s="233"/>
      <c r="P175" s="233"/>
      <c r="Q175" s="233"/>
      <c r="R175" s="233"/>
      <c r="S175" s="233"/>
      <c r="T175" s="233"/>
      <c r="U175" s="233"/>
      <c r="V175" s="233"/>
      <c r="W175" s="233"/>
      <c r="X175" s="232"/>
      <c r="AA175" s="232"/>
      <c r="AB175" s="232"/>
    </row>
    <row r="176" spans="1:29" x14ac:dyDescent="0.35">
      <c r="B176" s="245"/>
      <c r="C176" s="246"/>
      <c r="D176" s="246"/>
      <c r="E176" s="251"/>
      <c r="F176" s="225" t="s">
        <v>233</v>
      </c>
      <c r="G176" s="226" t="s">
        <v>191</v>
      </c>
      <c r="H176" s="227"/>
      <c r="I176" s="228"/>
      <c r="J176" s="229"/>
      <c r="K176" s="230"/>
      <c r="L176" s="230"/>
      <c r="M176" s="231">
        <f>24/1000</f>
        <v>2.4E-2</v>
      </c>
      <c r="N176" s="233">
        <v>1</v>
      </c>
      <c r="O176" s="233"/>
      <c r="P176" s="233"/>
      <c r="Q176" s="233"/>
      <c r="R176" s="233"/>
      <c r="S176" s="233"/>
      <c r="T176" s="233"/>
      <c r="U176" s="233"/>
      <c r="V176" s="233"/>
      <c r="W176" s="233"/>
      <c r="X176" s="232"/>
      <c r="AA176" s="232"/>
      <c r="AB176" s="232"/>
    </row>
    <row r="177" spans="2:28" x14ac:dyDescent="0.35">
      <c r="B177" s="245"/>
      <c r="C177" s="246"/>
      <c r="D177" s="246"/>
      <c r="E177" s="251"/>
      <c r="F177" s="225" t="s">
        <v>235</v>
      </c>
      <c r="G177" s="226" t="s">
        <v>232</v>
      </c>
      <c r="H177" s="227"/>
      <c r="I177" s="228"/>
      <c r="J177" s="229"/>
      <c r="K177" s="230"/>
      <c r="L177" s="230"/>
      <c r="M177" s="231">
        <v>0.18</v>
      </c>
      <c r="N177" s="233">
        <v>1</v>
      </c>
      <c r="O177" s="233"/>
      <c r="P177" s="233"/>
      <c r="Q177" s="233"/>
      <c r="R177" s="233"/>
      <c r="S177" s="233"/>
      <c r="T177" s="233"/>
      <c r="U177" s="233"/>
      <c r="V177" s="233"/>
      <c r="W177" s="233"/>
      <c r="X177" s="232"/>
      <c r="AA177" s="232"/>
      <c r="AB177" s="232"/>
    </row>
    <row r="178" spans="2:28" x14ac:dyDescent="0.35">
      <c r="B178" s="245"/>
      <c r="C178" s="246"/>
      <c r="D178" s="246"/>
      <c r="E178" s="251"/>
      <c r="F178" s="225" t="s">
        <v>230</v>
      </c>
      <c r="G178" s="226" t="s">
        <v>193</v>
      </c>
      <c r="H178" s="227"/>
      <c r="I178" s="228"/>
      <c r="J178" s="229"/>
      <c r="K178" s="230"/>
      <c r="L178" s="230"/>
      <c r="M178" s="231">
        <v>0.01</v>
      </c>
      <c r="N178" s="233">
        <v>1</v>
      </c>
      <c r="O178" s="233"/>
      <c r="P178" s="233"/>
      <c r="Q178" s="233"/>
      <c r="R178" s="233"/>
      <c r="S178" s="233"/>
      <c r="T178" s="233"/>
      <c r="U178" s="233"/>
      <c r="V178" s="233"/>
      <c r="W178" s="233"/>
      <c r="X178" s="232"/>
      <c r="AA178" s="232"/>
      <c r="AB178" s="232"/>
    </row>
    <row r="179" spans="2:28" x14ac:dyDescent="0.35">
      <c r="B179" s="245"/>
      <c r="C179" s="246"/>
      <c r="D179" s="246"/>
      <c r="E179" s="251"/>
      <c r="F179" s="225" t="s">
        <v>236</v>
      </c>
      <c r="G179" s="226" t="s">
        <v>188</v>
      </c>
      <c r="H179" s="227"/>
      <c r="I179" s="228"/>
      <c r="J179" s="229"/>
      <c r="K179" s="230"/>
      <c r="L179" s="230"/>
      <c r="M179" s="231">
        <v>1</v>
      </c>
      <c r="N179" s="233">
        <v>1</v>
      </c>
      <c r="O179" s="233"/>
      <c r="P179" s="233"/>
      <c r="Q179" s="233"/>
      <c r="R179" s="233"/>
      <c r="S179" s="233"/>
      <c r="T179" s="233"/>
      <c r="U179" s="233"/>
      <c r="V179" s="233"/>
      <c r="W179" s="233"/>
      <c r="X179" s="232"/>
      <c r="AA179" s="232"/>
      <c r="AB179" s="232"/>
    </row>
    <row r="180" spans="2:28" x14ac:dyDescent="0.35">
      <c r="B180" s="245"/>
      <c r="C180" s="246"/>
      <c r="D180" s="246"/>
      <c r="E180" s="251"/>
      <c r="F180" s="232" t="s">
        <v>237</v>
      </c>
      <c r="G180" s="318" t="s">
        <v>193</v>
      </c>
      <c r="H180" s="319">
        <v>4</v>
      </c>
      <c r="I180" s="320" t="s">
        <v>238</v>
      </c>
      <c r="J180" s="232"/>
      <c r="K180" s="461"/>
      <c r="L180" s="461"/>
      <c r="M180" s="341">
        <f>((M$174*N$174)/240*($H180/N180))</f>
        <v>1.6666666666666666E-2</v>
      </c>
      <c r="N180" s="233">
        <v>1</v>
      </c>
      <c r="O180" s="233"/>
      <c r="P180" s="233"/>
      <c r="Q180" s="233"/>
      <c r="R180" s="233"/>
      <c r="S180" s="233"/>
      <c r="T180" s="233"/>
      <c r="U180" s="233"/>
      <c r="V180" s="233"/>
      <c r="W180" s="233"/>
      <c r="X180" s="232"/>
      <c r="AA180" s="232"/>
      <c r="AB180" s="232"/>
    </row>
    <row r="181" spans="2:28" x14ac:dyDescent="0.35">
      <c r="B181" s="245"/>
      <c r="C181" s="246"/>
      <c r="D181" s="246"/>
      <c r="E181" s="251"/>
      <c r="F181" s="232" t="s">
        <v>239</v>
      </c>
      <c r="G181" s="318" t="s">
        <v>193</v>
      </c>
      <c r="H181" s="319">
        <v>12</v>
      </c>
      <c r="I181" s="320" t="s">
        <v>238</v>
      </c>
      <c r="J181" s="232"/>
      <c r="K181" s="461"/>
      <c r="L181" s="461"/>
      <c r="M181" s="341">
        <f>((M$174*N$174)/240*($H181/N181))</f>
        <v>0.05</v>
      </c>
      <c r="N181" s="233">
        <v>1</v>
      </c>
      <c r="O181" s="233"/>
      <c r="P181" s="233"/>
      <c r="Q181" s="233"/>
      <c r="R181" s="233"/>
      <c r="S181" s="233"/>
      <c r="T181" s="233"/>
      <c r="U181" s="233"/>
      <c r="V181" s="233"/>
      <c r="W181" s="233"/>
      <c r="X181" s="232"/>
      <c r="AA181" s="232"/>
      <c r="AB181" s="232"/>
    </row>
    <row r="182" spans="2:28" x14ac:dyDescent="0.35">
      <c r="B182" s="245"/>
      <c r="C182" s="246"/>
      <c r="D182" s="246"/>
      <c r="E182" s="251"/>
      <c r="F182" s="232" t="s">
        <v>240</v>
      </c>
      <c r="G182" s="318" t="s">
        <v>193</v>
      </c>
      <c r="H182" s="319">
        <v>1</v>
      </c>
      <c r="I182" s="320" t="s">
        <v>238</v>
      </c>
      <c r="J182" s="232"/>
      <c r="K182" s="461"/>
      <c r="L182" s="461"/>
      <c r="M182" s="341">
        <f>((M$174*N$174)/240*($H182/N182))</f>
        <v>4.1666666666666666E-3</v>
      </c>
      <c r="N182" s="233">
        <v>1</v>
      </c>
      <c r="O182" s="233"/>
      <c r="P182" s="233"/>
      <c r="Q182" s="233"/>
      <c r="R182" s="233"/>
      <c r="S182" s="233"/>
      <c r="T182" s="233"/>
      <c r="U182" s="233"/>
      <c r="V182" s="233"/>
      <c r="W182" s="233"/>
      <c r="X182" s="232"/>
      <c r="AA182" s="232"/>
      <c r="AB182" s="232"/>
    </row>
    <row r="183" spans="2:28" x14ac:dyDescent="0.35">
      <c r="B183" s="245"/>
      <c r="C183" s="246"/>
      <c r="D183" s="246"/>
      <c r="E183" s="251"/>
      <c r="F183" s="232" t="s">
        <v>241</v>
      </c>
      <c r="G183" s="318" t="s">
        <v>193</v>
      </c>
      <c r="H183" s="319">
        <v>2</v>
      </c>
      <c r="I183" s="320" t="s">
        <v>238</v>
      </c>
      <c r="J183" s="232"/>
      <c r="K183" s="461"/>
      <c r="L183" s="461"/>
      <c r="M183" s="341">
        <f>((M$174*N$174)/240*($H183/N183))</f>
        <v>8.3333333333333332E-3</v>
      </c>
      <c r="N183" s="233">
        <v>1</v>
      </c>
      <c r="O183" s="233"/>
      <c r="P183" s="233"/>
      <c r="Q183" s="233"/>
      <c r="R183" s="233"/>
      <c r="S183" s="233"/>
      <c r="T183" s="233"/>
      <c r="U183" s="233"/>
      <c r="V183" s="233"/>
      <c r="W183" s="233"/>
      <c r="X183" s="232"/>
      <c r="AA183" s="232"/>
      <c r="AB183" s="232"/>
    </row>
    <row r="184" spans="2:28" x14ac:dyDescent="0.35">
      <c r="B184" s="248"/>
      <c r="C184" s="249"/>
      <c r="D184" s="249"/>
      <c r="E184" s="250"/>
      <c r="F184" s="232" t="s">
        <v>242</v>
      </c>
      <c r="G184" s="318" t="s">
        <v>193</v>
      </c>
      <c r="H184" s="319">
        <v>1</v>
      </c>
      <c r="I184" s="320" t="s">
        <v>238</v>
      </c>
      <c r="J184" s="232"/>
      <c r="K184" s="461"/>
      <c r="L184" s="461"/>
      <c r="M184" s="341">
        <f>((M$174*N$174)/240*($H184/N184))</f>
        <v>4.1666666666666666E-3</v>
      </c>
      <c r="N184" s="233">
        <v>1</v>
      </c>
      <c r="O184" s="233"/>
      <c r="P184" s="233"/>
      <c r="Q184" s="233"/>
      <c r="R184" s="233"/>
      <c r="S184" s="233"/>
      <c r="T184" s="233"/>
      <c r="U184" s="233"/>
      <c r="V184" s="233"/>
      <c r="W184" s="233"/>
      <c r="X184" s="232"/>
      <c r="AA184" s="232"/>
      <c r="AB184" s="232"/>
    </row>
    <row r="185" spans="2:28" x14ac:dyDescent="0.35">
      <c r="B185" s="236"/>
      <c r="C185" s="237"/>
      <c r="D185" s="237" t="s">
        <v>88</v>
      </c>
      <c r="E185" s="238"/>
      <c r="F185" s="225" t="s">
        <v>187</v>
      </c>
      <c r="G185" s="226" t="s">
        <v>188</v>
      </c>
      <c r="H185" s="227"/>
      <c r="I185" s="228"/>
      <c r="J185" s="229"/>
      <c r="K185" s="239"/>
      <c r="L185" s="230">
        <v>1</v>
      </c>
      <c r="M185" s="231">
        <v>1.5</v>
      </c>
      <c r="N185" s="233">
        <v>1</v>
      </c>
      <c r="O185" s="233">
        <f>K185*L185*M185*N185</f>
        <v>0</v>
      </c>
      <c r="P185" s="233">
        <v>140008</v>
      </c>
      <c r="Q185" s="233">
        <f>P185*$O185</f>
        <v>0</v>
      </c>
      <c r="R185" s="233">
        <v>149108.51999999999</v>
      </c>
      <c r="S185" s="233">
        <f>R185*$O185</f>
        <v>0</v>
      </c>
      <c r="T185" s="233">
        <v>158800.57379999998</v>
      </c>
      <c r="U185" s="233">
        <f>T185*$O185</f>
        <v>0</v>
      </c>
      <c r="V185" s="233" t="e">
        <f>W185/O185</f>
        <v>#DIV/0!</v>
      </c>
      <c r="W185" s="241">
        <f>AVERAGEIF($P$3:$U$3,W$3,$P185:$U185)</f>
        <v>0</v>
      </c>
      <c r="X185" s="232"/>
      <c r="AA185" s="232"/>
      <c r="AB185" s="232"/>
    </row>
    <row r="186" spans="2:28" x14ac:dyDescent="0.35">
      <c r="B186" s="245"/>
      <c r="C186" s="246"/>
      <c r="D186" s="246"/>
      <c r="E186" s="251"/>
      <c r="F186" s="225" t="s">
        <v>231</v>
      </c>
      <c r="G186" s="226" t="s">
        <v>232</v>
      </c>
      <c r="H186" s="227"/>
      <c r="I186" s="228"/>
      <c r="J186" s="229"/>
      <c r="K186" s="239"/>
      <c r="L186" s="230">
        <v>1</v>
      </c>
      <c r="M186" s="231">
        <v>1.5</v>
      </c>
      <c r="N186" s="233">
        <v>2</v>
      </c>
      <c r="O186" s="233">
        <f t="shared" ref="O186:O194" si="22">K186*L186*M186*N186</f>
        <v>0</v>
      </c>
      <c r="P186" s="233">
        <v>36352.800000000003</v>
      </c>
      <c r="Q186" s="233">
        <f t="shared" ref="Q186:Q194" si="23">P186*$O186</f>
        <v>0</v>
      </c>
      <c r="R186" s="233">
        <v>35343</v>
      </c>
      <c r="S186" s="233">
        <f t="shared" ref="S186:S194" si="24">R186*$O186</f>
        <v>0</v>
      </c>
      <c r="T186" s="233">
        <v>37110.15</v>
      </c>
      <c r="U186" s="233">
        <f t="shared" ref="U186:U194" si="25">T186*$O186</f>
        <v>0</v>
      </c>
      <c r="V186" s="233" t="e">
        <f t="shared" ref="V186:V194" si="26">W186/O186</f>
        <v>#DIV/0!</v>
      </c>
      <c r="W186" s="241">
        <f t="shared" ref="W186:W194" si="27">AVERAGEIF($P$3:$U$3,W$3,$P186:$U186)</f>
        <v>0</v>
      </c>
      <c r="X186" s="232"/>
      <c r="AA186" s="232"/>
      <c r="AB186" s="232"/>
    </row>
    <row r="187" spans="2:28" x14ac:dyDescent="0.35">
      <c r="B187" s="245"/>
      <c r="C187" s="246"/>
      <c r="D187" s="246"/>
      <c r="E187" s="251"/>
      <c r="F187" s="225" t="s">
        <v>235</v>
      </c>
      <c r="G187" s="226" t="s">
        <v>232</v>
      </c>
      <c r="H187" s="227"/>
      <c r="I187" s="228"/>
      <c r="J187" s="229"/>
      <c r="K187" s="239"/>
      <c r="L187" s="230">
        <v>1</v>
      </c>
      <c r="M187" s="231">
        <v>2.7E-2</v>
      </c>
      <c r="N187" s="233">
        <v>2</v>
      </c>
      <c r="O187" s="233">
        <f t="shared" si="22"/>
        <v>0</v>
      </c>
      <c r="P187" s="233">
        <v>46267.199999999997</v>
      </c>
      <c r="Q187" s="233">
        <f t="shared" si="23"/>
        <v>0</v>
      </c>
      <c r="R187" s="233">
        <v>44982</v>
      </c>
      <c r="S187" s="233">
        <f t="shared" si="24"/>
        <v>0</v>
      </c>
      <c r="T187" s="233">
        <v>47231.1</v>
      </c>
      <c r="U187" s="233">
        <f t="shared" si="25"/>
        <v>0</v>
      </c>
      <c r="V187" s="233" t="e">
        <f t="shared" si="26"/>
        <v>#DIV/0!</v>
      </c>
      <c r="W187" s="241">
        <f t="shared" si="27"/>
        <v>0</v>
      </c>
      <c r="X187" s="232"/>
      <c r="AA187" s="232"/>
      <c r="AB187" s="232"/>
    </row>
    <row r="188" spans="2:28" x14ac:dyDescent="0.35">
      <c r="B188" s="245"/>
      <c r="C188" s="246"/>
      <c r="D188" s="246"/>
      <c r="E188" s="251"/>
      <c r="F188" s="225" t="s">
        <v>230</v>
      </c>
      <c r="G188" s="226" t="s">
        <v>193</v>
      </c>
      <c r="H188" s="227"/>
      <c r="I188" s="228"/>
      <c r="J188" s="229"/>
      <c r="K188" s="239"/>
      <c r="L188" s="230">
        <v>1</v>
      </c>
      <c r="M188" s="231">
        <v>0.01</v>
      </c>
      <c r="N188" s="233">
        <v>1</v>
      </c>
      <c r="O188" s="233">
        <f t="shared" si="22"/>
        <v>0</v>
      </c>
      <c r="P188" s="233">
        <v>1366468.5</v>
      </c>
      <c r="Q188" s="233">
        <f t="shared" si="23"/>
        <v>0</v>
      </c>
      <c r="R188" s="233">
        <v>1434791.925</v>
      </c>
      <c r="S188" s="233">
        <f t="shared" si="24"/>
        <v>0</v>
      </c>
      <c r="T188" s="233">
        <v>1506531.5212500002</v>
      </c>
      <c r="U188" s="233">
        <f t="shared" si="25"/>
        <v>0</v>
      </c>
      <c r="V188" s="233" t="e">
        <f t="shared" si="26"/>
        <v>#DIV/0!</v>
      </c>
      <c r="W188" s="241">
        <f t="shared" si="27"/>
        <v>0</v>
      </c>
      <c r="X188" s="232"/>
      <c r="AA188" s="232"/>
      <c r="AB188" s="232"/>
    </row>
    <row r="189" spans="2:28" x14ac:dyDescent="0.35">
      <c r="B189" s="245"/>
      <c r="C189" s="246"/>
      <c r="D189" s="246"/>
      <c r="E189" s="251"/>
      <c r="F189" s="225" t="s">
        <v>236</v>
      </c>
      <c r="G189" s="226" t="s">
        <v>188</v>
      </c>
      <c r="H189" s="227"/>
      <c r="I189" s="228"/>
      <c r="J189" s="229"/>
      <c r="K189" s="239"/>
      <c r="L189" s="230">
        <v>1</v>
      </c>
      <c r="M189" s="231">
        <v>1</v>
      </c>
      <c r="N189" s="233">
        <v>2</v>
      </c>
      <c r="O189" s="233">
        <f t="shared" si="22"/>
        <v>0</v>
      </c>
      <c r="P189" s="233">
        <v>3700</v>
      </c>
      <c r="Q189" s="233">
        <f t="shared" si="23"/>
        <v>0</v>
      </c>
      <c r="R189" s="233">
        <v>3940.5</v>
      </c>
      <c r="S189" s="233">
        <f t="shared" si="24"/>
        <v>0</v>
      </c>
      <c r="T189" s="233">
        <v>4196.6324999999997</v>
      </c>
      <c r="U189" s="233">
        <f t="shared" si="25"/>
        <v>0</v>
      </c>
      <c r="V189" s="233" t="e">
        <f t="shared" si="26"/>
        <v>#DIV/0!</v>
      </c>
      <c r="W189" s="241">
        <f t="shared" si="27"/>
        <v>0</v>
      </c>
      <c r="X189" s="232"/>
      <c r="AA189" s="232"/>
      <c r="AB189" s="232"/>
    </row>
    <row r="190" spans="2:28" x14ac:dyDescent="0.35">
      <c r="B190" s="245"/>
      <c r="C190" s="246"/>
      <c r="D190" s="246"/>
      <c r="E190" s="251"/>
      <c r="F190" s="232" t="s">
        <v>237</v>
      </c>
      <c r="G190" s="318" t="s">
        <v>193</v>
      </c>
      <c r="H190" s="319">
        <v>4</v>
      </c>
      <c r="I190" s="320" t="s">
        <v>238</v>
      </c>
      <c r="J190" s="232"/>
      <c r="K190" s="239"/>
      <c r="L190" s="230">
        <v>1</v>
      </c>
      <c r="M190" s="341">
        <f>((M$185*N$185)/240*($H190/N190))</f>
        <v>2.5000000000000001E-2</v>
      </c>
      <c r="N190" s="233">
        <v>1</v>
      </c>
      <c r="O190" s="233">
        <f t="shared" si="22"/>
        <v>0</v>
      </c>
      <c r="P190" s="233">
        <v>42840</v>
      </c>
      <c r="Q190" s="233">
        <f t="shared" si="23"/>
        <v>0</v>
      </c>
      <c r="R190" s="233">
        <v>44982</v>
      </c>
      <c r="S190" s="233">
        <f t="shared" si="24"/>
        <v>0</v>
      </c>
      <c r="T190" s="233">
        <v>47231.1</v>
      </c>
      <c r="U190" s="233">
        <f t="shared" si="25"/>
        <v>0</v>
      </c>
      <c r="V190" s="233" t="e">
        <f t="shared" si="26"/>
        <v>#DIV/0!</v>
      </c>
      <c r="W190" s="241">
        <f t="shared" si="27"/>
        <v>0</v>
      </c>
      <c r="X190" s="232"/>
      <c r="AA190" s="232"/>
      <c r="AB190" s="232"/>
    </row>
    <row r="191" spans="2:28" x14ac:dyDescent="0.35">
      <c r="B191" s="245"/>
      <c r="C191" s="246"/>
      <c r="D191" s="246"/>
      <c r="E191" s="251"/>
      <c r="F191" s="232" t="s">
        <v>239</v>
      </c>
      <c r="G191" s="318" t="s">
        <v>193</v>
      </c>
      <c r="H191" s="319">
        <v>12</v>
      </c>
      <c r="I191" s="320" t="s">
        <v>238</v>
      </c>
      <c r="J191" s="232"/>
      <c r="K191" s="239"/>
      <c r="L191" s="230">
        <v>1</v>
      </c>
      <c r="M191" s="341">
        <f>((M$185*N$185)/240*($H191/N191))</f>
        <v>7.5000000000000011E-2</v>
      </c>
      <c r="N191" s="233">
        <v>1</v>
      </c>
      <c r="O191" s="233">
        <f t="shared" si="22"/>
        <v>0</v>
      </c>
      <c r="P191" s="233">
        <v>14000</v>
      </c>
      <c r="Q191" s="233">
        <f t="shared" si="23"/>
        <v>0</v>
      </c>
      <c r="R191" s="233">
        <v>14700</v>
      </c>
      <c r="S191" s="233">
        <f t="shared" si="24"/>
        <v>0</v>
      </c>
      <c r="T191" s="233">
        <v>15435</v>
      </c>
      <c r="U191" s="233">
        <f t="shared" si="25"/>
        <v>0</v>
      </c>
      <c r="V191" s="233" t="e">
        <f t="shared" si="26"/>
        <v>#DIV/0!</v>
      </c>
      <c r="W191" s="241">
        <f t="shared" si="27"/>
        <v>0</v>
      </c>
      <c r="X191" s="232"/>
      <c r="AA191" s="232"/>
      <c r="AB191" s="232"/>
    </row>
    <row r="192" spans="2:28" x14ac:dyDescent="0.35">
      <c r="B192" s="245"/>
      <c r="C192" s="246"/>
      <c r="D192" s="246"/>
      <c r="E192" s="251"/>
      <c r="F192" s="232" t="s">
        <v>240</v>
      </c>
      <c r="G192" s="318" t="s">
        <v>193</v>
      </c>
      <c r="H192" s="319">
        <v>1</v>
      </c>
      <c r="I192" s="320" t="s">
        <v>238</v>
      </c>
      <c r="J192" s="232"/>
      <c r="K192" s="239"/>
      <c r="L192" s="230">
        <v>1</v>
      </c>
      <c r="M192" s="341">
        <f>((M$185*N$185)/240*($H192/N192))</f>
        <v>6.2500000000000003E-3</v>
      </c>
      <c r="N192" s="233">
        <v>1</v>
      </c>
      <c r="O192" s="233">
        <f t="shared" si="22"/>
        <v>0</v>
      </c>
      <c r="P192" s="233">
        <v>37485</v>
      </c>
      <c r="Q192" s="233">
        <f t="shared" si="23"/>
        <v>0</v>
      </c>
      <c r="R192" s="233">
        <v>39359.25</v>
      </c>
      <c r="S192" s="233">
        <f t="shared" si="24"/>
        <v>0</v>
      </c>
      <c r="T192" s="233">
        <v>41327.212500000001</v>
      </c>
      <c r="U192" s="233">
        <f t="shared" si="25"/>
        <v>0</v>
      </c>
      <c r="V192" s="233" t="e">
        <f t="shared" si="26"/>
        <v>#DIV/0!</v>
      </c>
      <c r="W192" s="241">
        <f t="shared" si="27"/>
        <v>0</v>
      </c>
      <c r="X192" s="232"/>
      <c r="AA192" s="232"/>
      <c r="AB192" s="232"/>
    </row>
    <row r="193" spans="2:28" x14ac:dyDescent="0.35">
      <c r="B193" s="245"/>
      <c r="C193" s="246"/>
      <c r="D193" s="246"/>
      <c r="E193" s="251"/>
      <c r="F193" s="232" t="s">
        <v>241</v>
      </c>
      <c r="G193" s="318" t="s">
        <v>193</v>
      </c>
      <c r="H193" s="319">
        <v>2</v>
      </c>
      <c r="I193" s="320" t="s">
        <v>238</v>
      </c>
      <c r="J193" s="232"/>
      <c r="K193" s="239"/>
      <c r="L193" s="230">
        <v>1</v>
      </c>
      <c r="M193" s="341">
        <f>((M$185*N$185)/240*($H193/N193))</f>
        <v>1.2500000000000001E-2</v>
      </c>
      <c r="N193" s="233">
        <v>1</v>
      </c>
      <c r="O193" s="233">
        <f t="shared" si="22"/>
        <v>0</v>
      </c>
      <c r="P193" s="233">
        <v>32130</v>
      </c>
      <c r="Q193" s="233">
        <f t="shared" si="23"/>
        <v>0</v>
      </c>
      <c r="R193" s="233">
        <v>33736.5</v>
      </c>
      <c r="S193" s="233">
        <f t="shared" si="24"/>
        <v>0</v>
      </c>
      <c r="T193" s="233">
        <v>35423.325000000004</v>
      </c>
      <c r="U193" s="233">
        <f t="shared" si="25"/>
        <v>0</v>
      </c>
      <c r="V193" s="233" t="e">
        <f t="shared" si="26"/>
        <v>#DIV/0!</v>
      </c>
      <c r="W193" s="241">
        <f t="shared" si="27"/>
        <v>0</v>
      </c>
      <c r="X193" s="232"/>
      <c r="AA193" s="232"/>
      <c r="AB193" s="232"/>
    </row>
    <row r="194" spans="2:28" x14ac:dyDescent="0.35">
      <c r="B194" s="248"/>
      <c r="C194" s="249"/>
      <c r="D194" s="249"/>
      <c r="E194" s="250"/>
      <c r="F194" s="232" t="s">
        <v>242</v>
      </c>
      <c r="G194" s="318" t="s">
        <v>193</v>
      </c>
      <c r="H194" s="319">
        <v>1</v>
      </c>
      <c r="I194" s="320" t="s">
        <v>238</v>
      </c>
      <c r="J194" s="232"/>
      <c r="K194" s="239"/>
      <c r="L194" s="230">
        <v>1</v>
      </c>
      <c r="M194" s="341">
        <f>((M$185*N$185)/240*($H194/N194))</f>
        <v>6.2500000000000003E-3</v>
      </c>
      <c r="N194" s="233">
        <v>1</v>
      </c>
      <c r="O194" s="233">
        <f t="shared" si="22"/>
        <v>0</v>
      </c>
      <c r="P194" s="233">
        <v>85680</v>
      </c>
      <c r="Q194" s="233">
        <f t="shared" si="23"/>
        <v>0</v>
      </c>
      <c r="R194" s="233">
        <v>89964</v>
      </c>
      <c r="S194" s="233">
        <f t="shared" si="24"/>
        <v>0</v>
      </c>
      <c r="T194" s="233">
        <v>94462.2</v>
      </c>
      <c r="U194" s="233">
        <f t="shared" si="25"/>
        <v>0</v>
      </c>
      <c r="V194" s="233" t="e">
        <f t="shared" si="26"/>
        <v>#DIV/0!</v>
      </c>
      <c r="W194" s="241">
        <f t="shared" si="27"/>
        <v>0</v>
      </c>
      <c r="X194" s="232"/>
      <c r="AA194" s="232"/>
      <c r="AB194" s="232"/>
    </row>
    <row r="195" spans="2:28" x14ac:dyDescent="0.35">
      <c r="B195" s="367" t="s">
        <v>355</v>
      </c>
      <c r="C195" s="368"/>
      <c r="D195" s="368"/>
      <c r="E195" s="369"/>
      <c r="F195" s="370"/>
      <c r="G195" s="462"/>
      <c r="H195" s="463"/>
      <c r="I195" s="464"/>
      <c r="J195" s="370"/>
      <c r="K195" s="378"/>
      <c r="L195" s="340"/>
      <c r="M195" s="341"/>
      <c r="N195" s="342"/>
      <c r="O195" s="342"/>
      <c r="P195" s="342"/>
      <c r="Q195" s="343">
        <f>SUM(Q149:Q173)</f>
        <v>0</v>
      </c>
      <c r="R195" s="342"/>
      <c r="S195" s="342"/>
      <c r="T195" s="342"/>
      <c r="U195" s="342"/>
      <c r="V195" s="342"/>
      <c r="W195" s="380"/>
      <c r="X195" s="370"/>
      <c r="AA195" s="232"/>
      <c r="AB195" s="232"/>
    </row>
    <row r="196" spans="2:28" x14ac:dyDescent="0.35">
      <c r="B196" s="227"/>
      <c r="C196" s="223" t="s">
        <v>356</v>
      </c>
      <c r="D196" s="228"/>
      <c r="E196" s="247"/>
      <c r="F196" s="225"/>
      <c r="G196" s="226"/>
      <c r="H196" s="227"/>
      <c r="I196" s="228"/>
      <c r="J196" s="229"/>
      <c r="K196" s="230"/>
      <c r="L196" s="230"/>
      <c r="M196" s="231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2"/>
      <c r="AA196" s="232"/>
      <c r="AB196" s="232"/>
    </row>
    <row r="197" spans="2:28" x14ac:dyDescent="0.35">
      <c r="B197" s="227"/>
      <c r="C197" s="228"/>
      <c r="D197" s="228" t="s">
        <v>357</v>
      </c>
      <c r="E197" s="247"/>
      <c r="F197" s="225"/>
      <c r="G197" s="226"/>
      <c r="H197" s="227"/>
      <c r="I197" s="228"/>
      <c r="J197" s="229"/>
      <c r="K197" s="230"/>
      <c r="L197" s="230"/>
      <c r="M197" s="231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2"/>
      <c r="AA197" s="232"/>
      <c r="AB197" s="232"/>
    </row>
    <row r="198" spans="2:28" x14ac:dyDescent="0.35">
      <c r="B198" s="469"/>
      <c r="C198" s="470"/>
      <c r="D198" s="470"/>
      <c r="E198" s="471" t="s">
        <v>358</v>
      </c>
      <c r="F198" s="232" t="s">
        <v>187</v>
      </c>
      <c r="G198" s="318" t="s">
        <v>188</v>
      </c>
      <c r="H198" s="319"/>
      <c r="I198" s="320"/>
      <c r="J198" s="232" t="s">
        <v>189</v>
      </c>
      <c r="K198" s="420">
        <v>1</v>
      </c>
      <c r="L198" s="230"/>
      <c r="M198" s="422">
        <v>1.5</v>
      </c>
      <c r="N198" s="235">
        <v>3</v>
      </c>
      <c r="O198" s="233">
        <f>K198*L198*M198*N198</f>
        <v>0</v>
      </c>
      <c r="P198" s="233">
        <v>140008</v>
      </c>
      <c r="Q198" s="233">
        <f>P198*$O198</f>
        <v>0</v>
      </c>
      <c r="R198" s="233">
        <v>149108.51999999999</v>
      </c>
      <c r="S198" s="233">
        <f>R198*$O198</f>
        <v>0</v>
      </c>
      <c r="T198" s="233">
        <v>158800.57379999998</v>
      </c>
      <c r="U198" s="233">
        <f>T198*$O198</f>
        <v>0</v>
      </c>
      <c r="V198" s="233" t="e">
        <f>W198/O198</f>
        <v>#DIV/0!</v>
      </c>
      <c r="W198" s="241">
        <f>AVERAGEIF($P$3:$U$3,W$3,$P198:$U198)</f>
        <v>0</v>
      </c>
      <c r="X198" s="232"/>
      <c r="AA198" s="232"/>
      <c r="AB198" s="232"/>
    </row>
    <row r="199" spans="2:28" x14ac:dyDescent="0.35">
      <c r="B199" s="245"/>
      <c r="C199" s="246"/>
      <c r="D199" s="246"/>
      <c r="E199" s="251"/>
      <c r="F199" s="232" t="s">
        <v>359</v>
      </c>
      <c r="G199" s="318" t="s">
        <v>188</v>
      </c>
      <c r="H199" s="319"/>
      <c r="I199" s="320"/>
      <c r="J199" s="232"/>
      <c r="K199" s="420">
        <v>0.3</v>
      </c>
      <c r="L199" s="230"/>
      <c r="M199" s="422">
        <v>0.18</v>
      </c>
      <c r="N199" s="235">
        <f>N198</f>
        <v>3</v>
      </c>
      <c r="O199" s="233">
        <f>K199*L199*M199*N199</f>
        <v>0</v>
      </c>
      <c r="P199" s="233">
        <v>140008</v>
      </c>
      <c r="Q199" s="233">
        <f>P199*$O199</f>
        <v>0</v>
      </c>
      <c r="R199" s="233"/>
      <c r="S199" s="233"/>
      <c r="T199" s="233"/>
      <c r="U199" s="233"/>
      <c r="V199" s="233"/>
      <c r="W199" s="233"/>
      <c r="X199" s="232"/>
      <c r="Y199" s="473"/>
      <c r="Z199" s="473"/>
      <c r="AA199" s="232"/>
      <c r="AB199" s="232"/>
    </row>
    <row r="200" spans="2:28" x14ac:dyDescent="0.35">
      <c r="B200" s="245"/>
      <c r="C200" s="246"/>
      <c r="D200" s="246"/>
      <c r="E200" s="251"/>
      <c r="F200" s="232" t="s">
        <v>236</v>
      </c>
      <c r="G200" s="318" t="s">
        <v>188</v>
      </c>
      <c r="H200" s="319"/>
      <c r="I200" s="320"/>
      <c r="J200" s="232"/>
      <c r="K200" s="420">
        <v>1</v>
      </c>
      <c r="L200" s="230"/>
      <c r="M200" s="422">
        <v>0.5</v>
      </c>
      <c r="N200" s="235">
        <f>N199</f>
        <v>3</v>
      </c>
      <c r="O200" s="233">
        <f t="shared" ref="O200:O206" si="28">K200*L200*M200*N200</f>
        <v>0</v>
      </c>
      <c r="P200" s="235">
        <v>5000</v>
      </c>
      <c r="Q200" s="233">
        <f t="shared" ref="Q200:Q206" si="29">P200*$O200</f>
        <v>0</v>
      </c>
      <c r="R200" s="233"/>
      <c r="S200" s="233"/>
      <c r="T200" s="233"/>
      <c r="U200" s="233"/>
      <c r="V200" s="233"/>
      <c r="W200" s="233"/>
      <c r="X200" s="232"/>
      <c r="Y200" s="473"/>
      <c r="AA200" s="232"/>
      <c r="AB200" s="232"/>
    </row>
    <row r="201" spans="2:28" x14ac:dyDescent="0.35">
      <c r="B201" s="245"/>
      <c r="C201" s="246"/>
      <c r="D201" s="246"/>
      <c r="E201" s="251"/>
      <c r="F201" s="232" t="s">
        <v>360</v>
      </c>
      <c r="G201" s="318" t="s">
        <v>193</v>
      </c>
      <c r="H201" s="319">
        <v>1</v>
      </c>
      <c r="I201" s="320" t="s">
        <v>238</v>
      </c>
      <c r="J201" s="232"/>
      <c r="K201" s="420">
        <v>1</v>
      </c>
      <c r="L201" s="230"/>
      <c r="M201" s="499">
        <v>1</v>
      </c>
      <c r="N201" s="235">
        <v>1</v>
      </c>
      <c r="O201" s="233">
        <f t="shared" si="28"/>
        <v>0</v>
      </c>
      <c r="P201" s="235">
        <v>5000</v>
      </c>
      <c r="Q201" s="233">
        <f t="shared" si="29"/>
        <v>0</v>
      </c>
      <c r="R201" s="233"/>
      <c r="S201" s="233"/>
      <c r="T201" s="233"/>
      <c r="U201" s="233"/>
      <c r="V201" s="233"/>
      <c r="W201" s="233"/>
      <c r="X201" s="232"/>
      <c r="AA201" s="232"/>
      <c r="AB201" s="232"/>
    </row>
    <row r="202" spans="2:28" x14ac:dyDescent="0.35">
      <c r="B202" s="245"/>
      <c r="C202" s="246"/>
      <c r="D202" s="246"/>
      <c r="E202" s="251"/>
      <c r="F202" s="232" t="s">
        <v>237</v>
      </c>
      <c r="G202" s="318" t="s">
        <v>193</v>
      </c>
      <c r="H202" s="319">
        <v>4</v>
      </c>
      <c r="I202" s="320" t="s">
        <v>238</v>
      </c>
      <c r="J202" s="232"/>
      <c r="K202" s="420">
        <v>1</v>
      </c>
      <c r="L202" s="230"/>
      <c r="M202" s="562">
        <v>1</v>
      </c>
      <c r="N202" s="235">
        <v>2</v>
      </c>
      <c r="O202" s="233">
        <f t="shared" si="28"/>
        <v>0</v>
      </c>
      <c r="P202" s="235">
        <v>42840</v>
      </c>
      <c r="Q202" s="233">
        <f t="shared" si="29"/>
        <v>0</v>
      </c>
      <c r="R202" s="233"/>
      <c r="S202" s="233"/>
      <c r="T202" s="233"/>
      <c r="U202" s="233"/>
      <c r="V202" s="233"/>
      <c r="W202" s="233"/>
      <c r="X202" s="232"/>
      <c r="AA202" s="232"/>
      <c r="AB202" s="232"/>
    </row>
    <row r="203" spans="2:28" x14ac:dyDescent="0.35">
      <c r="B203" s="245"/>
      <c r="C203" s="246"/>
      <c r="D203" s="246"/>
      <c r="E203" s="251"/>
      <c r="F203" s="232" t="s">
        <v>239</v>
      </c>
      <c r="G203" s="318" t="s">
        <v>193</v>
      </c>
      <c r="H203" s="319">
        <v>12</v>
      </c>
      <c r="I203" s="320" t="s">
        <v>238</v>
      </c>
      <c r="J203" s="232"/>
      <c r="K203" s="420">
        <v>1</v>
      </c>
      <c r="L203" s="230"/>
      <c r="M203" s="562">
        <v>1</v>
      </c>
      <c r="N203" s="235">
        <v>2</v>
      </c>
      <c r="O203" s="233">
        <f t="shared" si="28"/>
        <v>0</v>
      </c>
      <c r="P203" s="235">
        <v>2040</v>
      </c>
      <c r="Q203" s="233">
        <f t="shared" si="29"/>
        <v>0</v>
      </c>
      <c r="R203" s="233"/>
      <c r="S203" s="233"/>
      <c r="T203" s="233"/>
      <c r="U203" s="233"/>
      <c r="V203" s="233"/>
      <c r="W203" s="233"/>
      <c r="X203" s="232"/>
      <c r="AA203" s="232"/>
      <c r="AB203" s="232"/>
    </row>
    <row r="204" spans="2:28" x14ac:dyDescent="0.35">
      <c r="B204" s="245"/>
      <c r="C204" s="246"/>
      <c r="D204" s="246"/>
      <c r="E204" s="251"/>
      <c r="F204" s="232" t="s">
        <v>241</v>
      </c>
      <c r="G204" s="318" t="s">
        <v>193</v>
      </c>
      <c r="H204" s="319">
        <v>2</v>
      </c>
      <c r="I204" s="320" t="s">
        <v>238</v>
      </c>
      <c r="J204" s="232"/>
      <c r="K204" s="420">
        <v>1</v>
      </c>
      <c r="L204" s="230"/>
      <c r="M204" s="562">
        <v>1</v>
      </c>
      <c r="N204" s="235">
        <v>2</v>
      </c>
      <c r="O204" s="233">
        <f t="shared" si="28"/>
        <v>0</v>
      </c>
      <c r="P204" s="235">
        <v>30600</v>
      </c>
      <c r="Q204" s="233">
        <f t="shared" si="29"/>
        <v>0</v>
      </c>
      <c r="R204" s="233"/>
      <c r="S204" s="233"/>
      <c r="T204" s="233"/>
      <c r="U204" s="233"/>
      <c r="V204" s="233"/>
      <c r="W204" s="233"/>
      <c r="X204" s="232"/>
      <c r="AA204" s="232"/>
      <c r="AB204" s="232"/>
    </row>
    <row r="205" spans="2:28" x14ac:dyDescent="0.35">
      <c r="B205" s="245"/>
      <c r="C205" s="246"/>
      <c r="D205" s="246"/>
      <c r="E205" s="251"/>
      <c r="F205" s="232" t="s">
        <v>242</v>
      </c>
      <c r="G205" s="318" t="s">
        <v>193</v>
      </c>
      <c r="H205" s="319">
        <v>1</v>
      </c>
      <c r="I205" s="320" t="s">
        <v>238</v>
      </c>
      <c r="J205" s="232"/>
      <c r="K205" s="420">
        <v>1</v>
      </c>
      <c r="L205" s="230"/>
      <c r="M205" s="562">
        <v>1</v>
      </c>
      <c r="N205" s="235">
        <v>2</v>
      </c>
      <c r="O205" s="233">
        <f t="shared" si="28"/>
        <v>0</v>
      </c>
      <c r="P205" s="235">
        <v>77520</v>
      </c>
      <c r="Q205" s="233">
        <f t="shared" si="29"/>
        <v>0</v>
      </c>
      <c r="R205" s="233"/>
      <c r="S205" s="233"/>
      <c r="T205" s="233"/>
      <c r="U205" s="233"/>
      <c r="V205" s="233"/>
      <c r="W205" s="233"/>
      <c r="X205" s="232"/>
      <c r="AA205" s="232"/>
      <c r="AB205" s="232"/>
    </row>
    <row r="206" spans="2:28" x14ac:dyDescent="0.35">
      <c r="B206" s="245"/>
      <c r="C206" s="246"/>
      <c r="D206" s="246"/>
      <c r="E206" s="251"/>
      <c r="F206" s="232" t="s">
        <v>322</v>
      </c>
      <c r="G206" s="318" t="s">
        <v>191</v>
      </c>
      <c r="H206" s="319"/>
      <c r="I206" s="320"/>
      <c r="J206" s="232" t="s">
        <v>325</v>
      </c>
      <c r="K206" s="420">
        <v>1</v>
      </c>
      <c r="L206" s="230"/>
      <c r="M206" s="474">
        <f>(5*680)/1000</f>
        <v>3.4</v>
      </c>
      <c r="N206" s="235">
        <v>1</v>
      </c>
      <c r="O206" s="233">
        <f t="shared" si="28"/>
        <v>0</v>
      </c>
      <c r="P206" s="235">
        <v>2300</v>
      </c>
      <c r="Q206" s="233">
        <f t="shared" si="29"/>
        <v>0</v>
      </c>
      <c r="R206" s="233"/>
      <c r="S206" s="233"/>
      <c r="T206" s="233"/>
      <c r="U206" s="233"/>
      <c r="V206" s="233"/>
      <c r="W206" s="419"/>
      <c r="X206" s="232" t="s">
        <v>361</v>
      </c>
      <c r="AA206" s="232"/>
      <c r="AB206" s="232"/>
    </row>
    <row r="207" spans="2:28" x14ac:dyDescent="0.35">
      <c r="B207" s="248"/>
      <c r="C207" s="249"/>
      <c r="D207" s="249"/>
      <c r="E207" s="250"/>
      <c r="F207" s="95" t="s">
        <v>362</v>
      </c>
      <c r="G207" s="318" t="s">
        <v>191</v>
      </c>
      <c r="H207" s="319"/>
      <c r="I207" s="320"/>
      <c r="J207" s="232" t="s">
        <v>325</v>
      </c>
      <c r="K207" s="420">
        <v>1</v>
      </c>
      <c r="L207" s="230"/>
      <c r="M207" s="474">
        <f>(5*680)/1000</f>
        <v>3.4</v>
      </c>
      <c r="N207" s="235">
        <v>2</v>
      </c>
      <c r="O207" s="233">
        <f>K207*L207*M207*N207</f>
        <v>0</v>
      </c>
      <c r="P207" s="235">
        <v>5955.94</v>
      </c>
      <c r="Q207" s="233">
        <f>P207*$O207</f>
        <v>0</v>
      </c>
      <c r="R207" s="233">
        <v>6253.7370000000001</v>
      </c>
      <c r="S207" s="233">
        <f>R207*$O207</f>
        <v>0</v>
      </c>
      <c r="T207" s="233">
        <v>6566.4238500000001</v>
      </c>
      <c r="U207" s="233">
        <f>T207*$O207</f>
        <v>0</v>
      </c>
      <c r="V207" s="233" t="e">
        <f>W207/O207</f>
        <v>#DIV/0!</v>
      </c>
      <c r="W207" s="241">
        <f>AVERAGEIF($P$3:$U$3,W$3,$P207:$U207)</f>
        <v>0</v>
      </c>
      <c r="X207" s="232" t="s">
        <v>361</v>
      </c>
      <c r="Z207" s="417">
        <f>W207</f>
        <v>0</v>
      </c>
      <c r="AA207" s="232"/>
      <c r="AB207" s="232"/>
    </row>
    <row r="208" spans="2:28" x14ac:dyDescent="0.35">
      <c r="B208" s="236"/>
      <c r="C208" s="237"/>
      <c r="D208" s="237" t="s">
        <v>363</v>
      </c>
      <c r="E208" s="238"/>
      <c r="F208" s="225" t="s">
        <v>187</v>
      </c>
      <c r="G208" s="226" t="s">
        <v>188</v>
      </c>
      <c r="H208" s="227"/>
      <c r="I208" s="228"/>
      <c r="J208" s="229"/>
      <c r="K208" s="461"/>
      <c r="L208" s="461"/>
      <c r="M208" s="231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2"/>
      <c r="AA208" s="232"/>
      <c r="AB208" s="232"/>
    </row>
    <row r="209" spans="1:29" x14ac:dyDescent="0.35">
      <c r="B209" s="245"/>
      <c r="C209" s="246"/>
      <c r="D209" s="246"/>
      <c r="E209" s="251"/>
      <c r="F209" s="225" t="s">
        <v>364</v>
      </c>
      <c r="G209" s="226"/>
      <c r="H209" s="227"/>
      <c r="I209" s="228"/>
      <c r="J209" s="229"/>
      <c r="K209" s="230"/>
      <c r="L209" s="230"/>
      <c r="M209" s="231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2"/>
      <c r="AA209" s="232"/>
      <c r="AB209" s="232"/>
    </row>
    <row r="210" spans="1:29" x14ac:dyDescent="0.35">
      <c r="B210" s="248"/>
      <c r="C210" s="249"/>
      <c r="D210" s="249"/>
      <c r="E210" s="250"/>
      <c r="F210" s="225" t="s">
        <v>365</v>
      </c>
      <c r="G210" s="226" t="s">
        <v>205</v>
      </c>
      <c r="H210" s="227"/>
      <c r="I210" s="228"/>
      <c r="J210" s="229"/>
      <c r="K210" s="230"/>
      <c r="L210" s="230"/>
      <c r="M210" s="231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2"/>
      <c r="AA210" s="232"/>
      <c r="AB210" s="232"/>
    </row>
    <row r="211" spans="1:29" x14ac:dyDescent="0.35">
      <c r="B211" s="227"/>
      <c r="C211" s="228"/>
      <c r="D211" s="228" t="s">
        <v>366</v>
      </c>
      <c r="E211" s="247"/>
      <c r="F211" s="225"/>
      <c r="G211" s="226" t="s">
        <v>367</v>
      </c>
      <c r="H211" s="227"/>
      <c r="I211" s="228"/>
      <c r="J211" s="229"/>
      <c r="K211" s="230"/>
      <c r="L211" s="230"/>
      <c r="M211" s="231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2"/>
      <c r="AA211" s="232"/>
      <c r="AB211" s="232"/>
    </row>
    <row r="212" spans="1:29" x14ac:dyDescent="0.35">
      <c r="B212" s="236"/>
      <c r="C212" s="237"/>
      <c r="D212" s="237"/>
      <c r="E212" s="238" t="s">
        <v>142</v>
      </c>
      <c r="F212" s="232" t="s">
        <v>368</v>
      </c>
      <c r="G212" s="226" t="s">
        <v>188</v>
      </c>
      <c r="H212" s="227"/>
      <c r="I212" s="228"/>
      <c r="J212" s="229" t="s">
        <v>367</v>
      </c>
      <c r="K212" s="239">
        <v>1</v>
      </c>
      <c r="L212" s="475"/>
      <c r="M212" s="231">
        <v>1</v>
      </c>
      <c r="N212" s="233">
        <v>1</v>
      </c>
      <c r="O212" s="233">
        <f>K212*L212*M212*N212</f>
        <v>0</v>
      </c>
      <c r="P212" s="233">
        <v>17500</v>
      </c>
      <c r="Q212" s="233">
        <f>P212*$O212</f>
        <v>0</v>
      </c>
      <c r="R212" s="233">
        <v>20767.5</v>
      </c>
      <c r="S212" s="233">
        <f>R212*$O212</f>
        <v>0</v>
      </c>
      <c r="T212" s="233">
        <v>22117.387499999997</v>
      </c>
      <c r="U212" s="233">
        <f>T212*$O212</f>
        <v>0</v>
      </c>
      <c r="V212" s="233" t="e">
        <f>W212/O212</f>
        <v>#DIV/0!</v>
      </c>
      <c r="W212" s="241">
        <f>AVERAGEIF($P$3:$U$3,W$3,$P212:$U212)</f>
        <v>0</v>
      </c>
      <c r="X212" s="232"/>
      <c r="Z212" s="417">
        <f>W212</f>
        <v>0</v>
      </c>
      <c r="AA212" s="232"/>
      <c r="AB212" s="232"/>
    </row>
    <row r="213" spans="1:29" x14ac:dyDescent="0.35">
      <c r="B213" s="245"/>
      <c r="C213" s="246"/>
      <c r="D213" s="246"/>
      <c r="E213" s="251"/>
      <c r="F213" s="232" t="s">
        <v>369</v>
      </c>
      <c r="G213" s="226"/>
      <c r="H213" s="227"/>
      <c r="I213" s="228"/>
      <c r="J213" s="229" t="s">
        <v>367</v>
      </c>
      <c r="K213" s="239">
        <v>1</v>
      </c>
      <c r="L213" s="475"/>
      <c r="M213" s="231">
        <v>1</v>
      </c>
      <c r="N213" s="233">
        <v>1</v>
      </c>
      <c r="O213" s="233">
        <f>K213*L213*M213*N213</f>
        <v>0</v>
      </c>
      <c r="P213" s="233">
        <v>19500</v>
      </c>
      <c r="Q213" s="233">
        <f>P213*$O213</f>
        <v>0</v>
      </c>
      <c r="R213" s="233"/>
      <c r="S213" s="233"/>
      <c r="T213" s="233"/>
      <c r="U213" s="233"/>
      <c r="V213" s="233"/>
      <c r="W213" s="241"/>
      <c r="X213" s="232"/>
      <c r="Z213" s="417"/>
      <c r="AA213" s="232"/>
      <c r="AB213" s="232"/>
    </row>
    <row r="214" spans="1:29" x14ac:dyDescent="0.35">
      <c r="B214" s="245"/>
      <c r="C214" s="246"/>
      <c r="D214" s="246"/>
      <c r="E214" s="251"/>
      <c r="F214" s="225" t="s">
        <v>365</v>
      </c>
      <c r="G214" s="226" t="s">
        <v>205</v>
      </c>
      <c r="H214" s="227"/>
      <c r="I214" s="228"/>
      <c r="J214" s="229"/>
      <c r="K214" s="230"/>
      <c r="L214" s="230"/>
      <c r="M214" s="231">
        <f>2/4</f>
        <v>0.5</v>
      </c>
      <c r="N214" s="233">
        <v>1</v>
      </c>
      <c r="O214" s="233"/>
      <c r="P214" s="233"/>
      <c r="Q214" s="233"/>
      <c r="R214" s="233"/>
      <c r="S214" s="233"/>
      <c r="T214" s="233"/>
      <c r="U214" s="233"/>
      <c r="V214" s="233"/>
      <c r="W214" s="233"/>
      <c r="X214" s="232"/>
      <c r="AA214" s="232"/>
      <c r="AB214" s="232"/>
    </row>
    <row r="215" spans="1:29" x14ac:dyDescent="0.35">
      <c r="B215" s="248"/>
      <c r="C215" s="249"/>
      <c r="D215" s="249"/>
      <c r="E215" s="250"/>
      <c r="F215" s="225" t="s">
        <v>370</v>
      </c>
      <c r="G215" s="226" t="s">
        <v>205</v>
      </c>
      <c r="H215" s="227"/>
      <c r="I215" s="228"/>
      <c r="J215" s="229" t="s">
        <v>367</v>
      </c>
      <c r="K215" s="239">
        <v>1</v>
      </c>
      <c r="L215" s="230"/>
      <c r="M215" s="231">
        <v>1</v>
      </c>
      <c r="N215" s="233">
        <v>1</v>
      </c>
      <c r="O215" s="233">
        <f>K215*L215*M215*N215</f>
        <v>0</v>
      </c>
      <c r="P215" s="233">
        <v>48600</v>
      </c>
      <c r="Q215" s="233">
        <f>P215*$O215</f>
        <v>0</v>
      </c>
      <c r="R215" s="233">
        <v>62200</v>
      </c>
      <c r="S215" s="233">
        <f>R215*$O215</f>
        <v>0</v>
      </c>
      <c r="T215" s="233">
        <v>68420</v>
      </c>
      <c r="U215" s="233">
        <f>T215*$O215</f>
        <v>0</v>
      </c>
      <c r="V215" s="233" t="e">
        <f>W215/O215</f>
        <v>#DIV/0!</v>
      </c>
      <c r="W215" s="241">
        <f>AVERAGEIF($P$3:$U$3,W$3,$P215:$U215)</f>
        <v>0</v>
      </c>
      <c r="X215" s="232"/>
      <c r="Z215" s="417">
        <f>W215</f>
        <v>0</v>
      </c>
      <c r="AA215" s="232"/>
      <c r="AB215" s="232"/>
    </row>
    <row r="216" spans="1:29" x14ac:dyDescent="0.35">
      <c r="B216" s="236"/>
      <c r="C216" s="237"/>
      <c r="D216" s="237"/>
      <c r="E216" s="238" t="s">
        <v>144</v>
      </c>
      <c r="F216" s="232" t="s">
        <v>371</v>
      </c>
      <c r="G216" s="226" t="s">
        <v>188</v>
      </c>
      <c r="H216" s="227"/>
      <c r="I216" s="228"/>
      <c r="J216" s="229" t="s">
        <v>367</v>
      </c>
      <c r="K216" s="239">
        <v>1</v>
      </c>
      <c r="L216" s="475"/>
      <c r="M216" s="231">
        <v>1</v>
      </c>
      <c r="N216" s="233">
        <v>1</v>
      </c>
      <c r="O216" s="233">
        <f>K216*L216*M216*N216</f>
        <v>0</v>
      </c>
      <c r="P216" s="233">
        <v>32000</v>
      </c>
      <c r="Q216" s="233">
        <f>P216*$O216</f>
        <v>0</v>
      </c>
      <c r="R216" s="233">
        <v>34080</v>
      </c>
      <c r="S216" s="233">
        <f>R216*$O216</f>
        <v>0</v>
      </c>
      <c r="T216" s="233">
        <v>36295.199999999997</v>
      </c>
      <c r="U216" s="233">
        <f>T216*$O216</f>
        <v>0</v>
      </c>
      <c r="V216" s="233" t="e">
        <f>W216/O216</f>
        <v>#DIV/0!</v>
      </c>
      <c r="W216" s="241">
        <f>AVERAGEIF($P$3:$U$3,W$3,$P216:$U216)</f>
        <v>0</v>
      </c>
      <c r="X216" s="232"/>
      <c r="Z216" s="417">
        <f>W216</f>
        <v>0</v>
      </c>
      <c r="AA216" s="232"/>
      <c r="AB216" s="232"/>
    </row>
    <row r="217" spans="1:29" x14ac:dyDescent="0.35">
      <c r="B217" s="248"/>
      <c r="C217" s="249"/>
      <c r="D217" s="249"/>
      <c r="E217" s="250"/>
      <c r="F217" s="225" t="s">
        <v>370</v>
      </c>
      <c r="G217" s="226" t="s">
        <v>191</v>
      </c>
      <c r="H217" s="227"/>
      <c r="I217" s="228"/>
      <c r="J217" s="229"/>
      <c r="K217" s="230"/>
      <c r="L217" s="230"/>
      <c r="M217" s="231">
        <v>1</v>
      </c>
      <c r="N217" s="233">
        <v>1</v>
      </c>
      <c r="O217" s="233"/>
      <c r="P217" s="233"/>
      <c r="Q217" s="233"/>
      <c r="R217" s="233"/>
      <c r="S217" s="233"/>
      <c r="T217" s="233"/>
      <c r="U217" s="233"/>
      <c r="V217" s="233"/>
      <c r="W217" s="233"/>
      <c r="X217" s="232"/>
      <c r="AA217" s="232"/>
      <c r="AB217" s="232"/>
    </row>
    <row r="218" spans="1:29" s="415" customFormat="1" x14ac:dyDescent="0.35">
      <c r="A218" s="412"/>
      <c r="B218" s="367" t="s">
        <v>372</v>
      </c>
      <c r="C218" s="368"/>
      <c r="D218" s="368"/>
      <c r="E218" s="369"/>
      <c r="F218" s="389"/>
      <c r="G218" s="390"/>
      <c r="H218" s="391"/>
      <c r="I218" s="392"/>
      <c r="J218" s="393"/>
      <c r="K218" s="394"/>
      <c r="L218" s="394"/>
      <c r="M218" s="395"/>
      <c r="N218" s="343"/>
      <c r="O218" s="343"/>
      <c r="P218" s="343"/>
      <c r="Q218" s="343">
        <f>SUM(Q198:Q217)</f>
        <v>0</v>
      </c>
      <c r="R218" s="343"/>
      <c r="S218" s="343">
        <f>SUM(S147:S217)</f>
        <v>0</v>
      </c>
      <c r="T218" s="343"/>
      <c r="U218" s="343">
        <f>SUM(U147:U217)</f>
        <v>0</v>
      </c>
      <c r="V218" s="343"/>
      <c r="W218" s="343">
        <f>SUM(W147:W217)</f>
        <v>0</v>
      </c>
      <c r="X218" s="396"/>
      <c r="Y218" s="412"/>
      <c r="Z218" s="412"/>
      <c r="AA218" s="396"/>
      <c r="AB218" s="396"/>
      <c r="AC218" s="412"/>
    </row>
    <row r="219" spans="1:29" x14ac:dyDescent="0.35">
      <c r="B219" s="227"/>
      <c r="C219" s="223" t="s">
        <v>373</v>
      </c>
      <c r="D219" s="228"/>
      <c r="E219" s="247"/>
      <c r="F219" s="225"/>
      <c r="G219" s="226"/>
      <c r="H219" s="227"/>
      <c r="I219" s="228"/>
      <c r="J219" s="229"/>
      <c r="K219" s="230"/>
      <c r="L219" s="230"/>
      <c r="M219" s="231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2"/>
      <c r="AA219" s="232"/>
      <c r="AB219" s="232"/>
    </row>
    <row r="220" spans="1:29" x14ac:dyDescent="0.35">
      <c r="B220" s="236"/>
      <c r="C220" s="237"/>
      <c r="D220" s="291" t="s">
        <v>147</v>
      </c>
      <c r="E220" s="306"/>
      <c r="F220" s="225" t="s">
        <v>187</v>
      </c>
      <c r="G220" s="226" t="s">
        <v>188</v>
      </c>
      <c r="H220" s="227"/>
      <c r="I220" s="228"/>
      <c r="J220" s="229"/>
      <c r="K220" s="239">
        <v>1</v>
      </c>
      <c r="L220" s="230"/>
      <c r="M220" s="235">
        <v>3</v>
      </c>
      <c r="N220" s="233">
        <v>1</v>
      </c>
      <c r="O220" s="233">
        <f t="shared" ref="O220:O229" si="30">K220*L220*M220*N220</f>
        <v>0</v>
      </c>
      <c r="P220" s="235">
        <v>140008</v>
      </c>
      <c r="Q220" s="233">
        <f>P220*$O220</f>
        <v>0</v>
      </c>
      <c r="R220" s="233">
        <v>149108.51999999999</v>
      </c>
      <c r="S220" s="233">
        <f>R220*$O220</f>
        <v>0</v>
      </c>
      <c r="T220" s="233">
        <v>158800.57379999998</v>
      </c>
      <c r="U220" s="233">
        <f>T220*$O220</f>
        <v>0</v>
      </c>
      <c r="V220" s="233" t="e">
        <f>W220/O220</f>
        <v>#DIV/0!</v>
      </c>
      <c r="W220" s="241">
        <f>AVERAGEIF($P$3:$U$3,W$3,$P220:$U220)</f>
        <v>0</v>
      </c>
      <c r="X220" s="563" t="s">
        <v>374</v>
      </c>
      <c r="Y220" s="473" t="e">
        <f>Q220/L220</f>
        <v>#DIV/0!</v>
      </c>
      <c r="Z220" s="473" t="e">
        <f>Y220/136</f>
        <v>#DIV/0!</v>
      </c>
      <c r="AA220" s="233"/>
      <c r="AB220" s="232"/>
    </row>
    <row r="221" spans="1:29" x14ac:dyDescent="0.35">
      <c r="B221" s="248"/>
      <c r="C221" s="249"/>
      <c r="D221" s="307"/>
      <c r="E221" s="308"/>
      <c r="F221" s="225" t="s">
        <v>375</v>
      </c>
      <c r="G221" s="226" t="s">
        <v>193</v>
      </c>
      <c r="H221" s="227"/>
      <c r="I221" s="228"/>
      <c r="J221" s="229"/>
      <c r="K221" s="239">
        <v>1</v>
      </c>
      <c r="L221" s="230"/>
      <c r="M221" s="235">
        <v>136</v>
      </c>
      <c r="N221" s="233">
        <v>1</v>
      </c>
      <c r="O221" s="233">
        <f t="shared" si="30"/>
        <v>0</v>
      </c>
      <c r="P221" s="233">
        <v>100</v>
      </c>
      <c r="Q221" s="233">
        <f>P221*$O221</f>
        <v>0</v>
      </c>
      <c r="R221" s="233">
        <v>105</v>
      </c>
      <c r="S221" s="233">
        <f>R221*$O221</f>
        <v>0</v>
      </c>
      <c r="T221" s="233">
        <v>110.25</v>
      </c>
      <c r="U221" s="233">
        <f>T221*$O221</f>
        <v>0</v>
      </c>
      <c r="V221" s="233" t="e">
        <f>W221/O221</f>
        <v>#DIV/0!</v>
      </c>
      <c r="W221" s="241">
        <f>AVERAGEIF($P$3:$U$3,W$3,$P221:$U221)</f>
        <v>0</v>
      </c>
      <c r="X221" s="564" t="s">
        <v>376</v>
      </c>
      <c r="Y221" s="473" t="e">
        <f>Q221/L221</f>
        <v>#DIV/0!</v>
      </c>
      <c r="Z221" s="473" t="e">
        <f>Y221/136</f>
        <v>#DIV/0!</v>
      </c>
      <c r="AA221" s="232"/>
      <c r="AB221" s="232"/>
    </row>
    <row r="222" spans="1:29" x14ac:dyDescent="0.35">
      <c r="B222" s="236"/>
      <c r="C222" s="237"/>
      <c r="D222" s="291" t="s">
        <v>149</v>
      </c>
      <c r="E222" s="306"/>
      <c r="F222" s="225" t="s">
        <v>187</v>
      </c>
      <c r="G222" s="226" t="s">
        <v>188</v>
      </c>
      <c r="H222" s="227"/>
      <c r="I222" s="228"/>
      <c r="J222" s="229"/>
      <c r="K222" s="239">
        <v>1</v>
      </c>
      <c r="L222" s="230"/>
      <c r="M222" s="235">
        <v>3</v>
      </c>
      <c r="N222" s="233">
        <v>1</v>
      </c>
      <c r="O222" s="233">
        <f t="shared" si="30"/>
        <v>0</v>
      </c>
      <c r="P222" s="235">
        <v>140008</v>
      </c>
      <c r="Q222" s="233">
        <f>P222*$O222</f>
        <v>0</v>
      </c>
      <c r="R222" s="233">
        <v>149108.51999999999</v>
      </c>
      <c r="S222" s="233">
        <f>R222*$O222</f>
        <v>0</v>
      </c>
      <c r="T222" s="233">
        <v>158800.57379999998</v>
      </c>
      <c r="U222" s="233">
        <f>T222*$O222</f>
        <v>0</v>
      </c>
      <c r="V222" s="233" t="e">
        <f>W222/O222</f>
        <v>#DIV/0!</v>
      </c>
      <c r="W222" s="241">
        <f>AVERAGEIF($P$3:$U$3,W$3,$P222:$U222)</f>
        <v>0</v>
      </c>
      <c r="X222" s="232"/>
      <c r="Y222" s="473" t="e">
        <f>Q222/L222</f>
        <v>#DIV/0!</v>
      </c>
      <c r="Z222" s="473" t="e">
        <f>Y222/136</f>
        <v>#DIV/0!</v>
      </c>
      <c r="AA222" s="232"/>
      <c r="AB222" s="232"/>
    </row>
    <row r="223" spans="1:29" x14ac:dyDescent="0.35">
      <c r="B223" s="245"/>
      <c r="C223" s="246"/>
      <c r="D223" s="243"/>
      <c r="E223" s="244"/>
      <c r="F223" s="232" t="s">
        <v>359</v>
      </c>
      <c r="G223" s="318" t="s">
        <v>367</v>
      </c>
      <c r="H223" s="319"/>
      <c r="I223" s="320"/>
      <c r="J223" s="232"/>
      <c r="K223" s="420">
        <v>1</v>
      </c>
      <c r="L223" s="230"/>
      <c r="M223" s="481">
        <v>1</v>
      </c>
      <c r="N223" s="565">
        <f>N222</f>
        <v>1</v>
      </c>
      <c r="O223" s="233">
        <f>K223*L223*M223*N223</f>
        <v>0</v>
      </c>
      <c r="P223" s="235">
        <v>420024</v>
      </c>
      <c r="Q223" s="233">
        <f>P223*$O223</f>
        <v>0</v>
      </c>
      <c r="R223" s="233"/>
      <c r="S223" s="233"/>
      <c r="T223" s="233"/>
      <c r="U223" s="233"/>
      <c r="V223" s="233"/>
      <c r="W223" s="241"/>
      <c r="X223" s="232"/>
      <c r="Y223" s="473" t="e">
        <f>Q223/L223</f>
        <v>#DIV/0!</v>
      </c>
      <c r="Z223" s="473"/>
      <c r="AA223" s="232"/>
      <c r="AB223" s="232"/>
    </row>
    <row r="224" spans="1:29" x14ac:dyDescent="0.35">
      <c r="B224" s="245"/>
      <c r="C224" s="246"/>
      <c r="D224" s="243"/>
      <c r="E224" s="244"/>
      <c r="F224" s="232" t="s">
        <v>377</v>
      </c>
      <c r="G224" s="318" t="s">
        <v>191</v>
      </c>
      <c r="H224" s="319"/>
      <c r="I224" s="320"/>
      <c r="J224" s="232"/>
      <c r="K224" s="420">
        <v>1</v>
      </c>
      <c r="L224" s="230"/>
      <c r="M224" s="481">
        <v>1</v>
      </c>
      <c r="N224" s="565">
        <f>N223</f>
        <v>1</v>
      </c>
      <c r="O224" s="233">
        <f>K224*L224*M224*N224</f>
        <v>0</v>
      </c>
      <c r="P224" s="235">
        <v>10000</v>
      </c>
      <c r="Q224" s="233">
        <f>P224*$O224</f>
        <v>0</v>
      </c>
      <c r="R224" s="233"/>
      <c r="S224" s="233"/>
      <c r="T224" s="233"/>
      <c r="U224" s="233"/>
      <c r="V224" s="233"/>
      <c r="W224" s="241"/>
      <c r="X224" s="232"/>
      <c r="Y224" s="473"/>
      <c r="Z224" s="473"/>
      <c r="AA224" s="232"/>
      <c r="AB224" s="232"/>
    </row>
    <row r="225" spans="1:29" x14ac:dyDescent="0.35">
      <c r="B225" s="245"/>
      <c r="C225" s="246"/>
      <c r="D225" s="243"/>
      <c r="E225" s="244"/>
      <c r="F225" s="225" t="s">
        <v>322</v>
      </c>
      <c r="G225" s="226" t="s">
        <v>191</v>
      </c>
      <c r="H225" s="227"/>
      <c r="I225" s="228"/>
      <c r="J225" s="229"/>
      <c r="K225" s="239">
        <v>1</v>
      </c>
      <c r="L225" s="230"/>
      <c r="M225" s="235">
        <f>0.5*136</f>
        <v>68</v>
      </c>
      <c r="N225" s="233">
        <v>1</v>
      </c>
      <c r="O225" s="233">
        <f t="shared" si="30"/>
        <v>0</v>
      </c>
      <c r="P225" s="235">
        <v>2530</v>
      </c>
      <c r="Q225" s="233">
        <f t="shared" ref="Q225:Q234" si="31">P225*$O225</f>
        <v>0</v>
      </c>
      <c r="R225" s="233">
        <v>2415</v>
      </c>
      <c r="S225" s="233">
        <f t="shared" ref="S225:S234" si="32">R225*$O225</f>
        <v>0</v>
      </c>
      <c r="T225" s="233">
        <v>2535.75</v>
      </c>
      <c r="U225" s="233">
        <f t="shared" ref="U225:U234" si="33">T225*$O225</f>
        <v>0</v>
      </c>
      <c r="V225" s="233" t="e">
        <f t="shared" ref="V225:V235" si="34">W225/O225</f>
        <v>#DIV/0!</v>
      </c>
      <c r="W225" s="241">
        <f t="shared" ref="W225:W235" si="35">AVERAGEIF($P$3:$U$3,W$3,$P225:$U225)</f>
        <v>0</v>
      </c>
      <c r="X225" s="232" t="s">
        <v>381</v>
      </c>
      <c r="AA225" s="232"/>
      <c r="AB225" s="232"/>
    </row>
    <row r="226" spans="1:29" x14ac:dyDescent="0.35">
      <c r="B226" s="245"/>
      <c r="C226" s="246"/>
      <c r="D226" s="243"/>
      <c r="E226" s="244"/>
      <c r="F226" s="225" t="s">
        <v>380</v>
      </c>
      <c r="G226" s="226" t="s">
        <v>191</v>
      </c>
      <c r="H226" s="227"/>
      <c r="I226" s="228"/>
      <c r="J226" s="229"/>
      <c r="K226" s="239">
        <v>1</v>
      </c>
      <c r="L226" s="230"/>
      <c r="M226" s="235">
        <f>0.25*136</f>
        <v>34</v>
      </c>
      <c r="N226" s="233">
        <v>1</v>
      </c>
      <c r="O226" s="233">
        <f t="shared" si="30"/>
        <v>0</v>
      </c>
      <c r="P226" s="235">
        <v>24786</v>
      </c>
      <c r="Q226" s="233">
        <f>P226*$O226</f>
        <v>0</v>
      </c>
      <c r="R226" s="233">
        <v>24097.5</v>
      </c>
      <c r="S226" s="233">
        <f>R226*$O226</f>
        <v>0</v>
      </c>
      <c r="T226" s="233">
        <v>25302.375</v>
      </c>
      <c r="U226" s="233">
        <f>T226*$O226</f>
        <v>0</v>
      </c>
      <c r="V226" s="233" t="e">
        <f t="shared" si="34"/>
        <v>#DIV/0!</v>
      </c>
      <c r="W226" s="241">
        <f t="shared" si="35"/>
        <v>0</v>
      </c>
      <c r="X226" s="232" t="s">
        <v>472</v>
      </c>
      <c r="AA226" s="232"/>
      <c r="AB226" s="232"/>
    </row>
    <row r="227" spans="1:29" x14ac:dyDescent="0.35">
      <c r="B227" s="245"/>
      <c r="C227" s="246"/>
      <c r="D227" s="243"/>
      <c r="E227" s="244"/>
      <c r="F227" s="225" t="s">
        <v>382</v>
      </c>
      <c r="G227" s="226" t="s">
        <v>191</v>
      </c>
      <c r="H227" s="227"/>
      <c r="I227" s="228"/>
      <c r="J227" s="229"/>
      <c r="K227" s="239">
        <v>1</v>
      </c>
      <c r="L227" s="230"/>
      <c r="M227" s="235">
        <f>0.25*136</f>
        <v>34</v>
      </c>
      <c r="N227" s="233">
        <v>1</v>
      </c>
      <c r="O227" s="233">
        <f t="shared" si="30"/>
        <v>0</v>
      </c>
      <c r="P227" s="235">
        <v>5354.5</v>
      </c>
      <c r="Q227" s="233">
        <f>P227*$O227</f>
        <v>0</v>
      </c>
      <c r="R227" s="233"/>
      <c r="S227" s="233"/>
      <c r="T227" s="233"/>
      <c r="U227" s="233"/>
      <c r="V227" s="233"/>
      <c r="W227" s="241"/>
      <c r="X227" s="232"/>
      <c r="AA227" s="232"/>
      <c r="AB227" s="232"/>
    </row>
    <row r="228" spans="1:29" x14ac:dyDescent="0.35">
      <c r="B228" s="245"/>
      <c r="C228" s="246"/>
      <c r="D228" s="246"/>
      <c r="E228" s="251"/>
      <c r="F228" s="484" t="s">
        <v>383</v>
      </c>
      <c r="G228" s="226" t="s">
        <v>191</v>
      </c>
      <c r="H228" s="227"/>
      <c r="I228" s="228"/>
      <c r="J228" s="229"/>
      <c r="K228" s="239">
        <v>1</v>
      </c>
      <c r="L228" s="230"/>
      <c r="M228" s="235">
        <f>0.15*136</f>
        <v>20.399999999999999</v>
      </c>
      <c r="N228" s="233">
        <v>1</v>
      </c>
      <c r="O228" s="233">
        <f t="shared" si="30"/>
        <v>0</v>
      </c>
      <c r="P228" s="235">
        <v>42220</v>
      </c>
      <c r="Q228" s="233">
        <f>P228*$O228</f>
        <v>0</v>
      </c>
      <c r="R228" s="233"/>
      <c r="S228" s="233"/>
      <c r="T228" s="233"/>
      <c r="U228" s="233"/>
      <c r="V228" s="233"/>
      <c r="W228" s="241"/>
      <c r="X228" s="232"/>
      <c r="AA228" s="232"/>
      <c r="AB228" s="232"/>
    </row>
    <row r="229" spans="1:29" x14ac:dyDescent="0.35">
      <c r="B229" s="245"/>
      <c r="C229" s="246"/>
      <c r="D229" s="246"/>
      <c r="E229" s="251"/>
      <c r="F229" s="225" t="s">
        <v>385</v>
      </c>
      <c r="G229" s="226" t="s">
        <v>191</v>
      </c>
      <c r="H229" s="227"/>
      <c r="I229" s="228"/>
      <c r="J229" s="229"/>
      <c r="K229" s="239">
        <v>1</v>
      </c>
      <c r="L229" s="230"/>
      <c r="M229" s="235">
        <f>0.25*136</f>
        <v>34</v>
      </c>
      <c r="N229" s="233">
        <v>1</v>
      </c>
      <c r="O229" s="233">
        <f t="shared" si="30"/>
        <v>0</v>
      </c>
      <c r="P229" s="235">
        <v>870</v>
      </c>
      <c r="Q229" s="233">
        <f>P229*$O229</f>
        <v>0</v>
      </c>
      <c r="R229" s="233">
        <v>913.5</v>
      </c>
      <c r="S229" s="233">
        <f>R229*$O229</f>
        <v>0</v>
      </c>
      <c r="T229" s="233">
        <v>959.17500000000007</v>
      </c>
      <c r="U229" s="233">
        <f>T229*$O229</f>
        <v>0</v>
      </c>
      <c r="V229" s="233" t="e">
        <f>W229/O229</f>
        <v>#DIV/0!</v>
      </c>
      <c r="W229" s="241">
        <f t="shared" si="35"/>
        <v>0</v>
      </c>
      <c r="X229" s="232" t="s">
        <v>379</v>
      </c>
      <c r="AA229" s="232"/>
      <c r="AB229" s="232"/>
    </row>
    <row r="230" spans="1:29" x14ac:dyDescent="0.35">
      <c r="B230" s="248"/>
      <c r="C230" s="249"/>
      <c r="D230" s="249"/>
      <c r="E230" s="250"/>
      <c r="F230" s="225" t="s">
        <v>473</v>
      </c>
      <c r="G230" s="226" t="s">
        <v>205</v>
      </c>
      <c r="H230" s="227"/>
      <c r="I230" s="228"/>
      <c r="J230" s="229"/>
      <c r="K230" s="239"/>
      <c r="L230" s="230"/>
      <c r="M230" s="235">
        <f>136/40</f>
        <v>3.4</v>
      </c>
      <c r="N230" s="233">
        <v>1</v>
      </c>
      <c r="O230" s="233">
        <f>K230*M230*N230</f>
        <v>0</v>
      </c>
      <c r="P230" s="233">
        <v>0</v>
      </c>
      <c r="Q230" s="233">
        <f t="shared" si="31"/>
        <v>0</v>
      </c>
      <c r="R230" s="233">
        <v>0</v>
      </c>
      <c r="S230" s="233">
        <f t="shared" si="32"/>
        <v>0</v>
      </c>
      <c r="T230" s="233">
        <v>0</v>
      </c>
      <c r="U230" s="233">
        <f t="shared" si="33"/>
        <v>0</v>
      </c>
      <c r="V230" s="233" t="e">
        <f t="shared" si="34"/>
        <v>#DIV/0!</v>
      </c>
      <c r="W230" s="241">
        <f t="shared" si="35"/>
        <v>0</v>
      </c>
      <c r="X230" s="232"/>
      <c r="AA230" s="232"/>
      <c r="AB230" s="232"/>
    </row>
    <row r="231" spans="1:29" x14ac:dyDescent="0.35">
      <c r="B231" s="236"/>
      <c r="C231" s="237"/>
      <c r="D231" s="237" t="s">
        <v>151</v>
      </c>
      <c r="E231" s="238"/>
      <c r="F231" s="225" t="s">
        <v>187</v>
      </c>
      <c r="G231" s="226" t="s">
        <v>188</v>
      </c>
      <c r="H231" s="227"/>
      <c r="I231" s="228"/>
      <c r="J231" s="229"/>
      <c r="K231" s="239">
        <v>1</v>
      </c>
      <c r="L231" s="230"/>
      <c r="M231" s="235">
        <v>4</v>
      </c>
      <c r="N231" s="233">
        <v>1</v>
      </c>
      <c r="O231" s="233">
        <f>K231*L231*M231*N231</f>
        <v>0</v>
      </c>
      <c r="P231" s="235">
        <v>140008</v>
      </c>
      <c r="Q231" s="235">
        <f t="shared" si="31"/>
        <v>0</v>
      </c>
      <c r="R231" s="233">
        <v>149108.51999999999</v>
      </c>
      <c r="S231" s="233">
        <f t="shared" si="32"/>
        <v>0</v>
      </c>
      <c r="T231" s="233">
        <v>158800.57379999998</v>
      </c>
      <c r="U231" s="233">
        <f t="shared" si="33"/>
        <v>0</v>
      </c>
      <c r="V231" s="233" t="e">
        <f t="shared" si="34"/>
        <v>#DIV/0!</v>
      </c>
      <c r="W231" s="241">
        <f t="shared" si="35"/>
        <v>0</v>
      </c>
      <c r="X231" s="232"/>
      <c r="Y231" s="473" t="e">
        <f>Q231/L231</f>
        <v>#DIV/0!</v>
      </c>
      <c r="Z231" s="473" t="e">
        <f>Y231/136</f>
        <v>#DIV/0!</v>
      </c>
      <c r="AA231" s="233"/>
      <c r="AB231" s="329">
        <f>AA231/136</f>
        <v>0</v>
      </c>
    </row>
    <row r="232" spans="1:29" x14ac:dyDescent="0.35">
      <c r="B232" s="245"/>
      <c r="C232" s="246"/>
      <c r="D232" s="246"/>
      <c r="E232" s="251"/>
      <c r="F232" s="225" t="s">
        <v>387</v>
      </c>
      <c r="G232" s="226" t="s">
        <v>388</v>
      </c>
      <c r="H232" s="227"/>
      <c r="I232" s="228"/>
      <c r="J232" s="229"/>
      <c r="K232" s="239">
        <v>1</v>
      </c>
      <c r="L232" s="230"/>
      <c r="M232" s="235">
        <v>136</v>
      </c>
      <c r="N232" s="233">
        <v>1</v>
      </c>
      <c r="O232" s="481">
        <f>K232*L232*M232*N232</f>
        <v>0</v>
      </c>
      <c r="P232" s="235">
        <v>1500</v>
      </c>
      <c r="Q232" s="235">
        <f t="shared" si="31"/>
        <v>0</v>
      </c>
      <c r="R232" s="233"/>
      <c r="S232" s="233"/>
      <c r="T232" s="233"/>
      <c r="U232" s="233"/>
      <c r="V232" s="233"/>
      <c r="W232" s="241"/>
      <c r="X232" s="232"/>
      <c r="Y232" s="473"/>
      <c r="Z232" s="473"/>
      <c r="AA232" s="233"/>
      <c r="AB232" s="329"/>
    </row>
    <row r="233" spans="1:29" x14ac:dyDescent="0.35">
      <c r="B233" s="245"/>
      <c r="C233" s="246"/>
      <c r="D233" s="246"/>
      <c r="E233" s="251"/>
      <c r="F233" s="225" t="s">
        <v>389</v>
      </c>
      <c r="G233" s="226" t="s">
        <v>388</v>
      </c>
      <c r="H233" s="227"/>
      <c r="I233" s="228"/>
      <c r="J233" s="229"/>
      <c r="K233" s="239">
        <v>1</v>
      </c>
      <c r="L233" s="230"/>
      <c r="M233" s="235">
        <v>136</v>
      </c>
      <c r="N233" s="233">
        <v>1</v>
      </c>
      <c r="O233" s="233">
        <f>K233*L233*M233*N233</f>
        <v>0</v>
      </c>
      <c r="P233" s="233">
        <v>46000</v>
      </c>
      <c r="Q233" s="233">
        <f t="shared" si="31"/>
        <v>0</v>
      </c>
      <c r="R233" s="233">
        <v>50400</v>
      </c>
      <c r="S233" s="233">
        <f t="shared" si="32"/>
        <v>0</v>
      </c>
      <c r="T233" s="233">
        <v>52920</v>
      </c>
      <c r="U233" s="233">
        <f t="shared" si="33"/>
        <v>0</v>
      </c>
      <c r="V233" s="233" t="e">
        <f t="shared" si="34"/>
        <v>#DIV/0!</v>
      </c>
      <c r="W233" s="241">
        <f t="shared" si="35"/>
        <v>0</v>
      </c>
      <c r="X233" s="232"/>
      <c r="AA233" s="232"/>
      <c r="AB233" s="232"/>
    </row>
    <row r="234" spans="1:29" x14ac:dyDescent="0.35">
      <c r="B234" s="245"/>
      <c r="C234" s="246"/>
      <c r="D234" s="246"/>
      <c r="E234" s="251"/>
      <c r="F234" s="225" t="s">
        <v>390</v>
      </c>
      <c r="G234" s="226" t="s">
        <v>388</v>
      </c>
      <c r="H234" s="227"/>
      <c r="I234" s="228"/>
      <c r="J234" s="229"/>
      <c r="K234" s="239">
        <v>1</v>
      </c>
      <c r="L234" s="230"/>
      <c r="M234" s="235">
        <v>136</v>
      </c>
      <c r="N234" s="233">
        <v>1</v>
      </c>
      <c r="O234" s="233">
        <f>K234*L234*M234*N234</f>
        <v>0</v>
      </c>
      <c r="P234" s="235">
        <v>4500</v>
      </c>
      <c r="Q234" s="235">
        <f t="shared" si="31"/>
        <v>0</v>
      </c>
      <c r="R234" s="233">
        <v>4725</v>
      </c>
      <c r="S234" s="233">
        <f t="shared" si="32"/>
        <v>0</v>
      </c>
      <c r="T234" s="233">
        <v>4961.25</v>
      </c>
      <c r="U234" s="233">
        <f t="shared" si="33"/>
        <v>0</v>
      </c>
      <c r="V234" s="233" t="e">
        <f t="shared" si="34"/>
        <v>#DIV/0!</v>
      </c>
      <c r="W234" s="241">
        <f t="shared" si="35"/>
        <v>0</v>
      </c>
      <c r="X234" s="232"/>
      <c r="Y234" s="473" t="e">
        <f>Q234/L234</f>
        <v>#DIV/0!</v>
      </c>
      <c r="Z234" s="473" t="e">
        <f>Y234/136</f>
        <v>#DIV/0!</v>
      </c>
      <c r="AA234" s="232"/>
      <c r="AB234" s="232"/>
    </row>
    <row r="235" spans="1:29" x14ac:dyDescent="0.35">
      <c r="B235" s="248"/>
      <c r="C235" s="249"/>
      <c r="D235" s="249"/>
      <c r="E235" s="250"/>
      <c r="F235" s="225" t="s">
        <v>365</v>
      </c>
      <c r="G235" s="226" t="s">
        <v>205</v>
      </c>
      <c r="H235" s="227"/>
      <c r="I235" s="228"/>
      <c r="J235" s="229"/>
      <c r="K235" s="239"/>
      <c r="L235" s="230"/>
      <c r="M235" s="235">
        <v>2</v>
      </c>
      <c r="N235" s="233">
        <v>1</v>
      </c>
      <c r="O235" s="233">
        <f>K235*M235*N235</f>
        <v>0</v>
      </c>
      <c r="P235" s="233">
        <v>139719</v>
      </c>
      <c r="Q235" s="233">
        <f>P235*$O235</f>
        <v>0</v>
      </c>
      <c r="R235" s="233">
        <v>146704.95000000001</v>
      </c>
      <c r="S235" s="233">
        <f>R235*$O235</f>
        <v>0</v>
      </c>
      <c r="T235" s="233">
        <v>154040.19750000001</v>
      </c>
      <c r="U235" s="233">
        <f>T235*$O235</f>
        <v>0</v>
      </c>
      <c r="V235" s="233" t="e">
        <f t="shared" si="34"/>
        <v>#DIV/0!</v>
      </c>
      <c r="W235" s="241">
        <f t="shared" si="35"/>
        <v>0</v>
      </c>
      <c r="X235" s="232"/>
      <c r="AA235" s="232"/>
      <c r="AB235" s="232"/>
    </row>
    <row r="236" spans="1:29" s="415" customFormat="1" x14ac:dyDescent="0.35">
      <c r="A236" s="412"/>
      <c r="B236" s="367" t="s">
        <v>391</v>
      </c>
      <c r="C236" s="368"/>
      <c r="D236" s="368"/>
      <c r="E236" s="369"/>
      <c r="F236" s="389"/>
      <c r="G236" s="390"/>
      <c r="H236" s="391"/>
      <c r="I236" s="392"/>
      <c r="J236" s="393"/>
      <c r="K236" s="394"/>
      <c r="L236" s="394"/>
      <c r="M236" s="395"/>
      <c r="N236" s="343"/>
      <c r="O236" s="343"/>
      <c r="P236" s="343"/>
      <c r="Q236" s="343">
        <f>SUM(Q220:Q235)</f>
        <v>0</v>
      </c>
      <c r="R236" s="343"/>
      <c r="S236" s="343">
        <f>SUM(S165:S235)</f>
        <v>0</v>
      </c>
      <c r="T236" s="343"/>
      <c r="U236" s="343">
        <f>SUM(U165:U235)</f>
        <v>0</v>
      </c>
      <c r="V236" s="343"/>
      <c r="W236" s="343">
        <f>SUM(W165:W235)</f>
        <v>0</v>
      </c>
      <c r="X236" s="396"/>
      <c r="Y236" s="412"/>
      <c r="Z236" s="412"/>
      <c r="AA236" s="396"/>
      <c r="AB236" s="396"/>
      <c r="AC236" s="412"/>
    </row>
    <row r="237" spans="1:29" x14ac:dyDescent="0.35">
      <c r="B237" s="227"/>
      <c r="C237" s="223" t="s">
        <v>474</v>
      </c>
      <c r="D237" s="228"/>
      <c r="E237" s="247"/>
      <c r="F237" s="225"/>
      <c r="G237" s="226"/>
      <c r="H237" s="227"/>
      <c r="I237" s="228"/>
      <c r="J237" s="229"/>
      <c r="K237" s="230"/>
      <c r="L237" s="230"/>
      <c r="M237" s="231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2"/>
      <c r="AA237" s="232"/>
      <c r="AB237" s="232"/>
    </row>
    <row r="238" spans="1:29" x14ac:dyDescent="0.35">
      <c r="B238" s="227"/>
      <c r="C238" s="223"/>
      <c r="D238" s="228" t="s">
        <v>393</v>
      </c>
      <c r="E238" s="247"/>
      <c r="F238" s="225"/>
      <c r="G238" s="226"/>
      <c r="H238" s="227"/>
      <c r="I238" s="228"/>
      <c r="J238" s="229"/>
      <c r="K238" s="230"/>
      <c r="L238" s="230"/>
      <c r="M238" s="231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2"/>
      <c r="AA238" s="232"/>
      <c r="AB238" s="232"/>
    </row>
    <row r="239" spans="1:29" x14ac:dyDescent="0.35">
      <c r="B239" s="236"/>
      <c r="C239" s="237"/>
      <c r="D239" s="237"/>
      <c r="E239" s="238" t="s">
        <v>394</v>
      </c>
      <c r="F239" s="225" t="s">
        <v>187</v>
      </c>
      <c r="G239" s="226" t="s">
        <v>188</v>
      </c>
      <c r="H239" s="227"/>
      <c r="I239" s="228"/>
      <c r="J239" s="229"/>
      <c r="K239" s="230"/>
      <c r="L239" s="230"/>
      <c r="M239" s="231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2"/>
      <c r="AA239" s="232"/>
      <c r="AB239" s="232"/>
    </row>
    <row r="240" spans="1:29" hidden="1" x14ac:dyDescent="0.35">
      <c r="B240" s="245"/>
      <c r="C240" s="246"/>
      <c r="D240" s="246"/>
      <c r="E240" s="251"/>
      <c r="F240" s="225" t="s">
        <v>395</v>
      </c>
      <c r="G240" s="226" t="s">
        <v>232</v>
      </c>
      <c r="H240" s="227"/>
      <c r="I240" s="228"/>
      <c r="J240" s="229"/>
      <c r="K240" s="230"/>
      <c r="L240" s="230"/>
      <c r="M240" s="231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2"/>
      <c r="AA240" s="232"/>
      <c r="AB240" s="232"/>
    </row>
    <row r="241" spans="2:28" hidden="1" x14ac:dyDescent="0.35">
      <c r="B241" s="248"/>
      <c r="C241" s="249"/>
      <c r="D241" s="249"/>
      <c r="E241" s="250"/>
      <c r="F241" s="225" t="s">
        <v>396</v>
      </c>
      <c r="G241" s="226" t="s">
        <v>193</v>
      </c>
      <c r="H241" s="227"/>
      <c r="I241" s="228"/>
      <c r="J241" s="229"/>
      <c r="K241" s="230"/>
      <c r="L241" s="230"/>
      <c r="M241" s="231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2"/>
      <c r="AA241" s="232"/>
      <c r="AB241" s="232"/>
    </row>
    <row r="242" spans="2:28" x14ac:dyDescent="0.35">
      <c r="B242" s="236"/>
      <c r="C242" s="237"/>
      <c r="D242" s="237"/>
      <c r="E242" s="238" t="s">
        <v>397</v>
      </c>
      <c r="F242" s="225" t="s">
        <v>187</v>
      </c>
      <c r="G242" s="226" t="s">
        <v>188</v>
      </c>
      <c r="H242" s="227"/>
      <c r="I242" s="228"/>
      <c r="J242" s="229"/>
      <c r="K242" s="239">
        <v>1</v>
      </c>
      <c r="L242" s="230"/>
      <c r="M242" s="233">
        <v>0.25</v>
      </c>
      <c r="N242" s="233">
        <v>1</v>
      </c>
      <c r="O242" s="233">
        <f>K242*L242*M242*N242</f>
        <v>0</v>
      </c>
      <c r="P242" s="233">
        <v>140008</v>
      </c>
      <c r="Q242" s="233">
        <f>P242*$O242</f>
        <v>0</v>
      </c>
      <c r="R242" s="233">
        <v>149108.51999999999</v>
      </c>
      <c r="S242" s="233">
        <f>R242*$O242</f>
        <v>0</v>
      </c>
      <c r="T242" s="233">
        <v>158800.57379999998</v>
      </c>
      <c r="U242" s="233">
        <f>T242*$O242</f>
        <v>0</v>
      </c>
      <c r="V242" s="233" t="e">
        <f>W242/O242</f>
        <v>#DIV/0!</v>
      </c>
      <c r="W242" s="241">
        <f>AVERAGEIF($P$3:$U$3,W$3,$P242:$U242)</f>
        <v>0</v>
      </c>
      <c r="X242" s="232"/>
      <c r="AA242" s="232"/>
      <c r="AB242" s="232"/>
    </row>
    <row r="243" spans="2:28" hidden="1" x14ac:dyDescent="0.35">
      <c r="B243" s="248"/>
      <c r="C243" s="249"/>
      <c r="D243" s="249"/>
      <c r="E243" s="250"/>
      <c r="F243" s="225" t="s">
        <v>398</v>
      </c>
      <c r="G243" s="226" t="s">
        <v>191</v>
      </c>
      <c r="H243" s="227"/>
      <c r="I243" s="228"/>
      <c r="J243" s="229"/>
      <c r="K243" s="239">
        <v>1</v>
      </c>
      <c r="L243" s="230"/>
      <c r="M243" s="366">
        <v>1.0880000000000001</v>
      </c>
      <c r="N243" s="233">
        <v>1</v>
      </c>
      <c r="O243" s="233">
        <f>K243*L243*M243*N243</f>
        <v>0</v>
      </c>
      <c r="P243" s="233">
        <v>35251.199999999997</v>
      </c>
      <c r="Q243" s="233">
        <f>P243*$O243</f>
        <v>0</v>
      </c>
      <c r="R243" s="233">
        <v>34272</v>
      </c>
      <c r="S243" s="233">
        <f>R243*$O243</f>
        <v>0</v>
      </c>
      <c r="T243" s="233">
        <v>35985.599999999999</v>
      </c>
      <c r="U243" s="233">
        <f>T243*$O243</f>
        <v>0</v>
      </c>
      <c r="V243" s="233" t="e">
        <f>W243/O243</f>
        <v>#DIV/0!</v>
      </c>
      <c r="W243" s="241">
        <f>AVERAGEIF($P$3:$U$3,W$3,$P243:$U243)</f>
        <v>0</v>
      </c>
      <c r="X243" s="232"/>
      <c r="AA243" s="232"/>
      <c r="AB243" s="232"/>
    </row>
    <row r="244" spans="2:28" x14ac:dyDescent="0.35">
      <c r="B244" s="236"/>
      <c r="C244" s="237"/>
      <c r="D244" s="237"/>
      <c r="E244" s="238" t="s">
        <v>399</v>
      </c>
      <c r="F244" s="225" t="s">
        <v>187</v>
      </c>
      <c r="G244" s="226" t="s">
        <v>188</v>
      </c>
      <c r="H244" s="227"/>
      <c r="I244" s="228"/>
      <c r="J244" s="229"/>
      <c r="K244" s="239">
        <v>1</v>
      </c>
      <c r="L244" s="230"/>
      <c r="M244" s="233">
        <v>0.25</v>
      </c>
      <c r="N244" s="233">
        <v>1</v>
      </c>
      <c r="O244" s="233">
        <f>K244*L244*M244*N244</f>
        <v>0</v>
      </c>
      <c r="P244" s="233">
        <v>140008</v>
      </c>
      <c r="Q244" s="233">
        <f>P244*$O244</f>
        <v>0</v>
      </c>
      <c r="R244" s="233"/>
      <c r="S244" s="233"/>
      <c r="T244" s="233"/>
      <c r="U244" s="233"/>
      <c r="V244" s="233"/>
      <c r="W244" s="233"/>
      <c r="X244" s="232"/>
      <c r="AA244" s="232"/>
      <c r="AB244" s="232"/>
    </row>
    <row r="245" spans="2:28" hidden="1" x14ac:dyDescent="0.35">
      <c r="B245" s="245"/>
      <c r="C245" s="246"/>
      <c r="D245" s="246"/>
      <c r="E245" s="251"/>
      <c r="F245" s="225" t="s">
        <v>400</v>
      </c>
      <c r="G245" s="226" t="s">
        <v>401</v>
      </c>
      <c r="H245" s="227"/>
      <c r="I245" s="228"/>
      <c r="J245" s="229"/>
      <c r="K245" s="239">
        <v>1</v>
      </c>
      <c r="L245" s="230"/>
      <c r="M245" s="233">
        <f>5*136/1000</f>
        <v>0.68</v>
      </c>
      <c r="N245" s="233">
        <v>12</v>
      </c>
      <c r="O245" s="233">
        <f>K245*L245*M245*N245</f>
        <v>0</v>
      </c>
      <c r="P245" s="233">
        <v>30844.799999999999</v>
      </c>
      <c r="Q245" s="233">
        <f>P245*$O245</f>
        <v>0</v>
      </c>
      <c r="R245" s="233"/>
      <c r="S245" s="233"/>
      <c r="T245" s="233"/>
      <c r="U245" s="233"/>
      <c r="V245" s="233"/>
      <c r="W245" s="233"/>
      <c r="X245" s="232" t="s">
        <v>361</v>
      </c>
      <c r="AA245" s="232"/>
      <c r="AB245" s="232"/>
    </row>
    <row r="246" spans="2:28" hidden="1" x14ac:dyDescent="0.35">
      <c r="B246" s="245"/>
      <c r="C246" s="246"/>
      <c r="D246" s="246"/>
      <c r="E246" s="251"/>
      <c r="F246" s="225" t="s">
        <v>402</v>
      </c>
      <c r="G246" s="226" t="s">
        <v>403</v>
      </c>
      <c r="H246" s="227"/>
      <c r="I246" s="228"/>
      <c r="J246" s="229"/>
      <c r="K246" s="230"/>
      <c r="L246" s="230"/>
      <c r="M246" s="231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2"/>
      <c r="AA246" s="232"/>
      <c r="AB246" s="232"/>
    </row>
    <row r="247" spans="2:28" hidden="1" x14ac:dyDescent="0.35">
      <c r="B247" s="245"/>
      <c r="C247" s="246"/>
      <c r="D247" s="246"/>
      <c r="E247" s="251"/>
      <c r="F247" s="225" t="s">
        <v>404</v>
      </c>
      <c r="G247" s="226" t="s">
        <v>191</v>
      </c>
      <c r="H247" s="227"/>
      <c r="I247" s="228"/>
      <c r="J247" s="229"/>
      <c r="K247" s="230"/>
      <c r="L247" s="230"/>
      <c r="M247" s="231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2"/>
      <c r="AA247" s="232"/>
      <c r="AB247" s="232"/>
    </row>
    <row r="248" spans="2:28" hidden="1" x14ac:dyDescent="0.35">
      <c r="B248" s="248"/>
      <c r="C248" s="249"/>
      <c r="D248" s="249"/>
      <c r="E248" s="250"/>
      <c r="F248" s="225" t="s">
        <v>405</v>
      </c>
      <c r="G248" s="226" t="s">
        <v>193</v>
      </c>
      <c r="H248" s="227"/>
      <c r="I248" s="228"/>
      <c r="J248" s="229"/>
      <c r="K248" s="239">
        <v>1</v>
      </c>
      <c r="L248" s="230"/>
      <c r="M248" s="233">
        <v>1</v>
      </c>
      <c r="N248" s="233">
        <v>1</v>
      </c>
      <c r="O248" s="235">
        <f>K248*L248*M248*N248</f>
        <v>0</v>
      </c>
      <c r="P248" s="235">
        <v>25000</v>
      </c>
      <c r="Q248" s="235">
        <f>P248*$O248</f>
        <v>0</v>
      </c>
      <c r="R248" s="233"/>
      <c r="S248" s="233"/>
      <c r="T248" s="233"/>
      <c r="U248" s="233"/>
      <c r="V248" s="233"/>
      <c r="W248" s="233"/>
      <c r="X248" s="232"/>
      <c r="AA248" s="232"/>
      <c r="AB248" s="232"/>
    </row>
    <row r="249" spans="2:28" x14ac:dyDescent="0.35">
      <c r="B249" s="236"/>
      <c r="C249" s="237"/>
      <c r="D249" s="237"/>
      <c r="E249" s="238" t="s">
        <v>475</v>
      </c>
      <c r="F249" s="225" t="s">
        <v>187</v>
      </c>
      <c r="G249" s="226" t="s">
        <v>188</v>
      </c>
      <c r="H249" s="227"/>
      <c r="I249" s="228"/>
      <c r="J249" s="229"/>
      <c r="K249" s="230"/>
      <c r="L249" s="230"/>
      <c r="M249" s="231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2"/>
      <c r="AA249" s="232"/>
      <c r="AB249" s="232"/>
    </row>
    <row r="250" spans="2:28" hidden="1" x14ac:dyDescent="0.35">
      <c r="B250" s="248"/>
      <c r="C250" s="249"/>
      <c r="D250" s="249"/>
      <c r="E250" s="250"/>
      <c r="F250" s="225" t="s">
        <v>476</v>
      </c>
      <c r="G250" s="226" t="s">
        <v>232</v>
      </c>
      <c r="H250" s="227"/>
      <c r="I250" s="228"/>
      <c r="J250" s="229"/>
      <c r="K250" s="230"/>
      <c r="L250" s="230"/>
      <c r="M250" s="231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2"/>
      <c r="AA250" s="232"/>
      <c r="AB250" s="232"/>
    </row>
    <row r="251" spans="2:28" x14ac:dyDescent="0.35">
      <c r="B251" s="236"/>
      <c r="C251" s="237"/>
      <c r="D251" s="237"/>
      <c r="E251" s="238" t="s">
        <v>409</v>
      </c>
      <c r="F251" s="225" t="s">
        <v>187</v>
      </c>
      <c r="G251" s="226" t="s">
        <v>188</v>
      </c>
      <c r="H251" s="227"/>
      <c r="I251" s="228"/>
      <c r="J251" s="229"/>
      <c r="K251" s="230"/>
      <c r="L251" s="230"/>
      <c r="M251" s="240">
        <v>22.5</v>
      </c>
      <c r="N251" s="240">
        <v>1</v>
      </c>
      <c r="O251" s="233"/>
      <c r="P251" s="233"/>
      <c r="Q251" s="233"/>
      <c r="R251" s="233"/>
      <c r="S251" s="233"/>
      <c r="T251" s="233"/>
      <c r="U251" s="233"/>
      <c r="V251" s="233"/>
      <c r="W251" s="233"/>
      <c r="X251" s="232"/>
      <c r="AA251" s="232"/>
      <c r="AB251" s="232"/>
    </row>
    <row r="252" spans="2:28" hidden="1" x14ac:dyDescent="0.35">
      <c r="B252" s="245"/>
      <c r="C252" s="246"/>
      <c r="D252" s="246"/>
      <c r="E252" s="251"/>
      <c r="F252" s="225" t="s">
        <v>410</v>
      </c>
      <c r="G252" s="226" t="s">
        <v>411</v>
      </c>
      <c r="H252" s="227"/>
      <c r="I252" s="228"/>
      <c r="J252" s="229"/>
      <c r="K252" s="230"/>
      <c r="L252" s="230"/>
      <c r="M252" s="240">
        <v>0.27200000000000002</v>
      </c>
      <c r="N252" s="240">
        <v>1</v>
      </c>
      <c r="O252" s="233"/>
      <c r="P252" s="233"/>
      <c r="Q252" s="233"/>
      <c r="R252" s="233"/>
      <c r="S252" s="233"/>
      <c r="T252" s="233"/>
      <c r="U252" s="233"/>
      <c r="V252" s="233"/>
      <c r="W252" s="419"/>
      <c r="X252" s="319"/>
      <c r="AA252" s="232"/>
      <c r="AB252" s="232"/>
    </row>
    <row r="253" spans="2:28" hidden="1" x14ac:dyDescent="0.35">
      <c r="B253" s="245"/>
      <c r="C253" s="246"/>
      <c r="D253" s="246"/>
      <c r="E253" s="251"/>
      <c r="F253" s="225" t="s">
        <v>412</v>
      </c>
      <c r="G253" s="226" t="s">
        <v>191</v>
      </c>
      <c r="H253" s="227"/>
      <c r="I253" s="228"/>
      <c r="J253" s="229"/>
      <c r="K253" s="230"/>
      <c r="L253" s="230"/>
      <c r="M253" s="240">
        <v>0.13600000000000001</v>
      </c>
      <c r="N253" s="240">
        <v>1</v>
      </c>
      <c r="O253" s="233"/>
      <c r="P253" s="233"/>
      <c r="Q253" s="233"/>
      <c r="R253" s="233"/>
      <c r="S253" s="233"/>
      <c r="T253" s="233"/>
      <c r="U253" s="233"/>
      <c r="V253" s="233"/>
      <c r="W253" s="419"/>
      <c r="X253" s="319"/>
      <c r="AA253" s="232"/>
      <c r="AB253" s="232"/>
    </row>
    <row r="254" spans="2:28" x14ac:dyDescent="0.35">
      <c r="B254" s="236"/>
      <c r="C254" s="237"/>
      <c r="D254" s="237" t="s">
        <v>163</v>
      </c>
      <c r="E254" s="238"/>
      <c r="F254" s="225" t="s">
        <v>187</v>
      </c>
      <c r="G254" s="226" t="s">
        <v>188</v>
      </c>
      <c r="H254" s="227"/>
      <c r="I254" s="228"/>
      <c r="J254" s="229"/>
      <c r="K254" s="239">
        <v>0.25</v>
      </c>
      <c r="L254" s="230"/>
      <c r="M254" s="235">
        <v>5</v>
      </c>
      <c r="N254" s="235">
        <v>1</v>
      </c>
      <c r="O254" s="235">
        <f>K254*L254*M254*N254</f>
        <v>0</v>
      </c>
      <c r="P254" s="235">
        <v>140008</v>
      </c>
      <c r="Q254" s="233">
        <f>P254*$O254</f>
        <v>0</v>
      </c>
      <c r="R254" s="233">
        <v>149108.51999999999</v>
      </c>
      <c r="S254" s="233">
        <f>R254*$O254</f>
        <v>0</v>
      </c>
      <c r="T254" s="233">
        <v>158800.57379999998</v>
      </c>
      <c r="U254" s="233">
        <f>T254*$O254</f>
        <v>0</v>
      </c>
      <c r="V254" s="233" t="e">
        <f>W254/O254</f>
        <v>#DIV/0!</v>
      </c>
      <c r="W254" s="241">
        <f>AVERAGEIF($P$3:$U$3,W$3,$P254:$U254)</f>
        <v>0</v>
      </c>
      <c r="X254" s="491"/>
      <c r="AA254" s="232"/>
      <c r="AB254" s="232"/>
    </row>
    <row r="255" spans="2:28" hidden="1" x14ac:dyDescent="0.35">
      <c r="B255" s="248"/>
      <c r="C255" s="249"/>
      <c r="D255" s="249"/>
      <c r="E255" s="250"/>
      <c r="F255" s="225" t="s">
        <v>291</v>
      </c>
      <c r="G255" s="226" t="s">
        <v>193</v>
      </c>
      <c r="H255" s="227"/>
      <c r="I255" s="228"/>
      <c r="J255" s="229"/>
      <c r="K255" s="239">
        <v>1</v>
      </c>
      <c r="L255" s="230"/>
      <c r="M255" s="235">
        <v>1</v>
      </c>
      <c r="N255" s="235">
        <v>1</v>
      </c>
      <c r="O255" s="235">
        <f>K255*L255*M255*N255</f>
        <v>0</v>
      </c>
      <c r="P255" s="235">
        <v>75798.75</v>
      </c>
      <c r="Q255" s="235">
        <f>P255*$O255</f>
        <v>0</v>
      </c>
      <c r="R255" s="492"/>
      <c r="S255" s="492"/>
      <c r="T255" s="492"/>
      <c r="U255" s="492"/>
      <c r="V255" s="492"/>
      <c r="W255" s="492"/>
      <c r="X255" s="491"/>
      <c r="AA255" s="232"/>
      <c r="AB255" s="232"/>
    </row>
    <row r="256" spans="2:28" x14ac:dyDescent="0.35">
      <c r="B256" s="236"/>
      <c r="C256" s="237"/>
      <c r="D256" s="237" t="s">
        <v>161</v>
      </c>
      <c r="E256" s="238"/>
      <c r="F256" s="225" t="s">
        <v>187</v>
      </c>
      <c r="G256" s="226" t="s">
        <v>188</v>
      </c>
      <c r="H256" s="227"/>
      <c r="I256" s="228"/>
      <c r="J256" s="229"/>
      <c r="K256" s="239">
        <v>1</v>
      </c>
      <c r="L256" s="230"/>
      <c r="M256" s="235">
        <v>4</v>
      </c>
      <c r="N256" s="235">
        <v>1</v>
      </c>
      <c r="O256" s="235">
        <f>K256*L256*M256*N256</f>
        <v>0</v>
      </c>
      <c r="P256" s="235">
        <v>140008</v>
      </c>
      <c r="Q256" s="233">
        <f>P256*$O256</f>
        <v>0</v>
      </c>
      <c r="R256" s="233"/>
      <c r="S256" s="233"/>
      <c r="T256" s="233"/>
      <c r="U256" s="233"/>
      <c r="V256" s="233"/>
      <c r="W256" s="233"/>
      <c r="X256" s="232" t="s">
        <v>413</v>
      </c>
      <c r="AA256" s="232"/>
      <c r="AB256" s="232"/>
    </row>
    <row r="257" spans="1:29" hidden="1" x14ac:dyDescent="0.35">
      <c r="B257" s="248"/>
      <c r="C257" s="249"/>
      <c r="D257" s="249"/>
      <c r="E257" s="250"/>
      <c r="F257" s="225" t="s">
        <v>291</v>
      </c>
      <c r="G257" s="226" t="s">
        <v>193</v>
      </c>
      <c r="H257" s="227"/>
      <c r="I257" s="228"/>
      <c r="J257" s="229"/>
      <c r="K257" s="230"/>
      <c r="L257" s="230"/>
      <c r="M257" s="231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2"/>
      <c r="AA257" s="232"/>
      <c r="AB257" s="232"/>
    </row>
    <row r="258" spans="1:29" s="415" customFormat="1" x14ac:dyDescent="0.35">
      <c r="A258" s="412"/>
      <c r="B258" s="367" t="s">
        <v>414</v>
      </c>
      <c r="C258" s="368"/>
      <c r="D258" s="368"/>
      <c r="E258" s="369"/>
      <c r="F258" s="389"/>
      <c r="G258" s="390"/>
      <c r="H258" s="391"/>
      <c r="I258" s="392"/>
      <c r="J258" s="393"/>
      <c r="K258" s="394"/>
      <c r="L258" s="394"/>
      <c r="M258" s="395"/>
      <c r="N258" s="343"/>
      <c r="O258" s="343"/>
      <c r="P258" s="343"/>
      <c r="Q258" s="343">
        <f>SUM(Q238:Q257)</f>
        <v>0</v>
      </c>
      <c r="R258" s="343"/>
      <c r="S258" s="343">
        <f>SUM(S186:S257)</f>
        <v>0</v>
      </c>
      <c r="T258" s="343"/>
      <c r="U258" s="343">
        <f>SUM(U186:U257)</f>
        <v>0</v>
      </c>
      <c r="V258" s="343"/>
      <c r="W258" s="343">
        <f>SUM(W186:W257)</f>
        <v>0</v>
      </c>
      <c r="X258" s="396"/>
      <c r="Y258" s="412"/>
      <c r="Z258" s="412"/>
      <c r="AA258" s="396"/>
      <c r="AB258" s="396"/>
      <c r="AC258" s="412"/>
    </row>
    <row r="259" spans="1:29" x14ac:dyDescent="0.35">
      <c r="B259" s="227"/>
      <c r="C259" s="223" t="s">
        <v>415</v>
      </c>
      <c r="D259" s="228"/>
      <c r="E259" s="247"/>
      <c r="F259" s="225"/>
      <c r="G259" s="226"/>
      <c r="H259" s="227"/>
      <c r="I259" s="228"/>
      <c r="J259" s="229"/>
      <c r="K259" s="230"/>
      <c r="L259" s="289"/>
      <c r="M259" s="377"/>
      <c r="N259" s="373"/>
      <c r="O259" s="373"/>
      <c r="P259" s="233"/>
      <c r="Q259" s="233"/>
      <c r="R259" s="233"/>
      <c r="S259" s="233"/>
      <c r="T259" s="233"/>
      <c r="U259" s="233"/>
      <c r="V259" s="233"/>
      <c r="W259" s="233"/>
      <c r="X259" s="232"/>
      <c r="AA259" s="232"/>
      <c r="AB259" s="232"/>
    </row>
    <row r="260" spans="1:29" x14ac:dyDescent="0.35">
      <c r="B260" s="236"/>
      <c r="C260" s="494"/>
      <c r="D260" s="237" t="s">
        <v>357</v>
      </c>
      <c r="E260" s="238"/>
      <c r="F260" s="225"/>
      <c r="G260" s="226"/>
      <c r="H260" s="227"/>
      <c r="I260" s="228"/>
      <c r="J260" s="229"/>
      <c r="K260" s="230"/>
      <c r="L260" s="289"/>
      <c r="M260" s="377"/>
      <c r="N260" s="373"/>
      <c r="O260" s="373"/>
      <c r="P260" s="233"/>
      <c r="Q260" s="233"/>
      <c r="R260" s="233"/>
      <c r="S260" s="233"/>
      <c r="T260" s="233"/>
      <c r="U260" s="233"/>
      <c r="V260" s="233"/>
      <c r="W260" s="233"/>
      <c r="X260" s="232"/>
      <c r="AA260" s="232"/>
      <c r="AB260" s="232"/>
    </row>
    <row r="261" spans="1:29" x14ac:dyDescent="0.35">
      <c r="B261" s="245"/>
      <c r="C261" s="495"/>
      <c r="D261" s="246"/>
      <c r="E261" s="470" t="s">
        <v>477</v>
      </c>
      <c r="F261" s="232" t="s">
        <v>187</v>
      </c>
      <c r="G261" s="318" t="s">
        <v>188</v>
      </c>
      <c r="H261" s="319"/>
      <c r="I261" s="320"/>
      <c r="J261" s="318" t="s">
        <v>189</v>
      </c>
      <c r="K261" s="420"/>
      <c r="L261" s="496">
        <v>1</v>
      </c>
      <c r="M261" s="500">
        <v>0.5</v>
      </c>
      <c r="N261" s="373">
        <v>3</v>
      </c>
      <c r="O261" s="498">
        <f t="shared" ref="O261:O269" si="36">K261*L261*M261*N261</f>
        <v>0</v>
      </c>
      <c r="P261" s="233">
        <v>140008</v>
      </c>
      <c r="Q261" s="233">
        <f t="shared" ref="Q261:Q269" si="37">P261*$O261</f>
        <v>0</v>
      </c>
      <c r="R261" s="233">
        <v>149108.51999999999</v>
      </c>
      <c r="S261" s="233">
        <f t="shared" ref="S261:S269" si="38">R261*$O261</f>
        <v>0</v>
      </c>
      <c r="T261" s="233">
        <v>158800.57379999998</v>
      </c>
      <c r="U261" s="233">
        <f t="shared" ref="U261:U269" si="39">T261*$O261</f>
        <v>0</v>
      </c>
      <c r="V261" s="233" t="e">
        <f t="shared" ref="V261:V269" si="40">W261/O261</f>
        <v>#DIV/0!</v>
      </c>
      <c r="W261" s="241">
        <f t="shared" ref="W261:W269" si="41">AVERAGEIF($P$3:$U$3,W$3,$P261:$U261)</f>
        <v>0</v>
      </c>
      <c r="X261" s="232"/>
      <c r="AA261" s="232"/>
      <c r="AB261" s="232"/>
    </row>
    <row r="262" spans="1:29" hidden="1" x14ac:dyDescent="0.35">
      <c r="B262" s="245"/>
      <c r="C262" s="495"/>
      <c r="D262" s="246"/>
      <c r="E262" s="94"/>
      <c r="F262" s="232" t="s">
        <v>359</v>
      </c>
      <c r="G262" s="318" t="s">
        <v>188</v>
      </c>
      <c r="H262" s="319"/>
      <c r="I262" s="320"/>
      <c r="J262" s="318" t="s">
        <v>189</v>
      </c>
      <c r="K262" s="501"/>
      <c r="L262" s="496"/>
      <c r="M262" s="500">
        <v>0.18</v>
      </c>
      <c r="N262" s="373">
        <f>N261</f>
        <v>3</v>
      </c>
      <c r="O262" s="498">
        <f t="shared" si="36"/>
        <v>0</v>
      </c>
      <c r="P262" s="233">
        <v>140008</v>
      </c>
      <c r="Q262" s="233">
        <f t="shared" si="37"/>
        <v>0</v>
      </c>
      <c r="R262" s="233">
        <v>149108.51999999999</v>
      </c>
      <c r="S262" s="233">
        <f t="shared" si="38"/>
        <v>0</v>
      </c>
      <c r="T262" s="233">
        <v>158800.57379999998</v>
      </c>
      <c r="U262" s="233">
        <f t="shared" si="39"/>
        <v>0</v>
      </c>
      <c r="V262" s="233" t="e">
        <f t="shared" si="40"/>
        <v>#DIV/0!</v>
      </c>
      <c r="W262" s="241">
        <f t="shared" si="41"/>
        <v>0</v>
      </c>
      <c r="X262" s="232"/>
      <c r="AA262" s="232"/>
      <c r="AB262" s="232"/>
    </row>
    <row r="263" spans="1:29" hidden="1" x14ac:dyDescent="0.35">
      <c r="B263" s="245"/>
      <c r="C263" s="495"/>
      <c r="D263" s="246"/>
      <c r="E263" s="94"/>
      <c r="F263" s="232" t="s">
        <v>236</v>
      </c>
      <c r="G263" s="318" t="s">
        <v>188</v>
      </c>
      <c r="H263" s="319"/>
      <c r="I263" s="320"/>
      <c r="J263" s="318" t="s">
        <v>189</v>
      </c>
      <c r="K263" s="420"/>
      <c r="L263" s="496">
        <v>1</v>
      </c>
      <c r="M263" s="500">
        <f>M261</f>
        <v>0.5</v>
      </c>
      <c r="N263" s="373">
        <f t="shared" ref="N263:N269" si="42">N262</f>
        <v>3</v>
      </c>
      <c r="O263" s="498">
        <f t="shared" si="36"/>
        <v>0</v>
      </c>
      <c r="P263" s="233">
        <v>3700</v>
      </c>
      <c r="Q263" s="233">
        <f t="shared" si="37"/>
        <v>0</v>
      </c>
      <c r="R263" s="233">
        <v>3940.5</v>
      </c>
      <c r="S263" s="233">
        <f t="shared" si="38"/>
        <v>0</v>
      </c>
      <c r="T263" s="233">
        <v>4196.6324999999997</v>
      </c>
      <c r="U263" s="233">
        <f t="shared" si="39"/>
        <v>0</v>
      </c>
      <c r="V263" s="233" t="e">
        <f t="shared" si="40"/>
        <v>#DIV/0!</v>
      </c>
      <c r="W263" s="241">
        <f t="shared" si="41"/>
        <v>0</v>
      </c>
      <c r="X263" s="232"/>
      <c r="AA263" s="232"/>
      <c r="AB263" s="232"/>
    </row>
    <row r="264" spans="1:29" hidden="1" x14ac:dyDescent="0.35">
      <c r="B264" s="245"/>
      <c r="C264" s="495"/>
      <c r="D264" s="246"/>
      <c r="E264" s="94"/>
      <c r="F264" s="232" t="s">
        <v>360</v>
      </c>
      <c r="G264" s="318" t="s">
        <v>193</v>
      </c>
      <c r="H264" s="319">
        <v>1</v>
      </c>
      <c r="I264" s="320" t="s">
        <v>238</v>
      </c>
      <c r="J264" s="318" t="s">
        <v>189</v>
      </c>
      <c r="K264" s="420"/>
      <c r="L264" s="496">
        <v>1</v>
      </c>
      <c r="M264" s="500">
        <f>((M$261*N$261)/240)*($H264/N264)</f>
        <v>2.0833333333333333E-3</v>
      </c>
      <c r="N264" s="373">
        <f t="shared" si="42"/>
        <v>3</v>
      </c>
      <c r="O264" s="498">
        <f t="shared" si="36"/>
        <v>0</v>
      </c>
      <c r="P264" s="233">
        <v>5000</v>
      </c>
      <c r="Q264" s="233">
        <f t="shared" si="37"/>
        <v>0</v>
      </c>
      <c r="R264" s="233">
        <v>5250</v>
      </c>
      <c r="S264" s="233">
        <f t="shared" si="38"/>
        <v>0</v>
      </c>
      <c r="T264" s="233">
        <v>5512.5</v>
      </c>
      <c r="U264" s="233">
        <f t="shared" si="39"/>
        <v>0</v>
      </c>
      <c r="V264" s="233" t="e">
        <f t="shared" si="40"/>
        <v>#DIV/0!</v>
      </c>
      <c r="W264" s="241">
        <f t="shared" si="41"/>
        <v>0</v>
      </c>
      <c r="X264" s="232"/>
      <c r="AA264" s="232"/>
      <c r="AB264" s="232"/>
    </row>
    <row r="265" spans="1:29" hidden="1" x14ac:dyDescent="0.35">
      <c r="B265" s="245"/>
      <c r="C265" s="495"/>
      <c r="D265" s="246"/>
      <c r="E265" s="94"/>
      <c r="F265" s="232" t="s">
        <v>237</v>
      </c>
      <c r="G265" s="318" t="s">
        <v>193</v>
      </c>
      <c r="H265" s="319">
        <v>4</v>
      </c>
      <c r="I265" s="320" t="s">
        <v>238</v>
      </c>
      <c r="J265" s="318" t="s">
        <v>189</v>
      </c>
      <c r="K265" s="420"/>
      <c r="L265" s="496">
        <v>1</v>
      </c>
      <c r="M265" s="500">
        <f>((M$261*N$261)/240)*($H265/N265)</f>
        <v>8.3333333333333332E-3</v>
      </c>
      <c r="N265" s="373">
        <f t="shared" si="42"/>
        <v>3</v>
      </c>
      <c r="O265" s="498">
        <f t="shared" si="36"/>
        <v>0</v>
      </c>
      <c r="P265" s="233">
        <v>42840</v>
      </c>
      <c r="Q265" s="233">
        <f t="shared" si="37"/>
        <v>0</v>
      </c>
      <c r="R265" s="233">
        <v>44982</v>
      </c>
      <c r="S265" s="233">
        <f t="shared" si="38"/>
        <v>0</v>
      </c>
      <c r="T265" s="233">
        <v>47231.1</v>
      </c>
      <c r="U265" s="233">
        <f t="shared" si="39"/>
        <v>0</v>
      </c>
      <c r="V265" s="233" t="e">
        <f t="shared" si="40"/>
        <v>#DIV/0!</v>
      </c>
      <c r="W265" s="241">
        <f t="shared" si="41"/>
        <v>0</v>
      </c>
      <c r="X265" s="232"/>
      <c r="AA265" s="232"/>
      <c r="AB265" s="232"/>
    </row>
    <row r="266" spans="1:29" hidden="1" x14ac:dyDescent="0.35">
      <c r="B266" s="245"/>
      <c r="C266" s="495"/>
      <c r="D266" s="246"/>
      <c r="E266" s="94"/>
      <c r="F266" s="232" t="s">
        <v>239</v>
      </c>
      <c r="G266" s="318" t="s">
        <v>193</v>
      </c>
      <c r="H266" s="319">
        <v>12</v>
      </c>
      <c r="I266" s="320" t="s">
        <v>238</v>
      </c>
      <c r="J266" s="318" t="s">
        <v>189</v>
      </c>
      <c r="K266" s="420"/>
      <c r="L266" s="496">
        <v>1</v>
      </c>
      <c r="M266" s="500">
        <f>((M$261*N$261)/240)*($H266/N266)</f>
        <v>2.5000000000000001E-2</v>
      </c>
      <c r="N266" s="373">
        <f t="shared" si="42"/>
        <v>3</v>
      </c>
      <c r="O266" s="498">
        <f t="shared" si="36"/>
        <v>0</v>
      </c>
      <c r="P266" s="233">
        <v>14000</v>
      </c>
      <c r="Q266" s="233">
        <f t="shared" si="37"/>
        <v>0</v>
      </c>
      <c r="R266" s="233">
        <v>14700</v>
      </c>
      <c r="S266" s="233">
        <f t="shared" si="38"/>
        <v>0</v>
      </c>
      <c r="T266" s="233">
        <v>15435</v>
      </c>
      <c r="U266" s="233">
        <f t="shared" si="39"/>
        <v>0</v>
      </c>
      <c r="V266" s="233" t="e">
        <f t="shared" si="40"/>
        <v>#DIV/0!</v>
      </c>
      <c r="W266" s="241">
        <f t="shared" si="41"/>
        <v>0</v>
      </c>
      <c r="X266" s="232"/>
      <c r="AA266" s="232"/>
      <c r="AB266" s="232"/>
    </row>
    <row r="267" spans="1:29" hidden="1" x14ac:dyDescent="0.35">
      <c r="B267" s="245"/>
      <c r="C267" s="495"/>
      <c r="D267" s="246"/>
      <c r="E267" s="94"/>
      <c r="F267" s="232" t="s">
        <v>241</v>
      </c>
      <c r="G267" s="318" t="s">
        <v>193</v>
      </c>
      <c r="H267" s="319">
        <v>2</v>
      </c>
      <c r="I267" s="320" t="s">
        <v>238</v>
      </c>
      <c r="J267" s="318" t="s">
        <v>189</v>
      </c>
      <c r="K267" s="420"/>
      <c r="L267" s="496">
        <v>1</v>
      </c>
      <c r="M267" s="500">
        <f>((M$261*N$261)/240)*($H267/N267)</f>
        <v>4.1666666666666666E-3</v>
      </c>
      <c r="N267" s="373">
        <f t="shared" si="42"/>
        <v>3</v>
      </c>
      <c r="O267" s="498">
        <f t="shared" si="36"/>
        <v>0</v>
      </c>
      <c r="P267" s="233">
        <v>32130</v>
      </c>
      <c r="Q267" s="233">
        <f t="shared" si="37"/>
        <v>0</v>
      </c>
      <c r="R267" s="233">
        <v>33736.5</v>
      </c>
      <c r="S267" s="233">
        <f t="shared" si="38"/>
        <v>0</v>
      </c>
      <c r="T267" s="233">
        <v>35423.325000000004</v>
      </c>
      <c r="U267" s="233">
        <f t="shared" si="39"/>
        <v>0</v>
      </c>
      <c r="V267" s="233" t="e">
        <f t="shared" si="40"/>
        <v>#DIV/0!</v>
      </c>
      <c r="W267" s="241">
        <f t="shared" si="41"/>
        <v>0</v>
      </c>
      <c r="X267" s="232"/>
      <c r="AA267" s="232"/>
      <c r="AB267" s="232"/>
    </row>
    <row r="268" spans="1:29" hidden="1" x14ac:dyDescent="0.35">
      <c r="B268" s="245"/>
      <c r="C268" s="495"/>
      <c r="D268" s="246"/>
      <c r="E268" s="94"/>
      <c r="F268" s="232" t="s">
        <v>242</v>
      </c>
      <c r="G268" s="318" t="s">
        <v>193</v>
      </c>
      <c r="H268" s="319">
        <v>1</v>
      </c>
      <c r="I268" s="320" t="s">
        <v>238</v>
      </c>
      <c r="J268" s="318" t="s">
        <v>189</v>
      </c>
      <c r="K268" s="420"/>
      <c r="L268" s="496">
        <v>1</v>
      </c>
      <c r="M268" s="500">
        <f>((M$261*N$261)/240)*($H268/N268)</f>
        <v>2.0833333333333333E-3</v>
      </c>
      <c r="N268" s="373">
        <f t="shared" si="42"/>
        <v>3</v>
      </c>
      <c r="O268" s="498">
        <f t="shared" si="36"/>
        <v>0</v>
      </c>
      <c r="P268" s="233">
        <v>85680</v>
      </c>
      <c r="Q268" s="233">
        <f t="shared" si="37"/>
        <v>0</v>
      </c>
      <c r="R268" s="233">
        <v>89964</v>
      </c>
      <c r="S268" s="233">
        <f t="shared" si="38"/>
        <v>0</v>
      </c>
      <c r="T268" s="233">
        <v>94462.2</v>
      </c>
      <c r="U268" s="233">
        <f t="shared" si="39"/>
        <v>0</v>
      </c>
      <c r="V268" s="233" t="e">
        <f t="shared" si="40"/>
        <v>#DIV/0!</v>
      </c>
      <c r="W268" s="241">
        <f t="shared" si="41"/>
        <v>0</v>
      </c>
      <c r="X268" s="232"/>
      <c r="AA268" s="232"/>
      <c r="AB268" s="232"/>
    </row>
    <row r="269" spans="1:29" hidden="1" x14ac:dyDescent="0.35">
      <c r="B269" s="245"/>
      <c r="C269" s="495"/>
      <c r="D269" s="246"/>
      <c r="E269" s="94"/>
      <c r="F269" s="95" t="s">
        <v>362</v>
      </c>
      <c r="G269" s="318" t="s">
        <v>191</v>
      </c>
      <c r="H269" s="319"/>
      <c r="I269" s="320"/>
      <c r="J269" s="318" t="s">
        <v>325</v>
      </c>
      <c r="K269" s="420"/>
      <c r="L269" s="496">
        <v>1</v>
      </c>
      <c r="M269" s="500">
        <f>1.55/3</f>
        <v>0.51666666666666672</v>
      </c>
      <c r="N269" s="373">
        <f t="shared" si="42"/>
        <v>3</v>
      </c>
      <c r="O269" s="498">
        <f t="shared" si="36"/>
        <v>0</v>
      </c>
      <c r="P269" s="233">
        <v>5955.94</v>
      </c>
      <c r="Q269" s="233">
        <f t="shared" si="37"/>
        <v>0</v>
      </c>
      <c r="R269" s="233">
        <v>6253.7370000000001</v>
      </c>
      <c r="S269" s="233">
        <f t="shared" si="38"/>
        <v>0</v>
      </c>
      <c r="T269" s="233">
        <v>6566.4238500000001</v>
      </c>
      <c r="U269" s="233">
        <f t="shared" si="39"/>
        <v>0</v>
      </c>
      <c r="V269" s="233" t="e">
        <f t="shared" si="40"/>
        <v>#DIV/0!</v>
      </c>
      <c r="W269" s="241">
        <f t="shared" si="41"/>
        <v>0</v>
      </c>
      <c r="X269" s="232"/>
      <c r="AA269" s="232"/>
      <c r="AB269" s="232"/>
    </row>
    <row r="270" spans="1:29" x14ac:dyDescent="0.35">
      <c r="B270" s="236"/>
      <c r="C270" s="237"/>
      <c r="D270" s="237"/>
      <c r="E270" s="238" t="s">
        <v>418</v>
      </c>
      <c r="F270" s="225" t="s">
        <v>187</v>
      </c>
      <c r="G270" s="226" t="s">
        <v>188</v>
      </c>
      <c r="H270" s="227"/>
      <c r="I270" s="228"/>
      <c r="J270" s="229"/>
      <c r="K270" s="230"/>
      <c r="L270" s="230"/>
      <c r="M270" s="231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2"/>
      <c r="AA270" s="232"/>
      <c r="AB270" s="232"/>
    </row>
    <row r="271" spans="1:29" hidden="1" x14ac:dyDescent="0.35">
      <c r="B271" s="245"/>
      <c r="C271" s="246"/>
      <c r="D271" s="246"/>
      <c r="E271" s="251"/>
      <c r="F271" s="225" t="s">
        <v>417</v>
      </c>
      <c r="G271" s="226" t="s">
        <v>191</v>
      </c>
      <c r="H271" s="227"/>
      <c r="I271" s="228"/>
      <c r="J271" s="229"/>
      <c r="K271" s="230"/>
      <c r="L271" s="230"/>
      <c r="M271" s="231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2"/>
      <c r="AA271" s="232"/>
      <c r="AB271" s="232"/>
    </row>
    <row r="272" spans="1:29" hidden="1" x14ac:dyDescent="0.35">
      <c r="B272" s="248"/>
      <c r="C272" s="249"/>
      <c r="D272" s="249"/>
      <c r="E272" s="250"/>
      <c r="F272" s="225" t="s">
        <v>365</v>
      </c>
      <c r="G272" s="226" t="s">
        <v>205</v>
      </c>
      <c r="H272" s="227"/>
      <c r="I272" s="228"/>
      <c r="J272" s="229"/>
      <c r="K272" s="230"/>
      <c r="L272" s="230"/>
      <c r="M272" s="231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2"/>
      <c r="AA272" s="232"/>
      <c r="AB272" s="232"/>
    </row>
    <row r="273" spans="2:28" x14ac:dyDescent="0.35">
      <c r="B273" s="236"/>
      <c r="C273" s="237"/>
      <c r="D273" s="237"/>
      <c r="E273" s="238" t="s">
        <v>419</v>
      </c>
      <c r="F273" s="225" t="s">
        <v>187</v>
      </c>
      <c r="G273" s="226" t="s">
        <v>188</v>
      </c>
      <c r="H273" s="227"/>
      <c r="I273" s="228"/>
      <c r="J273" s="229"/>
      <c r="K273" s="230"/>
      <c r="L273" s="230"/>
      <c r="M273" s="231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2"/>
      <c r="AA273" s="232"/>
      <c r="AB273" s="232"/>
    </row>
    <row r="274" spans="2:28" hidden="1" x14ac:dyDescent="0.35">
      <c r="B274" s="245"/>
      <c r="C274" s="246"/>
      <c r="D274" s="246"/>
      <c r="E274" s="251"/>
      <c r="F274" s="225" t="s">
        <v>322</v>
      </c>
      <c r="G274" s="226" t="s">
        <v>191</v>
      </c>
      <c r="H274" s="227"/>
      <c r="I274" s="228"/>
      <c r="J274" s="229"/>
      <c r="K274" s="230"/>
      <c r="L274" s="230"/>
      <c r="M274" s="231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2"/>
      <c r="AA274" s="232"/>
      <c r="AB274" s="232"/>
    </row>
    <row r="275" spans="2:28" hidden="1" x14ac:dyDescent="0.35">
      <c r="B275" s="248"/>
      <c r="C275" s="249"/>
      <c r="D275" s="249"/>
      <c r="E275" s="250"/>
      <c r="F275" s="225" t="s">
        <v>365</v>
      </c>
      <c r="G275" s="226" t="s">
        <v>205</v>
      </c>
      <c r="H275" s="227"/>
      <c r="I275" s="228"/>
      <c r="J275" s="229"/>
      <c r="K275" s="230"/>
      <c r="L275" s="230"/>
      <c r="M275" s="231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2"/>
      <c r="AA275" s="232"/>
      <c r="AB275" s="232"/>
    </row>
    <row r="276" spans="2:28" x14ac:dyDescent="0.35">
      <c r="B276" s="236"/>
      <c r="C276" s="237"/>
      <c r="D276" s="237"/>
      <c r="E276" s="238" t="s">
        <v>420</v>
      </c>
      <c r="F276" s="225" t="s">
        <v>187</v>
      </c>
      <c r="G276" s="226" t="s">
        <v>188</v>
      </c>
      <c r="H276" s="227"/>
      <c r="I276" s="228"/>
      <c r="J276" s="229"/>
      <c r="K276" s="230"/>
      <c r="L276" s="230"/>
      <c r="M276" s="231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2"/>
      <c r="AA276" s="232"/>
      <c r="AB276" s="232"/>
    </row>
    <row r="277" spans="2:28" hidden="1" x14ac:dyDescent="0.35">
      <c r="B277" s="245"/>
      <c r="C277" s="246"/>
      <c r="D277" s="246"/>
      <c r="E277" s="251"/>
      <c r="F277" s="225" t="s">
        <v>421</v>
      </c>
      <c r="G277" s="226" t="s">
        <v>191</v>
      </c>
      <c r="H277" s="227"/>
      <c r="I277" s="228"/>
      <c r="J277" s="229"/>
      <c r="K277" s="230"/>
      <c r="L277" s="230"/>
      <c r="M277" s="231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2"/>
      <c r="AA277" s="232"/>
      <c r="AB277" s="232"/>
    </row>
    <row r="278" spans="2:28" hidden="1" x14ac:dyDescent="0.35">
      <c r="B278" s="248"/>
      <c r="C278" s="249"/>
      <c r="D278" s="249"/>
      <c r="E278" s="250"/>
      <c r="F278" s="225" t="s">
        <v>365</v>
      </c>
      <c r="G278" s="226" t="s">
        <v>205</v>
      </c>
      <c r="H278" s="227"/>
      <c r="I278" s="228"/>
      <c r="J278" s="229"/>
      <c r="K278" s="230"/>
      <c r="L278" s="230"/>
      <c r="M278" s="231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2"/>
      <c r="AA278" s="232"/>
      <c r="AB278" s="232"/>
    </row>
    <row r="279" spans="2:28" x14ac:dyDescent="0.35">
      <c r="B279" s="236"/>
      <c r="C279" s="237"/>
      <c r="D279" s="237"/>
      <c r="E279" s="238" t="s">
        <v>422</v>
      </c>
      <c r="F279" s="225" t="s">
        <v>187</v>
      </c>
      <c r="G279" s="226" t="s">
        <v>188</v>
      </c>
      <c r="H279" s="227"/>
      <c r="I279" s="228"/>
      <c r="J279" s="229"/>
      <c r="K279" s="230"/>
      <c r="L279" s="230"/>
      <c r="M279" s="231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2"/>
      <c r="AA279" s="232"/>
      <c r="AB279" s="232"/>
    </row>
    <row r="280" spans="2:28" hidden="1" x14ac:dyDescent="0.35">
      <c r="B280" s="245"/>
      <c r="C280" s="246"/>
      <c r="D280" s="246"/>
      <c r="E280" s="251"/>
      <c r="F280" s="225" t="s">
        <v>423</v>
      </c>
      <c r="G280" s="226" t="s">
        <v>191</v>
      </c>
      <c r="H280" s="227"/>
      <c r="I280" s="228"/>
      <c r="J280" s="229"/>
      <c r="K280" s="230"/>
      <c r="L280" s="230"/>
      <c r="M280" s="231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2"/>
      <c r="AA280" s="232"/>
      <c r="AB280" s="232"/>
    </row>
    <row r="281" spans="2:28" hidden="1" x14ac:dyDescent="0.35">
      <c r="B281" s="248"/>
      <c r="C281" s="249"/>
      <c r="D281" s="249"/>
      <c r="E281" s="250"/>
      <c r="F281" s="225" t="s">
        <v>365</v>
      </c>
      <c r="G281" s="226" t="s">
        <v>205</v>
      </c>
      <c r="H281" s="227"/>
      <c r="I281" s="228"/>
      <c r="J281" s="229"/>
      <c r="K281" s="230"/>
      <c r="L281" s="230"/>
      <c r="M281" s="231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2"/>
      <c r="AA281" s="232"/>
      <c r="AB281" s="232"/>
    </row>
    <row r="282" spans="2:28" x14ac:dyDescent="0.35">
      <c r="B282" s="236"/>
      <c r="C282" s="237"/>
      <c r="D282" s="237"/>
      <c r="E282" s="238" t="s">
        <v>424</v>
      </c>
      <c r="F282" s="225" t="s">
        <v>187</v>
      </c>
      <c r="G282" s="226" t="s">
        <v>188</v>
      </c>
      <c r="H282" s="227"/>
      <c r="I282" s="228"/>
      <c r="J282" s="229"/>
      <c r="K282" s="230"/>
      <c r="L282" s="230"/>
      <c r="M282" s="231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2"/>
      <c r="AA282" s="232"/>
      <c r="AB282" s="232"/>
    </row>
    <row r="283" spans="2:28" hidden="1" x14ac:dyDescent="0.35">
      <c r="B283" s="245"/>
      <c r="C283" s="246"/>
      <c r="D283" s="246"/>
      <c r="E283" s="251"/>
      <c r="F283" s="225" t="s">
        <v>425</v>
      </c>
      <c r="G283" s="226" t="s">
        <v>191</v>
      </c>
      <c r="H283" s="227"/>
      <c r="I283" s="228"/>
      <c r="J283" s="229"/>
      <c r="K283" s="230"/>
      <c r="L283" s="230"/>
      <c r="M283" s="231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2"/>
      <c r="AA283" s="232"/>
      <c r="AB283" s="232"/>
    </row>
    <row r="284" spans="2:28" hidden="1" x14ac:dyDescent="0.35">
      <c r="B284" s="248"/>
      <c r="C284" s="249"/>
      <c r="D284" s="249"/>
      <c r="E284" s="250"/>
      <c r="F284" s="225" t="s">
        <v>365</v>
      </c>
      <c r="G284" s="226" t="s">
        <v>205</v>
      </c>
      <c r="H284" s="227"/>
      <c r="I284" s="228"/>
      <c r="J284" s="229"/>
      <c r="K284" s="230"/>
      <c r="L284" s="230"/>
      <c r="M284" s="231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2"/>
      <c r="AA284" s="232"/>
      <c r="AB284" s="232"/>
    </row>
    <row r="285" spans="2:28" x14ac:dyDescent="0.35">
      <c r="B285" s="236"/>
      <c r="C285" s="237"/>
      <c r="D285" s="237"/>
      <c r="E285" s="238" t="s">
        <v>426</v>
      </c>
      <c r="F285" s="232" t="s">
        <v>187</v>
      </c>
      <c r="G285" s="501" t="s">
        <v>188</v>
      </c>
      <c r="H285" s="319"/>
      <c r="I285" s="320"/>
      <c r="J285" s="232"/>
      <c r="K285" s="501"/>
      <c r="L285" s="501"/>
      <c r="M285" s="502"/>
      <c r="N285" s="321"/>
      <c r="O285" s="233"/>
      <c r="P285" s="233"/>
      <c r="Q285" s="233"/>
      <c r="R285" s="233"/>
      <c r="S285" s="233"/>
      <c r="T285" s="233"/>
      <c r="U285" s="233"/>
      <c r="V285" s="233"/>
      <c r="W285" s="233"/>
      <c r="X285" s="232"/>
      <c r="AA285" s="232"/>
      <c r="AB285" s="232"/>
    </row>
    <row r="286" spans="2:28" hidden="1" x14ac:dyDescent="0.35">
      <c r="B286" s="245"/>
      <c r="C286" s="246"/>
      <c r="D286" s="246"/>
      <c r="E286" s="251"/>
      <c r="F286" s="232" t="s">
        <v>359</v>
      </c>
      <c r="G286" s="501" t="s">
        <v>188</v>
      </c>
      <c r="H286" s="319"/>
      <c r="I286" s="320"/>
      <c r="J286" s="232"/>
      <c r="K286" s="501"/>
      <c r="L286" s="501"/>
      <c r="M286" s="502"/>
      <c r="N286" s="321"/>
      <c r="O286" s="233"/>
      <c r="P286" s="233"/>
      <c r="Q286" s="233"/>
      <c r="R286" s="233"/>
      <c r="S286" s="233"/>
      <c r="T286" s="233"/>
      <c r="U286" s="233"/>
      <c r="V286" s="233"/>
      <c r="W286" s="233"/>
      <c r="X286" s="232"/>
      <c r="AA286" s="232"/>
      <c r="AB286" s="232"/>
    </row>
    <row r="287" spans="2:28" hidden="1" x14ac:dyDescent="0.35">
      <c r="B287" s="245"/>
      <c r="C287" s="246"/>
      <c r="D287" s="246"/>
      <c r="E287" s="251"/>
      <c r="F287" s="232" t="s">
        <v>236</v>
      </c>
      <c r="G287" s="501" t="s">
        <v>188</v>
      </c>
      <c r="H287" s="319"/>
      <c r="I287" s="320"/>
      <c r="J287" s="232"/>
      <c r="K287" s="501"/>
      <c r="L287" s="501"/>
      <c r="M287" s="502"/>
      <c r="N287" s="321"/>
      <c r="O287" s="233"/>
      <c r="P287" s="233"/>
      <c r="Q287" s="233"/>
      <c r="R287" s="233"/>
      <c r="S287" s="233"/>
      <c r="T287" s="233"/>
      <c r="U287" s="233"/>
      <c r="V287" s="233"/>
      <c r="W287" s="233"/>
      <c r="X287" s="232"/>
      <c r="AA287" s="232"/>
      <c r="AB287" s="232"/>
    </row>
    <row r="288" spans="2:28" hidden="1" x14ac:dyDescent="0.35">
      <c r="B288" s="245"/>
      <c r="C288" s="246"/>
      <c r="D288" s="246"/>
      <c r="E288" s="251"/>
      <c r="F288" s="232" t="s">
        <v>360</v>
      </c>
      <c r="G288" s="501" t="s">
        <v>193</v>
      </c>
      <c r="H288" s="319">
        <v>1</v>
      </c>
      <c r="I288" s="320" t="s">
        <v>238</v>
      </c>
      <c r="J288" s="232"/>
      <c r="K288" s="501"/>
      <c r="L288" s="501"/>
      <c r="M288" s="502"/>
      <c r="N288" s="321"/>
      <c r="O288" s="233"/>
      <c r="P288" s="233"/>
      <c r="Q288" s="233"/>
      <c r="R288" s="233"/>
      <c r="S288" s="233"/>
      <c r="T288" s="233"/>
      <c r="U288" s="233"/>
      <c r="V288" s="233"/>
      <c r="W288" s="233"/>
      <c r="X288" s="232"/>
      <c r="AA288" s="232"/>
      <c r="AB288" s="232"/>
    </row>
    <row r="289" spans="2:28" hidden="1" x14ac:dyDescent="0.35">
      <c r="B289" s="245"/>
      <c r="C289" s="246"/>
      <c r="D289" s="246"/>
      <c r="E289" s="251"/>
      <c r="F289" s="232" t="s">
        <v>237</v>
      </c>
      <c r="G289" s="501" t="s">
        <v>193</v>
      </c>
      <c r="H289" s="319">
        <v>4</v>
      </c>
      <c r="I289" s="320" t="s">
        <v>238</v>
      </c>
      <c r="J289" s="232"/>
      <c r="K289" s="501"/>
      <c r="L289" s="501"/>
      <c r="M289" s="502"/>
      <c r="N289" s="321"/>
      <c r="O289" s="233"/>
      <c r="P289" s="233"/>
      <c r="Q289" s="233"/>
      <c r="R289" s="233"/>
      <c r="S289" s="233"/>
      <c r="T289" s="233"/>
      <c r="U289" s="233"/>
      <c r="V289" s="233"/>
      <c r="W289" s="233"/>
      <c r="X289" s="232"/>
      <c r="AA289" s="232"/>
      <c r="AB289" s="232"/>
    </row>
    <row r="290" spans="2:28" hidden="1" x14ac:dyDescent="0.35">
      <c r="B290" s="245"/>
      <c r="C290" s="246"/>
      <c r="D290" s="246"/>
      <c r="E290" s="251"/>
      <c r="F290" s="232" t="s">
        <v>239</v>
      </c>
      <c r="G290" s="501" t="s">
        <v>193</v>
      </c>
      <c r="H290" s="319">
        <v>12</v>
      </c>
      <c r="I290" s="320" t="s">
        <v>238</v>
      </c>
      <c r="J290" s="232"/>
      <c r="K290" s="501"/>
      <c r="L290" s="501"/>
      <c r="M290" s="502"/>
      <c r="N290" s="321"/>
      <c r="O290" s="233"/>
      <c r="P290" s="233"/>
      <c r="Q290" s="233"/>
      <c r="R290" s="233"/>
      <c r="S290" s="233"/>
      <c r="T290" s="233"/>
      <c r="U290" s="233"/>
      <c r="V290" s="233"/>
      <c r="W290" s="233"/>
      <c r="X290" s="232"/>
      <c r="AA290" s="232"/>
      <c r="AB290" s="232"/>
    </row>
    <row r="291" spans="2:28" hidden="1" x14ac:dyDescent="0.35">
      <c r="B291" s="245"/>
      <c r="C291" s="246"/>
      <c r="D291" s="246"/>
      <c r="E291" s="251"/>
      <c r="F291" s="232" t="s">
        <v>241</v>
      </c>
      <c r="G291" s="501" t="s">
        <v>193</v>
      </c>
      <c r="H291" s="319">
        <v>2</v>
      </c>
      <c r="I291" s="320" t="s">
        <v>238</v>
      </c>
      <c r="J291" s="232"/>
      <c r="K291" s="501"/>
      <c r="L291" s="501"/>
      <c r="M291" s="502"/>
      <c r="N291" s="321"/>
      <c r="O291" s="233"/>
      <c r="P291" s="233"/>
      <c r="Q291" s="233"/>
      <c r="R291" s="233"/>
      <c r="S291" s="233"/>
      <c r="T291" s="233"/>
      <c r="U291" s="233"/>
      <c r="V291" s="233"/>
      <c r="W291" s="233"/>
      <c r="X291" s="232"/>
      <c r="AA291" s="232"/>
      <c r="AB291" s="232"/>
    </row>
    <row r="292" spans="2:28" hidden="1" x14ac:dyDescent="0.35">
      <c r="B292" s="245"/>
      <c r="C292" s="246"/>
      <c r="D292" s="246"/>
      <c r="E292" s="251"/>
      <c r="F292" s="232" t="s">
        <v>242</v>
      </c>
      <c r="G292" s="501" t="s">
        <v>193</v>
      </c>
      <c r="H292" s="319">
        <v>1</v>
      </c>
      <c r="I292" s="320" t="s">
        <v>238</v>
      </c>
      <c r="J292" s="232"/>
      <c r="K292" s="501"/>
      <c r="L292" s="501"/>
      <c r="M292" s="502"/>
      <c r="N292" s="321"/>
      <c r="O292" s="233"/>
      <c r="P292" s="233"/>
      <c r="Q292" s="233"/>
      <c r="R292" s="233"/>
      <c r="S292" s="233"/>
      <c r="T292" s="233"/>
      <c r="U292" s="233"/>
      <c r="V292" s="233"/>
      <c r="W292" s="233"/>
      <c r="X292" s="232"/>
      <c r="AA292" s="232"/>
      <c r="AB292" s="232"/>
    </row>
    <row r="293" spans="2:28" hidden="1" x14ac:dyDescent="0.35">
      <c r="B293" s="248"/>
      <c r="C293" s="249"/>
      <c r="D293" s="249"/>
      <c r="E293" s="250"/>
      <c r="F293" s="95" t="s">
        <v>427</v>
      </c>
      <c r="G293" s="501" t="s">
        <v>191</v>
      </c>
      <c r="H293" s="319"/>
      <c r="I293" s="320"/>
      <c r="J293" s="232"/>
      <c r="K293" s="501"/>
      <c r="L293" s="501"/>
      <c r="M293" s="502"/>
      <c r="N293" s="321"/>
      <c r="O293" s="233"/>
      <c r="P293" s="233"/>
      <c r="Q293" s="233"/>
      <c r="R293" s="233"/>
      <c r="S293" s="233"/>
      <c r="T293" s="233"/>
      <c r="U293" s="233"/>
      <c r="V293" s="233"/>
      <c r="W293" s="233"/>
      <c r="X293" s="232"/>
      <c r="AA293" s="232"/>
      <c r="AB293" s="232"/>
    </row>
    <row r="294" spans="2:28" x14ac:dyDescent="0.35">
      <c r="B294" s="236"/>
      <c r="C294" s="237"/>
      <c r="D294" s="237" t="s">
        <v>428</v>
      </c>
      <c r="E294" s="238"/>
      <c r="F294" s="225" t="s">
        <v>187</v>
      </c>
      <c r="G294" s="226" t="s">
        <v>188</v>
      </c>
      <c r="H294" s="227"/>
      <c r="I294" s="228"/>
      <c r="J294" s="229"/>
      <c r="K294" s="230"/>
      <c r="L294" s="230">
        <v>1</v>
      </c>
      <c r="M294" s="231">
        <v>6</v>
      </c>
      <c r="N294" s="233">
        <v>1</v>
      </c>
      <c r="O294" s="233"/>
      <c r="P294" s="233"/>
      <c r="Q294" s="233"/>
      <c r="R294" s="233"/>
      <c r="S294" s="233"/>
      <c r="T294" s="233"/>
      <c r="U294" s="233"/>
      <c r="V294" s="233"/>
      <c r="W294" s="233"/>
      <c r="X294" s="232"/>
      <c r="AA294" s="232"/>
      <c r="AB294" s="232"/>
    </row>
    <row r="295" spans="2:28" hidden="1" x14ac:dyDescent="0.35">
      <c r="B295" s="248"/>
      <c r="C295" s="249"/>
      <c r="D295" s="249"/>
      <c r="E295" s="250"/>
      <c r="F295" s="225" t="s">
        <v>429</v>
      </c>
      <c r="G295" s="226" t="s">
        <v>367</v>
      </c>
      <c r="H295" s="227"/>
      <c r="I295" s="228"/>
      <c r="J295" s="229"/>
      <c r="K295" s="230"/>
      <c r="L295" s="230">
        <v>1</v>
      </c>
      <c r="M295" s="231">
        <v>40</v>
      </c>
      <c r="N295" s="233">
        <v>1</v>
      </c>
      <c r="O295" s="233"/>
      <c r="P295" s="233"/>
      <c r="Q295" s="233"/>
      <c r="R295" s="233"/>
      <c r="S295" s="233"/>
      <c r="T295" s="233"/>
      <c r="U295" s="233"/>
      <c r="V295" s="233"/>
      <c r="W295" s="233"/>
      <c r="X295" s="232"/>
      <c r="AA295" s="232"/>
      <c r="AB295" s="232"/>
    </row>
    <row r="296" spans="2:28" x14ac:dyDescent="0.35">
      <c r="B296" s="236"/>
      <c r="C296" s="237"/>
      <c r="D296" s="237" t="s">
        <v>363</v>
      </c>
      <c r="E296" s="238"/>
      <c r="F296" s="225" t="s">
        <v>187</v>
      </c>
      <c r="G296" s="226" t="s">
        <v>188</v>
      </c>
      <c r="H296" s="227"/>
      <c r="I296" s="228"/>
      <c r="J296" s="229"/>
      <c r="K296" s="230"/>
      <c r="L296" s="230"/>
      <c r="M296" s="231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2"/>
      <c r="AA296" s="232"/>
      <c r="AB296" s="232"/>
    </row>
    <row r="297" spans="2:28" hidden="1" x14ac:dyDescent="0.35">
      <c r="B297" s="245"/>
      <c r="C297" s="246"/>
      <c r="D297" s="246"/>
      <c r="E297" s="251"/>
      <c r="F297" s="225" t="s">
        <v>430</v>
      </c>
      <c r="G297" s="226" t="s">
        <v>191</v>
      </c>
      <c r="H297" s="227"/>
      <c r="I297" s="228"/>
      <c r="J297" s="229"/>
      <c r="K297" s="230"/>
      <c r="L297" s="230"/>
      <c r="M297" s="231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2"/>
      <c r="AA297" s="232"/>
      <c r="AB297" s="232"/>
    </row>
    <row r="298" spans="2:28" hidden="1" x14ac:dyDescent="0.35">
      <c r="B298" s="248"/>
      <c r="C298" s="249"/>
      <c r="D298" s="249"/>
      <c r="E298" s="250"/>
      <c r="F298" s="225" t="s">
        <v>365</v>
      </c>
      <c r="G298" s="226" t="s">
        <v>205</v>
      </c>
      <c r="H298" s="227"/>
      <c r="I298" s="228"/>
      <c r="J298" s="229"/>
      <c r="K298" s="230"/>
      <c r="L298" s="230"/>
      <c r="M298" s="231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2"/>
      <c r="AA298" s="232"/>
      <c r="AB298" s="232"/>
    </row>
    <row r="299" spans="2:28" x14ac:dyDescent="0.35">
      <c r="B299" s="227"/>
      <c r="C299" s="228"/>
      <c r="D299" s="228" t="s">
        <v>366</v>
      </c>
      <c r="E299" s="247"/>
      <c r="F299" s="225"/>
      <c r="G299" s="226"/>
      <c r="H299" s="227"/>
      <c r="I299" s="228"/>
      <c r="J299" s="229"/>
      <c r="K299" s="230"/>
      <c r="L299" s="230"/>
      <c r="M299" s="231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2"/>
      <c r="AA299" s="232"/>
      <c r="AB299" s="232"/>
    </row>
    <row r="300" spans="2:28" x14ac:dyDescent="0.35">
      <c r="B300" s="236"/>
      <c r="C300" s="237"/>
      <c r="D300" s="237"/>
      <c r="E300" s="238" t="s">
        <v>142</v>
      </c>
      <c r="F300" s="225" t="s">
        <v>368</v>
      </c>
      <c r="G300" s="226" t="s">
        <v>367</v>
      </c>
      <c r="H300" s="227"/>
      <c r="I300" s="228"/>
      <c r="J300" s="229"/>
      <c r="K300" s="361"/>
      <c r="L300" s="361"/>
      <c r="M300" s="328">
        <v>1</v>
      </c>
      <c r="N300" s="321">
        <v>1</v>
      </c>
      <c r="O300" s="373"/>
      <c r="P300" s="373"/>
      <c r="Q300" s="373"/>
      <c r="R300" s="373"/>
      <c r="S300" s="373"/>
      <c r="T300" s="373"/>
      <c r="U300" s="373"/>
      <c r="V300" s="373"/>
      <c r="W300" s="373"/>
      <c r="X300" s="232"/>
      <c r="AA300" s="232"/>
      <c r="AB300" s="232"/>
    </row>
    <row r="301" spans="2:28" hidden="1" x14ac:dyDescent="0.35">
      <c r="B301" s="245"/>
      <c r="C301" s="246"/>
      <c r="D301" s="246"/>
      <c r="E301" s="251"/>
      <c r="F301" s="225" t="s">
        <v>365</v>
      </c>
      <c r="G301" s="226" t="s">
        <v>205</v>
      </c>
      <c r="H301" s="227"/>
      <c r="I301" s="228"/>
      <c r="J301" s="229"/>
      <c r="K301" s="361"/>
      <c r="L301" s="361"/>
      <c r="M301" s="328">
        <v>5.0000000000000001E-3</v>
      </c>
      <c r="N301" s="321">
        <v>1</v>
      </c>
      <c r="O301" s="233"/>
      <c r="P301" s="233"/>
      <c r="Q301" s="233"/>
      <c r="R301" s="233"/>
      <c r="S301" s="233"/>
      <c r="T301" s="233"/>
      <c r="U301" s="233"/>
      <c r="V301" s="233"/>
      <c r="W301" s="233"/>
      <c r="X301" s="232"/>
      <c r="AA301" s="232"/>
      <c r="AB301" s="232"/>
    </row>
    <row r="302" spans="2:28" hidden="1" x14ac:dyDescent="0.35">
      <c r="B302" s="248"/>
      <c r="C302" s="249"/>
      <c r="D302" s="249"/>
      <c r="E302" s="250"/>
      <c r="F302" s="232" t="s">
        <v>370</v>
      </c>
      <c r="G302" s="501" t="s">
        <v>367</v>
      </c>
      <c r="H302" s="319"/>
      <c r="I302" s="320"/>
      <c r="J302" s="232"/>
      <c r="K302" s="361"/>
      <c r="L302" s="361"/>
      <c r="M302" s="328">
        <v>1</v>
      </c>
      <c r="N302" s="321">
        <v>1</v>
      </c>
      <c r="O302" s="233"/>
      <c r="P302" s="233"/>
      <c r="Q302" s="233"/>
      <c r="R302" s="233"/>
      <c r="S302" s="233"/>
      <c r="T302" s="233"/>
      <c r="U302" s="233"/>
      <c r="V302" s="233"/>
      <c r="W302" s="233"/>
      <c r="X302" s="232"/>
      <c r="AA302" s="232"/>
      <c r="AB302" s="232"/>
    </row>
    <row r="303" spans="2:28" x14ac:dyDescent="0.35">
      <c r="B303" s="236"/>
      <c r="C303" s="237"/>
      <c r="D303" s="237"/>
      <c r="E303" s="238" t="s">
        <v>144</v>
      </c>
      <c r="F303" s="225" t="s">
        <v>371</v>
      </c>
      <c r="G303" s="226" t="s">
        <v>367</v>
      </c>
      <c r="H303" s="227"/>
      <c r="I303" s="228"/>
      <c r="J303" s="229"/>
      <c r="K303" s="361"/>
      <c r="L303" s="361"/>
      <c r="M303" s="328">
        <v>1</v>
      </c>
      <c r="N303" s="321">
        <v>1</v>
      </c>
      <c r="O303" s="233"/>
      <c r="P303" s="233"/>
      <c r="Q303" s="233"/>
      <c r="R303" s="233"/>
      <c r="S303" s="233"/>
      <c r="T303" s="233"/>
      <c r="U303" s="233"/>
      <c r="V303" s="233"/>
      <c r="W303" s="233"/>
      <c r="X303" s="232"/>
      <c r="AA303" s="232"/>
      <c r="AB303" s="232"/>
    </row>
    <row r="304" spans="2:28" hidden="1" x14ac:dyDescent="0.35">
      <c r="B304" s="248"/>
      <c r="C304" s="249"/>
      <c r="D304" s="249"/>
      <c r="E304" s="250"/>
      <c r="F304" s="225" t="s">
        <v>431</v>
      </c>
      <c r="G304" s="226" t="s">
        <v>191</v>
      </c>
      <c r="H304" s="227"/>
      <c r="I304" s="228"/>
      <c r="J304" s="229"/>
      <c r="K304" s="361"/>
      <c r="L304" s="361"/>
      <c r="M304" s="328">
        <v>1</v>
      </c>
      <c r="N304" s="321">
        <v>1</v>
      </c>
      <c r="O304" s="233"/>
      <c r="P304" s="233"/>
      <c r="Q304" s="233"/>
      <c r="R304" s="233"/>
      <c r="S304" s="233"/>
      <c r="T304" s="233"/>
      <c r="U304" s="233"/>
      <c r="V304" s="233"/>
      <c r="W304" s="233"/>
      <c r="X304" s="232"/>
      <c r="AA304" s="232"/>
      <c r="AB304" s="232"/>
    </row>
    <row r="305" spans="1:29" s="415" customFormat="1" x14ac:dyDescent="0.35">
      <c r="A305" s="412"/>
      <c r="B305" s="367" t="s">
        <v>432</v>
      </c>
      <c r="C305" s="368"/>
      <c r="D305" s="368"/>
      <c r="E305" s="369"/>
      <c r="F305" s="389"/>
      <c r="G305" s="390"/>
      <c r="H305" s="391"/>
      <c r="I305" s="392"/>
      <c r="J305" s="393"/>
      <c r="K305" s="394"/>
      <c r="L305" s="394"/>
      <c r="M305" s="395"/>
      <c r="N305" s="343"/>
      <c r="O305" s="343"/>
      <c r="P305" s="343"/>
      <c r="Q305" s="343">
        <f>SUM(Q260:Q304)</f>
        <v>0</v>
      </c>
      <c r="R305" s="343"/>
      <c r="S305" s="343">
        <f>SUM(S233:S304)</f>
        <v>0</v>
      </c>
      <c r="T305" s="343"/>
      <c r="U305" s="343">
        <f>SUM(U233:U304)</f>
        <v>0</v>
      </c>
      <c r="V305" s="343"/>
      <c r="W305" s="343">
        <f>SUM(W233:W304)</f>
        <v>0</v>
      </c>
      <c r="X305" s="566"/>
      <c r="Y305" s="567"/>
      <c r="Z305" s="567"/>
      <c r="AA305" s="396"/>
      <c r="AB305" s="396"/>
      <c r="AC305" s="412"/>
    </row>
    <row r="306" spans="1:29" s="415" customFormat="1" x14ac:dyDescent="0.35">
      <c r="A306" s="412"/>
      <c r="B306" s="399" t="s">
        <v>433</v>
      </c>
      <c r="C306" s="400"/>
      <c r="D306" s="400"/>
      <c r="E306" s="401"/>
      <c r="F306" s="402"/>
      <c r="G306" s="403"/>
      <c r="H306" s="404"/>
      <c r="I306" s="405"/>
      <c r="J306" s="406"/>
      <c r="K306" s="407"/>
      <c r="L306" s="407"/>
      <c r="M306" s="408"/>
      <c r="N306" s="409"/>
      <c r="O306" s="409"/>
      <c r="P306" s="409"/>
      <c r="Q306" s="409">
        <f>Q195+Q218+Q235+Q258+Q305</f>
        <v>0</v>
      </c>
      <c r="R306" s="409"/>
      <c r="S306" s="409">
        <f>SUM(S219:S304)</f>
        <v>0</v>
      </c>
      <c r="T306" s="409"/>
      <c r="U306" s="409">
        <f>SUM(U219:U304)</f>
        <v>0</v>
      </c>
      <c r="V306" s="409"/>
      <c r="W306" s="409">
        <f>SUM(W219:W304)</f>
        <v>0</v>
      </c>
      <c r="X306" s="416"/>
      <c r="Y306" s="503"/>
      <c r="Z306" s="503"/>
      <c r="AA306" s="416"/>
      <c r="AB306" s="416"/>
      <c r="AC306" s="412"/>
    </row>
    <row r="307" spans="1:29" x14ac:dyDescent="0.35">
      <c r="B307" s="227"/>
      <c r="C307" s="223" t="s">
        <v>434</v>
      </c>
      <c r="D307" s="228"/>
      <c r="E307" s="247"/>
      <c r="F307" s="225"/>
      <c r="G307" s="226" t="s">
        <v>189</v>
      </c>
      <c r="H307" s="227"/>
      <c r="I307" s="228"/>
      <c r="J307" s="229"/>
      <c r="K307" s="230"/>
      <c r="L307" s="230"/>
      <c r="M307" s="231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2"/>
      <c r="AA307" s="232"/>
      <c r="AB307" s="232"/>
    </row>
    <row r="308" spans="1:29" x14ac:dyDescent="0.35">
      <c r="B308" s="236"/>
      <c r="C308" s="237"/>
      <c r="D308" s="237" t="s">
        <v>153</v>
      </c>
      <c r="E308" s="306"/>
      <c r="F308" s="273" t="s">
        <v>187</v>
      </c>
      <c r="G308" s="274" t="s">
        <v>188</v>
      </c>
      <c r="H308" s="275"/>
      <c r="I308" s="276"/>
      <c r="J308" s="277"/>
      <c r="K308" s="278">
        <v>1</v>
      </c>
      <c r="L308" s="230"/>
      <c r="M308" s="233">
        <v>1</v>
      </c>
      <c r="N308" s="235">
        <v>1</v>
      </c>
      <c r="O308" s="233">
        <f>K308*M308*L308*N308</f>
        <v>0</v>
      </c>
      <c r="P308" s="233">
        <v>140008</v>
      </c>
      <c r="Q308" s="233">
        <f>O308*P308</f>
        <v>0</v>
      </c>
      <c r="R308" s="233">
        <v>149108.51999999999</v>
      </c>
      <c r="S308" s="233">
        <f>R308*O308</f>
        <v>0</v>
      </c>
      <c r="T308" s="233">
        <v>158800.57379999998</v>
      </c>
      <c r="U308" s="233">
        <f>T308*O308</f>
        <v>0</v>
      </c>
      <c r="V308" s="233" t="e">
        <f>W308/O308</f>
        <v>#DIV/0!</v>
      </c>
      <c r="W308" s="233">
        <f>(Q308+S308+U308)/3</f>
        <v>0</v>
      </c>
      <c r="X308" s="481" t="s">
        <v>478</v>
      </c>
      <c r="Z308" s="417">
        <f>W308*1000</f>
        <v>0</v>
      </c>
      <c r="AA308" s="232"/>
      <c r="AB308" s="232"/>
    </row>
    <row r="309" spans="1:29" hidden="1" x14ac:dyDescent="0.35">
      <c r="B309" s="245"/>
      <c r="C309" s="246"/>
      <c r="D309" s="246"/>
      <c r="E309" s="244"/>
      <c r="F309" s="273" t="s">
        <v>436</v>
      </c>
      <c r="G309" s="274" t="s">
        <v>437</v>
      </c>
      <c r="H309" s="275"/>
      <c r="I309" s="276"/>
      <c r="J309" s="277"/>
      <c r="K309" s="278"/>
      <c r="L309" s="230"/>
      <c r="M309" s="235">
        <v>1</v>
      </c>
      <c r="N309" s="235">
        <v>12</v>
      </c>
      <c r="O309" s="233">
        <f>K309*M309*L309*N309</f>
        <v>0</v>
      </c>
      <c r="P309" s="233">
        <v>2498.34</v>
      </c>
      <c r="Q309" s="233">
        <f>O309*P309</f>
        <v>0</v>
      </c>
      <c r="R309" s="233">
        <v>2623.2570000000001</v>
      </c>
      <c r="S309" s="233">
        <f>R309*O309</f>
        <v>0</v>
      </c>
      <c r="T309" s="233">
        <v>2754.4198500000002</v>
      </c>
      <c r="U309" s="233">
        <f>T309*O309</f>
        <v>0</v>
      </c>
      <c r="V309" s="233" t="e">
        <f>W309/O309</f>
        <v>#DIV/0!</v>
      </c>
      <c r="W309" s="233">
        <f>(Q309+S309+U309)/3</f>
        <v>0</v>
      </c>
      <c r="X309" s="232"/>
      <c r="AA309" s="232"/>
      <c r="AB309" s="232"/>
    </row>
    <row r="310" spans="1:29" hidden="1" x14ac:dyDescent="0.35">
      <c r="B310" s="248"/>
      <c r="C310" s="249"/>
      <c r="D310" s="249"/>
      <c r="E310" s="308"/>
      <c r="F310" s="273" t="s">
        <v>438</v>
      </c>
      <c r="G310" s="274" t="s">
        <v>437</v>
      </c>
      <c r="H310" s="275"/>
      <c r="I310" s="276"/>
      <c r="J310" s="277"/>
      <c r="K310" s="278">
        <v>1</v>
      </c>
      <c r="L310" s="230"/>
      <c r="M310" s="235">
        <v>1</v>
      </c>
      <c r="N310" s="235">
        <v>12</v>
      </c>
      <c r="O310" s="233">
        <f>K310*M310*L310*N310</f>
        <v>0</v>
      </c>
      <c r="P310" s="233">
        <v>1213.03</v>
      </c>
      <c r="Q310" s="233">
        <f>O310*P310</f>
        <v>0</v>
      </c>
      <c r="R310" s="233">
        <v>1273.6814999999999</v>
      </c>
      <c r="S310" s="233">
        <f>R310*O310</f>
        <v>0</v>
      </c>
      <c r="T310" s="233">
        <v>1337.365575</v>
      </c>
      <c r="U310" s="233">
        <f>T310*O310</f>
        <v>0</v>
      </c>
      <c r="V310" s="233" t="e">
        <f>W310/O310</f>
        <v>#DIV/0!</v>
      </c>
      <c r="W310" s="233">
        <f>(Q310+S310+U310)/3</f>
        <v>0</v>
      </c>
      <c r="X310" s="232"/>
      <c r="AA310" s="232"/>
      <c r="AB310" s="232"/>
    </row>
    <row r="311" spans="1:29" x14ac:dyDescent="0.35">
      <c r="B311" s="236"/>
      <c r="C311" s="237"/>
      <c r="D311" s="237" t="s">
        <v>439</v>
      </c>
      <c r="E311" s="306"/>
      <c r="F311" s="273" t="s">
        <v>187</v>
      </c>
      <c r="G311" s="274" t="s">
        <v>188</v>
      </c>
      <c r="H311" s="275"/>
      <c r="I311" s="276"/>
      <c r="J311" s="277"/>
      <c r="K311" s="289"/>
      <c r="L311" s="230"/>
      <c r="M311" s="231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2"/>
      <c r="AA311" s="232"/>
      <c r="AB311" s="232"/>
    </row>
    <row r="312" spans="1:29" hidden="1" x14ac:dyDescent="0.35">
      <c r="B312" s="248"/>
      <c r="C312" s="249"/>
      <c r="D312" s="249"/>
      <c r="E312" s="250"/>
      <c r="F312" s="225" t="s">
        <v>440</v>
      </c>
      <c r="G312" s="226" t="s">
        <v>351</v>
      </c>
      <c r="H312" s="227"/>
      <c r="I312" s="228"/>
      <c r="J312" s="229"/>
      <c r="K312" s="230"/>
      <c r="L312" s="230"/>
      <c r="M312" s="231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2"/>
      <c r="AA312" s="232"/>
      <c r="AB312" s="232"/>
    </row>
    <row r="313" spans="1:29" x14ac:dyDescent="0.35">
      <c r="B313" s="227"/>
      <c r="C313" s="228"/>
      <c r="D313" s="228" t="s">
        <v>441</v>
      </c>
      <c r="E313" s="247"/>
      <c r="F313" s="225" t="s">
        <v>187</v>
      </c>
      <c r="G313" s="226" t="s">
        <v>188</v>
      </c>
      <c r="H313" s="227"/>
      <c r="I313" s="228"/>
      <c r="J313" s="229"/>
      <c r="K313" s="239"/>
      <c r="L313" s="230"/>
      <c r="M313" s="231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2"/>
      <c r="AA313" s="232"/>
      <c r="AB313" s="232"/>
    </row>
    <row r="314" spans="1:29" x14ac:dyDescent="0.35">
      <c r="B314" s="510"/>
      <c r="C314" s="511"/>
      <c r="D314" s="511"/>
      <c r="E314" s="568" t="s">
        <v>442</v>
      </c>
      <c r="F314" s="508"/>
      <c r="G314" s="509"/>
      <c r="H314" s="510"/>
      <c r="I314" s="511"/>
      <c r="J314" s="512"/>
      <c r="K314" s="513"/>
      <c r="L314" s="513"/>
      <c r="M314" s="514"/>
      <c r="N314" s="515"/>
      <c r="O314" s="515"/>
      <c r="P314" s="515"/>
      <c r="Q314" s="409">
        <f>SUM(Q308:Q313)</f>
        <v>0</v>
      </c>
      <c r="R314" s="515"/>
      <c r="S314" s="409">
        <f>SUM(S308:S313)</f>
        <v>0</v>
      </c>
      <c r="T314" s="515"/>
      <c r="U314" s="409">
        <f>SUM(U308:U313)</f>
        <v>0</v>
      </c>
      <c r="V314" s="515"/>
      <c r="W314" s="409">
        <f>SUM(W308:W313)</f>
        <v>0</v>
      </c>
      <c r="X314" s="232"/>
      <c r="AA314" s="516"/>
      <c r="AB314" s="516"/>
    </row>
    <row r="315" spans="1:29" ht="14.25" customHeight="1" x14ac:dyDescent="0.35">
      <c r="B315" s="518" t="s">
        <v>479</v>
      </c>
      <c r="C315" s="519"/>
      <c r="D315" s="519"/>
      <c r="E315" s="520"/>
      <c r="F315" s="521"/>
      <c r="G315" s="522"/>
      <c r="H315" s="523"/>
      <c r="I315" s="524"/>
      <c r="J315" s="525"/>
      <c r="K315" s="526"/>
      <c r="L315" s="526"/>
      <c r="M315" s="527"/>
      <c r="N315" s="528"/>
      <c r="O315" s="528"/>
      <c r="P315" s="528"/>
      <c r="Q315" s="544">
        <f>Q145+Q306+Q314</f>
        <v>1346299053.8379254</v>
      </c>
      <c r="R315" s="528"/>
      <c r="S315" s="544">
        <f>S145+S218+S306+S314</f>
        <v>1005789152.170451</v>
      </c>
      <c r="T315" s="528"/>
      <c r="U315" s="544">
        <f>U145+U218+U306+U314</f>
        <v>1063449077.5186634</v>
      </c>
      <c r="V315" s="528"/>
      <c r="W315" s="544">
        <f>W145+W218+W306+W314</f>
        <v>1025009127.2865219</v>
      </c>
      <c r="X315" s="516"/>
      <c r="Y315" s="517"/>
      <c r="Z315" s="517"/>
      <c r="AA315" s="414">
        <f>Q315/$E$1</f>
        <v>26346361.131857641</v>
      </c>
      <c r="AB315" s="546">
        <f>Q315/$Q$315*100</f>
        <v>100</v>
      </c>
    </row>
    <row r="316" spans="1:29" ht="14.25" customHeight="1" x14ac:dyDescent="0.35">
      <c r="B316" s="227"/>
      <c r="C316" s="228"/>
      <c r="D316" s="228"/>
      <c r="E316" s="224" t="s">
        <v>444</v>
      </c>
      <c r="F316" s="225"/>
      <c r="G316" s="226"/>
      <c r="H316" s="227"/>
      <c r="I316" s="228"/>
      <c r="J316" s="229"/>
      <c r="K316" s="230"/>
      <c r="L316" s="230"/>
      <c r="M316" s="231"/>
      <c r="N316" s="233"/>
      <c r="O316" s="233"/>
      <c r="P316" s="233"/>
      <c r="Q316" s="530"/>
      <c r="R316" s="233"/>
      <c r="S316" s="530" t="e">
        <f>S146+#REF!+S306+S314</f>
        <v>#REF!</v>
      </c>
      <c r="T316" s="233"/>
      <c r="U316" s="530" t="e">
        <f>U146+#REF!+U306+U314</f>
        <v>#REF!</v>
      </c>
      <c r="V316" s="233"/>
      <c r="W316" s="530" t="e">
        <f>W146+#REF!+W306+W314</f>
        <v>#REF!</v>
      </c>
      <c r="X316" s="232"/>
      <c r="AA316" s="232"/>
      <c r="AB316" s="232"/>
    </row>
    <row r="317" spans="1:29" x14ac:dyDescent="0.35">
      <c r="Q317" s="168">
        <v>8942101175.0788898</v>
      </c>
    </row>
    <row r="318" spans="1:29" hidden="1" x14ac:dyDescent="0.35">
      <c r="B318" s="162" t="s">
        <v>445</v>
      </c>
      <c r="E318" s="162" t="s">
        <v>446</v>
      </c>
      <c r="Q318" s="417">
        <f>Q145</f>
        <v>1346299053.8379254</v>
      </c>
      <c r="S318" s="417">
        <f>S145</f>
        <v>1005789152.170451</v>
      </c>
      <c r="U318" s="417">
        <f>U145</f>
        <v>1063449077.5186634</v>
      </c>
      <c r="W318" s="417">
        <f>W145</f>
        <v>1025009127.2865219</v>
      </c>
      <c r="X318" s="531">
        <v>4403451913</v>
      </c>
    </row>
    <row r="319" spans="1:29" hidden="1" x14ac:dyDescent="0.35">
      <c r="E319" s="162" t="s">
        <v>447</v>
      </c>
      <c r="Q319" s="417" t="e">
        <f>#REF!</f>
        <v>#REF!</v>
      </c>
      <c r="S319" s="417" t="e">
        <f>#REF!</f>
        <v>#REF!</v>
      </c>
      <c r="U319" s="417" t="e">
        <f>#REF!</f>
        <v>#REF!</v>
      </c>
      <c r="W319" s="417" t="e">
        <f>#REF!</f>
        <v>#REF!</v>
      </c>
      <c r="X319" s="94">
        <v>192.08</v>
      </c>
    </row>
    <row r="320" spans="1:29" hidden="1" x14ac:dyDescent="0.35">
      <c r="E320" s="162" t="s">
        <v>448</v>
      </c>
      <c r="Q320" s="417">
        <f>Q306+Q314</f>
        <v>0</v>
      </c>
      <c r="S320" s="417">
        <f>S306+S314</f>
        <v>0</v>
      </c>
      <c r="U320" s="417">
        <f>U306+U314</f>
        <v>0</v>
      </c>
      <c r="W320" s="417">
        <f>W306+W314</f>
        <v>0</v>
      </c>
      <c r="X320" s="161">
        <f>X318/X319</f>
        <v>22925093.258017492</v>
      </c>
    </row>
    <row r="321" spans="2:23" hidden="1" x14ac:dyDescent="0.35">
      <c r="D321" s="532"/>
      <c r="E321" s="532" t="s">
        <v>449</v>
      </c>
      <c r="Q321" s="533" t="e">
        <f>SUM(Q318:Q320)</f>
        <v>#REF!</v>
      </c>
      <c r="S321" s="533" t="e">
        <f>SUM(S318:S320)</f>
        <v>#REF!</v>
      </c>
      <c r="U321" s="533" t="e">
        <f>SUM(U318:U320)</f>
        <v>#REF!</v>
      </c>
      <c r="W321" s="533" t="e">
        <f>SUM(W318:W320)</f>
        <v>#REF!</v>
      </c>
    </row>
    <row r="322" spans="2:23" hidden="1" x14ac:dyDescent="0.35">
      <c r="E322" s="162" t="s">
        <v>450</v>
      </c>
      <c r="Q322" s="417">
        <v>8312350.2295139572</v>
      </c>
      <c r="S322" s="417">
        <v>8806702.7758242767</v>
      </c>
      <c r="U322" s="417">
        <v>9358867.8296416011</v>
      </c>
      <c r="W322" s="417">
        <v>8825973.6116599441</v>
      </c>
    </row>
    <row r="323" spans="2:23" hidden="1" x14ac:dyDescent="0.35">
      <c r="E323" s="162" t="s">
        <v>451</v>
      </c>
      <c r="Q323" s="417">
        <v>9187460.1098226663</v>
      </c>
      <c r="S323" s="417">
        <v>9737037.9488375001</v>
      </c>
      <c r="U323" s="417">
        <v>10320570.522023778</v>
      </c>
      <c r="W323" s="417">
        <v>9748356.1935613137</v>
      </c>
    </row>
    <row r="324" spans="2:23" hidden="1" x14ac:dyDescent="0.35">
      <c r="E324" s="162" t="s">
        <v>452</v>
      </c>
      <c r="Q324" s="417">
        <v>10347754.554240417</v>
      </c>
      <c r="S324" s="417">
        <v>10976935.955994632</v>
      </c>
      <c r="U324" s="417">
        <v>11645972.994754417</v>
      </c>
      <c r="W324" s="417">
        <v>10990221.16832982</v>
      </c>
    </row>
    <row r="325" spans="2:23" hidden="1" x14ac:dyDescent="0.35">
      <c r="Q325" s="533">
        <f>SUM(Q322:Q324)</f>
        <v>27847564.893577039</v>
      </c>
      <c r="S325" s="533">
        <f>SUM(S322:S324)</f>
        <v>29520676.680656407</v>
      </c>
      <c r="U325" s="533">
        <f>SUM(U322:U324)</f>
        <v>31325411.346419796</v>
      </c>
      <c r="W325" s="533">
        <f>SUM(W322:W324)</f>
        <v>29564550.97355108</v>
      </c>
    </row>
    <row r="326" spans="2:23" hidden="1" x14ac:dyDescent="0.35">
      <c r="E326" s="532" t="s">
        <v>453</v>
      </c>
      <c r="Q326" s="533" t="e">
        <f>Q325+Q321</f>
        <v>#REF!</v>
      </c>
      <c r="S326" s="533" t="e">
        <f>S325+S321</f>
        <v>#REF!</v>
      </c>
      <c r="U326" s="533" t="e">
        <f>U325+U321</f>
        <v>#REF!</v>
      </c>
      <c r="W326" s="533" t="e">
        <f>W325+W321</f>
        <v>#REF!</v>
      </c>
    </row>
    <row r="327" spans="2:23" hidden="1" x14ac:dyDescent="0.35"/>
    <row r="328" spans="2:23" hidden="1" x14ac:dyDescent="0.35">
      <c r="B328" s="162" t="s">
        <v>454</v>
      </c>
      <c r="E328" s="162" t="s">
        <v>446</v>
      </c>
      <c r="Q328" s="417">
        <f>Q146</f>
        <v>0</v>
      </c>
      <c r="S328" s="417" t="e">
        <f>S146</f>
        <v>#REF!</v>
      </c>
      <c r="U328" s="417" t="e">
        <f>U146</f>
        <v>#REF!</v>
      </c>
      <c r="W328" s="417" t="e">
        <f>W146</f>
        <v>#REF!</v>
      </c>
    </row>
    <row r="329" spans="2:23" hidden="1" x14ac:dyDescent="0.35">
      <c r="E329" s="162" t="s">
        <v>447</v>
      </c>
      <c r="Q329" s="417" t="e">
        <f>#REF!</f>
        <v>#REF!</v>
      </c>
      <c r="S329" s="417" t="e">
        <f>#REF!</f>
        <v>#REF!</v>
      </c>
      <c r="U329" s="417" t="e">
        <f>#REF!</f>
        <v>#REF!</v>
      </c>
      <c r="W329" s="417" t="e">
        <f>#REF!</f>
        <v>#REF!</v>
      </c>
    </row>
    <row r="330" spans="2:23" hidden="1" x14ac:dyDescent="0.35">
      <c r="E330" s="162" t="s">
        <v>448</v>
      </c>
      <c r="Q330" s="417">
        <f>Q306+Q314</f>
        <v>0</v>
      </c>
      <c r="S330" s="417">
        <f>S306+S314</f>
        <v>0</v>
      </c>
      <c r="U330" s="417">
        <f>U306+U314</f>
        <v>0</v>
      </c>
      <c r="W330" s="417">
        <f>W306+W314</f>
        <v>0</v>
      </c>
    </row>
    <row r="331" spans="2:23" hidden="1" x14ac:dyDescent="0.35">
      <c r="E331" s="532" t="s">
        <v>449</v>
      </c>
      <c r="Q331" s="533" t="e">
        <f>SUM(Q328:Q330)</f>
        <v>#REF!</v>
      </c>
      <c r="S331" s="533" t="e">
        <f>SUM(S328:S330)</f>
        <v>#REF!</v>
      </c>
      <c r="U331" s="533" t="e">
        <f>SUM(U328:U330)</f>
        <v>#REF!</v>
      </c>
      <c r="W331" s="533" t="e">
        <f>SUM(W328:W330)</f>
        <v>#REF!</v>
      </c>
    </row>
    <row r="332" spans="2:23" hidden="1" x14ac:dyDescent="0.35">
      <c r="E332" s="162" t="s">
        <v>450</v>
      </c>
      <c r="Q332" s="417">
        <f>Q322</f>
        <v>8312350.2295139572</v>
      </c>
      <c r="S332" s="417">
        <f>S322</f>
        <v>8806702.7758242767</v>
      </c>
      <c r="U332" s="417">
        <f>U322</f>
        <v>9358867.8296416011</v>
      </c>
      <c r="W332" s="417">
        <f>W322</f>
        <v>8825973.6116599441</v>
      </c>
    </row>
    <row r="333" spans="2:23" hidden="1" x14ac:dyDescent="0.35">
      <c r="E333" s="162" t="s">
        <v>451</v>
      </c>
      <c r="Q333" s="417">
        <f>Q323</f>
        <v>9187460.1098226663</v>
      </c>
      <c r="S333" s="417">
        <f>S323</f>
        <v>9737037.9488375001</v>
      </c>
      <c r="U333" s="417">
        <f t="shared" ref="U333:W334" si="43">U323</f>
        <v>10320570.522023778</v>
      </c>
      <c r="W333" s="417">
        <f t="shared" si="43"/>
        <v>9748356.1935613137</v>
      </c>
    </row>
    <row r="334" spans="2:23" hidden="1" x14ac:dyDescent="0.35">
      <c r="E334" s="162" t="s">
        <v>452</v>
      </c>
      <c r="Q334" s="417">
        <f>Q324</f>
        <v>10347754.554240417</v>
      </c>
      <c r="S334" s="417">
        <f>S324</f>
        <v>10976935.955994632</v>
      </c>
      <c r="U334" s="417">
        <f t="shared" si="43"/>
        <v>11645972.994754417</v>
      </c>
      <c r="W334" s="417">
        <f t="shared" si="43"/>
        <v>10990221.16832982</v>
      </c>
    </row>
    <row r="335" spans="2:23" hidden="1" x14ac:dyDescent="0.35">
      <c r="Q335" s="533">
        <f>SUM(Q332:Q334)</f>
        <v>27847564.893577039</v>
      </c>
      <c r="S335" s="533">
        <f>SUM(S332:S334)</f>
        <v>29520676.680656407</v>
      </c>
      <c r="U335" s="533">
        <f>SUM(U332:U334)</f>
        <v>31325411.346419796</v>
      </c>
      <c r="W335" s="533">
        <f>SUM(W332:W334)</f>
        <v>29564550.97355108</v>
      </c>
    </row>
    <row r="336" spans="2:23" hidden="1" x14ac:dyDescent="0.35">
      <c r="E336" s="532" t="s">
        <v>455</v>
      </c>
      <c r="Q336" s="533" t="e">
        <f>Q335+Q331</f>
        <v>#REF!</v>
      </c>
      <c r="S336" s="533" t="e">
        <f>S335+S331</f>
        <v>#REF!</v>
      </c>
      <c r="U336" s="533" t="e">
        <f>U335+U331</f>
        <v>#REF!</v>
      </c>
      <c r="W336" s="533" t="e">
        <f>W335+W331</f>
        <v>#REF!</v>
      </c>
    </row>
    <row r="337" spans="17:17" x14ac:dyDescent="0.35">
      <c r="Q337" s="473"/>
    </row>
  </sheetData>
  <mergeCells count="45">
    <mergeCell ref="B315:E315"/>
    <mergeCell ref="B195:E195"/>
    <mergeCell ref="B218:E218"/>
    <mergeCell ref="B236:E236"/>
    <mergeCell ref="B258:E258"/>
    <mergeCell ref="B305:E305"/>
    <mergeCell ref="B306:E306"/>
    <mergeCell ref="B137:E137"/>
    <mergeCell ref="B142:E142"/>
    <mergeCell ref="B144:E144"/>
    <mergeCell ref="B145:E145"/>
    <mergeCell ref="B163:E166"/>
    <mergeCell ref="B167:E169"/>
    <mergeCell ref="W3:W4"/>
    <mergeCell ref="B75:E75"/>
    <mergeCell ref="B106:E106"/>
    <mergeCell ref="B114:E114"/>
    <mergeCell ref="B118:E118"/>
    <mergeCell ref="B129:E129"/>
    <mergeCell ref="Q3:Q4"/>
    <mergeCell ref="R3:R4"/>
    <mergeCell ref="S3:S4"/>
    <mergeCell ref="T3:T4"/>
    <mergeCell ref="U3:U4"/>
    <mergeCell ref="V3:V4"/>
    <mergeCell ref="AA2:AA4"/>
    <mergeCell ref="AB2:AB4"/>
    <mergeCell ref="F3:F4"/>
    <mergeCell ref="G3:G4"/>
    <mergeCell ref="J3:J4"/>
    <mergeCell ref="K3:L3"/>
    <mergeCell ref="M3:M4"/>
    <mergeCell ref="N3:N4"/>
    <mergeCell ref="O3:O4"/>
    <mergeCell ref="P3:P4"/>
    <mergeCell ref="F1:AB1"/>
    <mergeCell ref="B2:E4"/>
    <mergeCell ref="F2:G2"/>
    <mergeCell ref="H2:I4"/>
    <mergeCell ref="J2:O2"/>
    <mergeCell ref="P2:Q2"/>
    <mergeCell ref="R2:S2"/>
    <mergeCell ref="T2:U2"/>
    <mergeCell ref="V2:W2"/>
    <mergeCell ref="X2:X4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90" orientation="landscape" r:id="rId1"/>
  <rowBreaks count="2" manualBreakCount="2">
    <brk id="56" max="16383" man="1"/>
    <brk id="293" min="1" max="7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3222-5BC6-45B7-B738-189492F06D46}">
  <sheetPr>
    <tabColor theme="9" tint="-0.249977111117893"/>
  </sheetPr>
  <dimension ref="A1:AB393"/>
  <sheetViews>
    <sheetView view="pageBreakPreview" zoomScale="60" zoomScaleNormal="85" workbookViewId="0">
      <pane xSplit="6" ySplit="4" topLeftCell="G338" activePane="bottomRight" state="frozen"/>
      <selection activeCell="Q12" sqref="Q12"/>
      <selection pane="topRight" activeCell="Q12" sqref="Q12"/>
      <selection pane="bottomLeft" activeCell="Q12" sqref="Q12"/>
      <selection pane="bottomRight" activeCell="Q12" sqref="Q12"/>
    </sheetView>
  </sheetViews>
  <sheetFormatPr defaultRowHeight="14.5" x14ac:dyDescent="0.35"/>
  <cols>
    <col min="1" max="1" width="2.1796875" style="94" customWidth="1"/>
    <col min="2" max="2" width="5.81640625" style="94" customWidth="1"/>
    <col min="3" max="3" width="8.81640625" style="94" customWidth="1"/>
    <col min="4" max="4" width="40.54296875" style="94" customWidth="1"/>
    <col min="5" max="5" width="6.7265625" style="94" hidden="1" customWidth="1"/>
    <col min="6" max="6" width="23.81640625" style="94" customWidth="1"/>
    <col min="7" max="7" width="7.54296875" style="570" bestFit="1" customWidth="1"/>
    <col min="8" max="8" width="10.1796875" style="94" customWidth="1"/>
    <col min="9" max="9" width="5.81640625" style="94" customWidth="1"/>
    <col min="10" max="10" width="6" style="570" customWidth="1"/>
    <col min="11" max="11" width="8.453125" style="570" customWidth="1"/>
    <col min="12" max="12" width="11.81640625" style="570" bestFit="1" customWidth="1"/>
    <col min="13" max="13" width="12" style="168" bestFit="1" customWidth="1"/>
    <col min="14" max="14" width="10.1796875" style="168" bestFit="1" customWidth="1"/>
    <col min="15" max="15" width="16.26953125" style="94" bestFit="1" customWidth="1"/>
    <col min="16" max="16" width="15.26953125" style="94" hidden="1" customWidth="1"/>
    <col min="17" max="17" width="21.81640625" style="94" hidden="1" customWidth="1"/>
    <col min="18" max="18" width="14.1796875" style="94" bestFit="1" customWidth="1"/>
    <col min="19" max="19" width="22.81640625" style="94" customWidth="1"/>
    <col min="20" max="20" width="13.81640625" style="94" hidden="1" customWidth="1"/>
    <col min="21" max="21" width="18.1796875" style="94" hidden="1" customWidth="1"/>
    <col min="22" max="22" width="13.81640625" style="94" hidden="1" customWidth="1"/>
    <col min="23" max="23" width="20" style="94" hidden="1" customWidth="1"/>
    <col min="24" max="24" width="18.54296875" style="94" hidden="1" customWidth="1"/>
    <col min="25" max="25" width="19.1796875" style="94" customWidth="1"/>
    <col min="26" max="26" width="13" style="94" customWidth="1"/>
    <col min="27" max="28" width="8.7265625" style="94"/>
  </cols>
  <sheetData>
    <row r="1" spans="1:28" x14ac:dyDescent="0.35">
      <c r="B1" s="569" t="s">
        <v>480</v>
      </c>
      <c r="C1" s="94">
        <v>192.08</v>
      </c>
    </row>
    <row r="2" spans="1:28" ht="15" customHeight="1" x14ac:dyDescent="0.35">
      <c r="B2" s="174" t="s">
        <v>8</v>
      </c>
      <c r="C2" s="571"/>
      <c r="D2" s="571"/>
      <c r="E2" s="175"/>
      <c r="F2" s="172" t="s">
        <v>168</v>
      </c>
      <c r="G2" s="173"/>
      <c r="H2" s="174" t="s">
        <v>169</v>
      </c>
      <c r="I2" s="175"/>
      <c r="J2" s="172" t="s">
        <v>481</v>
      </c>
      <c r="K2" s="572"/>
      <c r="L2" s="572"/>
      <c r="M2" s="572"/>
      <c r="N2" s="572"/>
      <c r="O2" s="173"/>
      <c r="P2" s="179">
        <v>2025</v>
      </c>
      <c r="Q2" s="180"/>
      <c r="R2" s="179">
        <v>2027</v>
      </c>
      <c r="S2" s="180"/>
      <c r="T2" s="181">
        <v>2027</v>
      </c>
      <c r="U2" s="182"/>
      <c r="V2" s="185" t="s">
        <v>171</v>
      </c>
      <c r="W2" s="186"/>
      <c r="X2" s="573"/>
      <c r="Y2" s="188" t="s">
        <v>68</v>
      </c>
      <c r="Z2" s="189" t="s">
        <v>69</v>
      </c>
    </row>
    <row r="3" spans="1:28" s="578" customFormat="1" x14ac:dyDescent="0.35">
      <c r="A3" s="570"/>
      <c r="B3" s="194"/>
      <c r="C3" s="574"/>
      <c r="D3" s="574"/>
      <c r="E3" s="195"/>
      <c r="F3" s="193" t="s">
        <v>175</v>
      </c>
      <c r="G3" s="193" t="s">
        <v>176</v>
      </c>
      <c r="H3" s="194"/>
      <c r="I3" s="195"/>
      <c r="J3" s="193" t="s">
        <v>176</v>
      </c>
      <c r="K3" s="172" t="s">
        <v>177</v>
      </c>
      <c r="L3" s="173"/>
      <c r="M3" s="575" t="s">
        <v>178</v>
      </c>
      <c r="N3" s="576" t="s">
        <v>179</v>
      </c>
      <c r="O3" s="577" t="s">
        <v>180</v>
      </c>
      <c r="P3" s="198" t="s">
        <v>181</v>
      </c>
      <c r="Q3" s="198" t="s">
        <v>182</v>
      </c>
      <c r="R3" s="198" t="s">
        <v>181</v>
      </c>
      <c r="S3" s="198" t="s">
        <v>182</v>
      </c>
      <c r="T3" s="200" t="s">
        <v>181</v>
      </c>
      <c r="U3" s="200" t="s">
        <v>182</v>
      </c>
      <c r="V3" s="202" t="s">
        <v>181</v>
      </c>
      <c r="W3" s="202" t="s">
        <v>182</v>
      </c>
      <c r="X3" s="187" t="s">
        <v>172</v>
      </c>
      <c r="Y3" s="204"/>
      <c r="Z3" s="204"/>
      <c r="AA3" s="570"/>
      <c r="AB3" s="570"/>
    </row>
    <row r="4" spans="1:28" s="578" customFormat="1" ht="28" x14ac:dyDescent="0.35">
      <c r="A4" s="570"/>
      <c r="B4" s="194"/>
      <c r="C4" s="574"/>
      <c r="D4" s="574"/>
      <c r="E4" s="195"/>
      <c r="F4" s="208"/>
      <c r="G4" s="208"/>
      <c r="H4" s="209"/>
      <c r="I4" s="210"/>
      <c r="J4" s="208"/>
      <c r="K4" s="211" t="s">
        <v>183</v>
      </c>
      <c r="L4" s="212" t="s">
        <v>184</v>
      </c>
      <c r="M4" s="579"/>
      <c r="N4" s="580"/>
      <c r="O4" s="581"/>
      <c r="P4" s="215"/>
      <c r="Q4" s="215"/>
      <c r="R4" s="215"/>
      <c r="S4" s="215"/>
      <c r="T4" s="217"/>
      <c r="U4" s="217"/>
      <c r="V4" s="219"/>
      <c r="W4" s="219"/>
      <c r="X4" s="220"/>
      <c r="Y4" s="221"/>
      <c r="Z4" s="221"/>
      <c r="AA4" s="570"/>
      <c r="AB4" s="570"/>
    </row>
    <row r="5" spans="1:28" s="597" customFormat="1" x14ac:dyDescent="0.35">
      <c r="A5" s="582"/>
      <c r="B5" s="583" t="s">
        <v>314</v>
      </c>
      <c r="C5" s="584"/>
      <c r="D5" s="585"/>
      <c r="E5" s="586"/>
      <c r="F5" s="587"/>
      <c r="G5" s="588"/>
      <c r="H5" s="588"/>
      <c r="I5" s="589"/>
      <c r="J5" s="588"/>
      <c r="K5" s="590"/>
      <c r="L5" s="591"/>
      <c r="M5" s="592"/>
      <c r="N5" s="592"/>
      <c r="O5" s="593"/>
      <c r="P5" s="594"/>
      <c r="Q5" s="594"/>
      <c r="R5" s="594"/>
      <c r="S5" s="594"/>
      <c r="T5" s="241"/>
      <c r="U5" s="241"/>
      <c r="V5" s="241"/>
      <c r="W5" s="241"/>
      <c r="X5" s="595"/>
      <c r="Y5" s="596"/>
      <c r="Z5" s="596"/>
      <c r="AA5" s="582"/>
      <c r="AB5" s="582"/>
    </row>
    <row r="6" spans="1:28" x14ac:dyDescent="0.35">
      <c r="B6" s="598"/>
      <c r="C6" s="599" t="s">
        <v>118</v>
      </c>
      <c r="D6" s="599"/>
      <c r="E6" s="600"/>
      <c r="F6" s="232" t="s">
        <v>187</v>
      </c>
      <c r="G6" s="318" t="s">
        <v>188</v>
      </c>
      <c r="H6" s="319"/>
      <c r="I6" s="320"/>
      <c r="J6" s="318"/>
      <c r="K6" s="501"/>
      <c r="L6" s="506"/>
      <c r="M6" s="373">
        <v>6.5</v>
      </c>
      <c r="N6" s="233">
        <v>1</v>
      </c>
      <c r="O6" s="319"/>
      <c r="P6" s="492"/>
      <c r="Q6" s="492"/>
      <c r="R6" s="492"/>
      <c r="S6" s="492"/>
      <c r="T6" s="601"/>
      <c r="U6" s="601"/>
      <c r="V6" s="601"/>
      <c r="W6" s="601"/>
      <c r="X6" s="602"/>
      <c r="Y6" s="232"/>
      <c r="Z6" s="232"/>
    </row>
    <row r="7" spans="1:28" hidden="1" x14ac:dyDescent="0.35">
      <c r="B7" s="603"/>
      <c r="E7" s="604"/>
      <c r="F7" s="232" t="s">
        <v>316</v>
      </c>
      <c r="G7" s="318" t="s">
        <v>191</v>
      </c>
      <c r="H7" s="319"/>
      <c r="I7" s="320"/>
      <c r="J7" s="318"/>
      <c r="K7" s="501"/>
      <c r="L7" s="506"/>
      <c r="M7" s="373">
        <v>3</v>
      </c>
      <c r="N7" s="233">
        <v>1</v>
      </c>
      <c r="O7" s="319"/>
      <c r="P7" s="492"/>
      <c r="Q7" s="492"/>
      <c r="R7" s="492"/>
      <c r="S7" s="492"/>
      <c r="T7" s="601"/>
      <c r="U7" s="601"/>
      <c r="V7" s="601"/>
      <c r="W7" s="601"/>
      <c r="X7" s="602"/>
      <c r="Y7" s="232"/>
      <c r="Z7" s="232"/>
    </row>
    <row r="8" spans="1:28" hidden="1" x14ac:dyDescent="0.35">
      <c r="B8" s="603"/>
      <c r="E8" s="604"/>
      <c r="F8" s="232" t="s">
        <v>317</v>
      </c>
      <c r="G8" s="318" t="s">
        <v>191</v>
      </c>
      <c r="H8" s="319"/>
      <c r="I8" s="320"/>
      <c r="J8" s="318"/>
      <c r="K8" s="501"/>
      <c r="L8" s="506"/>
      <c r="M8" s="373">
        <v>6</v>
      </c>
      <c r="N8" s="233">
        <v>1</v>
      </c>
      <c r="O8" s="319"/>
      <c r="P8" s="492"/>
      <c r="Q8" s="492"/>
      <c r="R8" s="492"/>
      <c r="S8" s="492"/>
      <c r="T8" s="601"/>
      <c r="U8" s="601"/>
      <c r="V8" s="601"/>
      <c r="W8" s="601"/>
      <c r="X8" s="602"/>
      <c r="Y8" s="232"/>
      <c r="Z8" s="232"/>
    </row>
    <row r="9" spans="1:28" hidden="1" x14ac:dyDescent="0.35">
      <c r="B9" s="603"/>
      <c r="E9" s="604"/>
      <c r="F9" s="232" t="s">
        <v>324</v>
      </c>
      <c r="G9" s="318" t="s">
        <v>191</v>
      </c>
      <c r="H9" s="319"/>
      <c r="I9" s="320"/>
      <c r="J9" s="318"/>
      <c r="K9" s="501"/>
      <c r="L9" s="506"/>
      <c r="M9" s="373">
        <v>0.25</v>
      </c>
      <c r="N9" s="233">
        <v>1</v>
      </c>
      <c r="O9" s="319"/>
      <c r="P9" s="492"/>
      <c r="Q9" s="492"/>
      <c r="R9" s="492"/>
      <c r="S9" s="492"/>
      <c r="T9" s="601"/>
      <c r="U9" s="601"/>
      <c r="V9" s="601"/>
      <c r="W9" s="601"/>
      <c r="X9" s="602"/>
      <c r="Y9" s="232"/>
      <c r="Z9" s="232"/>
    </row>
    <row r="10" spans="1:28" hidden="1" x14ac:dyDescent="0.35">
      <c r="B10" s="603"/>
      <c r="E10" s="604"/>
      <c r="F10" s="232" t="s">
        <v>482</v>
      </c>
      <c r="G10" s="318" t="s">
        <v>191</v>
      </c>
      <c r="H10" s="319"/>
      <c r="I10" s="320"/>
      <c r="J10" s="318"/>
      <c r="K10" s="501"/>
      <c r="L10" s="506"/>
      <c r="M10" s="373">
        <v>0.01</v>
      </c>
      <c r="N10" s="233">
        <v>1</v>
      </c>
      <c r="O10" s="319"/>
      <c r="P10" s="492"/>
      <c r="Q10" s="492"/>
      <c r="R10" s="492"/>
      <c r="S10" s="492"/>
      <c r="T10" s="601"/>
      <c r="U10" s="601"/>
      <c r="V10" s="601"/>
      <c r="W10" s="601"/>
      <c r="X10" s="602"/>
      <c r="Y10" s="232"/>
      <c r="Z10" s="232"/>
    </row>
    <row r="11" spans="1:28" hidden="1" x14ac:dyDescent="0.35">
      <c r="B11" s="603"/>
      <c r="E11" s="604"/>
      <c r="F11" s="232" t="s">
        <v>322</v>
      </c>
      <c r="G11" s="318" t="s">
        <v>191</v>
      </c>
      <c r="H11" s="319"/>
      <c r="I11" s="320"/>
      <c r="J11" s="318"/>
      <c r="K11" s="501"/>
      <c r="L11" s="506"/>
      <c r="M11" s="373">
        <v>2</v>
      </c>
      <c r="N11" s="233">
        <v>1</v>
      </c>
      <c r="O11" s="319"/>
      <c r="P11" s="492"/>
      <c r="Q11" s="492"/>
      <c r="R11" s="492"/>
      <c r="S11" s="492"/>
      <c r="T11" s="601"/>
      <c r="U11" s="601"/>
      <c r="V11" s="601"/>
      <c r="W11" s="601"/>
      <c r="X11" s="602"/>
      <c r="Y11" s="232"/>
      <c r="Z11" s="232"/>
    </row>
    <row r="12" spans="1:28" hidden="1" x14ac:dyDescent="0.35">
      <c r="B12" s="605"/>
      <c r="C12" s="606"/>
      <c r="D12" s="606"/>
      <c r="E12" s="607"/>
      <c r="F12" s="232" t="s">
        <v>242</v>
      </c>
      <c r="G12" s="318" t="s">
        <v>193</v>
      </c>
      <c r="H12" s="319">
        <v>1</v>
      </c>
      <c r="I12" s="320" t="s">
        <v>238</v>
      </c>
      <c r="J12" s="318"/>
      <c r="K12" s="501"/>
      <c r="L12" s="506"/>
      <c r="M12" s="373">
        <f>((M$6*N$6)/240*($H12/N12))</f>
        <v>2.7083333333333334E-2</v>
      </c>
      <c r="N12" s="233">
        <v>1</v>
      </c>
      <c r="O12" s="319"/>
      <c r="P12" s="492"/>
      <c r="Q12" s="492"/>
      <c r="R12" s="492"/>
      <c r="S12" s="492"/>
      <c r="T12" s="601"/>
      <c r="U12" s="601"/>
      <c r="V12" s="601"/>
      <c r="W12" s="601"/>
      <c r="X12" s="602"/>
      <c r="Y12" s="232"/>
      <c r="Z12" s="232"/>
    </row>
    <row r="13" spans="1:28" x14ac:dyDescent="0.35">
      <c r="B13" s="319"/>
      <c r="C13" s="320" t="s">
        <v>136</v>
      </c>
      <c r="D13" s="320"/>
      <c r="E13" s="608"/>
      <c r="F13" s="232" t="s">
        <v>187</v>
      </c>
      <c r="G13" s="318" t="s">
        <v>188</v>
      </c>
      <c r="H13" s="319"/>
      <c r="I13" s="320"/>
      <c r="J13" s="318"/>
      <c r="K13" s="501"/>
      <c r="L13" s="506"/>
      <c r="M13" s="373">
        <v>4</v>
      </c>
      <c r="N13" s="233">
        <v>3</v>
      </c>
      <c r="O13" s="319"/>
      <c r="P13" s="492"/>
      <c r="Q13" s="492"/>
      <c r="R13" s="492"/>
      <c r="S13" s="492"/>
      <c r="T13" s="601"/>
      <c r="U13" s="601"/>
      <c r="V13" s="601"/>
      <c r="W13" s="601"/>
      <c r="X13" s="602"/>
      <c r="Y13" s="232"/>
      <c r="Z13" s="232"/>
    </row>
    <row r="14" spans="1:28" x14ac:dyDescent="0.35">
      <c r="B14" s="598"/>
      <c r="C14" s="599" t="s">
        <v>483</v>
      </c>
      <c r="D14" s="599"/>
      <c r="E14" s="600"/>
      <c r="F14" s="232" t="s">
        <v>187</v>
      </c>
      <c r="G14" s="318" t="s">
        <v>188</v>
      </c>
      <c r="H14" s="319"/>
      <c r="I14" s="320"/>
      <c r="J14" s="318"/>
      <c r="K14" s="501"/>
      <c r="L14" s="506"/>
      <c r="M14" s="373">
        <v>2</v>
      </c>
      <c r="N14" s="233">
        <v>1</v>
      </c>
      <c r="O14" s="319"/>
      <c r="P14" s="492"/>
      <c r="Q14" s="492"/>
      <c r="R14" s="492"/>
      <c r="S14" s="492"/>
      <c r="T14" s="601"/>
      <c r="U14" s="601"/>
      <c r="V14" s="601"/>
      <c r="W14" s="601"/>
      <c r="X14" s="609"/>
      <c r="Y14" s="232"/>
      <c r="Z14" s="232"/>
    </row>
    <row r="15" spans="1:28" hidden="1" x14ac:dyDescent="0.35">
      <c r="B15" s="603"/>
      <c r="E15" s="604"/>
      <c r="F15" s="232" t="s">
        <v>231</v>
      </c>
      <c r="G15" s="318" t="s">
        <v>232</v>
      </c>
      <c r="H15" s="319"/>
      <c r="I15" s="320"/>
      <c r="J15" s="318"/>
      <c r="K15" s="501"/>
      <c r="L15" s="506"/>
      <c r="M15" s="373">
        <v>1.2000000000000002</v>
      </c>
      <c r="N15" s="233">
        <v>1</v>
      </c>
      <c r="O15" s="319"/>
      <c r="P15" s="492"/>
      <c r="Q15" s="492"/>
      <c r="R15" s="492"/>
      <c r="S15" s="492"/>
      <c r="T15" s="601"/>
      <c r="U15" s="601"/>
      <c r="V15" s="601"/>
      <c r="W15" s="601"/>
      <c r="X15" s="602"/>
      <c r="Y15" s="232"/>
      <c r="Z15" s="232"/>
    </row>
    <row r="16" spans="1:28" hidden="1" x14ac:dyDescent="0.35">
      <c r="B16" s="603"/>
      <c r="E16" s="604"/>
      <c r="F16" s="232" t="s">
        <v>233</v>
      </c>
      <c r="G16" s="318" t="s">
        <v>191</v>
      </c>
      <c r="H16" s="319"/>
      <c r="I16" s="320"/>
      <c r="J16" s="318"/>
      <c r="K16" s="501"/>
      <c r="L16" s="506"/>
      <c r="M16" s="373">
        <f>48/1000</f>
        <v>4.8000000000000001E-2</v>
      </c>
      <c r="N16" s="233">
        <v>1</v>
      </c>
      <c r="O16" s="319"/>
      <c r="P16" s="492"/>
      <c r="Q16" s="492"/>
      <c r="R16" s="492"/>
      <c r="S16" s="492"/>
      <c r="T16" s="601"/>
      <c r="U16" s="601"/>
      <c r="V16" s="601"/>
      <c r="W16" s="601"/>
      <c r="X16" s="602"/>
      <c r="Y16" s="232"/>
      <c r="Z16" s="232"/>
    </row>
    <row r="17" spans="2:26" hidden="1" x14ac:dyDescent="0.35">
      <c r="B17" s="603"/>
      <c r="E17" s="604"/>
      <c r="F17" s="232" t="s">
        <v>235</v>
      </c>
      <c r="G17" s="318" t="s">
        <v>232</v>
      </c>
      <c r="H17" s="319"/>
      <c r="I17" s="320"/>
      <c r="J17" s="318"/>
      <c r="K17" s="501"/>
      <c r="L17" s="506"/>
      <c r="M17" s="373">
        <v>0.28799999999999998</v>
      </c>
      <c r="N17" s="233">
        <v>1</v>
      </c>
      <c r="O17" s="319"/>
      <c r="P17" s="492"/>
      <c r="Q17" s="492"/>
      <c r="R17" s="492"/>
      <c r="S17" s="492"/>
      <c r="T17" s="601"/>
      <c r="U17" s="601"/>
      <c r="V17" s="601"/>
      <c r="W17" s="601"/>
      <c r="X17" s="602"/>
      <c r="Y17" s="232"/>
      <c r="Z17" s="232"/>
    </row>
    <row r="18" spans="2:26" hidden="1" x14ac:dyDescent="0.35">
      <c r="B18" s="603"/>
      <c r="E18" s="604"/>
      <c r="F18" s="232" t="s">
        <v>396</v>
      </c>
      <c r="G18" s="318" t="s">
        <v>193</v>
      </c>
      <c r="H18" s="319"/>
      <c r="I18" s="320"/>
      <c r="J18" s="318"/>
      <c r="K18" s="501"/>
      <c r="L18" s="506"/>
      <c r="M18" s="373">
        <v>7.0000000000000001E-3</v>
      </c>
      <c r="N18" s="233">
        <v>1</v>
      </c>
      <c r="O18" s="319"/>
      <c r="P18" s="492"/>
      <c r="Q18" s="492"/>
      <c r="R18" s="492"/>
      <c r="S18" s="492"/>
      <c r="T18" s="601"/>
      <c r="U18" s="601"/>
      <c r="V18" s="601"/>
      <c r="W18" s="601"/>
      <c r="X18" s="602"/>
      <c r="Y18" s="232"/>
      <c r="Z18" s="232"/>
    </row>
    <row r="19" spans="2:26" hidden="1" x14ac:dyDescent="0.35">
      <c r="B19" s="603"/>
      <c r="E19" s="604"/>
      <c r="F19" s="232" t="s">
        <v>236</v>
      </c>
      <c r="G19" s="318" t="s">
        <v>188</v>
      </c>
      <c r="H19" s="319"/>
      <c r="I19" s="320"/>
      <c r="J19" s="318"/>
      <c r="K19" s="501"/>
      <c r="L19" s="506"/>
      <c r="M19" s="373">
        <v>2</v>
      </c>
      <c r="N19" s="233">
        <v>1</v>
      </c>
      <c r="O19" s="319"/>
      <c r="P19" s="492"/>
      <c r="Q19" s="492"/>
      <c r="R19" s="492"/>
      <c r="S19" s="492"/>
      <c r="T19" s="601"/>
      <c r="U19" s="601"/>
      <c r="V19" s="601"/>
      <c r="W19" s="601"/>
      <c r="X19" s="602"/>
      <c r="Y19" s="232"/>
      <c r="Z19" s="232"/>
    </row>
    <row r="20" spans="2:26" hidden="1" x14ac:dyDescent="0.35">
      <c r="B20" s="603"/>
      <c r="E20" s="604"/>
      <c r="F20" s="232" t="s">
        <v>237</v>
      </c>
      <c r="G20" s="318" t="s">
        <v>193</v>
      </c>
      <c r="H20" s="319">
        <v>4</v>
      </c>
      <c r="I20" s="320" t="s">
        <v>238</v>
      </c>
      <c r="J20" s="318"/>
      <c r="K20" s="501"/>
      <c r="L20" s="506"/>
      <c r="M20" s="373">
        <f>((M$14*N$14)/240*($H20/N20))</f>
        <v>3.3333333333333333E-2</v>
      </c>
      <c r="N20" s="233">
        <v>1</v>
      </c>
      <c r="O20" s="319"/>
      <c r="P20" s="492"/>
      <c r="Q20" s="492"/>
      <c r="R20" s="492"/>
      <c r="S20" s="492"/>
      <c r="T20" s="601"/>
      <c r="U20" s="601"/>
      <c r="V20" s="601"/>
      <c r="W20" s="601"/>
      <c r="X20" s="602"/>
      <c r="Y20" s="232"/>
      <c r="Z20" s="232"/>
    </row>
    <row r="21" spans="2:26" hidden="1" x14ac:dyDescent="0.35">
      <c r="B21" s="603"/>
      <c r="E21" s="604"/>
      <c r="F21" s="232" t="s">
        <v>239</v>
      </c>
      <c r="G21" s="318" t="s">
        <v>193</v>
      </c>
      <c r="H21" s="319">
        <v>12</v>
      </c>
      <c r="I21" s="320" t="s">
        <v>238</v>
      </c>
      <c r="J21" s="318"/>
      <c r="K21" s="501"/>
      <c r="L21" s="506"/>
      <c r="M21" s="373">
        <f>((M$14*N$14)/240*($H21/N21))</f>
        <v>0.1</v>
      </c>
      <c r="N21" s="233">
        <v>1</v>
      </c>
      <c r="O21" s="319"/>
      <c r="P21" s="492"/>
      <c r="Q21" s="492"/>
      <c r="R21" s="492"/>
      <c r="S21" s="492"/>
      <c r="T21" s="601"/>
      <c r="U21" s="601"/>
      <c r="V21" s="601"/>
      <c r="W21" s="601"/>
      <c r="X21" s="602"/>
      <c r="Y21" s="232"/>
      <c r="Z21" s="232"/>
    </row>
    <row r="22" spans="2:26" hidden="1" x14ac:dyDescent="0.35">
      <c r="B22" s="603"/>
      <c r="E22" s="604"/>
      <c r="F22" s="232" t="s">
        <v>240</v>
      </c>
      <c r="G22" s="318" t="s">
        <v>193</v>
      </c>
      <c r="H22" s="319">
        <v>1</v>
      </c>
      <c r="I22" s="320" t="s">
        <v>238</v>
      </c>
      <c r="J22" s="318"/>
      <c r="K22" s="501"/>
      <c r="L22" s="506"/>
      <c r="M22" s="373">
        <f>((M$14*N$14)/240*($H22/N22))</f>
        <v>8.3333333333333332E-3</v>
      </c>
      <c r="N22" s="233">
        <v>1</v>
      </c>
      <c r="O22" s="319"/>
      <c r="P22" s="492"/>
      <c r="Q22" s="492"/>
      <c r="R22" s="492"/>
      <c r="S22" s="492"/>
      <c r="T22" s="601"/>
      <c r="U22" s="601"/>
      <c r="V22" s="601"/>
      <c r="W22" s="601"/>
      <c r="X22" s="602"/>
      <c r="Y22" s="232"/>
      <c r="Z22" s="232"/>
    </row>
    <row r="23" spans="2:26" hidden="1" x14ac:dyDescent="0.35">
      <c r="B23" s="603"/>
      <c r="E23" s="604"/>
      <c r="F23" s="232" t="s">
        <v>241</v>
      </c>
      <c r="G23" s="318" t="s">
        <v>193</v>
      </c>
      <c r="H23" s="319">
        <v>2</v>
      </c>
      <c r="I23" s="320" t="s">
        <v>238</v>
      </c>
      <c r="J23" s="318"/>
      <c r="K23" s="501"/>
      <c r="L23" s="506"/>
      <c r="M23" s="373">
        <f>((M$14*N$14)/240*($H23/N23))</f>
        <v>1.6666666666666666E-2</v>
      </c>
      <c r="N23" s="233">
        <v>1</v>
      </c>
      <c r="O23" s="319"/>
      <c r="P23" s="492"/>
      <c r="Q23" s="492"/>
      <c r="R23" s="492"/>
      <c r="S23" s="492"/>
      <c r="T23" s="601"/>
      <c r="U23" s="601"/>
      <c r="V23" s="601"/>
      <c r="W23" s="601"/>
      <c r="X23" s="602"/>
      <c r="Y23" s="232"/>
      <c r="Z23" s="232"/>
    </row>
    <row r="24" spans="2:26" hidden="1" x14ac:dyDescent="0.35">
      <c r="B24" s="605"/>
      <c r="C24" s="606"/>
      <c r="D24" s="606"/>
      <c r="E24" s="607"/>
      <c r="F24" s="232" t="s">
        <v>242</v>
      </c>
      <c r="G24" s="318" t="s">
        <v>193</v>
      </c>
      <c r="H24" s="319">
        <v>1</v>
      </c>
      <c r="I24" s="320" t="s">
        <v>238</v>
      </c>
      <c r="J24" s="318"/>
      <c r="K24" s="501"/>
      <c r="L24" s="506"/>
      <c r="M24" s="373">
        <f>((M$14*N$14)/240*($H24/N24))</f>
        <v>8.3333333333333332E-3</v>
      </c>
      <c r="N24" s="233">
        <v>1</v>
      </c>
      <c r="O24" s="319"/>
      <c r="P24" s="492"/>
      <c r="Q24" s="492"/>
      <c r="R24" s="492"/>
      <c r="S24" s="492"/>
      <c r="T24" s="601"/>
      <c r="U24" s="601"/>
      <c r="V24" s="601"/>
      <c r="W24" s="601"/>
      <c r="X24" s="602"/>
      <c r="Y24" s="232"/>
      <c r="Z24" s="232"/>
    </row>
    <row r="25" spans="2:26" x14ac:dyDescent="0.35">
      <c r="B25" s="598"/>
      <c r="C25" s="599" t="s">
        <v>88</v>
      </c>
      <c r="D25" s="599"/>
      <c r="E25" s="600"/>
      <c r="F25" s="232" t="s">
        <v>187</v>
      </c>
      <c r="G25" s="318" t="s">
        <v>188</v>
      </c>
      <c r="H25" s="319"/>
      <c r="I25" s="320"/>
      <c r="J25" s="318"/>
      <c r="K25" s="501"/>
      <c r="L25" s="506"/>
      <c r="M25" s="373">
        <v>1</v>
      </c>
      <c r="N25" s="233">
        <v>1</v>
      </c>
      <c r="O25" s="319"/>
      <c r="P25" s="492"/>
      <c r="Q25" s="492"/>
      <c r="R25" s="492"/>
      <c r="S25" s="492"/>
      <c r="T25" s="601"/>
      <c r="U25" s="601"/>
      <c r="V25" s="601"/>
      <c r="W25" s="601"/>
      <c r="X25" s="602"/>
      <c r="Y25" s="232"/>
      <c r="Z25" s="232"/>
    </row>
    <row r="26" spans="2:26" hidden="1" x14ac:dyDescent="0.35">
      <c r="B26" s="603"/>
      <c r="E26" s="604"/>
      <c r="F26" s="232" t="s">
        <v>231</v>
      </c>
      <c r="G26" s="318" t="s">
        <v>232</v>
      </c>
      <c r="H26" s="319"/>
      <c r="I26" s="320"/>
      <c r="J26" s="318"/>
      <c r="K26" s="501"/>
      <c r="L26" s="506"/>
      <c r="M26" s="373">
        <v>1.08</v>
      </c>
      <c r="N26" s="233">
        <v>1</v>
      </c>
      <c r="O26" s="319"/>
      <c r="P26" s="492"/>
      <c r="Q26" s="492"/>
      <c r="R26" s="492"/>
      <c r="S26" s="492"/>
      <c r="T26" s="601"/>
      <c r="U26" s="601"/>
      <c r="V26" s="601"/>
      <c r="W26" s="601"/>
      <c r="X26" s="602"/>
      <c r="Y26" s="232"/>
      <c r="Z26" s="232"/>
    </row>
    <row r="27" spans="2:26" hidden="1" x14ac:dyDescent="0.35">
      <c r="B27" s="603"/>
      <c r="E27" s="604"/>
      <c r="F27" s="232" t="s">
        <v>235</v>
      </c>
      <c r="G27" s="318" t="s">
        <v>232</v>
      </c>
      <c r="H27" s="319"/>
      <c r="I27" s="320"/>
      <c r="J27" s="318"/>
      <c r="K27" s="501"/>
      <c r="L27" s="506"/>
      <c r="M27" s="373">
        <v>0.18</v>
      </c>
      <c r="N27" s="233">
        <v>1</v>
      </c>
      <c r="O27" s="319"/>
      <c r="P27" s="492"/>
      <c r="Q27" s="492"/>
      <c r="R27" s="492"/>
      <c r="S27" s="492"/>
      <c r="T27" s="601"/>
      <c r="U27" s="601"/>
      <c r="V27" s="601"/>
      <c r="W27" s="601"/>
      <c r="X27" s="602"/>
      <c r="Y27" s="232"/>
      <c r="Z27" s="232"/>
    </row>
    <row r="28" spans="2:26" hidden="1" x14ac:dyDescent="0.35">
      <c r="B28" s="603"/>
      <c r="E28" s="604"/>
      <c r="F28" s="232" t="s">
        <v>396</v>
      </c>
      <c r="G28" s="318" t="s">
        <v>193</v>
      </c>
      <c r="H28" s="319"/>
      <c r="I28" s="320"/>
      <c r="J28" s="318"/>
      <c r="K28" s="501"/>
      <c r="L28" s="506"/>
      <c r="M28" s="373">
        <v>4.0000000000000001E-3</v>
      </c>
      <c r="N28" s="233">
        <v>1</v>
      </c>
      <c r="O28" s="319"/>
      <c r="P28" s="492"/>
      <c r="Q28" s="492"/>
      <c r="R28" s="492"/>
      <c r="S28" s="492"/>
      <c r="T28" s="601"/>
      <c r="U28" s="601"/>
      <c r="V28" s="601"/>
      <c r="W28" s="601"/>
      <c r="X28" s="602"/>
      <c r="Y28" s="232"/>
      <c r="Z28" s="232"/>
    </row>
    <row r="29" spans="2:26" hidden="1" x14ac:dyDescent="0.35">
      <c r="B29" s="603"/>
      <c r="E29" s="604"/>
      <c r="F29" s="232" t="s">
        <v>236</v>
      </c>
      <c r="G29" s="318" t="s">
        <v>188</v>
      </c>
      <c r="H29" s="319"/>
      <c r="I29" s="320"/>
      <c r="J29" s="318"/>
      <c r="K29" s="501"/>
      <c r="L29" s="506"/>
      <c r="M29" s="373">
        <v>1</v>
      </c>
      <c r="N29" s="233">
        <v>1</v>
      </c>
      <c r="O29" s="319"/>
      <c r="P29" s="492"/>
      <c r="Q29" s="492"/>
      <c r="R29" s="492"/>
      <c r="S29" s="492"/>
      <c r="T29" s="601"/>
      <c r="U29" s="601"/>
      <c r="V29" s="601"/>
      <c r="W29" s="601"/>
      <c r="X29" s="602"/>
      <c r="Y29" s="232"/>
      <c r="Z29" s="232"/>
    </row>
    <row r="30" spans="2:26" hidden="1" x14ac:dyDescent="0.35">
      <c r="B30" s="603"/>
      <c r="E30" s="604"/>
      <c r="F30" s="232" t="s">
        <v>237</v>
      </c>
      <c r="G30" s="318" t="s">
        <v>193</v>
      </c>
      <c r="H30" s="319">
        <v>4</v>
      </c>
      <c r="I30" s="320" t="s">
        <v>238</v>
      </c>
      <c r="J30" s="318"/>
      <c r="K30" s="501"/>
      <c r="L30" s="506"/>
      <c r="M30" s="373">
        <f>((M$25*N$25)/240*($H30/N30))</f>
        <v>1.6666666666666666E-2</v>
      </c>
      <c r="N30" s="233">
        <v>1</v>
      </c>
      <c r="O30" s="319"/>
      <c r="P30" s="492"/>
      <c r="Q30" s="492"/>
      <c r="R30" s="492"/>
      <c r="S30" s="492"/>
      <c r="T30" s="601"/>
      <c r="U30" s="601"/>
      <c r="V30" s="601"/>
      <c r="W30" s="601"/>
      <c r="X30" s="602"/>
      <c r="Y30" s="232"/>
      <c r="Z30" s="232"/>
    </row>
    <row r="31" spans="2:26" hidden="1" x14ac:dyDescent="0.35">
      <c r="B31" s="603"/>
      <c r="E31" s="604"/>
      <c r="F31" s="232" t="s">
        <v>484</v>
      </c>
      <c r="G31" s="318" t="s">
        <v>193</v>
      </c>
      <c r="H31" s="319">
        <v>12</v>
      </c>
      <c r="I31" s="320" t="s">
        <v>238</v>
      </c>
      <c r="J31" s="318"/>
      <c r="K31" s="501"/>
      <c r="L31" s="506"/>
      <c r="M31" s="373">
        <f>((M$25*N$25)/240*($H31/N31))</f>
        <v>0.05</v>
      </c>
      <c r="N31" s="233">
        <v>1</v>
      </c>
      <c r="O31" s="319"/>
      <c r="P31" s="492"/>
      <c r="Q31" s="492"/>
      <c r="R31" s="492"/>
      <c r="S31" s="492"/>
      <c r="T31" s="601"/>
      <c r="U31" s="601"/>
      <c r="V31" s="601"/>
      <c r="W31" s="601"/>
      <c r="X31" s="602"/>
      <c r="Y31" s="232"/>
      <c r="Z31" s="232"/>
    </row>
    <row r="32" spans="2:26" hidden="1" x14ac:dyDescent="0.35">
      <c r="B32" s="603"/>
      <c r="E32" s="604"/>
      <c r="F32" s="232" t="s">
        <v>240</v>
      </c>
      <c r="G32" s="318" t="s">
        <v>193</v>
      </c>
      <c r="H32" s="319">
        <v>1</v>
      </c>
      <c r="I32" s="320" t="s">
        <v>238</v>
      </c>
      <c r="J32" s="318"/>
      <c r="K32" s="501"/>
      <c r="L32" s="506"/>
      <c r="M32" s="373">
        <f>((M$25*N$25)/240*($H32/N32))</f>
        <v>4.1666666666666666E-3</v>
      </c>
      <c r="N32" s="233">
        <v>1</v>
      </c>
      <c r="O32" s="319"/>
      <c r="P32" s="492"/>
      <c r="Q32" s="492"/>
      <c r="R32" s="492"/>
      <c r="S32" s="492"/>
      <c r="T32" s="601"/>
      <c r="U32" s="601"/>
      <c r="V32" s="601"/>
      <c r="W32" s="601"/>
      <c r="X32" s="602"/>
      <c r="Y32" s="232"/>
      <c r="Z32" s="232"/>
    </row>
    <row r="33" spans="1:28" hidden="1" x14ac:dyDescent="0.35">
      <c r="B33" s="603"/>
      <c r="E33" s="604"/>
      <c r="F33" s="232" t="s">
        <v>241</v>
      </c>
      <c r="G33" s="318" t="s">
        <v>193</v>
      </c>
      <c r="H33" s="319">
        <v>2</v>
      </c>
      <c r="I33" s="320" t="s">
        <v>238</v>
      </c>
      <c r="J33" s="318"/>
      <c r="K33" s="501"/>
      <c r="L33" s="506"/>
      <c r="M33" s="373">
        <f>((M$25*N$25)/240*($H33/N33))</f>
        <v>8.3333333333333332E-3</v>
      </c>
      <c r="N33" s="233">
        <v>1</v>
      </c>
      <c r="O33" s="319"/>
      <c r="P33" s="492"/>
      <c r="Q33" s="492"/>
      <c r="S33" s="492"/>
      <c r="T33" s="601"/>
      <c r="U33" s="601"/>
      <c r="V33" s="601"/>
      <c r="W33" s="601"/>
      <c r="X33" s="602"/>
      <c r="Y33" s="232"/>
      <c r="Z33" s="232"/>
    </row>
    <row r="34" spans="1:28" hidden="1" x14ac:dyDescent="0.35">
      <c r="B34" s="605"/>
      <c r="C34" s="606"/>
      <c r="D34" s="606"/>
      <c r="E34" s="607"/>
      <c r="F34" s="232" t="s">
        <v>242</v>
      </c>
      <c r="G34" s="318" t="s">
        <v>193</v>
      </c>
      <c r="H34" s="319">
        <v>1</v>
      </c>
      <c r="I34" s="320" t="s">
        <v>238</v>
      </c>
      <c r="J34" s="318"/>
      <c r="K34" s="501"/>
      <c r="L34" s="506"/>
      <c r="M34" s="373">
        <f>((M$25*N$25)/240*($H34/N34))</f>
        <v>4.1666666666666666E-3</v>
      </c>
      <c r="N34" s="233">
        <v>1</v>
      </c>
      <c r="O34" s="319"/>
      <c r="P34" s="492"/>
      <c r="Q34" s="492"/>
      <c r="R34" s="492"/>
      <c r="S34" s="492"/>
      <c r="T34" s="601"/>
      <c r="U34" s="601"/>
      <c r="V34" s="601"/>
      <c r="W34" s="601"/>
      <c r="X34" s="602"/>
      <c r="Y34" s="232"/>
      <c r="Z34" s="232"/>
    </row>
    <row r="35" spans="1:28" x14ac:dyDescent="0.35">
      <c r="B35" s="610" t="s">
        <v>485</v>
      </c>
      <c r="C35" s="611"/>
      <c r="D35" s="611"/>
      <c r="E35" s="612"/>
      <c r="F35" s="516"/>
      <c r="G35" s="613"/>
      <c r="H35" s="614"/>
      <c r="I35" s="615"/>
      <c r="J35" s="613"/>
      <c r="K35" s="616"/>
      <c r="L35" s="617"/>
      <c r="M35" s="528"/>
      <c r="N35" s="528"/>
      <c r="O35" s="614"/>
      <c r="P35" s="618"/>
      <c r="Q35" s="618"/>
      <c r="R35" s="618"/>
      <c r="S35" s="618">
        <f>SUM(S6:S34)</f>
        <v>0</v>
      </c>
      <c r="T35" s="619"/>
      <c r="U35" s="619"/>
      <c r="V35" s="619"/>
      <c r="W35" s="619"/>
      <c r="X35" s="614"/>
      <c r="Y35" s="516"/>
      <c r="Z35" s="516"/>
    </row>
    <row r="36" spans="1:28" x14ac:dyDescent="0.35">
      <c r="B36" s="620" t="s">
        <v>486</v>
      </c>
      <c r="C36" s="320"/>
      <c r="D36" s="320"/>
      <c r="E36" s="608"/>
      <c r="F36" s="232"/>
      <c r="G36" s="318"/>
      <c r="H36" s="319"/>
      <c r="I36" s="320"/>
      <c r="J36" s="318"/>
      <c r="K36" s="501"/>
      <c r="L36" s="506"/>
      <c r="M36" s="373"/>
      <c r="N36" s="233"/>
      <c r="O36" s="319"/>
      <c r="P36" s="492"/>
      <c r="Q36" s="492"/>
      <c r="R36" s="492"/>
      <c r="S36" s="492"/>
      <c r="T36" s="601"/>
      <c r="U36" s="601"/>
      <c r="V36" s="601"/>
      <c r="W36" s="601"/>
      <c r="X36" s="602"/>
      <c r="Y36" s="232"/>
      <c r="Z36" s="232"/>
    </row>
    <row r="37" spans="1:28" x14ac:dyDescent="0.35">
      <c r="B37" s="621" t="s">
        <v>487</v>
      </c>
      <c r="E37" s="604"/>
      <c r="F37" s="232"/>
      <c r="G37" s="318"/>
      <c r="H37" s="319"/>
      <c r="I37" s="320"/>
      <c r="J37" s="318"/>
      <c r="K37" s="501"/>
      <c r="L37" s="506"/>
      <c r="M37" s="373"/>
      <c r="N37" s="233"/>
      <c r="O37" s="319"/>
      <c r="P37" s="492"/>
      <c r="Q37" s="492"/>
      <c r="R37" s="492"/>
      <c r="S37" s="492"/>
      <c r="T37" s="601"/>
      <c r="U37" s="601"/>
      <c r="V37" s="601"/>
      <c r="W37" s="601"/>
      <c r="X37" s="602"/>
      <c r="Y37" s="232"/>
      <c r="Z37" s="232"/>
    </row>
    <row r="38" spans="1:28" x14ac:dyDescent="0.35">
      <c r="B38" s="598"/>
      <c r="C38" s="599" t="s">
        <v>74</v>
      </c>
      <c r="D38" s="599"/>
      <c r="E38" s="600"/>
      <c r="F38" s="232" t="s">
        <v>187</v>
      </c>
      <c r="G38" s="318" t="s">
        <v>188</v>
      </c>
      <c r="H38" s="319"/>
      <c r="I38" s="320"/>
      <c r="J38" s="318" t="s">
        <v>189</v>
      </c>
      <c r="K38" s="420">
        <v>1</v>
      </c>
      <c r="L38" s="506">
        <v>192.08</v>
      </c>
      <c r="M38" s="233">
        <v>2.5</v>
      </c>
      <c r="N38" s="235">
        <v>1</v>
      </c>
      <c r="O38" s="507">
        <f>K38*L38*M38*N38</f>
        <v>480.20000000000005</v>
      </c>
      <c r="P38" s="235">
        <v>140008</v>
      </c>
      <c r="Q38" s="492">
        <f>P38*$O38</f>
        <v>67231841.600000009</v>
      </c>
      <c r="R38" s="235">
        <v>158800.57379999998</v>
      </c>
      <c r="S38" s="492">
        <f>R38*$O38</f>
        <v>76256035.538760006</v>
      </c>
      <c r="T38" s="233">
        <v>163305.33120000002</v>
      </c>
      <c r="U38" s="601">
        <f>$O38*T38</f>
        <v>78419220.042240009</v>
      </c>
      <c r="V38" s="233">
        <f>W38/O38</f>
        <v>154037.96833333335</v>
      </c>
      <c r="W38" s="241">
        <f>AVERAGEIF($P$3:$U$3,W$3,$P38:$U38)</f>
        <v>73969032.393666685</v>
      </c>
      <c r="X38" s="602"/>
      <c r="Y38" s="487">
        <f>S38/$C$1</f>
        <v>397001.43450000003</v>
      </c>
      <c r="Z38" s="329"/>
    </row>
    <row r="39" spans="1:28" x14ac:dyDescent="0.35">
      <c r="B39" s="603"/>
      <c r="E39" s="604"/>
      <c r="F39" s="232" t="s">
        <v>291</v>
      </c>
      <c r="G39" s="318" t="s">
        <v>193</v>
      </c>
      <c r="H39" s="319"/>
      <c r="I39" s="320"/>
      <c r="J39" s="318"/>
      <c r="K39" s="420">
        <v>1</v>
      </c>
      <c r="L39" s="506">
        <v>192.08</v>
      </c>
      <c r="M39" s="233">
        <v>0.01</v>
      </c>
      <c r="N39" s="235">
        <v>1</v>
      </c>
      <c r="O39" s="507">
        <f>K39*L39*M39*N39</f>
        <v>1.9208000000000001</v>
      </c>
      <c r="P39" s="492"/>
      <c r="Q39" s="492"/>
      <c r="R39" s="235">
        <v>83568.121874999997</v>
      </c>
      <c r="S39" s="492">
        <f>R39*$O39</f>
        <v>160517.64849749999</v>
      </c>
      <c r="T39" s="601"/>
      <c r="U39" s="601"/>
      <c r="V39" s="601"/>
      <c r="W39" s="601"/>
      <c r="X39" s="602"/>
      <c r="Y39" s="487">
        <f t="shared" ref="Y39:Y40" si="0">S39/$C$1</f>
        <v>835.68121874999986</v>
      </c>
      <c r="Z39" s="232"/>
    </row>
    <row r="40" spans="1:28" s="375" customFormat="1" x14ac:dyDescent="0.35">
      <c r="A40" s="286"/>
      <c r="B40" s="622"/>
      <c r="C40" s="623"/>
      <c r="D40" s="623"/>
      <c r="E40" s="624"/>
      <c r="F40" s="374" t="s">
        <v>242</v>
      </c>
      <c r="G40" s="625" t="s">
        <v>193</v>
      </c>
      <c r="H40" s="602"/>
      <c r="I40" s="626"/>
      <c r="J40" s="625"/>
      <c r="K40" s="627">
        <v>1</v>
      </c>
      <c r="L40" s="496">
        <v>192.08</v>
      </c>
      <c r="M40" s="373">
        <v>0.01</v>
      </c>
      <c r="N40" s="372">
        <v>1</v>
      </c>
      <c r="O40" s="498">
        <f>K40*L40*M40*N40</f>
        <v>1.9208000000000001</v>
      </c>
      <c r="P40" s="628"/>
      <c r="Q40" s="628"/>
      <c r="R40" s="235">
        <v>94462.2</v>
      </c>
      <c r="S40" s="628">
        <f>R40*$O40</f>
        <v>181442.99376000001</v>
      </c>
      <c r="T40" s="629"/>
      <c r="U40" s="629"/>
      <c r="V40" s="629"/>
      <c r="W40" s="629"/>
      <c r="X40" s="602"/>
      <c r="Y40" s="487">
        <f t="shared" si="0"/>
        <v>944.62199999999996</v>
      </c>
      <c r="Z40" s="374"/>
      <c r="AA40" s="286"/>
      <c r="AB40" s="286"/>
    </row>
    <row r="41" spans="1:28" x14ac:dyDescent="0.35">
      <c r="B41" s="630" t="s">
        <v>488</v>
      </c>
      <c r="C41" s="631"/>
      <c r="D41" s="631"/>
      <c r="E41" s="632"/>
      <c r="F41" s="633"/>
      <c r="G41" s="634"/>
      <c r="H41" s="635"/>
      <c r="I41" s="636"/>
      <c r="J41" s="634"/>
      <c r="K41" s="637"/>
      <c r="L41" s="638"/>
      <c r="M41" s="639"/>
      <c r="N41" s="639"/>
      <c r="O41" s="635"/>
      <c r="P41" s="640"/>
      <c r="Q41" s="640"/>
      <c r="R41" s="640"/>
      <c r="S41" s="641">
        <f>SUM(S38:S40)</f>
        <v>76597996.181017518</v>
      </c>
      <c r="T41" s="629"/>
      <c r="U41" s="629"/>
      <c r="V41" s="629"/>
      <c r="W41" s="629"/>
      <c r="X41" s="635"/>
      <c r="Y41" s="642">
        <f>S41/192.08</f>
        <v>398781.73771875008</v>
      </c>
      <c r="Z41" s="643">
        <f>S41/$S$388*100</f>
        <v>4.2946479735595977</v>
      </c>
    </row>
    <row r="42" spans="1:28" x14ac:dyDescent="0.35">
      <c r="B42" s="598"/>
      <c r="C42" s="599" t="s">
        <v>489</v>
      </c>
      <c r="D42" s="599"/>
      <c r="E42" s="600"/>
      <c r="F42" s="232" t="s">
        <v>187</v>
      </c>
      <c r="G42" s="318" t="s">
        <v>188</v>
      </c>
      <c r="H42" s="319"/>
      <c r="I42" s="320"/>
      <c r="J42" s="318"/>
      <c r="K42" s="501">
        <v>100</v>
      </c>
      <c r="L42" s="506"/>
      <c r="M42" s="233">
        <v>1</v>
      </c>
      <c r="N42" s="233">
        <v>1</v>
      </c>
      <c r="O42" s="319"/>
      <c r="P42" s="492"/>
      <c r="Q42" s="492"/>
      <c r="R42" s="492"/>
      <c r="S42" s="492"/>
      <c r="T42" s="601"/>
      <c r="U42" s="601"/>
      <c r="V42" s="601"/>
      <c r="W42" s="601"/>
      <c r="X42" s="602"/>
      <c r="Y42" s="232"/>
      <c r="Z42" s="232"/>
    </row>
    <row r="43" spans="1:28" hidden="1" x14ac:dyDescent="0.35">
      <c r="B43" s="603"/>
      <c r="E43" s="604"/>
      <c r="F43" s="232" t="s">
        <v>291</v>
      </c>
      <c r="G43" s="318" t="s">
        <v>193</v>
      </c>
      <c r="H43" s="319"/>
      <c r="I43" s="320"/>
      <c r="J43" s="318"/>
      <c r="K43" s="501">
        <v>100</v>
      </c>
      <c r="L43" s="506"/>
      <c r="M43" s="233">
        <v>3.3E-3</v>
      </c>
      <c r="N43" s="233">
        <v>1</v>
      </c>
      <c r="O43" s="319"/>
      <c r="P43" s="492"/>
      <c r="Q43" s="492"/>
      <c r="R43" s="492"/>
      <c r="S43" s="492"/>
      <c r="T43" s="601"/>
      <c r="U43" s="601"/>
      <c r="V43" s="601"/>
      <c r="W43" s="601"/>
      <c r="X43" s="602"/>
      <c r="Y43" s="232"/>
      <c r="Z43" s="232"/>
    </row>
    <row r="44" spans="1:28" s="375" customFormat="1" hidden="1" x14ac:dyDescent="0.35">
      <c r="A44" s="286"/>
      <c r="B44" s="622"/>
      <c r="C44" s="623"/>
      <c r="D44" s="623"/>
      <c r="E44" s="624"/>
      <c r="F44" s="374" t="s">
        <v>242</v>
      </c>
      <c r="G44" s="625" t="s">
        <v>193</v>
      </c>
      <c r="H44" s="602"/>
      <c r="I44" s="626"/>
      <c r="J44" s="625"/>
      <c r="K44" s="596">
        <v>100</v>
      </c>
      <c r="L44" s="496"/>
      <c r="M44" s="373">
        <v>3.3E-3</v>
      </c>
      <c r="N44" s="373">
        <v>1</v>
      </c>
      <c r="O44" s="602"/>
      <c r="P44" s="628"/>
      <c r="Q44" s="628"/>
      <c r="R44" s="628"/>
      <c r="S44" s="628"/>
      <c r="T44" s="629"/>
      <c r="U44" s="629"/>
      <c r="V44" s="629"/>
      <c r="W44" s="629"/>
      <c r="X44" s="602"/>
      <c r="Y44" s="374"/>
      <c r="Z44" s="374"/>
      <c r="AA44" s="286"/>
      <c r="AB44" s="286"/>
    </row>
    <row r="45" spans="1:28" s="375" customFormat="1" x14ac:dyDescent="0.35">
      <c r="A45" s="286"/>
      <c r="B45" s="644"/>
      <c r="C45" s="286" t="s">
        <v>78</v>
      </c>
      <c r="D45" s="286"/>
      <c r="E45" s="645"/>
      <c r="F45" s="232" t="s">
        <v>187</v>
      </c>
      <c r="G45" s="318" t="s">
        <v>188</v>
      </c>
      <c r="H45" s="602"/>
      <c r="I45" s="626"/>
      <c r="J45" s="625"/>
      <c r="K45" s="596"/>
      <c r="L45" s="496"/>
      <c r="M45" s="373"/>
      <c r="N45" s="373"/>
      <c r="O45" s="602"/>
      <c r="P45" s="628"/>
      <c r="Q45" s="628"/>
      <c r="R45" s="628"/>
      <c r="S45" s="628"/>
      <c r="T45" s="629"/>
      <c r="U45" s="629"/>
      <c r="V45" s="629"/>
      <c r="W45" s="629"/>
      <c r="X45" s="602"/>
      <c r="Y45" s="374"/>
      <c r="Z45" s="374"/>
      <c r="AA45" s="286"/>
      <c r="AB45" s="286"/>
    </row>
    <row r="46" spans="1:28" s="375" customFormat="1" x14ac:dyDescent="0.35">
      <c r="A46" s="286"/>
      <c r="B46" s="644"/>
      <c r="C46" s="286"/>
      <c r="D46" s="286"/>
      <c r="E46" s="645"/>
      <c r="F46" s="232" t="s">
        <v>291</v>
      </c>
      <c r="G46" s="318" t="s">
        <v>193</v>
      </c>
      <c r="H46" s="602"/>
      <c r="I46" s="626"/>
      <c r="J46" s="625"/>
      <c r="K46" s="596"/>
      <c r="L46" s="496"/>
      <c r="M46" s="373"/>
      <c r="N46" s="373"/>
      <c r="O46" s="602"/>
      <c r="P46" s="628"/>
      <c r="Q46" s="628"/>
      <c r="R46" s="628"/>
      <c r="S46" s="628"/>
      <c r="T46" s="629"/>
      <c r="U46" s="629"/>
      <c r="V46" s="629"/>
      <c r="W46" s="629"/>
      <c r="X46" s="602"/>
      <c r="Y46" s="374"/>
      <c r="Z46" s="374"/>
      <c r="AA46" s="286"/>
      <c r="AB46" s="286"/>
    </row>
    <row r="47" spans="1:28" s="375" customFormat="1" x14ac:dyDescent="0.35">
      <c r="A47" s="286"/>
      <c r="B47" s="644"/>
      <c r="C47" s="286"/>
      <c r="D47" s="286"/>
      <c r="E47" s="645"/>
      <c r="F47" s="374" t="s">
        <v>242</v>
      </c>
      <c r="G47" s="625"/>
      <c r="H47" s="602"/>
      <c r="I47" s="626"/>
      <c r="J47" s="625"/>
      <c r="K47" s="596"/>
      <c r="L47" s="496"/>
      <c r="M47" s="373"/>
      <c r="N47" s="373"/>
      <c r="O47" s="602"/>
      <c r="P47" s="628"/>
      <c r="Q47" s="628"/>
      <c r="R47" s="628"/>
      <c r="S47" s="628"/>
      <c r="T47" s="629"/>
      <c r="U47" s="629"/>
      <c r="V47" s="629"/>
      <c r="W47" s="629"/>
      <c r="X47" s="602"/>
      <c r="Y47" s="374"/>
      <c r="Z47" s="374"/>
      <c r="AA47" s="286"/>
      <c r="AB47" s="286"/>
    </row>
    <row r="48" spans="1:28" x14ac:dyDescent="0.35">
      <c r="B48" s="598"/>
      <c r="C48" s="599" t="s">
        <v>80</v>
      </c>
      <c r="D48" s="599"/>
      <c r="E48" s="600"/>
      <c r="F48" s="232" t="s">
        <v>187</v>
      </c>
      <c r="G48" s="318" t="s">
        <v>188</v>
      </c>
      <c r="H48" s="319"/>
      <c r="I48" s="320"/>
      <c r="J48" s="318" t="s">
        <v>10</v>
      </c>
      <c r="K48" s="420">
        <v>1</v>
      </c>
      <c r="L48" s="506">
        <v>192.08</v>
      </c>
      <c r="M48" s="373">
        <v>0.5</v>
      </c>
      <c r="N48" s="235">
        <v>1</v>
      </c>
      <c r="O48" s="507">
        <f>K48*L48*M48*N48</f>
        <v>96.04</v>
      </c>
      <c r="P48" s="235">
        <v>140008</v>
      </c>
      <c r="Q48" s="492">
        <f>P48*$O48</f>
        <v>13446368.32</v>
      </c>
      <c r="R48" s="235">
        <v>158800.57379999998</v>
      </c>
      <c r="S48" s="646">
        <f>R48*$O48</f>
        <v>15251207.107751999</v>
      </c>
      <c r="T48" s="235">
        <v>163305.33120000002</v>
      </c>
      <c r="U48" s="647">
        <f>$O48*T48</f>
        <v>15683844.008448003</v>
      </c>
      <c r="V48" s="235">
        <f>W48/O48</f>
        <v>154037.96833333332</v>
      </c>
      <c r="W48" s="478">
        <f>AVERAGEIF($P$3:$U$3,W$3,$P48:$U48)</f>
        <v>14793806.478733333</v>
      </c>
      <c r="X48" s="648"/>
      <c r="Y48" s="302">
        <f t="shared" ref="Y48:Y50" si="1">S48/$C$1</f>
        <v>79400.286899999992</v>
      </c>
      <c r="Z48" s="232"/>
    </row>
    <row r="49" spans="1:28" x14ac:dyDescent="0.35">
      <c r="B49" s="603"/>
      <c r="E49" s="604"/>
      <c r="F49" s="232" t="s">
        <v>490</v>
      </c>
      <c r="G49" s="318" t="s">
        <v>193</v>
      </c>
      <c r="H49" s="319"/>
      <c r="I49" s="320"/>
      <c r="J49" s="318" t="s">
        <v>10</v>
      </c>
      <c r="K49" s="420">
        <v>1</v>
      </c>
      <c r="L49" s="506">
        <v>192.08</v>
      </c>
      <c r="M49" s="373">
        <v>0.25</v>
      </c>
      <c r="N49" s="235">
        <v>1</v>
      </c>
      <c r="O49" s="507">
        <f>K49*L49*M49*N49</f>
        <v>48.02</v>
      </c>
      <c r="P49" s="235">
        <v>450000</v>
      </c>
      <c r="Q49" s="492">
        <f>P49*$O49</f>
        <v>21609000</v>
      </c>
      <c r="R49" s="235">
        <v>496125</v>
      </c>
      <c r="S49" s="646">
        <f>R49*$O49</f>
        <v>23823922.5</v>
      </c>
      <c r="T49" s="235">
        <v>544500.00000000012</v>
      </c>
      <c r="U49" s="647">
        <f>$O49*T49</f>
        <v>26146890.000000007</v>
      </c>
      <c r="V49" s="235">
        <f>W49/O49</f>
        <v>496874.99999999994</v>
      </c>
      <c r="W49" s="478">
        <f>AVERAGEIF($P$3:$U$3,W$3,$P49:$U49)</f>
        <v>23859937.5</v>
      </c>
      <c r="X49" s="648"/>
      <c r="Y49" s="302">
        <f t="shared" si="1"/>
        <v>124031.24999999999</v>
      </c>
      <c r="Z49" s="232"/>
    </row>
    <row r="50" spans="1:28" s="375" customFormat="1" x14ac:dyDescent="0.35">
      <c r="A50" s="286"/>
      <c r="B50" s="622"/>
      <c r="C50" s="623"/>
      <c r="D50" s="623"/>
      <c r="E50" s="624"/>
      <c r="F50" s="374" t="s">
        <v>242</v>
      </c>
      <c r="G50" s="625" t="s">
        <v>193</v>
      </c>
      <c r="H50" s="602"/>
      <c r="I50" s="626"/>
      <c r="J50" s="625"/>
      <c r="K50" s="627">
        <v>1</v>
      </c>
      <c r="L50" s="496">
        <v>192.08</v>
      </c>
      <c r="M50" s="373">
        <v>0.01</v>
      </c>
      <c r="N50" s="372">
        <v>1</v>
      </c>
      <c r="O50" s="498">
        <f>K50*L50*M50*N50</f>
        <v>1.9208000000000001</v>
      </c>
      <c r="P50" s="628"/>
      <c r="Q50" s="628"/>
      <c r="R50" s="235">
        <v>94462.2</v>
      </c>
      <c r="S50" s="649">
        <f>R50*$O50</f>
        <v>181442.99376000001</v>
      </c>
      <c r="T50" s="650"/>
      <c r="U50" s="650"/>
      <c r="V50" s="650"/>
      <c r="W50" s="650"/>
      <c r="X50" s="648"/>
      <c r="Y50" s="302">
        <f t="shared" si="1"/>
        <v>944.62199999999996</v>
      </c>
      <c r="Z50" s="374"/>
      <c r="AA50" s="286"/>
      <c r="AB50" s="286"/>
    </row>
    <row r="51" spans="1:28" x14ac:dyDescent="0.35">
      <c r="B51" s="630" t="s">
        <v>491</v>
      </c>
      <c r="C51" s="631"/>
      <c r="D51" s="631"/>
      <c r="E51" s="632"/>
      <c r="F51" s="633"/>
      <c r="G51" s="634"/>
      <c r="H51" s="635"/>
      <c r="I51" s="636"/>
      <c r="J51" s="634"/>
      <c r="K51" s="637"/>
      <c r="L51" s="638"/>
      <c r="M51" s="639"/>
      <c r="N51" s="639"/>
      <c r="O51" s="635"/>
      <c r="P51" s="640"/>
      <c r="Q51" s="640"/>
      <c r="R51" s="640"/>
      <c r="S51" s="651">
        <f>SUM(S48:S50)</f>
        <v>39256572.601511993</v>
      </c>
      <c r="T51" s="650"/>
      <c r="U51" s="650"/>
      <c r="V51" s="650"/>
      <c r="W51" s="650"/>
      <c r="X51" s="652"/>
      <c r="Y51" s="653">
        <f>S51/192.08</f>
        <v>204376.15889999995</v>
      </c>
      <c r="Z51" s="643">
        <f>S51/$S$388*100</f>
        <v>2.2010126684457494</v>
      </c>
    </row>
    <row r="52" spans="1:28" x14ac:dyDescent="0.35">
      <c r="B52" s="654"/>
      <c r="C52" s="655" t="s">
        <v>492</v>
      </c>
      <c r="D52" s="655"/>
      <c r="E52" s="656"/>
      <c r="F52" s="232" t="s">
        <v>187</v>
      </c>
      <c r="G52" s="318" t="s">
        <v>188</v>
      </c>
      <c r="H52" s="319"/>
      <c r="I52" s="320"/>
      <c r="J52" s="318"/>
      <c r="K52" s="501">
        <v>100</v>
      </c>
      <c r="L52" s="506"/>
      <c r="M52" s="233">
        <v>0.15</v>
      </c>
      <c r="N52" s="235">
        <v>1</v>
      </c>
      <c r="O52" s="319"/>
      <c r="P52" s="492"/>
      <c r="Q52" s="492"/>
      <c r="R52" s="492"/>
      <c r="S52" s="646"/>
      <c r="T52" s="647"/>
      <c r="U52" s="647"/>
      <c r="V52" s="647"/>
      <c r="W52" s="647"/>
      <c r="X52" s="648"/>
      <c r="Y52" s="302"/>
      <c r="Z52" s="232"/>
    </row>
    <row r="53" spans="1:28" hidden="1" x14ac:dyDescent="0.35">
      <c r="B53" s="644"/>
      <c r="C53" s="286"/>
      <c r="D53" s="286"/>
      <c r="E53" s="657"/>
      <c r="F53" s="232" t="s">
        <v>493</v>
      </c>
      <c r="G53" s="318" t="s">
        <v>193</v>
      </c>
      <c r="H53" s="319"/>
      <c r="I53" s="320"/>
      <c r="J53" s="318"/>
      <c r="K53" s="501">
        <v>100</v>
      </c>
      <c r="L53" s="506"/>
      <c r="M53" s="233">
        <v>5.0000000000000001E-4</v>
      </c>
      <c r="N53" s="235">
        <v>1</v>
      </c>
      <c r="O53" s="319"/>
      <c r="P53" s="492"/>
      <c r="Q53" s="492"/>
      <c r="R53" s="492"/>
      <c r="S53" s="646"/>
      <c r="T53" s="647"/>
      <c r="U53" s="647"/>
      <c r="V53" s="647"/>
      <c r="W53" s="647"/>
      <c r="X53" s="648"/>
      <c r="Y53" s="302"/>
      <c r="Z53" s="232"/>
    </row>
    <row r="54" spans="1:28" hidden="1" x14ac:dyDescent="0.35">
      <c r="B54" s="622"/>
      <c r="C54" s="623"/>
      <c r="D54" s="623"/>
      <c r="E54" s="658"/>
      <c r="F54" s="374" t="s">
        <v>242</v>
      </c>
      <c r="G54" s="625" t="s">
        <v>193</v>
      </c>
      <c r="H54" s="602">
        <v>1</v>
      </c>
      <c r="I54" s="626" t="s">
        <v>238</v>
      </c>
      <c r="J54" s="625"/>
      <c r="K54" s="596">
        <v>100</v>
      </c>
      <c r="L54" s="496"/>
      <c r="M54" s="373">
        <f>((M$52*N$52)/240*($H54/N54))</f>
        <v>6.2500000000000001E-4</v>
      </c>
      <c r="N54" s="372">
        <v>1</v>
      </c>
      <c r="O54" s="602"/>
      <c r="P54" s="628"/>
      <c r="Q54" s="628"/>
      <c r="R54" s="628"/>
      <c r="S54" s="649"/>
      <c r="T54" s="659"/>
      <c r="U54" s="659"/>
      <c r="V54" s="659"/>
      <c r="W54" s="659"/>
      <c r="X54" s="648"/>
      <c r="Y54" s="302"/>
      <c r="Z54" s="232"/>
    </row>
    <row r="55" spans="1:28" x14ac:dyDescent="0.35">
      <c r="B55" s="644"/>
      <c r="C55" s="386" t="s">
        <v>306</v>
      </c>
      <c r="D55" s="243"/>
      <c r="E55" s="660"/>
      <c r="F55" s="225" t="s">
        <v>187</v>
      </c>
      <c r="G55" s="226" t="s">
        <v>188</v>
      </c>
      <c r="H55" s="227"/>
      <c r="I55" s="228"/>
      <c r="J55" s="229"/>
      <c r="K55" s="230"/>
      <c r="L55" s="230"/>
      <c r="M55" s="233"/>
      <c r="N55" s="235">
        <v>1</v>
      </c>
      <c r="O55" s="233"/>
      <c r="P55" s="661"/>
      <c r="Q55" s="661"/>
      <c r="R55" s="661"/>
      <c r="S55" s="662"/>
      <c r="T55" s="663"/>
      <c r="U55" s="663"/>
      <c r="V55" s="663"/>
      <c r="W55" s="663"/>
      <c r="X55" s="664"/>
      <c r="Y55" s="302"/>
      <c r="Z55" s="232"/>
    </row>
    <row r="56" spans="1:28" hidden="1" x14ac:dyDescent="0.35">
      <c r="B56" s="603"/>
      <c r="C56" s="665"/>
      <c r="D56" s="665"/>
      <c r="E56" s="660"/>
      <c r="F56" s="232" t="s">
        <v>490</v>
      </c>
      <c r="G56" s="226" t="s">
        <v>10</v>
      </c>
      <c r="H56" s="227"/>
      <c r="I56" s="228"/>
      <c r="J56" s="229"/>
      <c r="K56" s="230"/>
      <c r="L56" s="230"/>
      <c r="M56" s="233"/>
      <c r="N56" s="235">
        <v>1</v>
      </c>
      <c r="O56" s="233"/>
      <c r="P56" s="661"/>
      <c r="Q56" s="661"/>
      <c r="R56" s="661"/>
      <c r="S56" s="662"/>
      <c r="T56" s="663"/>
      <c r="U56" s="663"/>
      <c r="V56" s="663"/>
      <c r="W56" s="663"/>
      <c r="X56" s="664"/>
      <c r="Y56" s="302"/>
      <c r="Z56" s="232"/>
    </row>
    <row r="57" spans="1:28" hidden="1" x14ac:dyDescent="0.35">
      <c r="B57" s="605"/>
      <c r="C57" s="666"/>
      <c r="D57" s="666"/>
      <c r="E57" s="667"/>
      <c r="F57" s="225" t="s">
        <v>263</v>
      </c>
      <c r="G57" s="226" t="s">
        <v>205</v>
      </c>
      <c r="H57" s="227"/>
      <c r="I57" s="228"/>
      <c r="J57" s="229"/>
      <c r="K57" s="230"/>
      <c r="L57" s="230"/>
      <c r="M57" s="233"/>
      <c r="N57" s="235">
        <v>1</v>
      </c>
      <c r="O57" s="233"/>
      <c r="P57" s="661"/>
      <c r="Q57" s="661"/>
      <c r="R57" s="661"/>
      <c r="S57" s="662"/>
      <c r="T57" s="663"/>
      <c r="U57" s="663"/>
      <c r="V57" s="663"/>
      <c r="W57" s="663"/>
      <c r="X57" s="664"/>
      <c r="Y57" s="302"/>
      <c r="Z57" s="232"/>
    </row>
    <row r="58" spans="1:28" ht="42" customHeight="1" x14ac:dyDescent="0.35">
      <c r="B58" s="668" t="s">
        <v>494</v>
      </c>
      <c r="C58" s="669"/>
      <c r="D58" s="669"/>
      <c r="E58" s="670"/>
      <c r="F58" s="521"/>
      <c r="G58" s="522"/>
      <c r="H58" s="525"/>
      <c r="I58" s="525"/>
      <c r="J58" s="525"/>
      <c r="K58" s="671"/>
      <c r="L58" s="671"/>
      <c r="M58" s="528"/>
      <c r="N58" s="528"/>
      <c r="O58" s="528"/>
      <c r="P58" s="528"/>
      <c r="Q58" s="528"/>
      <c r="R58" s="528"/>
      <c r="S58" s="672">
        <f>SUM(S51+S41)</f>
        <v>115854568.7825295</v>
      </c>
      <c r="T58" s="673"/>
      <c r="U58" s="673"/>
      <c r="V58" s="673"/>
      <c r="W58" s="673"/>
      <c r="X58" s="674"/>
      <c r="Y58" s="675">
        <f>S58/$C$1</f>
        <v>603157.89661874995</v>
      </c>
      <c r="Z58" s="676">
        <f>S58/$S$388*100</f>
        <v>6.4956606420053467</v>
      </c>
    </row>
    <row r="59" spans="1:28" s="375" customFormat="1" x14ac:dyDescent="0.35">
      <c r="A59" s="286"/>
      <c r="B59" s="677" t="s">
        <v>495</v>
      </c>
      <c r="C59" s="626"/>
      <c r="D59" s="626"/>
      <c r="E59" s="678"/>
      <c r="F59" s="374"/>
      <c r="G59" s="625"/>
      <c r="H59" s="602"/>
      <c r="I59" s="626"/>
      <c r="J59" s="625"/>
      <c r="K59" s="596"/>
      <c r="L59" s="496"/>
      <c r="M59" s="373"/>
      <c r="N59" s="373"/>
      <c r="O59" s="602"/>
      <c r="P59" s="628"/>
      <c r="Q59" s="628"/>
      <c r="R59" s="628"/>
      <c r="S59" s="649"/>
      <c r="T59" s="650"/>
      <c r="U59" s="650"/>
      <c r="V59" s="650"/>
      <c r="W59" s="650"/>
      <c r="X59" s="648"/>
      <c r="Y59" s="679"/>
      <c r="Z59" s="374"/>
      <c r="AA59" s="286"/>
      <c r="AB59" s="286"/>
    </row>
    <row r="60" spans="1:28" s="375" customFormat="1" x14ac:dyDescent="0.35">
      <c r="A60" s="286"/>
      <c r="B60" s="680"/>
      <c r="C60" s="286" t="s">
        <v>496</v>
      </c>
      <c r="D60" s="286"/>
      <c r="E60" s="645"/>
      <c r="F60" s="374"/>
      <c r="G60" s="625"/>
      <c r="H60" s="602"/>
      <c r="I60" s="626"/>
      <c r="J60" s="625"/>
      <c r="K60" s="596"/>
      <c r="L60" s="496"/>
      <c r="M60" s="373"/>
      <c r="N60" s="373"/>
      <c r="O60" s="602"/>
      <c r="P60" s="628"/>
      <c r="Q60" s="628"/>
      <c r="R60" s="628"/>
      <c r="S60" s="649"/>
      <c r="T60" s="650"/>
      <c r="U60" s="650"/>
      <c r="V60" s="650"/>
      <c r="W60" s="650"/>
      <c r="X60" s="648"/>
      <c r="Y60" s="679"/>
      <c r="Z60" s="374"/>
      <c r="AA60" s="286"/>
      <c r="AB60" s="286"/>
    </row>
    <row r="61" spans="1:28" x14ac:dyDescent="0.35">
      <c r="B61" s="598"/>
      <c r="C61" s="599"/>
      <c r="D61" s="599" t="s">
        <v>76</v>
      </c>
      <c r="E61" s="600"/>
      <c r="F61" s="232" t="s">
        <v>187</v>
      </c>
      <c r="G61" s="625" t="s">
        <v>188</v>
      </c>
      <c r="H61" s="602"/>
      <c r="I61" s="626"/>
      <c r="J61" s="625" t="s">
        <v>189</v>
      </c>
      <c r="K61" s="420">
        <v>1</v>
      </c>
      <c r="L61" s="506">
        <v>192.08</v>
      </c>
      <c r="M61" s="373">
        <v>2.5</v>
      </c>
      <c r="N61" s="233">
        <v>1</v>
      </c>
      <c r="O61" s="507">
        <f>K61*L61*M61*N61</f>
        <v>480.20000000000005</v>
      </c>
      <c r="P61" s="235">
        <v>140008</v>
      </c>
      <c r="Q61" s="492">
        <f>P61*$O61</f>
        <v>67231841.600000009</v>
      </c>
      <c r="R61" s="235">
        <v>158800.57379999998</v>
      </c>
      <c r="S61" s="646">
        <f>R61*$O61</f>
        <v>76256035.538760006</v>
      </c>
      <c r="T61" s="235">
        <v>163305.33120000002</v>
      </c>
      <c r="U61" s="647">
        <f>$O61*T61</f>
        <v>78419220.042240009</v>
      </c>
      <c r="V61" s="235">
        <f>W61/O61</f>
        <v>154037.96833333335</v>
      </c>
      <c r="W61" s="478">
        <f>AVERAGEIF($P$3:$U$3,W$3,$P61:$U61)</f>
        <v>73969032.393666685</v>
      </c>
      <c r="X61" s="648"/>
      <c r="Y61" s="302">
        <f>S61/$C$1</f>
        <v>397001.43450000003</v>
      </c>
      <c r="Z61" s="232"/>
    </row>
    <row r="62" spans="1:28" hidden="1" x14ac:dyDescent="0.35">
      <c r="B62" s="603"/>
      <c r="E62" s="604"/>
      <c r="F62" s="232" t="s">
        <v>291</v>
      </c>
      <c r="G62" s="625" t="s">
        <v>193</v>
      </c>
      <c r="H62" s="602"/>
      <c r="I62" s="626"/>
      <c r="J62" s="625" t="s">
        <v>189</v>
      </c>
      <c r="K62" s="420">
        <v>1</v>
      </c>
      <c r="L62" s="506">
        <v>192.08</v>
      </c>
      <c r="M62" s="382">
        <v>8.3000000000000001E-3</v>
      </c>
      <c r="N62" s="233">
        <v>1</v>
      </c>
      <c r="O62" s="507">
        <f t="shared" ref="O62:O63" si="2">K62*L62*M62*N62</f>
        <v>1.5942640000000001</v>
      </c>
      <c r="P62" s="235">
        <v>75798.75</v>
      </c>
      <c r="Q62" s="492">
        <f t="shared" ref="Q62:Q63" si="3">P62*$O62</f>
        <v>120843.21837</v>
      </c>
      <c r="R62" s="235">
        <v>83568.121874999997</v>
      </c>
      <c r="S62" s="646">
        <f t="shared" ref="S62:S63" si="4">R62*$O62</f>
        <v>133229.64825292499</v>
      </c>
      <c r="T62" s="647"/>
      <c r="U62" s="647"/>
      <c r="V62" s="647"/>
      <c r="W62" s="647"/>
      <c r="X62" s="648"/>
      <c r="Y62" s="302">
        <f t="shared" ref="Y62:Y63" si="5">S62/$C$1</f>
        <v>693.61541156249996</v>
      </c>
      <c r="Z62" s="232"/>
    </row>
    <row r="63" spans="1:28" hidden="1" x14ac:dyDescent="0.35">
      <c r="B63" s="603"/>
      <c r="D63" s="606"/>
      <c r="E63" s="607"/>
      <c r="F63" s="374" t="s">
        <v>242</v>
      </c>
      <c r="G63" s="625" t="s">
        <v>193</v>
      </c>
      <c r="H63" s="602">
        <v>1</v>
      </c>
      <c r="I63" s="626" t="s">
        <v>238</v>
      </c>
      <c r="J63" s="625"/>
      <c r="K63" s="627">
        <v>1</v>
      </c>
      <c r="L63" s="496">
        <v>192.08</v>
      </c>
      <c r="M63" s="382">
        <f>((M$61*N$61)/240*($H63/N63))</f>
        <v>1.0416666666666666E-2</v>
      </c>
      <c r="N63" s="373">
        <v>1</v>
      </c>
      <c r="O63" s="648">
        <f t="shared" si="2"/>
        <v>2.0008333333333335</v>
      </c>
      <c r="P63" s="372">
        <v>85680</v>
      </c>
      <c r="Q63" s="628">
        <f t="shared" si="3"/>
        <v>171431.40000000002</v>
      </c>
      <c r="R63" s="372">
        <v>94462.2</v>
      </c>
      <c r="S63" s="649">
        <f t="shared" si="4"/>
        <v>189003.11850000001</v>
      </c>
      <c r="T63" s="659"/>
      <c r="U63" s="659"/>
      <c r="V63" s="659"/>
      <c r="W63" s="659"/>
      <c r="X63" s="648"/>
      <c r="Y63" s="302">
        <f t="shared" si="5"/>
        <v>983.98125000000005</v>
      </c>
      <c r="Z63" s="232"/>
    </row>
    <row r="64" spans="1:28" x14ac:dyDescent="0.35">
      <c r="B64" s="603"/>
      <c r="D64" s="599" t="s">
        <v>497</v>
      </c>
      <c r="E64" s="600"/>
      <c r="F64" s="374" t="s">
        <v>187</v>
      </c>
      <c r="G64" s="625" t="s">
        <v>188</v>
      </c>
      <c r="H64" s="602"/>
      <c r="I64" s="626"/>
      <c r="J64" s="625"/>
      <c r="K64" s="596"/>
      <c r="L64" s="496"/>
      <c r="M64" s="373"/>
      <c r="N64" s="373"/>
      <c r="O64" s="602"/>
      <c r="P64" s="628"/>
      <c r="Q64" s="628"/>
      <c r="R64" s="628"/>
      <c r="S64" s="649"/>
      <c r="T64" s="650"/>
      <c r="U64" s="650"/>
      <c r="V64" s="650"/>
      <c r="W64" s="650"/>
      <c r="X64" s="648"/>
      <c r="Y64" s="302"/>
      <c r="Z64" s="232"/>
    </row>
    <row r="65" spans="2:26" hidden="1" x14ac:dyDescent="0.35">
      <c r="B65" s="603"/>
      <c r="E65" s="604"/>
      <c r="F65" s="374" t="s">
        <v>291</v>
      </c>
      <c r="G65" s="625" t="s">
        <v>193</v>
      </c>
      <c r="H65" s="602"/>
      <c r="I65" s="626"/>
      <c r="J65" s="625"/>
      <c r="K65" s="596"/>
      <c r="L65" s="496"/>
      <c r="M65" s="373"/>
      <c r="N65" s="373"/>
      <c r="O65" s="602"/>
      <c r="P65" s="628"/>
      <c r="Q65" s="628"/>
      <c r="R65" s="628"/>
      <c r="S65" s="649"/>
      <c r="T65" s="650"/>
      <c r="U65" s="650"/>
      <c r="V65" s="650"/>
      <c r="W65" s="650"/>
      <c r="X65" s="648"/>
      <c r="Y65" s="302"/>
      <c r="Z65" s="232"/>
    </row>
    <row r="66" spans="2:26" hidden="1" x14ac:dyDescent="0.35">
      <c r="B66" s="603"/>
      <c r="D66" s="606"/>
      <c r="E66" s="607"/>
      <c r="F66" s="374" t="s">
        <v>242</v>
      </c>
      <c r="G66" s="625" t="s">
        <v>193</v>
      </c>
      <c r="H66" s="602"/>
      <c r="I66" s="626"/>
      <c r="J66" s="625"/>
      <c r="K66" s="596"/>
      <c r="L66" s="496"/>
      <c r="M66" s="373"/>
      <c r="N66" s="373"/>
      <c r="O66" s="602"/>
      <c r="P66" s="628"/>
      <c r="Q66" s="628"/>
      <c r="R66" s="628"/>
      <c r="S66" s="649"/>
      <c r="T66" s="659"/>
      <c r="U66" s="659"/>
      <c r="V66" s="659"/>
      <c r="W66" s="659"/>
      <c r="X66" s="648"/>
      <c r="Y66" s="302"/>
      <c r="Z66" s="232"/>
    </row>
    <row r="67" spans="2:26" x14ac:dyDescent="0.35">
      <c r="B67" s="603"/>
      <c r="D67" s="599" t="s">
        <v>86</v>
      </c>
      <c r="E67" s="600"/>
      <c r="F67" s="374" t="s">
        <v>187</v>
      </c>
      <c r="G67" s="625" t="s">
        <v>188</v>
      </c>
      <c r="H67" s="602"/>
      <c r="I67" s="626"/>
      <c r="J67" s="625"/>
      <c r="K67" s="596">
        <v>100</v>
      </c>
      <c r="L67" s="496"/>
      <c r="M67" s="373">
        <v>2</v>
      </c>
      <c r="N67" s="373">
        <v>1</v>
      </c>
      <c r="O67" s="602"/>
      <c r="P67" s="628"/>
      <c r="Q67" s="628"/>
      <c r="R67" s="628"/>
      <c r="S67" s="649"/>
      <c r="T67" s="650"/>
      <c r="U67" s="650"/>
      <c r="V67" s="650"/>
      <c r="W67" s="650"/>
      <c r="X67" s="648"/>
      <c r="Y67" s="302"/>
      <c r="Z67" s="232"/>
    </row>
    <row r="68" spans="2:26" hidden="1" x14ac:dyDescent="0.35">
      <c r="B68" s="603"/>
      <c r="E68" s="604"/>
      <c r="F68" s="374" t="s">
        <v>493</v>
      </c>
      <c r="G68" s="625" t="s">
        <v>193</v>
      </c>
      <c r="H68" s="602"/>
      <c r="I68" s="626"/>
      <c r="J68" s="625"/>
      <c r="K68" s="596">
        <v>100</v>
      </c>
      <c r="L68" s="496"/>
      <c r="M68" s="373">
        <v>5.0000000000000001E-3</v>
      </c>
      <c r="N68" s="373">
        <v>1</v>
      </c>
      <c r="O68" s="602"/>
      <c r="P68" s="628"/>
      <c r="Q68" s="628"/>
      <c r="R68" s="628"/>
      <c r="S68" s="649"/>
      <c r="T68" s="650"/>
      <c r="U68" s="650"/>
      <c r="V68" s="650"/>
      <c r="W68" s="650"/>
      <c r="X68" s="648"/>
      <c r="Y68" s="302"/>
      <c r="Z68" s="232"/>
    </row>
    <row r="69" spans="2:26" hidden="1" x14ac:dyDescent="0.35">
      <c r="B69" s="603"/>
      <c r="E69" s="604"/>
      <c r="F69" s="374" t="s">
        <v>242</v>
      </c>
      <c r="G69" s="625" t="s">
        <v>193</v>
      </c>
      <c r="H69" s="602">
        <v>1</v>
      </c>
      <c r="I69" s="626" t="s">
        <v>238</v>
      </c>
      <c r="J69" s="625"/>
      <c r="K69" s="596">
        <v>100</v>
      </c>
      <c r="L69" s="496"/>
      <c r="M69" s="373">
        <f>((M$67*N$67)/240*($H69/N69))</f>
        <v>8.3333333333333332E-3</v>
      </c>
      <c r="N69" s="373">
        <v>1</v>
      </c>
      <c r="O69" s="602"/>
      <c r="P69" s="628"/>
      <c r="Q69" s="628"/>
      <c r="R69" s="628"/>
      <c r="S69" s="649"/>
      <c r="T69" s="659"/>
      <c r="U69" s="659"/>
      <c r="V69" s="659"/>
      <c r="W69" s="659"/>
      <c r="X69" s="648"/>
      <c r="Y69" s="302"/>
      <c r="Z69" s="232"/>
    </row>
    <row r="70" spans="2:26" ht="29.25" customHeight="1" x14ac:dyDescent="0.35">
      <c r="B70" s="630" t="s">
        <v>498</v>
      </c>
      <c r="C70" s="631"/>
      <c r="D70" s="631"/>
      <c r="E70" s="632"/>
      <c r="F70" s="633"/>
      <c r="G70" s="634"/>
      <c r="H70" s="635"/>
      <c r="I70" s="636"/>
      <c r="J70" s="634"/>
      <c r="K70" s="637"/>
      <c r="L70" s="638"/>
      <c r="M70" s="639"/>
      <c r="N70" s="639"/>
      <c r="O70" s="635"/>
      <c r="P70" s="640"/>
      <c r="Q70" s="640"/>
      <c r="R70" s="640"/>
      <c r="S70" s="651">
        <f>SUM(S60:S69)</f>
        <v>76578268.30551292</v>
      </c>
      <c r="T70" s="650"/>
      <c r="U70" s="650"/>
      <c r="V70" s="650"/>
      <c r="W70" s="650"/>
      <c r="X70" s="681"/>
      <c r="Y70" s="682">
        <f>S70/C1</f>
        <v>398679.03116156242</v>
      </c>
      <c r="Z70" s="683">
        <f>S70/$S$388*100</f>
        <v>4.2935418835209207</v>
      </c>
    </row>
    <row r="71" spans="2:26" x14ac:dyDescent="0.35">
      <c r="B71" s="603"/>
      <c r="C71" s="286" t="s">
        <v>499</v>
      </c>
      <c r="E71" s="604"/>
      <c r="F71" s="232"/>
      <c r="G71" s="318"/>
      <c r="H71" s="319"/>
      <c r="I71" s="320"/>
      <c r="J71" s="318"/>
      <c r="K71" s="596"/>
      <c r="L71" s="496"/>
      <c r="M71" s="373"/>
      <c r="N71" s="373"/>
      <c r="O71" s="602"/>
      <c r="P71" s="628"/>
      <c r="Q71" s="628"/>
      <c r="R71" s="628"/>
      <c r="S71" s="649"/>
      <c r="T71" s="650"/>
      <c r="U71" s="650"/>
      <c r="V71" s="650"/>
      <c r="W71" s="650"/>
      <c r="X71" s="648"/>
      <c r="Y71" s="302"/>
      <c r="Z71" s="232"/>
    </row>
    <row r="72" spans="2:26" x14ac:dyDescent="0.35">
      <c r="B72" s="598"/>
      <c r="C72" s="599"/>
      <c r="D72" s="655" t="s">
        <v>81</v>
      </c>
      <c r="E72" s="600"/>
      <c r="F72" s="374" t="s">
        <v>187</v>
      </c>
      <c r="G72" s="625" t="s">
        <v>188</v>
      </c>
      <c r="H72" s="602"/>
      <c r="I72" s="626"/>
      <c r="J72" s="625" t="s">
        <v>189</v>
      </c>
      <c r="K72" s="420">
        <v>1</v>
      </c>
      <c r="L72" s="506">
        <v>192.08</v>
      </c>
      <c r="M72" s="373">
        <v>0.75</v>
      </c>
      <c r="N72" s="372">
        <v>1</v>
      </c>
      <c r="O72" s="507">
        <f t="shared" ref="O72:O82" si="6">K72*L72*M72*N72</f>
        <v>144.06</v>
      </c>
      <c r="P72" s="235">
        <v>140008</v>
      </c>
      <c r="Q72" s="492">
        <f t="shared" ref="Q72:Q82" si="7">P72*$O72</f>
        <v>20169552.48</v>
      </c>
      <c r="R72" s="372">
        <v>158800.57379999998</v>
      </c>
      <c r="S72" s="646">
        <f t="shared" ref="S72:S82" si="8">R72*$O72</f>
        <v>22876810.661627997</v>
      </c>
      <c r="T72" s="235">
        <v>163305.33120000002</v>
      </c>
      <c r="U72" s="647">
        <f t="shared" ref="U72:U82" si="9">$O72*T72</f>
        <v>23525766.012672003</v>
      </c>
      <c r="V72" s="235">
        <f t="shared" ref="V72:V82" si="10">W72/O72</f>
        <v>154037.96833333332</v>
      </c>
      <c r="W72" s="478">
        <f t="shared" ref="W72:W82" si="11">AVERAGEIF($P$3:$U$3,W$3,$P72:$U72)</f>
        <v>22190709.7181</v>
      </c>
      <c r="X72" s="648" t="s">
        <v>500</v>
      </c>
      <c r="Y72" s="302">
        <f>S72/$C$1</f>
        <v>119100.43034999998</v>
      </c>
      <c r="Z72" s="232"/>
    </row>
    <row r="73" spans="2:26" x14ac:dyDescent="0.35">
      <c r="B73" s="603"/>
      <c r="E73" s="604"/>
      <c r="F73" s="374" t="s">
        <v>231</v>
      </c>
      <c r="G73" s="625" t="s">
        <v>232</v>
      </c>
      <c r="H73" s="602"/>
      <c r="I73" s="626"/>
      <c r="J73" s="625" t="s">
        <v>189</v>
      </c>
      <c r="K73" s="420">
        <v>1</v>
      </c>
      <c r="L73" s="506">
        <v>192.08</v>
      </c>
      <c r="M73" s="373">
        <v>0.45</v>
      </c>
      <c r="N73" s="372">
        <v>1</v>
      </c>
      <c r="O73" s="507">
        <f t="shared" si="6"/>
        <v>86.436000000000007</v>
      </c>
      <c r="P73" s="235">
        <v>36352.800000000003</v>
      </c>
      <c r="Q73" s="492">
        <f t="shared" si="7"/>
        <v>3142190.6208000006</v>
      </c>
      <c r="R73" s="372">
        <v>37110.15</v>
      </c>
      <c r="S73" s="646">
        <f t="shared" si="8"/>
        <v>3207652.9254000005</v>
      </c>
      <c r="T73" s="235">
        <v>41620.320720000011</v>
      </c>
      <c r="U73" s="647">
        <f t="shared" si="9"/>
        <v>3597494.0417539212</v>
      </c>
      <c r="V73" s="235">
        <f t="shared" si="10"/>
        <v>38361.090240000012</v>
      </c>
      <c r="W73" s="478">
        <f t="shared" si="11"/>
        <v>3315779.1959846411</v>
      </c>
      <c r="X73" s="648"/>
      <c r="Y73" s="302">
        <f t="shared" ref="Y73:Y82" si="12">S73/$C$1</f>
        <v>16699.567500000001</v>
      </c>
      <c r="Z73" s="329"/>
    </row>
    <row r="74" spans="2:26" x14ac:dyDescent="0.35">
      <c r="B74" s="603"/>
      <c r="E74" s="604"/>
      <c r="F74" s="374" t="s">
        <v>233</v>
      </c>
      <c r="G74" s="625" t="s">
        <v>191</v>
      </c>
      <c r="H74" s="602"/>
      <c r="I74" s="626"/>
      <c r="J74" s="625" t="s">
        <v>189</v>
      </c>
      <c r="K74" s="420">
        <v>1</v>
      </c>
      <c r="L74" s="506">
        <v>192.08</v>
      </c>
      <c r="M74" s="373">
        <f>18/1000</f>
        <v>1.7999999999999999E-2</v>
      </c>
      <c r="N74" s="372">
        <v>1</v>
      </c>
      <c r="O74" s="507">
        <f t="shared" si="6"/>
        <v>3.4574400000000001</v>
      </c>
      <c r="P74" s="235">
        <v>99144</v>
      </c>
      <c r="Q74" s="492">
        <f t="shared" si="7"/>
        <v>342784.43135999999</v>
      </c>
      <c r="R74" s="372">
        <v>101209.5</v>
      </c>
      <c r="S74" s="646">
        <f t="shared" si="8"/>
        <v>349925.77367999998</v>
      </c>
      <c r="T74" s="235">
        <v>113509.96560000001</v>
      </c>
      <c r="U74" s="647">
        <f t="shared" si="9"/>
        <v>392453.89546406403</v>
      </c>
      <c r="V74" s="235">
        <f t="shared" si="10"/>
        <v>104621.15519999999</v>
      </c>
      <c r="W74" s="478">
        <f t="shared" si="11"/>
        <v>361721.366834688</v>
      </c>
      <c r="X74" s="421"/>
      <c r="Y74" s="302">
        <f t="shared" si="12"/>
        <v>1821.7709999999997</v>
      </c>
      <c r="Z74" s="329"/>
    </row>
    <row r="75" spans="2:26" x14ac:dyDescent="0.35">
      <c r="B75" s="603"/>
      <c r="E75" s="604"/>
      <c r="F75" s="374" t="s">
        <v>235</v>
      </c>
      <c r="G75" s="318" t="s">
        <v>232</v>
      </c>
      <c r="H75" s="319"/>
      <c r="I75" s="320"/>
      <c r="J75" s="625" t="s">
        <v>189</v>
      </c>
      <c r="K75" s="420">
        <v>1</v>
      </c>
      <c r="L75" s="506">
        <v>192.08</v>
      </c>
      <c r="M75" s="373">
        <v>0.13500000000000001</v>
      </c>
      <c r="N75" s="372">
        <v>1</v>
      </c>
      <c r="O75" s="507">
        <f t="shared" si="6"/>
        <v>25.930800000000005</v>
      </c>
      <c r="P75" s="235">
        <v>46267.199999999997</v>
      </c>
      <c r="Q75" s="492">
        <f t="shared" si="7"/>
        <v>1199745.50976</v>
      </c>
      <c r="R75" s="372">
        <v>47231.1</v>
      </c>
      <c r="S75" s="646">
        <f t="shared" si="8"/>
        <v>1224740.2078800001</v>
      </c>
      <c r="T75" s="235">
        <v>52971.317280000003</v>
      </c>
      <c r="U75" s="647">
        <f t="shared" si="9"/>
        <v>1373588.6341242243</v>
      </c>
      <c r="V75" s="235">
        <f t="shared" si="10"/>
        <v>48823.205759999997</v>
      </c>
      <c r="W75" s="478">
        <f t="shared" si="11"/>
        <v>1266024.7839214082</v>
      </c>
      <c r="X75" s="648"/>
      <c r="Y75" s="302">
        <f t="shared" si="12"/>
        <v>6376.1985000000004</v>
      </c>
      <c r="Z75" s="232"/>
    </row>
    <row r="76" spans="2:26" x14ac:dyDescent="0.35">
      <c r="B76" s="603"/>
      <c r="E76" s="604"/>
      <c r="F76" s="374" t="s">
        <v>236</v>
      </c>
      <c r="G76" s="318" t="s">
        <v>188</v>
      </c>
      <c r="H76" s="319"/>
      <c r="I76" s="320"/>
      <c r="J76" s="625" t="s">
        <v>189</v>
      </c>
      <c r="K76" s="420">
        <v>1</v>
      </c>
      <c r="L76" s="506">
        <v>192.08</v>
      </c>
      <c r="M76" s="373">
        <v>0.75</v>
      </c>
      <c r="N76" s="372">
        <v>1</v>
      </c>
      <c r="O76" s="507">
        <f t="shared" si="6"/>
        <v>144.06</v>
      </c>
      <c r="P76" s="235">
        <v>3700</v>
      </c>
      <c r="Q76" s="492">
        <f t="shared" si="7"/>
        <v>533022</v>
      </c>
      <c r="R76" s="372">
        <v>4196.6324999999997</v>
      </c>
      <c r="S76" s="646">
        <f t="shared" si="8"/>
        <v>604566.87794999999</v>
      </c>
      <c r="T76" s="235">
        <v>4490.6400000000003</v>
      </c>
      <c r="U76" s="647">
        <f t="shared" si="9"/>
        <v>646921.59840000002</v>
      </c>
      <c r="V76" s="235">
        <f t="shared" si="10"/>
        <v>4129.0908333333336</v>
      </c>
      <c r="W76" s="478">
        <f t="shared" si="11"/>
        <v>594836.82545</v>
      </c>
      <c r="X76" s="648"/>
      <c r="Y76" s="302">
        <f t="shared" si="12"/>
        <v>3147.4743749999998</v>
      </c>
      <c r="Z76" s="329"/>
    </row>
    <row r="77" spans="2:26" x14ac:dyDescent="0.35">
      <c r="B77" s="603"/>
      <c r="E77" s="604"/>
      <c r="F77" s="374" t="s">
        <v>230</v>
      </c>
      <c r="G77" s="318" t="s">
        <v>193</v>
      </c>
      <c r="H77" s="319"/>
      <c r="I77" s="320"/>
      <c r="J77" s="625" t="s">
        <v>189</v>
      </c>
      <c r="K77" s="420">
        <v>1</v>
      </c>
      <c r="L77" s="506">
        <v>192.08</v>
      </c>
      <c r="M77" s="377">
        <f>0.00625*(1/2)</f>
        <v>3.1250000000000002E-3</v>
      </c>
      <c r="N77" s="372">
        <v>1</v>
      </c>
      <c r="O77" s="507">
        <f t="shared" si="6"/>
        <v>0.60025000000000006</v>
      </c>
      <c r="P77" s="235">
        <v>1366468.5</v>
      </c>
      <c r="Q77" s="492">
        <f t="shared" si="7"/>
        <v>820222.71712500008</v>
      </c>
      <c r="R77" s="372">
        <v>1506531.5212500002</v>
      </c>
      <c r="S77" s="646">
        <f t="shared" si="8"/>
        <v>904295.54563031276</v>
      </c>
      <c r="T77" s="235">
        <v>1593848.8584</v>
      </c>
      <c r="U77" s="647">
        <f t="shared" si="9"/>
        <v>956707.77725460008</v>
      </c>
      <c r="V77" s="235">
        <f t="shared" si="10"/>
        <v>1488949.6265500002</v>
      </c>
      <c r="W77" s="478">
        <f t="shared" si="11"/>
        <v>893742.01333663764</v>
      </c>
      <c r="X77" s="648"/>
      <c r="Y77" s="302">
        <f t="shared" si="12"/>
        <v>4707.9110039062507</v>
      </c>
      <c r="Z77" s="329"/>
    </row>
    <row r="78" spans="2:26" x14ac:dyDescent="0.35">
      <c r="B78" s="603"/>
      <c r="E78" s="604"/>
      <c r="F78" s="374" t="s">
        <v>237</v>
      </c>
      <c r="G78" s="318" t="s">
        <v>193</v>
      </c>
      <c r="H78" s="319">
        <v>4</v>
      </c>
      <c r="I78" s="320" t="s">
        <v>238</v>
      </c>
      <c r="J78" s="625" t="s">
        <v>189</v>
      </c>
      <c r="K78" s="420">
        <v>1</v>
      </c>
      <c r="L78" s="506">
        <v>192.08</v>
      </c>
      <c r="M78" s="377">
        <f>((M$72*N$72)/240*($H78/N78))</f>
        <v>1.2500000000000001E-2</v>
      </c>
      <c r="N78" s="372">
        <v>1</v>
      </c>
      <c r="O78" s="507">
        <f t="shared" si="6"/>
        <v>2.4010000000000002</v>
      </c>
      <c r="P78" s="235">
        <v>42840</v>
      </c>
      <c r="Q78" s="492">
        <f t="shared" si="7"/>
        <v>102858.84000000001</v>
      </c>
      <c r="R78" s="372">
        <v>47231.1</v>
      </c>
      <c r="S78" s="646">
        <f t="shared" si="8"/>
        <v>113401.8711</v>
      </c>
      <c r="T78" s="235">
        <v>49968.576000000008</v>
      </c>
      <c r="U78" s="647">
        <f t="shared" si="9"/>
        <v>119974.55097600003</v>
      </c>
      <c r="V78" s="235">
        <f t="shared" si="10"/>
        <v>46679.892</v>
      </c>
      <c r="W78" s="478">
        <f t="shared" si="11"/>
        <v>112078.42069200001</v>
      </c>
      <c r="X78" s="649"/>
      <c r="Y78" s="302">
        <f t="shared" si="12"/>
        <v>590.38874999999996</v>
      </c>
      <c r="Z78" s="329"/>
    </row>
    <row r="79" spans="2:26" x14ac:dyDescent="0.35">
      <c r="B79" s="603"/>
      <c r="E79" s="604"/>
      <c r="F79" s="374" t="s">
        <v>239</v>
      </c>
      <c r="G79" s="318" t="s">
        <v>193</v>
      </c>
      <c r="H79" s="319">
        <v>12</v>
      </c>
      <c r="I79" s="320" t="s">
        <v>238</v>
      </c>
      <c r="J79" s="625" t="s">
        <v>189</v>
      </c>
      <c r="K79" s="420">
        <v>1</v>
      </c>
      <c r="L79" s="506">
        <v>192.08</v>
      </c>
      <c r="M79" s="377">
        <f>((M$72*N$72)/240*($H79/N79))</f>
        <v>3.7500000000000006E-2</v>
      </c>
      <c r="N79" s="372">
        <v>1</v>
      </c>
      <c r="O79" s="507">
        <f t="shared" si="6"/>
        <v>7.2030000000000012</v>
      </c>
      <c r="P79" s="235">
        <v>14000</v>
      </c>
      <c r="Q79" s="492">
        <f t="shared" si="7"/>
        <v>100842.00000000001</v>
      </c>
      <c r="R79" s="372">
        <v>15435</v>
      </c>
      <c r="S79" s="646">
        <f t="shared" si="8"/>
        <v>111178.30500000002</v>
      </c>
      <c r="T79" s="235">
        <v>16329.600000000002</v>
      </c>
      <c r="U79" s="647">
        <f t="shared" si="9"/>
        <v>117622.10880000003</v>
      </c>
      <c r="V79" s="235">
        <f t="shared" si="10"/>
        <v>15254.866666666669</v>
      </c>
      <c r="W79" s="478">
        <f t="shared" si="11"/>
        <v>109880.80460000003</v>
      </c>
      <c r="X79" s="649"/>
      <c r="Y79" s="302">
        <f t="shared" si="12"/>
        <v>578.81250000000011</v>
      </c>
      <c r="Z79" s="329"/>
    </row>
    <row r="80" spans="2:26" x14ac:dyDescent="0.35">
      <c r="B80" s="603"/>
      <c r="E80" s="604"/>
      <c r="F80" s="374" t="s">
        <v>240</v>
      </c>
      <c r="G80" s="318" t="s">
        <v>193</v>
      </c>
      <c r="H80" s="319">
        <v>1</v>
      </c>
      <c r="I80" s="320" t="s">
        <v>238</v>
      </c>
      <c r="J80" s="625" t="s">
        <v>189</v>
      </c>
      <c r="K80" s="420">
        <v>1</v>
      </c>
      <c r="L80" s="506">
        <v>192.08</v>
      </c>
      <c r="M80" s="377">
        <f>((M$72*N$72)/240*($H80/N80))</f>
        <v>3.1250000000000002E-3</v>
      </c>
      <c r="N80" s="372">
        <v>1</v>
      </c>
      <c r="O80" s="507">
        <f t="shared" si="6"/>
        <v>0.60025000000000006</v>
      </c>
      <c r="P80" s="235">
        <v>37485</v>
      </c>
      <c r="Q80" s="492">
        <f t="shared" si="7"/>
        <v>22500.371250000004</v>
      </c>
      <c r="R80" s="372">
        <v>41327.212500000001</v>
      </c>
      <c r="S80" s="646">
        <f t="shared" si="8"/>
        <v>24806.659303125005</v>
      </c>
      <c r="T80" s="235">
        <v>43722.504000000008</v>
      </c>
      <c r="U80" s="647">
        <f t="shared" si="9"/>
        <v>26244.433026000006</v>
      </c>
      <c r="V80" s="235">
        <f t="shared" si="10"/>
        <v>40844.905500000001</v>
      </c>
      <c r="W80" s="478">
        <f t="shared" si="11"/>
        <v>24517.154526375001</v>
      </c>
      <c r="X80" s="649"/>
      <c r="Y80" s="302">
        <f t="shared" si="12"/>
        <v>129.14753906250002</v>
      </c>
      <c r="Z80" s="329"/>
    </row>
    <row r="81" spans="2:26" x14ac:dyDescent="0.35">
      <c r="B81" s="603"/>
      <c r="E81" s="604"/>
      <c r="F81" s="374" t="s">
        <v>241</v>
      </c>
      <c r="G81" s="318" t="s">
        <v>193</v>
      </c>
      <c r="H81" s="319">
        <v>2</v>
      </c>
      <c r="I81" s="320" t="s">
        <v>238</v>
      </c>
      <c r="J81" s="625" t="s">
        <v>189</v>
      </c>
      <c r="K81" s="420">
        <v>1</v>
      </c>
      <c r="L81" s="506">
        <v>192.08</v>
      </c>
      <c r="M81" s="377">
        <f>((M$72*N$72)/240*($H81/N81))</f>
        <v>6.2500000000000003E-3</v>
      </c>
      <c r="N81" s="372">
        <v>1</v>
      </c>
      <c r="O81" s="507">
        <f t="shared" si="6"/>
        <v>1.2005000000000001</v>
      </c>
      <c r="P81" s="235">
        <v>32130</v>
      </c>
      <c r="Q81" s="492">
        <f t="shared" si="7"/>
        <v>38572.065000000002</v>
      </c>
      <c r="R81" s="372">
        <v>35423.325000000004</v>
      </c>
      <c r="S81" s="646">
        <f t="shared" si="8"/>
        <v>42525.701662500011</v>
      </c>
      <c r="T81" s="235">
        <v>37476.432000000001</v>
      </c>
      <c r="U81" s="647">
        <f t="shared" si="9"/>
        <v>44990.456616000003</v>
      </c>
      <c r="V81" s="235">
        <f t="shared" si="10"/>
        <v>35009.919000000002</v>
      </c>
      <c r="W81" s="478">
        <f t="shared" si="11"/>
        <v>42029.407759500005</v>
      </c>
      <c r="X81" s="649"/>
      <c r="Y81" s="302">
        <f t="shared" si="12"/>
        <v>221.39578125000003</v>
      </c>
      <c r="Z81" s="329"/>
    </row>
    <row r="82" spans="2:26" x14ac:dyDescent="0.35">
      <c r="B82" s="603"/>
      <c r="E82" s="607"/>
      <c r="F82" s="374" t="s">
        <v>242</v>
      </c>
      <c r="G82" s="318" t="s">
        <v>193</v>
      </c>
      <c r="H82" s="319">
        <v>1</v>
      </c>
      <c r="I82" s="320" t="s">
        <v>238</v>
      </c>
      <c r="J82" s="625" t="s">
        <v>189</v>
      </c>
      <c r="K82" s="420">
        <v>1</v>
      </c>
      <c r="L82" s="506">
        <v>192.08</v>
      </c>
      <c r="M82" s="377">
        <f>((M$72*N$72)/240*($H82/N82))</f>
        <v>3.1250000000000002E-3</v>
      </c>
      <c r="N82" s="372">
        <v>1</v>
      </c>
      <c r="O82" s="507">
        <f t="shared" si="6"/>
        <v>0.60025000000000006</v>
      </c>
      <c r="P82" s="235">
        <v>85680</v>
      </c>
      <c r="Q82" s="492">
        <f t="shared" si="7"/>
        <v>51429.420000000006</v>
      </c>
      <c r="R82" s="372">
        <v>94462.2</v>
      </c>
      <c r="S82" s="646">
        <f t="shared" si="8"/>
        <v>56700.935550000002</v>
      </c>
      <c r="T82" s="235">
        <v>99937.152000000016</v>
      </c>
      <c r="U82" s="647">
        <f t="shared" si="9"/>
        <v>59987.275488000014</v>
      </c>
      <c r="V82" s="235">
        <f t="shared" si="10"/>
        <v>93359.784</v>
      </c>
      <c r="W82" s="478">
        <f t="shared" si="11"/>
        <v>56039.210346000007</v>
      </c>
      <c r="X82" s="649"/>
      <c r="Y82" s="302">
        <f t="shared" si="12"/>
        <v>295.19437499999998</v>
      </c>
      <c r="Z82" s="329"/>
    </row>
    <row r="83" spans="2:26" x14ac:dyDescent="0.35">
      <c r="B83" s="630" t="s">
        <v>498</v>
      </c>
      <c r="C83" s="631"/>
      <c r="D83" s="631"/>
      <c r="E83" s="632"/>
      <c r="F83" s="633"/>
      <c r="G83" s="634"/>
      <c r="H83" s="635"/>
      <c r="I83" s="636"/>
      <c r="J83" s="634"/>
      <c r="K83" s="637"/>
      <c r="L83" s="638"/>
      <c r="M83" s="639"/>
      <c r="N83" s="639"/>
      <c r="O83" s="635"/>
      <c r="P83" s="640"/>
      <c r="Q83" s="640"/>
      <c r="R83" s="640"/>
      <c r="S83" s="651">
        <f>SUM(S72:S82)</f>
        <v>29516605.46478394</v>
      </c>
      <c r="T83" s="650"/>
      <c r="U83" s="650"/>
      <c r="V83" s="650"/>
      <c r="W83" s="650"/>
      <c r="X83" s="681"/>
      <c r="Y83" s="682">
        <f>S83/C1</f>
        <v>153668.29167421875</v>
      </c>
      <c r="Z83" s="643">
        <f>S83/$S$388*100</f>
        <v>1.6549183551241118</v>
      </c>
    </row>
    <row r="84" spans="2:26" x14ac:dyDescent="0.35">
      <c r="B84" s="603"/>
      <c r="D84" s="94" t="s">
        <v>501</v>
      </c>
      <c r="E84" s="600"/>
      <c r="F84" s="232" t="s">
        <v>187</v>
      </c>
      <c r="G84" s="318" t="s">
        <v>188</v>
      </c>
      <c r="H84" s="319"/>
      <c r="I84" s="320"/>
      <c r="J84" s="318"/>
      <c r="K84" s="501"/>
      <c r="L84" s="506"/>
      <c r="M84" s="233"/>
      <c r="N84" s="233"/>
      <c r="O84" s="319"/>
      <c r="P84" s="492"/>
      <c r="Q84" s="492"/>
      <c r="R84" s="492"/>
      <c r="S84" s="646"/>
      <c r="T84" s="647"/>
      <c r="U84" s="647"/>
      <c r="V84" s="647"/>
      <c r="W84" s="647"/>
      <c r="X84" s="648"/>
      <c r="Y84" s="302"/>
      <c r="Z84" s="232"/>
    </row>
    <row r="85" spans="2:26" hidden="1" x14ac:dyDescent="0.35">
      <c r="B85" s="603"/>
      <c r="E85" s="604"/>
      <c r="F85" s="232" t="s">
        <v>231</v>
      </c>
      <c r="G85" s="318" t="s">
        <v>232</v>
      </c>
      <c r="H85" s="319"/>
      <c r="I85" s="320"/>
      <c r="J85" s="318"/>
      <c r="K85" s="501"/>
      <c r="L85" s="506"/>
      <c r="M85" s="233"/>
      <c r="N85" s="233"/>
      <c r="O85" s="319"/>
      <c r="P85" s="492"/>
      <c r="Q85" s="492"/>
      <c r="R85" s="492"/>
      <c r="S85" s="646"/>
      <c r="T85" s="647"/>
      <c r="U85" s="647"/>
      <c r="V85" s="647"/>
      <c r="W85" s="647"/>
      <c r="X85" s="648"/>
      <c r="Y85" s="302"/>
      <c r="Z85" s="232"/>
    </row>
    <row r="86" spans="2:26" hidden="1" x14ac:dyDescent="0.35">
      <c r="B86" s="603"/>
      <c r="E86" s="604"/>
      <c r="F86" s="232" t="s">
        <v>233</v>
      </c>
      <c r="G86" s="318" t="s">
        <v>191</v>
      </c>
      <c r="H86" s="319"/>
      <c r="I86" s="320"/>
      <c r="J86" s="318"/>
      <c r="K86" s="501"/>
      <c r="L86" s="506"/>
      <c r="M86" s="233"/>
      <c r="N86" s="233"/>
      <c r="O86" s="319"/>
      <c r="P86" s="492"/>
      <c r="Q86" s="492"/>
      <c r="R86" s="492"/>
      <c r="S86" s="646"/>
      <c r="T86" s="647"/>
      <c r="U86" s="647"/>
      <c r="V86" s="647"/>
      <c r="W86" s="647"/>
      <c r="X86" s="648"/>
      <c r="Y86" s="302"/>
      <c r="Z86" s="232"/>
    </row>
    <row r="87" spans="2:26" hidden="1" x14ac:dyDescent="0.35">
      <c r="B87" s="603"/>
      <c r="E87" s="604"/>
      <c r="F87" s="232" t="s">
        <v>235</v>
      </c>
      <c r="G87" s="318" t="s">
        <v>232</v>
      </c>
      <c r="H87" s="319"/>
      <c r="I87" s="320"/>
      <c r="J87" s="318"/>
      <c r="K87" s="501"/>
      <c r="L87" s="506"/>
      <c r="M87" s="233"/>
      <c r="N87" s="233"/>
      <c r="O87" s="319"/>
      <c r="P87" s="492"/>
      <c r="Q87" s="492"/>
      <c r="R87" s="492"/>
      <c r="S87" s="646"/>
      <c r="T87" s="647"/>
      <c r="U87" s="647"/>
      <c r="V87" s="647"/>
      <c r="W87" s="647"/>
      <c r="X87" s="648"/>
      <c r="Y87" s="302"/>
      <c r="Z87" s="232"/>
    </row>
    <row r="88" spans="2:26" hidden="1" x14ac:dyDescent="0.35">
      <c r="B88" s="603"/>
      <c r="E88" s="604"/>
      <c r="F88" s="232" t="s">
        <v>236</v>
      </c>
      <c r="G88" s="318" t="s">
        <v>188</v>
      </c>
      <c r="H88" s="319"/>
      <c r="I88" s="320"/>
      <c r="J88" s="318"/>
      <c r="K88" s="501"/>
      <c r="L88" s="506"/>
      <c r="M88" s="233"/>
      <c r="N88" s="233"/>
      <c r="O88" s="319"/>
      <c r="P88" s="492"/>
      <c r="Q88" s="492"/>
      <c r="R88" s="492"/>
      <c r="S88" s="646"/>
      <c r="T88" s="647"/>
      <c r="U88" s="647"/>
      <c r="V88" s="647"/>
      <c r="W88" s="647"/>
      <c r="X88" s="648"/>
      <c r="Y88" s="302"/>
      <c r="Z88" s="232"/>
    </row>
    <row r="89" spans="2:26" hidden="1" x14ac:dyDescent="0.35">
      <c r="B89" s="603"/>
      <c r="E89" s="604"/>
      <c r="F89" s="232" t="s">
        <v>230</v>
      </c>
      <c r="G89" s="318" t="s">
        <v>193</v>
      </c>
      <c r="H89" s="319"/>
      <c r="I89" s="320"/>
      <c r="J89" s="318"/>
      <c r="K89" s="501"/>
      <c r="L89" s="506"/>
      <c r="M89" s="233"/>
      <c r="N89" s="233"/>
      <c r="O89" s="319"/>
      <c r="P89" s="492"/>
      <c r="Q89" s="492"/>
      <c r="R89" s="492"/>
      <c r="S89" s="646"/>
      <c r="T89" s="647"/>
      <c r="U89" s="647"/>
      <c r="V89" s="647"/>
      <c r="W89" s="647"/>
      <c r="X89" s="648"/>
      <c r="Y89" s="302"/>
      <c r="Z89" s="232"/>
    </row>
    <row r="90" spans="2:26" hidden="1" x14ac:dyDescent="0.35">
      <c r="B90" s="603"/>
      <c r="E90" s="604"/>
      <c r="F90" s="232" t="s">
        <v>237</v>
      </c>
      <c r="G90" s="318" t="s">
        <v>193</v>
      </c>
      <c r="H90" s="319"/>
      <c r="I90" s="320"/>
      <c r="J90" s="318"/>
      <c r="K90" s="501"/>
      <c r="L90" s="506"/>
      <c r="M90" s="233"/>
      <c r="N90" s="233"/>
      <c r="O90" s="319"/>
      <c r="P90" s="492"/>
      <c r="Q90" s="492"/>
      <c r="R90" s="492"/>
      <c r="S90" s="646"/>
      <c r="T90" s="647"/>
      <c r="U90" s="647"/>
      <c r="V90" s="647"/>
      <c r="W90" s="647"/>
      <c r="X90" s="648"/>
      <c r="Y90" s="302"/>
      <c r="Z90" s="232"/>
    </row>
    <row r="91" spans="2:26" hidden="1" x14ac:dyDescent="0.35">
      <c r="B91" s="603"/>
      <c r="E91" s="604"/>
      <c r="F91" s="232" t="s">
        <v>484</v>
      </c>
      <c r="G91" s="318" t="s">
        <v>193</v>
      </c>
      <c r="H91" s="319"/>
      <c r="I91" s="320"/>
      <c r="J91" s="318"/>
      <c r="K91" s="501"/>
      <c r="L91" s="506"/>
      <c r="M91" s="233"/>
      <c r="N91" s="233"/>
      <c r="O91" s="319"/>
      <c r="P91" s="492"/>
      <c r="Q91" s="492"/>
      <c r="R91" s="492"/>
      <c r="S91" s="646"/>
      <c r="T91" s="647"/>
      <c r="U91" s="647"/>
      <c r="V91" s="647"/>
      <c r="W91" s="647"/>
      <c r="X91" s="648"/>
      <c r="Y91" s="302"/>
      <c r="Z91" s="232"/>
    </row>
    <row r="92" spans="2:26" hidden="1" x14ac:dyDescent="0.35">
      <c r="B92" s="603"/>
      <c r="E92" s="604"/>
      <c r="F92" s="232" t="s">
        <v>240</v>
      </c>
      <c r="G92" s="318" t="s">
        <v>193</v>
      </c>
      <c r="H92" s="319"/>
      <c r="I92" s="320"/>
      <c r="J92" s="318"/>
      <c r="K92" s="501"/>
      <c r="L92" s="506"/>
      <c r="M92" s="233"/>
      <c r="N92" s="233"/>
      <c r="O92" s="319"/>
      <c r="P92" s="492"/>
      <c r="Q92" s="492"/>
      <c r="R92" s="492"/>
      <c r="S92" s="646"/>
      <c r="T92" s="647"/>
      <c r="U92" s="647"/>
      <c r="V92" s="647"/>
      <c r="W92" s="647"/>
      <c r="X92" s="648"/>
      <c r="Y92" s="302"/>
      <c r="Z92" s="232"/>
    </row>
    <row r="93" spans="2:26" hidden="1" x14ac:dyDescent="0.35">
      <c r="B93" s="603"/>
      <c r="E93" s="604"/>
      <c r="F93" s="232" t="s">
        <v>241</v>
      </c>
      <c r="G93" s="318" t="s">
        <v>193</v>
      </c>
      <c r="H93" s="319"/>
      <c r="I93" s="320"/>
      <c r="J93" s="318"/>
      <c r="K93" s="501"/>
      <c r="L93" s="506"/>
      <c r="M93" s="233"/>
      <c r="N93" s="233"/>
      <c r="O93" s="319"/>
      <c r="P93" s="492"/>
      <c r="Q93" s="492"/>
      <c r="R93" s="492"/>
      <c r="S93" s="646"/>
      <c r="T93" s="647"/>
      <c r="U93" s="647"/>
      <c r="V93" s="647"/>
      <c r="W93" s="647"/>
      <c r="X93" s="648"/>
      <c r="Y93" s="302"/>
      <c r="Z93" s="232"/>
    </row>
    <row r="94" spans="2:26" hidden="1" x14ac:dyDescent="0.35">
      <c r="B94" s="603"/>
      <c r="D94" s="606"/>
      <c r="E94" s="607"/>
      <c r="F94" s="232" t="s">
        <v>242</v>
      </c>
      <c r="G94" s="318" t="s">
        <v>193</v>
      </c>
      <c r="H94" s="319"/>
      <c r="I94" s="320"/>
      <c r="J94" s="318"/>
      <c r="K94" s="501"/>
      <c r="L94" s="506"/>
      <c r="M94" s="233"/>
      <c r="N94" s="233"/>
      <c r="O94" s="319"/>
      <c r="P94" s="492"/>
      <c r="Q94" s="492"/>
      <c r="R94" s="492"/>
      <c r="S94" s="646"/>
      <c r="T94" s="647"/>
      <c r="U94" s="647"/>
      <c r="V94" s="647"/>
      <c r="W94" s="647"/>
      <c r="X94" s="648"/>
      <c r="Y94" s="302"/>
      <c r="Z94" s="232"/>
    </row>
    <row r="95" spans="2:26" x14ac:dyDescent="0.35">
      <c r="B95" s="603"/>
      <c r="D95" s="599" t="s">
        <v>502</v>
      </c>
      <c r="E95" s="600"/>
      <c r="F95" s="232" t="s">
        <v>187</v>
      </c>
      <c r="G95" s="318" t="s">
        <v>188</v>
      </c>
      <c r="H95" s="319"/>
      <c r="I95" s="320"/>
      <c r="J95" s="318"/>
      <c r="K95" s="501"/>
      <c r="L95" s="506"/>
      <c r="M95" s="233"/>
      <c r="N95" s="233"/>
      <c r="O95" s="319"/>
      <c r="P95" s="492"/>
      <c r="Q95" s="492"/>
      <c r="R95" s="492"/>
      <c r="S95" s="646"/>
      <c r="T95" s="647"/>
      <c r="U95" s="647"/>
      <c r="V95" s="647"/>
      <c r="W95" s="647"/>
      <c r="X95" s="648"/>
      <c r="Y95" s="302"/>
      <c r="Z95" s="232"/>
    </row>
    <row r="96" spans="2:26" hidden="1" x14ac:dyDescent="0.35">
      <c r="B96" s="603"/>
      <c r="E96" s="604"/>
      <c r="F96" s="232" t="s">
        <v>231</v>
      </c>
      <c r="G96" s="318" t="s">
        <v>232</v>
      </c>
      <c r="H96" s="319"/>
      <c r="I96" s="320"/>
      <c r="J96" s="318"/>
      <c r="K96" s="501"/>
      <c r="L96" s="506"/>
      <c r="M96" s="233"/>
      <c r="N96" s="233"/>
      <c r="O96" s="319"/>
      <c r="P96" s="492"/>
      <c r="Q96" s="492"/>
      <c r="R96" s="492"/>
      <c r="S96" s="646"/>
      <c r="T96" s="647"/>
      <c r="U96" s="647"/>
      <c r="V96" s="647"/>
      <c r="W96" s="647"/>
      <c r="X96" s="648"/>
      <c r="Y96" s="302"/>
      <c r="Z96" s="232"/>
    </row>
    <row r="97" spans="2:26" hidden="1" x14ac:dyDescent="0.35">
      <c r="B97" s="603"/>
      <c r="E97" s="604"/>
      <c r="F97" s="232" t="s">
        <v>233</v>
      </c>
      <c r="G97" s="318" t="s">
        <v>191</v>
      </c>
      <c r="H97" s="319"/>
      <c r="I97" s="320"/>
      <c r="J97" s="318"/>
      <c r="K97" s="501"/>
      <c r="L97" s="506"/>
      <c r="M97" s="233"/>
      <c r="N97" s="233"/>
      <c r="O97" s="319"/>
      <c r="P97" s="492"/>
      <c r="Q97" s="492"/>
      <c r="R97" s="492"/>
      <c r="S97" s="646"/>
      <c r="T97" s="647"/>
      <c r="U97" s="647"/>
      <c r="V97" s="647"/>
      <c r="W97" s="647"/>
      <c r="X97" s="648"/>
      <c r="Y97" s="302"/>
      <c r="Z97" s="232"/>
    </row>
    <row r="98" spans="2:26" hidden="1" x14ac:dyDescent="0.35">
      <c r="B98" s="603"/>
      <c r="E98" s="604"/>
      <c r="F98" s="232" t="s">
        <v>235</v>
      </c>
      <c r="G98" s="318" t="s">
        <v>232</v>
      </c>
      <c r="H98" s="319"/>
      <c r="I98" s="320"/>
      <c r="J98" s="318"/>
      <c r="K98" s="501"/>
      <c r="L98" s="506"/>
      <c r="M98" s="233"/>
      <c r="N98" s="233"/>
      <c r="O98" s="319"/>
      <c r="P98" s="492"/>
      <c r="Q98" s="492"/>
      <c r="R98" s="492"/>
      <c r="S98" s="646"/>
      <c r="T98" s="647"/>
      <c r="U98" s="647"/>
      <c r="V98" s="647"/>
      <c r="W98" s="647"/>
      <c r="X98" s="648"/>
      <c r="Y98" s="302"/>
      <c r="Z98" s="232"/>
    </row>
    <row r="99" spans="2:26" hidden="1" x14ac:dyDescent="0.35">
      <c r="B99" s="603"/>
      <c r="E99" s="604"/>
      <c r="F99" s="232" t="s">
        <v>236</v>
      </c>
      <c r="G99" s="318" t="s">
        <v>188</v>
      </c>
      <c r="H99" s="319"/>
      <c r="I99" s="320"/>
      <c r="J99" s="318"/>
      <c r="K99" s="501"/>
      <c r="L99" s="506"/>
      <c r="M99" s="233"/>
      <c r="N99" s="233"/>
      <c r="O99" s="319"/>
      <c r="P99" s="492"/>
      <c r="Q99" s="492"/>
      <c r="R99" s="492"/>
      <c r="S99" s="646"/>
      <c r="T99" s="647"/>
      <c r="U99" s="647"/>
      <c r="V99" s="647"/>
      <c r="W99" s="647"/>
      <c r="X99" s="648"/>
      <c r="Y99" s="302"/>
      <c r="Z99" s="232"/>
    </row>
    <row r="100" spans="2:26" hidden="1" x14ac:dyDescent="0.35">
      <c r="B100" s="603"/>
      <c r="E100" s="604"/>
      <c r="F100" s="232" t="s">
        <v>230</v>
      </c>
      <c r="G100" s="318" t="s">
        <v>193</v>
      </c>
      <c r="H100" s="319"/>
      <c r="I100" s="320"/>
      <c r="J100" s="318"/>
      <c r="K100" s="501"/>
      <c r="L100" s="506"/>
      <c r="M100" s="233"/>
      <c r="N100" s="233"/>
      <c r="O100" s="319"/>
      <c r="P100" s="492"/>
      <c r="Q100" s="492"/>
      <c r="R100" s="492"/>
      <c r="S100" s="646"/>
      <c r="T100" s="647"/>
      <c r="U100" s="647"/>
      <c r="V100" s="647"/>
      <c r="W100" s="647"/>
      <c r="X100" s="648"/>
      <c r="Y100" s="302"/>
      <c r="Z100" s="232"/>
    </row>
    <row r="101" spans="2:26" hidden="1" x14ac:dyDescent="0.35">
      <c r="B101" s="603"/>
      <c r="E101" s="604"/>
      <c r="F101" s="232" t="s">
        <v>237</v>
      </c>
      <c r="G101" s="318" t="s">
        <v>193</v>
      </c>
      <c r="H101" s="319"/>
      <c r="I101" s="320"/>
      <c r="J101" s="318"/>
      <c r="K101" s="501"/>
      <c r="L101" s="506"/>
      <c r="M101" s="233"/>
      <c r="N101" s="233"/>
      <c r="O101" s="319"/>
      <c r="P101" s="492"/>
      <c r="Q101" s="492"/>
      <c r="R101" s="492"/>
      <c r="S101" s="646"/>
      <c r="T101" s="647"/>
      <c r="U101" s="647"/>
      <c r="V101" s="647"/>
      <c r="W101" s="647"/>
      <c r="X101" s="648"/>
      <c r="Y101" s="302"/>
      <c r="Z101" s="232"/>
    </row>
    <row r="102" spans="2:26" hidden="1" x14ac:dyDescent="0.35">
      <c r="B102" s="603"/>
      <c r="E102" s="604"/>
      <c r="F102" s="232" t="s">
        <v>484</v>
      </c>
      <c r="G102" s="318" t="s">
        <v>193</v>
      </c>
      <c r="H102" s="319"/>
      <c r="I102" s="320"/>
      <c r="J102" s="318"/>
      <c r="K102" s="501"/>
      <c r="L102" s="506"/>
      <c r="M102" s="233"/>
      <c r="N102" s="233"/>
      <c r="O102" s="319"/>
      <c r="P102" s="492"/>
      <c r="Q102" s="492"/>
      <c r="R102" s="492"/>
      <c r="S102" s="646"/>
      <c r="T102" s="647"/>
      <c r="U102" s="647"/>
      <c r="V102" s="647"/>
      <c r="W102" s="647"/>
      <c r="X102" s="648"/>
      <c r="Y102" s="302"/>
      <c r="Z102" s="232"/>
    </row>
    <row r="103" spans="2:26" hidden="1" x14ac:dyDescent="0.35">
      <c r="B103" s="603"/>
      <c r="E103" s="604"/>
      <c r="F103" s="232" t="s">
        <v>240</v>
      </c>
      <c r="G103" s="318" t="s">
        <v>193</v>
      </c>
      <c r="H103" s="319"/>
      <c r="I103" s="320"/>
      <c r="J103" s="318"/>
      <c r="K103" s="501"/>
      <c r="L103" s="506"/>
      <c r="M103" s="233"/>
      <c r="N103" s="233"/>
      <c r="O103" s="319"/>
      <c r="P103" s="492"/>
      <c r="Q103" s="492"/>
      <c r="R103" s="492"/>
      <c r="S103" s="646"/>
      <c r="T103" s="647"/>
      <c r="U103" s="647"/>
      <c r="V103" s="647"/>
      <c r="W103" s="647"/>
      <c r="X103" s="648"/>
      <c r="Y103" s="302"/>
      <c r="Z103" s="232"/>
    </row>
    <row r="104" spans="2:26" hidden="1" x14ac:dyDescent="0.35">
      <c r="B104" s="603"/>
      <c r="E104" s="604"/>
      <c r="F104" s="232" t="s">
        <v>241</v>
      </c>
      <c r="G104" s="318" t="s">
        <v>193</v>
      </c>
      <c r="H104" s="319"/>
      <c r="I104" s="320"/>
      <c r="J104" s="318"/>
      <c r="K104" s="501"/>
      <c r="L104" s="506"/>
      <c r="M104" s="233"/>
      <c r="N104" s="233"/>
      <c r="O104" s="319"/>
      <c r="P104" s="492"/>
      <c r="Q104" s="492"/>
      <c r="R104" s="492"/>
      <c r="S104" s="646"/>
      <c r="T104" s="647"/>
      <c r="U104" s="647"/>
      <c r="V104" s="647"/>
      <c r="W104" s="647"/>
      <c r="X104" s="648"/>
      <c r="Y104" s="302"/>
      <c r="Z104" s="232"/>
    </row>
    <row r="105" spans="2:26" hidden="1" x14ac:dyDescent="0.35">
      <c r="B105" s="605"/>
      <c r="C105" s="606"/>
      <c r="D105" s="606"/>
      <c r="E105" s="607"/>
      <c r="F105" s="232" t="s">
        <v>242</v>
      </c>
      <c r="G105" s="318" t="s">
        <v>193</v>
      </c>
      <c r="H105" s="319"/>
      <c r="I105" s="320"/>
      <c r="J105" s="318"/>
      <c r="K105" s="501"/>
      <c r="L105" s="506"/>
      <c r="M105" s="233"/>
      <c r="N105" s="233"/>
      <c r="O105" s="319"/>
      <c r="P105" s="492"/>
      <c r="Q105" s="492"/>
      <c r="R105" s="492"/>
      <c r="S105" s="646"/>
      <c r="T105" s="647"/>
      <c r="U105" s="647"/>
      <c r="V105" s="647"/>
      <c r="W105" s="647"/>
      <c r="X105" s="648"/>
      <c r="Y105" s="302"/>
      <c r="Z105" s="232"/>
    </row>
    <row r="106" spans="2:26" x14ac:dyDescent="0.35">
      <c r="B106" s="598"/>
      <c r="C106" s="599" t="s">
        <v>83</v>
      </c>
      <c r="D106" s="599"/>
      <c r="E106" s="600"/>
      <c r="F106" s="232" t="s">
        <v>187</v>
      </c>
      <c r="G106" s="318" t="s">
        <v>188</v>
      </c>
      <c r="H106" s="319"/>
      <c r="I106" s="320"/>
      <c r="J106" s="318" t="s">
        <v>189</v>
      </c>
      <c r="K106" s="420">
        <v>1</v>
      </c>
      <c r="L106" s="506">
        <v>192.08</v>
      </c>
      <c r="M106" s="373">
        <v>2.5</v>
      </c>
      <c r="N106" s="235">
        <v>2</v>
      </c>
      <c r="O106" s="507">
        <f>K106*L106*M106*N106</f>
        <v>960.40000000000009</v>
      </c>
      <c r="P106" s="235">
        <v>140008</v>
      </c>
      <c r="Q106" s="492">
        <f>P106*$O106</f>
        <v>134463683.20000002</v>
      </c>
      <c r="R106" s="372">
        <v>158800.57379999998</v>
      </c>
      <c r="S106" s="646">
        <f>R106*$O106</f>
        <v>152512071.07752001</v>
      </c>
      <c r="T106" s="235">
        <v>163305.33120000002</v>
      </c>
      <c r="U106" s="647">
        <f>$O106*T106</f>
        <v>156838440.08448002</v>
      </c>
      <c r="V106" s="235">
        <f>W106/O106</f>
        <v>154037.96833333335</v>
      </c>
      <c r="W106" s="478">
        <f>AVERAGEIF($P$3:$U$3,W$3,$P106:$U106)</f>
        <v>147938064.78733337</v>
      </c>
      <c r="X106" s="648"/>
      <c r="Y106" s="302">
        <f>S106/$C$1</f>
        <v>794002.86900000006</v>
      </c>
      <c r="Z106" s="232"/>
    </row>
    <row r="107" spans="2:26" hidden="1" x14ac:dyDescent="0.35">
      <c r="B107" s="603"/>
      <c r="E107" s="604"/>
      <c r="F107" s="232" t="s">
        <v>291</v>
      </c>
      <c r="G107" s="318" t="s">
        <v>193</v>
      </c>
      <c r="H107" s="319"/>
      <c r="I107" s="320"/>
      <c r="J107" s="318"/>
      <c r="K107" s="420">
        <v>1</v>
      </c>
      <c r="L107" s="506">
        <v>192.08</v>
      </c>
      <c r="M107" s="373">
        <f>0.017*(1/2)</f>
        <v>8.5000000000000006E-3</v>
      </c>
      <c r="N107" s="372">
        <v>2</v>
      </c>
      <c r="O107" s="507">
        <f>K107*L107*M107*N107</f>
        <v>3.2653600000000003</v>
      </c>
      <c r="P107" s="235">
        <v>75798.75</v>
      </c>
      <c r="Q107" s="492">
        <f>P107*$O107</f>
        <v>247510.20630000002</v>
      </c>
      <c r="R107" s="372">
        <v>83568.121874999997</v>
      </c>
      <c r="S107" s="646">
        <f>R107*$O107</f>
        <v>272880.00244575</v>
      </c>
      <c r="T107" s="235">
        <v>88411.662000000011</v>
      </c>
      <c r="U107" s="647">
        <f>$O107*T107</f>
        <v>288695.90462832007</v>
      </c>
      <c r="V107" s="235">
        <f>W107/O107</f>
        <v>82592.844624999998</v>
      </c>
      <c r="W107" s="478">
        <f>AVERAGEIF($P$3:$U$3,W$3,$P107:$U107)</f>
        <v>269695.37112468999</v>
      </c>
      <c r="X107" s="648"/>
      <c r="Y107" s="302">
        <f t="shared" ref="Y107:Y108" si="13">S107/$C$1</f>
        <v>1420.6580718749999</v>
      </c>
      <c r="Z107" s="232"/>
    </row>
    <row r="108" spans="2:26" hidden="1" x14ac:dyDescent="0.35">
      <c r="B108" s="603"/>
      <c r="D108" s="606"/>
      <c r="E108" s="607"/>
      <c r="F108" s="232" t="s">
        <v>242</v>
      </c>
      <c r="G108" s="318" t="s">
        <v>193</v>
      </c>
      <c r="H108" s="319"/>
      <c r="I108" s="320"/>
      <c r="J108" s="318" t="s">
        <v>189</v>
      </c>
      <c r="K108" s="420">
        <v>1</v>
      </c>
      <c r="L108" s="506">
        <v>192.08</v>
      </c>
      <c r="M108" s="373">
        <f>0.017*(1/2)</f>
        <v>8.5000000000000006E-3</v>
      </c>
      <c r="N108" s="372">
        <v>2</v>
      </c>
      <c r="O108" s="507">
        <f>K108*L108*M108*N108</f>
        <v>3.2653600000000003</v>
      </c>
      <c r="P108" s="235">
        <v>85680</v>
      </c>
      <c r="Q108" s="492">
        <f>P108*$O108</f>
        <v>279776.04480000003</v>
      </c>
      <c r="R108" s="372">
        <v>94462.2</v>
      </c>
      <c r="S108" s="646">
        <f>R108*$O108</f>
        <v>308453.08939199999</v>
      </c>
      <c r="T108" s="235">
        <v>99937.152000000016</v>
      </c>
      <c r="U108" s="647">
        <f>$O108*T108</f>
        <v>326330.77865472005</v>
      </c>
      <c r="V108" s="235">
        <f>W108/O108</f>
        <v>93359.784</v>
      </c>
      <c r="W108" s="478">
        <f>AVERAGEIF($P$3:$U$3,W$3,$P108:$U108)</f>
        <v>304853.30428224005</v>
      </c>
      <c r="X108" s="648"/>
      <c r="Y108" s="302">
        <f t="shared" si="13"/>
        <v>1605.8573999999999</v>
      </c>
      <c r="Z108" s="232"/>
    </row>
    <row r="109" spans="2:26" x14ac:dyDescent="0.35">
      <c r="B109" s="603"/>
      <c r="D109" s="599" t="s">
        <v>503</v>
      </c>
      <c r="E109" s="600"/>
      <c r="F109" s="232" t="s">
        <v>187</v>
      </c>
      <c r="G109" s="318" t="s">
        <v>188</v>
      </c>
      <c r="H109" s="319"/>
      <c r="I109" s="320"/>
      <c r="J109" s="318"/>
      <c r="K109" s="501"/>
      <c r="L109" s="506"/>
      <c r="M109" s="373">
        <v>12</v>
      </c>
      <c r="N109" s="373">
        <v>1</v>
      </c>
      <c r="O109" s="602"/>
      <c r="P109" s="628"/>
      <c r="Q109" s="628"/>
      <c r="R109" s="628"/>
      <c r="S109" s="649"/>
      <c r="T109" s="650"/>
      <c r="U109" s="650"/>
      <c r="V109" s="650"/>
      <c r="W109" s="650"/>
      <c r="X109" s="648"/>
      <c r="Y109" s="302"/>
      <c r="Z109" s="232"/>
    </row>
    <row r="110" spans="2:26" hidden="1" x14ac:dyDescent="0.35">
      <c r="B110" s="603"/>
      <c r="E110" s="604"/>
      <c r="F110" s="232" t="s">
        <v>291</v>
      </c>
      <c r="G110" s="318" t="s">
        <v>193</v>
      </c>
      <c r="H110" s="319"/>
      <c r="I110" s="320"/>
      <c r="J110" s="318"/>
      <c r="K110" s="501"/>
      <c r="L110" s="506"/>
      <c r="M110" s="373">
        <v>1.7000000000000001E-2</v>
      </c>
      <c r="N110" s="373">
        <v>1</v>
      </c>
      <c r="O110" s="602"/>
      <c r="P110" s="628"/>
      <c r="Q110" s="628"/>
      <c r="R110" s="628"/>
      <c r="S110" s="649"/>
      <c r="T110" s="650"/>
      <c r="U110" s="650"/>
      <c r="V110" s="650"/>
      <c r="W110" s="650"/>
      <c r="X110" s="648"/>
      <c r="Y110" s="302"/>
      <c r="Z110" s="232"/>
    </row>
    <row r="111" spans="2:26" hidden="1" x14ac:dyDescent="0.35">
      <c r="B111" s="603"/>
      <c r="E111" s="604"/>
      <c r="F111" s="232" t="s">
        <v>242</v>
      </c>
      <c r="G111" s="318" t="s">
        <v>193</v>
      </c>
      <c r="H111" s="319">
        <v>1</v>
      </c>
      <c r="I111" s="320" t="s">
        <v>238</v>
      </c>
      <c r="J111" s="318"/>
      <c r="K111" s="501"/>
      <c r="L111" s="506"/>
      <c r="M111" s="373">
        <f>((M$109*N$109)/240*($H111/N111))</f>
        <v>0.05</v>
      </c>
      <c r="N111" s="373">
        <v>1</v>
      </c>
      <c r="O111" s="602"/>
      <c r="P111" s="628"/>
      <c r="Q111" s="628"/>
      <c r="R111" s="628"/>
      <c r="S111" s="649"/>
      <c r="T111" s="650"/>
      <c r="U111" s="650"/>
      <c r="V111" s="650"/>
      <c r="W111" s="650"/>
      <c r="X111" s="648"/>
      <c r="Y111" s="302"/>
      <c r="Z111" s="232"/>
    </row>
    <row r="112" spans="2:26" x14ac:dyDescent="0.35">
      <c r="B112" s="630" t="s">
        <v>504</v>
      </c>
      <c r="C112" s="631"/>
      <c r="D112" s="631"/>
      <c r="E112" s="632"/>
      <c r="F112" s="633"/>
      <c r="G112" s="634"/>
      <c r="H112" s="635"/>
      <c r="I112" s="636"/>
      <c r="J112" s="634"/>
      <c r="K112" s="637"/>
      <c r="L112" s="638"/>
      <c r="M112" s="639"/>
      <c r="N112" s="639"/>
      <c r="O112" s="635"/>
      <c r="P112" s="640"/>
      <c r="Q112" s="640"/>
      <c r="R112" s="640"/>
      <c r="S112" s="651">
        <f>SUM(S101:S111)</f>
        <v>153093404.16935778</v>
      </c>
      <c r="T112" s="650"/>
      <c r="U112" s="650"/>
      <c r="V112" s="650"/>
      <c r="W112" s="650"/>
      <c r="X112" s="652"/>
      <c r="Y112" s="682">
        <f>S112/C1</f>
        <v>797029.38447187503</v>
      </c>
      <c r="Z112" s="643">
        <f>S112/$S$388*100</f>
        <v>8.5835440972568122</v>
      </c>
    </row>
    <row r="113" spans="2:26" x14ac:dyDescent="0.35">
      <c r="B113" s="598"/>
      <c r="C113" s="599" t="s">
        <v>85</v>
      </c>
      <c r="D113" s="599"/>
      <c r="E113" s="600"/>
      <c r="F113" s="232" t="s">
        <v>187</v>
      </c>
      <c r="G113" s="318" t="s">
        <v>188</v>
      </c>
      <c r="H113" s="319"/>
      <c r="I113" s="320"/>
      <c r="J113" s="318" t="s">
        <v>189</v>
      </c>
      <c r="K113" s="420">
        <v>0.5</v>
      </c>
      <c r="L113" s="506">
        <v>192.08</v>
      </c>
      <c r="M113" s="423">
        <v>1.5</v>
      </c>
      <c r="N113" s="372">
        <v>1</v>
      </c>
      <c r="O113" s="507">
        <f t="shared" ref="O113:O124" si="14">K113*L113*M113*N113</f>
        <v>144.06</v>
      </c>
      <c r="P113" s="235">
        <v>140008</v>
      </c>
      <c r="Q113" s="492">
        <f t="shared" ref="Q113:Q124" si="15">P113*$O113</f>
        <v>20169552.48</v>
      </c>
      <c r="R113" s="372">
        <v>158800.57379999998</v>
      </c>
      <c r="S113" s="646">
        <f t="shared" ref="S113:S124" si="16">R113*$O113</f>
        <v>22876810.661627997</v>
      </c>
      <c r="T113" s="235">
        <v>163305.33120000002</v>
      </c>
      <c r="U113" s="647">
        <f t="shared" ref="U113:U124" si="17">$O113*T113</f>
        <v>23525766.012672003</v>
      </c>
      <c r="V113" s="235">
        <f t="shared" ref="V113:V124" si="18">W113/O113</f>
        <v>154037.96833333332</v>
      </c>
      <c r="W113" s="478">
        <f t="shared" ref="W113:W124" si="19">AVERAGEIF($P$3:$U$3,W$3,$P113:$U113)</f>
        <v>22190709.7181</v>
      </c>
      <c r="X113" s="648"/>
      <c r="Y113" s="302">
        <f>S113/$C$1</f>
        <v>119100.43034999998</v>
      </c>
      <c r="Z113" s="232"/>
    </row>
    <row r="114" spans="2:26" hidden="1" x14ac:dyDescent="0.35">
      <c r="B114" s="603"/>
      <c r="E114" s="604"/>
      <c r="F114" s="232" t="s">
        <v>505</v>
      </c>
      <c r="G114" s="318" t="s">
        <v>232</v>
      </c>
      <c r="H114" s="319"/>
      <c r="I114" s="320"/>
      <c r="J114" s="318" t="s">
        <v>189</v>
      </c>
      <c r="K114" s="501">
        <v>0</v>
      </c>
      <c r="L114" s="506">
        <v>192.08</v>
      </c>
      <c r="M114" s="373">
        <v>0.36</v>
      </c>
      <c r="N114" s="372">
        <v>1</v>
      </c>
      <c r="O114" s="507">
        <f t="shared" si="14"/>
        <v>0</v>
      </c>
      <c r="P114" s="235">
        <v>194983.2</v>
      </c>
      <c r="Q114" s="492">
        <f t="shared" si="15"/>
        <v>0</v>
      </c>
      <c r="R114" s="372">
        <v>199045.35</v>
      </c>
      <c r="S114" s="646">
        <f t="shared" si="16"/>
        <v>0</v>
      </c>
      <c r="T114" s="235">
        <v>223236.26568000004</v>
      </c>
      <c r="U114" s="647">
        <f t="shared" si="17"/>
        <v>0</v>
      </c>
      <c r="V114" s="235" t="e">
        <f t="shared" si="18"/>
        <v>#DIV/0!</v>
      </c>
      <c r="W114" s="478">
        <f t="shared" si="19"/>
        <v>0</v>
      </c>
      <c r="X114" s="648"/>
      <c r="Y114" s="302">
        <f t="shared" ref="Y114" si="20">S114/192.08</f>
        <v>0</v>
      </c>
      <c r="Z114" s="232"/>
    </row>
    <row r="115" spans="2:26" x14ac:dyDescent="0.35">
      <c r="B115" s="603"/>
      <c r="E115" s="604"/>
      <c r="F115" s="232" t="s">
        <v>233</v>
      </c>
      <c r="G115" s="318" t="s">
        <v>191</v>
      </c>
      <c r="H115" s="319"/>
      <c r="I115" s="320"/>
      <c r="J115" s="318" t="s">
        <v>189</v>
      </c>
      <c r="K115" s="420">
        <v>0.5</v>
      </c>
      <c r="L115" s="506">
        <v>192.08</v>
      </c>
      <c r="M115" s="382">
        <f>36/1000</f>
        <v>3.5999999999999997E-2</v>
      </c>
      <c r="N115" s="372">
        <v>1</v>
      </c>
      <c r="O115" s="507">
        <f t="shared" si="14"/>
        <v>3.4574400000000001</v>
      </c>
      <c r="P115" s="235">
        <v>99144</v>
      </c>
      <c r="Q115" s="492">
        <f t="shared" si="15"/>
        <v>342784.43135999999</v>
      </c>
      <c r="R115" s="372">
        <v>101209.5</v>
      </c>
      <c r="S115" s="646">
        <f t="shared" si="16"/>
        <v>349925.77367999998</v>
      </c>
      <c r="T115" s="235">
        <v>113509.96560000001</v>
      </c>
      <c r="U115" s="647">
        <f t="shared" si="17"/>
        <v>392453.89546406403</v>
      </c>
      <c r="V115" s="235">
        <f t="shared" si="18"/>
        <v>104621.15519999999</v>
      </c>
      <c r="W115" s="478">
        <f t="shared" si="19"/>
        <v>361721.366834688</v>
      </c>
      <c r="X115" s="648"/>
      <c r="Y115" s="302">
        <f t="shared" ref="Y115:Y124" si="21">S115/$C$1</f>
        <v>1821.7709999999997</v>
      </c>
      <c r="Z115" s="232"/>
    </row>
    <row r="116" spans="2:26" x14ac:dyDescent="0.35">
      <c r="B116" s="603"/>
      <c r="E116" s="604"/>
      <c r="F116" s="232" t="s">
        <v>234</v>
      </c>
      <c r="G116" s="318" t="s">
        <v>232</v>
      </c>
      <c r="H116" s="319"/>
      <c r="I116" s="320"/>
      <c r="J116" s="318" t="s">
        <v>189</v>
      </c>
      <c r="K116" s="420">
        <v>0.5</v>
      </c>
      <c r="L116" s="506">
        <v>192.08</v>
      </c>
      <c r="M116" s="373">
        <v>0.90000000000000013</v>
      </c>
      <c r="N116" s="372">
        <v>1</v>
      </c>
      <c r="O116" s="507">
        <f t="shared" si="14"/>
        <v>86.436000000000021</v>
      </c>
      <c r="P116" s="235">
        <v>29192.400000000001</v>
      </c>
      <c r="Q116" s="492">
        <f t="shared" si="15"/>
        <v>2523274.2864000006</v>
      </c>
      <c r="R116" s="372">
        <v>29800.575000000001</v>
      </c>
      <c r="S116" s="646">
        <f t="shared" si="16"/>
        <v>2575842.5007000007</v>
      </c>
      <c r="T116" s="235">
        <v>33422.378760000007</v>
      </c>
      <c r="U116" s="647">
        <f t="shared" si="17"/>
        <v>2888896.7304993612</v>
      </c>
      <c r="V116" s="235">
        <f t="shared" si="18"/>
        <v>30805.117920000004</v>
      </c>
      <c r="W116" s="478">
        <f t="shared" si="19"/>
        <v>2662671.172533121</v>
      </c>
      <c r="X116" s="648"/>
      <c r="Y116" s="302">
        <f t="shared" si="21"/>
        <v>13410.258750000003</v>
      </c>
      <c r="Z116" s="232"/>
    </row>
    <row r="117" spans="2:26" x14ac:dyDescent="0.35">
      <c r="B117" s="603"/>
      <c r="E117" s="604"/>
      <c r="F117" s="232" t="s">
        <v>235</v>
      </c>
      <c r="G117" s="318" t="s">
        <v>232</v>
      </c>
      <c r="H117" s="319"/>
      <c r="I117" s="320"/>
      <c r="J117" s="318" t="s">
        <v>189</v>
      </c>
      <c r="K117" s="420">
        <v>0.5</v>
      </c>
      <c r="L117" s="506">
        <v>192.08</v>
      </c>
      <c r="M117" s="373">
        <v>0.27</v>
      </c>
      <c r="N117" s="372">
        <v>1</v>
      </c>
      <c r="O117" s="507">
        <f t="shared" si="14"/>
        <v>25.930800000000005</v>
      </c>
      <c r="P117" s="235">
        <v>46267.199999999997</v>
      </c>
      <c r="Q117" s="492">
        <f t="shared" si="15"/>
        <v>1199745.50976</v>
      </c>
      <c r="R117" s="372">
        <v>47231.1</v>
      </c>
      <c r="S117" s="646">
        <f t="shared" si="16"/>
        <v>1224740.2078800001</v>
      </c>
      <c r="T117" s="235">
        <v>52971.317280000003</v>
      </c>
      <c r="U117" s="647">
        <f t="shared" si="17"/>
        <v>1373588.6341242243</v>
      </c>
      <c r="V117" s="235">
        <f t="shared" si="18"/>
        <v>48823.205759999997</v>
      </c>
      <c r="W117" s="478">
        <f t="shared" si="19"/>
        <v>1266024.7839214082</v>
      </c>
      <c r="X117" s="648"/>
      <c r="Y117" s="302">
        <f t="shared" si="21"/>
        <v>6376.1985000000004</v>
      </c>
      <c r="Z117" s="232"/>
    </row>
    <row r="118" spans="2:26" x14ac:dyDescent="0.35">
      <c r="B118" s="603"/>
      <c r="E118" s="604"/>
      <c r="F118" s="232" t="s">
        <v>236</v>
      </c>
      <c r="G118" s="318" t="s">
        <v>188</v>
      </c>
      <c r="H118" s="319"/>
      <c r="I118" s="320"/>
      <c r="J118" s="318" t="s">
        <v>189</v>
      </c>
      <c r="K118" s="420">
        <v>0.5</v>
      </c>
      <c r="L118" s="506">
        <v>192.08</v>
      </c>
      <c r="M118" s="373">
        <v>1.5</v>
      </c>
      <c r="N118" s="372">
        <v>1</v>
      </c>
      <c r="O118" s="507">
        <f t="shared" si="14"/>
        <v>144.06</v>
      </c>
      <c r="P118" s="235">
        <v>3700</v>
      </c>
      <c r="Q118" s="492">
        <f t="shared" si="15"/>
        <v>533022</v>
      </c>
      <c r="R118" s="372">
        <v>4196.6324999999997</v>
      </c>
      <c r="S118" s="646">
        <f t="shared" si="16"/>
        <v>604566.87794999999</v>
      </c>
      <c r="T118" s="235">
        <v>4490.6400000000003</v>
      </c>
      <c r="U118" s="647">
        <f t="shared" si="17"/>
        <v>646921.59840000002</v>
      </c>
      <c r="V118" s="235">
        <f t="shared" si="18"/>
        <v>4129.0908333333336</v>
      </c>
      <c r="W118" s="478">
        <f t="shared" si="19"/>
        <v>594836.82545</v>
      </c>
      <c r="X118" s="648"/>
      <c r="Y118" s="302">
        <f t="shared" si="21"/>
        <v>3147.4743749999998</v>
      </c>
      <c r="Z118" s="232"/>
    </row>
    <row r="119" spans="2:26" x14ac:dyDescent="0.35">
      <c r="B119" s="603"/>
      <c r="E119" s="604"/>
      <c r="F119" s="232" t="s">
        <v>230</v>
      </c>
      <c r="G119" s="318" t="s">
        <v>193</v>
      </c>
      <c r="H119" s="319"/>
      <c r="I119" s="320"/>
      <c r="J119" s="318" t="s">
        <v>189</v>
      </c>
      <c r="K119" s="420">
        <v>0.5</v>
      </c>
      <c r="L119" s="506">
        <v>192.08</v>
      </c>
      <c r="M119" s="377">
        <f>0.0125*(1/2)</f>
        <v>6.2500000000000003E-3</v>
      </c>
      <c r="N119" s="372">
        <v>1</v>
      </c>
      <c r="O119" s="507">
        <f t="shared" si="14"/>
        <v>0.60025000000000006</v>
      </c>
      <c r="P119" s="235">
        <v>1366468.5</v>
      </c>
      <c r="Q119" s="492">
        <f t="shared" si="15"/>
        <v>820222.71712500008</v>
      </c>
      <c r="R119" s="372">
        <v>1506531.5212500002</v>
      </c>
      <c r="S119" s="646">
        <f t="shared" si="16"/>
        <v>904295.54563031276</v>
      </c>
      <c r="T119" s="235">
        <v>1593848.8584</v>
      </c>
      <c r="U119" s="647">
        <f t="shared" si="17"/>
        <v>956707.77725460008</v>
      </c>
      <c r="V119" s="235">
        <f t="shared" si="18"/>
        <v>1488949.6265500002</v>
      </c>
      <c r="W119" s="478">
        <f t="shared" si="19"/>
        <v>893742.01333663764</v>
      </c>
      <c r="X119" s="648"/>
      <c r="Y119" s="302">
        <f t="shared" si="21"/>
        <v>4707.9110039062507</v>
      </c>
      <c r="Z119" s="232"/>
    </row>
    <row r="120" spans="2:26" x14ac:dyDescent="0.35">
      <c r="B120" s="603"/>
      <c r="E120" s="604"/>
      <c r="F120" s="232" t="s">
        <v>237</v>
      </c>
      <c r="G120" s="318" t="s">
        <v>193</v>
      </c>
      <c r="H120" s="319">
        <v>4</v>
      </c>
      <c r="I120" s="320" t="s">
        <v>238</v>
      </c>
      <c r="J120" s="318" t="s">
        <v>189</v>
      </c>
      <c r="K120" s="420">
        <v>0.5</v>
      </c>
      <c r="L120" s="506">
        <v>192.08</v>
      </c>
      <c r="M120" s="377">
        <f>((M$113*N$113)/240*($H120/N120))</f>
        <v>2.5000000000000001E-2</v>
      </c>
      <c r="N120" s="372">
        <v>1</v>
      </c>
      <c r="O120" s="507">
        <f t="shared" si="14"/>
        <v>2.4010000000000002</v>
      </c>
      <c r="P120" s="235">
        <v>42840</v>
      </c>
      <c r="Q120" s="492">
        <f t="shared" si="15"/>
        <v>102858.84000000001</v>
      </c>
      <c r="R120" s="372">
        <v>47231.1</v>
      </c>
      <c r="S120" s="646">
        <f t="shared" si="16"/>
        <v>113401.8711</v>
      </c>
      <c r="T120" s="235">
        <v>49968.576000000008</v>
      </c>
      <c r="U120" s="647">
        <f t="shared" si="17"/>
        <v>119974.55097600003</v>
      </c>
      <c r="V120" s="235">
        <f t="shared" si="18"/>
        <v>46679.892</v>
      </c>
      <c r="W120" s="478">
        <f t="shared" si="19"/>
        <v>112078.42069200001</v>
      </c>
      <c r="X120" s="649"/>
      <c r="Y120" s="302">
        <f t="shared" si="21"/>
        <v>590.38874999999996</v>
      </c>
      <c r="Z120" s="232"/>
    </row>
    <row r="121" spans="2:26" x14ac:dyDescent="0.35">
      <c r="B121" s="603"/>
      <c r="E121" s="604"/>
      <c r="F121" s="232" t="s">
        <v>239</v>
      </c>
      <c r="G121" s="318" t="s">
        <v>193</v>
      </c>
      <c r="H121" s="319">
        <v>12</v>
      </c>
      <c r="I121" s="320" t="s">
        <v>238</v>
      </c>
      <c r="J121" s="318" t="s">
        <v>189</v>
      </c>
      <c r="K121" s="420">
        <v>0.5</v>
      </c>
      <c r="L121" s="506">
        <v>192.08</v>
      </c>
      <c r="M121" s="377">
        <f>((M$113*N$113)/240*($H121/N121))</f>
        <v>7.5000000000000011E-2</v>
      </c>
      <c r="N121" s="372">
        <v>1</v>
      </c>
      <c r="O121" s="507">
        <f t="shared" si="14"/>
        <v>7.2030000000000012</v>
      </c>
      <c r="P121" s="235">
        <v>14000</v>
      </c>
      <c r="Q121" s="492">
        <f t="shared" si="15"/>
        <v>100842.00000000001</v>
      </c>
      <c r="R121" s="372">
        <v>15435</v>
      </c>
      <c r="S121" s="646">
        <f t="shared" si="16"/>
        <v>111178.30500000002</v>
      </c>
      <c r="T121" s="235">
        <v>16329.600000000002</v>
      </c>
      <c r="U121" s="647">
        <f t="shared" si="17"/>
        <v>117622.10880000003</v>
      </c>
      <c r="V121" s="235">
        <f t="shared" si="18"/>
        <v>15254.866666666669</v>
      </c>
      <c r="W121" s="478">
        <f t="shared" si="19"/>
        <v>109880.80460000003</v>
      </c>
      <c r="X121" s="649"/>
      <c r="Y121" s="302">
        <f t="shared" si="21"/>
        <v>578.81250000000011</v>
      </c>
      <c r="Z121" s="232"/>
    </row>
    <row r="122" spans="2:26" x14ac:dyDescent="0.35">
      <c r="B122" s="603"/>
      <c r="E122" s="604"/>
      <c r="F122" s="232" t="s">
        <v>240</v>
      </c>
      <c r="G122" s="318" t="s">
        <v>193</v>
      </c>
      <c r="H122" s="319">
        <v>1</v>
      </c>
      <c r="I122" s="320" t="s">
        <v>238</v>
      </c>
      <c r="J122" s="318" t="s">
        <v>189</v>
      </c>
      <c r="K122" s="420">
        <v>0.5</v>
      </c>
      <c r="L122" s="506">
        <v>192.08</v>
      </c>
      <c r="M122" s="377">
        <f>((M$113*N$113)/240*($H122/N122))</f>
        <v>6.2500000000000003E-3</v>
      </c>
      <c r="N122" s="372">
        <v>1</v>
      </c>
      <c r="O122" s="507">
        <f t="shared" si="14"/>
        <v>0.60025000000000006</v>
      </c>
      <c r="P122" s="235">
        <v>37485</v>
      </c>
      <c r="Q122" s="492">
        <f t="shared" si="15"/>
        <v>22500.371250000004</v>
      </c>
      <c r="R122" s="372">
        <v>41327.212500000001</v>
      </c>
      <c r="S122" s="646">
        <f t="shared" si="16"/>
        <v>24806.659303125005</v>
      </c>
      <c r="T122" s="235">
        <v>43722.504000000008</v>
      </c>
      <c r="U122" s="647">
        <f t="shared" si="17"/>
        <v>26244.433026000006</v>
      </c>
      <c r="V122" s="235">
        <f t="shared" si="18"/>
        <v>40844.905500000001</v>
      </c>
      <c r="W122" s="478">
        <f t="shared" si="19"/>
        <v>24517.154526375001</v>
      </c>
      <c r="X122" s="649"/>
      <c r="Y122" s="302">
        <f t="shared" si="21"/>
        <v>129.14753906250002</v>
      </c>
      <c r="Z122" s="232"/>
    </row>
    <row r="123" spans="2:26" x14ac:dyDescent="0.35">
      <c r="B123" s="603"/>
      <c r="E123" s="604"/>
      <c r="F123" s="232" t="s">
        <v>241</v>
      </c>
      <c r="G123" s="318" t="s">
        <v>193</v>
      </c>
      <c r="H123" s="319">
        <v>2</v>
      </c>
      <c r="I123" s="320" t="s">
        <v>238</v>
      </c>
      <c r="J123" s="318" t="s">
        <v>189</v>
      </c>
      <c r="K123" s="420">
        <v>0.5</v>
      </c>
      <c r="L123" s="506">
        <v>192.08</v>
      </c>
      <c r="M123" s="377">
        <f>((M$113*N$113)/240*($H123/N123))</f>
        <v>1.2500000000000001E-2</v>
      </c>
      <c r="N123" s="372">
        <v>1</v>
      </c>
      <c r="O123" s="507">
        <f t="shared" si="14"/>
        <v>1.2005000000000001</v>
      </c>
      <c r="P123" s="235">
        <v>32130</v>
      </c>
      <c r="Q123" s="492">
        <f t="shared" si="15"/>
        <v>38572.065000000002</v>
      </c>
      <c r="R123" s="372">
        <v>35423.325000000004</v>
      </c>
      <c r="S123" s="646">
        <f t="shared" si="16"/>
        <v>42525.701662500011</v>
      </c>
      <c r="T123" s="235">
        <v>37476.432000000001</v>
      </c>
      <c r="U123" s="647">
        <f t="shared" si="17"/>
        <v>44990.456616000003</v>
      </c>
      <c r="V123" s="235">
        <f t="shared" si="18"/>
        <v>35009.919000000002</v>
      </c>
      <c r="W123" s="478">
        <f t="shared" si="19"/>
        <v>42029.407759500005</v>
      </c>
      <c r="X123" s="649"/>
      <c r="Y123" s="302">
        <f t="shared" si="21"/>
        <v>221.39578125000003</v>
      </c>
      <c r="Z123" s="232"/>
    </row>
    <row r="124" spans="2:26" x14ac:dyDescent="0.35">
      <c r="B124" s="603"/>
      <c r="E124" s="604"/>
      <c r="F124" s="232" t="s">
        <v>242</v>
      </c>
      <c r="G124" s="318" t="s">
        <v>193</v>
      </c>
      <c r="H124" s="319">
        <v>1</v>
      </c>
      <c r="I124" s="320" t="s">
        <v>238</v>
      </c>
      <c r="J124" s="318" t="s">
        <v>189</v>
      </c>
      <c r="K124" s="420">
        <v>0.5</v>
      </c>
      <c r="L124" s="506">
        <v>192.08</v>
      </c>
      <c r="M124" s="377">
        <f>((M$113*N$113)/240*($H124/N124))</f>
        <v>6.2500000000000003E-3</v>
      </c>
      <c r="N124" s="372">
        <v>1</v>
      </c>
      <c r="O124" s="507">
        <f t="shared" si="14"/>
        <v>0.60025000000000006</v>
      </c>
      <c r="P124" s="235">
        <v>85680</v>
      </c>
      <c r="Q124" s="492">
        <f t="shared" si="15"/>
        <v>51429.420000000006</v>
      </c>
      <c r="R124" s="372">
        <v>94462.2</v>
      </c>
      <c r="S124" s="646">
        <f t="shared" si="16"/>
        <v>56700.935550000002</v>
      </c>
      <c r="T124" s="235">
        <v>99937.152000000016</v>
      </c>
      <c r="U124" s="647">
        <f t="shared" si="17"/>
        <v>59987.275488000014</v>
      </c>
      <c r="V124" s="235">
        <f t="shared" si="18"/>
        <v>93359.784</v>
      </c>
      <c r="W124" s="478">
        <f t="shared" si="19"/>
        <v>56039.210346000007</v>
      </c>
      <c r="X124" s="649"/>
      <c r="Y124" s="302">
        <f t="shared" si="21"/>
        <v>295.19437499999998</v>
      </c>
      <c r="Z124" s="232"/>
    </row>
    <row r="125" spans="2:26" x14ac:dyDescent="0.35">
      <c r="B125" s="630" t="s">
        <v>506</v>
      </c>
      <c r="C125" s="631"/>
      <c r="D125" s="631"/>
      <c r="E125" s="632"/>
      <c r="F125" s="633"/>
      <c r="G125" s="634"/>
      <c r="H125" s="635"/>
      <c r="I125" s="636"/>
      <c r="J125" s="634"/>
      <c r="K125" s="637"/>
      <c r="L125" s="638"/>
      <c r="M125" s="639"/>
      <c r="N125" s="639"/>
      <c r="O125" s="635"/>
      <c r="P125" s="640"/>
      <c r="Q125" s="640"/>
      <c r="R125" s="640"/>
      <c r="S125" s="651">
        <f>SUM(S113:S124)</f>
        <v>28884795.040083941</v>
      </c>
      <c r="T125" s="650"/>
      <c r="U125" s="650"/>
      <c r="V125" s="650"/>
      <c r="W125" s="650"/>
      <c r="X125" s="652"/>
      <c r="Y125" s="682">
        <f>S125/$C$1</f>
        <v>150378.98292421876</v>
      </c>
      <c r="Z125" s="643">
        <f>S125/$S$388*100</f>
        <v>1.6194944080837825</v>
      </c>
    </row>
    <row r="126" spans="2:26" x14ac:dyDescent="0.35">
      <c r="B126" s="684"/>
      <c r="C126" s="685" t="s">
        <v>85</v>
      </c>
      <c r="D126" s="685"/>
      <c r="E126" s="686"/>
      <c r="F126" s="232" t="s">
        <v>187</v>
      </c>
      <c r="G126" s="318" t="s">
        <v>188</v>
      </c>
      <c r="H126" s="319"/>
      <c r="I126" s="320"/>
      <c r="J126" s="318"/>
      <c r="K126" s="501">
        <v>100</v>
      </c>
      <c r="L126" s="506"/>
      <c r="M126" s="373">
        <v>1.5</v>
      </c>
      <c r="N126" s="372">
        <v>3</v>
      </c>
      <c r="O126" s="602"/>
      <c r="P126" s="628"/>
      <c r="Q126" s="628"/>
      <c r="R126" s="628"/>
      <c r="S126" s="649"/>
      <c r="T126" s="650"/>
      <c r="U126" s="650"/>
      <c r="V126" s="650"/>
      <c r="W126" s="650"/>
      <c r="X126" s="648"/>
      <c r="Y126" s="302"/>
      <c r="Z126" s="232"/>
    </row>
    <row r="127" spans="2:26" hidden="1" x14ac:dyDescent="0.35">
      <c r="B127" s="687"/>
      <c r="C127" s="688" t="s">
        <v>507</v>
      </c>
      <c r="D127" s="688"/>
      <c r="E127" s="689"/>
      <c r="F127" s="232" t="s">
        <v>505</v>
      </c>
      <c r="G127" s="318" t="s">
        <v>232</v>
      </c>
      <c r="H127" s="319"/>
      <c r="I127" s="320"/>
      <c r="J127" s="318"/>
      <c r="K127" s="501">
        <v>50</v>
      </c>
      <c r="L127" s="506"/>
      <c r="M127" s="373">
        <v>0.36</v>
      </c>
      <c r="N127" s="372">
        <v>3</v>
      </c>
      <c r="O127" s="602"/>
      <c r="P127" s="628"/>
      <c r="Q127" s="628"/>
      <c r="R127" s="628"/>
      <c r="S127" s="649"/>
      <c r="T127" s="650"/>
      <c r="U127" s="650"/>
      <c r="V127" s="650"/>
      <c r="W127" s="650"/>
      <c r="X127" s="648"/>
      <c r="Y127" s="302"/>
      <c r="Z127" s="232"/>
    </row>
    <row r="128" spans="2:26" hidden="1" x14ac:dyDescent="0.35">
      <c r="B128" s="690"/>
      <c r="C128" s="691"/>
      <c r="D128" s="691"/>
      <c r="E128" s="692"/>
      <c r="F128" s="232" t="s">
        <v>233</v>
      </c>
      <c r="G128" s="318" t="s">
        <v>191</v>
      </c>
      <c r="H128" s="319"/>
      <c r="I128" s="320"/>
      <c r="J128" s="318"/>
      <c r="K128" s="501">
        <v>50</v>
      </c>
      <c r="L128" s="506"/>
      <c r="M128" s="373">
        <f>36/1000</f>
        <v>3.5999999999999997E-2</v>
      </c>
      <c r="N128" s="372">
        <v>3</v>
      </c>
      <c r="O128" s="602"/>
      <c r="P128" s="628"/>
      <c r="Q128" s="628"/>
      <c r="R128" s="628"/>
      <c r="S128" s="649"/>
      <c r="T128" s="650"/>
      <c r="U128" s="650"/>
      <c r="V128" s="650"/>
      <c r="W128" s="650"/>
      <c r="X128" s="648"/>
      <c r="Y128" s="302"/>
      <c r="Z128" s="232"/>
    </row>
    <row r="129" spans="1:28" hidden="1" x14ac:dyDescent="0.35">
      <c r="B129" s="690"/>
      <c r="C129" s="691"/>
      <c r="D129" s="691"/>
      <c r="E129" s="692"/>
      <c r="F129" s="232" t="s">
        <v>234</v>
      </c>
      <c r="G129" s="318" t="s">
        <v>232</v>
      </c>
      <c r="H129" s="319"/>
      <c r="I129" s="320"/>
      <c r="J129" s="318"/>
      <c r="K129" s="501">
        <v>50</v>
      </c>
      <c r="L129" s="506"/>
      <c r="M129" s="373">
        <v>0.90000000000000013</v>
      </c>
      <c r="N129" s="235">
        <v>3</v>
      </c>
      <c r="O129" s="319"/>
      <c r="P129" s="492"/>
      <c r="Q129" s="492"/>
      <c r="R129" s="492"/>
      <c r="S129" s="646"/>
      <c r="T129" s="647"/>
      <c r="U129" s="647"/>
      <c r="V129" s="647"/>
      <c r="W129" s="647"/>
      <c r="X129" s="648"/>
      <c r="Y129" s="302"/>
      <c r="Z129" s="232"/>
    </row>
    <row r="130" spans="1:28" hidden="1" x14ac:dyDescent="0.35">
      <c r="B130" s="690"/>
      <c r="C130" s="691"/>
      <c r="D130" s="691"/>
      <c r="E130" s="692"/>
      <c r="F130" s="232" t="s">
        <v>235</v>
      </c>
      <c r="G130" s="318" t="s">
        <v>232</v>
      </c>
      <c r="H130" s="319"/>
      <c r="I130" s="320"/>
      <c r="J130" s="318"/>
      <c r="K130" s="501">
        <v>100</v>
      </c>
      <c r="L130" s="506"/>
      <c r="M130" s="373">
        <v>0.27</v>
      </c>
      <c r="N130" s="235">
        <v>3</v>
      </c>
      <c r="O130" s="319"/>
      <c r="P130" s="492"/>
      <c r="Q130" s="492"/>
      <c r="R130" s="492"/>
      <c r="S130" s="646"/>
      <c r="T130" s="647"/>
      <c r="U130" s="647"/>
      <c r="V130" s="647"/>
      <c r="W130" s="647"/>
      <c r="X130" s="648"/>
      <c r="Y130" s="302"/>
      <c r="Z130" s="232"/>
    </row>
    <row r="131" spans="1:28" hidden="1" x14ac:dyDescent="0.35">
      <c r="B131" s="690"/>
      <c r="C131" s="691"/>
      <c r="D131" s="691"/>
      <c r="E131" s="692"/>
      <c r="F131" s="232" t="s">
        <v>236</v>
      </c>
      <c r="G131" s="318" t="s">
        <v>188</v>
      </c>
      <c r="H131" s="319"/>
      <c r="I131" s="320"/>
      <c r="J131" s="318"/>
      <c r="K131" s="501">
        <v>100</v>
      </c>
      <c r="L131" s="506"/>
      <c r="M131" s="373">
        <v>1.5</v>
      </c>
      <c r="N131" s="235">
        <v>3</v>
      </c>
      <c r="O131" s="319"/>
      <c r="P131" s="492"/>
      <c r="Q131" s="492"/>
      <c r="R131" s="492"/>
      <c r="S131" s="646"/>
      <c r="T131" s="647"/>
      <c r="U131" s="647"/>
      <c r="V131" s="647"/>
      <c r="W131" s="647"/>
      <c r="X131" s="648"/>
      <c r="Y131" s="302"/>
      <c r="Z131" s="232"/>
    </row>
    <row r="132" spans="1:28" hidden="1" x14ac:dyDescent="0.35">
      <c r="B132" s="690"/>
      <c r="C132" s="691"/>
      <c r="D132" s="691"/>
      <c r="E132" s="692"/>
      <c r="F132" s="232" t="s">
        <v>508</v>
      </c>
      <c r="G132" s="318" t="s">
        <v>193</v>
      </c>
      <c r="H132" s="319"/>
      <c r="I132" s="320"/>
      <c r="J132" s="318"/>
      <c r="K132" s="501">
        <v>100</v>
      </c>
      <c r="L132" s="506"/>
      <c r="M132" s="373">
        <f>0.0188*(1/3)</f>
        <v>6.2666666666666669E-3</v>
      </c>
      <c r="N132" s="235">
        <v>3</v>
      </c>
      <c r="O132" s="319"/>
      <c r="P132" s="492"/>
      <c r="Q132" s="492"/>
      <c r="R132" s="492"/>
      <c r="S132" s="646"/>
      <c r="T132" s="647"/>
      <c r="U132" s="647"/>
      <c r="V132" s="647"/>
      <c r="W132" s="647"/>
      <c r="X132" s="648"/>
      <c r="Y132" s="302"/>
      <c r="Z132" s="232"/>
    </row>
    <row r="133" spans="1:28" hidden="1" x14ac:dyDescent="0.35">
      <c r="B133" s="690"/>
      <c r="C133" s="691"/>
      <c r="D133" s="691"/>
      <c r="E133" s="692"/>
      <c r="F133" s="232" t="s">
        <v>237</v>
      </c>
      <c r="G133" s="318" t="s">
        <v>193</v>
      </c>
      <c r="H133" s="319">
        <v>4</v>
      </c>
      <c r="I133" s="320" t="s">
        <v>238</v>
      </c>
      <c r="J133" s="318"/>
      <c r="K133" s="501">
        <v>100</v>
      </c>
      <c r="L133" s="506"/>
      <c r="M133" s="373">
        <f>((M$126*N$126)/240*($H133/N133))</f>
        <v>2.4999999999999998E-2</v>
      </c>
      <c r="N133" s="235">
        <v>3</v>
      </c>
      <c r="O133" s="319"/>
      <c r="P133" s="492"/>
      <c r="Q133" s="492"/>
      <c r="R133" s="492"/>
      <c r="S133" s="646"/>
      <c r="T133" s="647"/>
      <c r="U133" s="647"/>
      <c r="V133" s="647"/>
      <c r="W133" s="647"/>
      <c r="X133" s="648"/>
      <c r="Y133" s="302"/>
      <c r="Z133" s="232"/>
    </row>
    <row r="134" spans="1:28" hidden="1" x14ac:dyDescent="0.35">
      <c r="B134" s="690"/>
      <c r="C134" s="691"/>
      <c r="D134" s="691"/>
      <c r="E134" s="692"/>
      <c r="F134" s="232" t="s">
        <v>239</v>
      </c>
      <c r="G134" s="318" t="s">
        <v>193</v>
      </c>
      <c r="H134" s="319">
        <v>12</v>
      </c>
      <c r="I134" s="320" t="s">
        <v>238</v>
      </c>
      <c r="J134" s="318"/>
      <c r="K134" s="501">
        <v>100</v>
      </c>
      <c r="L134" s="506"/>
      <c r="M134" s="373">
        <f>((M$126*N$126)/240*($H134/N134))</f>
        <v>7.4999999999999997E-2</v>
      </c>
      <c r="N134" s="235">
        <v>3</v>
      </c>
      <c r="O134" s="319"/>
      <c r="P134" s="492"/>
      <c r="Q134" s="492"/>
      <c r="R134" s="492"/>
      <c r="S134" s="646"/>
      <c r="T134" s="647"/>
      <c r="U134" s="647"/>
      <c r="V134" s="647"/>
      <c r="W134" s="647"/>
      <c r="X134" s="648"/>
      <c r="Y134" s="302"/>
      <c r="Z134" s="232"/>
    </row>
    <row r="135" spans="1:28" hidden="1" x14ac:dyDescent="0.35">
      <c r="B135" s="690"/>
      <c r="C135" s="691"/>
      <c r="D135" s="691"/>
      <c r="E135" s="692"/>
      <c r="F135" s="232" t="s">
        <v>240</v>
      </c>
      <c r="G135" s="318" t="s">
        <v>193</v>
      </c>
      <c r="H135" s="319">
        <v>1</v>
      </c>
      <c r="I135" s="320" t="s">
        <v>238</v>
      </c>
      <c r="J135" s="318"/>
      <c r="K135" s="501">
        <v>100</v>
      </c>
      <c r="L135" s="506"/>
      <c r="M135" s="373">
        <f>((M$126*N$126)/240*($H135/N135))</f>
        <v>6.2499999999999995E-3</v>
      </c>
      <c r="N135" s="235">
        <v>3</v>
      </c>
      <c r="O135" s="319"/>
      <c r="P135" s="492"/>
      <c r="Q135" s="492"/>
      <c r="R135" s="492"/>
      <c r="S135" s="646"/>
      <c r="T135" s="647"/>
      <c r="U135" s="647"/>
      <c r="V135" s="647"/>
      <c r="W135" s="647"/>
      <c r="X135" s="648"/>
      <c r="Y135" s="302"/>
      <c r="Z135" s="232"/>
    </row>
    <row r="136" spans="1:28" hidden="1" x14ac:dyDescent="0.35">
      <c r="B136" s="690"/>
      <c r="C136" s="691"/>
      <c r="D136" s="691"/>
      <c r="E136" s="692"/>
      <c r="F136" s="232" t="s">
        <v>241</v>
      </c>
      <c r="G136" s="318" t="s">
        <v>193</v>
      </c>
      <c r="H136" s="319">
        <v>2</v>
      </c>
      <c r="I136" s="320" t="s">
        <v>238</v>
      </c>
      <c r="J136" s="318"/>
      <c r="K136" s="501">
        <v>100</v>
      </c>
      <c r="L136" s="506"/>
      <c r="M136" s="373">
        <f>((M$126*N$126)/240*($H136/N136))</f>
        <v>1.2499999999999999E-2</v>
      </c>
      <c r="N136" s="235">
        <v>3</v>
      </c>
      <c r="O136" s="319"/>
      <c r="P136" s="492"/>
      <c r="Q136" s="492"/>
      <c r="R136" s="492"/>
      <c r="S136" s="646"/>
      <c r="T136" s="647"/>
      <c r="U136" s="647"/>
      <c r="V136" s="647"/>
      <c r="W136" s="647"/>
      <c r="X136" s="648"/>
      <c r="Y136" s="302"/>
      <c r="Z136" s="232"/>
    </row>
    <row r="137" spans="1:28" hidden="1" x14ac:dyDescent="0.35">
      <c r="B137" s="690"/>
      <c r="C137" s="691"/>
      <c r="D137" s="691"/>
      <c r="E137" s="692"/>
      <c r="F137" s="232" t="s">
        <v>242</v>
      </c>
      <c r="G137" s="318" t="s">
        <v>193</v>
      </c>
      <c r="H137" s="319">
        <v>1</v>
      </c>
      <c r="I137" s="320" t="s">
        <v>238</v>
      </c>
      <c r="J137" s="318"/>
      <c r="K137" s="501">
        <v>100</v>
      </c>
      <c r="L137" s="506"/>
      <c r="M137" s="373">
        <f>((M$126*N$126)/240*($H137/N137))</f>
        <v>6.2499999999999995E-3</v>
      </c>
      <c r="N137" s="235">
        <v>3</v>
      </c>
      <c r="O137" s="319"/>
      <c r="P137" s="492"/>
      <c r="Q137" s="492"/>
      <c r="R137" s="492"/>
      <c r="S137" s="646"/>
      <c r="T137" s="647"/>
      <c r="U137" s="647"/>
      <c r="V137" s="647"/>
      <c r="W137" s="647"/>
      <c r="X137" s="648"/>
      <c r="Y137" s="302"/>
      <c r="Z137" s="232"/>
    </row>
    <row r="138" spans="1:28" hidden="1" x14ac:dyDescent="0.35">
      <c r="B138" s="690"/>
      <c r="C138" s="691"/>
      <c r="D138" s="691"/>
      <c r="E138" s="692"/>
      <c r="F138" s="232"/>
      <c r="G138" s="318"/>
      <c r="H138" s="319"/>
      <c r="I138" s="320"/>
      <c r="J138" s="318"/>
      <c r="K138" s="501"/>
      <c r="L138" s="506"/>
      <c r="M138" s="233"/>
      <c r="N138" s="233"/>
      <c r="O138" s="319"/>
      <c r="P138" s="492"/>
      <c r="Q138" s="492"/>
      <c r="R138" s="492"/>
      <c r="S138" s="646"/>
      <c r="T138" s="647"/>
      <c r="U138" s="647"/>
      <c r="V138" s="647"/>
      <c r="W138" s="647"/>
      <c r="X138" s="648"/>
      <c r="Y138" s="302"/>
      <c r="Z138" s="232"/>
    </row>
    <row r="139" spans="1:28" s="375" customFormat="1" x14ac:dyDescent="0.35">
      <c r="A139" s="286"/>
      <c r="B139" s="602"/>
      <c r="C139" s="626" t="s">
        <v>509</v>
      </c>
      <c r="D139" s="626"/>
      <c r="E139" s="678"/>
      <c r="F139" s="374"/>
      <c r="G139" s="625"/>
      <c r="H139" s="602"/>
      <c r="I139" s="626"/>
      <c r="J139" s="625"/>
      <c r="K139" s="596"/>
      <c r="L139" s="496"/>
      <c r="M139" s="373"/>
      <c r="N139" s="373"/>
      <c r="O139" s="602"/>
      <c r="P139" s="628"/>
      <c r="Q139" s="628"/>
      <c r="R139" s="628"/>
      <c r="S139" s="649"/>
      <c r="T139" s="650"/>
      <c r="U139" s="650"/>
      <c r="V139" s="650"/>
      <c r="W139" s="650"/>
      <c r="X139" s="648"/>
      <c r="Y139" s="679"/>
      <c r="Z139" s="374"/>
      <c r="AA139" s="286"/>
      <c r="AB139" s="286"/>
    </row>
    <row r="140" spans="1:28" x14ac:dyDescent="0.35">
      <c r="B140" s="598"/>
      <c r="C140" s="599"/>
      <c r="D140" s="599" t="s">
        <v>510</v>
      </c>
      <c r="E140" s="600"/>
      <c r="F140" s="232" t="s">
        <v>187</v>
      </c>
      <c r="G140" s="318" t="s">
        <v>188</v>
      </c>
      <c r="H140" s="319"/>
      <c r="I140" s="320"/>
      <c r="J140" s="318"/>
      <c r="K140" s="501">
        <v>20</v>
      </c>
      <c r="L140" s="506"/>
      <c r="M140" s="373">
        <v>4</v>
      </c>
      <c r="N140" s="235">
        <v>1</v>
      </c>
      <c r="O140" s="319"/>
      <c r="P140" s="492"/>
      <c r="Q140" s="492"/>
      <c r="R140" s="492"/>
      <c r="S140" s="646"/>
      <c r="T140" s="647"/>
      <c r="U140" s="647"/>
      <c r="V140" s="647"/>
      <c r="W140" s="647"/>
      <c r="X140" s="648"/>
      <c r="Y140" s="302"/>
      <c r="Z140" s="232"/>
    </row>
    <row r="141" spans="1:28" hidden="1" x14ac:dyDescent="0.35">
      <c r="B141" s="603"/>
      <c r="E141" s="604"/>
      <c r="F141" s="232" t="s">
        <v>231</v>
      </c>
      <c r="G141" s="318" t="s">
        <v>232</v>
      </c>
      <c r="H141" s="319"/>
      <c r="I141" s="320"/>
      <c r="J141" s="318"/>
      <c r="K141" s="501">
        <v>20</v>
      </c>
      <c r="L141" s="506"/>
      <c r="M141" s="373">
        <v>4</v>
      </c>
      <c r="N141" s="235">
        <v>1</v>
      </c>
      <c r="O141" s="319"/>
      <c r="P141" s="492"/>
      <c r="Q141" s="492"/>
      <c r="R141" s="492"/>
      <c r="S141" s="646"/>
      <c r="T141" s="647"/>
      <c r="U141" s="647"/>
      <c r="V141" s="647"/>
      <c r="W141" s="647"/>
      <c r="X141" s="648"/>
      <c r="Y141" s="302"/>
      <c r="Z141" s="232"/>
    </row>
    <row r="142" spans="1:28" hidden="1" x14ac:dyDescent="0.35">
      <c r="B142" s="603"/>
      <c r="E142" s="604"/>
      <c r="F142" s="232" t="s">
        <v>235</v>
      </c>
      <c r="G142" s="318" t="s">
        <v>232</v>
      </c>
      <c r="H142" s="319"/>
      <c r="I142" s="320"/>
      <c r="J142" s="318"/>
      <c r="K142" s="501">
        <v>20</v>
      </c>
      <c r="L142" s="506"/>
      <c r="M142" s="373">
        <v>7.2000000000000008E-2</v>
      </c>
      <c r="N142" s="235">
        <v>1</v>
      </c>
      <c r="O142" s="319"/>
      <c r="P142" s="492"/>
      <c r="Q142" s="492"/>
      <c r="R142" s="492"/>
      <c r="S142" s="646"/>
      <c r="T142" s="647"/>
      <c r="U142" s="647"/>
      <c r="V142" s="647"/>
      <c r="W142" s="647"/>
      <c r="X142" s="648"/>
      <c r="Y142" s="302"/>
      <c r="Z142" s="232"/>
    </row>
    <row r="143" spans="1:28" hidden="1" x14ac:dyDescent="0.35">
      <c r="B143" s="603"/>
      <c r="E143" s="604"/>
      <c r="F143" s="232" t="s">
        <v>236</v>
      </c>
      <c r="G143" s="318" t="s">
        <v>188</v>
      </c>
      <c r="H143" s="319"/>
      <c r="I143" s="320"/>
      <c r="J143" s="318"/>
      <c r="K143" s="501">
        <v>20</v>
      </c>
      <c r="L143" s="506"/>
      <c r="M143" s="373">
        <v>4</v>
      </c>
      <c r="N143" s="235">
        <v>1</v>
      </c>
      <c r="O143" s="319"/>
      <c r="P143" s="492"/>
      <c r="Q143" s="492"/>
      <c r="R143" s="492"/>
      <c r="S143" s="646"/>
      <c r="T143" s="647"/>
      <c r="U143" s="647"/>
      <c r="V143" s="647"/>
      <c r="W143" s="647"/>
      <c r="X143" s="648"/>
      <c r="Y143" s="302"/>
      <c r="Z143" s="232"/>
    </row>
    <row r="144" spans="1:28" hidden="1" x14ac:dyDescent="0.35">
      <c r="B144" s="603"/>
      <c r="E144" s="604"/>
      <c r="F144" s="232" t="s">
        <v>230</v>
      </c>
      <c r="G144" s="318" t="s">
        <v>193</v>
      </c>
      <c r="H144" s="319"/>
      <c r="I144" s="320"/>
      <c r="J144" s="318"/>
      <c r="K144" s="501">
        <v>20</v>
      </c>
      <c r="L144" s="506"/>
      <c r="M144" s="373">
        <f>((4*1)/240)</f>
        <v>1.6666666666666666E-2</v>
      </c>
      <c r="N144" s="235">
        <v>1</v>
      </c>
      <c r="O144" s="319"/>
      <c r="P144" s="492"/>
      <c r="Q144" s="492"/>
      <c r="R144" s="492"/>
      <c r="S144" s="646"/>
      <c r="T144" s="647"/>
      <c r="U144" s="647"/>
      <c r="V144" s="647"/>
      <c r="W144" s="647"/>
      <c r="X144" s="648"/>
      <c r="Y144" s="302"/>
      <c r="Z144" s="232"/>
    </row>
    <row r="145" spans="2:26" hidden="1" x14ac:dyDescent="0.35">
      <c r="B145" s="603"/>
      <c r="E145" s="604"/>
      <c r="F145" s="232" t="s">
        <v>237</v>
      </c>
      <c r="G145" s="318" t="s">
        <v>193</v>
      </c>
      <c r="H145" s="319">
        <v>4</v>
      </c>
      <c r="I145" s="320" t="s">
        <v>238</v>
      </c>
      <c r="J145" s="318"/>
      <c r="K145" s="501">
        <v>20</v>
      </c>
      <c r="L145" s="506"/>
      <c r="M145" s="373">
        <f>((M$140*N$140)/240*($H145/N145))</f>
        <v>6.6666666666666666E-2</v>
      </c>
      <c r="N145" s="235">
        <v>1</v>
      </c>
      <c r="O145" s="319"/>
      <c r="P145" s="492"/>
      <c r="Q145" s="492"/>
      <c r="R145" s="492"/>
      <c r="S145" s="646"/>
      <c r="T145" s="647"/>
      <c r="U145" s="647"/>
      <c r="V145" s="647"/>
      <c r="W145" s="647"/>
      <c r="X145" s="648"/>
      <c r="Y145" s="302"/>
      <c r="Z145" s="232"/>
    </row>
    <row r="146" spans="2:26" hidden="1" x14ac:dyDescent="0.35">
      <c r="B146" s="603"/>
      <c r="E146" s="604"/>
      <c r="F146" s="232" t="s">
        <v>239</v>
      </c>
      <c r="G146" s="318" t="s">
        <v>193</v>
      </c>
      <c r="H146" s="319">
        <v>12</v>
      </c>
      <c r="I146" s="320" t="s">
        <v>238</v>
      </c>
      <c r="J146" s="318"/>
      <c r="K146" s="501">
        <v>20</v>
      </c>
      <c r="L146" s="506"/>
      <c r="M146" s="373">
        <f>((M$140*N$140)/240*($H146/N146))</f>
        <v>0.2</v>
      </c>
      <c r="N146" s="235">
        <v>1</v>
      </c>
      <c r="O146" s="319"/>
      <c r="P146" s="492"/>
      <c r="Q146" s="492"/>
      <c r="R146" s="492"/>
      <c r="S146" s="646"/>
      <c r="T146" s="647"/>
      <c r="U146" s="647"/>
      <c r="V146" s="647"/>
      <c r="W146" s="647"/>
      <c r="X146" s="648"/>
      <c r="Y146" s="302"/>
      <c r="Z146" s="232"/>
    </row>
    <row r="147" spans="2:26" hidden="1" x14ac:dyDescent="0.35">
      <c r="B147" s="603"/>
      <c r="E147" s="604"/>
      <c r="F147" s="232" t="s">
        <v>240</v>
      </c>
      <c r="G147" s="318" t="s">
        <v>193</v>
      </c>
      <c r="H147" s="319">
        <v>1</v>
      </c>
      <c r="I147" s="320" t="s">
        <v>238</v>
      </c>
      <c r="J147" s="318"/>
      <c r="K147" s="501">
        <v>20</v>
      </c>
      <c r="L147" s="506"/>
      <c r="M147" s="373">
        <f>((M$140*N$140)/240*($H147/N147))</f>
        <v>1.6666666666666666E-2</v>
      </c>
      <c r="N147" s="235">
        <v>1</v>
      </c>
      <c r="O147" s="319"/>
      <c r="P147" s="492"/>
      <c r="Q147" s="492"/>
      <c r="R147" s="492"/>
      <c r="S147" s="646"/>
      <c r="T147" s="647"/>
      <c r="U147" s="647"/>
      <c r="V147" s="647"/>
      <c r="W147" s="647"/>
      <c r="X147" s="648"/>
      <c r="Y147" s="302"/>
      <c r="Z147" s="232"/>
    </row>
    <row r="148" spans="2:26" hidden="1" x14ac:dyDescent="0.35">
      <c r="B148" s="603"/>
      <c r="E148" s="604"/>
      <c r="F148" s="232" t="s">
        <v>241</v>
      </c>
      <c r="G148" s="318" t="s">
        <v>193</v>
      </c>
      <c r="H148" s="319">
        <v>2</v>
      </c>
      <c r="I148" s="320" t="s">
        <v>238</v>
      </c>
      <c r="J148" s="318"/>
      <c r="K148" s="501">
        <v>20</v>
      </c>
      <c r="L148" s="506"/>
      <c r="M148" s="373">
        <f>((M$140*N$140)/240*($H148/N148))</f>
        <v>3.3333333333333333E-2</v>
      </c>
      <c r="N148" s="235">
        <v>1</v>
      </c>
      <c r="O148" s="319"/>
      <c r="P148" s="492"/>
      <c r="Q148" s="492"/>
      <c r="R148" s="492"/>
      <c r="S148" s="646"/>
      <c r="T148" s="647"/>
      <c r="U148" s="647"/>
      <c r="V148" s="647"/>
      <c r="W148" s="647"/>
      <c r="X148" s="648"/>
      <c r="Y148" s="302"/>
      <c r="Z148" s="232"/>
    </row>
    <row r="149" spans="2:26" hidden="1" x14ac:dyDescent="0.35">
      <c r="B149" s="603"/>
      <c r="E149" s="604"/>
      <c r="F149" s="232" t="s">
        <v>242</v>
      </c>
      <c r="G149" s="318" t="s">
        <v>193</v>
      </c>
      <c r="H149" s="319">
        <v>1</v>
      </c>
      <c r="I149" s="320" t="s">
        <v>238</v>
      </c>
      <c r="J149" s="318"/>
      <c r="K149" s="501">
        <v>20</v>
      </c>
      <c r="L149" s="506"/>
      <c r="M149" s="373">
        <f>((M$140*N$140)/240*($H149/N149))</f>
        <v>1.6666666666666666E-2</v>
      </c>
      <c r="N149" s="235">
        <v>1</v>
      </c>
      <c r="O149" s="319"/>
      <c r="P149" s="492"/>
      <c r="Q149" s="492"/>
      <c r="R149" s="492"/>
      <c r="S149" s="646"/>
      <c r="T149" s="647"/>
      <c r="U149" s="647"/>
      <c r="V149" s="647"/>
      <c r="W149" s="647"/>
      <c r="X149" s="648"/>
      <c r="Y149" s="302"/>
      <c r="Z149" s="232"/>
    </row>
    <row r="150" spans="2:26" x14ac:dyDescent="0.35">
      <c r="B150" s="603"/>
      <c r="D150" s="599" t="s">
        <v>89</v>
      </c>
      <c r="E150" s="600"/>
      <c r="F150" s="232" t="s">
        <v>187</v>
      </c>
      <c r="G150" s="318" t="s">
        <v>188</v>
      </c>
      <c r="H150" s="319"/>
      <c r="I150" s="320"/>
      <c r="J150" s="318"/>
      <c r="K150" s="420">
        <v>0.2</v>
      </c>
      <c r="L150" s="506">
        <v>192.08</v>
      </c>
      <c r="M150" s="423">
        <v>1.5</v>
      </c>
      <c r="N150" s="235">
        <v>2</v>
      </c>
      <c r="O150" s="507">
        <f t="shared" ref="O150:O169" si="22">K150*L150*M150*N150</f>
        <v>115.24800000000002</v>
      </c>
      <c r="P150" s="235">
        <v>140008</v>
      </c>
      <c r="Q150" s="492">
        <f t="shared" ref="Q150:Q169" si="23">P150*$O150</f>
        <v>16135641.984000003</v>
      </c>
      <c r="R150" s="372">
        <v>158800.57379999998</v>
      </c>
      <c r="S150" s="646">
        <f t="shared" ref="S150:S170" si="24">R150*$O150</f>
        <v>18301448.5293024</v>
      </c>
      <c r="T150" s="235">
        <v>163305.33120000002</v>
      </c>
      <c r="U150" s="647">
        <f t="shared" ref="U150:U169" si="25">$O150*T150</f>
        <v>18820612.810137603</v>
      </c>
      <c r="V150" s="235">
        <f t="shared" ref="V150:V169" si="26">W150/O150</f>
        <v>154037.96833333332</v>
      </c>
      <c r="W150" s="478">
        <f t="shared" ref="W150:W169" si="27">AVERAGEIF($P$3:$U$3,W$3,$P150:$U150)</f>
        <v>17752567.77448</v>
      </c>
      <c r="X150" s="648"/>
      <c r="Y150" s="302">
        <f>S150/$C$1</f>
        <v>95280.34427999999</v>
      </c>
      <c r="Z150" s="232"/>
    </row>
    <row r="151" spans="2:26" x14ac:dyDescent="0.35">
      <c r="B151" s="603"/>
      <c r="E151" s="604"/>
      <c r="F151" s="232" t="s">
        <v>231</v>
      </c>
      <c r="G151" s="318" t="s">
        <v>232</v>
      </c>
      <c r="H151" s="319"/>
      <c r="I151" s="320"/>
      <c r="J151" s="318"/>
      <c r="K151" s="420">
        <v>0.2</v>
      </c>
      <c r="L151" s="506">
        <v>192.08</v>
      </c>
      <c r="M151" s="240">
        <v>1.5</v>
      </c>
      <c r="N151" s="235">
        <v>2</v>
      </c>
      <c r="O151" s="507">
        <f t="shared" si="22"/>
        <v>115.24800000000002</v>
      </c>
      <c r="P151" s="235">
        <v>36352.800000000003</v>
      </c>
      <c r="Q151" s="492">
        <f t="shared" si="23"/>
        <v>4189587.4944000011</v>
      </c>
      <c r="R151" s="372">
        <v>37110.15</v>
      </c>
      <c r="S151" s="646">
        <f t="shared" si="24"/>
        <v>4276870.5672000013</v>
      </c>
      <c r="T151" s="235">
        <v>41620.320720000011</v>
      </c>
      <c r="U151" s="647">
        <f t="shared" si="25"/>
        <v>4796658.7223385619</v>
      </c>
      <c r="V151" s="235">
        <f t="shared" si="26"/>
        <v>38361.090240000005</v>
      </c>
      <c r="W151" s="478">
        <f t="shared" si="27"/>
        <v>4421038.9279795215</v>
      </c>
      <c r="X151" s="648"/>
      <c r="Y151" s="302">
        <f t="shared" ref="Y151:Y169" si="28">S151/$C$1</f>
        <v>22266.090000000004</v>
      </c>
      <c r="Z151" s="232"/>
    </row>
    <row r="152" spans="2:26" x14ac:dyDescent="0.35">
      <c r="B152" s="603"/>
      <c r="E152" s="604"/>
      <c r="F152" s="232" t="s">
        <v>235</v>
      </c>
      <c r="G152" s="318" t="s">
        <v>232</v>
      </c>
      <c r="H152" s="319"/>
      <c r="I152" s="320"/>
      <c r="J152" s="318"/>
      <c r="K152" s="420">
        <v>0.2</v>
      </c>
      <c r="L152" s="506">
        <v>192.08</v>
      </c>
      <c r="M152" s="373">
        <v>2.7E-2</v>
      </c>
      <c r="N152" s="235">
        <v>2</v>
      </c>
      <c r="O152" s="507">
        <f t="shared" si="22"/>
        <v>2.0744640000000003</v>
      </c>
      <c r="P152" s="235">
        <v>46267.199999999997</v>
      </c>
      <c r="Q152" s="492">
        <f t="shared" si="23"/>
        <v>95979.640780800008</v>
      </c>
      <c r="R152" s="372">
        <v>47231.1</v>
      </c>
      <c r="S152" s="646">
        <f t="shared" si="24"/>
        <v>97979.216630400013</v>
      </c>
      <c r="T152" s="235">
        <v>52971.317280000003</v>
      </c>
      <c r="U152" s="647">
        <f t="shared" si="25"/>
        <v>109887.09072993795</v>
      </c>
      <c r="V152" s="235">
        <f t="shared" si="26"/>
        <v>48823.205759999997</v>
      </c>
      <c r="W152" s="478">
        <f t="shared" si="27"/>
        <v>101281.98271371266</v>
      </c>
      <c r="X152" s="648"/>
      <c r="Y152" s="302">
        <f t="shared" si="28"/>
        <v>510.09588000000002</v>
      </c>
      <c r="Z152" s="232"/>
    </row>
    <row r="153" spans="2:26" x14ac:dyDescent="0.35">
      <c r="B153" s="603"/>
      <c r="E153" s="604"/>
      <c r="F153" s="232" t="s">
        <v>236</v>
      </c>
      <c r="G153" s="318" t="s">
        <v>188</v>
      </c>
      <c r="H153" s="319"/>
      <c r="I153" s="320"/>
      <c r="J153" s="318"/>
      <c r="K153" s="420">
        <v>0.2</v>
      </c>
      <c r="L153" s="506">
        <v>192.08</v>
      </c>
      <c r="M153" s="423">
        <v>1.5</v>
      </c>
      <c r="N153" s="235">
        <v>2</v>
      </c>
      <c r="O153" s="507">
        <f t="shared" si="22"/>
        <v>115.24800000000002</v>
      </c>
      <c r="P153" s="235">
        <v>3700</v>
      </c>
      <c r="Q153" s="492">
        <f t="shared" si="23"/>
        <v>426417.60000000009</v>
      </c>
      <c r="R153" s="372">
        <v>4196.6324999999997</v>
      </c>
      <c r="S153" s="646">
        <f t="shared" si="24"/>
        <v>483653.50236000004</v>
      </c>
      <c r="T153" s="235">
        <v>4490.6400000000003</v>
      </c>
      <c r="U153" s="647">
        <f t="shared" si="25"/>
        <v>517537.27872000012</v>
      </c>
      <c r="V153" s="235">
        <f t="shared" si="26"/>
        <v>4129.0908333333336</v>
      </c>
      <c r="W153" s="478">
        <f t="shared" si="27"/>
        <v>475869.46036000008</v>
      </c>
      <c r="X153" s="648"/>
      <c r="Y153" s="302">
        <f t="shared" si="28"/>
        <v>2517.9794999999999</v>
      </c>
      <c r="Z153" s="232"/>
    </row>
    <row r="154" spans="2:26" x14ac:dyDescent="0.35">
      <c r="B154" s="603"/>
      <c r="E154" s="604"/>
      <c r="F154" s="232" t="s">
        <v>230</v>
      </c>
      <c r="G154" s="318" t="s">
        <v>193</v>
      </c>
      <c r="H154" s="319"/>
      <c r="I154" s="320"/>
      <c r="J154" s="318"/>
      <c r="K154" s="420">
        <v>0.2</v>
      </c>
      <c r="L154" s="506">
        <v>192.08</v>
      </c>
      <c r="M154" s="377">
        <v>6.2500000000000003E-3</v>
      </c>
      <c r="N154" s="235">
        <v>2</v>
      </c>
      <c r="O154" s="507">
        <f t="shared" si="22"/>
        <v>0.48020000000000007</v>
      </c>
      <c r="P154" s="235">
        <v>1366468.5</v>
      </c>
      <c r="Q154" s="492">
        <f t="shared" si="23"/>
        <v>656178.17370000004</v>
      </c>
      <c r="R154" s="372">
        <v>1506531.5212500002</v>
      </c>
      <c r="S154" s="646">
        <f t="shared" si="24"/>
        <v>723436.43650425016</v>
      </c>
      <c r="T154" s="235">
        <v>1593848.8584</v>
      </c>
      <c r="U154" s="647">
        <f t="shared" si="25"/>
        <v>765366.22180368018</v>
      </c>
      <c r="V154" s="235">
        <f t="shared" si="26"/>
        <v>1488949.6265499999</v>
      </c>
      <c r="W154" s="478">
        <f t="shared" si="27"/>
        <v>714993.61066931009</v>
      </c>
      <c r="X154" s="648"/>
      <c r="Y154" s="302">
        <f t="shared" si="28"/>
        <v>3766.3288031250004</v>
      </c>
      <c r="Z154" s="232"/>
    </row>
    <row r="155" spans="2:26" x14ac:dyDescent="0.35">
      <c r="B155" s="603"/>
      <c r="E155" s="604"/>
      <c r="F155" s="232" t="s">
        <v>237</v>
      </c>
      <c r="G155" s="318" t="s">
        <v>193</v>
      </c>
      <c r="H155" s="319">
        <v>4</v>
      </c>
      <c r="I155" s="320" t="s">
        <v>238</v>
      </c>
      <c r="J155" s="318"/>
      <c r="K155" s="420">
        <v>0.2</v>
      </c>
      <c r="L155" s="506">
        <v>192.08</v>
      </c>
      <c r="M155" s="377">
        <f>((M$150*N$150)/240*($H155/N155))</f>
        <v>2.5000000000000001E-2</v>
      </c>
      <c r="N155" s="235">
        <v>2</v>
      </c>
      <c r="O155" s="507">
        <f t="shared" si="22"/>
        <v>1.9208000000000003</v>
      </c>
      <c r="P155" s="235">
        <v>42840</v>
      </c>
      <c r="Q155" s="492">
        <f t="shared" si="23"/>
        <v>82287.072000000015</v>
      </c>
      <c r="R155" s="372">
        <v>47231.1</v>
      </c>
      <c r="S155" s="646">
        <f t="shared" si="24"/>
        <v>90721.496880000006</v>
      </c>
      <c r="T155" s="235">
        <v>49968.576000000008</v>
      </c>
      <c r="U155" s="647">
        <f t="shared" si="25"/>
        <v>95979.640780800037</v>
      </c>
      <c r="V155" s="235">
        <f t="shared" si="26"/>
        <v>46679.892</v>
      </c>
      <c r="W155" s="478">
        <f t="shared" si="27"/>
        <v>89662.736553600014</v>
      </c>
      <c r="X155" s="648"/>
      <c r="Y155" s="302">
        <f t="shared" si="28"/>
        <v>472.31099999999998</v>
      </c>
      <c r="Z155" s="232"/>
    </row>
    <row r="156" spans="2:26" x14ac:dyDescent="0.35">
      <c r="B156" s="603"/>
      <c r="E156" s="604"/>
      <c r="F156" s="232" t="s">
        <v>239</v>
      </c>
      <c r="G156" s="318" t="s">
        <v>193</v>
      </c>
      <c r="H156" s="319">
        <v>12</v>
      </c>
      <c r="I156" s="320" t="s">
        <v>238</v>
      </c>
      <c r="J156" s="318"/>
      <c r="K156" s="420">
        <v>0.2</v>
      </c>
      <c r="L156" s="506">
        <v>192.08</v>
      </c>
      <c r="M156" s="377">
        <f>((M$150*N$150)/240*($H156/N156))</f>
        <v>7.5000000000000011E-2</v>
      </c>
      <c r="N156" s="235">
        <v>2</v>
      </c>
      <c r="O156" s="507">
        <f t="shared" si="22"/>
        <v>5.7624000000000013</v>
      </c>
      <c r="P156" s="235">
        <v>14000</v>
      </c>
      <c r="Q156" s="492">
        <f t="shared" si="23"/>
        <v>80673.60000000002</v>
      </c>
      <c r="R156" s="372">
        <v>15435</v>
      </c>
      <c r="S156" s="646">
        <f t="shared" si="24"/>
        <v>88942.644000000015</v>
      </c>
      <c r="T156" s="235">
        <v>16329.600000000002</v>
      </c>
      <c r="U156" s="647">
        <f t="shared" si="25"/>
        <v>94097.687040000033</v>
      </c>
      <c r="V156" s="235">
        <f t="shared" si="26"/>
        <v>15254.866666666667</v>
      </c>
      <c r="W156" s="478">
        <f t="shared" si="27"/>
        <v>87904.643680000023</v>
      </c>
      <c r="X156" s="648"/>
      <c r="Y156" s="302">
        <f t="shared" si="28"/>
        <v>463.05000000000007</v>
      </c>
      <c r="Z156" s="232"/>
    </row>
    <row r="157" spans="2:26" x14ac:dyDescent="0.35">
      <c r="B157" s="603"/>
      <c r="E157" s="604"/>
      <c r="F157" s="232" t="s">
        <v>240</v>
      </c>
      <c r="G157" s="318" t="s">
        <v>193</v>
      </c>
      <c r="H157" s="319">
        <v>1</v>
      </c>
      <c r="I157" s="320" t="s">
        <v>238</v>
      </c>
      <c r="J157" s="318"/>
      <c r="K157" s="420">
        <v>0.2</v>
      </c>
      <c r="L157" s="506">
        <v>192.08</v>
      </c>
      <c r="M157" s="377">
        <f>((M$150*N$150)/240*($H157/N157))</f>
        <v>6.2500000000000003E-3</v>
      </c>
      <c r="N157" s="235">
        <v>2</v>
      </c>
      <c r="O157" s="507">
        <f t="shared" si="22"/>
        <v>0.48020000000000007</v>
      </c>
      <c r="P157" s="235">
        <v>37485</v>
      </c>
      <c r="Q157" s="492">
        <f t="shared" si="23"/>
        <v>18000.297000000002</v>
      </c>
      <c r="R157" s="372">
        <v>41327.212500000001</v>
      </c>
      <c r="S157" s="646">
        <f t="shared" si="24"/>
        <v>19845.327442500005</v>
      </c>
      <c r="T157" s="235">
        <v>43722.504000000008</v>
      </c>
      <c r="U157" s="647">
        <f t="shared" si="25"/>
        <v>20995.546420800008</v>
      </c>
      <c r="V157" s="235">
        <f t="shared" si="26"/>
        <v>40844.905500000001</v>
      </c>
      <c r="W157" s="478">
        <f t="shared" si="27"/>
        <v>19613.723621100002</v>
      </c>
      <c r="X157" s="648"/>
      <c r="Y157" s="302">
        <f t="shared" si="28"/>
        <v>103.31803125000002</v>
      </c>
      <c r="Z157" s="232"/>
    </row>
    <row r="158" spans="2:26" x14ac:dyDescent="0.35">
      <c r="B158" s="603"/>
      <c r="C158" s="94" t="s">
        <v>511</v>
      </c>
      <c r="E158" s="604"/>
      <c r="F158" s="232" t="s">
        <v>241</v>
      </c>
      <c r="G158" s="318" t="s">
        <v>193</v>
      </c>
      <c r="H158" s="319">
        <v>2</v>
      </c>
      <c r="I158" s="320" t="s">
        <v>238</v>
      </c>
      <c r="J158" s="318"/>
      <c r="K158" s="420">
        <v>0.2</v>
      </c>
      <c r="L158" s="506">
        <v>192.08</v>
      </c>
      <c r="M158" s="377">
        <f>((M$150*N$150)/240*($H158/N158))</f>
        <v>1.2500000000000001E-2</v>
      </c>
      <c r="N158" s="235">
        <v>2</v>
      </c>
      <c r="O158" s="507">
        <f t="shared" si="22"/>
        <v>0.96040000000000014</v>
      </c>
      <c r="P158" s="235">
        <v>32130</v>
      </c>
      <c r="Q158" s="492">
        <f t="shared" si="23"/>
        <v>30857.652000000006</v>
      </c>
      <c r="R158" s="372">
        <v>35423.325000000004</v>
      </c>
      <c r="S158" s="646">
        <f t="shared" si="24"/>
        <v>34020.561330000011</v>
      </c>
      <c r="T158" s="235">
        <v>37476.432000000001</v>
      </c>
      <c r="U158" s="647">
        <f t="shared" si="25"/>
        <v>35992.365292800008</v>
      </c>
      <c r="V158" s="235">
        <f t="shared" si="26"/>
        <v>35009.919000000002</v>
      </c>
      <c r="W158" s="478">
        <f t="shared" si="27"/>
        <v>33623.526207600007</v>
      </c>
      <c r="X158" s="648"/>
      <c r="Y158" s="302">
        <f t="shared" si="28"/>
        <v>177.11662500000006</v>
      </c>
      <c r="Z158" s="232"/>
    </row>
    <row r="159" spans="2:26" x14ac:dyDescent="0.35">
      <c r="B159" s="603"/>
      <c r="E159" s="604"/>
      <c r="F159" s="232" t="s">
        <v>242</v>
      </c>
      <c r="G159" s="318" t="s">
        <v>193</v>
      </c>
      <c r="H159" s="319">
        <v>1</v>
      </c>
      <c r="I159" s="320" t="s">
        <v>238</v>
      </c>
      <c r="J159" s="318"/>
      <c r="K159" s="420">
        <v>0.2</v>
      </c>
      <c r="L159" s="506">
        <v>192.08</v>
      </c>
      <c r="M159" s="377">
        <f>((M$150*N$150)/240*($H159/N159))</f>
        <v>6.2500000000000003E-3</v>
      </c>
      <c r="N159" s="235">
        <v>2</v>
      </c>
      <c r="O159" s="507">
        <f t="shared" si="22"/>
        <v>0.48020000000000007</v>
      </c>
      <c r="P159" s="235">
        <v>85680</v>
      </c>
      <c r="Q159" s="492">
        <f t="shared" si="23"/>
        <v>41143.536000000007</v>
      </c>
      <c r="R159" s="372">
        <v>94462.2</v>
      </c>
      <c r="S159" s="646">
        <f t="shared" si="24"/>
        <v>45360.748440000003</v>
      </c>
      <c r="T159" s="235">
        <v>99937.152000000016</v>
      </c>
      <c r="U159" s="647">
        <f t="shared" si="25"/>
        <v>47989.820390400018</v>
      </c>
      <c r="V159" s="235">
        <f t="shared" si="26"/>
        <v>93359.784</v>
      </c>
      <c r="W159" s="478">
        <f t="shared" si="27"/>
        <v>44831.368276800007</v>
      </c>
      <c r="X159" s="648"/>
      <c r="Y159" s="302">
        <f t="shared" si="28"/>
        <v>236.15549999999999</v>
      </c>
      <c r="Z159" s="232"/>
    </row>
    <row r="160" spans="2:26" x14ac:dyDescent="0.35">
      <c r="B160" s="603"/>
      <c r="D160" s="599" t="s">
        <v>91</v>
      </c>
      <c r="E160" s="600"/>
      <c r="F160" s="232" t="s">
        <v>187</v>
      </c>
      <c r="G160" s="318" t="s">
        <v>188</v>
      </c>
      <c r="H160" s="319"/>
      <c r="I160" s="320"/>
      <c r="J160" s="318" t="s">
        <v>189</v>
      </c>
      <c r="K160" s="420">
        <v>1</v>
      </c>
      <c r="L160" s="506">
        <v>192.08</v>
      </c>
      <c r="M160" s="423">
        <v>0.3</v>
      </c>
      <c r="N160" s="235">
        <v>4</v>
      </c>
      <c r="O160" s="507">
        <f t="shared" si="22"/>
        <v>230.49600000000001</v>
      </c>
      <c r="P160" s="235">
        <v>140008</v>
      </c>
      <c r="Q160" s="492">
        <f t="shared" si="23"/>
        <v>32271283.968000002</v>
      </c>
      <c r="R160" s="372">
        <v>158800.57379999998</v>
      </c>
      <c r="S160" s="646">
        <f t="shared" si="24"/>
        <v>36602897.058604799</v>
      </c>
      <c r="T160" s="235">
        <v>163305.33120000002</v>
      </c>
      <c r="U160" s="647">
        <f t="shared" si="25"/>
        <v>37641225.620275207</v>
      </c>
      <c r="V160" s="235">
        <f t="shared" si="26"/>
        <v>154037.96833333332</v>
      </c>
      <c r="W160" s="478">
        <f t="shared" si="27"/>
        <v>35505135.54896</v>
      </c>
      <c r="X160" s="648"/>
      <c r="Y160" s="302">
        <f t="shared" si="28"/>
        <v>190560.68855999998</v>
      </c>
      <c r="Z160" s="232"/>
    </row>
    <row r="161" spans="2:26" x14ac:dyDescent="0.35">
      <c r="B161" s="603"/>
      <c r="E161" s="604"/>
      <c r="F161" s="232" t="s">
        <v>231</v>
      </c>
      <c r="G161" s="318" t="s">
        <v>232</v>
      </c>
      <c r="H161" s="319"/>
      <c r="I161" s="320"/>
      <c r="J161" s="318" t="s">
        <v>189</v>
      </c>
      <c r="K161" s="420">
        <v>1</v>
      </c>
      <c r="L161" s="506">
        <v>192.08</v>
      </c>
      <c r="M161" s="373">
        <v>0.25</v>
      </c>
      <c r="N161" s="235">
        <v>4</v>
      </c>
      <c r="O161" s="507">
        <f t="shared" si="22"/>
        <v>192.08</v>
      </c>
      <c r="P161" s="235">
        <v>36352.800000000003</v>
      </c>
      <c r="Q161" s="492">
        <f t="shared" si="23"/>
        <v>6982645.824000001</v>
      </c>
      <c r="R161" s="372">
        <v>37110.15</v>
      </c>
      <c r="S161" s="646">
        <f t="shared" si="24"/>
        <v>7128117.6120000007</v>
      </c>
      <c r="T161" s="235">
        <v>41620.320720000011</v>
      </c>
      <c r="U161" s="647">
        <f t="shared" si="25"/>
        <v>7994431.2038976029</v>
      </c>
      <c r="V161" s="235">
        <f t="shared" si="26"/>
        <v>38361.090240000005</v>
      </c>
      <c r="W161" s="478">
        <f t="shared" si="27"/>
        <v>7368398.2132992009</v>
      </c>
      <c r="X161" s="648"/>
      <c r="Y161" s="302">
        <f t="shared" si="28"/>
        <v>37110.15</v>
      </c>
      <c r="Z161" s="232"/>
    </row>
    <row r="162" spans="2:26" x14ac:dyDescent="0.35">
      <c r="B162" s="603"/>
      <c r="E162" s="604"/>
      <c r="F162" s="232" t="s">
        <v>236</v>
      </c>
      <c r="G162" s="318" t="s">
        <v>188</v>
      </c>
      <c r="H162" s="319"/>
      <c r="I162" s="320"/>
      <c r="J162" s="318" t="s">
        <v>189</v>
      </c>
      <c r="K162" s="420">
        <v>1</v>
      </c>
      <c r="L162" s="506">
        <v>192.08</v>
      </c>
      <c r="M162" s="423">
        <v>0.3</v>
      </c>
      <c r="N162" s="235">
        <v>4</v>
      </c>
      <c r="O162" s="507">
        <f t="shared" si="22"/>
        <v>230.49600000000001</v>
      </c>
      <c r="P162" s="235">
        <v>3700</v>
      </c>
      <c r="Q162" s="492">
        <f t="shared" si="23"/>
        <v>852835.20000000007</v>
      </c>
      <c r="R162" s="372">
        <v>4196.6324999999997</v>
      </c>
      <c r="S162" s="646">
        <f t="shared" si="24"/>
        <v>967307.00471999997</v>
      </c>
      <c r="T162" s="235">
        <v>4490.6400000000003</v>
      </c>
      <c r="U162" s="647">
        <f t="shared" si="25"/>
        <v>1035074.5574400001</v>
      </c>
      <c r="V162" s="235">
        <f t="shared" si="26"/>
        <v>4129.0908333333336</v>
      </c>
      <c r="W162" s="478">
        <f t="shared" si="27"/>
        <v>951738.92072000017</v>
      </c>
      <c r="X162" s="648"/>
      <c r="Y162" s="302">
        <f t="shared" si="28"/>
        <v>5035.9589999999998</v>
      </c>
      <c r="Z162" s="232"/>
    </row>
    <row r="163" spans="2:26" x14ac:dyDescent="0.35">
      <c r="B163" s="603"/>
      <c r="E163" s="604"/>
      <c r="F163" s="232" t="s">
        <v>405</v>
      </c>
      <c r="G163" s="318" t="s">
        <v>193</v>
      </c>
      <c r="H163" s="319">
        <v>1</v>
      </c>
      <c r="I163" s="320"/>
      <c r="J163" s="318" t="s">
        <v>189</v>
      </c>
      <c r="K163" s="420">
        <v>1</v>
      </c>
      <c r="L163" s="506">
        <v>192.08</v>
      </c>
      <c r="M163" s="377">
        <f t="shared" ref="M163:M169" si="29">((M$160*N$160)/240*($H163/N163))</f>
        <v>1.25E-3</v>
      </c>
      <c r="N163" s="235">
        <v>4</v>
      </c>
      <c r="O163" s="507">
        <f t="shared" si="22"/>
        <v>0.96040000000000003</v>
      </c>
      <c r="P163" s="235">
        <v>7675.5</v>
      </c>
      <c r="Q163" s="492">
        <f t="shared" si="23"/>
        <v>7371.5502000000006</v>
      </c>
      <c r="R163" s="372">
        <v>8462.2387500000004</v>
      </c>
      <c r="S163" s="646">
        <f t="shared" si="24"/>
        <v>8127.1340955000005</v>
      </c>
      <c r="T163" s="235">
        <v>8952.7032000000017</v>
      </c>
      <c r="U163" s="647">
        <f t="shared" si="25"/>
        <v>8598.1761532800028</v>
      </c>
      <c r="V163" s="235">
        <f t="shared" si="26"/>
        <v>8363.4806500000013</v>
      </c>
      <c r="W163" s="478">
        <f t="shared" si="27"/>
        <v>8032.2868162600016</v>
      </c>
      <c r="X163" s="648"/>
      <c r="Y163" s="302">
        <f t="shared" si="28"/>
        <v>42.311193750000001</v>
      </c>
      <c r="Z163" s="232"/>
    </row>
    <row r="164" spans="2:26" x14ac:dyDescent="0.35">
      <c r="B164" s="603"/>
      <c r="E164" s="604"/>
      <c r="F164" s="232" t="s">
        <v>230</v>
      </c>
      <c r="G164" s="318" t="s">
        <v>193</v>
      </c>
      <c r="H164" s="319"/>
      <c r="I164" s="320"/>
      <c r="J164" s="318"/>
      <c r="K164" s="420">
        <v>1</v>
      </c>
      <c r="L164" s="506">
        <v>192.08</v>
      </c>
      <c r="M164" s="377">
        <v>6.2500000000000003E-3</v>
      </c>
      <c r="N164" s="235">
        <v>2</v>
      </c>
      <c r="O164" s="507">
        <f t="shared" si="22"/>
        <v>2.4010000000000002</v>
      </c>
      <c r="P164" s="235">
        <v>1366468.5</v>
      </c>
      <c r="Q164" s="492">
        <f t="shared" si="23"/>
        <v>3280890.8685000003</v>
      </c>
      <c r="R164" s="372">
        <v>1506531.5212500002</v>
      </c>
      <c r="S164" s="646">
        <f t="shared" si="24"/>
        <v>3617182.182521251</v>
      </c>
      <c r="T164" s="235">
        <v>1593848.8584</v>
      </c>
      <c r="U164" s="647">
        <f t="shared" si="25"/>
        <v>3826831.1090184003</v>
      </c>
      <c r="V164" s="235">
        <f t="shared" si="26"/>
        <v>1488949.6265500002</v>
      </c>
      <c r="W164" s="478">
        <f t="shared" si="27"/>
        <v>3574968.0533465506</v>
      </c>
      <c r="X164" s="648"/>
      <c r="Y164" s="302">
        <f t="shared" si="28"/>
        <v>18831.644015625003</v>
      </c>
      <c r="Z164" s="232"/>
    </row>
    <row r="165" spans="2:26" x14ac:dyDescent="0.35">
      <c r="B165" s="603"/>
      <c r="E165" s="604"/>
      <c r="F165" s="232" t="s">
        <v>237</v>
      </c>
      <c r="G165" s="318" t="s">
        <v>193</v>
      </c>
      <c r="H165" s="319">
        <v>4</v>
      </c>
      <c r="I165" s="320" t="s">
        <v>238</v>
      </c>
      <c r="J165" s="318" t="s">
        <v>189</v>
      </c>
      <c r="K165" s="420">
        <v>1</v>
      </c>
      <c r="L165" s="506">
        <v>192.08</v>
      </c>
      <c r="M165" s="377">
        <f t="shared" si="29"/>
        <v>5.0000000000000001E-3</v>
      </c>
      <c r="N165" s="235">
        <v>4</v>
      </c>
      <c r="O165" s="507">
        <f t="shared" si="22"/>
        <v>3.8416000000000001</v>
      </c>
      <c r="P165" s="235">
        <v>42840</v>
      </c>
      <c r="Q165" s="492">
        <f t="shared" si="23"/>
        <v>164574.144</v>
      </c>
      <c r="R165" s="372">
        <v>47231.1</v>
      </c>
      <c r="S165" s="646">
        <f t="shared" si="24"/>
        <v>181442.99376000001</v>
      </c>
      <c r="T165" s="235">
        <v>49968.576000000008</v>
      </c>
      <c r="U165" s="647">
        <f t="shared" si="25"/>
        <v>191959.28156160004</v>
      </c>
      <c r="V165" s="235">
        <f t="shared" si="26"/>
        <v>46679.892000000007</v>
      </c>
      <c r="W165" s="478">
        <f t="shared" si="27"/>
        <v>179325.47310720003</v>
      </c>
      <c r="X165" s="648"/>
      <c r="Y165" s="302">
        <f t="shared" si="28"/>
        <v>944.62199999999996</v>
      </c>
      <c r="Z165" s="232"/>
    </row>
    <row r="166" spans="2:26" x14ac:dyDescent="0.35">
      <c r="B166" s="603"/>
      <c r="E166" s="604"/>
      <c r="F166" s="232" t="s">
        <v>239</v>
      </c>
      <c r="G166" s="318" t="s">
        <v>193</v>
      </c>
      <c r="H166" s="319">
        <v>12</v>
      </c>
      <c r="I166" s="320" t="s">
        <v>238</v>
      </c>
      <c r="J166" s="318" t="s">
        <v>189</v>
      </c>
      <c r="K166" s="420">
        <v>1</v>
      </c>
      <c r="L166" s="506">
        <v>192.08</v>
      </c>
      <c r="M166" s="377">
        <f t="shared" si="29"/>
        <v>1.4999999999999999E-2</v>
      </c>
      <c r="N166" s="235">
        <v>4</v>
      </c>
      <c r="O166" s="507">
        <f t="shared" si="22"/>
        <v>11.524800000000001</v>
      </c>
      <c r="P166" s="235">
        <v>14000</v>
      </c>
      <c r="Q166" s="492">
        <f t="shared" si="23"/>
        <v>161347.20000000001</v>
      </c>
      <c r="R166" s="372">
        <v>15435</v>
      </c>
      <c r="S166" s="646">
        <f t="shared" si="24"/>
        <v>177885.288</v>
      </c>
      <c r="T166" s="235">
        <v>16329.600000000002</v>
      </c>
      <c r="U166" s="647">
        <f t="shared" si="25"/>
        <v>188195.37408000004</v>
      </c>
      <c r="V166" s="235">
        <f t="shared" si="26"/>
        <v>15254.86666666667</v>
      </c>
      <c r="W166" s="478">
        <f t="shared" si="27"/>
        <v>175809.28736000005</v>
      </c>
      <c r="X166" s="648"/>
      <c r="Y166" s="302">
        <f t="shared" si="28"/>
        <v>926.09999999999991</v>
      </c>
      <c r="Z166" s="232"/>
    </row>
    <row r="167" spans="2:26" x14ac:dyDescent="0.35">
      <c r="B167" s="603"/>
      <c r="E167" s="604"/>
      <c r="F167" s="232" t="s">
        <v>240</v>
      </c>
      <c r="G167" s="318" t="s">
        <v>193</v>
      </c>
      <c r="H167" s="319">
        <v>1</v>
      </c>
      <c r="I167" s="320" t="s">
        <v>238</v>
      </c>
      <c r="J167" s="318" t="s">
        <v>189</v>
      </c>
      <c r="K167" s="420">
        <v>1</v>
      </c>
      <c r="L167" s="506">
        <v>192.08</v>
      </c>
      <c r="M167" s="377">
        <f t="shared" si="29"/>
        <v>1.25E-3</v>
      </c>
      <c r="N167" s="235">
        <v>4</v>
      </c>
      <c r="O167" s="507">
        <f t="shared" si="22"/>
        <v>0.96040000000000003</v>
      </c>
      <c r="P167" s="235">
        <v>37485</v>
      </c>
      <c r="Q167" s="492">
        <f t="shared" si="23"/>
        <v>36000.594000000005</v>
      </c>
      <c r="R167" s="372">
        <v>41327.212500000001</v>
      </c>
      <c r="S167" s="646">
        <f t="shared" si="24"/>
        <v>39690.654885000004</v>
      </c>
      <c r="T167" s="235">
        <v>43722.504000000008</v>
      </c>
      <c r="U167" s="647">
        <f t="shared" si="25"/>
        <v>41991.09284160001</v>
      </c>
      <c r="V167" s="235">
        <f t="shared" si="26"/>
        <v>40844.905500000001</v>
      </c>
      <c r="W167" s="478">
        <f t="shared" si="27"/>
        <v>39227.447242200004</v>
      </c>
      <c r="X167" s="648"/>
      <c r="Y167" s="302">
        <f t="shared" si="28"/>
        <v>206.63606250000001</v>
      </c>
      <c r="Z167" s="232"/>
    </row>
    <row r="168" spans="2:26" x14ac:dyDescent="0.35">
      <c r="B168" s="603"/>
      <c r="E168" s="604"/>
      <c r="F168" s="232" t="s">
        <v>241</v>
      </c>
      <c r="G168" s="318" t="s">
        <v>193</v>
      </c>
      <c r="H168" s="319">
        <v>2</v>
      </c>
      <c r="I168" s="320" t="s">
        <v>238</v>
      </c>
      <c r="J168" s="318" t="s">
        <v>189</v>
      </c>
      <c r="K168" s="420">
        <v>1</v>
      </c>
      <c r="L168" s="506">
        <v>192.08</v>
      </c>
      <c r="M168" s="377">
        <f t="shared" si="29"/>
        <v>2.5000000000000001E-3</v>
      </c>
      <c r="N168" s="235">
        <v>4</v>
      </c>
      <c r="O168" s="507">
        <f t="shared" si="22"/>
        <v>1.9208000000000001</v>
      </c>
      <c r="P168" s="235">
        <v>32130</v>
      </c>
      <c r="Q168" s="492">
        <f t="shared" si="23"/>
        <v>61715.304000000004</v>
      </c>
      <c r="R168" s="372">
        <v>35423.325000000004</v>
      </c>
      <c r="S168" s="646">
        <f t="shared" si="24"/>
        <v>68041.122660000008</v>
      </c>
      <c r="T168" s="235">
        <v>37476.432000000001</v>
      </c>
      <c r="U168" s="647">
        <f t="shared" si="25"/>
        <v>71984.730585600002</v>
      </c>
      <c r="V168" s="235">
        <f t="shared" si="26"/>
        <v>35009.919000000002</v>
      </c>
      <c r="W168" s="478">
        <f t="shared" si="27"/>
        <v>67247.0524152</v>
      </c>
      <c r="X168" s="648"/>
      <c r="Y168" s="302">
        <f t="shared" si="28"/>
        <v>354.23325</v>
      </c>
      <c r="Z168" s="232"/>
    </row>
    <row r="169" spans="2:26" x14ac:dyDescent="0.35">
      <c r="B169" s="603"/>
      <c r="E169" s="604"/>
      <c r="F169" s="232" t="s">
        <v>242</v>
      </c>
      <c r="G169" s="318" t="s">
        <v>193</v>
      </c>
      <c r="H169" s="319">
        <v>1</v>
      </c>
      <c r="I169" s="320" t="s">
        <v>238</v>
      </c>
      <c r="J169" s="318" t="s">
        <v>189</v>
      </c>
      <c r="K169" s="420">
        <v>1</v>
      </c>
      <c r="L169" s="506">
        <v>192.08</v>
      </c>
      <c r="M169" s="377">
        <f t="shared" si="29"/>
        <v>1.25E-3</v>
      </c>
      <c r="N169" s="235">
        <v>4</v>
      </c>
      <c r="O169" s="507">
        <f t="shared" si="22"/>
        <v>0.96040000000000003</v>
      </c>
      <c r="P169" s="235">
        <v>85680</v>
      </c>
      <c r="Q169" s="492">
        <f t="shared" si="23"/>
        <v>82287.072</v>
      </c>
      <c r="R169" s="372">
        <v>94462.2</v>
      </c>
      <c r="S169" s="646">
        <f t="shared" si="24"/>
        <v>90721.496880000006</v>
      </c>
      <c r="T169" s="235">
        <v>99937.152000000016</v>
      </c>
      <c r="U169" s="647">
        <f t="shared" si="25"/>
        <v>95979.640780800022</v>
      </c>
      <c r="V169" s="235">
        <f t="shared" si="26"/>
        <v>93359.784000000014</v>
      </c>
      <c r="W169" s="478">
        <f t="shared" si="27"/>
        <v>89662.736553600014</v>
      </c>
      <c r="X169" s="648"/>
      <c r="Y169" s="302">
        <f t="shared" si="28"/>
        <v>472.31099999999998</v>
      </c>
      <c r="Z169" s="232"/>
    </row>
    <row r="170" spans="2:26" x14ac:dyDescent="0.35">
      <c r="B170" s="603"/>
      <c r="C170" s="599" t="s">
        <v>93</v>
      </c>
      <c r="D170" s="599"/>
      <c r="E170" s="600"/>
      <c r="F170" s="232" t="s">
        <v>187</v>
      </c>
      <c r="G170" s="318" t="s">
        <v>188</v>
      </c>
      <c r="H170" s="319"/>
      <c r="I170" s="320"/>
      <c r="J170" s="318"/>
      <c r="K170" s="420">
        <v>1</v>
      </c>
      <c r="L170" s="506"/>
      <c r="M170" s="373">
        <v>0.73</v>
      </c>
      <c r="N170" s="235">
        <v>1</v>
      </c>
      <c r="O170" s="507">
        <f>K170*L170*M170*N170</f>
        <v>0</v>
      </c>
      <c r="P170" s="235">
        <v>140008</v>
      </c>
      <c r="Q170" s="492">
        <f>P170*$O170</f>
        <v>0</v>
      </c>
      <c r="R170" s="235">
        <v>149108.51999999999</v>
      </c>
      <c r="S170" s="646">
        <f t="shared" si="24"/>
        <v>0</v>
      </c>
      <c r="T170" s="647"/>
      <c r="U170" s="647"/>
      <c r="V170" s="647"/>
      <c r="W170" s="647"/>
      <c r="X170" s="648">
        <f>S170/12</f>
        <v>0</v>
      </c>
      <c r="Y170" s="302">
        <f t="shared" ref="Y170:Y171" si="30">S170/192.08</f>
        <v>0</v>
      </c>
      <c r="Z170" s="232"/>
    </row>
    <row r="171" spans="2:26" hidden="1" x14ac:dyDescent="0.35">
      <c r="B171" s="603"/>
      <c r="E171" s="604"/>
      <c r="F171" s="232" t="s">
        <v>365</v>
      </c>
      <c r="G171" s="318" t="s">
        <v>205</v>
      </c>
      <c r="H171" s="319"/>
      <c r="I171" s="320"/>
      <c r="J171" s="318"/>
      <c r="K171" s="501">
        <v>50</v>
      </c>
      <c r="L171" s="506"/>
      <c r="M171" s="373">
        <v>3.36</v>
      </c>
      <c r="N171" s="235">
        <v>1</v>
      </c>
      <c r="O171" s="319"/>
      <c r="P171" s="492"/>
      <c r="Q171" s="492"/>
      <c r="R171" s="492"/>
      <c r="S171" s="646"/>
      <c r="T171" s="647"/>
      <c r="U171" s="647"/>
      <c r="V171" s="647"/>
      <c r="W171" s="647"/>
      <c r="X171" s="648"/>
      <c r="Y171" s="302">
        <f t="shared" si="30"/>
        <v>0</v>
      </c>
      <c r="Z171" s="232"/>
    </row>
    <row r="172" spans="2:26" x14ac:dyDescent="0.35">
      <c r="B172" s="605"/>
      <c r="C172" s="606"/>
      <c r="D172" s="606"/>
      <c r="E172" s="607"/>
      <c r="F172" s="232" t="s">
        <v>244</v>
      </c>
      <c r="G172" s="318" t="s">
        <v>189</v>
      </c>
      <c r="H172" s="319"/>
      <c r="I172" s="320"/>
      <c r="J172" s="318" t="s">
        <v>512</v>
      </c>
      <c r="K172" s="420">
        <v>0.15</v>
      </c>
      <c r="L172" s="506">
        <v>192.08</v>
      </c>
      <c r="M172" s="373">
        <f>20/30</f>
        <v>0.66666666666666663</v>
      </c>
      <c r="N172" s="235">
        <v>12</v>
      </c>
      <c r="O172" s="507">
        <f>K172*L172*M172*N172</f>
        <v>230.49599999999998</v>
      </c>
      <c r="P172" s="235">
        <v>65996</v>
      </c>
      <c r="Q172" s="492">
        <f>P172*$O172</f>
        <v>15211814.015999999</v>
      </c>
      <c r="R172" s="372">
        <v>72760.590000000011</v>
      </c>
      <c r="S172" s="646">
        <f>R172*$O172</f>
        <v>16771024.952640001</v>
      </c>
      <c r="T172" s="235">
        <v>71381.2736</v>
      </c>
      <c r="U172" s="647">
        <f>$O172*T172</f>
        <v>16453098.039705599</v>
      </c>
      <c r="V172" s="235">
        <f>W172/O172</f>
        <v>70045.954533333337</v>
      </c>
      <c r="W172" s="478">
        <f>AVERAGEIF($P$3:$U$3,W$3,$P172:$U172)</f>
        <v>16145312.336115198</v>
      </c>
      <c r="X172" s="648"/>
      <c r="Y172" s="302">
        <f t="shared" ref="Y172" si="31">S172/$C$1</f>
        <v>87312.707999999999</v>
      </c>
      <c r="Z172" s="232"/>
    </row>
    <row r="173" spans="2:26" x14ac:dyDescent="0.35">
      <c r="B173" s="630" t="s">
        <v>513</v>
      </c>
      <c r="C173" s="631"/>
      <c r="D173" s="631"/>
      <c r="E173" s="632"/>
      <c r="F173" s="633"/>
      <c r="G173" s="634"/>
      <c r="H173" s="635"/>
      <c r="I173" s="636"/>
      <c r="J173" s="634"/>
      <c r="K173" s="637"/>
      <c r="L173" s="638"/>
      <c r="M173" s="639"/>
      <c r="N173" s="639"/>
      <c r="O173" s="635"/>
      <c r="P173" s="640"/>
      <c r="Q173" s="640"/>
      <c r="R173" s="640"/>
      <c r="S173" s="651">
        <f>SUM(S126:S172)</f>
        <v>89814716.530856103</v>
      </c>
      <c r="T173" s="650"/>
      <c r="U173" s="650"/>
      <c r="V173" s="650"/>
      <c r="W173" s="650"/>
      <c r="X173" s="652"/>
      <c r="Y173" s="653">
        <f>S173/$C$1</f>
        <v>467590.15270124999</v>
      </c>
      <c r="Z173" s="643">
        <f>S173/$S$388*100</f>
        <v>5.0356746857127366</v>
      </c>
    </row>
    <row r="174" spans="2:26" x14ac:dyDescent="0.35">
      <c r="B174" s="693" t="s">
        <v>514</v>
      </c>
      <c r="C174" s="694"/>
      <c r="D174" s="694"/>
      <c r="E174" s="695"/>
      <c r="F174" s="516"/>
      <c r="G174" s="613"/>
      <c r="H174" s="614"/>
      <c r="I174" s="615"/>
      <c r="J174" s="613"/>
      <c r="K174" s="616"/>
      <c r="L174" s="617"/>
      <c r="M174" s="528"/>
      <c r="N174" s="528"/>
      <c r="O174" s="614"/>
      <c r="P174" s="618"/>
      <c r="Q174" s="618"/>
      <c r="R174" s="618"/>
      <c r="S174" s="696">
        <f>S70+S83+S112+S125+S173</f>
        <v>377887789.51059473</v>
      </c>
      <c r="T174" s="673"/>
      <c r="U174" s="673"/>
      <c r="V174" s="673"/>
      <c r="W174" s="673"/>
      <c r="X174" s="674"/>
      <c r="Y174" s="413">
        <f>S174/$C$1</f>
        <v>1967345.8429331253</v>
      </c>
      <c r="Z174" s="697">
        <f>S174/$S$388*100</f>
        <v>21.187173429698365</v>
      </c>
    </row>
    <row r="175" spans="2:26" x14ac:dyDescent="0.35">
      <c r="B175" s="620" t="s">
        <v>515</v>
      </c>
      <c r="C175" s="320"/>
      <c r="D175" s="320"/>
      <c r="E175" s="608"/>
      <c r="F175" s="232"/>
      <c r="G175" s="318"/>
      <c r="H175" s="319"/>
      <c r="I175" s="320"/>
      <c r="J175" s="318"/>
      <c r="K175" s="501"/>
      <c r="L175" s="506"/>
      <c r="M175" s="233"/>
      <c r="N175" s="233"/>
      <c r="O175" s="319"/>
      <c r="P175" s="492"/>
      <c r="Q175" s="492"/>
      <c r="R175" s="492"/>
      <c r="S175" s="646"/>
      <c r="T175" s="647"/>
      <c r="U175" s="647"/>
      <c r="V175" s="647"/>
      <c r="W175" s="647"/>
      <c r="X175" s="648"/>
      <c r="Y175" s="302"/>
      <c r="Z175" s="232"/>
    </row>
    <row r="176" spans="2:26" x14ac:dyDescent="0.35">
      <c r="B176" s="603"/>
      <c r="C176" s="94" t="s">
        <v>97</v>
      </c>
      <c r="E176" s="604"/>
      <c r="F176" s="232" t="s">
        <v>187</v>
      </c>
      <c r="G176" s="318" t="s">
        <v>188</v>
      </c>
      <c r="H176" s="319"/>
      <c r="I176" s="320"/>
      <c r="J176" s="318"/>
      <c r="K176" s="501"/>
      <c r="L176" s="506"/>
      <c r="M176" s="233"/>
      <c r="N176" s="233"/>
      <c r="O176" s="319"/>
      <c r="P176" s="492"/>
      <c r="Q176" s="492"/>
      <c r="R176" s="492"/>
      <c r="S176" s="646"/>
      <c r="T176" s="647"/>
      <c r="U176" s="647"/>
      <c r="V176" s="647"/>
      <c r="W176" s="647"/>
      <c r="X176" s="648"/>
      <c r="Y176" s="302"/>
      <c r="Z176" s="232"/>
    </row>
    <row r="177" spans="2:26" hidden="1" x14ac:dyDescent="0.35">
      <c r="B177" s="603"/>
      <c r="E177" s="604"/>
      <c r="F177" s="232" t="s">
        <v>516</v>
      </c>
      <c r="G177" s="318" t="s">
        <v>193</v>
      </c>
      <c r="H177" s="319"/>
      <c r="I177" s="320"/>
      <c r="J177" s="318"/>
      <c r="K177" s="501"/>
      <c r="L177" s="506"/>
      <c r="M177" s="233"/>
      <c r="N177" s="233"/>
      <c r="O177" s="319"/>
      <c r="P177" s="492"/>
      <c r="Q177" s="492"/>
      <c r="R177" s="492"/>
      <c r="S177" s="646"/>
      <c r="T177" s="647"/>
      <c r="U177" s="647"/>
      <c r="V177" s="647"/>
      <c r="W177" s="647"/>
      <c r="X177" s="648"/>
      <c r="Y177" s="302"/>
      <c r="Z177" s="232"/>
    </row>
    <row r="178" spans="2:26" hidden="1" x14ac:dyDescent="0.35">
      <c r="B178" s="603"/>
      <c r="E178" s="604"/>
      <c r="F178" s="232" t="s">
        <v>517</v>
      </c>
      <c r="G178" s="318" t="s">
        <v>193</v>
      </c>
      <c r="H178" s="319"/>
      <c r="I178" s="320"/>
      <c r="J178" s="318"/>
      <c r="K178" s="501"/>
      <c r="L178" s="506"/>
      <c r="M178" s="233"/>
      <c r="N178" s="233"/>
      <c r="O178" s="319"/>
      <c r="P178" s="492"/>
      <c r="Q178" s="492"/>
      <c r="R178" s="492"/>
      <c r="S178" s="646"/>
      <c r="T178" s="647"/>
      <c r="U178" s="647"/>
      <c r="V178" s="647"/>
      <c r="W178" s="647"/>
      <c r="X178" s="648"/>
      <c r="Y178" s="302"/>
      <c r="Z178" s="232"/>
    </row>
    <row r="179" spans="2:26" hidden="1" x14ac:dyDescent="0.35">
      <c r="B179" s="603"/>
      <c r="E179" s="604"/>
      <c r="F179" s="232" t="s">
        <v>518</v>
      </c>
      <c r="G179" s="318" t="s">
        <v>193</v>
      </c>
      <c r="H179" s="319"/>
      <c r="I179" s="320"/>
      <c r="J179" s="318"/>
      <c r="K179" s="501"/>
      <c r="L179" s="506"/>
      <c r="M179" s="373"/>
      <c r="N179" s="233"/>
      <c r="O179" s="319"/>
      <c r="P179" s="492"/>
      <c r="Q179" s="492"/>
      <c r="R179" s="492"/>
      <c r="S179" s="646"/>
      <c r="T179" s="647"/>
      <c r="U179" s="647"/>
      <c r="V179" s="647"/>
      <c r="W179" s="647"/>
      <c r="X179" s="648"/>
      <c r="Y179" s="302"/>
      <c r="Z179" s="232"/>
    </row>
    <row r="180" spans="2:26" x14ac:dyDescent="0.35">
      <c r="B180" s="598"/>
      <c r="C180" s="599" t="s">
        <v>95</v>
      </c>
      <c r="D180" s="599"/>
      <c r="E180" s="600"/>
      <c r="F180" s="232" t="s">
        <v>187</v>
      </c>
      <c r="G180" s="318" t="s">
        <v>188</v>
      </c>
      <c r="H180" s="319"/>
      <c r="I180" s="320"/>
      <c r="J180" s="318"/>
      <c r="K180" s="420"/>
      <c r="L180" s="506">
        <v>1</v>
      </c>
      <c r="M180" s="373">
        <v>0.5</v>
      </c>
      <c r="N180" s="233">
        <v>2</v>
      </c>
      <c r="O180" s="507">
        <f>K180*L180*M180*N180</f>
        <v>0</v>
      </c>
      <c r="P180" s="235">
        <v>140008</v>
      </c>
      <c r="Q180" s="492">
        <f>P180*$O180</f>
        <v>0</v>
      </c>
      <c r="R180" s="235">
        <v>149108.51999999999</v>
      </c>
      <c r="S180" s="646">
        <f>R180*$O180</f>
        <v>0</v>
      </c>
      <c r="T180" s="235">
        <v>163305.33120000002</v>
      </c>
      <c r="U180" s="647">
        <f>$O180*T180</f>
        <v>0</v>
      </c>
      <c r="V180" s="235" t="e">
        <f>W180/O180</f>
        <v>#DIV/0!</v>
      </c>
      <c r="W180" s="478">
        <f>AVERAGEIF($P$3:$U$3,W$3,$P180:$U180)</f>
        <v>0</v>
      </c>
      <c r="X180" s="648"/>
      <c r="Y180" s="302"/>
      <c r="Z180" s="232"/>
    </row>
    <row r="181" spans="2:26" hidden="1" x14ac:dyDescent="0.35">
      <c r="B181" s="603"/>
      <c r="E181" s="604"/>
      <c r="F181" s="232" t="s">
        <v>519</v>
      </c>
      <c r="G181" s="318" t="s">
        <v>193</v>
      </c>
      <c r="H181" s="319">
        <v>1</v>
      </c>
      <c r="I181" s="320" t="s">
        <v>238</v>
      </c>
      <c r="J181" s="318"/>
      <c r="K181" s="420"/>
      <c r="L181" s="506">
        <v>1</v>
      </c>
      <c r="M181" s="373">
        <f>((M$180*N$180)/(300))*($H181/N181)</f>
        <v>1.6666666666666668E-3</v>
      </c>
      <c r="N181" s="233">
        <v>2</v>
      </c>
      <c r="O181" s="507">
        <f>K181*L181*M181*N181</f>
        <v>0</v>
      </c>
      <c r="P181" s="235">
        <v>66380.89</v>
      </c>
      <c r="Q181" s="492">
        <f>P181*$O181</f>
        <v>0</v>
      </c>
      <c r="R181" s="235">
        <v>69699.934500000003</v>
      </c>
      <c r="S181" s="646">
        <f>R181*$O181</f>
        <v>0</v>
      </c>
      <c r="T181" s="235">
        <v>77426.670096000002</v>
      </c>
      <c r="U181" s="647">
        <f>$O181*T181</f>
        <v>0</v>
      </c>
      <c r="V181" s="235" t="e">
        <f>W181/O181</f>
        <v>#DIV/0!</v>
      </c>
      <c r="W181" s="478">
        <f>AVERAGEIF($P$3:$U$3,W$3,$P181:$U181)</f>
        <v>0</v>
      </c>
      <c r="X181" s="648"/>
      <c r="Y181" s="302"/>
      <c r="Z181" s="232"/>
    </row>
    <row r="182" spans="2:26" hidden="1" x14ac:dyDescent="0.35">
      <c r="B182" s="603"/>
      <c r="E182" s="604"/>
      <c r="F182" s="232" t="s">
        <v>517</v>
      </c>
      <c r="G182" s="318" t="s">
        <v>193</v>
      </c>
      <c r="H182" s="319">
        <v>1</v>
      </c>
      <c r="I182" s="320" t="s">
        <v>238</v>
      </c>
      <c r="J182" s="318"/>
      <c r="K182" s="420"/>
      <c r="L182" s="506">
        <v>1</v>
      </c>
      <c r="M182" s="373">
        <f>((M$180*N$180)/(300))*($H182/N182)</f>
        <v>1.6666666666666668E-3</v>
      </c>
      <c r="N182" s="233">
        <v>2</v>
      </c>
      <c r="O182" s="507">
        <f>K182*L182*M182*N182</f>
        <v>0</v>
      </c>
      <c r="P182" s="235">
        <v>7841.25</v>
      </c>
      <c r="Q182" s="492">
        <f>P182*$O182</f>
        <v>0</v>
      </c>
      <c r="R182" s="235">
        <v>8233.3125</v>
      </c>
      <c r="S182" s="646">
        <f>R182*$O182</f>
        <v>0</v>
      </c>
      <c r="T182" s="235">
        <v>9146.0340000000015</v>
      </c>
      <c r="U182" s="647">
        <f>$O182*T182</f>
        <v>0</v>
      </c>
      <c r="V182" s="235" t="e">
        <f>W182/O182</f>
        <v>#DIV/0!</v>
      </c>
      <c r="W182" s="478">
        <f>AVERAGEIF($P$3:$U$3,W$3,$P182:$U182)</f>
        <v>0</v>
      </c>
      <c r="X182" s="648"/>
      <c r="Y182" s="302"/>
      <c r="Z182" s="232"/>
    </row>
    <row r="183" spans="2:26" hidden="1" x14ac:dyDescent="0.35">
      <c r="B183" s="603"/>
      <c r="E183" s="604"/>
      <c r="F183" s="232" t="s">
        <v>518</v>
      </c>
      <c r="G183" s="318" t="s">
        <v>193</v>
      </c>
      <c r="H183" s="319">
        <v>1</v>
      </c>
      <c r="I183" s="320" t="s">
        <v>238</v>
      </c>
      <c r="J183" s="318"/>
      <c r="K183" s="501"/>
      <c r="L183" s="506">
        <v>1</v>
      </c>
      <c r="M183" s="373">
        <f>((M$180*N$180)/(300))*($H183/N183)</f>
        <v>1.6666666666666668E-3</v>
      </c>
      <c r="N183" s="233">
        <v>2</v>
      </c>
      <c r="O183" s="507">
        <f>K183*L183*M183*N183</f>
        <v>0</v>
      </c>
      <c r="P183" s="235">
        <v>51229.5</v>
      </c>
      <c r="Q183" s="492">
        <f>P183*$O183</f>
        <v>0</v>
      </c>
      <c r="R183" s="235">
        <v>53790.975000000006</v>
      </c>
      <c r="S183" s="646">
        <f>R183*$O183</f>
        <v>0</v>
      </c>
      <c r="T183" s="235">
        <v>59754.088800000005</v>
      </c>
      <c r="U183" s="647">
        <f>$O183*T183</f>
        <v>0</v>
      </c>
      <c r="V183" s="235" t="e">
        <f>W183/O183</f>
        <v>#DIV/0!</v>
      </c>
      <c r="W183" s="478">
        <f>AVERAGEIF($P$3:$U$3,W$3,$P183:$U183)</f>
        <v>0</v>
      </c>
      <c r="X183" s="648"/>
      <c r="Y183" s="302"/>
      <c r="Z183" s="232"/>
    </row>
    <row r="184" spans="2:26" hidden="1" x14ac:dyDescent="0.35">
      <c r="B184" s="605"/>
      <c r="C184" s="606"/>
      <c r="D184" s="606"/>
      <c r="E184" s="607"/>
      <c r="F184" s="232" t="s">
        <v>242</v>
      </c>
      <c r="G184" s="318" t="s">
        <v>193</v>
      </c>
      <c r="H184" s="319">
        <v>1</v>
      </c>
      <c r="I184" s="320" t="s">
        <v>238</v>
      </c>
      <c r="J184" s="318"/>
      <c r="K184" s="501"/>
      <c r="L184" s="506">
        <v>1</v>
      </c>
      <c r="M184" s="373">
        <f>((M$180*N$180)/(300))*($H184/N184)</f>
        <v>1.6666666666666668E-3</v>
      </c>
      <c r="N184" s="233">
        <v>2</v>
      </c>
      <c r="O184" s="507">
        <f>K184*L184*M184*N184</f>
        <v>0</v>
      </c>
      <c r="P184" s="235">
        <v>85680</v>
      </c>
      <c r="Q184" s="492">
        <f>P184*$O184</f>
        <v>0</v>
      </c>
      <c r="R184" s="235">
        <v>89964</v>
      </c>
      <c r="S184" s="646">
        <f>R184*$O184</f>
        <v>0</v>
      </c>
      <c r="T184" s="235">
        <v>99937.152000000016</v>
      </c>
      <c r="U184" s="647">
        <f>$O184*T184</f>
        <v>0</v>
      </c>
      <c r="V184" s="235" t="e">
        <f>W184/O184</f>
        <v>#DIV/0!</v>
      </c>
      <c r="W184" s="478">
        <f>AVERAGEIF($P$3:$U$3,W$3,$P184:$U184)</f>
        <v>0</v>
      </c>
      <c r="X184" s="649"/>
      <c r="Y184" s="302"/>
      <c r="Z184" s="232"/>
    </row>
    <row r="185" spans="2:26" x14ac:dyDescent="0.35">
      <c r="B185" s="319"/>
      <c r="C185" s="320" t="s">
        <v>520</v>
      </c>
      <c r="D185" s="320"/>
      <c r="E185" s="608"/>
      <c r="F185" s="232"/>
      <c r="G185" s="318"/>
      <c r="H185" s="319"/>
      <c r="I185" s="320"/>
      <c r="J185" s="318"/>
      <c r="K185" s="501"/>
      <c r="L185" s="506"/>
      <c r="M185" s="373"/>
      <c r="N185" s="233"/>
      <c r="O185" s="319"/>
      <c r="P185" s="492"/>
      <c r="Q185" s="492"/>
      <c r="R185" s="492"/>
      <c r="S185" s="646"/>
      <c r="T185" s="647"/>
      <c r="U185" s="647"/>
      <c r="V185" s="647"/>
      <c r="W185" s="647"/>
      <c r="X185" s="649"/>
      <c r="Y185" s="302"/>
      <c r="Z185" s="232"/>
    </row>
    <row r="186" spans="2:26" x14ac:dyDescent="0.35">
      <c r="B186" s="603"/>
      <c r="D186" s="94" t="s">
        <v>96</v>
      </c>
      <c r="E186" s="604"/>
      <c r="F186" s="232" t="s">
        <v>187</v>
      </c>
      <c r="G186" s="318" t="s">
        <v>188</v>
      </c>
      <c r="H186" s="319"/>
      <c r="I186" s="320"/>
      <c r="J186" s="318" t="s">
        <v>521</v>
      </c>
      <c r="K186" s="420">
        <v>0.03</v>
      </c>
      <c r="L186" s="698">
        <f>136*192.08</f>
        <v>26122.880000000001</v>
      </c>
      <c r="M186" s="377">
        <v>0.1429</v>
      </c>
      <c r="N186" s="235">
        <v>1</v>
      </c>
      <c r="O186" s="507">
        <f>K186*L186*M186*N186</f>
        <v>111.98878656000001</v>
      </c>
      <c r="P186" s="235">
        <v>140008</v>
      </c>
      <c r="Q186" s="492">
        <f>P186*$O186</f>
        <v>15679326.028692482</v>
      </c>
      <c r="R186" s="372">
        <v>158800.57379999998</v>
      </c>
      <c r="S186" s="646">
        <f>R186*$O186</f>
        <v>17783883.564893726</v>
      </c>
      <c r="T186" s="235">
        <v>163305.33120000002</v>
      </c>
      <c r="U186" s="647">
        <f>$O186*T186</f>
        <v>18288365.879866913</v>
      </c>
      <c r="V186" s="235">
        <f>W186/O186</f>
        <v>154037.96833333332</v>
      </c>
      <c r="W186" s="478">
        <f>AVERAGEIF($P$3:$U$3,W$3,$P186:$U186)</f>
        <v>17250525.157817706</v>
      </c>
      <c r="X186" s="699" t="s">
        <v>522</v>
      </c>
      <c r="Y186" s="302">
        <f>S186/$C$1</f>
        <v>92585.816143761578</v>
      </c>
      <c r="Z186" s="232"/>
    </row>
    <row r="187" spans="2:26" x14ac:dyDescent="0.35">
      <c r="B187" s="603"/>
      <c r="E187" s="604"/>
      <c r="F187" s="225" t="s">
        <v>389</v>
      </c>
      <c r="G187" s="318" t="s">
        <v>388</v>
      </c>
      <c r="H187" s="319"/>
      <c r="I187" s="320"/>
      <c r="J187" s="318" t="s">
        <v>521</v>
      </c>
      <c r="K187" s="420">
        <v>0.03</v>
      </c>
      <c r="L187" s="698">
        <f>136*192.08</f>
        <v>26122.880000000001</v>
      </c>
      <c r="M187" s="372">
        <v>1</v>
      </c>
      <c r="N187" s="235">
        <v>1</v>
      </c>
      <c r="O187" s="507">
        <f>K187*L187*M187*N187</f>
        <v>783.68640000000005</v>
      </c>
      <c r="P187" s="233">
        <v>0</v>
      </c>
      <c r="Q187" s="492">
        <f>P187*$O187</f>
        <v>0</v>
      </c>
      <c r="R187" s="372">
        <v>52920</v>
      </c>
      <c r="S187" s="646">
        <f>R187*$O187</f>
        <v>41472684.288000003</v>
      </c>
      <c r="T187" s="235">
        <v>0</v>
      </c>
      <c r="U187" s="647">
        <f>$O187*T187</f>
        <v>0</v>
      </c>
      <c r="V187" s="235">
        <f>W187/O187</f>
        <v>17640</v>
      </c>
      <c r="W187" s="478">
        <f>AVERAGEIF($P$3:$U$3,W$3,$P187:$U187)</f>
        <v>13824228.096000001</v>
      </c>
      <c r="X187" s="699" t="s">
        <v>523</v>
      </c>
      <c r="Y187" s="302">
        <f t="shared" ref="Y187:Y192" si="32">S187/$C$1</f>
        <v>215913.60000000001</v>
      </c>
      <c r="Z187" s="232"/>
    </row>
    <row r="188" spans="2:26" x14ac:dyDescent="0.35">
      <c r="B188" s="603"/>
      <c r="E188" s="604"/>
      <c r="F188" s="232" t="s">
        <v>322</v>
      </c>
      <c r="G188" s="318" t="s">
        <v>191</v>
      </c>
      <c r="H188" s="319"/>
      <c r="I188" s="320"/>
      <c r="J188" s="318" t="s">
        <v>521</v>
      </c>
      <c r="K188" s="420">
        <v>0.03</v>
      </c>
      <c r="L188" s="698">
        <f>136*192.08</f>
        <v>26122.880000000001</v>
      </c>
      <c r="M188" s="423">
        <v>0.5</v>
      </c>
      <c r="N188" s="235">
        <v>1</v>
      </c>
      <c r="O188" s="507">
        <f>K188*L188*M188*N188</f>
        <v>391.84320000000002</v>
      </c>
      <c r="P188" s="235">
        <v>2300</v>
      </c>
      <c r="Q188" s="492">
        <f>P188*$O188</f>
        <v>901239.3600000001</v>
      </c>
      <c r="R188" s="372">
        <v>2535.75</v>
      </c>
      <c r="S188" s="646">
        <f>R188*$O188</f>
        <v>993616.39440000011</v>
      </c>
      <c r="T188" s="235">
        <v>2783</v>
      </c>
      <c r="U188" s="647">
        <f>$O188*T188</f>
        <v>1090499.6256000001</v>
      </c>
      <c r="V188" s="235">
        <f>W188/O188</f>
        <v>2539.5833333333335</v>
      </c>
      <c r="W188" s="478">
        <f>AVERAGEIF($P$3:$U$3,W$3,$P188:$U188)</f>
        <v>995118.46000000008</v>
      </c>
      <c r="X188" s="699"/>
      <c r="Y188" s="302">
        <f t="shared" si="32"/>
        <v>5172.93</v>
      </c>
      <c r="Z188" s="232"/>
    </row>
    <row r="189" spans="2:26" x14ac:dyDescent="0.35">
      <c r="B189" s="603"/>
      <c r="E189" s="604"/>
      <c r="F189" s="232" t="s">
        <v>390</v>
      </c>
      <c r="G189" s="318" t="s">
        <v>388</v>
      </c>
      <c r="H189" s="319"/>
      <c r="I189" s="320"/>
      <c r="J189" s="318" t="s">
        <v>521</v>
      </c>
      <c r="K189" s="420">
        <v>0.03</v>
      </c>
      <c r="L189" s="698">
        <f>136*192.08</f>
        <v>26122.880000000001</v>
      </c>
      <c r="M189" s="372">
        <f>M187</f>
        <v>1</v>
      </c>
      <c r="N189" s="235">
        <v>1</v>
      </c>
      <c r="O189" s="507">
        <f>K189*L189*M189*N189</f>
        <v>783.68640000000005</v>
      </c>
      <c r="P189" s="235">
        <v>4500</v>
      </c>
      <c r="Q189" s="492">
        <f>P189*$O189</f>
        <v>3526588.8000000003</v>
      </c>
      <c r="R189" s="372">
        <v>4961.25</v>
      </c>
      <c r="S189" s="646">
        <f>R189*$O189</f>
        <v>3888064.1520000002</v>
      </c>
      <c r="T189" s="235">
        <v>4961.25</v>
      </c>
      <c r="U189" s="647">
        <f>$O189*T189</f>
        <v>3888064.1520000002</v>
      </c>
      <c r="V189" s="235">
        <f>W189/O189</f>
        <v>4807.5</v>
      </c>
      <c r="W189" s="478">
        <f>AVERAGEIF($P$3:$U$3,W$3,$P189:$U189)</f>
        <v>3767572.3680000002</v>
      </c>
      <c r="X189" s="421"/>
      <c r="Y189" s="302">
        <f t="shared" si="32"/>
        <v>20241.900000000001</v>
      </c>
      <c r="Z189" s="232"/>
    </row>
    <row r="190" spans="2:26" hidden="1" x14ac:dyDescent="0.35">
      <c r="B190" s="603"/>
      <c r="D190" s="606"/>
      <c r="E190" s="607"/>
      <c r="F190" s="232" t="s">
        <v>365</v>
      </c>
      <c r="G190" s="318" t="s">
        <v>205</v>
      </c>
      <c r="H190" s="319"/>
      <c r="I190" s="320"/>
      <c r="J190" s="318"/>
      <c r="K190" s="501">
        <v>2</v>
      </c>
      <c r="L190" s="506"/>
      <c r="M190" s="372">
        <v>2</v>
      </c>
      <c r="N190" s="235">
        <v>1</v>
      </c>
      <c r="O190" s="319"/>
      <c r="P190" s="492"/>
      <c r="Q190" s="492"/>
      <c r="R190" s="492"/>
      <c r="S190" s="646"/>
      <c r="T190" s="647"/>
      <c r="U190" s="647"/>
      <c r="V190" s="647"/>
      <c r="W190" s="647"/>
      <c r="X190" s="648"/>
      <c r="Y190" s="302"/>
      <c r="Z190" s="232"/>
    </row>
    <row r="191" spans="2:26" x14ac:dyDescent="0.35">
      <c r="B191" s="603"/>
      <c r="D191" s="94" t="s">
        <v>100</v>
      </c>
      <c r="E191" s="604"/>
      <c r="F191" s="232" t="s">
        <v>187</v>
      </c>
      <c r="G191" s="318" t="s">
        <v>188</v>
      </c>
      <c r="H191" s="319"/>
      <c r="I191" s="320"/>
      <c r="J191" s="318"/>
      <c r="K191" s="420">
        <v>0.2</v>
      </c>
      <c r="L191" s="698">
        <f>136*192.08</f>
        <v>26122.880000000001</v>
      </c>
      <c r="M191" s="377">
        <f>1/15</f>
        <v>6.6666666666666666E-2</v>
      </c>
      <c r="N191" s="235">
        <v>1</v>
      </c>
      <c r="O191" s="507">
        <f>K191*L191*M191*N191</f>
        <v>348.30506666666673</v>
      </c>
      <c r="P191" s="235">
        <v>140008</v>
      </c>
      <c r="Q191" s="492">
        <f>P191*$O191</f>
        <v>48765495.773866676</v>
      </c>
      <c r="R191" s="372">
        <v>158800.57379999998</v>
      </c>
      <c r="S191" s="646">
        <f>R191*$O191</f>
        <v>55311044.444113925</v>
      </c>
      <c r="T191" s="647"/>
      <c r="U191" s="647"/>
      <c r="V191" s="647"/>
      <c r="W191" s="647"/>
      <c r="X191" s="648"/>
      <c r="Y191" s="302">
        <f t="shared" si="32"/>
        <v>287958.37382400001</v>
      </c>
      <c r="Z191" s="232"/>
    </row>
    <row r="192" spans="2:26" x14ac:dyDescent="0.35">
      <c r="B192" s="605"/>
      <c r="C192" s="606"/>
      <c r="D192" s="606"/>
      <c r="E192" s="607"/>
      <c r="F192" s="232" t="s">
        <v>291</v>
      </c>
      <c r="G192" s="318" t="s">
        <v>193</v>
      </c>
      <c r="H192" s="319"/>
      <c r="I192" s="320"/>
      <c r="J192" s="318"/>
      <c r="K192" s="420">
        <v>0.2</v>
      </c>
      <c r="L192" s="700">
        <f>136*192.08</f>
        <v>26122.880000000001</v>
      </c>
      <c r="M192" s="377">
        <f>M191*N191/300</f>
        <v>2.2222222222222221E-4</v>
      </c>
      <c r="N192" s="235">
        <v>1</v>
      </c>
      <c r="O192" s="507">
        <f>K192*L192*M192*N192</f>
        <v>1.161016888888889</v>
      </c>
      <c r="P192" s="233"/>
      <c r="Q192" s="492"/>
      <c r="R192" s="372">
        <v>83568.121874999997</v>
      </c>
      <c r="S192" s="646">
        <f>R192*$O192</f>
        <v>97024.0008696</v>
      </c>
      <c r="T192" s="647"/>
      <c r="U192" s="647"/>
      <c r="V192" s="647"/>
      <c r="W192" s="647"/>
      <c r="X192" s="648"/>
      <c r="Y192" s="302">
        <f t="shared" si="32"/>
        <v>505.12286999999998</v>
      </c>
      <c r="Z192" s="232"/>
    </row>
    <row r="193" spans="2:26" x14ac:dyDescent="0.35">
      <c r="B193" s="630" t="s">
        <v>524</v>
      </c>
      <c r="C193" s="631"/>
      <c r="D193" s="631"/>
      <c r="E193" s="632"/>
      <c r="F193" s="633"/>
      <c r="G193" s="634"/>
      <c r="H193" s="635"/>
      <c r="I193" s="636"/>
      <c r="J193" s="634"/>
      <c r="K193" s="637"/>
      <c r="L193" s="638"/>
      <c r="M193" s="639"/>
      <c r="N193" s="639"/>
      <c r="O193" s="635"/>
      <c r="P193" s="640"/>
      <c r="Q193" s="640"/>
      <c r="R193" s="640"/>
      <c r="S193" s="651">
        <f>SUM(S186:S192)</f>
        <v>119546316.84427726</v>
      </c>
      <c r="T193" s="650"/>
      <c r="U193" s="650"/>
      <c r="V193" s="650"/>
      <c r="W193" s="650"/>
      <c r="X193" s="652"/>
      <c r="Y193" s="653">
        <f>S193/$C$1</f>
        <v>622377.74283776165</v>
      </c>
      <c r="Z193" s="643">
        <f>S193/$S$388*100</f>
        <v>6.7026472359471692</v>
      </c>
    </row>
    <row r="194" spans="2:26" x14ac:dyDescent="0.35">
      <c r="B194" s="603"/>
      <c r="C194" s="94" t="s">
        <v>99</v>
      </c>
      <c r="E194" s="604"/>
      <c r="F194" s="232" t="s">
        <v>187</v>
      </c>
      <c r="G194" s="318" t="s">
        <v>188</v>
      </c>
      <c r="H194" s="319"/>
      <c r="I194" s="320"/>
      <c r="J194" s="318" t="s">
        <v>189</v>
      </c>
      <c r="K194" s="420">
        <v>1</v>
      </c>
      <c r="L194" s="506">
        <v>192.08</v>
      </c>
      <c r="M194" s="233">
        <v>0.2</v>
      </c>
      <c r="N194" s="235">
        <v>2</v>
      </c>
      <c r="O194" s="507">
        <f>K194*L194*M194*N194</f>
        <v>76.832000000000008</v>
      </c>
      <c r="P194" s="235">
        <v>140008</v>
      </c>
      <c r="Q194" s="492">
        <f>P194*$O194</f>
        <v>10757094.656000001</v>
      </c>
      <c r="R194" s="372">
        <v>158800.57379999998</v>
      </c>
      <c r="S194" s="646">
        <f>R194*$O194</f>
        <v>12200965.6862016</v>
      </c>
      <c r="T194" s="235">
        <v>163305.33120000002</v>
      </c>
      <c r="U194" s="647">
        <f>$O194*T194</f>
        <v>12547075.206758402</v>
      </c>
      <c r="V194" s="235">
        <f>W194/O194</f>
        <v>154037.96833333332</v>
      </c>
      <c r="W194" s="478">
        <f>AVERAGEIF($P$3:$U$3,W$3,$P194:$U194)</f>
        <v>11835045.182986667</v>
      </c>
      <c r="X194" s="648"/>
      <c r="Y194" s="302">
        <f>S194/$C$1</f>
        <v>63520.229520000001</v>
      </c>
      <c r="Z194" s="232"/>
    </row>
    <row r="195" spans="2:26" x14ac:dyDescent="0.35">
      <c r="B195" s="603"/>
      <c r="E195" s="604"/>
      <c r="F195" s="232" t="s">
        <v>525</v>
      </c>
      <c r="G195" s="318" t="s">
        <v>351</v>
      </c>
      <c r="H195" s="319"/>
      <c r="I195" s="320"/>
      <c r="J195" s="318"/>
      <c r="K195" s="420">
        <v>1</v>
      </c>
      <c r="L195" s="506">
        <v>192.08</v>
      </c>
      <c r="M195" s="233">
        <f>0.02*(1/2)</f>
        <v>0.01</v>
      </c>
      <c r="N195" s="235">
        <v>2</v>
      </c>
      <c r="O195" s="507">
        <f>K195*L195*M195*N195</f>
        <v>3.8416000000000001</v>
      </c>
      <c r="P195" s="235">
        <v>30250</v>
      </c>
      <c r="Q195" s="492">
        <f>P195*$O195</f>
        <v>116208.40000000001</v>
      </c>
      <c r="R195" s="372">
        <v>33350.625</v>
      </c>
      <c r="S195" s="646">
        <f>R195*$O195</f>
        <v>128119.761</v>
      </c>
      <c r="T195" s="647"/>
      <c r="U195" s="647"/>
      <c r="V195" s="647"/>
      <c r="W195" s="647"/>
      <c r="X195" s="648"/>
      <c r="Y195" s="302">
        <f>S195/$C$1</f>
        <v>667.01249999999993</v>
      </c>
      <c r="Z195" s="232"/>
    </row>
    <row r="196" spans="2:26" x14ac:dyDescent="0.35">
      <c r="B196" s="630" t="s">
        <v>526</v>
      </c>
      <c r="C196" s="631"/>
      <c r="D196" s="631"/>
      <c r="E196" s="632"/>
      <c r="F196" s="633"/>
      <c r="G196" s="634"/>
      <c r="H196" s="635"/>
      <c r="I196" s="636"/>
      <c r="J196" s="634"/>
      <c r="K196" s="637"/>
      <c r="L196" s="638"/>
      <c r="M196" s="639"/>
      <c r="N196" s="639"/>
      <c r="O196" s="635"/>
      <c r="P196" s="640"/>
      <c r="Q196" s="640"/>
      <c r="R196" s="640"/>
      <c r="S196" s="651">
        <f>SUM(S194:S195)</f>
        <v>12329085.4472016</v>
      </c>
      <c r="T196" s="650"/>
      <c r="U196" s="650"/>
      <c r="V196" s="650"/>
      <c r="W196" s="650"/>
      <c r="X196" s="652"/>
      <c r="Y196" s="653">
        <f>S196/$C$1</f>
        <v>64187.242019999998</v>
      </c>
      <c r="Z196" s="643">
        <f>S196/$S$388*100</f>
        <v>0.69125936018662193</v>
      </c>
    </row>
    <row r="197" spans="2:26" x14ac:dyDescent="0.35">
      <c r="B197" s="693" t="s">
        <v>527</v>
      </c>
      <c r="C197" s="694"/>
      <c r="D197" s="694"/>
      <c r="E197" s="695"/>
      <c r="F197" s="516"/>
      <c r="G197" s="613"/>
      <c r="H197" s="614"/>
      <c r="I197" s="615"/>
      <c r="J197" s="613"/>
      <c r="K197" s="616"/>
      <c r="L197" s="617"/>
      <c r="M197" s="528"/>
      <c r="N197" s="528"/>
      <c r="O197" s="614"/>
      <c r="P197" s="618"/>
      <c r="Q197" s="618"/>
      <c r="R197" s="618"/>
      <c r="S197" s="696">
        <f>S193+S196</f>
        <v>131875402.29147886</v>
      </c>
      <c r="T197" s="673"/>
      <c r="U197" s="673"/>
      <c r="V197" s="673"/>
      <c r="W197" s="673"/>
      <c r="X197" s="674"/>
      <c r="Y197" s="413">
        <f>S197/$C$1</f>
        <v>686564.98485776165</v>
      </c>
      <c r="Z197" s="697">
        <f>S197/$S$388*100</f>
        <v>7.3939065961337906</v>
      </c>
    </row>
    <row r="198" spans="2:26" x14ac:dyDescent="0.35">
      <c r="B198" s="620" t="s">
        <v>528</v>
      </c>
      <c r="C198" s="320"/>
      <c r="D198" s="320"/>
      <c r="E198" s="608"/>
      <c r="F198" s="232"/>
      <c r="G198" s="318"/>
      <c r="H198" s="319"/>
      <c r="I198" s="320"/>
      <c r="J198" s="318"/>
      <c r="K198" s="501"/>
      <c r="L198" s="506"/>
      <c r="M198" s="233"/>
      <c r="N198" s="233"/>
      <c r="O198" s="319"/>
      <c r="P198" s="492"/>
      <c r="Q198" s="492"/>
      <c r="R198" s="492"/>
      <c r="S198" s="646"/>
      <c r="T198" s="647"/>
      <c r="U198" s="647"/>
      <c r="V198" s="647"/>
      <c r="W198" s="647"/>
      <c r="X198" s="648"/>
      <c r="Y198" s="302"/>
      <c r="Z198" s="232"/>
    </row>
    <row r="199" spans="2:26" x14ac:dyDescent="0.35">
      <c r="B199" s="701"/>
      <c r="C199" s="599" t="s">
        <v>295</v>
      </c>
      <c r="D199" s="320"/>
      <c r="E199" s="608"/>
      <c r="F199" s="232"/>
      <c r="G199" s="318"/>
      <c r="H199" s="319"/>
      <c r="I199" s="320"/>
      <c r="J199" s="318"/>
      <c r="K199" s="501"/>
      <c r="L199" s="506"/>
      <c r="M199" s="233"/>
      <c r="N199" s="235"/>
      <c r="O199" s="319"/>
      <c r="P199" s="492"/>
      <c r="Q199" s="492"/>
      <c r="R199" s="492"/>
      <c r="S199" s="646"/>
      <c r="T199" s="647"/>
      <c r="U199" s="647"/>
      <c r="V199" s="647"/>
      <c r="W199" s="647"/>
      <c r="X199" s="648"/>
      <c r="Y199" s="302"/>
      <c r="Z199" s="232"/>
    </row>
    <row r="200" spans="2:26" x14ac:dyDescent="0.35">
      <c r="B200" s="598"/>
      <c r="C200" s="599"/>
      <c r="D200" s="94" t="s">
        <v>102</v>
      </c>
      <c r="E200" s="604"/>
      <c r="F200" s="232" t="s">
        <v>187</v>
      </c>
      <c r="G200" s="318" t="s">
        <v>188</v>
      </c>
      <c r="H200" s="319"/>
      <c r="I200" s="320"/>
      <c r="J200" s="318"/>
      <c r="K200" s="627">
        <v>0</v>
      </c>
      <c r="L200" s="506">
        <v>192.08</v>
      </c>
      <c r="M200" s="233">
        <v>0.5</v>
      </c>
      <c r="N200" s="235">
        <v>1</v>
      </c>
      <c r="O200" s="507">
        <f t="shared" ref="O200:O206" si="33">K200*L200*M200*N200</f>
        <v>0</v>
      </c>
      <c r="P200" s="492"/>
      <c r="Q200" s="492"/>
      <c r="R200" s="235">
        <v>149108.51999999999</v>
      </c>
      <c r="S200" s="646">
        <f t="shared" ref="S200:S206" si="34">R200*$O200</f>
        <v>0</v>
      </c>
      <c r="T200" s="647"/>
      <c r="U200" s="647"/>
      <c r="V200" s="647"/>
      <c r="W200" s="647"/>
      <c r="X200" s="648"/>
      <c r="Y200" s="302">
        <f t="shared" ref="Y200" si="35">S200/192.08</f>
        <v>0</v>
      </c>
      <c r="Z200" s="232"/>
    </row>
    <row r="201" spans="2:26" hidden="1" x14ac:dyDescent="0.35">
      <c r="B201" s="603"/>
      <c r="E201" s="604"/>
      <c r="F201" s="232" t="s">
        <v>529</v>
      </c>
      <c r="G201" s="318" t="s">
        <v>334</v>
      </c>
      <c r="H201" s="319"/>
      <c r="I201" s="320"/>
      <c r="J201" s="318"/>
      <c r="K201" s="627">
        <v>0</v>
      </c>
      <c r="L201" s="506"/>
      <c r="M201" s="366"/>
      <c r="N201" s="235"/>
      <c r="O201" s="507">
        <f t="shared" si="33"/>
        <v>0</v>
      </c>
      <c r="P201" s="492"/>
      <c r="Q201" s="492"/>
      <c r="R201" s="235">
        <v>0</v>
      </c>
      <c r="S201" s="646">
        <f t="shared" si="34"/>
        <v>0</v>
      </c>
      <c r="T201" s="647"/>
      <c r="U201" s="647"/>
      <c r="V201" s="647"/>
      <c r="W201" s="647"/>
      <c r="X201" s="648"/>
      <c r="Y201" s="302"/>
      <c r="Z201" s="232"/>
    </row>
    <row r="202" spans="2:26" hidden="1" x14ac:dyDescent="0.35">
      <c r="B202" s="603"/>
      <c r="E202" s="604"/>
      <c r="F202" s="232" t="s">
        <v>530</v>
      </c>
      <c r="G202" s="318" t="s">
        <v>334</v>
      </c>
      <c r="H202" s="319"/>
      <c r="I202" s="320"/>
      <c r="J202" s="318"/>
      <c r="K202" s="627">
        <v>0</v>
      </c>
      <c r="L202" s="506">
        <v>2188</v>
      </c>
      <c r="M202" s="366">
        <f>1350/1000</f>
        <v>1.35</v>
      </c>
      <c r="N202" s="235">
        <v>1</v>
      </c>
      <c r="O202" s="507">
        <f t="shared" si="33"/>
        <v>0</v>
      </c>
      <c r="P202" s="492"/>
      <c r="Q202" s="492"/>
      <c r="R202" s="235">
        <v>110910</v>
      </c>
      <c r="S202" s="646">
        <f t="shared" si="34"/>
        <v>0</v>
      </c>
      <c r="T202" s="647"/>
      <c r="U202" s="647"/>
      <c r="V202" s="647"/>
      <c r="W202" s="647"/>
      <c r="X202" s="648"/>
      <c r="Y202" s="302">
        <f t="shared" ref="Y202:Y228" si="36">S202/192.08</f>
        <v>0</v>
      </c>
      <c r="Z202" s="232"/>
    </row>
    <row r="203" spans="2:26" hidden="1" x14ac:dyDescent="0.35">
      <c r="B203" s="603"/>
      <c r="E203" s="604"/>
      <c r="F203" s="232" t="s">
        <v>215</v>
      </c>
      <c r="G203" s="318" t="s">
        <v>205</v>
      </c>
      <c r="H203" s="319"/>
      <c r="I203" s="320"/>
      <c r="J203" s="318"/>
      <c r="K203" s="627">
        <v>0</v>
      </c>
      <c r="L203" s="506">
        <v>2188</v>
      </c>
      <c r="M203" s="366">
        <v>2.8000000000000001E-2</v>
      </c>
      <c r="N203" s="235">
        <v>1</v>
      </c>
      <c r="O203" s="507">
        <f t="shared" si="33"/>
        <v>0</v>
      </c>
      <c r="P203" s="492"/>
      <c r="Q203" s="492"/>
      <c r="R203" s="235">
        <v>720338.0730320001</v>
      </c>
      <c r="S203" s="646">
        <f t="shared" si="34"/>
        <v>0</v>
      </c>
      <c r="T203" s="647"/>
      <c r="U203" s="647"/>
      <c r="V203" s="647"/>
      <c r="W203" s="647"/>
      <c r="X203" s="648"/>
      <c r="Y203" s="302">
        <f t="shared" si="36"/>
        <v>0</v>
      </c>
      <c r="Z203" s="232"/>
    </row>
    <row r="204" spans="2:26" hidden="1" x14ac:dyDescent="0.35">
      <c r="B204" s="603"/>
      <c r="E204" s="604"/>
      <c r="F204" s="232" t="s">
        <v>531</v>
      </c>
      <c r="G204" s="318" t="s">
        <v>205</v>
      </c>
      <c r="H204" s="319"/>
      <c r="I204" s="320"/>
      <c r="J204" s="318"/>
      <c r="K204" s="627">
        <v>0</v>
      </c>
      <c r="L204" s="506">
        <v>2188</v>
      </c>
      <c r="M204" s="366">
        <f>10/1000</f>
        <v>0.01</v>
      </c>
      <c r="N204" s="235">
        <v>1</v>
      </c>
      <c r="O204" s="507">
        <f t="shared" si="33"/>
        <v>0</v>
      </c>
      <c r="P204" s="492"/>
      <c r="Q204" s="492"/>
      <c r="R204" s="235">
        <v>662748.2415</v>
      </c>
      <c r="S204" s="646">
        <f t="shared" si="34"/>
        <v>0</v>
      </c>
      <c r="T204" s="647"/>
      <c r="U204" s="647"/>
      <c r="V204" s="647"/>
      <c r="W204" s="647"/>
      <c r="X204" s="648"/>
      <c r="Y204" s="302">
        <f t="shared" si="36"/>
        <v>0</v>
      </c>
      <c r="Z204" s="232"/>
    </row>
    <row r="205" spans="2:26" hidden="1" x14ac:dyDescent="0.35">
      <c r="B205" s="603"/>
      <c r="D205" s="606"/>
      <c r="E205" s="607"/>
      <c r="F205" s="232" t="s">
        <v>255</v>
      </c>
      <c r="G205" s="318" t="s">
        <v>205</v>
      </c>
      <c r="H205" s="319"/>
      <c r="I205" s="320"/>
      <c r="J205" s="318"/>
      <c r="K205" s="627">
        <v>0</v>
      </c>
      <c r="L205" s="506">
        <v>2188</v>
      </c>
      <c r="M205" s="366">
        <f>10/1000</f>
        <v>0.01</v>
      </c>
      <c r="N205" s="235">
        <v>1</v>
      </c>
      <c r="O205" s="507">
        <f t="shared" si="33"/>
        <v>0</v>
      </c>
      <c r="P205" s="492"/>
      <c r="Q205" s="492"/>
      <c r="R205" s="235">
        <v>715047.82649999985</v>
      </c>
      <c r="S205" s="646">
        <f t="shared" si="34"/>
        <v>0</v>
      </c>
      <c r="T205" s="647"/>
      <c r="U205" s="647"/>
      <c r="V205" s="647"/>
      <c r="W205" s="647"/>
      <c r="X205" s="648"/>
      <c r="Y205" s="302">
        <f t="shared" si="36"/>
        <v>0</v>
      </c>
      <c r="Z205" s="232"/>
    </row>
    <row r="206" spans="2:26" x14ac:dyDescent="0.35">
      <c r="B206" s="603"/>
      <c r="D206" s="94" t="s">
        <v>105</v>
      </c>
      <c r="E206" s="604"/>
      <c r="F206" s="232" t="s">
        <v>187</v>
      </c>
      <c r="G206" s="318" t="s">
        <v>188</v>
      </c>
      <c r="H206" s="319"/>
      <c r="I206" s="320"/>
      <c r="J206" s="318" t="s">
        <v>279</v>
      </c>
      <c r="K206" s="627">
        <v>0</v>
      </c>
      <c r="L206" s="506">
        <v>192.08</v>
      </c>
      <c r="M206" s="366">
        <v>0.5</v>
      </c>
      <c r="N206" s="235">
        <v>1</v>
      </c>
      <c r="O206" s="507">
        <f t="shared" si="33"/>
        <v>0</v>
      </c>
      <c r="P206" s="235">
        <v>140008</v>
      </c>
      <c r="Q206" s="492">
        <f>P206*$O206</f>
        <v>0</v>
      </c>
      <c r="R206" s="235">
        <v>149108.51999999999</v>
      </c>
      <c r="S206" s="646">
        <f t="shared" si="34"/>
        <v>0</v>
      </c>
      <c r="T206" s="235">
        <v>163305.33120000002</v>
      </c>
      <c r="U206" s="647">
        <f>$O206*T206</f>
        <v>0</v>
      </c>
      <c r="V206" s="235" t="e">
        <f>W206/O206</f>
        <v>#DIV/0!</v>
      </c>
      <c r="W206" s="478">
        <f>AVERAGEIF($P$3:$U$3,W$3,$P206:$U206)</f>
        <v>0</v>
      </c>
      <c r="X206" s="648"/>
      <c r="Y206" s="302">
        <f t="shared" si="36"/>
        <v>0</v>
      </c>
      <c r="Z206" s="232"/>
    </row>
    <row r="207" spans="2:26" hidden="1" x14ac:dyDescent="0.35">
      <c r="B207" s="603"/>
      <c r="E207" s="604"/>
      <c r="F207" s="232" t="s">
        <v>529</v>
      </c>
      <c r="G207" s="318" t="s">
        <v>334</v>
      </c>
      <c r="H207" s="319"/>
      <c r="I207" s="320"/>
      <c r="J207" s="318"/>
      <c r="K207" s="627">
        <v>0</v>
      </c>
      <c r="L207" s="506"/>
      <c r="M207" s="233"/>
      <c r="N207" s="235"/>
      <c r="O207" s="319"/>
      <c r="P207" s="492"/>
      <c r="Q207" s="492"/>
      <c r="R207" s="492"/>
      <c r="S207" s="646"/>
      <c r="T207" s="647"/>
      <c r="U207" s="647"/>
      <c r="V207" s="647"/>
      <c r="W207" s="647"/>
      <c r="X207" s="648"/>
      <c r="Y207" s="302"/>
      <c r="Z207" s="232"/>
    </row>
    <row r="208" spans="2:26" hidden="1" x14ac:dyDescent="0.35">
      <c r="B208" s="603"/>
      <c r="E208" s="604"/>
      <c r="F208" s="232" t="s">
        <v>530</v>
      </c>
      <c r="G208" s="318" t="s">
        <v>334</v>
      </c>
      <c r="H208" s="319"/>
      <c r="I208" s="320"/>
      <c r="J208" s="318" t="s">
        <v>279</v>
      </c>
      <c r="K208" s="627">
        <v>0</v>
      </c>
      <c r="L208" s="506">
        <v>4007</v>
      </c>
      <c r="M208" s="366">
        <f>1050/1000</f>
        <v>1.05</v>
      </c>
      <c r="N208" s="235">
        <v>1</v>
      </c>
      <c r="O208" s="507">
        <f>K208*L208*M208*N208</f>
        <v>0</v>
      </c>
      <c r="P208" s="235">
        <v>110590</v>
      </c>
      <c r="Q208" s="492">
        <f>P208*$O208</f>
        <v>0</v>
      </c>
      <c r="R208" s="235">
        <v>110910</v>
      </c>
      <c r="S208" s="646">
        <f>R208*$O208</f>
        <v>0</v>
      </c>
      <c r="T208" s="235">
        <v>133813.90000000002</v>
      </c>
      <c r="U208" s="647">
        <f>$O208*T208</f>
        <v>0</v>
      </c>
      <c r="V208" s="235" t="e">
        <f>W208/O208</f>
        <v>#DIV/0!</v>
      </c>
      <c r="W208" s="478">
        <f>AVERAGEIF($P$3:$U$3,W$3,$P208:$U208)</f>
        <v>0</v>
      </c>
      <c r="X208" s="648"/>
      <c r="Y208" s="302">
        <f t="shared" si="36"/>
        <v>0</v>
      </c>
      <c r="Z208" s="329"/>
    </row>
    <row r="209" spans="2:26" hidden="1" x14ac:dyDescent="0.35">
      <c r="B209" s="603"/>
      <c r="E209" s="604"/>
      <c r="F209" s="232" t="s">
        <v>215</v>
      </c>
      <c r="G209" s="318" t="s">
        <v>205</v>
      </c>
      <c r="H209" s="319"/>
      <c r="I209" s="320"/>
      <c r="J209" s="318"/>
      <c r="K209" s="627">
        <v>0</v>
      </c>
      <c r="L209" s="506">
        <v>4007</v>
      </c>
      <c r="M209" s="366">
        <v>2.8000000000000001E-2</v>
      </c>
      <c r="N209" s="235">
        <v>1</v>
      </c>
      <c r="O209" s="507">
        <f>K209*L209*M209*N209</f>
        <v>0</v>
      </c>
      <c r="P209" s="492"/>
      <c r="Q209" s="492"/>
      <c r="R209" s="235">
        <v>720338.0730320001</v>
      </c>
      <c r="S209" s="646">
        <f>R209*$O209</f>
        <v>0</v>
      </c>
      <c r="T209" s="647"/>
      <c r="U209" s="647"/>
      <c r="V209" s="647"/>
      <c r="W209" s="647"/>
      <c r="X209" s="648"/>
      <c r="Y209" s="302">
        <f t="shared" si="36"/>
        <v>0</v>
      </c>
      <c r="Z209" s="232"/>
    </row>
    <row r="210" spans="2:26" hidden="1" x14ac:dyDescent="0.35">
      <c r="B210" s="603"/>
      <c r="E210" s="604"/>
      <c r="F210" s="232" t="s">
        <v>531</v>
      </c>
      <c r="G210" s="318" t="s">
        <v>205</v>
      </c>
      <c r="H210" s="319"/>
      <c r="I210" s="320"/>
      <c r="J210" s="318" t="s">
        <v>279</v>
      </c>
      <c r="K210" s="627">
        <v>0</v>
      </c>
      <c r="L210" s="506">
        <v>4007</v>
      </c>
      <c r="M210" s="366">
        <f>8/1000</f>
        <v>8.0000000000000002E-3</v>
      </c>
      <c r="N210" s="235">
        <v>1</v>
      </c>
      <c r="O210" s="507">
        <f>K210*L210*M210*N210</f>
        <v>0</v>
      </c>
      <c r="P210" s="235">
        <v>630976.61249999993</v>
      </c>
      <c r="Q210" s="492">
        <f>P210*$O210</f>
        <v>0</v>
      </c>
      <c r="R210" s="235">
        <v>662748.2415</v>
      </c>
      <c r="S210" s="646">
        <f>R210*$O210</f>
        <v>0</v>
      </c>
      <c r="T210" s="235">
        <v>577911.85919999995</v>
      </c>
      <c r="U210" s="647">
        <f>$O210*T210</f>
        <v>0</v>
      </c>
      <c r="V210" s="235" t="e">
        <f>W210/O210</f>
        <v>#DIV/0!</v>
      </c>
      <c r="W210" s="478">
        <f>AVERAGEIF($P$3:$U$3,W$3,$P210:$U210)</f>
        <v>0</v>
      </c>
      <c r="X210" s="648"/>
      <c r="Y210" s="302">
        <f t="shared" si="36"/>
        <v>0</v>
      </c>
      <c r="Z210" s="329"/>
    </row>
    <row r="211" spans="2:26" hidden="1" x14ac:dyDescent="0.35">
      <c r="B211" s="603"/>
      <c r="D211" s="606"/>
      <c r="E211" s="607"/>
      <c r="F211" s="232" t="s">
        <v>255</v>
      </c>
      <c r="G211" s="318" t="s">
        <v>205</v>
      </c>
      <c r="H211" s="319"/>
      <c r="I211" s="320"/>
      <c r="J211" s="318" t="s">
        <v>279</v>
      </c>
      <c r="K211" s="627">
        <v>0</v>
      </c>
      <c r="L211" s="506">
        <v>4007</v>
      </c>
      <c r="M211" s="366">
        <f>8/1000</f>
        <v>8.0000000000000002E-3</v>
      </c>
      <c r="N211" s="235">
        <v>1</v>
      </c>
      <c r="O211" s="507">
        <f>K211*L211*M211*N211</f>
        <v>0</v>
      </c>
      <c r="P211" s="235">
        <v>680610.48749999993</v>
      </c>
      <c r="Q211" s="492">
        <f>P211*$O211</f>
        <v>0</v>
      </c>
      <c r="R211" s="235">
        <v>715047.82649999985</v>
      </c>
      <c r="S211" s="646">
        <f>R211*$O211</f>
        <v>0</v>
      </c>
      <c r="T211" s="235">
        <v>671314.50879999995</v>
      </c>
      <c r="U211" s="647">
        <f>$O211*T211</f>
        <v>0</v>
      </c>
      <c r="V211" s="235" t="e">
        <f>W211/O211</f>
        <v>#DIV/0!</v>
      </c>
      <c r="W211" s="478">
        <f>AVERAGEIF($P$3:$U$3,W$3,$P211:$U211)</f>
        <v>0</v>
      </c>
      <c r="X211" s="648"/>
      <c r="Y211" s="302">
        <f t="shared" si="36"/>
        <v>0</v>
      </c>
      <c r="Z211" s="329"/>
    </row>
    <row r="212" spans="2:26" x14ac:dyDescent="0.35">
      <c r="B212" s="603"/>
      <c r="D212" s="94" t="s">
        <v>106</v>
      </c>
      <c r="E212" s="604"/>
      <c r="F212" s="232" t="s">
        <v>187</v>
      </c>
      <c r="G212" s="318" t="s">
        <v>188</v>
      </c>
      <c r="H212" s="319"/>
      <c r="I212" s="320"/>
      <c r="J212" s="318" t="s">
        <v>279</v>
      </c>
      <c r="K212" s="627">
        <v>0</v>
      </c>
      <c r="L212" s="506">
        <v>192.08</v>
      </c>
      <c r="M212" s="366">
        <v>0.5</v>
      </c>
      <c r="N212" s="235">
        <v>1</v>
      </c>
      <c r="O212" s="507">
        <f>K212*L212*M212*N212</f>
        <v>0</v>
      </c>
      <c r="P212" s="235">
        <v>140008</v>
      </c>
      <c r="Q212" s="492">
        <f>P212*$O212</f>
        <v>0</v>
      </c>
      <c r="R212" s="235">
        <v>149108.51999999999</v>
      </c>
      <c r="S212" s="646">
        <f>R212*$O212</f>
        <v>0</v>
      </c>
      <c r="T212" s="235">
        <v>163305.33120000002</v>
      </c>
      <c r="U212" s="647">
        <f>$O212*T212</f>
        <v>0</v>
      </c>
      <c r="V212" s="235" t="e">
        <f>W212/O212</f>
        <v>#DIV/0!</v>
      </c>
      <c r="W212" s="478">
        <f>AVERAGEIF($P$3:$U$3,W$3,$P212:$U212)</f>
        <v>0</v>
      </c>
      <c r="X212" s="648"/>
      <c r="Y212" s="302">
        <f t="shared" si="36"/>
        <v>0</v>
      </c>
      <c r="Z212" s="232"/>
    </row>
    <row r="213" spans="2:26" hidden="1" x14ac:dyDescent="0.35">
      <c r="B213" s="603"/>
      <c r="E213" s="604"/>
      <c r="F213" s="232" t="s">
        <v>529</v>
      </c>
      <c r="G213" s="318" t="s">
        <v>334</v>
      </c>
      <c r="H213" s="319"/>
      <c r="I213" s="320"/>
      <c r="J213" s="318"/>
      <c r="K213" s="627">
        <v>0</v>
      </c>
      <c r="L213" s="506"/>
      <c r="M213" s="233"/>
      <c r="N213" s="235"/>
      <c r="O213" s="319"/>
      <c r="P213" s="492"/>
      <c r="Q213" s="492"/>
      <c r="R213" s="235">
        <v>0</v>
      </c>
      <c r="S213" s="646"/>
      <c r="T213" s="647"/>
      <c r="U213" s="647"/>
      <c r="V213" s="647"/>
      <c r="W213" s="647"/>
      <c r="X213" s="648"/>
      <c r="Y213" s="302"/>
      <c r="Z213" s="232"/>
    </row>
    <row r="214" spans="2:26" hidden="1" x14ac:dyDescent="0.35">
      <c r="B214" s="603"/>
      <c r="E214" s="604"/>
      <c r="F214" s="232" t="s">
        <v>530</v>
      </c>
      <c r="G214" s="318" t="s">
        <v>334</v>
      </c>
      <c r="H214" s="319"/>
      <c r="I214" s="320"/>
      <c r="J214" s="318"/>
      <c r="K214" s="627">
        <v>0</v>
      </c>
      <c r="L214" s="506">
        <v>131</v>
      </c>
      <c r="M214" s="366">
        <f>1050/1000</f>
        <v>1.05</v>
      </c>
      <c r="N214" s="235">
        <v>1</v>
      </c>
      <c r="O214" s="507">
        <f>K214*L214*M214*N214</f>
        <v>0</v>
      </c>
      <c r="P214" s="235">
        <v>110590</v>
      </c>
      <c r="Q214" s="492">
        <f>P214*$O214</f>
        <v>0</v>
      </c>
      <c r="R214" s="235">
        <v>110910</v>
      </c>
      <c r="S214" s="646">
        <f>R214*$O214</f>
        <v>0</v>
      </c>
      <c r="T214" s="235">
        <v>133813.90000000002</v>
      </c>
      <c r="U214" s="647">
        <f>$O214*T214</f>
        <v>0</v>
      </c>
      <c r="V214" s="235" t="e">
        <f>W214/O214</f>
        <v>#DIV/0!</v>
      </c>
      <c r="W214" s="478">
        <f>AVERAGEIF($P$3:$U$3,W$3,$P214:$U214)</f>
        <v>0</v>
      </c>
      <c r="X214" s="648"/>
      <c r="Y214" s="302">
        <f t="shared" si="36"/>
        <v>0</v>
      </c>
      <c r="Z214" s="232"/>
    </row>
    <row r="215" spans="2:26" hidden="1" x14ac:dyDescent="0.35">
      <c r="B215" s="603"/>
      <c r="E215" s="604"/>
      <c r="F215" s="232" t="s">
        <v>215</v>
      </c>
      <c r="G215" s="318" t="s">
        <v>205</v>
      </c>
      <c r="H215" s="319"/>
      <c r="I215" s="320"/>
      <c r="J215" s="318"/>
      <c r="K215" s="627">
        <v>0</v>
      </c>
      <c r="L215" s="506">
        <v>131</v>
      </c>
      <c r="M215" s="366">
        <v>2.8000000000000001E-2</v>
      </c>
      <c r="N215" s="235">
        <v>1</v>
      </c>
      <c r="O215" s="507">
        <f>K215*L215*M215*N215</f>
        <v>0</v>
      </c>
      <c r="P215" s="492"/>
      <c r="Q215" s="492"/>
      <c r="R215" s="235">
        <v>720338.0730320001</v>
      </c>
      <c r="S215" s="646">
        <f>R215*$O215</f>
        <v>0</v>
      </c>
      <c r="T215" s="647"/>
      <c r="U215" s="647"/>
      <c r="V215" s="647"/>
      <c r="W215" s="647"/>
      <c r="X215" s="648"/>
      <c r="Y215" s="302">
        <f t="shared" si="36"/>
        <v>0</v>
      </c>
      <c r="Z215" s="232"/>
    </row>
    <row r="216" spans="2:26" hidden="1" x14ac:dyDescent="0.35">
      <c r="B216" s="603"/>
      <c r="E216" s="604"/>
      <c r="F216" s="232" t="s">
        <v>531</v>
      </c>
      <c r="G216" s="318" t="s">
        <v>205</v>
      </c>
      <c r="H216" s="319"/>
      <c r="I216" s="320"/>
      <c r="J216" s="318"/>
      <c r="K216" s="627">
        <v>0</v>
      </c>
      <c r="L216" s="506">
        <v>131</v>
      </c>
      <c r="M216" s="366">
        <f>8/1000</f>
        <v>8.0000000000000002E-3</v>
      </c>
      <c r="N216" s="235">
        <v>1</v>
      </c>
      <c r="O216" s="507">
        <f>K216*L216*M216*N216</f>
        <v>0</v>
      </c>
      <c r="P216" s="235">
        <v>630976.61249999993</v>
      </c>
      <c r="Q216" s="492">
        <f>P216*$O216</f>
        <v>0</v>
      </c>
      <c r="R216" s="235">
        <v>662748.2415</v>
      </c>
      <c r="S216" s="646">
        <f>R216*$O216</f>
        <v>0</v>
      </c>
      <c r="T216" s="235">
        <v>577911.85919999995</v>
      </c>
      <c r="U216" s="647">
        <f>$O216*T216</f>
        <v>0</v>
      </c>
      <c r="V216" s="235" t="e">
        <f>W216/O216</f>
        <v>#DIV/0!</v>
      </c>
      <c r="W216" s="478">
        <f>AVERAGEIF($P$3:$U$3,W$3,$P216:$U216)</f>
        <v>0</v>
      </c>
      <c r="X216" s="648"/>
      <c r="Y216" s="302">
        <f t="shared" si="36"/>
        <v>0</v>
      </c>
      <c r="Z216" s="232"/>
    </row>
    <row r="217" spans="2:26" hidden="1" x14ac:dyDescent="0.35">
      <c r="B217" s="603"/>
      <c r="D217" s="606"/>
      <c r="E217" s="607"/>
      <c r="F217" s="232" t="s">
        <v>255</v>
      </c>
      <c r="G217" s="318" t="s">
        <v>205</v>
      </c>
      <c r="H217" s="319"/>
      <c r="I217" s="320"/>
      <c r="J217" s="318"/>
      <c r="K217" s="627">
        <v>0</v>
      </c>
      <c r="L217" s="506">
        <v>131</v>
      </c>
      <c r="M217" s="366">
        <f>8/1000</f>
        <v>8.0000000000000002E-3</v>
      </c>
      <c r="N217" s="235">
        <v>1</v>
      </c>
      <c r="O217" s="507">
        <f>K217*L217*M217*N217</f>
        <v>0</v>
      </c>
      <c r="P217" s="235">
        <v>680610.48749999993</v>
      </c>
      <c r="Q217" s="492">
        <f>P217*$O217</f>
        <v>0</v>
      </c>
      <c r="R217" s="235">
        <v>715047.82649999985</v>
      </c>
      <c r="S217" s="646">
        <f>R217*$O217</f>
        <v>0</v>
      </c>
      <c r="T217" s="235">
        <v>671314.50879999995</v>
      </c>
      <c r="U217" s="647">
        <f>$O217*T217</f>
        <v>0</v>
      </c>
      <c r="V217" s="235" t="e">
        <f>W217/O217</f>
        <v>#DIV/0!</v>
      </c>
      <c r="W217" s="478">
        <f>AVERAGEIF($P$3:$U$3,W$3,$P217:$U217)</f>
        <v>0</v>
      </c>
      <c r="X217" s="648"/>
      <c r="Y217" s="302">
        <f t="shared" si="36"/>
        <v>0</v>
      </c>
      <c r="Z217" s="232"/>
    </row>
    <row r="218" spans="2:26" x14ac:dyDescent="0.35">
      <c r="B218" s="603"/>
      <c r="D218" s="94" t="s">
        <v>109</v>
      </c>
      <c r="E218" s="604"/>
      <c r="F218" s="232" t="s">
        <v>187</v>
      </c>
      <c r="G218" s="318" t="s">
        <v>188</v>
      </c>
      <c r="H218" s="319"/>
      <c r="I218" s="320"/>
      <c r="J218" s="318"/>
      <c r="K218" s="627">
        <v>0</v>
      </c>
      <c r="L218" s="506">
        <v>192.08</v>
      </c>
      <c r="M218" s="366">
        <v>0.5</v>
      </c>
      <c r="N218" s="235">
        <v>1</v>
      </c>
      <c r="O218" s="507">
        <f>K218*L218*M218*N218</f>
        <v>0</v>
      </c>
      <c r="P218" s="492"/>
      <c r="Q218" s="492"/>
      <c r="R218" s="235">
        <v>149108.51999999999</v>
      </c>
      <c r="S218" s="646">
        <f>R218*$O218</f>
        <v>0</v>
      </c>
      <c r="T218" s="647"/>
      <c r="U218" s="647"/>
      <c r="V218" s="647"/>
      <c r="W218" s="647"/>
      <c r="X218" s="648"/>
      <c r="Y218" s="302">
        <f t="shared" si="36"/>
        <v>0</v>
      </c>
      <c r="Z218" s="232"/>
    </row>
    <row r="219" spans="2:26" hidden="1" x14ac:dyDescent="0.35">
      <c r="B219" s="603"/>
      <c r="E219" s="604"/>
      <c r="F219" s="232" t="s">
        <v>529</v>
      </c>
      <c r="G219" s="318" t="s">
        <v>334</v>
      </c>
      <c r="H219" s="319"/>
      <c r="I219" s="320"/>
      <c r="J219" s="318"/>
      <c r="K219" s="627">
        <v>0</v>
      </c>
      <c r="L219" s="506"/>
      <c r="M219" s="233"/>
      <c r="N219" s="233"/>
      <c r="O219" s="319"/>
      <c r="P219" s="492"/>
      <c r="Q219" s="492"/>
      <c r="R219" s="235">
        <v>0</v>
      </c>
      <c r="S219" s="646"/>
      <c r="T219" s="647"/>
      <c r="U219" s="647"/>
      <c r="V219" s="647"/>
      <c r="W219" s="647"/>
      <c r="X219" s="648"/>
      <c r="Y219" s="302"/>
      <c r="Z219" s="232"/>
    </row>
    <row r="220" spans="2:26" hidden="1" x14ac:dyDescent="0.35">
      <c r="B220" s="644"/>
      <c r="C220" s="286"/>
      <c r="D220" s="286"/>
      <c r="E220" s="645"/>
      <c r="F220" s="374" t="s">
        <v>530</v>
      </c>
      <c r="G220" s="625" t="s">
        <v>334</v>
      </c>
      <c r="H220" s="602"/>
      <c r="I220" s="626"/>
      <c r="J220" s="625"/>
      <c r="K220" s="627">
        <v>0</v>
      </c>
      <c r="L220" s="506">
        <v>6004</v>
      </c>
      <c r="M220" s="233">
        <f>1050/1000</f>
        <v>1.05</v>
      </c>
      <c r="N220" s="235">
        <v>1</v>
      </c>
      <c r="O220" s="507">
        <f t="shared" ref="O220:O228" si="37">K220*L220*M220*N220</f>
        <v>0</v>
      </c>
      <c r="P220" s="628"/>
      <c r="Q220" s="628"/>
      <c r="R220" s="235">
        <v>110910</v>
      </c>
      <c r="S220" s="646">
        <f t="shared" ref="S220:S228" si="38">R220*$O220</f>
        <v>0</v>
      </c>
      <c r="T220" s="650"/>
      <c r="U220" s="650"/>
      <c r="V220" s="650"/>
      <c r="W220" s="650"/>
      <c r="X220" s="648"/>
      <c r="Y220" s="302">
        <f t="shared" si="36"/>
        <v>0</v>
      </c>
      <c r="Z220" s="232"/>
    </row>
    <row r="221" spans="2:26" hidden="1" x14ac:dyDescent="0.35">
      <c r="B221" s="644"/>
      <c r="C221" s="286"/>
      <c r="D221" s="286"/>
      <c r="E221" s="645"/>
      <c r="F221" s="374" t="s">
        <v>215</v>
      </c>
      <c r="G221" s="625" t="s">
        <v>205</v>
      </c>
      <c r="H221" s="602"/>
      <c r="I221" s="626"/>
      <c r="J221" s="625"/>
      <c r="K221" s="627">
        <v>0</v>
      </c>
      <c r="L221" s="506">
        <v>6004</v>
      </c>
      <c r="M221" s="366">
        <v>2.8000000000000001E-2</v>
      </c>
      <c r="N221" s="235">
        <v>1</v>
      </c>
      <c r="O221" s="507">
        <f t="shared" si="37"/>
        <v>0</v>
      </c>
      <c r="P221" s="628"/>
      <c r="Q221" s="628"/>
      <c r="R221" s="235">
        <v>720338.0730320001</v>
      </c>
      <c r="S221" s="646">
        <f t="shared" si="38"/>
        <v>0</v>
      </c>
      <c r="T221" s="650"/>
      <c r="U221" s="650"/>
      <c r="V221" s="650"/>
      <c r="W221" s="650"/>
      <c r="X221" s="648"/>
      <c r="Y221" s="302">
        <f t="shared" si="36"/>
        <v>0</v>
      </c>
      <c r="Z221" s="232"/>
    </row>
    <row r="222" spans="2:26" hidden="1" x14ac:dyDescent="0.35">
      <c r="B222" s="644"/>
      <c r="C222" s="286"/>
      <c r="D222" s="286"/>
      <c r="E222" s="645"/>
      <c r="F222" s="374" t="s">
        <v>531</v>
      </c>
      <c r="G222" s="625" t="s">
        <v>205</v>
      </c>
      <c r="H222" s="602"/>
      <c r="I222" s="626"/>
      <c r="J222" s="625"/>
      <c r="K222" s="627">
        <v>0</v>
      </c>
      <c r="L222" s="506">
        <v>6004</v>
      </c>
      <c r="M222" s="366">
        <f>8/1000</f>
        <v>8.0000000000000002E-3</v>
      </c>
      <c r="N222" s="235">
        <v>1</v>
      </c>
      <c r="O222" s="507">
        <f t="shared" si="37"/>
        <v>0</v>
      </c>
      <c r="P222" s="628"/>
      <c r="Q222" s="628"/>
      <c r="R222" s="235">
        <v>662748.2415</v>
      </c>
      <c r="S222" s="646">
        <f t="shared" si="38"/>
        <v>0</v>
      </c>
      <c r="T222" s="650"/>
      <c r="U222" s="650"/>
      <c r="V222" s="650"/>
      <c r="W222" s="650"/>
      <c r="X222" s="648"/>
      <c r="Y222" s="302">
        <f t="shared" si="36"/>
        <v>0</v>
      </c>
      <c r="Z222" s="232"/>
    </row>
    <row r="223" spans="2:26" hidden="1" x14ac:dyDescent="0.35">
      <c r="B223" s="644"/>
      <c r="C223" s="286"/>
      <c r="D223" s="623"/>
      <c r="E223" s="624"/>
      <c r="F223" s="374" t="s">
        <v>255</v>
      </c>
      <c r="G223" s="625" t="s">
        <v>205</v>
      </c>
      <c r="H223" s="602"/>
      <c r="I223" s="626"/>
      <c r="J223" s="625"/>
      <c r="K223" s="627">
        <v>0</v>
      </c>
      <c r="L223" s="506">
        <v>6004</v>
      </c>
      <c r="M223" s="366">
        <f>8/1000</f>
        <v>8.0000000000000002E-3</v>
      </c>
      <c r="N223" s="235">
        <v>1</v>
      </c>
      <c r="O223" s="507">
        <f t="shared" si="37"/>
        <v>0</v>
      </c>
      <c r="P223" s="628"/>
      <c r="Q223" s="628"/>
      <c r="R223" s="235">
        <v>715047.82649999985</v>
      </c>
      <c r="S223" s="646">
        <f t="shared" si="38"/>
        <v>0</v>
      </c>
      <c r="T223" s="650"/>
      <c r="U223" s="650"/>
      <c r="V223" s="650"/>
      <c r="W223" s="650"/>
      <c r="X223" s="648"/>
      <c r="Y223" s="302">
        <f t="shared" si="36"/>
        <v>0</v>
      </c>
      <c r="Z223" s="232"/>
    </row>
    <row r="224" spans="2:26" x14ac:dyDescent="0.35">
      <c r="B224" s="644"/>
      <c r="C224" s="286"/>
      <c r="D224" s="655" t="s">
        <v>111</v>
      </c>
      <c r="E224" s="702"/>
      <c r="F224" s="232" t="s">
        <v>187</v>
      </c>
      <c r="G224" s="318" t="s">
        <v>188</v>
      </c>
      <c r="H224" s="319"/>
      <c r="I224" s="320"/>
      <c r="J224" s="318"/>
      <c r="K224" s="627">
        <v>0</v>
      </c>
      <c r="L224" s="506">
        <v>192.08</v>
      </c>
      <c r="M224" s="366">
        <v>0.5</v>
      </c>
      <c r="N224" s="235">
        <v>1</v>
      </c>
      <c r="O224" s="507">
        <f t="shared" si="37"/>
        <v>0</v>
      </c>
      <c r="P224" s="628"/>
      <c r="Q224" s="628"/>
      <c r="R224" s="235">
        <v>149108.51999999999</v>
      </c>
      <c r="S224" s="646">
        <f t="shared" si="38"/>
        <v>0</v>
      </c>
      <c r="T224" s="650"/>
      <c r="U224" s="650"/>
      <c r="V224" s="650"/>
      <c r="W224" s="650"/>
      <c r="X224" s="648"/>
      <c r="Y224" s="302">
        <f t="shared" si="36"/>
        <v>0</v>
      </c>
      <c r="Z224" s="232"/>
    </row>
    <row r="225" spans="2:26" hidden="1" x14ac:dyDescent="0.35">
      <c r="B225" s="644"/>
      <c r="C225" s="286"/>
      <c r="D225" s="286"/>
      <c r="E225" s="645"/>
      <c r="F225" s="374" t="s">
        <v>530</v>
      </c>
      <c r="G225" s="625" t="s">
        <v>334</v>
      </c>
      <c r="H225" s="602"/>
      <c r="I225" s="626"/>
      <c r="J225" s="625"/>
      <c r="K225" s="627">
        <v>0</v>
      </c>
      <c r="L225" s="506">
        <v>1106</v>
      </c>
      <c r="M225" s="366">
        <f>1050/1000</f>
        <v>1.05</v>
      </c>
      <c r="N225" s="235">
        <v>1</v>
      </c>
      <c r="O225" s="507">
        <f t="shared" si="37"/>
        <v>0</v>
      </c>
      <c r="P225" s="628"/>
      <c r="Q225" s="628"/>
      <c r="R225" s="235">
        <v>110910</v>
      </c>
      <c r="S225" s="646">
        <f t="shared" si="38"/>
        <v>0</v>
      </c>
      <c r="T225" s="650"/>
      <c r="U225" s="650"/>
      <c r="V225" s="650"/>
      <c r="W225" s="650"/>
      <c r="X225" s="648"/>
      <c r="Y225" s="302">
        <f t="shared" si="36"/>
        <v>0</v>
      </c>
      <c r="Z225" s="232"/>
    </row>
    <row r="226" spans="2:26" hidden="1" x14ac:dyDescent="0.35">
      <c r="B226" s="644"/>
      <c r="C226" s="286"/>
      <c r="D226" s="286"/>
      <c r="E226" s="645"/>
      <c r="F226" s="374" t="s">
        <v>215</v>
      </c>
      <c r="G226" s="625" t="s">
        <v>205</v>
      </c>
      <c r="H226" s="602"/>
      <c r="I226" s="626"/>
      <c r="J226" s="625"/>
      <c r="K226" s="627">
        <v>0</v>
      </c>
      <c r="L226" s="506">
        <v>1106</v>
      </c>
      <c r="M226" s="366">
        <v>2.8000000000000001E-2</v>
      </c>
      <c r="N226" s="235">
        <v>1</v>
      </c>
      <c r="O226" s="507">
        <f t="shared" si="37"/>
        <v>0</v>
      </c>
      <c r="P226" s="628"/>
      <c r="Q226" s="628"/>
      <c r="R226" s="235">
        <v>720338.0730320001</v>
      </c>
      <c r="S226" s="646">
        <f t="shared" si="38"/>
        <v>0</v>
      </c>
      <c r="T226" s="650"/>
      <c r="U226" s="650"/>
      <c r="V226" s="650"/>
      <c r="W226" s="650"/>
      <c r="X226" s="648"/>
      <c r="Y226" s="302">
        <f t="shared" si="36"/>
        <v>0</v>
      </c>
      <c r="Z226" s="232"/>
    </row>
    <row r="227" spans="2:26" hidden="1" x14ac:dyDescent="0.35">
      <c r="B227" s="644"/>
      <c r="C227" s="286"/>
      <c r="D227" s="286"/>
      <c r="E227" s="645"/>
      <c r="F227" s="374" t="s">
        <v>531</v>
      </c>
      <c r="G227" s="625" t="s">
        <v>205</v>
      </c>
      <c r="H227" s="602"/>
      <c r="I227" s="626"/>
      <c r="J227" s="625"/>
      <c r="K227" s="627">
        <v>0</v>
      </c>
      <c r="L227" s="506">
        <v>1106</v>
      </c>
      <c r="M227" s="366">
        <f>8/1000</f>
        <v>8.0000000000000002E-3</v>
      </c>
      <c r="N227" s="235">
        <v>1</v>
      </c>
      <c r="O227" s="507">
        <f t="shared" si="37"/>
        <v>0</v>
      </c>
      <c r="P227" s="628"/>
      <c r="Q227" s="628"/>
      <c r="R227" s="235">
        <v>662748.2415</v>
      </c>
      <c r="S227" s="646">
        <f t="shared" si="38"/>
        <v>0</v>
      </c>
      <c r="T227" s="650"/>
      <c r="U227" s="650"/>
      <c r="V227" s="650"/>
      <c r="W227" s="650"/>
      <c r="X227" s="648"/>
      <c r="Y227" s="302">
        <f t="shared" si="36"/>
        <v>0</v>
      </c>
      <c r="Z227" s="232"/>
    </row>
    <row r="228" spans="2:26" hidden="1" x14ac:dyDescent="0.35">
      <c r="B228" s="644"/>
      <c r="C228" s="286"/>
      <c r="D228" s="623"/>
      <c r="E228" s="624"/>
      <c r="F228" s="374" t="s">
        <v>255</v>
      </c>
      <c r="G228" s="625" t="s">
        <v>205</v>
      </c>
      <c r="H228" s="602"/>
      <c r="I228" s="626"/>
      <c r="J228" s="625"/>
      <c r="K228" s="627">
        <v>0</v>
      </c>
      <c r="L228" s="506">
        <v>1106</v>
      </c>
      <c r="M228" s="366">
        <f>8/1000</f>
        <v>8.0000000000000002E-3</v>
      </c>
      <c r="N228" s="235">
        <v>1</v>
      </c>
      <c r="O228" s="507">
        <f t="shared" si="37"/>
        <v>0</v>
      </c>
      <c r="P228" s="628"/>
      <c r="Q228" s="628"/>
      <c r="R228" s="235">
        <v>715047.82649999985</v>
      </c>
      <c r="S228" s="646">
        <f t="shared" si="38"/>
        <v>0</v>
      </c>
      <c r="T228" s="650"/>
      <c r="U228" s="650"/>
      <c r="V228" s="650"/>
      <c r="W228" s="650"/>
      <c r="X228" s="648"/>
      <c r="Y228" s="302">
        <f t="shared" si="36"/>
        <v>0</v>
      </c>
      <c r="Z228" s="232"/>
    </row>
    <row r="229" spans="2:26" x14ac:dyDescent="0.35">
      <c r="B229" s="644"/>
      <c r="C229" s="286"/>
      <c r="D229" s="655" t="s">
        <v>105</v>
      </c>
      <c r="E229" s="702"/>
      <c r="F229" s="374" t="s">
        <v>187</v>
      </c>
      <c r="G229" s="625" t="s">
        <v>188</v>
      </c>
      <c r="H229" s="602"/>
      <c r="I229" s="626"/>
      <c r="J229" s="625"/>
      <c r="K229" s="596"/>
      <c r="L229" s="496"/>
      <c r="M229" s="373">
        <f>1/100</f>
        <v>0.01</v>
      </c>
      <c r="N229" s="373">
        <v>2</v>
      </c>
      <c r="O229" s="602"/>
      <c r="P229" s="628"/>
      <c r="Q229" s="628"/>
      <c r="R229" s="628"/>
      <c r="S229" s="649"/>
      <c r="T229" s="650"/>
      <c r="U229" s="650"/>
      <c r="V229" s="650"/>
      <c r="W229" s="650"/>
      <c r="X229" s="648"/>
      <c r="Y229" s="302"/>
      <c r="Z229" s="232"/>
    </row>
    <row r="230" spans="2:26" hidden="1" x14ac:dyDescent="0.35">
      <c r="B230" s="644"/>
      <c r="C230" s="286"/>
      <c r="D230" s="286"/>
      <c r="E230" s="645"/>
      <c r="F230" s="374" t="s">
        <v>531</v>
      </c>
      <c r="G230" s="625" t="s">
        <v>205</v>
      </c>
      <c r="H230" s="602"/>
      <c r="I230" s="626"/>
      <c r="J230" s="318" t="s">
        <v>279</v>
      </c>
      <c r="K230" s="627"/>
      <c r="L230" s="496">
        <v>10</v>
      </c>
      <c r="M230" s="373">
        <f>3/1000</f>
        <v>3.0000000000000001E-3</v>
      </c>
      <c r="N230" s="373">
        <v>1</v>
      </c>
      <c r="O230" s="507">
        <f>K230*L230*M230*N230</f>
        <v>0</v>
      </c>
      <c r="P230" s="235">
        <v>630976.61249999993</v>
      </c>
      <c r="Q230" s="492">
        <f>P230*$O230</f>
        <v>0</v>
      </c>
      <c r="R230" s="235">
        <v>662748.2415</v>
      </c>
      <c r="S230" s="646">
        <f>R230*$O230</f>
        <v>0</v>
      </c>
      <c r="T230" s="235">
        <v>577911.85919999995</v>
      </c>
      <c r="U230" s="647">
        <f>$O230*T230</f>
        <v>0</v>
      </c>
      <c r="V230" s="235" t="e">
        <f>W230/O230</f>
        <v>#DIV/0!</v>
      </c>
      <c r="W230" s="478">
        <f>AVERAGEIF($P$3:$U$3,W$3,$P230:$U230)</f>
        <v>0</v>
      </c>
      <c r="X230" s="648"/>
      <c r="Y230" s="302"/>
      <c r="Z230" s="232"/>
    </row>
    <row r="231" spans="2:26" hidden="1" x14ac:dyDescent="0.35">
      <c r="B231" s="644"/>
      <c r="C231" s="286"/>
      <c r="D231" s="623"/>
      <c r="E231" s="624"/>
      <c r="F231" s="374" t="s">
        <v>255</v>
      </c>
      <c r="G231" s="625" t="s">
        <v>205</v>
      </c>
      <c r="H231" s="602"/>
      <c r="I231" s="626"/>
      <c r="J231" s="318" t="s">
        <v>279</v>
      </c>
      <c r="K231" s="627"/>
      <c r="L231" s="496">
        <v>10</v>
      </c>
      <c r="M231" s="373">
        <f>3/1000</f>
        <v>3.0000000000000001E-3</v>
      </c>
      <c r="N231" s="373">
        <v>1</v>
      </c>
      <c r="O231" s="507">
        <f>K231*L231*M231*N231</f>
        <v>0</v>
      </c>
      <c r="P231" s="235">
        <v>680610.48749999993</v>
      </c>
      <c r="Q231" s="492">
        <f>P231*$O231</f>
        <v>0</v>
      </c>
      <c r="R231" s="235">
        <v>715047.82649999985</v>
      </c>
      <c r="S231" s="646">
        <f>R231*$O231</f>
        <v>0</v>
      </c>
      <c r="T231" s="235">
        <v>671314.50879999995</v>
      </c>
      <c r="U231" s="647">
        <f>$O231*T231</f>
        <v>0</v>
      </c>
      <c r="V231" s="235" t="e">
        <f>W231/O231</f>
        <v>#DIV/0!</v>
      </c>
      <c r="W231" s="478">
        <f>AVERAGEIF($P$3:$U$3,W$3,$P231:$U231)</f>
        <v>0</v>
      </c>
      <c r="X231" s="648"/>
      <c r="Y231" s="302"/>
      <c r="Z231" s="232"/>
    </row>
    <row r="232" spans="2:26" x14ac:dyDescent="0.35">
      <c r="B232" s="644"/>
      <c r="C232" s="286"/>
      <c r="D232" s="655" t="s">
        <v>106</v>
      </c>
      <c r="E232" s="702"/>
      <c r="F232" s="374" t="s">
        <v>187</v>
      </c>
      <c r="G232" s="625" t="s">
        <v>188</v>
      </c>
      <c r="H232" s="602"/>
      <c r="I232" s="626"/>
      <c r="J232" s="625"/>
      <c r="K232" s="627"/>
      <c r="L232" s="496"/>
      <c r="M232" s="373">
        <f>1/100</f>
        <v>0.01</v>
      </c>
      <c r="N232" s="373">
        <v>2</v>
      </c>
      <c r="O232" s="602"/>
      <c r="P232" s="628"/>
      <c r="Q232" s="628"/>
      <c r="R232" s="628"/>
      <c r="S232" s="649"/>
      <c r="T232" s="650"/>
      <c r="U232" s="650"/>
      <c r="V232" s="650"/>
      <c r="W232" s="650"/>
      <c r="X232" s="648"/>
      <c r="Y232" s="302"/>
      <c r="Z232" s="232"/>
    </row>
    <row r="233" spans="2:26" hidden="1" x14ac:dyDescent="0.35">
      <c r="B233" s="644"/>
      <c r="C233" s="286"/>
      <c r="D233" s="286"/>
      <c r="E233" s="645"/>
      <c r="F233" s="374" t="s">
        <v>531</v>
      </c>
      <c r="G233" s="625" t="s">
        <v>205</v>
      </c>
      <c r="H233" s="602"/>
      <c r="I233" s="626"/>
      <c r="J233" s="318" t="s">
        <v>279</v>
      </c>
      <c r="K233" s="627"/>
      <c r="L233" s="506">
        <v>33</v>
      </c>
      <c r="M233" s="373">
        <f>2/1000</f>
        <v>2E-3</v>
      </c>
      <c r="N233" s="373">
        <v>1</v>
      </c>
      <c r="O233" s="507">
        <f>K233*L233*M233*N233</f>
        <v>0</v>
      </c>
      <c r="P233" s="235">
        <v>630976.61249999993</v>
      </c>
      <c r="Q233" s="492">
        <f>P233*$O233</f>
        <v>0</v>
      </c>
      <c r="R233" s="235">
        <v>662748.2415</v>
      </c>
      <c r="S233" s="646">
        <f>R233*$O233</f>
        <v>0</v>
      </c>
      <c r="T233" s="235">
        <v>577911.85919999995</v>
      </c>
      <c r="U233" s="647">
        <f>$O233*T233</f>
        <v>0</v>
      </c>
      <c r="V233" s="235" t="e">
        <f>W233/O233</f>
        <v>#DIV/0!</v>
      </c>
      <c r="W233" s="478">
        <f>AVERAGEIF($P$3:$U$3,W$3,$P233:$U233)</f>
        <v>0</v>
      </c>
      <c r="X233" s="648"/>
      <c r="Y233" s="302"/>
      <c r="Z233" s="232"/>
    </row>
    <row r="234" spans="2:26" hidden="1" x14ac:dyDescent="0.35">
      <c r="B234" s="622"/>
      <c r="C234" s="623"/>
      <c r="D234" s="623"/>
      <c r="E234" s="624"/>
      <c r="F234" s="374" t="s">
        <v>255</v>
      </c>
      <c r="G234" s="625" t="s">
        <v>205</v>
      </c>
      <c r="H234" s="602"/>
      <c r="I234" s="626"/>
      <c r="J234" s="318" t="s">
        <v>279</v>
      </c>
      <c r="K234" s="627"/>
      <c r="L234" s="506">
        <v>33</v>
      </c>
      <c r="M234" s="373">
        <f>2/1000</f>
        <v>2E-3</v>
      </c>
      <c r="N234" s="373">
        <v>1</v>
      </c>
      <c r="O234" s="507">
        <f>K234*L234*M234*N234</f>
        <v>0</v>
      </c>
      <c r="P234" s="235">
        <v>680610.48749999993</v>
      </c>
      <c r="Q234" s="492">
        <f>P234*$O234</f>
        <v>0</v>
      </c>
      <c r="R234" s="235">
        <v>715047.82649999985</v>
      </c>
      <c r="S234" s="646">
        <f>R234*$O234</f>
        <v>0</v>
      </c>
      <c r="T234" s="235">
        <v>671314.50879999995</v>
      </c>
      <c r="U234" s="647">
        <f>$O234*T234</f>
        <v>0</v>
      </c>
      <c r="V234" s="235" t="e">
        <f>W234/O234</f>
        <v>#DIV/0!</v>
      </c>
      <c r="W234" s="478">
        <f>AVERAGEIF($P$3:$U$3,W$3,$P234:$U234)</f>
        <v>0</v>
      </c>
      <c r="X234" s="648"/>
      <c r="Y234" s="302"/>
      <c r="Z234" s="232"/>
    </row>
    <row r="235" spans="2:26" x14ac:dyDescent="0.35">
      <c r="B235" s="630" t="s">
        <v>532</v>
      </c>
      <c r="C235" s="631"/>
      <c r="D235" s="631"/>
      <c r="E235" s="632"/>
      <c r="F235" s="633"/>
      <c r="G235" s="634"/>
      <c r="H235" s="635"/>
      <c r="I235" s="636"/>
      <c r="J235" s="634"/>
      <c r="K235" s="637"/>
      <c r="L235" s="638"/>
      <c r="M235" s="639"/>
      <c r="N235" s="639"/>
      <c r="O235" s="635"/>
      <c r="P235" s="640"/>
      <c r="Q235" s="640"/>
      <c r="R235" s="640"/>
      <c r="S235" s="651">
        <f>SUM(S200:S228)</f>
        <v>0</v>
      </c>
      <c r="T235" s="650"/>
      <c r="U235" s="650"/>
      <c r="V235" s="650"/>
      <c r="W235" s="650"/>
      <c r="X235" s="681"/>
      <c r="Y235" s="653">
        <f t="shared" ref="Y235" si="39">S235/192.08</f>
        <v>0</v>
      </c>
      <c r="Z235" s="643">
        <f>S235/3572533847.92*100</f>
        <v>0</v>
      </c>
    </row>
    <row r="236" spans="2:26" x14ac:dyDescent="0.35">
      <c r="B236" s="602"/>
      <c r="C236" s="626" t="s">
        <v>533</v>
      </c>
      <c r="D236" s="626"/>
      <c r="E236" s="678"/>
      <c r="F236" s="374"/>
      <c r="G236" s="625"/>
      <c r="H236" s="602"/>
      <c r="I236" s="626"/>
      <c r="J236" s="625"/>
      <c r="K236" s="596"/>
      <c r="L236" s="496"/>
      <c r="M236" s="373"/>
      <c r="N236" s="373"/>
      <c r="O236" s="602"/>
      <c r="P236" s="628"/>
      <c r="Q236" s="628"/>
      <c r="R236" s="235"/>
      <c r="S236" s="649"/>
      <c r="T236" s="650"/>
      <c r="U236" s="650"/>
      <c r="V236" s="650"/>
      <c r="W236" s="650"/>
      <c r="X236" s="648"/>
      <c r="Y236" s="302"/>
      <c r="Z236" s="232"/>
    </row>
    <row r="237" spans="2:26" x14ac:dyDescent="0.35">
      <c r="B237" s="603"/>
      <c r="D237" s="94" t="s">
        <v>113</v>
      </c>
      <c r="E237" s="604"/>
      <c r="F237" s="232" t="s">
        <v>187</v>
      </c>
      <c r="G237" s="318" t="s">
        <v>188</v>
      </c>
      <c r="H237" s="319"/>
      <c r="I237" s="320"/>
      <c r="J237" s="318"/>
      <c r="K237" s="627">
        <v>0</v>
      </c>
      <c r="L237" s="506"/>
      <c r="M237" s="235">
        <v>1</v>
      </c>
      <c r="N237" s="235">
        <v>1</v>
      </c>
      <c r="O237" s="507">
        <f t="shared" ref="O237:O249" si="40">K237*L237*M237*N237</f>
        <v>0</v>
      </c>
      <c r="P237" s="492"/>
      <c r="Q237" s="492"/>
      <c r="R237" s="235">
        <v>149108.51999999999</v>
      </c>
      <c r="S237" s="646">
        <f t="shared" ref="S237:S249" si="41">R237*$O237</f>
        <v>0</v>
      </c>
      <c r="T237" s="647"/>
      <c r="U237" s="647"/>
      <c r="V237" s="647"/>
      <c r="W237" s="647"/>
      <c r="X237" s="648"/>
      <c r="Y237" s="302">
        <f t="shared" ref="Y237:Y249" si="42">S237/192.08</f>
        <v>0</v>
      </c>
      <c r="Z237" s="232"/>
    </row>
    <row r="238" spans="2:26" hidden="1" x14ac:dyDescent="0.35">
      <c r="B238" s="603"/>
      <c r="E238" s="604"/>
      <c r="F238" s="232" t="s">
        <v>262</v>
      </c>
      <c r="G238" s="318" t="s">
        <v>10</v>
      </c>
      <c r="H238" s="319"/>
      <c r="I238" s="320"/>
      <c r="J238" s="318"/>
      <c r="K238" s="627">
        <v>0</v>
      </c>
      <c r="L238" s="506"/>
      <c r="M238" s="235">
        <v>1</v>
      </c>
      <c r="N238" s="235">
        <v>1</v>
      </c>
      <c r="O238" s="507">
        <f t="shared" si="40"/>
        <v>0</v>
      </c>
      <c r="P238" s="492"/>
      <c r="Q238" s="492"/>
      <c r="R238" s="235">
        <v>66550000.000000007</v>
      </c>
      <c r="S238" s="646">
        <f t="shared" si="41"/>
        <v>0</v>
      </c>
      <c r="T238" s="647"/>
      <c r="U238" s="647"/>
      <c r="V238" s="647"/>
      <c r="W238" s="647"/>
      <c r="X238" s="648"/>
      <c r="Y238" s="302">
        <f t="shared" si="42"/>
        <v>0</v>
      </c>
      <c r="Z238" s="232"/>
    </row>
    <row r="239" spans="2:26" hidden="1" x14ac:dyDescent="0.35">
      <c r="B239" s="603"/>
      <c r="E239" s="604"/>
      <c r="F239" s="703" t="s">
        <v>534</v>
      </c>
      <c r="G239" s="704" t="s">
        <v>10</v>
      </c>
      <c r="H239" s="705"/>
      <c r="I239" s="706"/>
      <c r="J239" s="704"/>
      <c r="K239" s="627">
        <v>0</v>
      </c>
      <c r="L239" s="707">
        <v>6</v>
      </c>
      <c r="M239" s="708">
        <v>1</v>
      </c>
      <c r="N239" s="709">
        <v>1</v>
      </c>
      <c r="O239" s="507">
        <f t="shared" si="40"/>
        <v>0</v>
      </c>
      <c r="P239" s="710"/>
      <c r="Q239" s="710"/>
      <c r="R239" s="235">
        <v>63525000</v>
      </c>
      <c r="S239" s="646">
        <f t="shared" si="41"/>
        <v>0</v>
      </c>
      <c r="T239" s="711"/>
      <c r="U239" s="711"/>
      <c r="V239" s="711"/>
      <c r="W239" s="711"/>
      <c r="X239" s="648"/>
      <c r="Y239" s="302">
        <f t="shared" si="42"/>
        <v>0</v>
      </c>
      <c r="Z239" s="232"/>
    </row>
    <row r="240" spans="2:26" hidden="1" x14ac:dyDescent="0.35">
      <c r="B240" s="603"/>
      <c r="E240" s="604"/>
      <c r="F240" s="703" t="s">
        <v>535</v>
      </c>
      <c r="G240" s="704" t="s">
        <v>10</v>
      </c>
      <c r="H240" s="705"/>
      <c r="I240" s="706"/>
      <c r="J240" s="704"/>
      <c r="K240" s="627">
        <v>0</v>
      </c>
      <c r="L240" s="707">
        <v>1</v>
      </c>
      <c r="M240" s="708">
        <v>1</v>
      </c>
      <c r="N240" s="709">
        <v>1</v>
      </c>
      <c r="O240" s="507">
        <f t="shared" si="40"/>
        <v>0</v>
      </c>
      <c r="P240" s="710"/>
      <c r="Q240" s="710"/>
      <c r="R240" s="235">
        <f>R239+(12705000*4)</f>
        <v>114345000</v>
      </c>
      <c r="S240" s="646">
        <f t="shared" si="41"/>
        <v>0</v>
      </c>
      <c r="T240" s="711"/>
      <c r="U240" s="711"/>
      <c r="V240" s="711"/>
      <c r="W240" s="711"/>
      <c r="X240" s="648"/>
      <c r="Y240" s="302">
        <f t="shared" si="42"/>
        <v>0</v>
      </c>
      <c r="Z240" s="232"/>
    </row>
    <row r="241" spans="2:26" hidden="1" x14ac:dyDescent="0.35">
      <c r="B241" s="603"/>
      <c r="E241" s="604"/>
      <c r="F241" s="703" t="s">
        <v>536</v>
      </c>
      <c r="G241" s="704" t="s">
        <v>10</v>
      </c>
      <c r="H241" s="705"/>
      <c r="I241" s="706"/>
      <c r="J241" s="704"/>
      <c r="K241" s="627">
        <v>0</v>
      </c>
      <c r="L241" s="707">
        <v>4</v>
      </c>
      <c r="M241" s="708">
        <v>1</v>
      </c>
      <c r="N241" s="709">
        <v>1</v>
      </c>
      <c r="O241" s="507">
        <f t="shared" si="40"/>
        <v>0</v>
      </c>
      <c r="P241" s="710"/>
      <c r="Q241" s="710"/>
      <c r="R241" s="235">
        <f>R239+(12705000*4)</f>
        <v>114345000</v>
      </c>
      <c r="S241" s="646">
        <f t="shared" si="41"/>
        <v>0</v>
      </c>
      <c r="T241" s="711"/>
      <c r="U241" s="711"/>
      <c r="V241" s="711"/>
      <c r="W241" s="711"/>
      <c r="X241" s="648"/>
      <c r="Y241" s="302">
        <f t="shared" si="42"/>
        <v>0</v>
      </c>
      <c r="Z241" s="232"/>
    </row>
    <row r="242" spans="2:26" hidden="1" x14ac:dyDescent="0.35">
      <c r="B242" s="603"/>
      <c r="E242" s="604"/>
      <c r="F242" s="703" t="s">
        <v>537</v>
      </c>
      <c r="G242" s="704" t="s">
        <v>10</v>
      </c>
      <c r="H242" s="705"/>
      <c r="I242" s="706"/>
      <c r="J242" s="704"/>
      <c r="K242" s="627">
        <v>0</v>
      </c>
      <c r="L242" s="707">
        <v>4</v>
      </c>
      <c r="M242" s="708">
        <v>1</v>
      </c>
      <c r="N242" s="709">
        <v>1</v>
      </c>
      <c r="O242" s="507">
        <f t="shared" si="40"/>
        <v>0</v>
      </c>
      <c r="P242" s="710"/>
      <c r="Q242" s="710"/>
      <c r="R242" s="235">
        <f>R239+(12705000*6)</f>
        <v>139755000</v>
      </c>
      <c r="S242" s="646">
        <f t="shared" si="41"/>
        <v>0</v>
      </c>
      <c r="T242" s="711"/>
      <c r="U242" s="711"/>
      <c r="V242" s="711"/>
      <c r="W242" s="711"/>
      <c r="X242" s="648"/>
      <c r="Y242" s="302">
        <f t="shared" si="42"/>
        <v>0</v>
      </c>
      <c r="Z242" s="232"/>
    </row>
    <row r="243" spans="2:26" hidden="1" x14ac:dyDescent="0.35">
      <c r="B243" s="603"/>
      <c r="E243" s="604"/>
      <c r="F243" s="703" t="s">
        <v>538</v>
      </c>
      <c r="G243" s="704" t="s">
        <v>10</v>
      </c>
      <c r="H243" s="705"/>
      <c r="I243" s="706"/>
      <c r="J243" s="704"/>
      <c r="K243" s="627">
        <v>0</v>
      </c>
      <c r="L243" s="707">
        <v>1</v>
      </c>
      <c r="M243" s="708">
        <v>1</v>
      </c>
      <c r="N243" s="709">
        <v>1</v>
      </c>
      <c r="O243" s="507">
        <f t="shared" si="40"/>
        <v>0</v>
      </c>
      <c r="P243" s="710"/>
      <c r="Q243" s="710"/>
      <c r="R243" s="235">
        <f>R239+(12705000*8)</f>
        <v>165165000</v>
      </c>
      <c r="S243" s="646">
        <f t="shared" si="41"/>
        <v>0</v>
      </c>
      <c r="T243" s="711"/>
      <c r="U243" s="711"/>
      <c r="V243" s="711"/>
      <c r="W243" s="711"/>
      <c r="X243" s="648"/>
      <c r="Y243" s="302">
        <f t="shared" si="42"/>
        <v>0</v>
      </c>
      <c r="Z243" s="232"/>
    </row>
    <row r="244" spans="2:26" hidden="1" x14ac:dyDescent="0.35">
      <c r="B244" s="603"/>
      <c r="E244" s="604"/>
      <c r="F244" s="703" t="s">
        <v>539</v>
      </c>
      <c r="G244" s="704" t="s">
        <v>10</v>
      </c>
      <c r="H244" s="705"/>
      <c r="I244" s="706"/>
      <c r="J244" s="704"/>
      <c r="K244" s="627">
        <v>0</v>
      </c>
      <c r="L244" s="707">
        <v>1</v>
      </c>
      <c r="M244" s="708">
        <v>1</v>
      </c>
      <c r="N244" s="709">
        <v>1</v>
      </c>
      <c r="O244" s="507">
        <f t="shared" si="40"/>
        <v>0</v>
      </c>
      <c r="P244" s="710"/>
      <c r="Q244" s="710"/>
      <c r="R244" s="235">
        <v>51809625</v>
      </c>
      <c r="S244" s="646">
        <f t="shared" si="41"/>
        <v>0</v>
      </c>
      <c r="T244" s="711"/>
      <c r="U244" s="711"/>
      <c r="V244" s="711"/>
      <c r="W244" s="711"/>
      <c r="X244" s="648"/>
      <c r="Y244" s="302">
        <f t="shared" si="42"/>
        <v>0</v>
      </c>
      <c r="Z244" s="232"/>
    </row>
    <row r="245" spans="2:26" hidden="1" x14ac:dyDescent="0.35">
      <c r="B245" s="603"/>
      <c r="E245" s="604"/>
      <c r="F245" s="703" t="s">
        <v>540</v>
      </c>
      <c r="G245" s="704" t="s">
        <v>10</v>
      </c>
      <c r="H245" s="705"/>
      <c r="I245" s="706"/>
      <c r="J245" s="704"/>
      <c r="K245" s="627">
        <v>0</v>
      </c>
      <c r="L245" s="707">
        <v>1</v>
      </c>
      <c r="M245" s="712">
        <v>1</v>
      </c>
      <c r="N245" s="709">
        <v>1</v>
      </c>
      <c r="O245" s="507">
        <f t="shared" si="40"/>
        <v>0</v>
      </c>
      <c r="P245" s="710"/>
      <c r="Q245" s="710"/>
      <c r="R245" s="235">
        <v>80784000</v>
      </c>
      <c r="S245" s="646">
        <f t="shared" si="41"/>
        <v>0</v>
      </c>
      <c r="T245" s="711"/>
      <c r="U245" s="711"/>
      <c r="V245" s="711"/>
      <c r="W245" s="711"/>
      <c r="X245" s="648"/>
      <c r="Y245" s="302">
        <f t="shared" si="42"/>
        <v>0</v>
      </c>
      <c r="Z245" s="232"/>
    </row>
    <row r="246" spans="2:26" hidden="1" x14ac:dyDescent="0.35">
      <c r="B246" s="603"/>
      <c r="E246" s="604"/>
      <c r="F246" s="703" t="s">
        <v>541</v>
      </c>
      <c r="G246" s="704" t="s">
        <v>10</v>
      </c>
      <c r="H246" s="705"/>
      <c r="I246" s="706"/>
      <c r="J246" s="704"/>
      <c r="K246" s="627">
        <v>0</v>
      </c>
      <c r="L246" s="707"/>
      <c r="M246" s="712">
        <v>1</v>
      </c>
      <c r="N246" s="709">
        <v>1</v>
      </c>
      <c r="O246" s="507">
        <f t="shared" si="40"/>
        <v>0</v>
      </c>
      <c r="P246" s="710"/>
      <c r="Q246" s="710"/>
      <c r="R246" s="235">
        <v>104346000</v>
      </c>
      <c r="S246" s="646">
        <f t="shared" si="41"/>
        <v>0</v>
      </c>
      <c r="T246" s="711"/>
      <c r="U246" s="711"/>
      <c r="V246" s="711"/>
      <c r="W246" s="711"/>
      <c r="X246" s="648"/>
      <c r="Y246" s="302">
        <f t="shared" si="42"/>
        <v>0</v>
      </c>
      <c r="Z246" s="232"/>
    </row>
    <row r="247" spans="2:26" hidden="1" x14ac:dyDescent="0.35">
      <c r="B247" s="603"/>
      <c r="E247" s="604"/>
      <c r="F247" s="703" t="s">
        <v>542</v>
      </c>
      <c r="G247" s="704"/>
      <c r="H247" s="705"/>
      <c r="I247" s="706"/>
      <c r="J247" s="704"/>
      <c r="K247" s="627">
        <v>0</v>
      </c>
      <c r="L247" s="707">
        <v>2</v>
      </c>
      <c r="M247" s="712">
        <v>1</v>
      </c>
      <c r="N247" s="709">
        <v>1</v>
      </c>
      <c r="O247" s="507">
        <f t="shared" si="40"/>
        <v>0</v>
      </c>
      <c r="P247" s="710"/>
      <c r="Q247" s="710"/>
      <c r="R247" s="235">
        <v>51809625</v>
      </c>
      <c r="S247" s="646">
        <f t="shared" si="41"/>
        <v>0</v>
      </c>
      <c r="T247" s="711"/>
      <c r="U247" s="711"/>
      <c r="V247" s="711"/>
      <c r="W247" s="711"/>
      <c r="X247" s="648"/>
      <c r="Y247" s="302">
        <f t="shared" si="42"/>
        <v>0</v>
      </c>
      <c r="Z247" s="232"/>
    </row>
    <row r="248" spans="2:26" hidden="1" x14ac:dyDescent="0.35">
      <c r="B248" s="603"/>
      <c r="E248" s="604"/>
      <c r="F248" s="703" t="s">
        <v>215</v>
      </c>
      <c r="G248" s="704" t="s">
        <v>205</v>
      </c>
      <c r="H248" s="705"/>
      <c r="I248" s="706"/>
      <c r="J248" s="704"/>
      <c r="K248" s="627">
        <v>0</v>
      </c>
      <c r="L248" s="707">
        <v>20</v>
      </c>
      <c r="M248" s="712">
        <v>6</v>
      </c>
      <c r="N248" s="709">
        <v>1</v>
      </c>
      <c r="O248" s="664">
        <f t="shared" si="40"/>
        <v>0</v>
      </c>
      <c r="P248" s="710"/>
      <c r="Q248" s="710"/>
      <c r="R248" s="235">
        <v>720338.0730320001</v>
      </c>
      <c r="S248" s="646">
        <f t="shared" si="41"/>
        <v>0</v>
      </c>
      <c r="T248" s="711"/>
      <c r="U248" s="711"/>
      <c r="V248" s="711"/>
      <c r="W248" s="711"/>
      <c r="X248" s="648"/>
      <c r="Y248" s="302">
        <f t="shared" si="42"/>
        <v>0</v>
      </c>
      <c r="Z248" s="232"/>
    </row>
    <row r="249" spans="2:26" hidden="1" x14ac:dyDescent="0.35">
      <c r="B249" s="603"/>
      <c r="E249" s="604"/>
      <c r="F249" s="703" t="s">
        <v>263</v>
      </c>
      <c r="G249" s="704" t="s">
        <v>205</v>
      </c>
      <c r="H249" s="705"/>
      <c r="I249" s="706"/>
      <c r="J249" s="704"/>
      <c r="K249" s="627">
        <v>0</v>
      </c>
      <c r="L249" s="707">
        <v>20</v>
      </c>
      <c r="M249" s="712">
        <v>7</v>
      </c>
      <c r="N249" s="709">
        <v>1</v>
      </c>
      <c r="O249" s="664">
        <f t="shared" si="40"/>
        <v>0</v>
      </c>
      <c r="P249" s="710"/>
      <c r="Q249" s="710"/>
      <c r="R249" s="235">
        <v>680210.06624999992</v>
      </c>
      <c r="S249" s="646">
        <f t="shared" si="41"/>
        <v>0</v>
      </c>
      <c r="T249" s="711"/>
      <c r="U249" s="711"/>
      <c r="V249" s="711"/>
      <c r="W249" s="711"/>
      <c r="X249" s="648"/>
      <c r="Y249" s="302">
        <f t="shared" si="42"/>
        <v>0</v>
      </c>
      <c r="Z249" s="232"/>
    </row>
    <row r="250" spans="2:26" x14ac:dyDescent="0.35">
      <c r="B250" s="603"/>
      <c r="D250" s="599" t="s">
        <v>543</v>
      </c>
      <c r="E250" s="600"/>
      <c r="F250" s="232" t="s">
        <v>187</v>
      </c>
      <c r="G250" s="318" t="s">
        <v>188</v>
      </c>
      <c r="H250" s="319"/>
      <c r="I250" s="320"/>
      <c r="J250" s="318"/>
      <c r="K250" s="501"/>
      <c r="L250" s="506"/>
      <c r="M250" s="233"/>
      <c r="N250" s="235">
        <v>1</v>
      </c>
      <c r="O250" s="319"/>
      <c r="P250" s="492"/>
      <c r="Q250" s="492"/>
      <c r="R250" s="492"/>
      <c r="S250" s="646"/>
      <c r="T250" s="647"/>
      <c r="U250" s="647"/>
      <c r="V250" s="647"/>
      <c r="W250" s="647"/>
      <c r="X250" s="648"/>
      <c r="Y250" s="302"/>
      <c r="Z250" s="232"/>
    </row>
    <row r="251" spans="2:26" hidden="1" x14ac:dyDescent="0.35">
      <c r="B251" s="603"/>
      <c r="E251" s="604"/>
      <c r="F251" s="232" t="s">
        <v>269</v>
      </c>
      <c r="G251" s="318" t="s">
        <v>10</v>
      </c>
      <c r="H251" s="319"/>
      <c r="I251" s="320"/>
      <c r="J251" s="318"/>
      <c r="K251" s="501"/>
      <c r="L251" s="506"/>
      <c r="M251" s="233"/>
      <c r="N251" s="235">
        <v>1</v>
      </c>
      <c r="O251" s="319"/>
      <c r="P251" s="492"/>
      <c r="Q251" s="492"/>
      <c r="R251" s="492"/>
      <c r="S251" s="646"/>
      <c r="T251" s="647"/>
      <c r="U251" s="647"/>
      <c r="V251" s="647"/>
      <c r="W251" s="647"/>
      <c r="X251" s="648"/>
      <c r="Y251" s="302"/>
      <c r="Z251" s="232"/>
    </row>
    <row r="252" spans="2:26" hidden="1" x14ac:dyDescent="0.35">
      <c r="B252" s="603"/>
      <c r="D252" s="606"/>
      <c r="E252" s="607"/>
      <c r="F252" s="232" t="s">
        <v>215</v>
      </c>
      <c r="G252" s="318" t="s">
        <v>205</v>
      </c>
      <c r="H252" s="319"/>
      <c r="I252" s="320"/>
      <c r="J252" s="318"/>
      <c r="K252" s="501"/>
      <c r="L252" s="506"/>
      <c r="M252" s="235">
        <v>10</v>
      </c>
      <c r="N252" s="235">
        <v>1</v>
      </c>
      <c r="O252" s="319"/>
      <c r="P252" s="492"/>
      <c r="Q252" s="492"/>
      <c r="R252" s="492"/>
      <c r="S252" s="646"/>
      <c r="T252" s="647"/>
      <c r="U252" s="647"/>
      <c r="V252" s="647"/>
      <c r="W252" s="647"/>
      <c r="X252" s="648"/>
      <c r="Y252" s="302"/>
      <c r="Z252" s="232"/>
    </row>
    <row r="253" spans="2:26" x14ac:dyDescent="0.35">
      <c r="B253" s="644"/>
      <c r="C253" s="286"/>
      <c r="D253" s="286" t="s">
        <v>115</v>
      </c>
      <c r="E253" s="645"/>
      <c r="F253" s="374" t="s">
        <v>187</v>
      </c>
      <c r="G253" s="625" t="s">
        <v>188</v>
      </c>
      <c r="H253" s="602"/>
      <c r="I253" s="626"/>
      <c r="J253" s="625"/>
      <c r="K253" s="627">
        <v>0</v>
      </c>
      <c r="L253" s="496">
        <v>11</v>
      </c>
      <c r="M253" s="372">
        <v>2</v>
      </c>
      <c r="N253" s="372">
        <v>1</v>
      </c>
      <c r="O253" s="507">
        <f t="shared" ref="O253:O259" si="43">K253*L253*M253*N253</f>
        <v>0</v>
      </c>
      <c r="P253" s="235">
        <v>140008</v>
      </c>
      <c r="Q253" s="492">
        <f t="shared" ref="Q253:Q259" si="44">P253*$O253</f>
        <v>0</v>
      </c>
      <c r="R253" s="235">
        <v>149108.51999999999</v>
      </c>
      <c r="S253" s="646">
        <f t="shared" ref="S253:S259" si="45">R253*$O253</f>
        <v>0</v>
      </c>
      <c r="T253" s="650"/>
      <c r="U253" s="650"/>
      <c r="V253" s="650"/>
      <c r="W253" s="650"/>
      <c r="X253" s="648"/>
      <c r="Y253" s="302">
        <f t="shared" ref="Y253:Y262" si="46">S253/192.08</f>
        <v>0</v>
      </c>
      <c r="Z253" s="232"/>
    </row>
    <row r="254" spans="2:26" hidden="1" x14ac:dyDescent="0.35">
      <c r="B254" s="644"/>
      <c r="C254" s="286"/>
      <c r="D254" s="286"/>
      <c r="E254" s="645"/>
      <c r="F254" s="374" t="s">
        <v>115</v>
      </c>
      <c r="G254" s="625" t="s">
        <v>10</v>
      </c>
      <c r="H254" s="602"/>
      <c r="I254" s="626"/>
      <c r="J254" s="625"/>
      <c r="K254" s="627">
        <v>0</v>
      </c>
      <c r="L254" s="496">
        <v>11</v>
      </c>
      <c r="M254" s="372">
        <v>6</v>
      </c>
      <c r="N254" s="372">
        <v>1</v>
      </c>
      <c r="O254" s="507">
        <f t="shared" si="43"/>
        <v>0</v>
      </c>
      <c r="P254" s="235">
        <v>400000</v>
      </c>
      <c r="Q254" s="492">
        <f t="shared" si="44"/>
        <v>0</v>
      </c>
      <c r="R254" s="235">
        <v>440000.00000000006</v>
      </c>
      <c r="S254" s="646">
        <f t="shared" si="45"/>
        <v>0</v>
      </c>
      <c r="T254" s="650"/>
      <c r="U254" s="650"/>
      <c r="V254" s="650"/>
      <c r="W254" s="650"/>
      <c r="X254" s="648"/>
      <c r="Y254" s="302">
        <f t="shared" si="46"/>
        <v>0</v>
      </c>
      <c r="Z254" s="232"/>
    </row>
    <row r="255" spans="2:26" hidden="1" x14ac:dyDescent="0.35">
      <c r="B255" s="644"/>
      <c r="C255" s="286"/>
      <c r="D255" s="623"/>
      <c r="E255" s="624"/>
      <c r="F255" s="374" t="s">
        <v>263</v>
      </c>
      <c r="G255" s="625" t="s">
        <v>205</v>
      </c>
      <c r="H255" s="602"/>
      <c r="I255" s="626"/>
      <c r="J255" s="625"/>
      <c r="K255" s="627">
        <v>0</v>
      </c>
      <c r="L255" s="496">
        <v>11</v>
      </c>
      <c r="M255" s="372">
        <v>5</v>
      </c>
      <c r="N255" s="372">
        <v>1</v>
      </c>
      <c r="O255" s="507">
        <f t="shared" si="43"/>
        <v>0</v>
      </c>
      <c r="P255" s="235">
        <v>647269.96874999988</v>
      </c>
      <c r="Q255" s="492">
        <f t="shared" si="44"/>
        <v>0</v>
      </c>
      <c r="R255" s="235">
        <v>680210.06624999992</v>
      </c>
      <c r="S255" s="646">
        <f t="shared" si="45"/>
        <v>0</v>
      </c>
      <c r="T255" s="650"/>
      <c r="U255" s="650"/>
      <c r="V255" s="650"/>
      <c r="W255" s="650"/>
      <c r="X255" s="648"/>
      <c r="Y255" s="302">
        <f t="shared" si="46"/>
        <v>0</v>
      </c>
      <c r="Z255" s="232"/>
    </row>
    <row r="256" spans="2:26" x14ac:dyDescent="0.35">
      <c r="B256" s="644"/>
      <c r="C256" s="286"/>
      <c r="D256" s="655" t="s">
        <v>117</v>
      </c>
      <c r="E256" s="702"/>
      <c r="F256" s="374" t="s">
        <v>187</v>
      </c>
      <c r="G256" s="625" t="s">
        <v>188</v>
      </c>
      <c r="H256" s="602"/>
      <c r="I256" s="626"/>
      <c r="J256" s="625"/>
      <c r="K256" s="627">
        <v>0</v>
      </c>
      <c r="L256" s="496">
        <v>5</v>
      </c>
      <c r="M256" s="372">
        <v>2</v>
      </c>
      <c r="N256" s="372">
        <v>1</v>
      </c>
      <c r="O256" s="507">
        <f t="shared" si="43"/>
        <v>0</v>
      </c>
      <c r="P256" s="235">
        <v>140008</v>
      </c>
      <c r="Q256" s="492">
        <f t="shared" si="44"/>
        <v>0</v>
      </c>
      <c r="R256" s="235">
        <v>149108.51999999999</v>
      </c>
      <c r="S256" s="646">
        <f t="shared" si="45"/>
        <v>0</v>
      </c>
      <c r="T256" s="650"/>
      <c r="U256" s="650"/>
      <c r="V256" s="650"/>
      <c r="W256" s="650"/>
      <c r="X256" s="648"/>
      <c r="Y256" s="302">
        <f t="shared" si="46"/>
        <v>0</v>
      </c>
      <c r="Z256" s="232"/>
    </row>
    <row r="257" spans="2:26" hidden="1" x14ac:dyDescent="0.35">
      <c r="B257" s="644"/>
      <c r="C257" s="286"/>
      <c r="D257" s="286"/>
      <c r="E257" s="645"/>
      <c r="F257" s="374" t="s">
        <v>544</v>
      </c>
      <c r="G257" s="625" t="s">
        <v>10</v>
      </c>
      <c r="H257" s="602"/>
      <c r="I257" s="626"/>
      <c r="J257" s="625"/>
      <c r="K257" s="627">
        <v>0</v>
      </c>
      <c r="L257" s="496">
        <v>5</v>
      </c>
      <c r="M257" s="372">
        <v>6</v>
      </c>
      <c r="N257" s="372">
        <v>1</v>
      </c>
      <c r="O257" s="507">
        <f t="shared" si="43"/>
        <v>0</v>
      </c>
      <c r="P257" s="235">
        <v>550000</v>
      </c>
      <c r="Q257" s="492">
        <f t="shared" si="44"/>
        <v>0</v>
      </c>
      <c r="R257" s="235">
        <v>605000</v>
      </c>
      <c r="S257" s="646">
        <f t="shared" si="45"/>
        <v>0</v>
      </c>
      <c r="T257" s="650"/>
      <c r="U257" s="650"/>
      <c r="V257" s="650"/>
      <c r="W257" s="650"/>
      <c r="X257" s="648"/>
      <c r="Y257" s="302">
        <f t="shared" si="46"/>
        <v>0</v>
      </c>
      <c r="Z257" s="232"/>
    </row>
    <row r="258" spans="2:26" hidden="1" x14ac:dyDescent="0.35">
      <c r="B258" s="644"/>
      <c r="C258" s="286"/>
      <c r="D258" s="623"/>
      <c r="E258" s="624"/>
      <c r="F258" s="374" t="s">
        <v>263</v>
      </c>
      <c r="G258" s="625" t="s">
        <v>205</v>
      </c>
      <c r="H258" s="602"/>
      <c r="I258" s="626"/>
      <c r="J258" s="625"/>
      <c r="K258" s="627">
        <v>0</v>
      </c>
      <c r="L258" s="496">
        <v>5</v>
      </c>
      <c r="M258" s="372">
        <v>5</v>
      </c>
      <c r="N258" s="372">
        <v>1</v>
      </c>
      <c r="O258" s="507">
        <f t="shared" si="43"/>
        <v>0</v>
      </c>
      <c r="P258" s="235">
        <v>647269.96874999988</v>
      </c>
      <c r="Q258" s="492">
        <f t="shared" si="44"/>
        <v>0</v>
      </c>
      <c r="R258" s="235">
        <v>680210.06624999992</v>
      </c>
      <c r="S258" s="646">
        <f t="shared" si="45"/>
        <v>0</v>
      </c>
      <c r="T258" s="650"/>
      <c r="U258" s="650"/>
      <c r="V258" s="650"/>
      <c r="W258" s="650"/>
      <c r="X258" s="648"/>
      <c r="Y258" s="302">
        <f t="shared" si="46"/>
        <v>0</v>
      </c>
      <c r="Z258" s="232"/>
    </row>
    <row r="259" spans="2:26" x14ac:dyDescent="0.35">
      <c r="B259" s="644"/>
      <c r="C259" s="286"/>
      <c r="D259" s="655" t="s">
        <v>120</v>
      </c>
      <c r="E259" s="702"/>
      <c r="F259" s="374" t="s">
        <v>187</v>
      </c>
      <c r="G259" s="625" t="s">
        <v>188</v>
      </c>
      <c r="H259" s="602"/>
      <c r="I259" s="626"/>
      <c r="J259" s="625" t="s">
        <v>10</v>
      </c>
      <c r="K259" s="627">
        <v>0</v>
      </c>
      <c r="L259" s="496">
        <v>3</v>
      </c>
      <c r="M259" s="372">
        <v>2</v>
      </c>
      <c r="N259" s="372">
        <v>1</v>
      </c>
      <c r="O259" s="507">
        <f t="shared" si="43"/>
        <v>0</v>
      </c>
      <c r="P259" s="235">
        <v>140008</v>
      </c>
      <c r="Q259" s="492">
        <f t="shared" si="44"/>
        <v>0</v>
      </c>
      <c r="R259" s="235">
        <v>149108.51999999999</v>
      </c>
      <c r="S259" s="646">
        <f t="shared" si="45"/>
        <v>0</v>
      </c>
      <c r="T259" s="650"/>
      <c r="U259" s="650"/>
      <c r="V259" s="650"/>
      <c r="W259" s="650"/>
      <c r="X259" s="648"/>
      <c r="Y259" s="302">
        <f t="shared" si="46"/>
        <v>0</v>
      </c>
      <c r="Z259" s="232"/>
    </row>
    <row r="260" spans="2:26" hidden="1" x14ac:dyDescent="0.35">
      <c r="B260" s="644"/>
      <c r="C260" s="286"/>
      <c r="D260" s="286"/>
      <c r="E260" s="645"/>
      <c r="F260" s="374" t="s">
        <v>545</v>
      </c>
      <c r="G260" s="625" t="s">
        <v>10</v>
      </c>
      <c r="H260" s="602"/>
      <c r="I260" s="626"/>
      <c r="J260" s="625" t="s">
        <v>10</v>
      </c>
      <c r="K260" s="627">
        <v>0</v>
      </c>
      <c r="L260" s="496">
        <v>3</v>
      </c>
      <c r="M260" s="372">
        <v>6</v>
      </c>
      <c r="N260" s="372">
        <v>1</v>
      </c>
      <c r="O260" s="507">
        <f>K260*L260*M260*N260</f>
        <v>0</v>
      </c>
      <c r="P260" s="235">
        <v>650000</v>
      </c>
      <c r="Q260" s="492">
        <f>P260*$O260</f>
        <v>0</v>
      </c>
      <c r="R260" s="235">
        <v>715000</v>
      </c>
      <c r="S260" s="646">
        <f>R260*$O260</f>
        <v>0</v>
      </c>
      <c r="T260" s="235">
        <v>716625</v>
      </c>
      <c r="U260" s="647">
        <f>$O260*T260</f>
        <v>0</v>
      </c>
      <c r="V260" s="235" t="e">
        <f>W260/O260</f>
        <v>#DIV/0!</v>
      </c>
      <c r="W260" s="478">
        <f>AVERAGEIF($P$3:$U$3,W$3,$P260:$U260)</f>
        <v>0</v>
      </c>
      <c r="X260" s="648"/>
      <c r="Y260" s="302">
        <f t="shared" si="46"/>
        <v>0</v>
      </c>
      <c r="Z260" s="232"/>
    </row>
    <row r="261" spans="2:26" hidden="1" x14ac:dyDescent="0.35">
      <c r="B261" s="622"/>
      <c r="C261" s="623"/>
      <c r="D261" s="623"/>
      <c r="E261" s="624"/>
      <c r="F261" s="374" t="s">
        <v>263</v>
      </c>
      <c r="G261" s="625" t="s">
        <v>205</v>
      </c>
      <c r="H261" s="602"/>
      <c r="I261" s="626"/>
      <c r="J261" s="625" t="s">
        <v>10</v>
      </c>
      <c r="K261" s="627">
        <v>0</v>
      </c>
      <c r="L261" s="496">
        <v>3</v>
      </c>
      <c r="M261" s="372">
        <v>5</v>
      </c>
      <c r="N261" s="372">
        <v>1</v>
      </c>
      <c r="O261" s="507">
        <f>K261*L261*M261*N261</f>
        <v>0</v>
      </c>
      <c r="P261" s="235">
        <v>647269.96874999988</v>
      </c>
      <c r="Q261" s="492">
        <f>P261*$O261</f>
        <v>0</v>
      </c>
      <c r="R261" s="235">
        <v>680210.06624999992</v>
      </c>
      <c r="S261" s="646">
        <f>R261*$O261</f>
        <v>0</v>
      </c>
      <c r="T261" s="235">
        <v>582130.09920000006</v>
      </c>
      <c r="U261" s="647">
        <f>$O261*T261</f>
        <v>0</v>
      </c>
      <c r="V261" s="235" t="e">
        <f>W261/O261</f>
        <v>#DIV/0!</v>
      </c>
      <c r="W261" s="478">
        <f>AVERAGEIF($P$3:$U$3,W$3,$P261:$U261)</f>
        <v>0</v>
      </c>
      <c r="X261" s="648"/>
      <c r="Y261" s="302">
        <f t="shared" si="46"/>
        <v>0</v>
      </c>
      <c r="Z261" s="232"/>
    </row>
    <row r="262" spans="2:26" x14ac:dyDescent="0.35">
      <c r="B262" s="630" t="s">
        <v>546</v>
      </c>
      <c r="C262" s="631"/>
      <c r="D262" s="631"/>
      <c r="E262" s="632"/>
      <c r="F262" s="633"/>
      <c r="G262" s="634"/>
      <c r="H262" s="635"/>
      <c r="I262" s="636"/>
      <c r="J262" s="634"/>
      <c r="K262" s="637"/>
      <c r="L262" s="638"/>
      <c r="M262" s="639"/>
      <c r="N262" s="639"/>
      <c r="O262" s="635"/>
      <c r="P262" s="640"/>
      <c r="Q262" s="640"/>
      <c r="R262" s="640"/>
      <c r="S262" s="651">
        <f>SUM(S237:S261)</f>
        <v>0</v>
      </c>
      <c r="T262" s="650"/>
      <c r="U262" s="650"/>
      <c r="V262" s="650"/>
      <c r="W262" s="650"/>
      <c r="X262" s="652"/>
      <c r="Y262" s="653">
        <f t="shared" si="46"/>
        <v>0</v>
      </c>
      <c r="Z262" s="643">
        <f>S262/3572533847.92*100</f>
        <v>0</v>
      </c>
    </row>
    <row r="263" spans="2:26" x14ac:dyDescent="0.35">
      <c r="B263" s="602"/>
      <c r="C263" s="626" t="s">
        <v>547</v>
      </c>
      <c r="D263" s="626"/>
      <c r="E263" s="678"/>
      <c r="F263" s="374"/>
      <c r="G263" s="625"/>
      <c r="H263" s="602"/>
      <c r="I263" s="626"/>
      <c r="J263" s="625"/>
      <c r="K263" s="596"/>
      <c r="L263" s="713"/>
      <c r="M263" s="373"/>
      <c r="N263" s="373"/>
      <c r="O263" s="602"/>
      <c r="P263" s="628"/>
      <c r="Q263" s="628"/>
      <c r="R263" s="628"/>
      <c r="S263" s="649"/>
      <c r="T263" s="650"/>
      <c r="U263" s="650"/>
      <c r="V263" s="650"/>
      <c r="W263" s="650"/>
      <c r="X263" s="648"/>
      <c r="Y263" s="302"/>
      <c r="Z263" s="232"/>
    </row>
    <row r="264" spans="2:26" x14ac:dyDescent="0.35">
      <c r="B264" s="603"/>
      <c r="D264" s="94" t="s">
        <v>548</v>
      </c>
      <c r="E264" s="604"/>
      <c r="F264" s="232" t="s">
        <v>187</v>
      </c>
      <c r="G264" s="318" t="s">
        <v>188</v>
      </c>
      <c r="H264" s="319"/>
      <c r="I264" s="320"/>
      <c r="J264" s="318"/>
      <c r="K264" s="627">
        <v>0.25</v>
      </c>
      <c r="L264" s="506"/>
      <c r="M264" s="233"/>
      <c r="N264" s="235">
        <v>1</v>
      </c>
      <c r="O264" s="319"/>
      <c r="P264" s="492"/>
      <c r="Q264" s="492"/>
      <c r="R264" s="492"/>
      <c r="S264" s="646"/>
      <c r="T264" s="647"/>
      <c r="U264" s="647"/>
      <c r="V264" s="647"/>
      <c r="W264" s="647"/>
      <c r="X264" s="648"/>
      <c r="Y264" s="302"/>
      <c r="Z264" s="232"/>
    </row>
    <row r="265" spans="2:26" hidden="1" x14ac:dyDescent="0.35">
      <c r="B265" s="603"/>
      <c r="E265" s="604"/>
      <c r="F265" s="232" t="s">
        <v>215</v>
      </c>
      <c r="G265" s="318" t="s">
        <v>205</v>
      </c>
      <c r="H265" s="319"/>
      <c r="I265" s="320"/>
      <c r="J265" s="318"/>
      <c r="K265" s="627">
        <v>0.25</v>
      </c>
      <c r="L265" s="506"/>
      <c r="M265" s="233">
        <f>1/100</f>
        <v>0.01</v>
      </c>
      <c r="N265" s="235">
        <v>1</v>
      </c>
      <c r="O265" s="319"/>
      <c r="P265" s="492"/>
      <c r="Q265" s="492"/>
      <c r="R265" s="492"/>
      <c r="S265" s="646"/>
      <c r="T265" s="647"/>
      <c r="U265" s="647"/>
      <c r="V265" s="647"/>
      <c r="W265" s="647"/>
      <c r="X265" s="648"/>
      <c r="Y265" s="302"/>
      <c r="Z265" s="232"/>
    </row>
    <row r="266" spans="2:26" hidden="1" x14ac:dyDescent="0.35">
      <c r="B266" s="603"/>
      <c r="D266" s="606"/>
      <c r="E266" s="607"/>
      <c r="F266" s="232"/>
      <c r="G266" s="318"/>
      <c r="H266" s="319"/>
      <c r="I266" s="320"/>
      <c r="J266" s="318"/>
      <c r="K266" s="501"/>
      <c r="L266" s="506"/>
      <c r="M266" s="233"/>
      <c r="N266" s="235">
        <v>1</v>
      </c>
      <c r="O266" s="319"/>
      <c r="P266" s="492"/>
      <c r="Q266" s="492"/>
      <c r="R266" s="492"/>
      <c r="S266" s="646"/>
      <c r="T266" s="647"/>
      <c r="U266" s="647"/>
      <c r="V266" s="647"/>
      <c r="W266" s="647"/>
      <c r="X266" s="648"/>
      <c r="Y266" s="302"/>
      <c r="Z266" s="232"/>
    </row>
    <row r="267" spans="2:26" x14ac:dyDescent="0.35">
      <c r="B267" s="603"/>
      <c r="D267" s="94" t="s">
        <v>549</v>
      </c>
      <c r="E267" s="604"/>
      <c r="F267" s="232" t="s">
        <v>187</v>
      </c>
      <c r="G267" s="318" t="s">
        <v>188</v>
      </c>
      <c r="H267" s="319"/>
      <c r="I267" s="320"/>
      <c r="J267" s="318"/>
      <c r="K267" s="627">
        <v>0.25</v>
      </c>
      <c r="L267" s="506"/>
      <c r="M267" s="233"/>
      <c r="N267" s="235">
        <v>1</v>
      </c>
      <c r="O267" s="319"/>
      <c r="P267" s="492"/>
      <c r="Q267" s="492"/>
      <c r="R267" s="492"/>
      <c r="S267" s="646"/>
      <c r="T267" s="647"/>
      <c r="U267" s="647"/>
      <c r="V267" s="647"/>
      <c r="W267" s="647"/>
      <c r="X267" s="648"/>
      <c r="Y267" s="302"/>
      <c r="Z267" s="232"/>
    </row>
    <row r="268" spans="2:26" hidden="1" x14ac:dyDescent="0.35">
      <c r="B268" s="603"/>
      <c r="E268" s="604"/>
      <c r="F268" s="232" t="s">
        <v>215</v>
      </c>
      <c r="G268" s="318" t="s">
        <v>205</v>
      </c>
      <c r="H268" s="319"/>
      <c r="I268" s="320"/>
      <c r="J268" s="318"/>
      <c r="K268" s="627">
        <v>0.25</v>
      </c>
      <c r="L268" s="506"/>
      <c r="M268" s="233">
        <f>1/30</f>
        <v>3.3333333333333333E-2</v>
      </c>
      <c r="N268" s="235">
        <v>1</v>
      </c>
      <c r="O268" s="319"/>
      <c r="P268" s="492"/>
      <c r="Q268" s="492"/>
      <c r="R268" s="492"/>
      <c r="S268" s="646"/>
      <c r="T268" s="647"/>
      <c r="U268" s="647"/>
      <c r="V268" s="647"/>
      <c r="W268" s="647"/>
      <c r="X268" s="648"/>
      <c r="Y268" s="302"/>
      <c r="Z268" s="232"/>
    </row>
    <row r="269" spans="2:26" hidden="1" x14ac:dyDescent="0.35">
      <c r="B269" s="603"/>
      <c r="D269" s="606"/>
      <c r="E269" s="607"/>
      <c r="F269" s="232"/>
      <c r="G269" s="318"/>
      <c r="H269" s="319"/>
      <c r="I269" s="320"/>
      <c r="J269" s="318"/>
      <c r="K269" s="501"/>
      <c r="L269" s="506"/>
      <c r="M269" s="233"/>
      <c r="N269" s="235">
        <v>1</v>
      </c>
      <c r="O269" s="319"/>
      <c r="P269" s="492"/>
      <c r="Q269" s="492"/>
      <c r="R269" s="492"/>
      <c r="S269" s="646"/>
      <c r="T269" s="647"/>
      <c r="U269" s="647"/>
      <c r="V269" s="647"/>
      <c r="W269" s="647"/>
      <c r="X269" s="648"/>
      <c r="Y269" s="302"/>
      <c r="Z269" s="232"/>
    </row>
    <row r="270" spans="2:26" x14ac:dyDescent="0.35">
      <c r="B270" s="603"/>
      <c r="D270" s="94" t="s">
        <v>550</v>
      </c>
      <c r="E270" s="604"/>
      <c r="F270" s="232" t="s">
        <v>187</v>
      </c>
      <c r="G270" s="318" t="s">
        <v>188</v>
      </c>
      <c r="H270" s="319"/>
      <c r="I270" s="320"/>
      <c r="J270" s="318"/>
      <c r="K270" s="627">
        <v>0.25</v>
      </c>
      <c r="L270" s="506"/>
      <c r="M270" s="233">
        <f>1/30</f>
        <v>3.3333333333333333E-2</v>
      </c>
      <c r="N270" s="235">
        <v>1</v>
      </c>
      <c r="O270" s="319"/>
      <c r="P270" s="492"/>
      <c r="Q270" s="492"/>
      <c r="R270" s="492"/>
      <c r="S270" s="646"/>
      <c r="T270" s="647"/>
      <c r="U270" s="647"/>
      <c r="V270" s="647"/>
      <c r="W270" s="647"/>
      <c r="X270" s="648"/>
      <c r="Y270" s="302"/>
      <c r="Z270" s="232"/>
    </row>
    <row r="271" spans="2:26" hidden="1" x14ac:dyDescent="0.35">
      <c r="B271" s="603"/>
      <c r="E271" s="604"/>
      <c r="F271" s="232" t="s">
        <v>215</v>
      </c>
      <c r="G271" s="318" t="s">
        <v>205</v>
      </c>
      <c r="H271" s="319"/>
      <c r="I271" s="320"/>
      <c r="J271" s="318"/>
      <c r="K271" s="627">
        <v>0.25</v>
      </c>
      <c r="L271" s="506"/>
      <c r="M271" s="233">
        <f>1/60</f>
        <v>1.6666666666666666E-2</v>
      </c>
      <c r="N271" s="235">
        <v>1</v>
      </c>
      <c r="O271" s="319"/>
      <c r="P271" s="492"/>
      <c r="Q271" s="492"/>
      <c r="R271" s="492"/>
      <c r="S271" s="646"/>
      <c r="T271" s="647"/>
      <c r="U271" s="647"/>
      <c r="V271" s="647"/>
      <c r="W271" s="647"/>
      <c r="X271" s="648"/>
      <c r="Y271" s="302"/>
      <c r="Z271" s="232"/>
    </row>
    <row r="272" spans="2:26" x14ac:dyDescent="0.35">
      <c r="B272" s="603"/>
      <c r="D272" s="94" t="s">
        <v>551</v>
      </c>
      <c r="E272" s="604"/>
      <c r="F272" s="232" t="s">
        <v>187</v>
      </c>
      <c r="G272" s="318" t="s">
        <v>188</v>
      </c>
      <c r="H272" s="319"/>
      <c r="I272" s="320"/>
      <c r="J272" s="318"/>
      <c r="K272" s="501"/>
      <c r="L272" s="506"/>
      <c r="M272" s="233"/>
      <c r="N272" s="235">
        <v>1</v>
      </c>
      <c r="O272" s="319"/>
      <c r="P272" s="492"/>
      <c r="Q272" s="492"/>
      <c r="R272" s="492"/>
      <c r="S272" s="646"/>
      <c r="T272" s="647"/>
      <c r="U272" s="647"/>
      <c r="V272" s="647"/>
      <c r="W272" s="647"/>
      <c r="X272" s="648"/>
      <c r="Y272" s="302"/>
      <c r="Z272" s="232"/>
    </row>
    <row r="273" spans="1:28" hidden="1" x14ac:dyDescent="0.35">
      <c r="B273" s="603"/>
      <c r="E273" s="604"/>
      <c r="F273" s="232" t="s">
        <v>288</v>
      </c>
      <c r="G273" s="318" t="s">
        <v>10</v>
      </c>
      <c r="H273" s="319"/>
      <c r="I273" s="320"/>
      <c r="J273" s="318"/>
      <c r="K273" s="501"/>
      <c r="L273" s="506"/>
      <c r="M273" s="233"/>
      <c r="N273" s="235">
        <v>1</v>
      </c>
      <c r="O273" s="319"/>
      <c r="P273" s="492"/>
      <c r="Q273" s="492"/>
      <c r="R273" s="492"/>
      <c r="S273" s="646"/>
      <c r="T273" s="647"/>
      <c r="U273" s="647"/>
      <c r="V273" s="647"/>
      <c r="W273" s="647"/>
      <c r="X273" s="648"/>
      <c r="Y273" s="302"/>
      <c r="Z273" s="232"/>
    </row>
    <row r="274" spans="1:28" hidden="1" x14ac:dyDescent="0.35">
      <c r="B274" s="603"/>
      <c r="E274" s="604"/>
      <c r="F274" s="232" t="s">
        <v>215</v>
      </c>
      <c r="G274" s="318" t="s">
        <v>205</v>
      </c>
      <c r="H274" s="319"/>
      <c r="I274" s="320"/>
      <c r="J274" s="318"/>
      <c r="K274" s="501"/>
      <c r="L274" s="506"/>
      <c r="M274" s="233"/>
      <c r="N274" s="235">
        <v>1</v>
      </c>
      <c r="O274" s="319"/>
      <c r="P274" s="492"/>
      <c r="Q274" s="492"/>
      <c r="R274" s="492"/>
      <c r="S274" s="646"/>
      <c r="T274" s="647"/>
      <c r="U274" s="647"/>
      <c r="V274" s="647"/>
      <c r="W274" s="647"/>
      <c r="X274" s="648"/>
      <c r="Y274" s="302"/>
      <c r="Z274" s="232"/>
    </row>
    <row r="275" spans="1:28" x14ac:dyDescent="0.35">
      <c r="B275" s="598"/>
      <c r="C275" s="599" t="s">
        <v>552</v>
      </c>
      <c r="D275" s="599"/>
      <c r="E275" s="600"/>
      <c r="F275" s="232" t="s">
        <v>187</v>
      </c>
      <c r="G275" s="318" t="s">
        <v>188</v>
      </c>
      <c r="H275" s="319"/>
      <c r="I275" s="320"/>
      <c r="J275" s="318"/>
      <c r="K275" s="501"/>
      <c r="L275" s="506"/>
      <c r="M275" s="233"/>
      <c r="N275" s="235">
        <v>1</v>
      </c>
      <c r="O275" s="319"/>
      <c r="P275" s="492"/>
      <c r="Q275" s="492"/>
      <c r="R275" s="492"/>
      <c r="S275" s="646"/>
      <c r="T275" s="647"/>
      <c r="U275" s="647"/>
      <c r="V275" s="647"/>
      <c r="W275" s="647"/>
      <c r="X275" s="648"/>
      <c r="Y275" s="302"/>
      <c r="Z275" s="232"/>
    </row>
    <row r="276" spans="1:28" hidden="1" x14ac:dyDescent="0.35">
      <c r="B276" s="603"/>
      <c r="E276" s="604"/>
      <c r="F276" s="232" t="s">
        <v>255</v>
      </c>
      <c r="G276" s="318" t="s">
        <v>205</v>
      </c>
      <c r="H276" s="319"/>
      <c r="I276" s="320"/>
      <c r="J276" s="318"/>
      <c r="K276" s="501"/>
      <c r="L276" s="506"/>
      <c r="M276" s="233">
        <f>2/1000</f>
        <v>2E-3</v>
      </c>
      <c r="N276" s="235">
        <v>1</v>
      </c>
      <c r="O276" s="319"/>
      <c r="P276" s="492"/>
      <c r="Q276" s="492"/>
      <c r="R276" s="492"/>
      <c r="S276" s="646"/>
      <c r="T276" s="647"/>
      <c r="U276" s="647"/>
      <c r="V276" s="647"/>
      <c r="W276" s="647"/>
      <c r="X276" s="648"/>
      <c r="Y276" s="302"/>
      <c r="Z276" s="232"/>
    </row>
    <row r="277" spans="1:28" hidden="1" x14ac:dyDescent="0.35">
      <c r="B277" s="603"/>
      <c r="E277" s="604"/>
      <c r="F277" s="714" t="s">
        <v>215</v>
      </c>
      <c r="G277" s="715" t="s">
        <v>205</v>
      </c>
      <c r="H277" s="598"/>
      <c r="I277" s="599"/>
      <c r="J277" s="715"/>
      <c r="K277" s="716"/>
      <c r="L277" s="717"/>
      <c r="M277" s="322"/>
      <c r="N277" s="718">
        <v>1</v>
      </c>
      <c r="O277" s="598"/>
      <c r="P277" s="419"/>
      <c r="Q277" s="419"/>
      <c r="R277" s="419"/>
      <c r="S277" s="719"/>
      <c r="T277" s="720"/>
      <c r="U277" s="720"/>
      <c r="V277" s="720"/>
      <c r="W277" s="720"/>
      <c r="X277" s="721"/>
      <c r="Y277" s="302"/>
      <c r="Z277" s="232"/>
    </row>
    <row r="278" spans="1:28" s="722" customFormat="1" x14ac:dyDescent="0.35">
      <c r="A278" s="604"/>
      <c r="B278" s="598"/>
      <c r="C278" s="599" t="s">
        <v>553</v>
      </c>
      <c r="D278" s="599"/>
      <c r="E278" s="600"/>
      <c r="F278" s="232" t="s">
        <v>187</v>
      </c>
      <c r="G278" s="318" t="s">
        <v>188</v>
      </c>
      <c r="H278" s="319"/>
      <c r="I278" s="320"/>
      <c r="J278" s="318"/>
      <c r="K278" s="501"/>
      <c r="L278" s="506"/>
      <c r="M278" s="233"/>
      <c r="N278" s="235">
        <v>1</v>
      </c>
      <c r="O278" s="319"/>
      <c r="P278" s="492"/>
      <c r="Q278" s="492"/>
      <c r="R278" s="492"/>
      <c r="S278" s="646"/>
      <c r="T278" s="647"/>
      <c r="U278" s="647"/>
      <c r="V278" s="647"/>
      <c r="W278" s="647"/>
      <c r="X278" s="648"/>
      <c r="Y278" s="302"/>
      <c r="Z278" s="232"/>
      <c r="AA278" s="599"/>
      <c r="AB278" s="599"/>
    </row>
    <row r="279" spans="1:28" x14ac:dyDescent="0.35">
      <c r="B279" s="603"/>
      <c r="C279" s="94" t="s">
        <v>554</v>
      </c>
      <c r="E279" s="604"/>
      <c r="F279" s="232" t="s">
        <v>187</v>
      </c>
      <c r="G279" s="318" t="s">
        <v>188</v>
      </c>
      <c r="H279" s="319"/>
      <c r="I279" s="320"/>
      <c r="J279" s="318"/>
      <c r="K279" s="501"/>
      <c r="L279" s="506"/>
      <c r="M279" s="233"/>
      <c r="N279" s="235">
        <v>1</v>
      </c>
      <c r="O279" s="319"/>
      <c r="P279" s="492"/>
      <c r="Q279" s="492"/>
      <c r="R279" s="492"/>
      <c r="S279" s="646"/>
      <c r="T279" s="647"/>
      <c r="U279" s="647"/>
      <c r="V279" s="647"/>
      <c r="W279" s="647"/>
      <c r="X279" s="648"/>
      <c r="Y279" s="302"/>
      <c r="Z279" s="232"/>
    </row>
    <row r="280" spans="1:28" hidden="1" x14ac:dyDescent="0.35">
      <c r="B280" s="603"/>
      <c r="E280" s="604"/>
      <c r="F280" s="232" t="s">
        <v>555</v>
      </c>
      <c r="G280" s="318" t="s">
        <v>10</v>
      </c>
      <c r="H280" s="319"/>
      <c r="I280" s="320"/>
      <c r="J280" s="318"/>
      <c r="K280" s="501"/>
      <c r="L280" s="506"/>
      <c r="M280" s="233"/>
      <c r="N280" s="235">
        <v>1</v>
      </c>
      <c r="O280" s="319"/>
      <c r="P280" s="492"/>
      <c r="Q280" s="492"/>
      <c r="R280" s="492"/>
      <c r="S280" s="646"/>
      <c r="T280" s="647"/>
      <c r="U280" s="647"/>
      <c r="V280" s="647"/>
      <c r="W280" s="647"/>
      <c r="X280" s="648"/>
      <c r="Y280" s="302"/>
      <c r="Z280" s="232"/>
    </row>
    <row r="281" spans="1:28" x14ac:dyDescent="0.35">
      <c r="B281" s="693" t="s">
        <v>556</v>
      </c>
      <c r="C281" s="694"/>
      <c r="D281" s="694"/>
      <c r="E281" s="695"/>
      <c r="F281" s="516"/>
      <c r="G281" s="613"/>
      <c r="H281" s="614"/>
      <c r="I281" s="615"/>
      <c r="J281" s="613"/>
      <c r="K281" s="616"/>
      <c r="L281" s="617"/>
      <c r="M281" s="528"/>
      <c r="N281" s="528"/>
      <c r="O281" s="614"/>
      <c r="P281" s="618"/>
      <c r="Q281" s="618"/>
      <c r="R281" s="618"/>
      <c r="S281" s="696">
        <f>S262+S235</f>
        <v>0</v>
      </c>
      <c r="T281" s="673"/>
      <c r="U281" s="673"/>
      <c r="V281" s="673"/>
      <c r="W281" s="673"/>
      <c r="X281" s="674"/>
      <c r="Y281" s="413">
        <f t="shared" ref="Y281" si="47">S281/192.08</f>
        <v>0</v>
      </c>
      <c r="Z281" s="697">
        <f>S281/3572533847.92*100</f>
        <v>0</v>
      </c>
    </row>
    <row r="282" spans="1:28" x14ac:dyDescent="0.35">
      <c r="B282" s="620" t="s">
        <v>290</v>
      </c>
      <c r="C282" s="320"/>
      <c r="D282" s="320"/>
      <c r="E282" s="608"/>
      <c r="F282" s="232"/>
      <c r="G282" s="318"/>
      <c r="H282" s="319"/>
      <c r="I282" s="320"/>
      <c r="J282" s="318"/>
      <c r="K282" s="501"/>
      <c r="L282" s="506"/>
      <c r="M282" s="233"/>
      <c r="N282" s="233"/>
      <c r="O282" s="319"/>
      <c r="P282" s="492"/>
      <c r="Q282" s="492"/>
      <c r="R282" s="492"/>
      <c r="S282" s="646"/>
      <c r="T282" s="647"/>
      <c r="U282" s="647"/>
      <c r="V282" s="647"/>
      <c r="W282" s="647"/>
      <c r="X282" s="648"/>
      <c r="Y282" s="302"/>
      <c r="Z282" s="232"/>
    </row>
    <row r="283" spans="1:28" x14ac:dyDescent="0.35">
      <c r="B283" s="603"/>
      <c r="C283" s="94" t="s">
        <v>123</v>
      </c>
      <c r="E283" s="604"/>
      <c r="F283" s="232" t="s">
        <v>187</v>
      </c>
      <c r="G283" s="318" t="s">
        <v>188</v>
      </c>
      <c r="H283" s="319"/>
      <c r="I283" s="320"/>
      <c r="J283" s="318"/>
      <c r="K283" s="420">
        <v>0.05</v>
      </c>
      <c r="L283" s="700">
        <f>192.08*136</f>
        <v>26122.880000000001</v>
      </c>
      <c r="M283" s="233">
        <f>1/3</f>
        <v>0.33333333333333331</v>
      </c>
      <c r="N283" s="235">
        <v>1</v>
      </c>
      <c r="O283" s="507">
        <f>K283*L283*M283*N283</f>
        <v>435.38133333333337</v>
      </c>
      <c r="P283" s="235">
        <v>140008</v>
      </c>
      <c r="Q283" s="492">
        <f>P283*$O283</f>
        <v>60956869.717333339</v>
      </c>
      <c r="R283" s="372">
        <v>158800.57379999998</v>
      </c>
      <c r="S283" s="646">
        <f>R283*$O283</f>
        <v>69138805.555142403</v>
      </c>
      <c r="T283" s="647"/>
      <c r="U283" s="647"/>
      <c r="V283" s="647"/>
      <c r="W283" s="647"/>
      <c r="X283" s="648"/>
      <c r="Y283" s="302">
        <f>S283/$C$1</f>
        <v>359947.96727999998</v>
      </c>
      <c r="Z283" s="232"/>
    </row>
    <row r="284" spans="1:28" x14ac:dyDescent="0.35">
      <c r="B284" s="603"/>
      <c r="C284" s="94" t="s">
        <v>125</v>
      </c>
      <c r="E284" s="604"/>
      <c r="F284" s="232" t="s">
        <v>187</v>
      </c>
      <c r="G284" s="318" t="s">
        <v>188</v>
      </c>
      <c r="H284" s="319"/>
      <c r="I284" s="320"/>
      <c r="J284" s="318"/>
      <c r="K284" s="420">
        <v>0.05</v>
      </c>
      <c r="L284" s="700">
        <f>192.08*136</f>
        <v>26122.880000000001</v>
      </c>
      <c r="M284" s="233">
        <f>1/3</f>
        <v>0.33333333333333331</v>
      </c>
      <c r="N284" s="235">
        <v>1</v>
      </c>
      <c r="O284" s="507">
        <f>K284*L284*M284*N284</f>
        <v>435.38133333333337</v>
      </c>
      <c r="P284" s="235">
        <v>140008</v>
      </c>
      <c r="Q284" s="492">
        <f>P284*$O284</f>
        <v>60956869.717333339</v>
      </c>
      <c r="R284" s="372">
        <v>158800.57379999998</v>
      </c>
      <c r="S284" s="646">
        <f>R284*$O284</f>
        <v>69138805.555142403</v>
      </c>
      <c r="T284" s="647"/>
      <c r="U284" s="647"/>
      <c r="V284" s="647"/>
      <c r="W284" s="647"/>
      <c r="X284" s="648"/>
      <c r="Y284" s="302">
        <f>S284/$C$1</f>
        <v>359947.96727999998</v>
      </c>
      <c r="Z284" s="232"/>
    </row>
    <row r="285" spans="1:28" x14ac:dyDescent="0.35">
      <c r="B285" s="603"/>
      <c r="C285" s="94" t="s">
        <v>292</v>
      </c>
      <c r="E285" s="604"/>
      <c r="F285" s="232" t="s">
        <v>187</v>
      </c>
      <c r="G285" s="318" t="s">
        <v>188</v>
      </c>
      <c r="H285" s="319"/>
      <c r="I285" s="320"/>
      <c r="J285" s="318"/>
      <c r="K285" s="501"/>
      <c r="L285" s="506"/>
      <c r="M285" s="233">
        <f>1/3</f>
        <v>0.33333333333333331</v>
      </c>
      <c r="N285" s="235">
        <v>1</v>
      </c>
      <c r="O285" s="319"/>
      <c r="P285" s="492"/>
      <c r="Q285" s="492"/>
      <c r="R285" s="492"/>
      <c r="S285" s="646"/>
      <c r="T285" s="647"/>
      <c r="U285" s="647"/>
      <c r="V285" s="647"/>
      <c r="W285" s="647"/>
      <c r="X285" s="648"/>
      <c r="Y285" s="302"/>
      <c r="Z285" s="232"/>
    </row>
    <row r="286" spans="1:28" x14ac:dyDescent="0.35">
      <c r="B286" s="603"/>
      <c r="C286" s="94" t="s">
        <v>557</v>
      </c>
      <c r="E286" s="604"/>
      <c r="F286" s="232" t="s">
        <v>187</v>
      </c>
      <c r="G286" s="318" t="s">
        <v>188</v>
      </c>
      <c r="H286" s="319"/>
      <c r="I286" s="320"/>
      <c r="J286" s="318"/>
      <c r="K286" s="501"/>
      <c r="L286" s="506"/>
      <c r="M286" s="233"/>
      <c r="N286" s="235">
        <v>1</v>
      </c>
      <c r="O286" s="319"/>
      <c r="P286" s="492"/>
      <c r="Q286" s="492"/>
      <c r="R286" s="492"/>
      <c r="S286" s="646"/>
      <c r="T286" s="647"/>
      <c r="U286" s="647"/>
      <c r="V286" s="647"/>
      <c r="W286" s="647"/>
      <c r="X286" s="648"/>
      <c r="Y286" s="302"/>
      <c r="Z286" s="232"/>
    </row>
    <row r="287" spans="1:28" x14ac:dyDescent="0.35">
      <c r="B287" s="693" t="s">
        <v>558</v>
      </c>
      <c r="C287" s="694"/>
      <c r="D287" s="694"/>
      <c r="E287" s="695"/>
      <c r="F287" s="516"/>
      <c r="G287" s="613"/>
      <c r="H287" s="614"/>
      <c r="I287" s="615"/>
      <c r="J287" s="613"/>
      <c r="K287" s="616"/>
      <c r="L287" s="617"/>
      <c r="M287" s="528"/>
      <c r="N287" s="528"/>
      <c r="O287" s="614"/>
      <c r="P287" s="618"/>
      <c r="Q287" s="618"/>
      <c r="R287" s="618"/>
      <c r="S287" s="696">
        <f>SUM(S283:S286)</f>
        <v>138277611.11028481</v>
      </c>
      <c r="T287" s="673"/>
      <c r="U287" s="673"/>
      <c r="V287" s="673"/>
      <c r="W287" s="673"/>
      <c r="X287" s="674"/>
      <c r="Y287" s="413">
        <f>S287/$C$1</f>
        <v>719895.93455999997</v>
      </c>
      <c r="Z287" s="697">
        <f>S287/$S$388*100</f>
        <v>7.7528615884421175</v>
      </c>
    </row>
    <row r="288" spans="1:28" x14ac:dyDescent="0.35">
      <c r="B288" s="620" t="s">
        <v>559</v>
      </c>
      <c r="C288" s="320"/>
      <c r="D288" s="320"/>
      <c r="E288" s="608"/>
      <c r="F288" s="232"/>
      <c r="G288" s="318"/>
      <c r="H288" s="319"/>
      <c r="I288" s="320"/>
      <c r="J288" s="318"/>
      <c r="K288" s="501"/>
      <c r="L288" s="506"/>
      <c r="M288" s="233"/>
      <c r="N288" s="233"/>
      <c r="O288" s="319"/>
      <c r="P288" s="492"/>
      <c r="Q288" s="492"/>
      <c r="R288" s="492"/>
      <c r="S288" s="646"/>
      <c r="T288" s="647"/>
      <c r="U288" s="647"/>
      <c r="V288" s="647"/>
      <c r="W288" s="647"/>
      <c r="X288" s="648"/>
      <c r="Y288" s="302"/>
      <c r="Z288" s="232"/>
    </row>
    <row r="289" spans="2:28" x14ac:dyDescent="0.35">
      <c r="B289" s="603"/>
      <c r="C289" s="94" t="s">
        <v>128</v>
      </c>
      <c r="E289" s="604"/>
      <c r="F289" s="232" t="s">
        <v>187</v>
      </c>
      <c r="G289" s="318" t="s">
        <v>188</v>
      </c>
      <c r="H289" s="319"/>
      <c r="I289" s="320"/>
      <c r="J289" s="318" t="s">
        <v>189</v>
      </c>
      <c r="K289" s="627">
        <v>1</v>
      </c>
      <c r="L289" s="506">
        <v>192.08</v>
      </c>
      <c r="M289" s="233">
        <v>0.5</v>
      </c>
      <c r="N289" s="235">
        <v>3</v>
      </c>
      <c r="O289" s="507">
        <f>K289*L289*M289*N289</f>
        <v>288.12</v>
      </c>
      <c r="P289" s="235">
        <v>140008</v>
      </c>
      <c r="Q289" s="492">
        <f>P289*$O289</f>
        <v>40339104.960000001</v>
      </c>
      <c r="R289" s="372">
        <v>158800.57379999998</v>
      </c>
      <c r="S289" s="646">
        <f>R289*$O289</f>
        <v>45753621.323255993</v>
      </c>
      <c r="T289" s="235">
        <v>163305.33120000002</v>
      </c>
      <c r="U289" s="647">
        <f>$O289*T289</f>
        <v>47051532.025344007</v>
      </c>
      <c r="V289" s="235">
        <f>W289/O289</f>
        <v>154037.96833333332</v>
      </c>
      <c r="W289" s="478">
        <f>AVERAGEIF($P$3:$U$3,W$3,$P289:$U289)</f>
        <v>44381419.4362</v>
      </c>
      <c r="X289" s="648"/>
      <c r="Y289" s="302">
        <f>S289/$C$1</f>
        <v>238200.86069999996</v>
      </c>
      <c r="Z289" s="232"/>
    </row>
    <row r="290" spans="2:28" x14ac:dyDescent="0.35">
      <c r="B290" s="603"/>
      <c r="E290" s="604"/>
      <c r="F290" s="232" t="s">
        <v>398</v>
      </c>
      <c r="G290" s="318" t="s">
        <v>191</v>
      </c>
      <c r="H290" s="319"/>
      <c r="I290" s="320"/>
      <c r="J290" s="318" t="s">
        <v>189</v>
      </c>
      <c r="K290" s="627">
        <v>1</v>
      </c>
      <c r="L290" s="506">
        <v>192.08</v>
      </c>
      <c r="M290" s="233">
        <v>0.186</v>
      </c>
      <c r="N290" s="235">
        <v>3</v>
      </c>
      <c r="O290" s="507">
        <f>K290*L290*M290*N290</f>
        <v>107.18064000000001</v>
      </c>
      <c r="P290" s="235">
        <v>35251.199999999997</v>
      </c>
      <c r="Q290" s="492">
        <f>P290*$O290</f>
        <v>3778246.1767680002</v>
      </c>
      <c r="R290" s="372">
        <v>35985.599999999999</v>
      </c>
      <c r="S290" s="646">
        <f>R290*$O290</f>
        <v>3856959.6387840002</v>
      </c>
      <c r="T290" s="235">
        <v>40359.098880000005</v>
      </c>
      <c r="U290" s="647">
        <f>$O290*T290</f>
        <v>4325714.0477816844</v>
      </c>
      <c r="V290" s="235">
        <f>W290/O290</f>
        <v>37198.632959999995</v>
      </c>
      <c r="W290" s="478">
        <f>AVERAGEIF($P$3:$U$3,W$3,$P290:$U290)</f>
        <v>3986973.2877778946</v>
      </c>
      <c r="X290" s="648" t="s">
        <v>560</v>
      </c>
      <c r="Y290" s="302">
        <f>S290/$C$1</f>
        <v>20079.964799999998</v>
      </c>
      <c r="Z290" s="232"/>
    </row>
    <row r="291" spans="2:28" x14ac:dyDescent="0.35">
      <c r="B291" s="630" t="s">
        <v>561</v>
      </c>
      <c r="C291" s="631"/>
      <c r="D291" s="631"/>
      <c r="E291" s="632"/>
      <c r="F291" s="633"/>
      <c r="G291" s="634"/>
      <c r="H291" s="635"/>
      <c r="I291" s="636"/>
      <c r="J291" s="634"/>
      <c r="K291" s="637"/>
      <c r="L291" s="638"/>
      <c r="M291" s="639"/>
      <c r="N291" s="639"/>
      <c r="O291" s="635"/>
      <c r="P291" s="640"/>
      <c r="Q291" s="640"/>
      <c r="R291" s="640"/>
      <c r="S291" s="651">
        <f>SUM(S289:S290)</f>
        <v>49610580.962039992</v>
      </c>
      <c r="T291" s="650"/>
      <c r="U291" s="650"/>
      <c r="V291" s="650"/>
      <c r="W291" s="650"/>
      <c r="X291" s="652"/>
      <c r="Y291" s="653">
        <f>S291/$C$1</f>
        <v>258280.82549999995</v>
      </c>
      <c r="Z291" s="643">
        <f>S291/$S$388*100</f>
        <v>2.781534656497187</v>
      </c>
    </row>
    <row r="292" spans="2:28" x14ac:dyDescent="0.35">
      <c r="B292" s="603"/>
      <c r="C292" s="94" t="s">
        <v>562</v>
      </c>
      <c r="E292" s="604"/>
      <c r="F292" s="232" t="s">
        <v>187</v>
      </c>
      <c r="G292" s="318" t="s">
        <v>188</v>
      </c>
      <c r="H292" s="319"/>
      <c r="I292" s="320"/>
      <c r="J292" s="318"/>
      <c r="K292" s="501"/>
      <c r="L292" s="506"/>
      <c r="M292" s="233"/>
      <c r="N292" s="233"/>
      <c r="O292" s="319"/>
      <c r="P292" s="492"/>
      <c r="Q292" s="492"/>
      <c r="R292" s="492"/>
      <c r="S292" s="646"/>
      <c r="T292" s="647"/>
      <c r="U292" s="647"/>
      <c r="V292" s="647"/>
      <c r="W292" s="647"/>
      <c r="X292" s="648"/>
      <c r="Y292" s="302"/>
      <c r="Z292" s="232"/>
    </row>
    <row r="293" spans="2:28" x14ac:dyDescent="0.35">
      <c r="B293" s="603"/>
      <c r="C293" s="94" t="s">
        <v>130</v>
      </c>
      <c r="E293" s="604"/>
      <c r="F293" s="232" t="s">
        <v>187</v>
      </c>
      <c r="G293" s="318" t="s">
        <v>188</v>
      </c>
      <c r="H293" s="319"/>
      <c r="I293" s="320"/>
      <c r="J293" s="318" t="s">
        <v>189</v>
      </c>
      <c r="K293" s="627">
        <v>0.1</v>
      </c>
      <c r="L293" s="506">
        <v>192.08</v>
      </c>
      <c r="M293" s="373">
        <v>0.1</v>
      </c>
      <c r="N293" s="235">
        <v>6</v>
      </c>
      <c r="O293" s="507">
        <f>K293*L293*M293*N293</f>
        <v>11.524800000000003</v>
      </c>
      <c r="P293" s="235">
        <v>140008</v>
      </c>
      <c r="Q293" s="492">
        <f>P293*$O293</f>
        <v>1613564.1984000003</v>
      </c>
      <c r="R293" s="372">
        <v>158800.57379999998</v>
      </c>
      <c r="S293" s="646">
        <f>R293*$O293</f>
        <v>1830144.8529302403</v>
      </c>
      <c r="T293" s="235">
        <v>163305.33120000002</v>
      </c>
      <c r="U293" s="647">
        <f>$O293*T293</f>
        <v>1882061.2810137605</v>
      </c>
      <c r="V293" s="235">
        <f>W293/O293</f>
        <v>154037.96833333332</v>
      </c>
      <c r="W293" s="478">
        <f>AVERAGEIF($P$3:$U$3,W$3,$P293:$U293)</f>
        <v>1775256.7774480004</v>
      </c>
      <c r="X293" s="648"/>
      <c r="Y293" s="302">
        <f>S293/$C$1</f>
        <v>9528.0344280000008</v>
      </c>
      <c r="Z293" s="232"/>
    </row>
    <row r="294" spans="2:28" x14ac:dyDescent="0.35">
      <c r="B294" s="603"/>
      <c r="E294" s="604"/>
      <c r="F294" s="232" t="s">
        <v>395</v>
      </c>
      <c r="G294" s="318" t="s">
        <v>232</v>
      </c>
      <c r="H294" s="319"/>
      <c r="I294" s="320"/>
      <c r="J294" s="318" t="s">
        <v>189</v>
      </c>
      <c r="K294" s="627">
        <v>0.1</v>
      </c>
      <c r="L294" s="506">
        <v>192.08</v>
      </c>
      <c r="M294" s="373">
        <v>0.1</v>
      </c>
      <c r="N294" s="235">
        <v>6</v>
      </c>
      <c r="O294" s="507">
        <f>K294*L294*M294*N294</f>
        <v>11.524800000000003</v>
      </c>
      <c r="P294" s="235">
        <v>107100</v>
      </c>
      <c r="Q294" s="492">
        <f>P294*$O294</f>
        <v>1234306.0800000003</v>
      </c>
      <c r="R294" s="372">
        <v>118077.75</v>
      </c>
      <c r="S294" s="646">
        <f t="shared" ref="S294:S301" si="48">R294*$O294</f>
        <v>1360822.4532000003</v>
      </c>
      <c r="T294" s="235">
        <v>122618.79000000001</v>
      </c>
      <c r="U294" s="647">
        <f>$O294*T294</f>
        <v>1413157.0309920004</v>
      </c>
      <c r="V294" s="235">
        <f>W294/O294</f>
        <v>115932.18000000001</v>
      </c>
      <c r="W294" s="478">
        <f>AVERAGEIF($P$3:$U$3,W$3,$P294:$U294)</f>
        <v>1336095.1880640003</v>
      </c>
      <c r="X294" s="648"/>
      <c r="Y294" s="302">
        <f t="shared" ref="Y294:Y301" si="49">S294/$C$1</f>
        <v>7084.6650000000009</v>
      </c>
      <c r="Z294" s="232"/>
    </row>
    <row r="295" spans="2:28" x14ac:dyDescent="0.35">
      <c r="B295" s="603"/>
      <c r="E295" s="604"/>
      <c r="F295" s="232" t="s">
        <v>236</v>
      </c>
      <c r="G295" s="318" t="s">
        <v>232</v>
      </c>
      <c r="H295" s="319"/>
      <c r="I295" s="320"/>
      <c r="J295" s="318" t="s">
        <v>189</v>
      </c>
      <c r="K295" s="627">
        <v>0.1</v>
      </c>
      <c r="L295" s="506">
        <v>192.08</v>
      </c>
      <c r="M295" s="373">
        <v>0.1</v>
      </c>
      <c r="N295" s="235">
        <v>6</v>
      </c>
      <c r="O295" s="507">
        <f>K295*L295*M295*N295</f>
        <v>11.524800000000003</v>
      </c>
      <c r="P295" s="233">
        <v>4158</v>
      </c>
      <c r="Q295" s="492">
        <f>P295*$O295</f>
        <v>47920.118400000014</v>
      </c>
      <c r="R295" s="372">
        <v>4196.6324999999997</v>
      </c>
      <c r="S295" s="646">
        <f t="shared" si="48"/>
        <v>48365.350236000006</v>
      </c>
      <c r="T295" s="647">
        <f>R295*1.1</f>
        <v>4616.2957500000002</v>
      </c>
      <c r="U295" s="647">
        <f>O295*T295</f>
        <v>53201.885259600014</v>
      </c>
      <c r="V295" s="235">
        <f>W295/O295</f>
        <v>4323.64275</v>
      </c>
      <c r="W295" s="478">
        <f>AVERAGEIF($P$3:$U$3,W$3,$P295:$U295)</f>
        <v>49829.117965200014</v>
      </c>
      <c r="X295" s="648"/>
      <c r="Y295" s="302">
        <f t="shared" si="49"/>
        <v>251.79795000000001</v>
      </c>
      <c r="Z295" s="232"/>
    </row>
    <row r="296" spans="2:28" x14ac:dyDescent="0.35">
      <c r="B296" s="603"/>
      <c r="E296" s="604"/>
      <c r="F296" s="232" t="s">
        <v>237</v>
      </c>
      <c r="G296" s="318" t="s">
        <v>193</v>
      </c>
      <c r="H296" s="319">
        <v>4</v>
      </c>
      <c r="I296" s="320"/>
      <c r="J296" s="318" t="s">
        <v>189</v>
      </c>
      <c r="K296" s="627">
        <v>0.1</v>
      </c>
      <c r="L296" s="506">
        <v>192.08</v>
      </c>
      <c r="M296" s="377">
        <f>((M$293*N$293)/240*($H296/N296))</f>
        <v>1.0000000000000002E-2</v>
      </c>
      <c r="N296" s="235">
        <v>1</v>
      </c>
      <c r="O296" s="507">
        <f t="shared" ref="O296:O301" si="50">K296*L296*M296*N296</f>
        <v>0.19208000000000006</v>
      </c>
      <c r="P296" s="492"/>
      <c r="Q296" s="492"/>
      <c r="R296" s="372">
        <v>47231.1</v>
      </c>
      <c r="S296" s="646">
        <f t="shared" si="48"/>
        <v>9072.1496880000032</v>
      </c>
      <c r="T296" s="647"/>
      <c r="U296" s="647"/>
      <c r="V296" s="647"/>
      <c r="W296" s="647"/>
      <c r="X296" s="648"/>
      <c r="Y296" s="302">
        <f t="shared" si="49"/>
        <v>47.231100000000012</v>
      </c>
      <c r="Z296" s="232"/>
    </row>
    <row r="297" spans="2:28" x14ac:dyDescent="0.35">
      <c r="B297" s="603"/>
      <c r="E297" s="604"/>
      <c r="F297" s="232" t="s">
        <v>230</v>
      </c>
      <c r="G297" s="318"/>
      <c r="H297" s="319"/>
      <c r="I297" s="320"/>
      <c r="J297" s="318"/>
      <c r="K297" s="627">
        <v>0.1</v>
      </c>
      <c r="L297" s="506">
        <v>192.08</v>
      </c>
      <c r="M297" s="377">
        <v>6.2500000000000003E-3</v>
      </c>
      <c r="N297" s="235">
        <v>1</v>
      </c>
      <c r="O297" s="507">
        <f t="shared" si="50"/>
        <v>0.12005000000000002</v>
      </c>
      <c r="P297" s="492"/>
      <c r="Q297" s="492"/>
      <c r="R297" s="372">
        <v>1506531.5212500002</v>
      </c>
      <c r="S297" s="646">
        <f t="shared" si="48"/>
        <v>180859.10912606254</v>
      </c>
      <c r="T297" s="647"/>
      <c r="U297" s="647"/>
      <c r="V297" s="647"/>
      <c r="W297" s="647"/>
      <c r="X297" s="648"/>
      <c r="Y297" s="302">
        <f t="shared" si="49"/>
        <v>941.58220078125009</v>
      </c>
      <c r="Z297" s="232"/>
    </row>
    <row r="298" spans="2:28" x14ac:dyDescent="0.35">
      <c r="B298" s="603"/>
      <c r="E298" s="604"/>
      <c r="F298" s="232" t="s">
        <v>239</v>
      </c>
      <c r="G298" s="318"/>
      <c r="H298" s="319">
        <v>12</v>
      </c>
      <c r="I298" s="320"/>
      <c r="J298" s="318"/>
      <c r="K298" s="627">
        <v>0.1</v>
      </c>
      <c r="L298" s="506">
        <v>192.08</v>
      </c>
      <c r="M298" s="377">
        <f>((M$293*N$293)/240*($H298/N298))</f>
        <v>3.0000000000000006E-2</v>
      </c>
      <c r="N298" s="235">
        <v>1</v>
      </c>
      <c r="O298" s="507">
        <f t="shared" si="50"/>
        <v>0.5762400000000002</v>
      </c>
      <c r="P298" s="492"/>
      <c r="Q298" s="492"/>
      <c r="R298" s="372">
        <v>15435</v>
      </c>
      <c r="S298" s="646">
        <f t="shared" si="48"/>
        <v>8894.2644000000037</v>
      </c>
      <c r="T298" s="647"/>
      <c r="U298" s="647"/>
      <c r="V298" s="647"/>
      <c r="W298" s="647"/>
      <c r="X298" s="648"/>
      <c r="Y298" s="302">
        <f t="shared" si="49"/>
        <v>46.305000000000014</v>
      </c>
      <c r="Z298" s="232"/>
    </row>
    <row r="299" spans="2:28" x14ac:dyDescent="0.35">
      <c r="B299" s="603"/>
      <c r="E299" s="604"/>
      <c r="F299" s="232" t="s">
        <v>240</v>
      </c>
      <c r="G299" s="318"/>
      <c r="H299" s="319">
        <v>1</v>
      </c>
      <c r="I299" s="320"/>
      <c r="J299" s="318"/>
      <c r="K299" s="627">
        <v>0.1</v>
      </c>
      <c r="L299" s="506">
        <v>192.08</v>
      </c>
      <c r="M299" s="377">
        <f t="shared" ref="M299:M301" si="51">((M$293*N$293)/240*($H299/N299))</f>
        <v>2.5000000000000005E-3</v>
      </c>
      <c r="N299" s="235">
        <v>1</v>
      </c>
      <c r="O299" s="507">
        <f t="shared" si="50"/>
        <v>4.8020000000000014E-2</v>
      </c>
      <c r="P299" s="492"/>
      <c r="Q299" s="492"/>
      <c r="R299" s="372">
        <v>41327.212500000001</v>
      </c>
      <c r="S299" s="646">
        <f t="shared" si="48"/>
        <v>1984.5327442500006</v>
      </c>
      <c r="T299" s="647"/>
      <c r="U299" s="647"/>
      <c r="V299" s="647"/>
      <c r="W299" s="647"/>
      <c r="X299" s="648"/>
      <c r="Y299" s="302">
        <f t="shared" si="49"/>
        <v>10.331803125000002</v>
      </c>
      <c r="Z299" s="232"/>
    </row>
    <row r="300" spans="2:28" x14ac:dyDescent="0.35">
      <c r="B300" s="603"/>
      <c r="E300" s="604"/>
      <c r="F300" s="232" t="s">
        <v>241</v>
      </c>
      <c r="G300" s="318"/>
      <c r="H300" s="319">
        <v>2</v>
      </c>
      <c r="I300" s="320"/>
      <c r="J300" s="318"/>
      <c r="K300" s="627">
        <v>0.1</v>
      </c>
      <c r="L300" s="506">
        <v>192.08</v>
      </c>
      <c r="M300" s="377">
        <f t="shared" si="51"/>
        <v>5.000000000000001E-3</v>
      </c>
      <c r="N300" s="235">
        <v>1</v>
      </c>
      <c r="O300" s="507">
        <f t="shared" si="50"/>
        <v>9.6040000000000028E-2</v>
      </c>
      <c r="P300" s="492"/>
      <c r="Q300" s="492"/>
      <c r="R300" s="372">
        <v>35423.325000000004</v>
      </c>
      <c r="S300" s="646">
        <f t="shared" si="48"/>
        <v>3402.0561330000014</v>
      </c>
      <c r="T300" s="647"/>
      <c r="U300" s="647"/>
      <c r="V300" s="647"/>
      <c r="W300" s="647"/>
      <c r="X300" s="648"/>
      <c r="Y300" s="302">
        <f t="shared" si="49"/>
        <v>17.711662500000006</v>
      </c>
      <c r="Z300" s="232"/>
    </row>
    <row r="301" spans="2:28" x14ac:dyDescent="0.35">
      <c r="B301" s="603"/>
      <c r="E301" s="604"/>
      <c r="F301" s="232" t="s">
        <v>242</v>
      </c>
      <c r="G301" s="318"/>
      <c r="H301" s="319">
        <v>1</v>
      </c>
      <c r="I301" s="320"/>
      <c r="J301" s="318"/>
      <c r="K301" s="627">
        <v>0.1</v>
      </c>
      <c r="L301" s="506">
        <v>192.08</v>
      </c>
      <c r="M301" s="377">
        <f t="shared" si="51"/>
        <v>2.5000000000000005E-3</v>
      </c>
      <c r="N301" s="235">
        <v>1</v>
      </c>
      <c r="O301" s="507">
        <f t="shared" si="50"/>
        <v>4.8020000000000014E-2</v>
      </c>
      <c r="P301" s="492"/>
      <c r="Q301" s="492"/>
      <c r="R301" s="372">
        <v>94462.2</v>
      </c>
      <c r="S301" s="646">
        <f t="shared" si="48"/>
        <v>4536.0748440000016</v>
      </c>
      <c r="T301" s="647"/>
      <c r="U301" s="647"/>
      <c r="V301" s="647"/>
      <c r="W301" s="647"/>
      <c r="X301" s="648"/>
      <c r="Y301" s="302">
        <f t="shared" si="49"/>
        <v>23.615550000000006</v>
      </c>
      <c r="Z301" s="232"/>
    </row>
    <row r="302" spans="2:28" x14ac:dyDescent="0.35">
      <c r="B302" s="630" t="s">
        <v>563</v>
      </c>
      <c r="C302" s="631"/>
      <c r="D302" s="631"/>
      <c r="E302" s="632"/>
      <c r="F302" s="633"/>
      <c r="G302" s="634"/>
      <c r="H302" s="635"/>
      <c r="I302" s="636"/>
      <c r="J302" s="634"/>
      <c r="K302" s="637"/>
      <c r="L302" s="638"/>
      <c r="M302" s="639"/>
      <c r="N302" s="639"/>
      <c r="O302" s="635"/>
      <c r="P302" s="640"/>
      <c r="Q302" s="640"/>
      <c r="R302" s="640"/>
      <c r="S302" s="651">
        <f>SUM(S293:S301)</f>
        <v>3448080.8433015533</v>
      </c>
      <c r="T302" s="650"/>
      <c r="U302" s="650"/>
      <c r="V302" s="650"/>
      <c r="W302" s="650"/>
      <c r="X302" s="652"/>
      <c r="Y302" s="653">
        <f>S302/$C$1</f>
        <v>17951.274694406253</v>
      </c>
      <c r="Z302" s="643">
        <f>S302/$S$388*100</f>
        <v>0.19332481454683886</v>
      </c>
    </row>
    <row r="303" spans="2:28" x14ac:dyDescent="0.35">
      <c r="B303" s="598"/>
      <c r="C303" s="599" t="s">
        <v>564</v>
      </c>
      <c r="D303" s="599"/>
      <c r="E303" s="600"/>
      <c r="F303" s="232" t="s">
        <v>187</v>
      </c>
      <c r="G303" s="501" t="s">
        <v>188</v>
      </c>
      <c r="H303" s="319"/>
      <c r="I303" s="320"/>
      <c r="J303" s="318"/>
      <c r="K303" s="501"/>
      <c r="L303" s="506"/>
      <c r="M303" s="233">
        <v>0.5</v>
      </c>
      <c r="N303" s="235">
        <v>1</v>
      </c>
      <c r="O303" s="723"/>
      <c r="P303" s="492"/>
      <c r="Q303" s="492"/>
      <c r="R303" s="492"/>
      <c r="S303" s="646"/>
      <c r="T303" s="647"/>
      <c r="U303" s="647"/>
      <c r="V303" s="647"/>
      <c r="W303" s="647"/>
      <c r="X303" s="648"/>
      <c r="Y303" s="302"/>
      <c r="Z303" s="232"/>
      <c r="AB303" s="417"/>
    </row>
    <row r="304" spans="2:28" hidden="1" x14ac:dyDescent="0.35">
      <c r="B304" s="605"/>
      <c r="C304" s="606"/>
      <c r="D304" s="606"/>
      <c r="E304" s="607"/>
      <c r="F304" s="232" t="s">
        <v>404</v>
      </c>
      <c r="G304" s="501" t="s">
        <v>191</v>
      </c>
      <c r="H304" s="319"/>
      <c r="I304" s="320"/>
      <c r="J304" s="318"/>
      <c r="K304" s="596"/>
      <c r="L304" s="506"/>
      <c r="M304" s="233">
        <v>1.92</v>
      </c>
      <c r="N304" s="235">
        <v>1</v>
      </c>
      <c r="O304" s="723"/>
      <c r="P304" s="492"/>
      <c r="Q304" s="492"/>
      <c r="R304" s="492"/>
      <c r="S304" s="646"/>
      <c r="T304" s="647"/>
      <c r="U304" s="647"/>
      <c r="V304" s="647"/>
      <c r="W304" s="647"/>
      <c r="X304" s="648"/>
      <c r="Y304" s="302"/>
      <c r="Z304" s="232"/>
    </row>
    <row r="305" spans="2:26" x14ac:dyDescent="0.35">
      <c r="B305" s="603"/>
      <c r="C305" s="94" t="s">
        <v>565</v>
      </c>
      <c r="E305" s="604"/>
      <c r="F305" s="232" t="s">
        <v>187</v>
      </c>
      <c r="G305" s="318" t="s">
        <v>188</v>
      </c>
      <c r="H305" s="319"/>
      <c r="I305" s="320"/>
      <c r="J305" s="318" t="s">
        <v>189</v>
      </c>
      <c r="K305" s="627">
        <v>0</v>
      </c>
      <c r="L305" s="506">
        <v>51.1</v>
      </c>
      <c r="M305" s="233">
        <v>0.25</v>
      </c>
      <c r="N305" s="235">
        <v>12</v>
      </c>
      <c r="O305" s="507">
        <f>K305*L305*M305*N305</f>
        <v>0</v>
      </c>
      <c r="P305" s="235">
        <v>140008</v>
      </c>
      <c r="Q305" s="492">
        <f>P305*$O305</f>
        <v>0</v>
      </c>
      <c r="R305" s="235">
        <v>158800.57379999998</v>
      </c>
      <c r="S305" s="646">
        <f>R305*$O305</f>
        <v>0</v>
      </c>
      <c r="T305" s="235">
        <v>163305.33120000002</v>
      </c>
      <c r="U305" s="647">
        <f>$O305*T305</f>
        <v>0</v>
      </c>
      <c r="V305" s="235" t="e">
        <f>W305/O305</f>
        <v>#DIV/0!</v>
      </c>
      <c r="W305" s="478">
        <f>AVERAGEIF($P$3:$U$3,W$3,$P305:$U305)</f>
        <v>0</v>
      </c>
      <c r="X305" s="648"/>
      <c r="Y305" s="302">
        <f t="shared" ref="Y305:Y307" si="52">S305/192.08</f>
        <v>0</v>
      </c>
      <c r="Z305" s="232"/>
    </row>
    <row r="306" spans="2:26" hidden="1" x14ac:dyDescent="0.35">
      <c r="B306" s="603"/>
      <c r="E306" s="604"/>
      <c r="F306" s="232" t="s">
        <v>566</v>
      </c>
      <c r="G306" s="318" t="s">
        <v>567</v>
      </c>
      <c r="H306" s="319"/>
      <c r="I306" s="320"/>
      <c r="J306" s="318" t="s">
        <v>189</v>
      </c>
      <c r="K306" s="627">
        <v>0</v>
      </c>
      <c r="L306" s="506">
        <v>51.1</v>
      </c>
      <c r="M306" s="373">
        <f>1/2*6/12</f>
        <v>0.25</v>
      </c>
      <c r="N306" s="235">
        <v>12</v>
      </c>
      <c r="O306" s="507">
        <f>K306*L306*M306*N306</f>
        <v>0</v>
      </c>
      <c r="P306" s="235">
        <v>73807.199999999997</v>
      </c>
      <c r="Q306" s="492">
        <f>P306*$O306</f>
        <v>0</v>
      </c>
      <c r="R306" s="235">
        <v>81372.437999999995</v>
      </c>
      <c r="S306" s="646">
        <f>R306*$O306</f>
        <v>0</v>
      </c>
      <c r="T306" s="235">
        <v>84501.863280000005</v>
      </c>
      <c r="U306" s="647">
        <f>$O306*T306</f>
        <v>0</v>
      </c>
      <c r="V306" s="235" t="e">
        <f>W306/O306</f>
        <v>#DIV/0!</v>
      </c>
      <c r="W306" s="478">
        <f>AVERAGEIF($P$3:$U$3,W$3,$P306:$U306)</f>
        <v>0</v>
      </c>
      <c r="X306" s="648"/>
      <c r="Y306" s="302">
        <f t="shared" si="52"/>
        <v>0</v>
      </c>
      <c r="Z306" s="232"/>
    </row>
    <row r="307" spans="2:26" hidden="1" x14ac:dyDescent="0.35">
      <c r="B307" s="603"/>
      <c r="E307" s="607"/>
      <c r="F307" s="232" t="s">
        <v>568</v>
      </c>
      <c r="G307" s="318" t="s">
        <v>193</v>
      </c>
      <c r="H307" s="319"/>
      <c r="I307" s="320"/>
      <c r="J307" s="318" t="s">
        <v>189</v>
      </c>
      <c r="K307" s="627">
        <v>0</v>
      </c>
      <c r="L307" s="506">
        <v>51.1</v>
      </c>
      <c r="M307" s="373">
        <f>1/2*3/12</f>
        <v>0.125</v>
      </c>
      <c r="N307" s="235">
        <v>12</v>
      </c>
      <c r="O307" s="507">
        <f>K307*L307*M307*N307</f>
        <v>0</v>
      </c>
      <c r="P307" s="235">
        <v>50000</v>
      </c>
      <c r="Q307" s="492">
        <f>P307*$O307</f>
        <v>0</v>
      </c>
      <c r="R307" s="235">
        <v>55125</v>
      </c>
      <c r="S307" s="646">
        <f>R307*$O307</f>
        <v>0</v>
      </c>
      <c r="T307" s="235">
        <v>58320.000000000007</v>
      </c>
      <c r="U307" s="647">
        <f>$O307*T307</f>
        <v>0</v>
      </c>
      <c r="V307" s="235" t="e">
        <f>W307/O307</f>
        <v>#DIV/0!</v>
      </c>
      <c r="W307" s="478">
        <f>AVERAGEIF($P$3:$U$3,W$3,$P307:$U307)</f>
        <v>0</v>
      </c>
      <c r="X307" s="648"/>
      <c r="Y307" s="302">
        <f t="shared" si="52"/>
        <v>0</v>
      </c>
      <c r="Z307" s="232"/>
    </row>
    <row r="308" spans="2:26" x14ac:dyDescent="0.35">
      <c r="B308" s="603"/>
      <c r="E308" s="604"/>
      <c r="F308" s="232" t="s">
        <v>187</v>
      </c>
      <c r="G308" s="318" t="s">
        <v>188</v>
      </c>
      <c r="H308" s="319"/>
      <c r="I308" s="320"/>
      <c r="J308" s="318" t="s">
        <v>189</v>
      </c>
      <c r="K308" s="627">
        <v>1</v>
      </c>
      <c r="L308" s="506">
        <v>192.08</v>
      </c>
      <c r="M308" s="373">
        <v>0.25</v>
      </c>
      <c r="N308" s="235">
        <v>12</v>
      </c>
      <c r="O308" s="507">
        <f>K308*L308*M308*N308</f>
        <v>576.24</v>
      </c>
      <c r="P308" s="646"/>
      <c r="Q308" s="492"/>
      <c r="R308" s="235">
        <v>158800.57379999998</v>
      </c>
      <c r="S308" s="646">
        <f>R308*$O308</f>
        <v>91507242.646511987</v>
      </c>
      <c r="T308" s="646"/>
      <c r="U308" s="647"/>
      <c r="V308" s="646"/>
      <c r="W308" s="478"/>
      <c r="X308" s="648"/>
      <c r="Y308" s="302">
        <f>S308/$C$1</f>
        <v>476401.72139999992</v>
      </c>
      <c r="Z308" s="232"/>
    </row>
    <row r="309" spans="2:26" x14ac:dyDescent="0.35">
      <c r="B309" s="603"/>
      <c r="E309" s="604"/>
      <c r="F309" s="232" t="s">
        <v>236</v>
      </c>
      <c r="G309" s="318" t="s">
        <v>188</v>
      </c>
      <c r="H309" s="319"/>
      <c r="I309" s="320"/>
      <c r="J309" s="318" t="s">
        <v>189</v>
      </c>
      <c r="K309" s="627">
        <v>1</v>
      </c>
      <c r="L309" s="506">
        <v>192.08</v>
      </c>
      <c r="M309" s="373">
        <f>M308</f>
        <v>0.25</v>
      </c>
      <c r="N309" s="235">
        <v>12</v>
      </c>
      <c r="O309" s="507">
        <f t="shared" ref="O309:O313" si="53">K309*L309*M309*N309</f>
        <v>576.24</v>
      </c>
      <c r="P309" s="235">
        <v>3700</v>
      </c>
      <c r="Q309" s="492">
        <f t="shared" ref="Q309:Q315" si="54">P309*$O309</f>
        <v>2132088</v>
      </c>
      <c r="R309" s="235">
        <v>4196.6324999999997</v>
      </c>
      <c r="S309" s="646">
        <f t="shared" ref="S309:S315" si="55">R309*$O309</f>
        <v>2418267.5118</v>
      </c>
      <c r="T309" s="646"/>
      <c r="U309" s="647"/>
      <c r="V309" s="646"/>
      <c r="W309" s="478"/>
      <c r="X309" s="648"/>
      <c r="Y309" s="302">
        <f t="shared" ref="Y309:Y316" si="56">S309/$C$1</f>
        <v>12589.897499999999</v>
      </c>
      <c r="Z309" s="232"/>
    </row>
    <row r="310" spans="2:26" x14ac:dyDescent="0.35">
      <c r="B310" s="603"/>
      <c r="E310" s="604"/>
      <c r="F310" s="232" t="s">
        <v>237</v>
      </c>
      <c r="G310" s="318" t="s">
        <v>193</v>
      </c>
      <c r="H310" s="319">
        <v>4</v>
      </c>
      <c r="I310" s="320" t="s">
        <v>238</v>
      </c>
      <c r="J310" s="318" t="s">
        <v>189</v>
      </c>
      <c r="K310" s="627">
        <v>1</v>
      </c>
      <c r="L310" s="506">
        <v>192.08</v>
      </c>
      <c r="M310" s="377">
        <f t="shared" ref="M310:M315" si="57">((M$308*N$308)/240*($H310/N310))</f>
        <v>4.1666666666666666E-3</v>
      </c>
      <c r="N310" s="235">
        <v>12</v>
      </c>
      <c r="O310" s="507">
        <f t="shared" si="53"/>
        <v>9.6039999999999992</v>
      </c>
      <c r="P310" s="235">
        <v>42840</v>
      </c>
      <c r="Q310" s="492">
        <f t="shared" si="54"/>
        <v>411435.36</v>
      </c>
      <c r="R310" s="235">
        <v>47231.1</v>
      </c>
      <c r="S310" s="646">
        <f t="shared" si="55"/>
        <v>453607.48439999996</v>
      </c>
      <c r="T310" s="646"/>
      <c r="U310" s="647"/>
      <c r="V310" s="646"/>
      <c r="W310" s="478"/>
      <c r="X310" s="648"/>
      <c r="Y310" s="302">
        <f t="shared" si="56"/>
        <v>2361.5549999999998</v>
      </c>
      <c r="Z310" s="232"/>
    </row>
    <row r="311" spans="2:26" x14ac:dyDescent="0.35">
      <c r="B311" s="603"/>
      <c r="E311" s="604"/>
      <c r="F311" s="232" t="s">
        <v>230</v>
      </c>
      <c r="G311" s="318" t="s">
        <v>193</v>
      </c>
      <c r="H311" s="319">
        <v>1</v>
      </c>
      <c r="I311" s="320"/>
      <c r="J311" s="318"/>
      <c r="K311" s="627">
        <v>1</v>
      </c>
      <c r="L311" s="506">
        <v>192.08</v>
      </c>
      <c r="M311" s="377">
        <f t="shared" si="57"/>
        <v>6.2500000000000003E-3</v>
      </c>
      <c r="N311" s="235">
        <v>2</v>
      </c>
      <c r="O311" s="507">
        <f t="shared" si="53"/>
        <v>2.4010000000000002</v>
      </c>
      <c r="P311" s="235">
        <v>1366468.5</v>
      </c>
      <c r="Q311" s="492">
        <f t="shared" si="54"/>
        <v>3280890.8685000003</v>
      </c>
      <c r="R311" s="235">
        <v>1506531.5212500002</v>
      </c>
      <c r="S311" s="646">
        <f t="shared" si="55"/>
        <v>3617182.182521251</v>
      </c>
      <c r="T311" s="235">
        <v>1593848.8584</v>
      </c>
      <c r="U311" s="647">
        <f t="shared" ref="U311" si="58">$O311*T311</f>
        <v>3826831.1090184003</v>
      </c>
      <c r="V311" s="235">
        <f t="shared" ref="V311" si="59">W311/O311</f>
        <v>1488949.6265500002</v>
      </c>
      <c r="W311" s="478">
        <f t="shared" ref="W311" si="60">AVERAGEIF($P$3:$U$3,W$3,$P311:$U311)</f>
        <v>3574968.0533465506</v>
      </c>
      <c r="X311" s="648"/>
      <c r="Y311" s="302">
        <f t="shared" si="56"/>
        <v>18831.644015625003</v>
      </c>
      <c r="Z311" s="232"/>
    </row>
    <row r="312" spans="2:26" x14ac:dyDescent="0.35">
      <c r="B312" s="603"/>
      <c r="E312" s="604"/>
      <c r="F312" s="232" t="s">
        <v>239</v>
      </c>
      <c r="G312" s="318" t="s">
        <v>193</v>
      </c>
      <c r="H312" s="319">
        <v>12</v>
      </c>
      <c r="I312" s="320" t="s">
        <v>238</v>
      </c>
      <c r="J312" s="318" t="s">
        <v>189</v>
      </c>
      <c r="K312" s="627">
        <v>1</v>
      </c>
      <c r="L312" s="506">
        <v>192.08</v>
      </c>
      <c r="M312" s="377">
        <f t="shared" si="57"/>
        <v>1.2500000000000001E-2</v>
      </c>
      <c r="N312" s="235">
        <v>12</v>
      </c>
      <c r="O312" s="507">
        <f t="shared" si="53"/>
        <v>28.812000000000005</v>
      </c>
      <c r="P312" s="235">
        <v>14000</v>
      </c>
      <c r="Q312" s="492">
        <f t="shared" si="54"/>
        <v>403368.00000000006</v>
      </c>
      <c r="R312" s="235">
        <v>15435</v>
      </c>
      <c r="S312" s="646">
        <f t="shared" si="55"/>
        <v>444713.22000000009</v>
      </c>
      <c r="T312" s="646"/>
      <c r="U312" s="647"/>
      <c r="V312" s="646"/>
      <c r="W312" s="478"/>
      <c r="X312" s="648"/>
      <c r="Y312" s="302">
        <f t="shared" si="56"/>
        <v>2315.2500000000005</v>
      </c>
      <c r="Z312" s="232"/>
    </row>
    <row r="313" spans="2:26" x14ac:dyDescent="0.35">
      <c r="B313" s="603"/>
      <c r="E313" s="604"/>
      <c r="F313" s="232" t="s">
        <v>240</v>
      </c>
      <c r="G313" s="318" t="s">
        <v>193</v>
      </c>
      <c r="H313" s="319">
        <v>1</v>
      </c>
      <c r="I313" s="320" t="s">
        <v>238</v>
      </c>
      <c r="J313" s="318" t="s">
        <v>189</v>
      </c>
      <c r="K313" s="627">
        <v>1</v>
      </c>
      <c r="L313" s="506">
        <v>192.08</v>
      </c>
      <c r="M313" s="377">
        <f t="shared" si="57"/>
        <v>1.0416666666666667E-3</v>
      </c>
      <c r="N313" s="235">
        <v>12</v>
      </c>
      <c r="O313" s="507">
        <f t="shared" si="53"/>
        <v>2.4009999999999998</v>
      </c>
      <c r="P313" s="235">
        <v>37485</v>
      </c>
      <c r="Q313" s="492">
        <f t="shared" si="54"/>
        <v>90001.484999999986</v>
      </c>
      <c r="R313" s="235">
        <v>41327.212500000001</v>
      </c>
      <c r="S313" s="646">
        <f t="shared" si="55"/>
        <v>99226.637212499991</v>
      </c>
      <c r="T313" s="646"/>
      <c r="U313" s="647"/>
      <c r="V313" s="646"/>
      <c r="W313" s="478"/>
      <c r="X313" s="648"/>
      <c r="Y313" s="302">
        <f t="shared" si="56"/>
        <v>516.59015624999995</v>
      </c>
      <c r="Z313" s="232"/>
    </row>
    <row r="314" spans="2:26" x14ac:dyDescent="0.35">
      <c r="B314" s="603"/>
      <c r="E314" s="604"/>
      <c r="F314" s="232" t="s">
        <v>241</v>
      </c>
      <c r="G314" s="318" t="s">
        <v>193</v>
      </c>
      <c r="H314" s="319">
        <v>2</v>
      </c>
      <c r="I314" s="320" t="s">
        <v>238</v>
      </c>
      <c r="J314" s="318" t="s">
        <v>189</v>
      </c>
      <c r="K314" s="627">
        <v>1</v>
      </c>
      <c r="L314" s="506">
        <v>192.08</v>
      </c>
      <c r="M314" s="377">
        <f t="shared" si="57"/>
        <v>2.0833333333333333E-3</v>
      </c>
      <c r="N314" s="235">
        <v>12</v>
      </c>
      <c r="O314" s="507">
        <f>K314*L314*M314*N314</f>
        <v>4.8019999999999996</v>
      </c>
      <c r="P314" s="235">
        <v>32130</v>
      </c>
      <c r="Q314" s="492">
        <f t="shared" si="54"/>
        <v>154288.25999999998</v>
      </c>
      <c r="R314" s="235">
        <v>35423.325000000004</v>
      </c>
      <c r="S314" s="646">
        <f t="shared" si="55"/>
        <v>170102.80665000001</v>
      </c>
      <c r="T314" s="646"/>
      <c r="U314" s="647"/>
      <c r="V314" s="646"/>
      <c r="W314" s="478"/>
      <c r="X314" s="648"/>
      <c r="Y314" s="302">
        <f t="shared" si="56"/>
        <v>885.583125</v>
      </c>
      <c r="Z314" s="232"/>
    </row>
    <row r="315" spans="2:26" x14ac:dyDescent="0.35">
      <c r="B315" s="603"/>
      <c r="E315" s="604"/>
      <c r="F315" s="232" t="s">
        <v>242</v>
      </c>
      <c r="G315" s="318" t="s">
        <v>193</v>
      </c>
      <c r="H315" s="319">
        <v>1</v>
      </c>
      <c r="I315" s="320" t="s">
        <v>238</v>
      </c>
      <c r="J315" s="318" t="s">
        <v>189</v>
      </c>
      <c r="K315" s="627">
        <v>1</v>
      </c>
      <c r="L315" s="506">
        <v>192.08</v>
      </c>
      <c r="M315" s="377">
        <f t="shared" si="57"/>
        <v>1.0416666666666667E-3</v>
      </c>
      <c r="N315" s="235">
        <v>12</v>
      </c>
      <c r="O315" s="507">
        <f>K315*L315*M315*N315</f>
        <v>2.4009999999999998</v>
      </c>
      <c r="P315" s="235">
        <v>85680</v>
      </c>
      <c r="Q315" s="492">
        <f t="shared" si="54"/>
        <v>205717.68</v>
      </c>
      <c r="R315" s="235">
        <v>94462.2</v>
      </c>
      <c r="S315" s="646">
        <f t="shared" si="55"/>
        <v>226803.74219999998</v>
      </c>
      <c r="T315" s="646"/>
      <c r="U315" s="647"/>
      <c r="V315" s="646"/>
      <c r="W315" s="478"/>
      <c r="X315" s="648"/>
      <c r="Y315" s="302">
        <f t="shared" si="56"/>
        <v>1180.7774999999999</v>
      </c>
      <c r="Z315" s="232"/>
    </row>
    <row r="316" spans="2:26" x14ac:dyDescent="0.35">
      <c r="B316" s="603"/>
      <c r="E316" s="604"/>
      <c r="F316" s="232" t="s">
        <v>341</v>
      </c>
      <c r="G316" s="318" t="s">
        <v>232</v>
      </c>
      <c r="H316" s="319"/>
      <c r="I316" s="320"/>
      <c r="J316" s="318" t="s">
        <v>189</v>
      </c>
      <c r="K316" s="627">
        <v>1</v>
      </c>
      <c r="L316" s="506">
        <v>192.08</v>
      </c>
      <c r="M316" s="366">
        <f>55.2/1000</f>
        <v>5.5200000000000006E-2</v>
      </c>
      <c r="N316" s="235">
        <v>12</v>
      </c>
      <c r="O316" s="507">
        <f>K316*L316*M316*N316</f>
        <v>127.23379200000002</v>
      </c>
      <c r="P316" s="646"/>
      <c r="Q316" s="492"/>
      <c r="R316" s="235">
        <v>56171.272499999999</v>
      </c>
      <c r="S316" s="646">
        <f>R316*$O316</f>
        <v>7146884.0016403208</v>
      </c>
      <c r="T316" s="646"/>
      <c r="U316" s="647"/>
      <c r="V316" s="646"/>
      <c r="W316" s="478"/>
      <c r="X316" s="648"/>
      <c r="Y316" s="302">
        <f t="shared" si="56"/>
        <v>37207.850903999999</v>
      </c>
      <c r="Z316" s="232"/>
    </row>
    <row r="317" spans="2:26" x14ac:dyDescent="0.35">
      <c r="B317" s="630" t="s">
        <v>569</v>
      </c>
      <c r="C317" s="631"/>
      <c r="D317" s="631"/>
      <c r="E317" s="632"/>
      <c r="F317" s="633"/>
      <c r="G317" s="634"/>
      <c r="H317" s="635"/>
      <c r="I317" s="636"/>
      <c r="J317" s="634"/>
      <c r="K317" s="637"/>
      <c r="L317" s="638"/>
      <c r="M317" s="639"/>
      <c r="N317" s="639"/>
      <c r="O317" s="635"/>
      <c r="P317" s="640"/>
      <c r="Q317" s="640"/>
      <c r="R317" s="640"/>
      <c r="S317" s="651">
        <f>SUM(S305:S316)</f>
        <v>106084030.23293607</v>
      </c>
      <c r="T317" s="650"/>
      <c r="U317" s="650"/>
      <c r="V317" s="650"/>
      <c r="W317" s="650"/>
      <c r="X317" s="652"/>
      <c r="Y317" s="653">
        <f>S317/$C$1</f>
        <v>552290.86960087495</v>
      </c>
      <c r="Z317" s="643">
        <f>S317/$S$388*100</f>
        <v>5.9478522700548</v>
      </c>
    </row>
    <row r="318" spans="2:26" x14ac:dyDescent="0.35">
      <c r="B318" s="603"/>
      <c r="C318" s="94" t="s">
        <v>570</v>
      </c>
      <c r="E318" s="604"/>
      <c r="F318" s="232" t="s">
        <v>187</v>
      </c>
      <c r="G318" s="318" t="s">
        <v>188</v>
      </c>
      <c r="H318" s="319"/>
      <c r="I318" s="320"/>
      <c r="J318" s="318"/>
      <c r="K318" s="501"/>
      <c r="L318" s="506"/>
      <c r="M318" s="233"/>
      <c r="N318" s="233"/>
      <c r="O318" s="319"/>
      <c r="P318" s="492"/>
      <c r="Q318" s="492"/>
      <c r="R318" s="492"/>
      <c r="S318" s="646"/>
      <c r="T318" s="647"/>
      <c r="U318" s="647"/>
      <c r="V318" s="647"/>
      <c r="W318" s="647"/>
      <c r="X318" s="648"/>
      <c r="Y318" s="302"/>
      <c r="Z318" s="232"/>
    </row>
    <row r="319" spans="2:26" hidden="1" x14ac:dyDescent="0.35">
      <c r="B319" s="603"/>
      <c r="E319" s="604"/>
      <c r="F319" s="232" t="s">
        <v>476</v>
      </c>
      <c r="G319" s="318" t="s">
        <v>232</v>
      </c>
      <c r="H319" s="319"/>
      <c r="I319" s="320"/>
      <c r="J319" s="318"/>
      <c r="K319" s="501"/>
      <c r="L319" s="506"/>
      <c r="M319" s="233"/>
      <c r="N319" s="233"/>
      <c r="O319" s="319"/>
      <c r="P319" s="492"/>
      <c r="Q319" s="492"/>
      <c r="R319" s="492"/>
      <c r="S319" s="646"/>
      <c r="T319" s="647"/>
      <c r="U319" s="647"/>
      <c r="V319" s="647"/>
      <c r="W319" s="647"/>
      <c r="X319" s="648"/>
      <c r="Y319" s="302"/>
      <c r="Z319" s="232"/>
    </row>
    <row r="320" spans="2:26" ht="15" customHeight="1" x14ac:dyDescent="0.35">
      <c r="B320" s="598"/>
      <c r="C320" s="599" t="s">
        <v>571</v>
      </c>
      <c r="D320" s="599"/>
      <c r="E320" s="600"/>
      <c r="F320" s="703" t="s">
        <v>187</v>
      </c>
      <c r="G320" s="724" t="s">
        <v>188</v>
      </c>
      <c r="H320" s="725"/>
      <c r="I320" s="726"/>
      <c r="J320" s="727"/>
      <c r="K320" s="728" t="s">
        <v>572</v>
      </c>
      <c r="L320" s="729"/>
      <c r="M320" s="730">
        <v>11.5</v>
      </c>
      <c r="N320" s="730">
        <v>1</v>
      </c>
      <c r="O320" s="731"/>
      <c r="P320" s="730"/>
      <c r="Q320" s="730"/>
      <c r="R320" s="730"/>
      <c r="S320" s="709"/>
      <c r="T320" s="732"/>
      <c r="U320" s="732"/>
      <c r="V320" s="732"/>
      <c r="W320" s="732"/>
      <c r="X320" s="648"/>
      <c r="Y320" s="302"/>
      <c r="Z320" s="232"/>
    </row>
    <row r="321" spans="2:26" hidden="1" x14ac:dyDescent="0.35">
      <c r="B321" s="603"/>
      <c r="E321" s="604"/>
      <c r="F321" s="703" t="s">
        <v>410</v>
      </c>
      <c r="G321" s="724" t="s">
        <v>411</v>
      </c>
      <c r="H321" s="705"/>
      <c r="I321" s="706"/>
      <c r="J321" s="724"/>
      <c r="K321" s="733"/>
      <c r="L321" s="734"/>
      <c r="M321" s="730">
        <f>0.002*136</f>
        <v>0.27200000000000002</v>
      </c>
      <c r="N321" s="730">
        <v>1</v>
      </c>
      <c r="O321" s="731"/>
      <c r="P321" s="730"/>
      <c r="Q321" s="730"/>
      <c r="R321" s="730"/>
      <c r="S321" s="709"/>
      <c r="T321" s="732"/>
      <c r="U321" s="732"/>
      <c r="V321" s="732"/>
      <c r="W321" s="732"/>
      <c r="X321" s="648"/>
      <c r="Y321" s="302"/>
      <c r="Z321" s="232"/>
    </row>
    <row r="322" spans="2:26" hidden="1" x14ac:dyDescent="0.35">
      <c r="B322" s="603"/>
      <c r="E322" s="604"/>
      <c r="F322" s="703" t="s">
        <v>412</v>
      </c>
      <c r="G322" s="724" t="s">
        <v>191</v>
      </c>
      <c r="H322" s="735"/>
      <c r="I322" s="736"/>
      <c r="J322" s="737"/>
      <c r="K322" s="738"/>
      <c r="L322" s="739"/>
      <c r="M322" s="730">
        <f>0.001*136</f>
        <v>0.13600000000000001</v>
      </c>
      <c r="N322" s="730">
        <v>1</v>
      </c>
      <c r="O322" s="731"/>
      <c r="P322" s="730"/>
      <c r="Q322" s="730"/>
      <c r="R322" s="730"/>
      <c r="S322" s="709"/>
      <c r="T322" s="732"/>
      <c r="U322" s="732"/>
      <c r="V322" s="732"/>
      <c r="W322" s="732"/>
      <c r="X322" s="648"/>
      <c r="Y322" s="302"/>
      <c r="Z322" s="232"/>
    </row>
    <row r="323" spans="2:26" x14ac:dyDescent="0.35">
      <c r="B323" s="598"/>
      <c r="C323" s="599" t="s">
        <v>573</v>
      </c>
      <c r="D323" s="599"/>
      <c r="E323" s="600"/>
      <c r="F323" s="232" t="s">
        <v>187</v>
      </c>
      <c r="G323" s="318" t="s">
        <v>188</v>
      </c>
      <c r="H323" s="319"/>
      <c r="I323" s="320"/>
      <c r="J323" s="318"/>
      <c r="K323" s="501"/>
      <c r="L323" s="506"/>
      <c r="M323" s="233"/>
      <c r="N323" s="233"/>
      <c r="O323" s="319"/>
      <c r="P323" s="492"/>
      <c r="Q323" s="492"/>
      <c r="R323" s="492"/>
      <c r="S323" s="646"/>
      <c r="T323" s="647"/>
      <c r="U323" s="647"/>
      <c r="V323" s="647"/>
      <c r="W323" s="647"/>
      <c r="X323" s="648"/>
      <c r="Y323" s="302"/>
      <c r="Z323" s="232"/>
    </row>
    <row r="324" spans="2:26" x14ac:dyDescent="0.35">
      <c r="B324" s="693" t="s">
        <v>574</v>
      </c>
      <c r="C324" s="694"/>
      <c r="D324" s="694"/>
      <c r="E324" s="695"/>
      <c r="F324" s="516"/>
      <c r="G324" s="613"/>
      <c r="H324" s="614"/>
      <c r="I324" s="615"/>
      <c r="J324" s="613"/>
      <c r="K324" s="616"/>
      <c r="L324" s="617"/>
      <c r="M324" s="528"/>
      <c r="N324" s="528"/>
      <c r="O324" s="614"/>
      <c r="P324" s="618"/>
      <c r="Q324" s="618"/>
      <c r="R324" s="618"/>
      <c r="S324" s="696">
        <f>S291+S302+S317</f>
        <v>159142692.03827763</v>
      </c>
      <c r="T324" s="673"/>
      <c r="U324" s="673"/>
      <c r="V324" s="673"/>
      <c r="W324" s="673"/>
      <c r="X324" s="674"/>
      <c r="Y324" s="413">
        <f>S324/$C$1</f>
        <v>828522.96979528118</v>
      </c>
      <c r="Z324" s="697">
        <f>S324/$S$388*100</f>
        <v>8.9227117410988264</v>
      </c>
    </row>
    <row r="325" spans="2:26" x14ac:dyDescent="0.35">
      <c r="B325" s="620" t="s">
        <v>575</v>
      </c>
      <c r="C325" s="320"/>
      <c r="D325" s="320"/>
      <c r="E325" s="608"/>
      <c r="F325" s="232"/>
      <c r="G325" s="318"/>
      <c r="H325" s="319"/>
      <c r="I325" s="320"/>
      <c r="J325" s="318"/>
      <c r="K325" s="501"/>
      <c r="L325" s="506"/>
      <c r="M325" s="233"/>
      <c r="N325" s="233"/>
      <c r="O325" s="507"/>
      <c r="P325" s="492"/>
      <c r="Q325" s="492"/>
      <c r="R325" s="492"/>
      <c r="S325" s="646"/>
      <c r="T325" s="647"/>
      <c r="U325" s="647"/>
      <c r="V325" s="647"/>
      <c r="W325" s="647"/>
      <c r="X325" s="648"/>
      <c r="Y325" s="302"/>
      <c r="Z325" s="232"/>
    </row>
    <row r="326" spans="2:26" x14ac:dyDescent="0.35">
      <c r="B326" s="319"/>
      <c r="C326" s="320" t="s">
        <v>576</v>
      </c>
      <c r="E326" s="604"/>
      <c r="F326" s="232"/>
      <c r="G326" s="318"/>
      <c r="H326" s="319"/>
      <c r="I326" s="320"/>
      <c r="J326" s="318"/>
      <c r="K326" s="501"/>
      <c r="L326" s="506"/>
      <c r="M326" s="233"/>
      <c r="N326" s="233"/>
      <c r="O326" s="319"/>
      <c r="P326" s="492"/>
      <c r="Q326" s="492"/>
      <c r="R326" s="492"/>
      <c r="S326" s="646"/>
      <c r="T326" s="647"/>
      <c r="U326" s="647"/>
      <c r="V326" s="647"/>
      <c r="W326" s="647"/>
      <c r="X326" s="648"/>
      <c r="Y326" s="302"/>
      <c r="Z326" s="232"/>
    </row>
    <row r="327" spans="2:26" x14ac:dyDescent="0.35">
      <c r="B327" s="469"/>
      <c r="C327" s="470"/>
      <c r="D327" s="740" t="s">
        <v>477</v>
      </c>
      <c r="E327" s="741"/>
      <c r="F327" s="232" t="s">
        <v>187</v>
      </c>
      <c r="G327" s="318" t="s">
        <v>188</v>
      </c>
      <c r="H327" s="319"/>
      <c r="I327" s="320"/>
      <c r="J327" s="318" t="s">
        <v>189</v>
      </c>
      <c r="K327" s="420">
        <v>1</v>
      </c>
      <c r="L327" s="506">
        <v>192.08</v>
      </c>
      <c r="M327" s="742">
        <v>0.5</v>
      </c>
      <c r="N327" s="235">
        <v>4</v>
      </c>
      <c r="O327" s="507">
        <f t="shared" ref="O327:O355" si="61">K327*L327*M327*N327</f>
        <v>384.16</v>
      </c>
      <c r="P327" s="235">
        <v>140008</v>
      </c>
      <c r="Q327" s="492">
        <f t="shared" ref="Q327:Q355" si="62">P327*$O327</f>
        <v>53785473.280000001</v>
      </c>
      <c r="R327" s="235">
        <v>158800.57379999998</v>
      </c>
      <c r="S327" s="646">
        <f t="shared" ref="S327:S355" si="63">R327*$O327</f>
        <v>61004828.431007996</v>
      </c>
      <c r="T327" s="235">
        <v>163305.33120000002</v>
      </c>
      <c r="U327" s="647">
        <f t="shared" ref="U327:U355" si="64">$O327*T327</f>
        <v>62735376.033792011</v>
      </c>
      <c r="V327" s="235">
        <f>W327/O327</f>
        <v>154037.96833333332</v>
      </c>
      <c r="W327" s="478">
        <f t="shared" ref="W327:W355" si="65">AVERAGEIF($P$3:$U$3,W$3,$P327:$U327)</f>
        <v>59175225.914933331</v>
      </c>
      <c r="X327" s="648"/>
      <c r="Y327" s="302">
        <f>S327/$C$1</f>
        <v>317601.14759999997</v>
      </c>
      <c r="Z327" s="232"/>
    </row>
    <row r="328" spans="2:26" x14ac:dyDescent="0.35">
      <c r="B328" s="603"/>
      <c r="E328" s="604"/>
      <c r="F328" s="232" t="s">
        <v>359</v>
      </c>
      <c r="G328" s="318" t="s">
        <v>188</v>
      </c>
      <c r="H328" s="319"/>
      <c r="I328" s="320"/>
      <c r="J328" s="318" t="s">
        <v>189</v>
      </c>
      <c r="K328" s="420">
        <v>1</v>
      </c>
      <c r="L328" s="506">
        <v>192.08</v>
      </c>
      <c r="M328" s="743">
        <v>0.18</v>
      </c>
      <c r="N328" s="235">
        <f>N327</f>
        <v>4</v>
      </c>
      <c r="O328" s="507">
        <f t="shared" si="61"/>
        <v>138.29760000000002</v>
      </c>
      <c r="P328" s="235">
        <v>140008</v>
      </c>
      <c r="Q328" s="492">
        <f t="shared" si="62"/>
        <v>19362770.380800001</v>
      </c>
      <c r="R328" s="235">
        <v>158800.57379999998</v>
      </c>
      <c r="S328" s="646">
        <f t="shared" si="63"/>
        <v>21961738.23516288</v>
      </c>
      <c r="T328" s="235">
        <v>163305.33120000002</v>
      </c>
      <c r="U328" s="647">
        <f t="shared" si="64"/>
        <v>22584735.372165125</v>
      </c>
      <c r="V328" s="647"/>
      <c r="W328" s="478">
        <f t="shared" si="65"/>
        <v>21303081.329376001</v>
      </c>
      <c r="X328" s="648"/>
      <c r="Y328" s="302">
        <f t="shared" ref="Y328:Y335" si="66">S328/$C$1</f>
        <v>114336.41313599999</v>
      </c>
      <c r="Z328" s="232"/>
    </row>
    <row r="329" spans="2:26" x14ac:dyDescent="0.35">
      <c r="B329" s="603"/>
      <c r="E329" s="604"/>
      <c r="F329" s="232" t="s">
        <v>236</v>
      </c>
      <c r="G329" s="318" t="s">
        <v>188</v>
      </c>
      <c r="H329" s="319"/>
      <c r="I329" s="320"/>
      <c r="J329" s="318" t="s">
        <v>189</v>
      </c>
      <c r="K329" s="420">
        <v>1</v>
      </c>
      <c r="L329" s="506">
        <v>192.08</v>
      </c>
      <c r="M329" s="744">
        <f>M327</f>
        <v>0.5</v>
      </c>
      <c r="N329" s="235">
        <f t="shared" ref="N329:N334" si="67">N328</f>
        <v>4</v>
      </c>
      <c r="O329" s="507">
        <f t="shared" si="61"/>
        <v>384.16</v>
      </c>
      <c r="P329" s="235">
        <v>3700</v>
      </c>
      <c r="Q329" s="492">
        <f t="shared" si="62"/>
        <v>1421392</v>
      </c>
      <c r="R329" s="235">
        <v>4196.6324999999997</v>
      </c>
      <c r="S329" s="646">
        <f t="shared" si="63"/>
        <v>1612178.3411999999</v>
      </c>
      <c r="T329" s="235">
        <v>4490.6400000000003</v>
      </c>
      <c r="U329" s="647">
        <f t="shared" si="64"/>
        <v>1725124.2624000001</v>
      </c>
      <c r="V329" s="235">
        <f t="shared" ref="V329:V355" si="68">W329/O329</f>
        <v>4129.0908333333327</v>
      </c>
      <c r="W329" s="478">
        <f t="shared" si="65"/>
        <v>1586231.5345333333</v>
      </c>
      <c r="X329" s="648"/>
      <c r="Y329" s="302">
        <f t="shared" si="66"/>
        <v>8393.2649999999994</v>
      </c>
      <c r="Z329" s="232"/>
    </row>
    <row r="330" spans="2:26" x14ac:dyDescent="0.35">
      <c r="B330" s="603"/>
      <c r="D330" s="94" t="s">
        <v>577</v>
      </c>
      <c r="E330" s="604"/>
      <c r="F330" s="232" t="s">
        <v>360</v>
      </c>
      <c r="G330" s="318" t="s">
        <v>193</v>
      </c>
      <c r="H330" s="319">
        <v>1</v>
      </c>
      <c r="I330" s="320" t="s">
        <v>238</v>
      </c>
      <c r="J330" s="318" t="s">
        <v>189</v>
      </c>
      <c r="K330" s="420">
        <v>1</v>
      </c>
      <c r="L330" s="506">
        <v>192.08</v>
      </c>
      <c r="M330" s="744">
        <f>((M$327*N$327)/240)*($H330/N330)</f>
        <v>2.0833333333333333E-3</v>
      </c>
      <c r="N330" s="235">
        <f t="shared" si="67"/>
        <v>4</v>
      </c>
      <c r="O330" s="507">
        <f t="shared" si="61"/>
        <v>1.6006666666666667</v>
      </c>
      <c r="P330" s="235">
        <v>5000</v>
      </c>
      <c r="Q330" s="492">
        <f t="shared" si="62"/>
        <v>8003.333333333333</v>
      </c>
      <c r="R330" s="235">
        <v>5512.5</v>
      </c>
      <c r="S330" s="646">
        <f t="shared" si="63"/>
        <v>8823.6749999999993</v>
      </c>
      <c r="T330" s="235">
        <v>5832</v>
      </c>
      <c r="U330" s="647">
        <f t="shared" si="64"/>
        <v>9335.0879999999997</v>
      </c>
      <c r="V330" s="235">
        <f t="shared" si="68"/>
        <v>5448.166666666667</v>
      </c>
      <c r="W330" s="478">
        <f t="shared" si="65"/>
        <v>8720.6987777777777</v>
      </c>
      <c r="X330" s="648"/>
      <c r="Y330" s="302">
        <f t="shared" si="66"/>
        <v>45.937499999999993</v>
      </c>
      <c r="Z330" s="232"/>
    </row>
    <row r="331" spans="2:26" x14ac:dyDescent="0.35">
      <c r="B331" s="603"/>
      <c r="D331" s="94" t="s">
        <v>578</v>
      </c>
      <c r="E331" s="604"/>
      <c r="F331" s="232" t="s">
        <v>237</v>
      </c>
      <c r="G331" s="318" t="s">
        <v>193</v>
      </c>
      <c r="H331" s="319">
        <v>4</v>
      </c>
      <c r="I331" s="320" t="s">
        <v>238</v>
      </c>
      <c r="J331" s="318" t="s">
        <v>189</v>
      </c>
      <c r="K331" s="420">
        <v>1</v>
      </c>
      <c r="L331" s="506">
        <v>192.08</v>
      </c>
      <c r="M331" s="744">
        <f>((M$327*N$327)/240)*($H331/N331)</f>
        <v>8.3333333333333332E-3</v>
      </c>
      <c r="N331" s="235">
        <f t="shared" si="67"/>
        <v>4</v>
      </c>
      <c r="O331" s="507">
        <f t="shared" si="61"/>
        <v>6.4026666666666667</v>
      </c>
      <c r="P331" s="235">
        <v>42840</v>
      </c>
      <c r="Q331" s="492">
        <f t="shared" si="62"/>
        <v>274290.24</v>
      </c>
      <c r="R331" s="235">
        <v>47231.1</v>
      </c>
      <c r="S331" s="646">
        <f t="shared" si="63"/>
        <v>302404.98959999997</v>
      </c>
      <c r="T331" s="235">
        <v>49968.576000000008</v>
      </c>
      <c r="U331" s="647">
        <f t="shared" si="64"/>
        <v>319932.13593600004</v>
      </c>
      <c r="V331" s="235">
        <f t="shared" si="68"/>
        <v>46679.892</v>
      </c>
      <c r="W331" s="478">
        <f t="shared" si="65"/>
        <v>298875.788512</v>
      </c>
      <c r="X331" s="648"/>
      <c r="Y331" s="302">
        <f t="shared" si="66"/>
        <v>1574.3699999999997</v>
      </c>
      <c r="Z331" s="232"/>
    </row>
    <row r="332" spans="2:26" x14ac:dyDescent="0.35">
      <c r="B332" s="603"/>
      <c r="D332" s="94" t="s">
        <v>579</v>
      </c>
      <c r="E332" s="604"/>
      <c r="F332" s="232" t="s">
        <v>239</v>
      </c>
      <c r="G332" s="318" t="s">
        <v>193</v>
      </c>
      <c r="H332" s="319">
        <v>12</v>
      </c>
      <c r="I332" s="320" t="s">
        <v>238</v>
      </c>
      <c r="J332" s="318" t="s">
        <v>189</v>
      </c>
      <c r="K332" s="420">
        <v>1</v>
      </c>
      <c r="L332" s="506">
        <v>192.08</v>
      </c>
      <c r="M332" s="744">
        <f>((M$327*N$327)/240)*($H332/N332)</f>
        <v>2.5000000000000001E-2</v>
      </c>
      <c r="N332" s="235">
        <f t="shared" si="67"/>
        <v>4</v>
      </c>
      <c r="O332" s="507">
        <f t="shared" si="61"/>
        <v>19.208000000000002</v>
      </c>
      <c r="P332" s="235">
        <v>14000</v>
      </c>
      <c r="Q332" s="492">
        <f t="shared" si="62"/>
        <v>268912</v>
      </c>
      <c r="R332" s="235">
        <v>15435</v>
      </c>
      <c r="S332" s="646">
        <f t="shared" si="63"/>
        <v>296475.48000000004</v>
      </c>
      <c r="T332" s="235">
        <v>16329.600000000002</v>
      </c>
      <c r="U332" s="647">
        <f t="shared" si="64"/>
        <v>313658.9568000001</v>
      </c>
      <c r="V332" s="235">
        <f t="shared" si="68"/>
        <v>15254.866666666667</v>
      </c>
      <c r="W332" s="478">
        <f t="shared" si="65"/>
        <v>293015.47893333336</v>
      </c>
      <c r="X332" s="648"/>
      <c r="Y332" s="302">
        <f t="shared" si="66"/>
        <v>1543.5</v>
      </c>
      <c r="Z332" s="232"/>
    </row>
    <row r="333" spans="2:26" x14ac:dyDescent="0.35">
      <c r="B333" s="603"/>
      <c r="D333" s="94" t="s">
        <v>580</v>
      </c>
      <c r="E333" s="604"/>
      <c r="F333" s="232" t="s">
        <v>241</v>
      </c>
      <c r="G333" s="318" t="s">
        <v>193</v>
      </c>
      <c r="H333" s="319">
        <v>2</v>
      </c>
      <c r="I333" s="320" t="s">
        <v>238</v>
      </c>
      <c r="J333" s="318" t="s">
        <v>189</v>
      </c>
      <c r="K333" s="420">
        <v>1</v>
      </c>
      <c r="L333" s="506">
        <v>192.08</v>
      </c>
      <c r="M333" s="744">
        <f>((M$327*N$327)/240)*($H333/N333)</f>
        <v>4.1666666666666666E-3</v>
      </c>
      <c r="N333" s="235">
        <f t="shared" si="67"/>
        <v>4</v>
      </c>
      <c r="O333" s="507">
        <f t="shared" si="61"/>
        <v>3.2013333333333334</v>
      </c>
      <c r="P333" s="235">
        <v>32130</v>
      </c>
      <c r="Q333" s="492">
        <f t="shared" si="62"/>
        <v>102858.84</v>
      </c>
      <c r="R333" s="235">
        <v>35423.325000000004</v>
      </c>
      <c r="S333" s="646">
        <f t="shared" si="63"/>
        <v>113401.87110000002</v>
      </c>
      <c r="T333" s="235">
        <v>37476.432000000001</v>
      </c>
      <c r="U333" s="647">
        <f t="shared" si="64"/>
        <v>119974.550976</v>
      </c>
      <c r="V333" s="235">
        <f t="shared" si="68"/>
        <v>35009.919000000002</v>
      </c>
      <c r="W333" s="478">
        <f t="shared" si="65"/>
        <v>112078.420692</v>
      </c>
      <c r="X333" s="648"/>
      <c r="Y333" s="302">
        <f t="shared" si="66"/>
        <v>590.38875000000007</v>
      </c>
      <c r="Z333" s="232"/>
    </row>
    <row r="334" spans="2:26" x14ac:dyDescent="0.35">
      <c r="B334" s="603"/>
      <c r="E334" s="604"/>
      <c r="F334" s="232" t="s">
        <v>242</v>
      </c>
      <c r="G334" s="318" t="s">
        <v>193</v>
      </c>
      <c r="H334" s="319">
        <v>1</v>
      </c>
      <c r="I334" s="320" t="s">
        <v>238</v>
      </c>
      <c r="J334" s="318" t="s">
        <v>189</v>
      </c>
      <c r="K334" s="420">
        <v>1</v>
      </c>
      <c r="L334" s="506">
        <v>192.08</v>
      </c>
      <c r="M334" s="744">
        <f>((M$327*N$327)/240)*($H334/N334)</f>
        <v>2.0833333333333333E-3</v>
      </c>
      <c r="N334" s="235">
        <f t="shared" si="67"/>
        <v>4</v>
      </c>
      <c r="O334" s="507">
        <f t="shared" si="61"/>
        <v>1.6006666666666667</v>
      </c>
      <c r="P334" s="235">
        <v>85680</v>
      </c>
      <c r="Q334" s="492">
        <f t="shared" si="62"/>
        <v>137145.12</v>
      </c>
      <c r="R334" s="235">
        <v>94462.2</v>
      </c>
      <c r="S334" s="646">
        <f t="shared" si="63"/>
        <v>151202.49479999999</v>
      </c>
      <c r="T334" s="235">
        <v>99937.152000000016</v>
      </c>
      <c r="U334" s="647">
        <f t="shared" si="64"/>
        <v>159966.06796800002</v>
      </c>
      <c r="V334" s="235">
        <f t="shared" si="68"/>
        <v>93359.784</v>
      </c>
      <c r="W334" s="478">
        <f t="shared" si="65"/>
        <v>149437.894256</v>
      </c>
      <c r="X334" s="648"/>
      <c r="Y334" s="302">
        <f t="shared" si="66"/>
        <v>787.18499999999983</v>
      </c>
      <c r="Z334" s="232"/>
    </row>
    <row r="335" spans="2:26" x14ac:dyDescent="0.35">
      <c r="B335" s="603"/>
      <c r="D335" s="94" t="s">
        <v>581</v>
      </c>
      <c r="E335" s="604"/>
      <c r="F335" s="95" t="s">
        <v>582</v>
      </c>
      <c r="G335" s="318" t="s">
        <v>191</v>
      </c>
      <c r="H335" s="319"/>
      <c r="I335" s="320"/>
      <c r="J335" s="318" t="s">
        <v>325</v>
      </c>
      <c r="K335" s="420">
        <v>1</v>
      </c>
      <c r="L335" s="506">
        <v>192.08</v>
      </c>
      <c r="M335" s="743">
        <f>(3050*136)/1000</f>
        <v>414.8</v>
      </c>
      <c r="N335" s="235">
        <v>1</v>
      </c>
      <c r="O335" s="507">
        <f t="shared" si="61"/>
        <v>79674.784000000014</v>
      </c>
      <c r="P335" s="235">
        <v>6152.5</v>
      </c>
      <c r="Q335" s="492">
        <f t="shared" si="62"/>
        <v>490199108.56000006</v>
      </c>
      <c r="R335" s="235">
        <v>6783.1312500000004</v>
      </c>
      <c r="S335" s="646">
        <f t="shared" si="63"/>
        <v>540444517.1874001</v>
      </c>
      <c r="T335" s="235">
        <v>7444.5250000000015</v>
      </c>
      <c r="U335" s="647">
        <f t="shared" si="64"/>
        <v>593140921.35760021</v>
      </c>
      <c r="V335" s="235">
        <f t="shared" si="68"/>
        <v>6793.3854166666679</v>
      </c>
      <c r="W335" s="478">
        <f t="shared" si="65"/>
        <v>541261515.70166683</v>
      </c>
      <c r="X335" s="648"/>
      <c r="Y335" s="302">
        <f t="shared" si="66"/>
        <v>2813642.8425000003</v>
      </c>
      <c r="Z335" s="232"/>
    </row>
    <row r="336" spans="2:26" x14ac:dyDescent="0.35">
      <c r="B336" s="630" t="s">
        <v>583</v>
      </c>
      <c r="C336" s="631"/>
      <c r="D336" s="631"/>
      <c r="E336" s="632"/>
      <c r="F336" s="633"/>
      <c r="G336" s="634"/>
      <c r="H336" s="635"/>
      <c r="I336" s="636"/>
      <c r="J336" s="634"/>
      <c r="K336" s="637"/>
      <c r="L336" s="638"/>
      <c r="M336" s="639"/>
      <c r="N336" s="639"/>
      <c r="O336" s="635"/>
      <c r="P336" s="640"/>
      <c r="Q336" s="640"/>
      <c r="R336" s="640"/>
      <c r="S336" s="651">
        <f>SUM(S327:S335)</f>
        <v>625895570.70527101</v>
      </c>
      <c r="T336" s="650"/>
      <c r="U336" s="650"/>
      <c r="V336" s="650"/>
      <c r="W336" s="650"/>
      <c r="X336" s="652"/>
      <c r="Y336" s="653">
        <f>S336/$C$1</f>
        <v>3258515.0494860006</v>
      </c>
      <c r="Z336" s="643">
        <f>S336/$S$388*100</f>
        <v>35.092316749866356</v>
      </c>
    </row>
    <row r="337" spans="2:26" x14ac:dyDescent="0.35">
      <c r="B337" s="469"/>
      <c r="C337" s="470"/>
      <c r="D337" s="740" t="s">
        <v>584</v>
      </c>
      <c r="E337" s="741"/>
      <c r="F337" s="232" t="s">
        <v>187</v>
      </c>
      <c r="G337" s="318" t="s">
        <v>188</v>
      </c>
      <c r="H337" s="319"/>
      <c r="I337" s="320"/>
      <c r="J337" s="318" t="s">
        <v>189</v>
      </c>
      <c r="K337" s="420">
        <v>1</v>
      </c>
      <c r="L337" s="506">
        <v>192.08</v>
      </c>
      <c r="M337" s="745">
        <v>0.5</v>
      </c>
      <c r="N337" s="235">
        <v>4</v>
      </c>
      <c r="O337" s="507">
        <f t="shared" si="61"/>
        <v>384.16</v>
      </c>
      <c r="P337" s="235">
        <v>140008</v>
      </c>
      <c r="Q337" s="492">
        <f t="shared" si="62"/>
        <v>53785473.280000001</v>
      </c>
      <c r="R337" s="235">
        <v>158800.57379999998</v>
      </c>
      <c r="S337" s="646">
        <f t="shared" si="63"/>
        <v>61004828.431007996</v>
      </c>
      <c r="T337" s="235">
        <v>163305.33120000002</v>
      </c>
      <c r="U337" s="647">
        <f t="shared" si="64"/>
        <v>62735376.033792011</v>
      </c>
      <c r="V337" s="235">
        <f t="shared" si="68"/>
        <v>154037.96833333332</v>
      </c>
      <c r="W337" s="478">
        <f t="shared" si="65"/>
        <v>59175225.914933331</v>
      </c>
      <c r="X337" s="648"/>
      <c r="Y337" s="302">
        <f>S337/$C$1</f>
        <v>317601.14759999997</v>
      </c>
      <c r="Z337" s="232"/>
    </row>
    <row r="338" spans="2:26" x14ac:dyDescent="0.35">
      <c r="B338" s="603"/>
      <c r="E338" s="604"/>
      <c r="F338" s="232" t="s">
        <v>359</v>
      </c>
      <c r="G338" s="318" t="s">
        <v>188</v>
      </c>
      <c r="H338" s="319"/>
      <c r="I338" s="320"/>
      <c r="J338" s="318" t="s">
        <v>189</v>
      </c>
      <c r="K338" s="420">
        <v>1</v>
      </c>
      <c r="L338" s="506">
        <v>192.08</v>
      </c>
      <c r="M338" s="746">
        <v>0.18</v>
      </c>
      <c r="N338" s="235">
        <f>N337</f>
        <v>4</v>
      </c>
      <c r="O338" s="507">
        <f t="shared" si="61"/>
        <v>138.29760000000002</v>
      </c>
      <c r="P338" s="235">
        <v>140008</v>
      </c>
      <c r="Q338" s="492">
        <f t="shared" si="62"/>
        <v>19362770.380800001</v>
      </c>
      <c r="R338" s="235">
        <v>158800.57379999998</v>
      </c>
      <c r="S338" s="646">
        <f t="shared" si="63"/>
        <v>21961738.23516288</v>
      </c>
      <c r="T338" s="235">
        <v>163305.33120000002</v>
      </c>
      <c r="U338" s="647">
        <f t="shared" si="64"/>
        <v>22584735.372165125</v>
      </c>
      <c r="V338" s="235">
        <f t="shared" si="68"/>
        <v>154037.96833333332</v>
      </c>
      <c r="W338" s="478">
        <f t="shared" si="65"/>
        <v>21303081.329376001</v>
      </c>
      <c r="X338" s="648"/>
      <c r="Y338" s="302">
        <f t="shared" ref="Y338:Y345" si="69">S338/$C$1</f>
        <v>114336.41313599999</v>
      </c>
      <c r="Z338" s="232"/>
    </row>
    <row r="339" spans="2:26" x14ac:dyDescent="0.35">
      <c r="B339" s="603"/>
      <c r="D339" s="94" t="s">
        <v>585</v>
      </c>
      <c r="E339" s="604"/>
      <c r="F339" s="232" t="s">
        <v>236</v>
      </c>
      <c r="G339" s="318" t="s">
        <v>188</v>
      </c>
      <c r="H339" s="319"/>
      <c r="I339" s="320"/>
      <c r="J339" s="318" t="s">
        <v>189</v>
      </c>
      <c r="K339" s="420">
        <v>1</v>
      </c>
      <c r="L339" s="506">
        <v>192.08</v>
      </c>
      <c r="M339" s="747">
        <f>M337</f>
        <v>0.5</v>
      </c>
      <c r="N339" s="235">
        <f t="shared" ref="N339:N344" si="70">N338</f>
        <v>4</v>
      </c>
      <c r="O339" s="507">
        <f t="shared" si="61"/>
        <v>384.16</v>
      </c>
      <c r="P339" s="235">
        <v>3700</v>
      </c>
      <c r="Q339" s="492">
        <f t="shared" si="62"/>
        <v>1421392</v>
      </c>
      <c r="R339" s="235">
        <v>4196.6324999999997</v>
      </c>
      <c r="S339" s="646">
        <f t="shared" si="63"/>
        <v>1612178.3411999999</v>
      </c>
      <c r="T339" s="235">
        <v>4490.6400000000003</v>
      </c>
      <c r="U339" s="647">
        <f t="shared" si="64"/>
        <v>1725124.2624000001</v>
      </c>
      <c r="V339" s="235">
        <f t="shared" si="68"/>
        <v>4129.0908333333327</v>
      </c>
      <c r="W339" s="478">
        <f t="shared" si="65"/>
        <v>1586231.5345333333</v>
      </c>
      <c r="X339" s="648"/>
      <c r="Y339" s="302">
        <f t="shared" si="69"/>
        <v>8393.2649999999994</v>
      </c>
      <c r="Z339" s="232"/>
    </row>
    <row r="340" spans="2:26" x14ac:dyDescent="0.35">
      <c r="B340" s="603"/>
      <c r="D340" s="94" t="s">
        <v>586</v>
      </c>
      <c r="E340" s="604"/>
      <c r="F340" s="232" t="s">
        <v>360</v>
      </c>
      <c r="G340" s="318" t="s">
        <v>193</v>
      </c>
      <c r="H340" s="319">
        <v>1</v>
      </c>
      <c r="I340" s="320" t="s">
        <v>238</v>
      </c>
      <c r="J340" s="318" t="s">
        <v>189</v>
      </c>
      <c r="K340" s="420">
        <v>1</v>
      </c>
      <c r="L340" s="506">
        <v>192.08</v>
      </c>
      <c r="M340" s="746">
        <f>((M$337*N$337)/240)*($H340/N340)</f>
        <v>2.0833333333333333E-3</v>
      </c>
      <c r="N340" s="235">
        <v>4</v>
      </c>
      <c r="O340" s="507">
        <f t="shared" si="61"/>
        <v>1.6006666666666667</v>
      </c>
      <c r="P340" s="235">
        <v>5000</v>
      </c>
      <c r="Q340" s="492">
        <f t="shared" si="62"/>
        <v>8003.333333333333</v>
      </c>
      <c r="R340" s="235">
        <v>5512.5</v>
      </c>
      <c r="S340" s="646">
        <f t="shared" si="63"/>
        <v>8823.6749999999993</v>
      </c>
      <c r="T340" s="235">
        <v>5832</v>
      </c>
      <c r="U340" s="647">
        <f t="shared" si="64"/>
        <v>9335.0879999999997</v>
      </c>
      <c r="V340" s="235">
        <f t="shared" si="68"/>
        <v>5448.166666666667</v>
      </c>
      <c r="W340" s="478">
        <f t="shared" si="65"/>
        <v>8720.6987777777777</v>
      </c>
      <c r="X340" s="648"/>
      <c r="Y340" s="302">
        <f t="shared" si="69"/>
        <v>45.937499999999993</v>
      </c>
      <c r="Z340" s="232"/>
    </row>
    <row r="341" spans="2:26" x14ac:dyDescent="0.35">
      <c r="B341" s="603"/>
      <c r="D341" s="94" t="s">
        <v>587</v>
      </c>
      <c r="E341" s="604"/>
      <c r="F341" s="232" t="s">
        <v>237</v>
      </c>
      <c r="G341" s="318" t="s">
        <v>193</v>
      </c>
      <c r="H341" s="319">
        <v>4</v>
      </c>
      <c r="I341" s="320" t="s">
        <v>238</v>
      </c>
      <c r="J341" s="318" t="s">
        <v>189</v>
      </c>
      <c r="K341" s="420">
        <v>1</v>
      </c>
      <c r="L341" s="506">
        <v>192.08</v>
      </c>
      <c r="M341" s="746">
        <f>((M$337*N$337)/240)*($H341/N341)</f>
        <v>8.3333333333333332E-3</v>
      </c>
      <c r="N341" s="235">
        <f t="shared" si="70"/>
        <v>4</v>
      </c>
      <c r="O341" s="507">
        <f t="shared" si="61"/>
        <v>6.4026666666666667</v>
      </c>
      <c r="P341" s="235">
        <v>42840</v>
      </c>
      <c r="Q341" s="492">
        <f t="shared" si="62"/>
        <v>274290.24</v>
      </c>
      <c r="R341" s="235">
        <v>47231.1</v>
      </c>
      <c r="S341" s="646">
        <f t="shared" si="63"/>
        <v>302404.98959999997</v>
      </c>
      <c r="T341" s="235">
        <v>49968.576000000008</v>
      </c>
      <c r="U341" s="647">
        <f t="shared" si="64"/>
        <v>319932.13593600004</v>
      </c>
      <c r="V341" s="235">
        <f t="shared" si="68"/>
        <v>46679.892</v>
      </c>
      <c r="W341" s="478">
        <f t="shared" si="65"/>
        <v>298875.788512</v>
      </c>
      <c r="X341" s="648"/>
      <c r="Y341" s="302">
        <f t="shared" si="69"/>
        <v>1574.3699999999997</v>
      </c>
      <c r="Z341" s="232"/>
    </row>
    <row r="342" spans="2:26" x14ac:dyDescent="0.35">
      <c r="B342" s="603"/>
      <c r="D342" s="94" t="s">
        <v>588</v>
      </c>
      <c r="E342" s="604"/>
      <c r="F342" s="232" t="s">
        <v>239</v>
      </c>
      <c r="G342" s="318" t="s">
        <v>193</v>
      </c>
      <c r="H342" s="319">
        <v>12</v>
      </c>
      <c r="I342" s="320" t="s">
        <v>238</v>
      </c>
      <c r="J342" s="318" t="s">
        <v>189</v>
      </c>
      <c r="K342" s="420">
        <v>1</v>
      </c>
      <c r="L342" s="506">
        <v>192.08</v>
      </c>
      <c r="M342" s="746">
        <f>((M$337*N$337)/240)*($H342/N342)</f>
        <v>2.5000000000000001E-2</v>
      </c>
      <c r="N342" s="235">
        <f t="shared" si="70"/>
        <v>4</v>
      </c>
      <c r="O342" s="507">
        <f t="shared" si="61"/>
        <v>19.208000000000002</v>
      </c>
      <c r="P342" s="235">
        <v>14000</v>
      </c>
      <c r="Q342" s="492">
        <f t="shared" si="62"/>
        <v>268912</v>
      </c>
      <c r="R342" s="235">
        <v>15435</v>
      </c>
      <c r="S342" s="646">
        <f t="shared" si="63"/>
        <v>296475.48000000004</v>
      </c>
      <c r="T342" s="235">
        <v>16329.600000000002</v>
      </c>
      <c r="U342" s="647">
        <f t="shared" si="64"/>
        <v>313658.9568000001</v>
      </c>
      <c r="V342" s="235">
        <f t="shared" si="68"/>
        <v>15254.866666666667</v>
      </c>
      <c r="W342" s="478">
        <f t="shared" si="65"/>
        <v>293015.47893333336</v>
      </c>
      <c r="X342" s="648"/>
      <c r="Y342" s="302">
        <f t="shared" si="69"/>
        <v>1543.5</v>
      </c>
      <c r="Z342" s="232"/>
    </row>
    <row r="343" spans="2:26" x14ac:dyDescent="0.35">
      <c r="B343" s="603"/>
      <c r="E343" s="604"/>
      <c r="F343" s="232" t="s">
        <v>241</v>
      </c>
      <c r="G343" s="318" t="s">
        <v>193</v>
      </c>
      <c r="H343" s="319">
        <v>2</v>
      </c>
      <c r="I343" s="320" t="s">
        <v>238</v>
      </c>
      <c r="J343" s="318" t="s">
        <v>189</v>
      </c>
      <c r="K343" s="420">
        <v>1</v>
      </c>
      <c r="L343" s="506">
        <v>192.08</v>
      </c>
      <c r="M343" s="746">
        <f>((M$337*N$337)/240)*($H343/N343)</f>
        <v>4.1666666666666666E-3</v>
      </c>
      <c r="N343" s="235">
        <f t="shared" si="70"/>
        <v>4</v>
      </c>
      <c r="O343" s="507">
        <f t="shared" si="61"/>
        <v>3.2013333333333334</v>
      </c>
      <c r="P343" s="235">
        <v>32130</v>
      </c>
      <c r="Q343" s="492">
        <f t="shared" si="62"/>
        <v>102858.84</v>
      </c>
      <c r="R343" s="235">
        <v>35423.325000000004</v>
      </c>
      <c r="S343" s="646">
        <f t="shared" si="63"/>
        <v>113401.87110000002</v>
      </c>
      <c r="T343" s="235">
        <v>37476.432000000001</v>
      </c>
      <c r="U343" s="647">
        <f t="shared" si="64"/>
        <v>119974.550976</v>
      </c>
      <c r="V343" s="235">
        <f t="shared" si="68"/>
        <v>35009.919000000002</v>
      </c>
      <c r="W343" s="478">
        <f t="shared" si="65"/>
        <v>112078.420692</v>
      </c>
      <c r="X343" s="648"/>
      <c r="Y343" s="302">
        <f t="shared" si="69"/>
        <v>590.38875000000007</v>
      </c>
      <c r="Z343" s="232"/>
    </row>
    <row r="344" spans="2:26" x14ac:dyDescent="0.35">
      <c r="B344" s="603"/>
      <c r="E344" s="604"/>
      <c r="F344" s="232" t="s">
        <v>242</v>
      </c>
      <c r="G344" s="318" t="s">
        <v>193</v>
      </c>
      <c r="H344" s="319">
        <v>1</v>
      </c>
      <c r="I344" s="320" t="s">
        <v>238</v>
      </c>
      <c r="J344" s="318" t="s">
        <v>189</v>
      </c>
      <c r="K344" s="420">
        <v>1</v>
      </c>
      <c r="L344" s="506">
        <v>192.08</v>
      </c>
      <c r="M344" s="746">
        <f>((M$337*N$337)/240)*($H344/N344)</f>
        <v>2.0833333333333333E-3</v>
      </c>
      <c r="N344" s="235">
        <f t="shared" si="70"/>
        <v>4</v>
      </c>
      <c r="O344" s="507">
        <f t="shared" si="61"/>
        <v>1.6006666666666667</v>
      </c>
      <c r="P344" s="235">
        <v>85680</v>
      </c>
      <c r="Q344" s="492">
        <f t="shared" si="62"/>
        <v>137145.12</v>
      </c>
      <c r="R344" s="235">
        <v>94462.2</v>
      </c>
      <c r="S344" s="646">
        <f t="shared" si="63"/>
        <v>151202.49479999999</v>
      </c>
      <c r="T344" s="235">
        <v>99937.152000000016</v>
      </c>
      <c r="U344" s="647">
        <f t="shared" si="64"/>
        <v>159966.06796800002</v>
      </c>
      <c r="V344" s="235">
        <f t="shared" si="68"/>
        <v>93359.784</v>
      </c>
      <c r="W344" s="478">
        <f t="shared" si="65"/>
        <v>149437.894256</v>
      </c>
      <c r="X344" s="648"/>
      <c r="Y344" s="302">
        <f t="shared" si="69"/>
        <v>787.18499999999983</v>
      </c>
      <c r="Z344" s="232"/>
    </row>
    <row r="345" spans="2:26" x14ac:dyDescent="0.35">
      <c r="B345" s="603"/>
      <c r="E345" s="604"/>
      <c r="F345" s="95" t="s">
        <v>385</v>
      </c>
      <c r="G345" s="318" t="s">
        <v>191</v>
      </c>
      <c r="H345" s="319"/>
      <c r="I345" s="320"/>
      <c r="J345" s="318" t="s">
        <v>325</v>
      </c>
      <c r="K345" s="420">
        <v>1</v>
      </c>
      <c r="L345" s="506">
        <v>192.08</v>
      </c>
      <c r="M345" s="748">
        <f>(750*136)/1000</f>
        <v>102</v>
      </c>
      <c r="N345" s="235">
        <v>1</v>
      </c>
      <c r="O345" s="507">
        <f t="shared" si="61"/>
        <v>19592.16</v>
      </c>
      <c r="P345" s="235">
        <v>870</v>
      </c>
      <c r="Q345" s="492">
        <f t="shared" si="62"/>
        <v>17045179.199999999</v>
      </c>
      <c r="R345" s="235">
        <v>959.17500000000007</v>
      </c>
      <c r="S345" s="646">
        <f t="shared" si="63"/>
        <v>18792310.068</v>
      </c>
      <c r="T345" s="235">
        <v>1052.7000000000003</v>
      </c>
      <c r="U345" s="647">
        <f t="shared" si="64"/>
        <v>20624666.832000006</v>
      </c>
      <c r="V345" s="235">
        <f t="shared" si="68"/>
        <v>960.62500000000011</v>
      </c>
      <c r="W345" s="478">
        <f t="shared" si="65"/>
        <v>18820718.700000003</v>
      </c>
      <c r="X345" s="648"/>
      <c r="Y345" s="302">
        <f t="shared" si="69"/>
        <v>97835.849999999991</v>
      </c>
      <c r="Z345" s="232"/>
    </row>
    <row r="346" spans="2:26" x14ac:dyDescent="0.35">
      <c r="B346" s="630" t="s">
        <v>589</v>
      </c>
      <c r="C346" s="631"/>
      <c r="D346" s="631"/>
      <c r="E346" s="632"/>
      <c r="F346" s="633"/>
      <c r="G346" s="634"/>
      <c r="H346" s="635"/>
      <c r="I346" s="636"/>
      <c r="J346" s="634"/>
      <c r="K346" s="637"/>
      <c r="L346" s="638"/>
      <c r="M346" s="639"/>
      <c r="N346" s="639"/>
      <c r="O346" s="635"/>
      <c r="P346" s="640"/>
      <c r="Q346" s="640"/>
      <c r="R346" s="640"/>
      <c r="S346" s="651">
        <f>SUM(S337:S345)</f>
        <v>104243363.58587088</v>
      </c>
      <c r="T346" s="650"/>
      <c r="U346" s="650"/>
      <c r="V346" s="650"/>
      <c r="W346" s="650"/>
      <c r="X346" s="652"/>
      <c r="Y346" s="653">
        <f>S346/$C$1</f>
        <v>542708.05698599992</v>
      </c>
      <c r="Z346" s="643">
        <f>S346/$S$388*100</f>
        <v>5.8446509373836948</v>
      </c>
    </row>
    <row r="347" spans="2:26" x14ac:dyDescent="0.35">
      <c r="B347" s="469"/>
      <c r="C347" s="470"/>
      <c r="D347" s="740" t="s">
        <v>590</v>
      </c>
      <c r="E347" s="741"/>
      <c r="F347" s="232" t="s">
        <v>187</v>
      </c>
      <c r="G347" s="318" t="s">
        <v>188</v>
      </c>
      <c r="H347" s="319"/>
      <c r="I347" s="320"/>
      <c r="J347" s="318" t="s">
        <v>189</v>
      </c>
      <c r="K347" s="420">
        <v>1</v>
      </c>
      <c r="L347" s="506">
        <v>192.08</v>
      </c>
      <c r="M347" s="742">
        <v>0.2</v>
      </c>
      <c r="N347" s="235">
        <v>1</v>
      </c>
      <c r="O347" s="507">
        <f t="shared" si="61"/>
        <v>38.416000000000004</v>
      </c>
      <c r="P347" s="235">
        <v>140008</v>
      </c>
      <c r="Q347" s="492">
        <f t="shared" si="62"/>
        <v>5378547.3280000007</v>
      </c>
      <c r="R347" s="235">
        <v>158800.57379999998</v>
      </c>
      <c r="S347" s="646">
        <f t="shared" si="63"/>
        <v>6100482.8431008002</v>
      </c>
      <c r="T347" s="235">
        <v>163305.33120000002</v>
      </c>
      <c r="U347" s="647">
        <f t="shared" si="64"/>
        <v>6273537.6033792011</v>
      </c>
      <c r="V347" s="235">
        <f t="shared" si="68"/>
        <v>154037.96833333332</v>
      </c>
      <c r="W347" s="478">
        <f t="shared" si="65"/>
        <v>5917522.5914933337</v>
      </c>
      <c r="X347" s="648"/>
      <c r="Y347" s="302">
        <f>S347/$C$1</f>
        <v>31760.11476</v>
      </c>
      <c r="Z347" s="232"/>
    </row>
    <row r="348" spans="2:26" x14ac:dyDescent="0.35">
      <c r="B348" s="603"/>
      <c r="D348" s="94" t="s">
        <v>591</v>
      </c>
      <c r="E348" s="604"/>
      <c r="F348" s="232" t="s">
        <v>359</v>
      </c>
      <c r="G348" s="318" t="s">
        <v>188</v>
      </c>
      <c r="H348" s="319"/>
      <c r="I348" s="320"/>
      <c r="J348" s="318" t="s">
        <v>189</v>
      </c>
      <c r="K348" s="420">
        <v>1</v>
      </c>
      <c r="L348" s="506">
        <v>192.08</v>
      </c>
      <c r="M348" s="742">
        <v>0.18</v>
      </c>
      <c r="N348" s="235">
        <f>N347</f>
        <v>1</v>
      </c>
      <c r="O348" s="507">
        <f t="shared" si="61"/>
        <v>34.574400000000004</v>
      </c>
      <c r="P348" s="235">
        <v>140008</v>
      </c>
      <c r="Q348" s="492">
        <f t="shared" si="62"/>
        <v>4840692.5952000003</v>
      </c>
      <c r="R348" s="235">
        <v>158800.57379999998</v>
      </c>
      <c r="S348" s="646">
        <f t="shared" si="63"/>
        <v>5490434.5587907201</v>
      </c>
      <c r="T348" s="235">
        <v>163305.33120000002</v>
      </c>
      <c r="U348" s="647">
        <f t="shared" si="64"/>
        <v>5646183.8430412812</v>
      </c>
      <c r="V348" s="235">
        <f t="shared" si="68"/>
        <v>154037.96833333332</v>
      </c>
      <c r="W348" s="478">
        <f t="shared" si="65"/>
        <v>5325770.3323440002</v>
      </c>
      <c r="X348" s="648"/>
      <c r="Y348" s="302">
        <f t="shared" ref="Y348:Y355" si="71">S348/$C$1</f>
        <v>28584.103283999997</v>
      </c>
      <c r="Z348" s="232"/>
    </row>
    <row r="349" spans="2:26" x14ac:dyDescent="0.35">
      <c r="B349" s="603"/>
      <c r="E349" s="604"/>
      <c r="F349" s="232" t="s">
        <v>236</v>
      </c>
      <c r="G349" s="318" t="s">
        <v>188</v>
      </c>
      <c r="H349" s="319"/>
      <c r="I349" s="320"/>
      <c r="J349" s="318" t="s">
        <v>189</v>
      </c>
      <c r="K349" s="420">
        <v>1</v>
      </c>
      <c r="L349" s="506">
        <v>192.08</v>
      </c>
      <c r="M349" s="743">
        <f>M347</f>
        <v>0.2</v>
      </c>
      <c r="N349" s="235">
        <f t="shared" ref="N349:N354" si="72">N348</f>
        <v>1</v>
      </c>
      <c r="O349" s="507">
        <f t="shared" si="61"/>
        <v>38.416000000000004</v>
      </c>
      <c r="P349" s="235">
        <v>3700</v>
      </c>
      <c r="Q349" s="492">
        <f t="shared" si="62"/>
        <v>142139.20000000001</v>
      </c>
      <c r="R349" s="235">
        <v>4196.6324999999997</v>
      </c>
      <c r="S349" s="646">
        <f t="shared" si="63"/>
        <v>161217.83412000001</v>
      </c>
      <c r="T349" s="235">
        <v>4490.6400000000003</v>
      </c>
      <c r="U349" s="647">
        <f t="shared" si="64"/>
        <v>172512.42624000003</v>
      </c>
      <c r="V349" s="235">
        <f t="shared" si="68"/>
        <v>4129.0908333333327</v>
      </c>
      <c r="W349" s="478">
        <f t="shared" si="65"/>
        <v>158623.15345333333</v>
      </c>
      <c r="X349" s="648"/>
      <c r="Y349" s="302">
        <f t="shared" si="71"/>
        <v>839.32650000000001</v>
      </c>
      <c r="Z349" s="232"/>
    </row>
    <row r="350" spans="2:26" x14ac:dyDescent="0.35">
      <c r="B350" s="603"/>
      <c r="E350" s="604"/>
      <c r="F350" s="232" t="s">
        <v>360</v>
      </c>
      <c r="G350" s="318" t="s">
        <v>193</v>
      </c>
      <c r="H350" s="319">
        <v>1</v>
      </c>
      <c r="I350" s="320" t="s">
        <v>238</v>
      </c>
      <c r="J350" s="318" t="s">
        <v>189</v>
      </c>
      <c r="K350" s="420">
        <v>1</v>
      </c>
      <c r="L350" s="506">
        <v>192.08</v>
      </c>
      <c r="M350" s="743">
        <f>((M$337*N$337)/240)*($H350/N350)</f>
        <v>8.3333333333333332E-3</v>
      </c>
      <c r="N350" s="235">
        <f t="shared" si="72"/>
        <v>1</v>
      </c>
      <c r="O350" s="507">
        <f t="shared" si="61"/>
        <v>1.6006666666666667</v>
      </c>
      <c r="P350" s="235">
        <v>5000</v>
      </c>
      <c r="Q350" s="492">
        <f t="shared" si="62"/>
        <v>8003.333333333333</v>
      </c>
      <c r="R350" s="235">
        <v>5512.5</v>
      </c>
      <c r="S350" s="646">
        <f t="shared" si="63"/>
        <v>8823.6749999999993</v>
      </c>
      <c r="T350" s="235">
        <v>5832</v>
      </c>
      <c r="U350" s="647">
        <f t="shared" si="64"/>
        <v>9335.0879999999997</v>
      </c>
      <c r="V350" s="235">
        <f t="shared" si="68"/>
        <v>5448.166666666667</v>
      </c>
      <c r="W350" s="478">
        <f t="shared" si="65"/>
        <v>8720.6987777777777</v>
      </c>
      <c r="X350" s="648"/>
      <c r="Y350" s="302">
        <f t="shared" si="71"/>
        <v>45.937499999999993</v>
      </c>
      <c r="Z350" s="232"/>
    </row>
    <row r="351" spans="2:26" x14ac:dyDescent="0.35">
      <c r="B351" s="603"/>
      <c r="E351" s="604"/>
      <c r="F351" s="232" t="s">
        <v>237</v>
      </c>
      <c r="G351" s="318" t="s">
        <v>193</v>
      </c>
      <c r="H351" s="319">
        <v>4</v>
      </c>
      <c r="I351" s="320" t="s">
        <v>238</v>
      </c>
      <c r="J351" s="318" t="s">
        <v>189</v>
      </c>
      <c r="K351" s="420">
        <v>1</v>
      </c>
      <c r="L351" s="506">
        <v>192.08</v>
      </c>
      <c r="M351" s="743">
        <f>((M$337*N$337)/240)*($H351/N351)</f>
        <v>3.3333333333333333E-2</v>
      </c>
      <c r="N351" s="235">
        <f t="shared" si="72"/>
        <v>1</v>
      </c>
      <c r="O351" s="507">
        <f t="shared" si="61"/>
        <v>6.4026666666666667</v>
      </c>
      <c r="P351" s="235">
        <v>42840</v>
      </c>
      <c r="Q351" s="492">
        <f t="shared" si="62"/>
        <v>274290.24</v>
      </c>
      <c r="R351" s="235">
        <v>47231.1</v>
      </c>
      <c r="S351" s="646">
        <f t="shared" si="63"/>
        <v>302404.98959999997</v>
      </c>
      <c r="T351" s="235">
        <v>49968.576000000008</v>
      </c>
      <c r="U351" s="647">
        <f t="shared" si="64"/>
        <v>319932.13593600004</v>
      </c>
      <c r="V351" s="235">
        <f t="shared" si="68"/>
        <v>46679.892</v>
      </c>
      <c r="W351" s="478">
        <f t="shared" si="65"/>
        <v>298875.788512</v>
      </c>
      <c r="X351" s="648"/>
      <c r="Y351" s="302">
        <f t="shared" si="71"/>
        <v>1574.3699999999997</v>
      </c>
      <c r="Z351" s="232"/>
    </row>
    <row r="352" spans="2:26" x14ac:dyDescent="0.35">
      <c r="B352" s="603"/>
      <c r="E352" s="604"/>
      <c r="F352" s="232" t="s">
        <v>239</v>
      </c>
      <c r="G352" s="318" t="s">
        <v>193</v>
      </c>
      <c r="H352" s="319">
        <v>12</v>
      </c>
      <c r="I352" s="320" t="s">
        <v>238</v>
      </c>
      <c r="J352" s="318" t="s">
        <v>189</v>
      </c>
      <c r="K352" s="420">
        <v>1</v>
      </c>
      <c r="L352" s="506">
        <v>192.08</v>
      </c>
      <c r="M352" s="743">
        <f>((M$337*N$337)/240)*($H352/N352)</f>
        <v>0.1</v>
      </c>
      <c r="N352" s="235">
        <f t="shared" si="72"/>
        <v>1</v>
      </c>
      <c r="O352" s="507">
        <f t="shared" si="61"/>
        <v>19.208000000000002</v>
      </c>
      <c r="P352" s="235">
        <v>14000</v>
      </c>
      <c r="Q352" s="492">
        <f t="shared" si="62"/>
        <v>268912</v>
      </c>
      <c r="R352" s="235">
        <v>15435</v>
      </c>
      <c r="S352" s="646">
        <f t="shared" si="63"/>
        <v>296475.48000000004</v>
      </c>
      <c r="T352" s="235">
        <v>16329.600000000002</v>
      </c>
      <c r="U352" s="647">
        <f t="shared" si="64"/>
        <v>313658.9568000001</v>
      </c>
      <c r="V352" s="235">
        <f t="shared" si="68"/>
        <v>15254.866666666667</v>
      </c>
      <c r="W352" s="478">
        <f t="shared" si="65"/>
        <v>293015.47893333336</v>
      </c>
      <c r="X352" s="648"/>
      <c r="Y352" s="302">
        <f t="shared" si="71"/>
        <v>1543.5</v>
      </c>
      <c r="Z352" s="232"/>
    </row>
    <row r="353" spans="2:26" x14ac:dyDescent="0.35">
      <c r="B353" s="603"/>
      <c r="E353" s="604"/>
      <c r="F353" s="232" t="s">
        <v>241</v>
      </c>
      <c r="G353" s="318" t="s">
        <v>193</v>
      </c>
      <c r="H353" s="319">
        <v>2</v>
      </c>
      <c r="I353" s="320" t="s">
        <v>238</v>
      </c>
      <c r="J353" s="318" t="s">
        <v>189</v>
      </c>
      <c r="K353" s="420">
        <v>1</v>
      </c>
      <c r="L353" s="506">
        <v>192.08</v>
      </c>
      <c r="M353" s="743">
        <f>((M$337*N$337)/240)*($H353/N353)</f>
        <v>1.6666666666666666E-2</v>
      </c>
      <c r="N353" s="235">
        <f t="shared" si="72"/>
        <v>1</v>
      </c>
      <c r="O353" s="507">
        <f t="shared" si="61"/>
        <v>3.2013333333333334</v>
      </c>
      <c r="P353" s="235">
        <v>32130</v>
      </c>
      <c r="Q353" s="492">
        <f t="shared" si="62"/>
        <v>102858.84</v>
      </c>
      <c r="R353" s="235">
        <v>35423.325000000004</v>
      </c>
      <c r="S353" s="646">
        <f t="shared" si="63"/>
        <v>113401.87110000002</v>
      </c>
      <c r="T353" s="235">
        <v>37476.432000000001</v>
      </c>
      <c r="U353" s="647">
        <f t="shared" si="64"/>
        <v>119974.550976</v>
      </c>
      <c r="V353" s="235">
        <f t="shared" si="68"/>
        <v>35009.919000000002</v>
      </c>
      <c r="W353" s="478">
        <f t="shared" si="65"/>
        <v>112078.420692</v>
      </c>
      <c r="X353" s="648"/>
      <c r="Y353" s="302">
        <f t="shared" si="71"/>
        <v>590.38875000000007</v>
      </c>
      <c r="Z353" s="232"/>
    </row>
    <row r="354" spans="2:26" x14ac:dyDescent="0.35">
      <c r="B354" s="603"/>
      <c r="E354" s="604"/>
      <c r="F354" s="232" t="s">
        <v>242</v>
      </c>
      <c r="G354" s="318" t="s">
        <v>193</v>
      </c>
      <c r="H354" s="319">
        <v>1</v>
      </c>
      <c r="I354" s="320" t="s">
        <v>238</v>
      </c>
      <c r="J354" s="318" t="s">
        <v>189</v>
      </c>
      <c r="K354" s="420">
        <v>1</v>
      </c>
      <c r="L354" s="506">
        <v>192.08</v>
      </c>
      <c r="M354" s="743">
        <f>((M$337*N$337)/240)*($H354/N354)</f>
        <v>8.3333333333333332E-3</v>
      </c>
      <c r="N354" s="235">
        <f t="shared" si="72"/>
        <v>1</v>
      </c>
      <c r="O354" s="507">
        <f t="shared" si="61"/>
        <v>1.6006666666666667</v>
      </c>
      <c r="P354" s="235">
        <v>85680</v>
      </c>
      <c r="Q354" s="492">
        <f t="shared" si="62"/>
        <v>137145.12</v>
      </c>
      <c r="R354" s="235">
        <v>94462.2</v>
      </c>
      <c r="S354" s="646">
        <f t="shared" si="63"/>
        <v>151202.49479999999</v>
      </c>
      <c r="T354" s="235">
        <v>99937.152000000016</v>
      </c>
      <c r="U354" s="647">
        <f t="shared" si="64"/>
        <v>159966.06796800002</v>
      </c>
      <c r="V354" s="235">
        <f t="shared" si="68"/>
        <v>93359.784</v>
      </c>
      <c r="W354" s="478">
        <f t="shared" si="65"/>
        <v>149437.894256</v>
      </c>
      <c r="X354" s="648"/>
      <c r="Y354" s="302">
        <f t="shared" si="71"/>
        <v>787.18499999999983</v>
      </c>
      <c r="Z354" s="232"/>
    </row>
    <row r="355" spans="2:26" x14ac:dyDescent="0.35">
      <c r="B355" s="603"/>
      <c r="E355" s="604"/>
      <c r="F355" s="95" t="s">
        <v>425</v>
      </c>
      <c r="G355" s="318" t="s">
        <v>191</v>
      </c>
      <c r="H355" s="319"/>
      <c r="I355" s="320"/>
      <c r="J355" s="318" t="s">
        <v>325</v>
      </c>
      <c r="K355" s="420">
        <v>1</v>
      </c>
      <c r="L355" s="506">
        <v>192.08</v>
      </c>
      <c r="M355" s="743">
        <f>(20*136)/1000</f>
        <v>2.72</v>
      </c>
      <c r="N355" s="235">
        <v>1</v>
      </c>
      <c r="O355" s="507">
        <f t="shared" si="61"/>
        <v>522.45760000000007</v>
      </c>
      <c r="P355" s="235">
        <v>11120</v>
      </c>
      <c r="Q355" s="492">
        <f t="shared" si="62"/>
        <v>5809728.512000001</v>
      </c>
      <c r="R355" s="235">
        <v>12259.800000000001</v>
      </c>
      <c r="S355" s="646">
        <f t="shared" si="63"/>
        <v>6405225.6844800012</v>
      </c>
      <c r="T355" s="235" t="e">
        <v>#N/A</v>
      </c>
      <c r="U355" s="647" t="e">
        <f t="shared" si="64"/>
        <v>#N/A</v>
      </c>
      <c r="V355" s="235" t="e">
        <f t="shared" si="68"/>
        <v>#N/A</v>
      </c>
      <c r="W355" s="478" t="e">
        <f t="shared" si="65"/>
        <v>#N/A</v>
      </c>
      <c r="X355" s="648"/>
      <c r="Y355" s="302">
        <f t="shared" si="71"/>
        <v>33346.656000000003</v>
      </c>
      <c r="Z355" s="232"/>
    </row>
    <row r="356" spans="2:26" x14ac:dyDescent="0.35">
      <c r="B356" s="630" t="s">
        <v>592</v>
      </c>
      <c r="C356" s="631"/>
      <c r="D356" s="631"/>
      <c r="E356" s="632"/>
      <c r="F356" s="633"/>
      <c r="G356" s="634"/>
      <c r="H356" s="635"/>
      <c r="I356" s="636"/>
      <c r="J356" s="634"/>
      <c r="K356" s="637"/>
      <c r="L356" s="638"/>
      <c r="M356" s="639"/>
      <c r="N356" s="639"/>
      <c r="O356" s="635"/>
      <c r="P356" s="640"/>
      <c r="Q356" s="640"/>
      <c r="R356" s="640"/>
      <c r="S356" s="651">
        <f>SUM(S347:S355)</f>
        <v>19029669.430991519</v>
      </c>
      <c r="T356" s="650"/>
      <c r="U356" s="650"/>
      <c r="V356" s="650"/>
      <c r="W356" s="650"/>
      <c r="X356" s="652"/>
      <c r="Y356" s="653">
        <f>S356/$C$1</f>
        <v>99071.581793999983</v>
      </c>
      <c r="Z356" s="643">
        <f>S356/$S$388*100</f>
        <v>1.0669434624135765</v>
      </c>
    </row>
    <row r="357" spans="2:26" x14ac:dyDescent="0.35">
      <c r="B357" s="598"/>
      <c r="C357" s="599" t="s">
        <v>145</v>
      </c>
      <c r="D357" s="599"/>
      <c r="E357" s="600"/>
      <c r="F357" s="232" t="s">
        <v>187</v>
      </c>
      <c r="G357" s="318" t="s">
        <v>188</v>
      </c>
      <c r="H357" s="319"/>
      <c r="I357" s="320"/>
      <c r="J357" s="318"/>
      <c r="K357" s="420">
        <v>0</v>
      </c>
      <c r="L357" s="506">
        <v>192.08</v>
      </c>
      <c r="M357" s="372">
        <v>7</v>
      </c>
      <c r="N357" s="235">
        <v>1</v>
      </c>
      <c r="O357" s="507">
        <f>K357*L357*M357*N357</f>
        <v>0</v>
      </c>
      <c r="P357" s="235">
        <v>140008</v>
      </c>
      <c r="Q357" s="492">
        <f>P357*$O357</f>
        <v>0</v>
      </c>
      <c r="R357" s="235">
        <v>149108.51999999999</v>
      </c>
      <c r="S357" s="646">
        <f>R357*$O357</f>
        <v>0</v>
      </c>
      <c r="T357" s="235">
        <v>163305.33120000002</v>
      </c>
      <c r="U357" s="647">
        <f>$O357*T357</f>
        <v>0</v>
      </c>
      <c r="V357" s="235" t="e">
        <f>W357/O357</f>
        <v>#DIV/0!</v>
      </c>
      <c r="W357" s="478">
        <f>AVERAGEIF($P$3:$U$3,W$3,$P357:$U357)</f>
        <v>0</v>
      </c>
      <c r="X357" s="648"/>
      <c r="Y357" s="302">
        <f t="shared" ref="Y357:Y361" si="73">S357/192.08</f>
        <v>0</v>
      </c>
      <c r="Z357" s="487"/>
    </row>
    <row r="358" spans="2:26" hidden="1" x14ac:dyDescent="0.35">
      <c r="B358" s="603"/>
      <c r="E358" s="604"/>
      <c r="F358" s="232" t="s">
        <v>429</v>
      </c>
      <c r="G358" s="318" t="s">
        <v>367</v>
      </c>
      <c r="H358" s="319"/>
      <c r="I358" s="320"/>
      <c r="J358" s="318"/>
      <c r="K358" s="420">
        <v>0</v>
      </c>
      <c r="L358" s="506">
        <v>192.08</v>
      </c>
      <c r="M358" s="233">
        <f>78*136/1000</f>
        <v>10.608000000000001</v>
      </c>
      <c r="N358" s="235">
        <v>1</v>
      </c>
      <c r="O358" s="507">
        <f>K358*L358*M358*N358</f>
        <v>0</v>
      </c>
      <c r="P358" s="235">
        <v>58900</v>
      </c>
      <c r="Q358" s="492">
        <f>P358*$O358</f>
        <v>0</v>
      </c>
      <c r="R358" s="235">
        <v>65600</v>
      </c>
      <c r="S358" s="646">
        <f>R358*$O358</f>
        <v>0</v>
      </c>
      <c r="T358" s="235">
        <v>52349.440000000002</v>
      </c>
      <c r="U358" s="647">
        <f>$O358*T358</f>
        <v>0</v>
      </c>
      <c r="V358" s="235" t="e">
        <f>W358/O358</f>
        <v>#DIV/0!</v>
      </c>
      <c r="W358" s="478">
        <f>AVERAGEIF($P$3:$U$3,W$3,$P358:$U358)</f>
        <v>0</v>
      </c>
      <c r="X358" s="648"/>
      <c r="Y358" s="302">
        <f t="shared" si="73"/>
        <v>0</v>
      </c>
      <c r="Z358" s="232"/>
    </row>
    <row r="359" spans="2:26" hidden="1" x14ac:dyDescent="0.35">
      <c r="B359" s="603"/>
      <c r="E359" s="604"/>
      <c r="F359" s="232" t="s">
        <v>593</v>
      </c>
      <c r="G359" s="318" t="s">
        <v>193</v>
      </c>
      <c r="H359" s="319"/>
      <c r="I359" s="320"/>
      <c r="J359" s="318"/>
      <c r="K359" s="420">
        <v>0</v>
      </c>
      <c r="L359" s="506">
        <v>192.08</v>
      </c>
      <c r="M359" s="233">
        <v>1.67E-2</v>
      </c>
      <c r="N359" s="235">
        <v>1</v>
      </c>
      <c r="O359" s="507">
        <f>K359*L359*M359*N359</f>
        <v>0</v>
      </c>
      <c r="P359" s="235">
        <v>537481</v>
      </c>
      <c r="Q359" s="492">
        <f>P359*$O359</f>
        <v>0</v>
      </c>
      <c r="R359" s="235">
        <v>564355.05000000005</v>
      </c>
      <c r="S359" s="646">
        <f>R359*$O359</f>
        <v>0</v>
      </c>
      <c r="T359" s="235">
        <v>626917.83840000001</v>
      </c>
      <c r="U359" s="647">
        <f>$O359*T359</f>
        <v>0</v>
      </c>
      <c r="V359" s="235" t="e">
        <f>W359/O359</f>
        <v>#DIV/0!</v>
      </c>
      <c r="W359" s="478">
        <f>AVERAGEIF($P$3:$U$3,W$3,$P359:$U359)</f>
        <v>0</v>
      </c>
      <c r="X359" s="302"/>
      <c r="Y359" s="302">
        <f t="shared" si="73"/>
        <v>0</v>
      </c>
      <c r="Z359" s="487"/>
    </row>
    <row r="360" spans="2:26" hidden="1" x14ac:dyDescent="0.35">
      <c r="B360" s="603"/>
      <c r="E360" s="604"/>
      <c r="F360" s="232" t="s">
        <v>594</v>
      </c>
      <c r="G360" s="318" t="s">
        <v>193</v>
      </c>
      <c r="H360" s="319"/>
      <c r="I360" s="320"/>
      <c r="J360" s="318"/>
      <c r="K360" s="420">
        <v>0</v>
      </c>
      <c r="L360" s="506">
        <v>1</v>
      </c>
      <c r="M360" s="233">
        <v>1.67E-2</v>
      </c>
      <c r="N360" s="235">
        <v>1</v>
      </c>
      <c r="O360" s="507">
        <f>K360*L360*M360*N360</f>
        <v>0</v>
      </c>
      <c r="P360" s="233">
        <v>0</v>
      </c>
      <c r="Q360" s="492">
        <f>P360*$O360</f>
        <v>0</v>
      </c>
      <c r="R360" s="233">
        <v>0</v>
      </c>
      <c r="S360" s="646">
        <f>R360*$O360</f>
        <v>0</v>
      </c>
      <c r="T360" s="235">
        <v>0</v>
      </c>
      <c r="U360" s="647">
        <f>$O360*T360</f>
        <v>0</v>
      </c>
      <c r="V360" s="235" t="e">
        <f>W360/O360</f>
        <v>#DIV/0!</v>
      </c>
      <c r="W360" s="478">
        <f>AVERAGEIF($P$3:$U$3,W$3,$P360:$U360)</f>
        <v>0</v>
      </c>
      <c r="X360" s="421"/>
      <c r="Y360" s="302">
        <f t="shared" si="73"/>
        <v>0</v>
      </c>
      <c r="Z360" s="232"/>
    </row>
    <row r="361" spans="2:26" hidden="1" x14ac:dyDescent="0.35">
      <c r="B361" s="603"/>
      <c r="E361" s="604"/>
      <c r="F361" s="232" t="s">
        <v>242</v>
      </c>
      <c r="G361" s="318" t="s">
        <v>193</v>
      </c>
      <c r="H361" s="319"/>
      <c r="I361" s="320"/>
      <c r="J361" s="318"/>
      <c r="K361" s="420">
        <v>0</v>
      </c>
      <c r="L361" s="506">
        <v>192.08</v>
      </c>
      <c r="M361" s="233">
        <v>1.67E-2</v>
      </c>
      <c r="N361" s="235">
        <v>1</v>
      </c>
      <c r="O361" s="507">
        <f>K361*L361*M361*N361</f>
        <v>0</v>
      </c>
      <c r="P361" s="235">
        <v>85680</v>
      </c>
      <c r="Q361" s="492">
        <f>P361*$O361</f>
        <v>0</v>
      </c>
      <c r="R361" s="235">
        <v>89964</v>
      </c>
      <c r="S361" s="646">
        <f>R361*$O361</f>
        <v>0</v>
      </c>
      <c r="T361" s="235">
        <v>99937.152000000016</v>
      </c>
      <c r="U361" s="647">
        <f>$O361*T361</f>
        <v>0</v>
      </c>
      <c r="V361" s="235" t="e">
        <f>W361/O361</f>
        <v>#DIV/0!</v>
      </c>
      <c r="W361" s="478">
        <f>AVERAGEIF($P$3:$U$3,W$3,$P361:$U361)</f>
        <v>0</v>
      </c>
      <c r="X361" s="648"/>
      <c r="Y361" s="302">
        <f t="shared" si="73"/>
        <v>0</v>
      </c>
      <c r="Z361" s="232"/>
    </row>
    <row r="362" spans="2:26" x14ac:dyDescent="0.35">
      <c r="B362" s="630" t="s">
        <v>595</v>
      </c>
      <c r="C362" s="631"/>
      <c r="D362" s="631"/>
      <c r="E362" s="632"/>
      <c r="F362" s="633"/>
      <c r="G362" s="634"/>
      <c r="H362" s="635"/>
      <c r="I362" s="636"/>
      <c r="J362" s="634"/>
      <c r="K362" s="637"/>
      <c r="L362" s="638"/>
      <c r="M362" s="639"/>
      <c r="N362" s="639"/>
      <c r="O362" s="635"/>
      <c r="P362" s="640"/>
      <c r="Q362" s="640"/>
      <c r="R362" s="640"/>
      <c r="S362" s="651">
        <f>SUM(S357:S361)</f>
        <v>0</v>
      </c>
      <c r="T362" s="650"/>
      <c r="U362" s="650"/>
      <c r="V362" s="650"/>
      <c r="W362" s="650"/>
      <c r="X362" s="652"/>
      <c r="Y362" s="653">
        <f>S362/192.08</f>
        <v>0</v>
      </c>
      <c r="Z362" s="643">
        <f>S362/3572533847.92*100</f>
        <v>0</v>
      </c>
    </row>
    <row r="363" spans="2:26" x14ac:dyDescent="0.35">
      <c r="B363" s="598"/>
      <c r="C363" s="599" t="s">
        <v>596</v>
      </c>
      <c r="D363" s="599"/>
      <c r="E363" s="600"/>
      <c r="F363" s="232" t="s">
        <v>187</v>
      </c>
      <c r="G363" s="318" t="s">
        <v>188</v>
      </c>
      <c r="H363" s="319"/>
      <c r="I363" s="320"/>
      <c r="J363" s="318"/>
      <c r="K363" s="501"/>
      <c r="L363" s="506"/>
      <c r="M363" s="233"/>
      <c r="N363" s="233"/>
      <c r="O363" s="319"/>
      <c r="P363" s="492"/>
      <c r="Q363" s="492"/>
      <c r="R363" s="492"/>
      <c r="S363" s="646"/>
      <c r="T363" s="647"/>
      <c r="U363" s="647"/>
      <c r="V363" s="647"/>
      <c r="W363" s="647"/>
      <c r="X363" s="648"/>
      <c r="Y363" s="302"/>
      <c r="Z363" s="232"/>
    </row>
    <row r="364" spans="2:26" x14ac:dyDescent="0.35">
      <c r="B364" s="603"/>
      <c r="C364" s="94" t="s">
        <v>363</v>
      </c>
      <c r="E364" s="604"/>
      <c r="F364" s="232" t="s">
        <v>187</v>
      </c>
      <c r="G364" s="318" t="s">
        <v>188</v>
      </c>
      <c r="H364" s="319"/>
      <c r="I364" s="320"/>
      <c r="J364" s="318"/>
      <c r="K364" s="501"/>
      <c r="L364" s="506"/>
      <c r="M364" s="233"/>
      <c r="N364" s="233"/>
      <c r="O364" s="319"/>
      <c r="P364" s="492"/>
      <c r="Q364" s="492"/>
      <c r="R364" s="492"/>
      <c r="S364" s="646"/>
      <c r="T364" s="647"/>
      <c r="U364" s="647"/>
      <c r="V364" s="647"/>
      <c r="W364" s="647"/>
      <c r="X364" s="648"/>
      <c r="Y364" s="302"/>
      <c r="Z364" s="232"/>
    </row>
    <row r="365" spans="2:26" x14ac:dyDescent="0.35">
      <c r="B365" s="603"/>
      <c r="C365" s="94" t="s">
        <v>148</v>
      </c>
      <c r="E365" s="604"/>
      <c r="F365" s="232" t="s">
        <v>368</v>
      </c>
      <c r="G365" s="318" t="s">
        <v>188</v>
      </c>
      <c r="H365" s="319"/>
      <c r="I365" s="320"/>
      <c r="J365" s="318" t="s">
        <v>367</v>
      </c>
      <c r="K365" s="420">
        <v>1</v>
      </c>
      <c r="L365" s="749">
        <f>(O345+O335+O355+O188)/1000</f>
        <v>100.18124480000002</v>
      </c>
      <c r="M365" s="750">
        <v>1</v>
      </c>
      <c r="N365" s="372">
        <v>1</v>
      </c>
      <c r="O365" s="498">
        <f>K365*L365*M365*N365</f>
        <v>100.18124480000002</v>
      </c>
      <c r="P365" s="235">
        <v>19500</v>
      </c>
      <c r="Q365" s="492">
        <f>P365*$O365</f>
        <v>1953534.2736000004</v>
      </c>
      <c r="R365" s="235">
        <v>22117.387499999997</v>
      </c>
      <c r="S365" s="646">
        <f>R365*$O365</f>
        <v>2215747.4114739602</v>
      </c>
      <c r="T365" s="235">
        <v>22744.800000000003</v>
      </c>
      <c r="U365" s="647">
        <f>$O365*T365</f>
        <v>2278602.3767270409</v>
      </c>
      <c r="V365" s="235">
        <f>W365/O365</f>
        <v>21454.0625</v>
      </c>
      <c r="W365" s="478">
        <f>AVERAGEIF($P$3:$U$3,W$3,$P365:$U365)</f>
        <v>2149294.6872670003</v>
      </c>
      <c r="X365" s="648"/>
      <c r="Y365" s="302">
        <f>S365/$C$1</f>
        <v>11535.5446245</v>
      </c>
      <c r="Z365" s="232"/>
    </row>
    <row r="366" spans="2:26" x14ac:dyDescent="0.35">
      <c r="B366" s="603"/>
      <c r="E366" s="604"/>
      <c r="F366" s="232" t="s">
        <v>365</v>
      </c>
      <c r="G366" s="318" t="s">
        <v>205</v>
      </c>
      <c r="H366" s="319"/>
      <c r="I366" s="320"/>
      <c r="J366" s="318"/>
      <c r="K366" s="420"/>
      <c r="L366" s="506"/>
      <c r="M366" s="750"/>
      <c r="N366" s="372"/>
      <c r="O366" s="498"/>
      <c r="P366" s="233"/>
      <c r="Q366" s="492"/>
      <c r="R366" s="233"/>
      <c r="S366" s="646"/>
      <c r="T366" s="235"/>
      <c r="U366" s="647"/>
      <c r="V366" s="235"/>
      <c r="W366" s="478"/>
      <c r="X366" s="648"/>
      <c r="Y366" s="302">
        <f t="shared" ref="Y366" si="74">S366/192.08</f>
        <v>0</v>
      </c>
      <c r="Z366" s="232"/>
    </row>
    <row r="367" spans="2:26" x14ac:dyDescent="0.35">
      <c r="B367" s="605"/>
      <c r="C367" s="606"/>
      <c r="D367" s="606"/>
      <c r="E367" s="607"/>
      <c r="F367" s="232" t="s">
        <v>370</v>
      </c>
      <c r="G367" s="501" t="s">
        <v>367</v>
      </c>
      <c r="H367" s="319"/>
      <c r="I367" s="320"/>
      <c r="J367" s="318" t="s">
        <v>367</v>
      </c>
      <c r="K367" s="420">
        <v>1</v>
      </c>
      <c r="L367" s="751">
        <f>L365</f>
        <v>100.18124480000002</v>
      </c>
      <c r="M367" s="752">
        <v>1</v>
      </c>
      <c r="N367" s="372">
        <v>1</v>
      </c>
      <c r="O367" s="498">
        <f>K367*L367*M367*N367</f>
        <v>100.18124480000002</v>
      </c>
      <c r="P367" s="235">
        <v>59500</v>
      </c>
      <c r="Q367" s="492">
        <f>P367*$O367</f>
        <v>5960784.0656000013</v>
      </c>
      <c r="R367" s="235">
        <v>68420</v>
      </c>
      <c r="S367" s="646">
        <f>R367*$O367</f>
        <v>6854400.769216001</v>
      </c>
      <c r="T367" s="235">
        <v>53647.360000000001</v>
      </c>
      <c r="U367" s="647">
        <f>$O367*T367</f>
        <v>5374459.3050337285</v>
      </c>
      <c r="V367" s="235">
        <f>W367/O367</f>
        <v>60522.453333333331</v>
      </c>
      <c r="W367" s="478">
        <f>AVERAGEIF($P$3:$U$3,W$3,$P367:$U367)</f>
        <v>6063214.7132832436</v>
      </c>
      <c r="X367" s="648"/>
      <c r="Y367" s="302">
        <f t="shared" ref="Y367:Y368" si="75">S367/$C$1</f>
        <v>35685.135200000004</v>
      </c>
      <c r="Z367" s="232"/>
    </row>
    <row r="368" spans="2:26" x14ac:dyDescent="0.35">
      <c r="B368" s="603"/>
      <c r="C368" s="94" t="s">
        <v>150</v>
      </c>
      <c r="E368" s="604"/>
      <c r="F368" s="232" t="s">
        <v>371</v>
      </c>
      <c r="G368" s="318" t="s">
        <v>188</v>
      </c>
      <c r="H368" s="319"/>
      <c r="I368" s="320"/>
      <c r="J368" s="318" t="s">
        <v>367</v>
      </c>
      <c r="K368" s="420">
        <v>1</v>
      </c>
      <c r="L368" s="751">
        <f>L365</f>
        <v>100.18124480000002</v>
      </c>
      <c r="M368" s="750">
        <v>1</v>
      </c>
      <c r="N368" s="372">
        <v>1</v>
      </c>
      <c r="O368" s="498">
        <f>K368*L368*M368*N368</f>
        <v>100.18124480000002</v>
      </c>
      <c r="P368" s="235">
        <v>32000</v>
      </c>
      <c r="Q368" s="492">
        <f>P368*$O368</f>
        <v>3205799.8336000005</v>
      </c>
      <c r="R368" s="235">
        <v>36295.199999999997</v>
      </c>
      <c r="S368" s="646">
        <f>R368*$O368</f>
        <v>3636098.3162649604</v>
      </c>
      <c r="T368" s="235">
        <v>37324.800000000003</v>
      </c>
      <c r="U368" s="647">
        <f>$O368*T368</f>
        <v>3739244.925911041</v>
      </c>
      <c r="V368" s="235">
        <f>W368/O368</f>
        <v>35206.666666666664</v>
      </c>
      <c r="W368" s="478">
        <f>AVERAGEIF($P$3:$U$3,W$3,$P368:$U368)</f>
        <v>3527047.6919253338</v>
      </c>
      <c r="X368" s="648"/>
      <c r="Y368" s="302">
        <f t="shared" si="75"/>
        <v>18930.124512000002</v>
      </c>
      <c r="Z368" s="232"/>
    </row>
    <row r="369" spans="2:26" x14ac:dyDescent="0.35">
      <c r="B369" s="603"/>
      <c r="E369" s="604"/>
      <c r="F369" s="232" t="s">
        <v>431</v>
      </c>
      <c r="G369" s="318" t="s">
        <v>367</v>
      </c>
      <c r="H369" s="319"/>
      <c r="I369" s="320"/>
      <c r="J369" s="318" t="s">
        <v>367</v>
      </c>
      <c r="K369" s="420">
        <v>1</v>
      </c>
      <c r="L369" s="751">
        <f>L368</f>
        <v>100.18124480000002</v>
      </c>
      <c r="M369" s="752">
        <v>1</v>
      </c>
      <c r="N369" s="235">
        <v>1</v>
      </c>
      <c r="O369" s="498">
        <f>K369*L369*M369*N369</f>
        <v>100.18124480000002</v>
      </c>
      <c r="P369" s="233">
        <v>0</v>
      </c>
      <c r="Q369" s="492">
        <f>P369*$O369</f>
        <v>0</v>
      </c>
      <c r="R369" s="233">
        <v>0</v>
      </c>
      <c r="S369" s="646">
        <f>R369*$O369</f>
        <v>0</v>
      </c>
      <c r="T369" s="235">
        <v>0</v>
      </c>
      <c r="U369" s="647">
        <f>$O369*T369</f>
        <v>0</v>
      </c>
      <c r="V369" s="647"/>
      <c r="W369" s="647"/>
      <c r="X369" s="648"/>
      <c r="Y369" s="302"/>
      <c r="Z369" s="232"/>
    </row>
    <row r="370" spans="2:26" x14ac:dyDescent="0.35">
      <c r="B370" s="630" t="s">
        <v>597</v>
      </c>
      <c r="C370" s="631"/>
      <c r="D370" s="631"/>
      <c r="E370" s="632"/>
      <c r="F370" s="633"/>
      <c r="G370" s="634"/>
      <c r="H370" s="635"/>
      <c r="I370" s="636"/>
      <c r="J370" s="634"/>
      <c r="K370" s="637"/>
      <c r="L370" s="638"/>
      <c r="M370" s="639"/>
      <c r="N370" s="639"/>
      <c r="O370" s="635"/>
      <c r="P370" s="640"/>
      <c r="Q370" s="640"/>
      <c r="R370" s="640"/>
      <c r="S370" s="651">
        <f>SUM(S365:S369)</f>
        <v>12706246.496954922</v>
      </c>
      <c r="T370" s="650"/>
      <c r="U370" s="650"/>
      <c r="V370" s="650"/>
      <c r="W370" s="650"/>
      <c r="X370" s="652"/>
      <c r="Y370" s="653">
        <f>S370/$C$1</f>
        <v>66150.804336500005</v>
      </c>
      <c r="Z370" s="643">
        <f>S370/$S$388*100</f>
        <v>0.7124057872315388</v>
      </c>
    </row>
    <row r="371" spans="2:26" x14ac:dyDescent="0.35">
      <c r="B371" s="693" t="s">
        <v>598</v>
      </c>
      <c r="C371" s="694"/>
      <c r="D371" s="694"/>
      <c r="E371" s="695"/>
      <c r="F371" s="516"/>
      <c r="G371" s="613"/>
      <c r="H371" s="614"/>
      <c r="I371" s="615"/>
      <c r="J371" s="613"/>
      <c r="K371" s="616"/>
      <c r="L371" s="617"/>
      <c r="M371" s="528"/>
      <c r="N371" s="528"/>
      <c r="O371" s="614"/>
      <c r="P371" s="618"/>
      <c r="Q371" s="618"/>
      <c r="R371" s="618"/>
      <c r="S371" s="696">
        <f>S336+S346+S356+S362+S370</f>
        <v>761874850.21908832</v>
      </c>
      <c r="T371" s="673"/>
      <c r="U371" s="673"/>
      <c r="V371" s="673"/>
      <c r="W371" s="673"/>
      <c r="X371" s="674"/>
      <c r="Y371" s="413">
        <f>S371/$C$1</f>
        <v>3966445.4926025001</v>
      </c>
      <c r="Z371" s="697">
        <f>S371/$S$388*100</f>
        <v>42.716316936895161</v>
      </c>
    </row>
    <row r="372" spans="2:26" x14ac:dyDescent="0.35">
      <c r="B372" s="620" t="s">
        <v>356</v>
      </c>
      <c r="C372" s="320"/>
      <c r="D372" s="320"/>
      <c r="E372" s="608"/>
      <c r="F372" s="232"/>
      <c r="G372" s="318"/>
      <c r="H372" s="319"/>
      <c r="I372" s="320"/>
      <c r="J372" s="318"/>
      <c r="K372" s="501"/>
      <c r="L372" s="506"/>
      <c r="M372" s="233"/>
      <c r="N372" s="233"/>
      <c r="O372" s="319"/>
      <c r="P372" s="492"/>
      <c r="Q372" s="492"/>
      <c r="R372" s="492"/>
      <c r="S372" s="646"/>
      <c r="T372" s="647"/>
      <c r="U372" s="647"/>
      <c r="V372" s="647"/>
      <c r="W372" s="647"/>
      <c r="X372" s="648"/>
      <c r="Y372" s="302"/>
      <c r="Z372" s="232"/>
    </row>
    <row r="373" spans="2:26" x14ac:dyDescent="0.35">
      <c r="B373" s="603"/>
      <c r="C373" s="94" t="s">
        <v>576</v>
      </c>
      <c r="E373" s="604"/>
      <c r="F373" s="232" t="s">
        <v>187</v>
      </c>
      <c r="G373" s="318" t="s">
        <v>188</v>
      </c>
      <c r="H373" s="319"/>
      <c r="I373" s="320"/>
      <c r="J373" s="318"/>
      <c r="K373" s="501">
        <v>100</v>
      </c>
      <c r="L373" s="506"/>
      <c r="M373" s="233">
        <v>1</v>
      </c>
      <c r="N373" s="235">
        <v>1</v>
      </c>
      <c r="O373" s="319"/>
      <c r="P373" s="492"/>
      <c r="Q373" s="492"/>
      <c r="R373" s="492"/>
      <c r="S373" s="646"/>
      <c r="T373" s="647"/>
      <c r="U373" s="647"/>
      <c r="V373" s="647"/>
      <c r="W373" s="647"/>
      <c r="X373" s="648"/>
      <c r="Y373" s="302"/>
      <c r="Z373" s="232"/>
    </row>
    <row r="374" spans="2:26" hidden="1" x14ac:dyDescent="0.35">
      <c r="B374" s="603"/>
      <c r="E374" s="604"/>
      <c r="F374" s="232" t="s">
        <v>417</v>
      </c>
      <c r="G374" s="318" t="s">
        <v>191</v>
      </c>
      <c r="H374" s="319"/>
      <c r="I374" s="320"/>
      <c r="J374" s="318"/>
      <c r="K374" s="501">
        <v>100</v>
      </c>
      <c r="L374" s="506"/>
      <c r="M374" s="233">
        <v>25</v>
      </c>
      <c r="N374" s="235">
        <v>1</v>
      </c>
      <c r="O374" s="319"/>
      <c r="P374" s="492"/>
      <c r="Q374" s="492"/>
      <c r="R374" s="492"/>
      <c r="S374" s="646"/>
      <c r="T374" s="647"/>
      <c r="U374" s="647"/>
      <c r="V374" s="647"/>
      <c r="W374" s="647"/>
      <c r="X374" s="648"/>
      <c r="Y374" s="302"/>
      <c r="Z374" s="232"/>
    </row>
    <row r="375" spans="2:26" x14ac:dyDescent="0.35">
      <c r="B375" s="603"/>
      <c r="C375" s="94" t="s">
        <v>363</v>
      </c>
      <c r="E375" s="604"/>
      <c r="F375" s="232" t="s">
        <v>187</v>
      </c>
      <c r="G375" s="318" t="s">
        <v>188</v>
      </c>
      <c r="H375" s="319"/>
      <c r="I375" s="320"/>
      <c r="J375" s="318"/>
      <c r="K375" s="501"/>
      <c r="L375" s="506"/>
      <c r="M375" s="233"/>
      <c r="N375" s="235"/>
      <c r="O375" s="319"/>
      <c r="P375" s="492"/>
      <c r="Q375" s="492"/>
      <c r="R375" s="492"/>
      <c r="S375" s="646"/>
      <c r="T375" s="647"/>
      <c r="U375" s="647"/>
      <c r="V375" s="647"/>
      <c r="W375" s="647"/>
      <c r="X375" s="648"/>
      <c r="Y375" s="302"/>
      <c r="Z375" s="232"/>
    </row>
    <row r="376" spans="2:26" x14ac:dyDescent="0.35">
      <c r="B376" s="603"/>
      <c r="C376" s="94" t="s">
        <v>148</v>
      </c>
      <c r="E376" s="604"/>
      <c r="F376" s="232" t="s">
        <v>368</v>
      </c>
      <c r="G376" s="501" t="s">
        <v>367</v>
      </c>
      <c r="H376" s="319"/>
      <c r="I376" s="320"/>
      <c r="J376" s="318"/>
      <c r="K376" s="501">
        <v>100</v>
      </c>
      <c r="L376" s="506"/>
      <c r="M376" s="743">
        <v>1</v>
      </c>
      <c r="N376" s="372">
        <v>1</v>
      </c>
      <c r="O376" s="562"/>
      <c r="P376" s="373"/>
      <c r="Q376" s="373"/>
      <c r="R376" s="373"/>
      <c r="S376" s="372"/>
      <c r="T376" s="753"/>
      <c r="U376" s="753"/>
      <c r="V376" s="753"/>
      <c r="W376" s="753"/>
      <c r="X376" s="648"/>
      <c r="Y376" s="302"/>
      <c r="Z376" s="232"/>
    </row>
    <row r="377" spans="2:26" hidden="1" x14ac:dyDescent="0.35">
      <c r="B377" s="603"/>
      <c r="E377" s="604"/>
      <c r="F377" s="232" t="s">
        <v>365</v>
      </c>
      <c r="G377" s="501" t="s">
        <v>205</v>
      </c>
      <c r="H377" s="319"/>
      <c r="I377" s="320"/>
      <c r="J377" s="318"/>
      <c r="K377" s="501">
        <v>100</v>
      </c>
      <c r="L377" s="506"/>
      <c r="M377" s="743">
        <f>2/4</f>
        <v>0.5</v>
      </c>
      <c r="N377" s="372">
        <v>1</v>
      </c>
      <c r="O377" s="562"/>
      <c r="P377" s="373"/>
      <c r="Q377" s="373"/>
      <c r="R377" s="373"/>
      <c r="S377" s="372"/>
      <c r="T377" s="753"/>
      <c r="U377" s="753"/>
      <c r="V377" s="753"/>
      <c r="W377" s="753"/>
      <c r="X377" s="648"/>
      <c r="Y377" s="302"/>
      <c r="Z377" s="232"/>
    </row>
    <row r="378" spans="2:26" hidden="1" x14ac:dyDescent="0.35">
      <c r="B378" s="605"/>
      <c r="C378" s="606"/>
      <c r="D378" s="606"/>
      <c r="E378" s="607"/>
      <c r="F378" s="232" t="s">
        <v>370</v>
      </c>
      <c r="G378" s="501" t="s">
        <v>367</v>
      </c>
      <c r="H378" s="319"/>
      <c r="I378" s="320"/>
      <c r="J378" s="318"/>
      <c r="K378" s="501">
        <v>100</v>
      </c>
      <c r="L378" s="506"/>
      <c r="M378" s="743">
        <v>1</v>
      </c>
      <c r="N378" s="372">
        <v>1</v>
      </c>
      <c r="O378" s="562"/>
      <c r="P378" s="373"/>
      <c r="Q378" s="373"/>
      <c r="R378" s="373"/>
      <c r="S378" s="372"/>
      <c r="T378" s="753"/>
      <c r="U378" s="753"/>
      <c r="V378" s="753"/>
      <c r="W378" s="753"/>
      <c r="X378" s="648"/>
      <c r="Y378" s="302"/>
      <c r="Z378" s="232"/>
    </row>
    <row r="379" spans="2:26" x14ac:dyDescent="0.35">
      <c r="B379" s="603"/>
      <c r="C379" s="94" t="s">
        <v>150</v>
      </c>
      <c r="E379" s="604"/>
      <c r="F379" s="232" t="s">
        <v>371</v>
      </c>
      <c r="G379" s="501" t="s">
        <v>367</v>
      </c>
      <c r="H379" s="319"/>
      <c r="I379" s="320"/>
      <c r="J379" s="318"/>
      <c r="K379" s="501">
        <v>100</v>
      </c>
      <c r="L379" s="506"/>
      <c r="M379" s="743">
        <v>1</v>
      </c>
      <c r="N379" s="235">
        <v>1</v>
      </c>
      <c r="O379" s="481"/>
      <c r="P379" s="233"/>
      <c r="Q379" s="233"/>
      <c r="R379" s="233"/>
      <c r="S379" s="235"/>
      <c r="T379" s="754"/>
      <c r="U379" s="754"/>
      <c r="V379" s="754"/>
      <c r="W379" s="754"/>
      <c r="X379" s="648"/>
      <c r="Y379" s="302"/>
      <c r="Z379" s="232"/>
    </row>
    <row r="380" spans="2:26" hidden="1" x14ac:dyDescent="0.35">
      <c r="B380" s="603"/>
      <c r="E380" s="604"/>
      <c r="F380" s="232" t="s">
        <v>370</v>
      </c>
      <c r="G380" s="501" t="s">
        <v>367</v>
      </c>
      <c r="H380" s="319"/>
      <c r="I380" s="320"/>
      <c r="J380" s="318"/>
      <c r="K380" s="501">
        <v>100</v>
      </c>
      <c r="L380" s="506"/>
      <c r="M380" s="743">
        <v>1</v>
      </c>
      <c r="N380" s="235">
        <v>1</v>
      </c>
      <c r="O380" s="723"/>
      <c r="P380" s="492"/>
      <c r="Q380" s="492"/>
      <c r="R380" s="492"/>
      <c r="S380" s="646"/>
      <c r="T380" s="647"/>
      <c r="U380" s="647"/>
      <c r="V380" s="647"/>
      <c r="W380" s="647"/>
      <c r="X380" s="648"/>
      <c r="Y380" s="302"/>
      <c r="Z380" s="232"/>
    </row>
    <row r="381" spans="2:26" x14ac:dyDescent="0.35">
      <c r="B381" s="620" t="s">
        <v>434</v>
      </c>
      <c r="C381" s="320"/>
      <c r="D381" s="320"/>
      <c r="E381" s="608"/>
      <c r="F381" s="232"/>
      <c r="G381" s="318"/>
      <c r="H381" s="319"/>
      <c r="I381" s="320"/>
      <c r="J381" s="318"/>
      <c r="K381" s="501"/>
      <c r="L381" s="506"/>
      <c r="M381" s="233"/>
      <c r="N381" s="235"/>
      <c r="O381" s="319"/>
      <c r="P381" s="492"/>
      <c r="Q381" s="492"/>
      <c r="R381" s="492"/>
      <c r="S381" s="646"/>
      <c r="T381" s="647">
        <f>R381*1.1</f>
        <v>0</v>
      </c>
      <c r="U381" s="647">
        <f>O381*T381</f>
        <v>0</v>
      </c>
      <c r="V381" s="235"/>
      <c r="W381" s="235"/>
      <c r="X381" s="648"/>
      <c r="Y381" s="302"/>
      <c r="Z381" s="232"/>
    </row>
    <row r="382" spans="2:26" x14ac:dyDescent="0.35">
      <c r="B382" s="603"/>
      <c r="C382" s="94" t="s">
        <v>153</v>
      </c>
      <c r="E382" s="604"/>
      <c r="F382" s="232" t="s">
        <v>187</v>
      </c>
      <c r="G382" s="318" t="s">
        <v>188</v>
      </c>
      <c r="H382" s="319"/>
      <c r="I382" s="320"/>
      <c r="J382" s="318" t="s">
        <v>189</v>
      </c>
      <c r="K382" s="420">
        <v>1</v>
      </c>
      <c r="L382" s="506">
        <v>192.08</v>
      </c>
      <c r="M382" s="233">
        <f>(0.12/15)*25</f>
        <v>0.2</v>
      </c>
      <c r="N382" s="372">
        <v>12</v>
      </c>
      <c r="O382" s="507">
        <f>K382*L382*M382*N382</f>
        <v>460.99200000000008</v>
      </c>
      <c r="P382" s="235">
        <v>140008</v>
      </c>
      <c r="Q382" s="492">
        <f>P382*$O382</f>
        <v>64542567.936000012</v>
      </c>
      <c r="R382" s="235">
        <v>158800.57379999998</v>
      </c>
      <c r="S382" s="646">
        <f>R382*$O382</f>
        <v>73205794.117209598</v>
      </c>
      <c r="T382" s="235">
        <v>163305.33120000002</v>
      </c>
      <c r="U382" s="647">
        <f>$O382*T382</f>
        <v>75282451.240550414</v>
      </c>
      <c r="V382" s="235">
        <f>W382/O382</f>
        <v>154037.96833333332</v>
      </c>
      <c r="W382" s="478">
        <f>AVERAGEIF($P$3:$U$3,W$3,$P382:$U382)</f>
        <v>71010271.097920001</v>
      </c>
      <c r="X382" s="648"/>
      <c r="Y382" s="302">
        <f>S382/$C$1</f>
        <v>381121.37711999996</v>
      </c>
      <c r="Z382" s="232"/>
    </row>
    <row r="383" spans="2:26" hidden="1" x14ac:dyDescent="0.35">
      <c r="B383" s="603"/>
      <c r="E383" s="604"/>
      <c r="F383" s="232" t="s">
        <v>436</v>
      </c>
      <c r="G383" s="318" t="s">
        <v>468</v>
      </c>
      <c r="H383" s="319"/>
      <c r="I383" s="320"/>
      <c r="J383" s="318" t="s">
        <v>189</v>
      </c>
      <c r="K383" s="420">
        <v>0</v>
      </c>
      <c r="L383" s="506">
        <v>192.08</v>
      </c>
      <c r="M383" s="235">
        <v>1</v>
      </c>
      <c r="N383" s="372">
        <v>12</v>
      </c>
      <c r="O383" s="507">
        <f>K383*L383*M383*N383</f>
        <v>0</v>
      </c>
      <c r="P383" s="235">
        <v>2498.34</v>
      </c>
      <c r="Q383" s="492">
        <f>P383*$O383</f>
        <v>0</v>
      </c>
      <c r="R383" s="235">
        <v>2623.2570000000001</v>
      </c>
      <c r="S383" s="646">
        <f>R383*$O383</f>
        <v>0</v>
      </c>
      <c r="T383" s="235">
        <v>2754.4198500000002</v>
      </c>
      <c r="U383" s="647">
        <f>$O383*T383</f>
        <v>0</v>
      </c>
      <c r="V383" s="235" t="e">
        <f>W383/O383</f>
        <v>#DIV/0!</v>
      </c>
      <c r="W383" s="478">
        <f>AVERAGEIF($P$3:$U$3,W$3,$P383:$U383)</f>
        <v>0</v>
      </c>
      <c r="X383" s="648"/>
      <c r="Y383" s="302">
        <f t="shared" ref="Y383" si="76">S383/192.08</f>
        <v>0</v>
      </c>
      <c r="Z383" s="232"/>
    </row>
    <row r="384" spans="2:26" hidden="1" x14ac:dyDescent="0.35">
      <c r="B384" s="603"/>
      <c r="E384" s="604"/>
      <c r="F384" s="232" t="s">
        <v>438</v>
      </c>
      <c r="G384" s="318" t="s">
        <v>468</v>
      </c>
      <c r="H384" s="319"/>
      <c r="I384" s="320"/>
      <c r="J384" s="318" t="s">
        <v>189</v>
      </c>
      <c r="K384" s="420">
        <v>1</v>
      </c>
      <c r="L384" s="506">
        <v>192.08</v>
      </c>
      <c r="M384" s="235">
        <v>1</v>
      </c>
      <c r="N384" s="372">
        <v>12</v>
      </c>
      <c r="O384" s="507">
        <f>K384*L384*M384*N384</f>
        <v>2304.96</v>
      </c>
      <c r="P384" s="235">
        <v>1213.03</v>
      </c>
      <c r="Q384" s="492">
        <f>P384*$O384</f>
        <v>2795985.6288000001</v>
      </c>
      <c r="R384" s="235">
        <v>1337.365575</v>
      </c>
      <c r="S384" s="646">
        <f>R384*$O384</f>
        <v>3082574.1557519999</v>
      </c>
      <c r="T384" s="235">
        <v>1337.365575</v>
      </c>
      <c r="U384" s="647">
        <f>$O384*T384</f>
        <v>3082574.1557519999</v>
      </c>
      <c r="V384" s="235">
        <f>W384/O384</f>
        <v>1295.9203833333333</v>
      </c>
      <c r="W384" s="478">
        <f>AVERAGEIF($P$3:$U$3,W$3,$P384:$U384)</f>
        <v>2987044.646768</v>
      </c>
      <c r="X384" s="648"/>
      <c r="Y384" s="302">
        <f>S384/$C$1</f>
        <v>16048.3869</v>
      </c>
      <c r="Z384" s="232"/>
    </row>
    <row r="385" spans="2:26" x14ac:dyDescent="0.35">
      <c r="B385" s="603"/>
      <c r="C385" s="94" t="s">
        <v>155</v>
      </c>
      <c r="E385" s="604"/>
      <c r="F385" s="232" t="s">
        <v>187</v>
      </c>
      <c r="G385" s="318" t="s">
        <v>188</v>
      </c>
      <c r="H385" s="319"/>
      <c r="I385" s="320"/>
      <c r="J385" s="318" t="s">
        <v>189</v>
      </c>
      <c r="K385" s="420">
        <v>1</v>
      </c>
      <c r="L385" s="506">
        <v>192.08</v>
      </c>
      <c r="M385" s="233">
        <f>(1/500)*25</f>
        <v>0.05</v>
      </c>
      <c r="N385" s="372">
        <v>12</v>
      </c>
      <c r="O385" s="507">
        <f>K385*L385*M385*N385</f>
        <v>115.24800000000002</v>
      </c>
      <c r="P385" s="235">
        <v>140008</v>
      </c>
      <c r="Q385" s="492">
        <f>P385*$O385</f>
        <v>16135641.984000003</v>
      </c>
      <c r="R385" s="235">
        <v>158800.57379999998</v>
      </c>
      <c r="S385" s="646">
        <f>R385*$O385</f>
        <v>18301448.5293024</v>
      </c>
      <c r="T385" s="235">
        <v>163305.33120000002</v>
      </c>
      <c r="U385" s="647">
        <f>$O385*T385</f>
        <v>18820612.810137603</v>
      </c>
      <c r="V385" s="235">
        <f>W385/O385</f>
        <v>154037.96833333332</v>
      </c>
      <c r="W385" s="478">
        <f>AVERAGEIF($P$3:$U$3,W$3,$P385:$U385)</f>
        <v>17752567.77448</v>
      </c>
      <c r="X385" s="648"/>
      <c r="Y385" s="302">
        <f t="shared" ref="Y385:Y386" si="77">S385/$C$1</f>
        <v>95280.34427999999</v>
      </c>
      <c r="Z385" s="232"/>
    </row>
    <row r="386" spans="2:26" x14ac:dyDescent="0.35">
      <c r="B386" s="603"/>
      <c r="E386" s="604"/>
      <c r="F386" s="232" t="s">
        <v>440</v>
      </c>
      <c r="G386" s="318" t="s">
        <v>351</v>
      </c>
      <c r="H386" s="319"/>
      <c r="I386" s="320"/>
      <c r="J386" s="318" t="s">
        <v>189</v>
      </c>
      <c r="K386" s="420">
        <v>1</v>
      </c>
      <c r="L386" s="506">
        <v>192.08</v>
      </c>
      <c r="M386" s="743">
        <v>0.08</v>
      </c>
      <c r="N386" s="372">
        <v>12</v>
      </c>
      <c r="O386" s="507">
        <f>K386*L386*M386*N386</f>
        <v>184.39680000000001</v>
      </c>
      <c r="P386" s="235">
        <v>20000</v>
      </c>
      <c r="Q386" s="492">
        <f>P386*$O386</f>
        <v>3687936.0000000005</v>
      </c>
      <c r="R386" s="235">
        <v>22050</v>
      </c>
      <c r="S386" s="646">
        <f>R386*$O386</f>
        <v>4065949.4400000004</v>
      </c>
      <c r="T386" s="235">
        <v>23328</v>
      </c>
      <c r="U386" s="647">
        <f>$O386*T386</f>
        <v>4301608.5504000001</v>
      </c>
      <c r="V386" s="235">
        <f>W386/O386</f>
        <v>21792.666666666668</v>
      </c>
      <c r="W386" s="478">
        <f>AVERAGEIF($P$3:$U$3,W$3,$P386:$U386)</f>
        <v>4018497.9968000003</v>
      </c>
      <c r="X386" s="648"/>
      <c r="Y386" s="302">
        <f t="shared" si="77"/>
        <v>21168</v>
      </c>
      <c r="Z386" s="232"/>
    </row>
    <row r="387" spans="2:26" x14ac:dyDescent="0.35">
      <c r="B387" s="693" t="s">
        <v>599</v>
      </c>
      <c r="C387" s="694"/>
      <c r="D387" s="694"/>
      <c r="E387" s="695"/>
      <c r="F387" s="516"/>
      <c r="G387" s="613"/>
      <c r="H387" s="614"/>
      <c r="I387" s="615"/>
      <c r="J387" s="613"/>
      <c r="K387" s="616"/>
      <c r="L387" s="617"/>
      <c r="M387" s="528"/>
      <c r="N387" s="528"/>
      <c r="O387" s="614"/>
      <c r="P387" s="618"/>
      <c r="Q387" s="618"/>
      <c r="R387" s="618"/>
      <c r="S387" s="696">
        <f>SUM(S382:S386)</f>
        <v>98655766.242264003</v>
      </c>
      <c r="T387" s="673"/>
      <c r="U387" s="673"/>
      <c r="V387" s="673"/>
      <c r="W387" s="673"/>
      <c r="X387" s="674"/>
      <c r="Y387" s="413">
        <f>S387/$C$1</f>
        <v>513618.10829999996</v>
      </c>
      <c r="Z387" s="697">
        <f>S387/$S$388*100</f>
        <v>5.5313690657263894</v>
      </c>
    </row>
    <row r="388" spans="2:26" x14ac:dyDescent="0.35">
      <c r="B388" s="610" t="s">
        <v>600</v>
      </c>
      <c r="C388" s="611"/>
      <c r="D388" s="611"/>
      <c r="E388" s="755"/>
      <c r="F388" s="516"/>
      <c r="G388" s="613"/>
      <c r="H388" s="614"/>
      <c r="I388" s="615"/>
      <c r="J388" s="613"/>
      <c r="K388" s="616"/>
      <c r="L388" s="617"/>
      <c r="M388" s="528"/>
      <c r="N388" s="528"/>
      <c r="O388" s="614"/>
      <c r="P388" s="618"/>
      <c r="Q388" s="756">
        <f>SUM(Q5:Q387)</f>
        <v>1466661521.6349347</v>
      </c>
      <c r="R388" s="618"/>
      <c r="S388" s="757">
        <f>S35+S58+S174+S197+S281+S287+S324+S371+S387</f>
        <v>1783568680.1945179</v>
      </c>
      <c r="T388" s="673"/>
      <c r="U388" s="757" t="e">
        <f>SUM(U5:U387)</f>
        <v>#N/A</v>
      </c>
      <c r="V388" s="673"/>
      <c r="W388" s="757" t="e">
        <f>SUM(W5:W387)</f>
        <v>#N/A</v>
      </c>
      <c r="X388" s="674"/>
      <c r="Y388" s="413">
        <f>S388/$C$1</f>
        <v>9285551.2296674177</v>
      </c>
      <c r="Z388" s="697">
        <f>S388/$S$388*100</f>
        <v>100</v>
      </c>
    </row>
    <row r="390" spans="2:26" x14ac:dyDescent="0.35">
      <c r="P390" s="417"/>
    </row>
    <row r="391" spans="2:26" x14ac:dyDescent="0.35">
      <c r="P391" s="417"/>
    </row>
    <row r="392" spans="2:26" x14ac:dyDescent="0.35">
      <c r="Q392" s="417"/>
    </row>
    <row r="393" spans="2:26" x14ac:dyDescent="0.35">
      <c r="Q393" s="417"/>
    </row>
  </sheetData>
  <mergeCells count="56">
    <mergeCell ref="B356:D356"/>
    <mergeCell ref="B362:D362"/>
    <mergeCell ref="B370:D370"/>
    <mergeCell ref="B371:D371"/>
    <mergeCell ref="B387:D387"/>
    <mergeCell ref="B388:E388"/>
    <mergeCell ref="B302:D302"/>
    <mergeCell ref="B317:D317"/>
    <mergeCell ref="K320:K322"/>
    <mergeCell ref="B324:D324"/>
    <mergeCell ref="B336:D336"/>
    <mergeCell ref="B346:D346"/>
    <mergeCell ref="B197:D197"/>
    <mergeCell ref="B235:D235"/>
    <mergeCell ref="B262:D262"/>
    <mergeCell ref="B281:D281"/>
    <mergeCell ref="B287:D287"/>
    <mergeCell ref="B291:D291"/>
    <mergeCell ref="B112:D112"/>
    <mergeCell ref="B125:D125"/>
    <mergeCell ref="B173:D173"/>
    <mergeCell ref="B174:D174"/>
    <mergeCell ref="B193:D193"/>
    <mergeCell ref="B196:D196"/>
    <mergeCell ref="B35:D35"/>
    <mergeCell ref="B41:D41"/>
    <mergeCell ref="B51:D51"/>
    <mergeCell ref="B58:D58"/>
    <mergeCell ref="B70:D70"/>
    <mergeCell ref="B83:D83"/>
    <mergeCell ref="S3:S4"/>
    <mergeCell ref="T3:T4"/>
    <mergeCell ref="U3:U4"/>
    <mergeCell ref="V3:V4"/>
    <mergeCell ref="W3:W4"/>
    <mergeCell ref="X3:X4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/>
  <pageMargins left="0.118110236220472" right="0.118110236220472" top="0.90748031500000004" bottom="0.15748031496063" header="0.31496062992126" footer="0.31496062992126"/>
  <pageSetup paperSize="9" scale="58" orientation="landscape" r:id="rId1"/>
  <rowBreaks count="2" manualBreakCount="2">
    <brk id="117" max="25" man="1"/>
    <brk id="319" max="25" man="1"/>
  </rowBreaks>
  <colBreaks count="1" manualBreakCount="1">
    <brk id="2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6055-8758-42D0-8037-487BBBC32691}">
  <sheetPr>
    <tabColor theme="9" tint="-0.249977111117893"/>
  </sheetPr>
  <dimension ref="A1:AB403"/>
  <sheetViews>
    <sheetView view="pageBreakPreview" zoomScale="60" zoomScaleNormal="90" workbookViewId="0">
      <pane xSplit="7" ySplit="5" topLeftCell="J345" activePane="bottomRight" state="frozen"/>
      <selection activeCell="Q12" sqref="Q12"/>
      <selection pane="topRight" activeCell="Q12" sqref="Q12"/>
      <selection pane="bottomLeft" activeCell="Q12" sqref="Q12"/>
      <selection pane="bottomRight" activeCell="Q12" sqref="Q12"/>
    </sheetView>
  </sheetViews>
  <sheetFormatPr defaultRowHeight="14.5" x14ac:dyDescent="0.35"/>
  <cols>
    <col min="1" max="1" width="2.1796875" style="94" customWidth="1"/>
    <col min="2" max="2" width="5.81640625" style="94" customWidth="1"/>
    <col min="3" max="3" width="8.81640625" style="94" customWidth="1"/>
    <col min="4" max="4" width="22.81640625" style="94" customWidth="1"/>
    <col min="5" max="5" width="19.7265625" style="94" customWidth="1"/>
    <col min="6" max="6" width="26.81640625" style="94" customWidth="1"/>
    <col min="7" max="7" width="7.54296875" style="570" bestFit="1" customWidth="1"/>
    <col min="8" max="8" width="7.54296875" style="94" hidden="1" customWidth="1"/>
    <col min="9" max="9" width="6" style="94" hidden="1" customWidth="1"/>
    <col min="10" max="10" width="6" style="570" customWidth="1"/>
    <col min="11" max="11" width="9.7265625" style="570" customWidth="1"/>
    <col min="12" max="12" width="10.453125" style="570" customWidth="1"/>
    <col min="13" max="13" width="11.81640625" style="167" bestFit="1" customWidth="1"/>
    <col min="14" max="14" width="7.81640625" style="758" bestFit="1" customWidth="1"/>
    <col min="15" max="15" width="11.453125" style="94" customWidth="1"/>
    <col min="16" max="16" width="16.1796875" style="94" bestFit="1" customWidth="1"/>
    <col min="17" max="17" width="17.453125" style="94" customWidth="1"/>
    <col min="18" max="19" width="15" style="94" hidden="1" customWidth="1"/>
    <col min="20" max="20" width="16.26953125" style="94" hidden="1" customWidth="1"/>
    <col min="21" max="23" width="15" style="94" hidden="1" customWidth="1"/>
    <col min="24" max="24" width="25.1796875" style="94" hidden="1" customWidth="1"/>
    <col min="25" max="25" width="14.81640625" style="94" customWidth="1"/>
    <col min="26" max="26" width="6.54296875" style="94" customWidth="1"/>
    <col min="27" max="27" width="8.7265625" style="94"/>
  </cols>
  <sheetData>
    <row r="1" spans="1:27" x14ac:dyDescent="0.35">
      <c r="B1" s="569" t="s">
        <v>480</v>
      </c>
      <c r="C1" s="94">
        <v>192.08</v>
      </c>
    </row>
    <row r="2" spans="1:27" ht="15" customHeight="1" x14ac:dyDescent="0.35">
      <c r="B2" s="174" t="s">
        <v>8</v>
      </c>
      <c r="C2" s="571"/>
      <c r="D2" s="571"/>
      <c r="E2" s="175"/>
      <c r="F2" s="172" t="s">
        <v>168</v>
      </c>
      <c r="G2" s="173"/>
      <c r="H2" s="174" t="s">
        <v>169</v>
      </c>
      <c r="I2" s="175"/>
      <c r="J2" s="172" t="s">
        <v>601</v>
      </c>
      <c r="K2" s="572"/>
      <c r="L2" s="572"/>
      <c r="M2" s="572"/>
      <c r="N2" s="572"/>
      <c r="O2" s="173"/>
      <c r="P2" s="179">
        <v>2028</v>
      </c>
      <c r="Q2" s="180"/>
      <c r="R2" s="179">
        <v>2028</v>
      </c>
      <c r="S2" s="180"/>
      <c r="T2" s="181">
        <v>2029</v>
      </c>
      <c r="U2" s="182"/>
      <c r="V2" s="185" t="s">
        <v>171</v>
      </c>
      <c r="W2" s="186"/>
      <c r="X2" s="573"/>
      <c r="Y2" s="759" t="s">
        <v>68</v>
      </c>
      <c r="Z2" s="189" t="s">
        <v>69</v>
      </c>
    </row>
    <row r="3" spans="1:27" s="578" customFormat="1" x14ac:dyDescent="0.35">
      <c r="A3" s="570"/>
      <c r="B3" s="194"/>
      <c r="C3" s="574"/>
      <c r="D3" s="574"/>
      <c r="E3" s="195"/>
      <c r="F3" s="193" t="s">
        <v>175</v>
      </c>
      <c r="G3" s="193" t="s">
        <v>176</v>
      </c>
      <c r="H3" s="194"/>
      <c r="I3" s="195"/>
      <c r="J3" s="193" t="s">
        <v>176</v>
      </c>
      <c r="K3" s="172" t="s">
        <v>177</v>
      </c>
      <c r="L3" s="173"/>
      <c r="M3" s="196" t="s">
        <v>178</v>
      </c>
      <c r="N3" s="760" t="s">
        <v>179</v>
      </c>
      <c r="O3" s="577" t="s">
        <v>180</v>
      </c>
      <c r="P3" s="198" t="s">
        <v>181</v>
      </c>
      <c r="Q3" s="198" t="s">
        <v>182</v>
      </c>
      <c r="R3" s="198" t="s">
        <v>181</v>
      </c>
      <c r="S3" s="198" t="s">
        <v>182</v>
      </c>
      <c r="T3" s="200" t="s">
        <v>181</v>
      </c>
      <c r="U3" s="200" t="s">
        <v>182</v>
      </c>
      <c r="V3" s="202" t="s">
        <v>181</v>
      </c>
      <c r="W3" s="202" t="s">
        <v>182</v>
      </c>
      <c r="X3" s="761" t="s">
        <v>172</v>
      </c>
      <c r="Y3" s="759"/>
      <c r="Z3" s="204"/>
      <c r="AA3" s="570"/>
    </row>
    <row r="4" spans="1:27" s="578" customFormat="1" ht="42" x14ac:dyDescent="0.35">
      <c r="A4" s="570"/>
      <c r="B4" s="209"/>
      <c r="C4" s="762"/>
      <c r="D4" s="762"/>
      <c r="E4" s="210"/>
      <c r="F4" s="208"/>
      <c r="G4" s="208"/>
      <c r="H4" s="209"/>
      <c r="I4" s="210"/>
      <c r="J4" s="208"/>
      <c r="K4" s="211" t="s">
        <v>183</v>
      </c>
      <c r="L4" s="212" t="s">
        <v>184</v>
      </c>
      <c r="M4" s="213"/>
      <c r="N4" s="763"/>
      <c r="O4" s="581"/>
      <c r="P4" s="215"/>
      <c r="Q4" s="215"/>
      <c r="R4" s="215"/>
      <c r="S4" s="215"/>
      <c r="T4" s="217"/>
      <c r="U4" s="217"/>
      <c r="V4" s="219"/>
      <c r="W4" s="219"/>
      <c r="X4" s="761"/>
      <c r="Y4" s="759"/>
      <c r="Z4" s="221"/>
      <c r="AA4" s="570"/>
    </row>
    <row r="5" spans="1:27" s="597" customFormat="1" hidden="1" x14ac:dyDescent="0.35">
      <c r="A5" s="582"/>
      <c r="B5" s="583" t="s">
        <v>314</v>
      </c>
      <c r="C5" s="584"/>
      <c r="D5" s="585"/>
      <c r="E5" s="586"/>
      <c r="F5" s="587"/>
      <c r="G5" s="588"/>
      <c r="H5" s="588"/>
      <c r="I5" s="589"/>
      <c r="J5" s="588"/>
      <c r="K5" s="590"/>
      <c r="L5" s="591"/>
      <c r="M5" s="764"/>
      <c r="N5" s="765"/>
      <c r="O5" s="593"/>
      <c r="P5" s="594"/>
      <c r="Q5" s="594"/>
      <c r="R5" s="594"/>
      <c r="S5" s="594"/>
      <c r="T5" s="241"/>
      <c r="U5" s="241"/>
      <c r="V5" s="241"/>
      <c r="W5" s="241"/>
      <c r="X5" s="595"/>
      <c r="Y5" s="596"/>
      <c r="Z5" s="596"/>
      <c r="AA5" s="582"/>
    </row>
    <row r="6" spans="1:27" hidden="1" x14ac:dyDescent="0.35">
      <c r="B6" s="598"/>
      <c r="C6" s="599" t="s">
        <v>118</v>
      </c>
      <c r="D6" s="599"/>
      <c r="E6" s="600"/>
      <c r="F6" s="232" t="s">
        <v>187</v>
      </c>
      <c r="G6" s="318" t="s">
        <v>188</v>
      </c>
      <c r="H6" s="319"/>
      <c r="I6" s="320"/>
      <c r="J6" s="318"/>
      <c r="K6" s="501"/>
      <c r="L6" s="506"/>
      <c r="M6" s="231"/>
      <c r="N6" s="235"/>
      <c r="O6" s="319"/>
      <c r="P6" s="492"/>
      <c r="Q6" s="492"/>
      <c r="R6" s="492"/>
      <c r="S6" s="492"/>
      <c r="T6" s="601"/>
      <c r="U6" s="601"/>
      <c r="V6" s="601"/>
      <c r="W6" s="601"/>
      <c r="X6" s="602"/>
      <c r="Y6" s="232"/>
      <c r="Z6" s="232"/>
    </row>
    <row r="7" spans="1:27" hidden="1" x14ac:dyDescent="0.35">
      <c r="B7" s="603"/>
      <c r="E7" s="604"/>
      <c r="F7" s="232" t="s">
        <v>316</v>
      </c>
      <c r="G7" s="318" t="s">
        <v>191</v>
      </c>
      <c r="H7" s="319"/>
      <c r="I7" s="320"/>
      <c r="J7" s="318"/>
      <c r="K7" s="501"/>
      <c r="L7" s="506"/>
      <c r="M7" s="231"/>
      <c r="N7" s="235"/>
      <c r="O7" s="319"/>
      <c r="P7" s="492"/>
      <c r="Q7" s="492"/>
      <c r="R7" s="492"/>
      <c r="S7" s="492"/>
      <c r="T7" s="601"/>
      <c r="U7" s="601"/>
      <c r="V7" s="601"/>
      <c r="W7" s="601"/>
      <c r="X7" s="602"/>
      <c r="Y7" s="232"/>
      <c r="Z7" s="232"/>
    </row>
    <row r="8" spans="1:27" hidden="1" x14ac:dyDescent="0.35">
      <c r="B8" s="603"/>
      <c r="E8" s="604"/>
      <c r="F8" s="232" t="s">
        <v>317</v>
      </c>
      <c r="G8" s="318" t="s">
        <v>191</v>
      </c>
      <c r="H8" s="319"/>
      <c r="I8" s="320"/>
      <c r="J8" s="318"/>
      <c r="K8" s="501"/>
      <c r="L8" s="506"/>
      <c r="M8" s="231"/>
      <c r="N8" s="235"/>
      <c r="O8" s="319"/>
      <c r="P8" s="492"/>
      <c r="Q8" s="492"/>
      <c r="R8" s="492"/>
      <c r="S8" s="492"/>
      <c r="T8" s="601"/>
      <c r="U8" s="601"/>
      <c r="V8" s="601"/>
      <c r="W8" s="601"/>
      <c r="X8" s="602"/>
      <c r="Y8" s="232"/>
      <c r="Z8" s="232"/>
    </row>
    <row r="9" spans="1:27" hidden="1" x14ac:dyDescent="0.35">
      <c r="B9" s="603"/>
      <c r="E9" s="604"/>
      <c r="F9" s="232" t="s">
        <v>324</v>
      </c>
      <c r="G9" s="318" t="s">
        <v>191</v>
      </c>
      <c r="H9" s="319"/>
      <c r="I9" s="320"/>
      <c r="J9" s="318"/>
      <c r="K9" s="501"/>
      <c r="L9" s="506"/>
      <c r="M9" s="231"/>
      <c r="N9" s="235"/>
      <c r="O9" s="319"/>
      <c r="P9" s="492"/>
      <c r="Q9" s="492"/>
      <c r="R9" s="492"/>
      <c r="S9" s="492"/>
      <c r="T9" s="601"/>
      <c r="U9" s="601"/>
      <c r="V9" s="601"/>
      <c r="W9" s="601"/>
      <c r="X9" s="602"/>
      <c r="Y9" s="232"/>
      <c r="Z9" s="232"/>
    </row>
    <row r="10" spans="1:27" hidden="1" x14ac:dyDescent="0.35">
      <c r="B10" s="603"/>
      <c r="E10" s="604"/>
      <c r="F10" s="232" t="s">
        <v>482</v>
      </c>
      <c r="G10" s="318" t="s">
        <v>191</v>
      </c>
      <c r="H10" s="319"/>
      <c r="I10" s="320"/>
      <c r="J10" s="318"/>
      <c r="K10" s="501"/>
      <c r="L10" s="506"/>
      <c r="M10" s="231"/>
      <c r="N10" s="235"/>
      <c r="O10" s="319"/>
      <c r="P10" s="492"/>
      <c r="Q10" s="492"/>
      <c r="R10" s="492"/>
      <c r="S10" s="492"/>
      <c r="T10" s="601"/>
      <c r="U10" s="601"/>
      <c r="V10" s="601"/>
      <c r="W10" s="601"/>
      <c r="X10" s="602"/>
      <c r="Y10" s="232"/>
      <c r="Z10" s="232"/>
    </row>
    <row r="11" spans="1:27" hidden="1" x14ac:dyDescent="0.35">
      <c r="B11" s="603"/>
      <c r="E11" s="604"/>
      <c r="F11" s="232" t="s">
        <v>322</v>
      </c>
      <c r="G11" s="318" t="s">
        <v>191</v>
      </c>
      <c r="H11" s="319"/>
      <c r="I11" s="320"/>
      <c r="J11" s="318"/>
      <c r="K11" s="501"/>
      <c r="L11" s="506"/>
      <c r="M11" s="377"/>
      <c r="N11" s="235"/>
      <c r="O11" s="319"/>
      <c r="P11" s="492"/>
      <c r="Q11" s="492"/>
      <c r="R11" s="492"/>
      <c r="S11" s="492"/>
      <c r="T11" s="601"/>
      <c r="U11" s="601"/>
      <c r="V11" s="601"/>
      <c r="W11" s="601"/>
      <c r="X11" s="602"/>
      <c r="Y11" s="232"/>
      <c r="Z11" s="232"/>
    </row>
    <row r="12" spans="1:27" hidden="1" x14ac:dyDescent="0.35">
      <c r="B12" s="605"/>
      <c r="C12" s="606"/>
      <c r="D12" s="606"/>
      <c r="E12" s="607"/>
      <c r="F12" s="232" t="s">
        <v>242</v>
      </c>
      <c r="G12" s="318" t="s">
        <v>193</v>
      </c>
      <c r="H12" s="319">
        <v>1</v>
      </c>
      <c r="I12" s="320" t="s">
        <v>238</v>
      </c>
      <c r="J12" s="318"/>
      <c r="K12" s="501"/>
      <c r="L12" s="506"/>
      <c r="M12" s="377"/>
      <c r="N12" s="235"/>
      <c r="O12" s="319"/>
      <c r="P12" s="492"/>
      <c r="Q12" s="492"/>
      <c r="R12" s="492"/>
      <c r="S12" s="492"/>
      <c r="T12" s="601"/>
      <c r="U12" s="601"/>
      <c r="V12" s="601"/>
      <c r="W12" s="601"/>
      <c r="X12" s="602"/>
      <c r="Y12" s="232"/>
      <c r="Z12" s="232"/>
    </row>
    <row r="13" spans="1:27" hidden="1" x14ac:dyDescent="0.35">
      <c r="B13" s="319"/>
      <c r="C13" s="320" t="s">
        <v>136</v>
      </c>
      <c r="D13" s="320"/>
      <c r="E13" s="608"/>
      <c r="F13" s="232" t="s">
        <v>187</v>
      </c>
      <c r="G13" s="318" t="s">
        <v>188</v>
      </c>
      <c r="H13" s="319"/>
      <c r="I13" s="320"/>
      <c r="J13" s="318"/>
      <c r="K13" s="501"/>
      <c r="L13" s="506"/>
      <c r="M13" s="377"/>
      <c r="N13" s="235"/>
      <c r="O13" s="319"/>
      <c r="P13" s="492"/>
      <c r="Q13" s="492"/>
      <c r="R13" s="492"/>
      <c r="S13" s="492"/>
      <c r="T13" s="601"/>
      <c r="U13" s="601"/>
      <c r="V13" s="601"/>
      <c r="W13" s="601"/>
      <c r="X13" s="602"/>
      <c r="Y13" s="232"/>
      <c r="Z13" s="232"/>
    </row>
    <row r="14" spans="1:27" hidden="1" x14ac:dyDescent="0.35">
      <c r="B14" s="598"/>
      <c r="C14" s="599" t="s">
        <v>483</v>
      </c>
      <c r="D14" s="599"/>
      <c r="E14" s="600"/>
      <c r="F14" s="232" t="s">
        <v>187</v>
      </c>
      <c r="G14" s="318" t="s">
        <v>188</v>
      </c>
      <c r="H14" s="319"/>
      <c r="I14" s="320"/>
      <c r="J14" s="318"/>
      <c r="K14" s="501"/>
      <c r="L14" s="506"/>
      <c r="M14" s="377"/>
      <c r="N14" s="235"/>
      <c r="O14" s="319"/>
      <c r="P14" s="492"/>
      <c r="Q14" s="492"/>
      <c r="R14" s="492"/>
      <c r="S14" s="492"/>
      <c r="T14" s="601"/>
      <c r="U14" s="601"/>
      <c r="V14" s="601"/>
      <c r="W14" s="601"/>
      <c r="X14" s="609"/>
      <c r="Y14" s="232"/>
      <c r="Z14" s="232"/>
    </row>
    <row r="15" spans="1:27" hidden="1" x14ac:dyDescent="0.35">
      <c r="B15" s="603"/>
      <c r="E15" s="604"/>
      <c r="F15" s="232" t="s">
        <v>231</v>
      </c>
      <c r="G15" s="318" t="s">
        <v>232</v>
      </c>
      <c r="H15" s="319"/>
      <c r="I15" s="320"/>
      <c r="J15" s="318"/>
      <c r="K15" s="501"/>
      <c r="L15" s="506"/>
      <c r="M15" s="377"/>
      <c r="N15" s="235"/>
      <c r="O15" s="319"/>
      <c r="P15" s="492"/>
      <c r="Q15" s="492"/>
      <c r="R15" s="492"/>
      <c r="S15" s="492"/>
      <c r="T15" s="601"/>
      <c r="U15" s="601"/>
      <c r="V15" s="601"/>
      <c r="W15" s="601"/>
      <c r="X15" s="602"/>
      <c r="Y15" s="232"/>
      <c r="Z15" s="232"/>
    </row>
    <row r="16" spans="1:27" hidden="1" x14ac:dyDescent="0.35">
      <c r="B16" s="603"/>
      <c r="E16" s="604"/>
      <c r="F16" s="232" t="s">
        <v>233</v>
      </c>
      <c r="G16" s="318" t="s">
        <v>191</v>
      </c>
      <c r="H16" s="319"/>
      <c r="I16" s="320"/>
      <c r="J16" s="318"/>
      <c r="K16" s="501"/>
      <c r="L16" s="506"/>
      <c r="M16" s="231"/>
      <c r="N16" s="235"/>
      <c r="O16" s="319"/>
      <c r="P16" s="492"/>
      <c r="Q16" s="492"/>
      <c r="R16" s="492"/>
      <c r="S16" s="492"/>
      <c r="T16" s="601"/>
      <c r="U16" s="601"/>
      <c r="V16" s="601"/>
      <c r="W16" s="601"/>
      <c r="X16" s="602"/>
      <c r="Y16" s="232"/>
      <c r="Z16" s="232"/>
    </row>
    <row r="17" spans="2:26" hidden="1" x14ac:dyDescent="0.35">
      <c r="B17" s="603"/>
      <c r="E17" s="604"/>
      <c r="F17" s="232" t="s">
        <v>235</v>
      </c>
      <c r="G17" s="318" t="s">
        <v>232</v>
      </c>
      <c r="H17" s="319"/>
      <c r="I17" s="320"/>
      <c r="J17" s="318"/>
      <c r="K17" s="501"/>
      <c r="L17" s="506"/>
      <c r="M17" s="231"/>
      <c r="N17" s="235"/>
      <c r="O17" s="319"/>
      <c r="P17" s="492"/>
      <c r="Q17" s="492"/>
      <c r="R17" s="492"/>
      <c r="S17" s="492"/>
      <c r="T17" s="601"/>
      <c r="U17" s="601"/>
      <c r="V17" s="601"/>
      <c r="W17" s="601"/>
      <c r="X17" s="602"/>
      <c r="Y17" s="232"/>
      <c r="Z17" s="232"/>
    </row>
    <row r="18" spans="2:26" hidden="1" x14ac:dyDescent="0.35">
      <c r="B18" s="603"/>
      <c r="E18" s="604"/>
      <c r="F18" s="232" t="s">
        <v>396</v>
      </c>
      <c r="G18" s="318" t="s">
        <v>193</v>
      </c>
      <c r="H18" s="319"/>
      <c r="I18" s="320"/>
      <c r="J18" s="318"/>
      <c r="K18" s="501"/>
      <c r="L18" s="506"/>
      <c r="M18" s="231"/>
      <c r="N18" s="235"/>
      <c r="O18" s="319"/>
      <c r="P18" s="492"/>
      <c r="Q18" s="492"/>
      <c r="R18" s="492"/>
      <c r="S18" s="492"/>
      <c r="T18" s="601"/>
      <c r="U18" s="601"/>
      <c r="V18" s="601"/>
      <c r="W18" s="601"/>
      <c r="X18" s="602"/>
      <c r="Y18" s="232"/>
      <c r="Z18" s="232"/>
    </row>
    <row r="19" spans="2:26" hidden="1" x14ac:dyDescent="0.35">
      <c r="B19" s="603"/>
      <c r="E19" s="604"/>
      <c r="F19" s="232" t="s">
        <v>236</v>
      </c>
      <c r="G19" s="318" t="s">
        <v>188</v>
      </c>
      <c r="H19" s="319"/>
      <c r="I19" s="320"/>
      <c r="J19" s="318"/>
      <c r="K19" s="501"/>
      <c r="L19" s="506"/>
      <c r="M19" s="377"/>
      <c r="N19" s="235"/>
      <c r="O19" s="319"/>
      <c r="P19" s="492"/>
      <c r="Q19" s="492"/>
      <c r="R19" s="492"/>
      <c r="S19" s="492"/>
      <c r="T19" s="601"/>
      <c r="U19" s="601"/>
      <c r="V19" s="601"/>
      <c r="W19" s="601"/>
      <c r="X19" s="602"/>
      <c r="Y19" s="232"/>
      <c r="Z19" s="232"/>
    </row>
    <row r="20" spans="2:26" hidden="1" x14ac:dyDescent="0.35">
      <c r="B20" s="603"/>
      <c r="E20" s="604"/>
      <c r="F20" s="232" t="s">
        <v>237</v>
      </c>
      <c r="G20" s="318" t="s">
        <v>193</v>
      </c>
      <c r="H20" s="319">
        <v>4</v>
      </c>
      <c r="I20" s="320" t="s">
        <v>238</v>
      </c>
      <c r="J20" s="318"/>
      <c r="K20" s="501"/>
      <c r="L20" s="506"/>
      <c r="M20" s="377"/>
      <c r="N20" s="235"/>
      <c r="O20" s="319"/>
      <c r="P20" s="492"/>
      <c r="Q20" s="492"/>
      <c r="R20" s="492"/>
      <c r="S20" s="492"/>
      <c r="T20" s="601"/>
      <c r="U20" s="601"/>
      <c r="V20" s="601"/>
      <c r="W20" s="601"/>
      <c r="X20" s="602"/>
      <c r="Y20" s="232"/>
      <c r="Z20" s="232"/>
    </row>
    <row r="21" spans="2:26" hidden="1" x14ac:dyDescent="0.35">
      <c r="B21" s="603"/>
      <c r="E21" s="604"/>
      <c r="F21" s="232" t="s">
        <v>239</v>
      </c>
      <c r="G21" s="318" t="s">
        <v>193</v>
      </c>
      <c r="H21" s="319">
        <v>12</v>
      </c>
      <c r="I21" s="320" t="s">
        <v>238</v>
      </c>
      <c r="J21" s="318"/>
      <c r="K21" s="501"/>
      <c r="L21" s="506"/>
      <c r="M21" s="377"/>
      <c r="N21" s="235"/>
      <c r="O21" s="319"/>
      <c r="P21" s="492"/>
      <c r="Q21" s="492"/>
      <c r="R21" s="492"/>
      <c r="S21" s="492"/>
      <c r="T21" s="601"/>
      <c r="U21" s="601"/>
      <c r="V21" s="601"/>
      <c r="W21" s="601"/>
      <c r="X21" s="602"/>
      <c r="Y21" s="232"/>
      <c r="Z21" s="232"/>
    </row>
    <row r="22" spans="2:26" hidden="1" x14ac:dyDescent="0.35">
      <c r="B22" s="603"/>
      <c r="E22" s="604"/>
      <c r="F22" s="232" t="s">
        <v>240</v>
      </c>
      <c r="G22" s="318" t="s">
        <v>193</v>
      </c>
      <c r="H22" s="319">
        <v>1</v>
      </c>
      <c r="I22" s="320" t="s">
        <v>238</v>
      </c>
      <c r="J22" s="318"/>
      <c r="K22" s="501"/>
      <c r="L22" s="506"/>
      <c r="M22" s="377"/>
      <c r="N22" s="235"/>
      <c r="O22" s="319"/>
      <c r="P22" s="492"/>
      <c r="Q22" s="492"/>
      <c r="R22" s="492"/>
      <c r="S22" s="492"/>
      <c r="T22" s="601"/>
      <c r="U22" s="601"/>
      <c r="V22" s="601"/>
      <c r="W22" s="601"/>
      <c r="X22" s="602"/>
      <c r="Y22" s="232"/>
      <c r="Z22" s="232"/>
    </row>
    <row r="23" spans="2:26" hidden="1" x14ac:dyDescent="0.35">
      <c r="B23" s="603"/>
      <c r="E23" s="604"/>
      <c r="F23" s="232" t="s">
        <v>241</v>
      </c>
      <c r="G23" s="318" t="s">
        <v>193</v>
      </c>
      <c r="H23" s="319">
        <v>2</v>
      </c>
      <c r="I23" s="320" t="s">
        <v>238</v>
      </c>
      <c r="J23" s="318"/>
      <c r="K23" s="501"/>
      <c r="L23" s="506"/>
      <c r="M23" s="377"/>
      <c r="N23" s="235"/>
      <c r="O23" s="319"/>
      <c r="P23" s="492"/>
      <c r="Q23" s="492"/>
      <c r="R23" s="492"/>
      <c r="S23" s="492"/>
      <c r="T23" s="601"/>
      <c r="U23" s="601"/>
      <c r="V23" s="601"/>
      <c r="W23" s="601"/>
      <c r="X23" s="602"/>
      <c r="Y23" s="232"/>
      <c r="Z23" s="232"/>
    </row>
    <row r="24" spans="2:26" hidden="1" x14ac:dyDescent="0.35">
      <c r="B24" s="605"/>
      <c r="C24" s="606"/>
      <c r="D24" s="606"/>
      <c r="E24" s="607"/>
      <c r="F24" s="232" t="s">
        <v>242</v>
      </c>
      <c r="G24" s="318" t="s">
        <v>193</v>
      </c>
      <c r="H24" s="319">
        <v>1</v>
      </c>
      <c r="I24" s="320" t="s">
        <v>238</v>
      </c>
      <c r="J24" s="318"/>
      <c r="K24" s="501"/>
      <c r="L24" s="506"/>
      <c r="M24" s="377"/>
      <c r="N24" s="235"/>
      <c r="O24" s="319"/>
      <c r="P24" s="492"/>
      <c r="Q24" s="492"/>
      <c r="R24" s="492"/>
      <c r="S24" s="492"/>
      <c r="T24" s="601"/>
      <c r="U24" s="601"/>
      <c r="V24" s="601"/>
      <c r="W24" s="601"/>
      <c r="X24" s="602"/>
      <c r="Y24" s="232"/>
      <c r="Z24" s="232"/>
    </row>
    <row r="25" spans="2:26" hidden="1" x14ac:dyDescent="0.35">
      <c r="B25" s="598"/>
      <c r="C25" s="599" t="s">
        <v>88</v>
      </c>
      <c r="D25" s="599"/>
      <c r="E25" s="600"/>
      <c r="F25" s="232" t="s">
        <v>187</v>
      </c>
      <c r="G25" s="318" t="s">
        <v>188</v>
      </c>
      <c r="H25" s="319"/>
      <c r="I25" s="320"/>
      <c r="J25" s="318"/>
      <c r="K25" s="501"/>
      <c r="L25" s="506"/>
      <c r="M25" s="377"/>
      <c r="N25" s="235"/>
      <c r="O25" s="319"/>
      <c r="P25" s="492"/>
      <c r="Q25" s="492"/>
      <c r="R25" s="492"/>
      <c r="S25" s="492"/>
      <c r="T25" s="601"/>
      <c r="U25" s="601"/>
      <c r="V25" s="601"/>
      <c r="W25" s="601"/>
      <c r="X25" s="602"/>
      <c r="Y25" s="232"/>
      <c r="Z25" s="232"/>
    </row>
    <row r="26" spans="2:26" hidden="1" x14ac:dyDescent="0.35">
      <c r="B26" s="603"/>
      <c r="E26" s="604"/>
      <c r="F26" s="232" t="s">
        <v>231</v>
      </c>
      <c r="G26" s="318" t="s">
        <v>232</v>
      </c>
      <c r="H26" s="319"/>
      <c r="I26" s="320"/>
      <c r="J26" s="318"/>
      <c r="K26" s="501"/>
      <c r="L26" s="506"/>
      <c r="M26" s="231"/>
      <c r="N26" s="235"/>
      <c r="O26" s="319"/>
      <c r="P26" s="492"/>
      <c r="Q26" s="492"/>
      <c r="R26" s="492"/>
      <c r="S26" s="492"/>
      <c r="T26" s="601"/>
      <c r="U26" s="601"/>
      <c r="V26" s="601"/>
      <c r="W26" s="601"/>
      <c r="X26" s="602"/>
      <c r="Y26" s="232"/>
      <c r="Z26" s="232"/>
    </row>
    <row r="27" spans="2:26" hidden="1" x14ac:dyDescent="0.35">
      <c r="B27" s="603"/>
      <c r="E27" s="604"/>
      <c r="F27" s="232" t="s">
        <v>235</v>
      </c>
      <c r="G27" s="318" t="s">
        <v>232</v>
      </c>
      <c r="H27" s="319"/>
      <c r="I27" s="320"/>
      <c r="J27" s="318"/>
      <c r="K27" s="501"/>
      <c r="L27" s="506"/>
      <c r="M27" s="231"/>
      <c r="N27" s="235"/>
      <c r="O27" s="319"/>
      <c r="P27" s="492"/>
      <c r="Q27" s="492"/>
      <c r="R27" s="492"/>
      <c r="S27" s="492"/>
      <c r="T27" s="601"/>
      <c r="U27" s="601"/>
      <c r="V27" s="601"/>
      <c r="W27" s="601"/>
      <c r="X27" s="602"/>
      <c r="Y27" s="232"/>
      <c r="Z27" s="232"/>
    </row>
    <row r="28" spans="2:26" hidden="1" x14ac:dyDescent="0.35">
      <c r="B28" s="603"/>
      <c r="E28" s="604"/>
      <c r="F28" s="232" t="s">
        <v>396</v>
      </c>
      <c r="G28" s="318" t="s">
        <v>193</v>
      </c>
      <c r="H28" s="319"/>
      <c r="I28" s="320"/>
      <c r="J28" s="318"/>
      <c r="K28" s="501"/>
      <c r="L28" s="506"/>
      <c r="M28" s="231"/>
      <c r="N28" s="235"/>
      <c r="O28" s="319"/>
      <c r="P28" s="492"/>
      <c r="Q28" s="492"/>
      <c r="R28" s="492"/>
      <c r="S28" s="492"/>
      <c r="T28" s="601"/>
      <c r="U28" s="601"/>
      <c r="V28" s="601"/>
      <c r="W28" s="601"/>
      <c r="X28" s="602"/>
      <c r="Y28" s="232"/>
      <c r="Z28" s="232"/>
    </row>
    <row r="29" spans="2:26" hidden="1" x14ac:dyDescent="0.35">
      <c r="B29" s="603"/>
      <c r="E29" s="604"/>
      <c r="F29" s="232" t="s">
        <v>236</v>
      </c>
      <c r="G29" s="318" t="s">
        <v>188</v>
      </c>
      <c r="H29" s="319"/>
      <c r="I29" s="320"/>
      <c r="J29" s="318"/>
      <c r="K29" s="501"/>
      <c r="L29" s="506"/>
      <c r="M29" s="377"/>
      <c r="N29" s="235"/>
      <c r="O29" s="319"/>
      <c r="P29" s="492"/>
      <c r="Q29" s="492"/>
      <c r="R29" s="492"/>
      <c r="S29" s="492"/>
      <c r="T29" s="601"/>
      <c r="U29" s="601"/>
      <c r="V29" s="601"/>
      <c r="W29" s="601"/>
      <c r="X29" s="602"/>
      <c r="Y29" s="232"/>
      <c r="Z29" s="232"/>
    </row>
    <row r="30" spans="2:26" hidden="1" x14ac:dyDescent="0.35">
      <c r="B30" s="603"/>
      <c r="E30" s="604"/>
      <c r="F30" s="232" t="s">
        <v>237</v>
      </c>
      <c r="G30" s="318" t="s">
        <v>193</v>
      </c>
      <c r="H30" s="319">
        <v>4</v>
      </c>
      <c r="I30" s="320" t="s">
        <v>238</v>
      </c>
      <c r="J30" s="318"/>
      <c r="K30" s="501"/>
      <c r="L30" s="506"/>
      <c r="M30" s="377"/>
      <c r="N30" s="235"/>
      <c r="O30" s="319"/>
      <c r="P30" s="492"/>
      <c r="Q30" s="492"/>
      <c r="R30" s="492"/>
      <c r="S30" s="492"/>
      <c r="T30" s="601"/>
      <c r="U30" s="601"/>
      <c r="V30" s="601"/>
      <c r="W30" s="601"/>
      <c r="X30" s="602"/>
      <c r="Y30" s="232"/>
      <c r="Z30" s="232"/>
    </row>
    <row r="31" spans="2:26" hidden="1" x14ac:dyDescent="0.35">
      <c r="B31" s="603"/>
      <c r="E31" s="604"/>
      <c r="F31" s="232" t="s">
        <v>484</v>
      </c>
      <c r="G31" s="318" t="s">
        <v>193</v>
      </c>
      <c r="H31" s="319">
        <v>12</v>
      </c>
      <c r="I31" s="320" t="s">
        <v>238</v>
      </c>
      <c r="J31" s="318"/>
      <c r="K31" s="501"/>
      <c r="L31" s="506"/>
      <c r="M31" s="377"/>
      <c r="N31" s="235"/>
      <c r="O31" s="319"/>
      <c r="P31" s="492"/>
      <c r="Q31" s="492"/>
      <c r="R31" s="492"/>
      <c r="S31" s="492"/>
      <c r="T31" s="601"/>
      <c r="U31" s="601"/>
      <c r="V31" s="601"/>
      <c r="W31" s="601"/>
      <c r="X31" s="602"/>
      <c r="Y31" s="232"/>
      <c r="Z31" s="232"/>
    </row>
    <row r="32" spans="2:26" hidden="1" x14ac:dyDescent="0.35">
      <c r="B32" s="603"/>
      <c r="E32" s="604"/>
      <c r="F32" s="232" t="s">
        <v>240</v>
      </c>
      <c r="G32" s="318" t="s">
        <v>193</v>
      </c>
      <c r="H32" s="319">
        <v>1</v>
      </c>
      <c r="I32" s="320" t="s">
        <v>238</v>
      </c>
      <c r="J32" s="318"/>
      <c r="K32" s="501"/>
      <c r="L32" s="506"/>
      <c r="M32" s="377"/>
      <c r="N32" s="235"/>
      <c r="O32" s="319"/>
      <c r="P32" s="492"/>
      <c r="Q32" s="492"/>
      <c r="R32" s="492"/>
      <c r="S32" s="492"/>
      <c r="T32" s="601"/>
      <c r="U32" s="601"/>
      <c r="V32" s="601"/>
      <c r="W32" s="601"/>
      <c r="X32" s="602"/>
      <c r="Y32" s="232"/>
      <c r="Z32" s="232"/>
    </row>
    <row r="33" spans="1:27" hidden="1" x14ac:dyDescent="0.35">
      <c r="B33" s="603"/>
      <c r="E33" s="604"/>
      <c r="F33" s="232" t="s">
        <v>241</v>
      </c>
      <c r="G33" s="318" t="s">
        <v>193</v>
      </c>
      <c r="H33" s="319">
        <v>2</v>
      </c>
      <c r="I33" s="320" t="s">
        <v>238</v>
      </c>
      <c r="J33" s="318"/>
      <c r="K33" s="501"/>
      <c r="L33" s="506"/>
      <c r="M33" s="377"/>
      <c r="N33" s="235"/>
      <c r="O33" s="319"/>
      <c r="P33" s="492"/>
      <c r="Q33" s="492"/>
      <c r="R33" s="492"/>
      <c r="S33" s="492"/>
      <c r="T33" s="601"/>
      <c r="U33" s="601"/>
      <c r="V33" s="601"/>
      <c r="W33" s="601"/>
      <c r="X33" s="602"/>
      <c r="Y33" s="232"/>
      <c r="Z33" s="232"/>
    </row>
    <row r="34" spans="1:27" hidden="1" x14ac:dyDescent="0.35">
      <c r="B34" s="605"/>
      <c r="C34" s="606"/>
      <c r="D34" s="606"/>
      <c r="E34" s="607"/>
      <c r="F34" s="232" t="s">
        <v>242</v>
      </c>
      <c r="G34" s="318" t="s">
        <v>193</v>
      </c>
      <c r="H34" s="319">
        <v>1</v>
      </c>
      <c r="I34" s="320" t="s">
        <v>238</v>
      </c>
      <c r="J34" s="318"/>
      <c r="K34" s="501"/>
      <c r="L34" s="506"/>
      <c r="M34" s="377"/>
      <c r="N34" s="235"/>
      <c r="O34" s="319"/>
      <c r="P34" s="492"/>
      <c r="Q34" s="492"/>
      <c r="R34" s="492"/>
      <c r="S34" s="492"/>
      <c r="T34" s="601"/>
      <c r="U34" s="601"/>
      <c r="V34" s="601"/>
      <c r="W34" s="601"/>
      <c r="X34" s="602"/>
      <c r="Y34" s="232"/>
      <c r="Z34" s="232"/>
    </row>
    <row r="35" spans="1:27" hidden="1" x14ac:dyDescent="0.35">
      <c r="B35" s="610" t="s">
        <v>485</v>
      </c>
      <c r="C35" s="611"/>
      <c r="D35" s="611"/>
      <c r="E35" s="612"/>
      <c r="F35" s="516"/>
      <c r="G35" s="613"/>
      <c r="H35" s="614"/>
      <c r="I35" s="615"/>
      <c r="J35" s="613"/>
      <c r="K35" s="616"/>
      <c r="L35" s="617"/>
      <c r="M35" s="527"/>
      <c r="N35" s="766"/>
      <c r="O35" s="614"/>
      <c r="P35" s="618"/>
      <c r="Q35" s="618">
        <f>SUM(Q6:Q34)</f>
        <v>0</v>
      </c>
      <c r="R35" s="618"/>
      <c r="S35" s="618">
        <f>SUM(S6:S34)</f>
        <v>0</v>
      </c>
      <c r="T35" s="619"/>
      <c r="U35" s="619"/>
      <c r="V35" s="619"/>
      <c r="W35" s="619"/>
      <c r="X35" s="614"/>
      <c r="Y35" s="232"/>
      <c r="Z35" s="232"/>
    </row>
    <row r="36" spans="1:27" x14ac:dyDescent="0.35">
      <c r="B36" s="620" t="s">
        <v>486</v>
      </c>
      <c r="C36" s="320"/>
      <c r="D36" s="320"/>
      <c r="E36" s="608"/>
      <c r="F36" s="232"/>
      <c r="G36" s="318"/>
      <c r="H36" s="319"/>
      <c r="I36" s="320"/>
      <c r="J36" s="318"/>
      <c r="K36" s="501"/>
      <c r="L36" s="506"/>
      <c r="M36" s="377"/>
      <c r="N36" s="235"/>
      <c r="O36" s="319"/>
      <c r="P36" s="492"/>
      <c r="Q36" s="492"/>
      <c r="R36" s="492"/>
      <c r="S36" s="492"/>
      <c r="T36" s="601"/>
      <c r="U36" s="601"/>
      <c r="V36" s="601"/>
      <c r="W36" s="601"/>
      <c r="X36" s="602"/>
      <c r="Y36" s="232"/>
      <c r="Z36" s="232"/>
    </row>
    <row r="37" spans="1:27" x14ac:dyDescent="0.35">
      <c r="B37" s="621" t="s">
        <v>487</v>
      </c>
      <c r="E37" s="604"/>
      <c r="F37" s="232"/>
      <c r="G37" s="318"/>
      <c r="H37" s="319"/>
      <c r="I37" s="320"/>
      <c r="J37" s="318"/>
      <c r="K37" s="501"/>
      <c r="L37" s="506"/>
      <c r="M37" s="377"/>
      <c r="N37" s="235"/>
      <c r="O37" s="319"/>
      <c r="P37" s="492"/>
      <c r="Q37" s="492"/>
      <c r="R37" s="492"/>
      <c r="S37" s="492"/>
      <c r="T37" s="601"/>
      <c r="U37" s="601"/>
      <c r="V37" s="601"/>
      <c r="W37" s="601"/>
      <c r="X37" s="602"/>
      <c r="Y37" s="232"/>
      <c r="Z37" s="232"/>
    </row>
    <row r="38" spans="1:27" x14ac:dyDescent="0.35">
      <c r="B38" s="598"/>
      <c r="C38" s="599" t="s">
        <v>74</v>
      </c>
      <c r="D38" s="599"/>
      <c r="E38" s="600"/>
      <c r="F38" s="232" t="s">
        <v>187</v>
      </c>
      <c r="G38" s="318" t="s">
        <v>188</v>
      </c>
      <c r="H38" s="319"/>
      <c r="I38" s="320"/>
      <c r="J38" s="318"/>
      <c r="K38" s="420"/>
      <c r="L38" s="506"/>
      <c r="M38" s="231"/>
      <c r="N38" s="235"/>
      <c r="O38" s="507">
        <f>K38*L38*M38*N38</f>
        <v>0</v>
      </c>
      <c r="P38" s="233">
        <v>151208.64000000001</v>
      </c>
      <c r="Q38" s="492">
        <f>P38*$O38</f>
        <v>0</v>
      </c>
      <c r="R38" s="233">
        <v>163305.33120000002</v>
      </c>
      <c r="S38" s="492">
        <f>R38*$O38</f>
        <v>0</v>
      </c>
      <c r="T38" s="233">
        <v>179635.86432000002</v>
      </c>
      <c r="U38" s="601">
        <f>$O38*T38</f>
        <v>0</v>
      </c>
      <c r="V38" s="233" t="e">
        <f>W38/O38</f>
        <v>#DIV/0!</v>
      </c>
      <c r="W38" s="241">
        <f>AVERAGEIF($P$3:$U$3,W$3,$P38:$U38)</f>
        <v>0</v>
      </c>
      <c r="X38" s="602"/>
      <c r="Y38" s="232"/>
      <c r="Z38" s="232"/>
    </row>
    <row r="39" spans="1:27" hidden="1" x14ac:dyDescent="0.35">
      <c r="B39" s="603"/>
      <c r="E39" s="604"/>
      <c r="F39" s="232" t="s">
        <v>291</v>
      </c>
      <c r="G39" s="318" t="s">
        <v>193</v>
      </c>
      <c r="H39" s="319"/>
      <c r="I39" s="320"/>
      <c r="J39" s="318"/>
      <c r="K39" s="501"/>
      <c r="L39" s="506"/>
      <c r="M39" s="231"/>
      <c r="N39" s="235"/>
      <c r="O39" s="319"/>
      <c r="P39" s="492"/>
      <c r="Q39" s="492"/>
      <c r="R39" s="492"/>
      <c r="S39" s="492"/>
      <c r="T39" s="601"/>
      <c r="U39" s="601"/>
      <c r="V39" s="601"/>
      <c r="W39" s="601"/>
      <c r="X39" s="602"/>
      <c r="Y39" s="232"/>
      <c r="Z39" s="232"/>
    </row>
    <row r="40" spans="1:27" hidden="1" x14ac:dyDescent="0.35">
      <c r="B40" s="605"/>
      <c r="C40" s="606"/>
      <c r="D40" s="606"/>
      <c r="E40" s="607"/>
      <c r="F40" s="232" t="s">
        <v>242</v>
      </c>
      <c r="G40" s="318" t="s">
        <v>193</v>
      </c>
      <c r="H40" s="319"/>
      <c r="I40" s="320"/>
      <c r="J40" s="318"/>
      <c r="K40" s="501"/>
      <c r="L40" s="506"/>
      <c r="M40" s="328"/>
      <c r="N40" s="362"/>
      <c r="O40" s="319"/>
      <c r="P40" s="661"/>
      <c r="Q40" s="661"/>
      <c r="R40" s="661"/>
      <c r="S40" s="661"/>
      <c r="T40" s="767"/>
      <c r="U40" s="767"/>
      <c r="V40" s="767"/>
      <c r="W40" s="767"/>
      <c r="X40" s="319"/>
      <c r="Y40" s="232"/>
      <c r="Z40" s="232"/>
    </row>
    <row r="41" spans="1:27" x14ac:dyDescent="0.35">
      <c r="B41" s="598"/>
      <c r="C41" s="599" t="s">
        <v>489</v>
      </c>
      <c r="D41" s="599"/>
      <c r="E41" s="600"/>
      <c r="F41" s="232" t="s">
        <v>187</v>
      </c>
      <c r="G41" s="318" t="s">
        <v>188</v>
      </c>
      <c r="H41" s="319"/>
      <c r="I41" s="320"/>
      <c r="J41" s="318"/>
      <c r="K41" s="501"/>
      <c r="L41" s="506"/>
      <c r="M41" s="231"/>
      <c r="N41" s="235"/>
      <c r="O41" s="319"/>
      <c r="P41" s="492"/>
      <c r="Q41" s="492"/>
      <c r="R41" s="492"/>
      <c r="S41" s="492"/>
      <c r="T41" s="601"/>
      <c r="U41" s="601"/>
      <c r="V41" s="601"/>
      <c r="W41" s="601"/>
      <c r="X41" s="602"/>
      <c r="Y41" s="232"/>
      <c r="Z41" s="232"/>
    </row>
    <row r="42" spans="1:27" hidden="1" x14ac:dyDescent="0.35">
      <c r="B42" s="603"/>
      <c r="E42" s="604"/>
      <c r="F42" s="232" t="s">
        <v>291</v>
      </c>
      <c r="G42" s="318" t="s">
        <v>193</v>
      </c>
      <c r="H42" s="319"/>
      <c r="I42" s="320"/>
      <c r="J42" s="318"/>
      <c r="K42" s="501"/>
      <c r="L42" s="506"/>
      <c r="M42" s="231"/>
      <c r="N42" s="235"/>
      <c r="O42" s="319"/>
      <c r="P42" s="492"/>
      <c r="Q42" s="492"/>
      <c r="R42" s="492"/>
      <c r="S42" s="492"/>
      <c r="T42" s="601"/>
      <c r="U42" s="601"/>
      <c r="V42" s="601"/>
      <c r="W42" s="601"/>
      <c r="X42" s="602"/>
      <c r="Y42" s="232"/>
      <c r="Z42" s="232"/>
    </row>
    <row r="43" spans="1:27" hidden="1" x14ac:dyDescent="0.35">
      <c r="B43" s="605"/>
      <c r="C43" s="606"/>
      <c r="D43" s="606"/>
      <c r="E43" s="607"/>
      <c r="F43" s="232" t="s">
        <v>242</v>
      </c>
      <c r="G43" s="318" t="s">
        <v>193</v>
      </c>
      <c r="H43" s="319"/>
      <c r="I43" s="320"/>
      <c r="J43" s="318"/>
      <c r="K43" s="501"/>
      <c r="L43" s="506"/>
      <c r="M43" s="328"/>
      <c r="N43" s="362"/>
      <c r="O43" s="319"/>
      <c r="P43" s="661"/>
      <c r="Q43" s="661"/>
      <c r="R43" s="661"/>
      <c r="S43" s="661"/>
      <c r="T43" s="767"/>
      <c r="U43" s="767"/>
      <c r="V43" s="767"/>
      <c r="W43" s="767"/>
      <c r="X43" s="319"/>
      <c r="Y43" s="232"/>
      <c r="Z43" s="232"/>
    </row>
    <row r="44" spans="1:27" s="375" customFormat="1" x14ac:dyDescent="0.35">
      <c r="A44" s="286"/>
      <c r="B44" s="644"/>
      <c r="C44" s="286" t="s">
        <v>78</v>
      </c>
      <c r="D44" s="286"/>
      <c r="E44" s="645"/>
      <c r="F44" s="232" t="s">
        <v>187</v>
      </c>
      <c r="G44" s="318" t="s">
        <v>188</v>
      </c>
      <c r="H44" s="602"/>
      <c r="I44" s="626"/>
      <c r="J44" s="625"/>
      <c r="K44" s="596"/>
      <c r="L44" s="496"/>
      <c r="M44" s="377"/>
      <c r="N44" s="372"/>
      <c r="O44" s="602"/>
      <c r="P44" s="628"/>
      <c r="Q44" s="628"/>
      <c r="R44" s="628"/>
      <c r="S44" s="628"/>
      <c r="T44" s="629"/>
      <c r="U44" s="629"/>
      <c r="V44" s="629"/>
      <c r="W44" s="629"/>
      <c r="X44" s="602"/>
      <c r="Y44" s="374"/>
      <c r="Z44" s="374"/>
      <c r="AA44" s="286"/>
    </row>
    <row r="45" spans="1:27" s="375" customFormat="1" hidden="1" x14ac:dyDescent="0.35">
      <c r="A45" s="286"/>
      <c r="B45" s="644"/>
      <c r="C45" s="286"/>
      <c r="D45" s="286"/>
      <c r="E45" s="645"/>
      <c r="F45" s="232" t="s">
        <v>291</v>
      </c>
      <c r="G45" s="318" t="s">
        <v>193</v>
      </c>
      <c r="H45" s="602"/>
      <c r="I45" s="626"/>
      <c r="J45" s="625"/>
      <c r="K45" s="596"/>
      <c r="L45" s="496"/>
      <c r="M45" s="377"/>
      <c r="N45" s="372"/>
      <c r="O45" s="602"/>
      <c r="P45" s="628"/>
      <c r="Q45" s="628"/>
      <c r="R45" s="628"/>
      <c r="S45" s="628"/>
      <c r="T45" s="629"/>
      <c r="U45" s="629"/>
      <c r="V45" s="629"/>
      <c r="W45" s="629"/>
      <c r="X45" s="602"/>
      <c r="Y45" s="374"/>
      <c r="Z45" s="374"/>
      <c r="AA45" s="286"/>
    </row>
    <row r="46" spans="1:27" s="375" customFormat="1" hidden="1" x14ac:dyDescent="0.35">
      <c r="A46" s="286"/>
      <c r="B46" s="644"/>
      <c r="C46" s="286"/>
      <c r="D46" s="286"/>
      <c r="E46" s="645"/>
      <c r="F46" s="374" t="s">
        <v>242</v>
      </c>
      <c r="G46" s="625"/>
      <c r="H46" s="602"/>
      <c r="I46" s="626"/>
      <c r="J46" s="625"/>
      <c r="K46" s="596"/>
      <c r="L46" s="496"/>
      <c r="M46" s="377"/>
      <c r="N46" s="372"/>
      <c r="O46" s="602"/>
      <c r="P46" s="628"/>
      <c r="Q46" s="628"/>
      <c r="R46" s="628"/>
      <c r="S46" s="628"/>
      <c r="T46" s="629"/>
      <c r="U46" s="629"/>
      <c r="V46" s="629"/>
      <c r="W46" s="629"/>
      <c r="X46" s="602"/>
      <c r="Y46" s="374"/>
      <c r="Z46" s="374"/>
      <c r="AA46" s="286"/>
    </row>
    <row r="47" spans="1:27" x14ac:dyDescent="0.35">
      <c r="B47" s="598"/>
      <c r="C47" s="599" t="s">
        <v>80</v>
      </c>
      <c r="D47" s="599"/>
      <c r="E47" s="600"/>
      <c r="F47" s="232" t="s">
        <v>187</v>
      </c>
      <c r="G47" s="318" t="s">
        <v>188</v>
      </c>
      <c r="H47" s="319"/>
      <c r="I47" s="320"/>
      <c r="J47" s="318"/>
      <c r="K47" s="420"/>
      <c r="L47" s="506"/>
      <c r="M47" s="231">
        <v>0.5</v>
      </c>
      <c r="N47" s="235">
        <v>1</v>
      </c>
      <c r="O47" s="507">
        <f>K47*L47*M47*N47</f>
        <v>0</v>
      </c>
      <c r="P47" s="233">
        <v>151208.64000000001</v>
      </c>
      <c r="Q47" s="492">
        <f>P47*$O47</f>
        <v>0</v>
      </c>
      <c r="R47" s="233">
        <v>163305.33120000002</v>
      </c>
      <c r="S47" s="492">
        <f>R47*$O47</f>
        <v>0</v>
      </c>
      <c r="T47" s="233">
        <v>179635.86432000002</v>
      </c>
      <c r="U47" s="601">
        <f>$O47*T47</f>
        <v>0</v>
      </c>
      <c r="V47" s="233" t="e">
        <f>W47/O47</f>
        <v>#DIV/0!</v>
      </c>
      <c r="W47" s="241">
        <f>AVERAGEIF($P$3:$U$3,W$3,$P47:$U47)</f>
        <v>0</v>
      </c>
      <c r="X47" s="602"/>
      <c r="Y47" s="232"/>
      <c r="Z47" s="232"/>
    </row>
    <row r="48" spans="1:27" hidden="1" x14ac:dyDescent="0.35">
      <c r="B48" s="603"/>
      <c r="E48" s="604"/>
      <c r="F48" s="232" t="s">
        <v>490</v>
      </c>
      <c r="G48" s="318" t="s">
        <v>193</v>
      </c>
      <c r="H48" s="319"/>
      <c r="I48" s="320"/>
      <c r="J48" s="318"/>
      <c r="K48" s="420"/>
      <c r="L48" s="506"/>
      <c r="M48" s="231">
        <v>0.5</v>
      </c>
      <c r="N48" s="235">
        <v>1</v>
      </c>
      <c r="O48" s="507">
        <f>K48*L48*M48*N48</f>
        <v>0</v>
      </c>
      <c r="P48" s="233">
        <v>495000.00000000006</v>
      </c>
      <c r="Q48" s="492">
        <f>P48*$O48</f>
        <v>0</v>
      </c>
      <c r="R48" s="233">
        <v>544500.00000000012</v>
      </c>
      <c r="S48" s="492">
        <f>R48*$O48</f>
        <v>0</v>
      </c>
      <c r="T48" s="233">
        <v>598950.00000000023</v>
      </c>
      <c r="U48" s="601">
        <f>$O48*T48</f>
        <v>0</v>
      </c>
      <c r="V48" s="233" t="e">
        <f>W48/O48</f>
        <v>#DIV/0!</v>
      </c>
      <c r="W48" s="241">
        <f>AVERAGEIF($P$3:$U$3,W$3,$P48:$U48)</f>
        <v>0</v>
      </c>
      <c r="X48" s="602"/>
      <c r="Y48" s="232"/>
      <c r="Z48" s="232"/>
    </row>
    <row r="49" spans="1:27" hidden="1" x14ac:dyDescent="0.35">
      <c r="B49" s="605"/>
      <c r="C49" s="606"/>
      <c r="D49" s="606"/>
      <c r="E49" s="607"/>
      <c r="F49" s="232" t="s">
        <v>242</v>
      </c>
      <c r="G49" s="318" t="s">
        <v>193</v>
      </c>
      <c r="H49" s="319"/>
      <c r="I49" s="320"/>
      <c r="J49" s="318"/>
      <c r="K49" s="501"/>
      <c r="L49" s="506"/>
      <c r="M49" s="328"/>
      <c r="N49" s="362"/>
      <c r="O49" s="319"/>
      <c r="P49" s="661"/>
      <c r="Q49" s="661"/>
      <c r="R49" s="661"/>
      <c r="S49" s="661"/>
      <c r="T49" s="767"/>
      <c r="U49" s="767"/>
      <c r="V49" s="767"/>
      <c r="W49" s="767"/>
      <c r="X49" s="319"/>
      <c r="Y49" s="232"/>
      <c r="Z49" s="232"/>
    </row>
    <row r="50" spans="1:27" x14ac:dyDescent="0.35">
      <c r="B50" s="598"/>
      <c r="C50" s="599" t="s">
        <v>492</v>
      </c>
      <c r="D50" s="599"/>
      <c r="E50" s="600"/>
      <c r="F50" s="232" t="s">
        <v>187</v>
      </c>
      <c r="G50" s="318" t="s">
        <v>188</v>
      </c>
      <c r="H50" s="319"/>
      <c r="I50" s="320"/>
      <c r="J50" s="318"/>
      <c r="K50" s="501"/>
      <c r="L50" s="506"/>
      <c r="M50" s="231">
        <v>0.15</v>
      </c>
      <c r="N50" s="235">
        <v>1</v>
      </c>
      <c r="O50" s="319"/>
      <c r="P50" s="492"/>
      <c r="Q50" s="492"/>
      <c r="R50" s="492"/>
      <c r="S50" s="492"/>
      <c r="T50" s="601"/>
      <c r="U50" s="601"/>
      <c r="V50" s="601"/>
      <c r="W50" s="601"/>
      <c r="X50" s="602"/>
      <c r="Y50" s="232"/>
      <c r="Z50" s="232"/>
    </row>
    <row r="51" spans="1:27" hidden="1" x14ac:dyDescent="0.35">
      <c r="B51" s="603"/>
      <c r="E51" s="604"/>
      <c r="F51" s="232" t="s">
        <v>493</v>
      </c>
      <c r="G51" s="318" t="s">
        <v>193</v>
      </c>
      <c r="H51" s="319"/>
      <c r="I51" s="320"/>
      <c r="J51" s="318"/>
      <c r="K51" s="501"/>
      <c r="L51" s="506"/>
      <c r="M51" s="231">
        <v>5.0000000000000001E-4</v>
      </c>
      <c r="N51" s="235">
        <v>1</v>
      </c>
      <c r="O51" s="319"/>
      <c r="P51" s="492"/>
      <c r="Q51" s="492"/>
      <c r="R51" s="492"/>
      <c r="S51" s="492"/>
      <c r="T51" s="601"/>
      <c r="U51" s="601"/>
      <c r="V51" s="601"/>
      <c r="W51" s="601"/>
      <c r="X51" s="602"/>
      <c r="Y51" s="232"/>
      <c r="Z51" s="232"/>
    </row>
    <row r="52" spans="1:27" hidden="1" x14ac:dyDescent="0.35">
      <c r="B52" s="605"/>
      <c r="C52" s="606"/>
      <c r="D52" s="606"/>
      <c r="E52" s="607"/>
      <c r="F52" s="232" t="s">
        <v>242</v>
      </c>
      <c r="G52" s="318" t="s">
        <v>193</v>
      </c>
      <c r="H52" s="319">
        <v>1</v>
      </c>
      <c r="I52" s="320" t="s">
        <v>238</v>
      </c>
      <c r="J52" s="318"/>
      <c r="K52" s="501"/>
      <c r="L52" s="506"/>
      <c r="M52" s="328">
        <f>((M$50*N$50)/240*($H52/N52))</f>
        <v>6.2500000000000001E-4</v>
      </c>
      <c r="N52" s="362">
        <v>1</v>
      </c>
      <c r="O52" s="319"/>
      <c r="P52" s="661"/>
      <c r="Q52" s="661"/>
      <c r="R52" s="661"/>
      <c r="S52" s="661"/>
      <c r="T52" s="767"/>
      <c r="U52" s="767"/>
      <c r="V52" s="767"/>
      <c r="W52" s="767"/>
      <c r="X52" s="319"/>
      <c r="Y52" s="232"/>
      <c r="Z52" s="232"/>
    </row>
    <row r="53" spans="1:27" x14ac:dyDescent="0.35">
      <c r="B53" s="603"/>
      <c r="C53" s="386" t="s">
        <v>306</v>
      </c>
      <c r="D53" s="243"/>
      <c r="E53" s="244"/>
      <c r="F53" s="225" t="s">
        <v>187</v>
      </c>
      <c r="G53" s="226" t="s">
        <v>188</v>
      </c>
      <c r="H53" s="227"/>
      <c r="I53" s="228"/>
      <c r="J53" s="229"/>
      <c r="K53" s="230"/>
      <c r="L53" s="230"/>
      <c r="M53" s="231"/>
      <c r="N53" s="235">
        <v>1</v>
      </c>
      <c r="O53" s="233"/>
      <c r="P53" s="661"/>
      <c r="Q53" s="661"/>
      <c r="R53" s="661"/>
      <c r="S53" s="661"/>
      <c r="T53" s="767"/>
      <c r="U53" s="767"/>
      <c r="V53" s="767"/>
      <c r="W53" s="767"/>
      <c r="X53" s="319"/>
      <c r="Y53" s="232"/>
      <c r="Z53" s="232"/>
    </row>
    <row r="54" spans="1:27" hidden="1" x14ac:dyDescent="0.35">
      <c r="B54" s="603"/>
      <c r="C54" s="665"/>
      <c r="D54" s="665"/>
      <c r="E54" s="660"/>
      <c r="F54" s="232" t="s">
        <v>490</v>
      </c>
      <c r="G54" s="226" t="s">
        <v>10</v>
      </c>
      <c r="H54" s="227"/>
      <c r="I54" s="228"/>
      <c r="J54" s="229"/>
      <c r="K54" s="230"/>
      <c r="L54" s="230"/>
      <c r="M54" s="231"/>
      <c r="N54" s="235">
        <v>1</v>
      </c>
      <c r="O54" s="233"/>
      <c r="P54" s="661"/>
      <c r="Q54" s="661"/>
      <c r="R54" s="661"/>
      <c r="S54" s="661"/>
      <c r="T54" s="767"/>
      <c r="U54" s="767"/>
      <c r="V54" s="767"/>
      <c r="W54" s="767"/>
      <c r="X54" s="319"/>
      <c r="Y54" s="232"/>
      <c r="Z54" s="232"/>
    </row>
    <row r="55" spans="1:27" hidden="1" x14ac:dyDescent="0.35">
      <c r="B55" s="605"/>
      <c r="C55" s="666"/>
      <c r="D55" s="666"/>
      <c r="E55" s="667"/>
      <c r="F55" s="225" t="s">
        <v>263</v>
      </c>
      <c r="G55" s="226" t="s">
        <v>205</v>
      </c>
      <c r="H55" s="227"/>
      <c r="I55" s="228"/>
      <c r="J55" s="229"/>
      <c r="K55" s="230"/>
      <c r="L55" s="230"/>
      <c r="M55" s="231"/>
      <c r="N55" s="235">
        <v>1</v>
      </c>
      <c r="O55" s="233"/>
      <c r="P55" s="661"/>
      <c r="Q55" s="661"/>
      <c r="R55" s="661"/>
      <c r="S55" s="661"/>
      <c r="T55" s="767"/>
      <c r="U55" s="767"/>
      <c r="V55" s="767"/>
      <c r="W55" s="767"/>
      <c r="X55" s="319"/>
      <c r="Y55" s="232"/>
      <c r="Z55" s="232"/>
    </row>
    <row r="56" spans="1:27" ht="34.5" customHeight="1" x14ac:dyDescent="0.35">
      <c r="B56" s="668" t="s">
        <v>494</v>
      </c>
      <c r="C56" s="768"/>
      <c r="D56" s="768"/>
      <c r="E56" s="769"/>
      <c r="F56" s="521"/>
      <c r="G56" s="522"/>
      <c r="H56" s="525"/>
      <c r="I56" s="525"/>
      <c r="J56" s="525"/>
      <c r="K56" s="671"/>
      <c r="L56" s="671"/>
      <c r="M56" s="527"/>
      <c r="N56" s="766"/>
      <c r="O56" s="528"/>
      <c r="P56" s="528"/>
      <c r="Q56" s="528">
        <f>SUM(Q38:Q55)</f>
        <v>0</v>
      </c>
      <c r="R56" s="528">
        <f t="shared" ref="R56:Z56" si="0">SUM(R38:R55)</f>
        <v>871110.66240000015</v>
      </c>
      <c r="S56" s="528">
        <f t="shared" si="0"/>
        <v>0</v>
      </c>
      <c r="T56" s="528">
        <f t="shared" si="0"/>
        <v>958221.72864000034</v>
      </c>
      <c r="U56" s="528">
        <f t="shared" si="0"/>
        <v>0</v>
      </c>
      <c r="V56" s="528" t="e">
        <f t="shared" si="0"/>
        <v>#DIV/0!</v>
      </c>
      <c r="W56" s="528">
        <f t="shared" si="0"/>
        <v>0</v>
      </c>
      <c r="X56" s="528">
        <f t="shared" si="0"/>
        <v>0</v>
      </c>
      <c r="Y56" s="528">
        <f t="shared" si="0"/>
        <v>0</v>
      </c>
      <c r="Z56" s="528">
        <f t="shared" si="0"/>
        <v>0</v>
      </c>
    </row>
    <row r="57" spans="1:27" s="375" customFormat="1" x14ac:dyDescent="0.35">
      <c r="A57" s="286"/>
      <c r="B57" s="677" t="s">
        <v>495</v>
      </c>
      <c r="C57" s="626"/>
      <c r="D57" s="626"/>
      <c r="E57" s="678"/>
      <c r="F57" s="374"/>
      <c r="G57" s="625"/>
      <c r="H57" s="602"/>
      <c r="I57" s="626"/>
      <c r="J57" s="625"/>
      <c r="K57" s="596"/>
      <c r="L57" s="496"/>
      <c r="M57" s="377"/>
      <c r="N57" s="372"/>
      <c r="O57" s="602"/>
      <c r="P57" s="628"/>
      <c r="Q57" s="628"/>
      <c r="R57" s="628"/>
      <c r="S57" s="628"/>
      <c r="T57" s="629"/>
      <c r="U57" s="629"/>
      <c r="V57" s="629"/>
      <c r="W57" s="629"/>
      <c r="X57" s="602"/>
      <c r="Y57" s="374"/>
      <c r="Z57" s="374"/>
      <c r="AA57" s="286"/>
    </row>
    <row r="58" spans="1:27" s="375" customFormat="1" x14ac:dyDescent="0.35">
      <c r="A58" s="286"/>
      <c r="B58" s="680"/>
      <c r="C58" s="286" t="s">
        <v>496</v>
      </c>
      <c r="D58" s="286"/>
      <c r="E58" s="645"/>
      <c r="F58" s="374"/>
      <c r="G58" s="625"/>
      <c r="H58" s="602"/>
      <c r="I58" s="626"/>
      <c r="J58" s="625"/>
      <c r="K58" s="596"/>
      <c r="L58" s="496"/>
      <c r="M58" s="377"/>
      <c r="N58" s="372"/>
      <c r="O58" s="602"/>
      <c r="P58" s="628"/>
      <c r="Q58" s="628"/>
      <c r="R58" s="628"/>
      <c r="S58" s="628"/>
      <c r="T58" s="629"/>
      <c r="U58" s="629"/>
      <c r="V58" s="629"/>
      <c r="W58" s="629"/>
      <c r="X58" s="602"/>
      <c r="Y58" s="374"/>
      <c r="Z58" s="374"/>
      <c r="AA58" s="286"/>
    </row>
    <row r="59" spans="1:27" x14ac:dyDescent="0.35">
      <c r="B59" s="598"/>
      <c r="C59" s="599"/>
      <c r="D59" s="599" t="s">
        <v>76</v>
      </c>
      <c r="E59" s="600"/>
      <c r="F59" s="232" t="s">
        <v>187</v>
      </c>
      <c r="G59" s="625" t="s">
        <v>188</v>
      </c>
      <c r="H59" s="602"/>
      <c r="I59" s="626"/>
      <c r="J59" s="625" t="s">
        <v>189</v>
      </c>
      <c r="K59" s="420">
        <v>1</v>
      </c>
      <c r="L59" s="506">
        <v>192.08</v>
      </c>
      <c r="M59" s="423">
        <v>2.5</v>
      </c>
      <c r="N59" s="235">
        <v>1</v>
      </c>
      <c r="O59" s="507">
        <f>K59*L59*M59*N59</f>
        <v>480.20000000000005</v>
      </c>
      <c r="P59" s="235">
        <v>169122.61109699999</v>
      </c>
      <c r="Q59" s="646">
        <f>P59*$O59</f>
        <v>81212677.848779395</v>
      </c>
      <c r="R59" s="235">
        <v>163305.33120000002</v>
      </c>
      <c r="S59" s="646">
        <f>R59*$O59</f>
        <v>78419220.042240009</v>
      </c>
      <c r="T59" s="235">
        <v>179635.86432000002</v>
      </c>
      <c r="U59" s="647">
        <f>$O59*T59</f>
        <v>86261142.046464026</v>
      </c>
      <c r="V59" s="235">
        <f>W59/O59</f>
        <v>170687.93553900003</v>
      </c>
      <c r="W59" s="478">
        <f>AVERAGEIF($P$3:$U$3,W$3,$P59:$U59)</f>
        <v>81964346.645827815</v>
      </c>
      <c r="X59" s="648"/>
      <c r="Y59" s="302">
        <f>Q59/$C$1</f>
        <v>422806.52774249995</v>
      </c>
      <c r="Z59" s="329"/>
    </row>
    <row r="60" spans="1:27" x14ac:dyDescent="0.35">
      <c r="B60" s="603"/>
      <c r="E60" s="604"/>
      <c r="F60" s="232" t="s">
        <v>291</v>
      </c>
      <c r="G60" s="625" t="s">
        <v>193</v>
      </c>
      <c r="H60" s="602"/>
      <c r="I60" s="626"/>
      <c r="J60" s="625" t="s">
        <v>189</v>
      </c>
      <c r="K60" s="420">
        <v>1</v>
      </c>
      <c r="L60" s="506">
        <v>192.08</v>
      </c>
      <c r="M60" s="377">
        <v>8.3000000000000001E-3</v>
      </c>
      <c r="N60" s="235">
        <v>1</v>
      </c>
      <c r="O60" s="507">
        <f t="shared" ref="O60:O61" si="1">K60*L60*M60*N60</f>
        <v>1.5942640000000001</v>
      </c>
      <c r="P60" s="235">
        <v>87746.527968750001</v>
      </c>
      <c r="Q60" s="646">
        <f t="shared" ref="Q60:Q61" si="2">P60*$O60</f>
        <v>139891.13066557125</v>
      </c>
      <c r="R60" s="646"/>
      <c r="S60" s="646"/>
      <c r="T60" s="647"/>
      <c r="U60" s="647"/>
      <c r="V60" s="647"/>
      <c r="W60" s="647"/>
      <c r="X60" s="648"/>
      <c r="Y60" s="302">
        <f t="shared" ref="Y60:Y61" si="3">Q60/$C$1</f>
        <v>728.29618214062498</v>
      </c>
      <c r="Z60" s="232"/>
    </row>
    <row r="61" spans="1:27" x14ac:dyDescent="0.35">
      <c r="B61" s="603"/>
      <c r="D61" s="606"/>
      <c r="E61" s="607"/>
      <c r="F61" s="232" t="s">
        <v>242</v>
      </c>
      <c r="G61" s="318" t="s">
        <v>193</v>
      </c>
      <c r="H61" s="319">
        <v>1</v>
      </c>
      <c r="I61" s="320" t="s">
        <v>238</v>
      </c>
      <c r="J61" s="318"/>
      <c r="K61" s="420">
        <v>1</v>
      </c>
      <c r="L61" s="506">
        <v>192.08</v>
      </c>
      <c r="M61" s="328">
        <f>((M$59*N$59)/240*($H61/N61))</f>
        <v>1.0416666666666666E-2</v>
      </c>
      <c r="N61" s="362">
        <v>1</v>
      </c>
      <c r="O61" s="507">
        <f t="shared" si="1"/>
        <v>2.0008333333333335</v>
      </c>
      <c r="P61" s="235">
        <v>99185.31</v>
      </c>
      <c r="Q61" s="646">
        <f t="shared" si="2"/>
        <v>198453.27442500001</v>
      </c>
      <c r="R61" s="662"/>
      <c r="S61" s="662"/>
      <c r="T61" s="663"/>
      <c r="U61" s="663"/>
      <c r="V61" s="663"/>
      <c r="W61" s="663"/>
      <c r="X61" s="664"/>
      <c r="Y61" s="302">
        <f t="shared" si="3"/>
        <v>1033.1803124999999</v>
      </c>
      <c r="Z61" s="232"/>
    </row>
    <row r="62" spans="1:27" x14ac:dyDescent="0.35">
      <c r="B62" s="603"/>
      <c r="D62" s="599" t="s">
        <v>497</v>
      </c>
      <c r="E62" s="600"/>
      <c r="F62" s="232" t="s">
        <v>187</v>
      </c>
      <c r="G62" s="625" t="s">
        <v>188</v>
      </c>
      <c r="H62" s="602"/>
      <c r="I62" s="626"/>
      <c r="J62" s="625"/>
      <c r="K62" s="596"/>
      <c r="L62" s="496"/>
      <c r="M62" s="377"/>
      <c r="N62" s="372"/>
      <c r="O62" s="602"/>
      <c r="P62" s="628"/>
      <c r="Q62" s="649"/>
      <c r="R62" s="649"/>
      <c r="S62" s="649"/>
      <c r="T62" s="650"/>
      <c r="U62" s="650"/>
      <c r="V62" s="650"/>
      <c r="W62" s="650"/>
      <c r="X62" s="648"/>
      <c r="Y62" s="302"/>
      <c r="Z62" s="232"/>
    </row>
    <row r="63" spans="1:27" hidden="1" x14ac:dyDescent="0.35">
      <c r="B63" s="603"/>
      <c r="E63" s="604"/>
      <c r="F63" s="232" t="s">
        <v>291</v>
      </c>
      <c r="G63" s="625" t="s">
        <v>193</v>
      </c>
      <c r="H63" s="602"/>
      <c r="I63" s="626"/>
      <c r="J63" s="625"/>
      <c r="K63" s="596"/>
      <c r="L63" s="496"/>
      <c r="M63" s="377"/>
      <c r="N63" s="372"/>
      <c r="O63" s="602"/>
      <c r="P63" s="628"/>
      <c r="Q63" s="649"/>
      <c r="R63" s="649"/>
      <c r="S63" s="649"/>
      <c r="T63" s="650"/>
      <c r="U63" s="650"/>
      <c r="V63" s="650"/>
      <c r="W63" s="650"/>
      <c r="X63" s="648"/>
      <c r="Y63" s="302"/>
      <c r="Z63" s="232"/>
    </row>
    <row r="64" spans="1:27" hidden="1" x14ac:dyDescent="0.35">
      <c r="B64" s="603"/>
      <c r="D64" s="606"/>
      <c r="E64" s="607"/>
      <c r="F64" s="232" t="s">
        <v>242</v>
      </c>
      <c r="G64" s="318" t="s">
        <v>193</v>
      </c>
      <c r="H64" s="319"/>
      <c r="I64" s="320"/>
      <c r="J64" s="318"/>
      <c r="K64" s="501"/>
      <c r="L64" s="506"/>
      <c r="M64" s="328"/>
      <c r="N64" s="362"/>
      <c r="O64" s="319"/>
      <c r="P64" s="661"/>
      <c r="Q64" s="662"/>
      <c r="R64" s="662"/>
      <c r="S64" s="662"/>
      <c r="T64" s="663"/>
      <c r="U64" s="663"/>
      <c r="V64" s="663"/>
      <c r="W64" s="663"/>
      <c r="X64" s="664"/>
      <c r="Y64" s="302"/>
      <c r="Z64" s="232"/>
    </row>
    <row r="65" spans="2:27" x14ac:dyDescent="0.35">
      <c r="B65" s="603"/>
      <c r="D65" s="599" t="s">
        <v>86</v>
      </c>
      <c r="E65" s="600"/>
      <c r="F65" s="232" t="s">
        <v>187</v>
      </c>
      <c r="G65" s="625" t="s">
        <v>188</v>
      </c>
      <c r="H65" s="602"/>
      <c r="I65" s="626"/>
      <c r="J65" s="625"/>
      <c r="K65" s="501"/>
      <c r="L65" s="506"/>
      <c r="M65" s="377">
        <v>2</v>
      </c>
      <c r="N65" s="372">
        <v>1</v>
      </c>
      <c r="O65" s="602"/>
      <c r="P65" s="628"/>
      <c r="Q65" s="649"/>
      <c r="R65" s="649"/>
      <c r="S65" s="649"/>
      <c r="T65" s="650"/>
      <c r="U65" s="650"/>
      <c r="V65" s="650"/>
      <c r="W65" s="650"/>
      <c r="X65" s="648"/>
      <c r="Y65" s="302"/>
      <c r="Z65" s="232"/>
    </row>
    <row r="66" spans="2:27" hidden="1" x14ac:dyDescent="0.35">
      <c r="B66" s="603"/>
      <c r="E66" s="604"/>
      <c r="F66" s="232" t="s">
        <v>493</v>
      </c>
      <c r="G66" s="625" t="s">
        <v>193</v>
      </c>
      <c r="H66" s="602"/>
      <c r="I66" s="626"/>
      <c r="J66" s="625"/>
      <c r="K66" s="501"/>
      <c r="L66" s="506"/>
      <c r="M66" s="377">
        <v>5.0000000000000001E-3</v>
      </c>
      <c r="N66" s="372">
        <v>1</v>
      </c>
      <c r="O66" s="602"/>
      <c r="P66" s="628"/>
      <c r="Q66" s="649"/>
      <c r="R66" s="649"/>
      <c r="S66" s="649"/>
      <c r="T66" s="650"/>
      <c r="U66" s="650"/>
      <c r="V66" s="650"/>
      <c r="W66" s="650"/>
      <c r="X66" s="648"/>
      <c r="Y66" s="302"/>
      <c r="Z66" s="232"/>
    </row>
    <row r="67" spans="2:27" hidden="1" x14ac:dyDescent="0.35">
      <c r="B67" s="603"/>
      <c r="E67" s="604"/>
      <c r="F67" s="232" t="s">
        <v>242</v>
      </c>
      <c r="G67" s="318" t="s">
        <v>193</v>
      </c>
      <c r="H67" s="319">
        <v>1</v>
      </c>
      <c r="I67" s="320" t="s">
        <v>238</v>
      </c>
      <c r="J67" s="318"/>
      <c r="K67" s="501"/>
      <c r="L67" s="506"/>
      <c r="M67" s="328">
        <f>((M$65*N$65)/240*($H67/N67))</f>
        <v>8.3333333333333332E-3</v>
      </c>
      <c r="N67" s="362">
        <v>1</v>
      </c>
      <c r="O67" s="319"/>
      <c r="P67" s="661"/>
      <c r="Q67" s="662"/>
      <c r="R67" s="662"/>
      <c r="S67" s="662"/>
      <c r="T67" s="663"/>
      <c r="U67" s="663"/>
      <c r="V67" s="663"/>
      <c r="W67" s="663"/>
      <c r="X67" s="664"/>
      <c r="Y67" s="302"/>
      <c r="Z67" s="232"/>
    </row>
    <row r="68" spans="2:27" ht="29.25" customHeight="1" x14ac:dyDescent="0.35">
      <c r="B68" s="630" t="s">
        <v>498</v>
      </c>
      <c r="C68" s="770"/>
      <c r="D68" s="770"/>
      <c r="E68" s="771"/>
      <c r="F68" s="633"/>
      <c r="G68" s="634"/>
      <c r="H68" s="635"/>
      <c r="I68" s="636"/>
      <c r="J68" s="634"/>
      <c r="K68" s="637"/>
      <c r="L68" s="638"/>
      <c r="M68" s="772"/>
      <c r="N68" s="773"/>
      <c r="O68" s="635"/>
      <c r="P68" s="640"/>
      <c r="Q68" s="651">
        <f>SUM(Q59:Q67)</f>
        <v>81551022.253869966</v>
      </c>
      <c r="R68" s="774"/>
      <c r="S68" s="651">
        <f>SUM(S58:S67)</f>
        <v>78419220.042240009</v>
      </c>
      <c r="T68" s="650"/>
      <c r="U68" s="650"/>
      <c r="V68" s="650"/>
      <c r="W68" s="650"/>
      <c r="X68" s="652"/>
      <c r="Y68" s="682">
        <f>Q68/$C$1</f>
        <v>424568.00423714059</v>
      </c>
      <c r="Z68" s="775">
        <f>Q68/$Q$401*100</f>
        <v>3.4065899099481411</v>
      </c>
    </row>
    <row r="69" spans="2:27" x14ac:dyDescent="0.35">
      <c r="B69" s="603"/>
      <c r="C69" s="94" t="s">
        <v>499</v>
      </c>
      <c r="E69" s="604"/>
      <c r="F69" s="232"/>
      <c r="G69" s="318"/>
      <c r="H69" s="319"/>
      <c r="I69" s="320"/>
      <c r="J69" s="318"/>
      <c r="K69" s="596"/>
      <c r="L69" s="496"/>
      <c r="M69" s="377"/>
      <c r="N69" s="372"/>
      <c r="O69" s="602"/>
      <c r="P69" s="628"/>
      <c r="Q69" s="649"/>
      <c r="R69" s="649"/>
      <c r="S69" s="649"/>
      <c r="T69" s="650"/>
      <c r="U69" s="650"/>
      <c r="V69" s="650"/>
      <c r="W69" s="650"/>
      <c r="X69" s="648"/>
      <c r="Y69" s="302"/>
      <c r="Z69" s="232"/>
    </row>
    <row r="70" spans="2:27" x14ac:dyDescent="0.35">
      <c r="B70" s="598"/>
      <c r="C70" s="599"/>
      <c r="D70" s="655" t="s">
        <v>81</v>
      </c>
      <c r="E70" s="702"/>
      <c r="F70" s="232" t="s">
        <v>187</v>
      </c>
      <c r="G70" s="625" t="s">
        <v>188</v>
      </c>
      <c r="H70" s="602"/>
      <c r="I70" s="626"/>
      <c r="J70" s="625" t="s">
        <v>189</v>
      </c>
      <c r="K70" s="420">
        <v>1</v>
      </c>
      <c r="L70" s="506">
        <v>192.08</v>
      </c>
      <c r="M70" s="373">
        <v>0.75</v>
      </c>
      <c r="N70" s="372">
        <v>3</v>
      </c>
      <c r="O70" s="507">
        <f t="shared" ref="O70:O81" si="4">K70*L70*M70*N70</f>
        <v>432.18</v>
      </c>
      <c r="P70" s="235">
        <v>158800.57379999998</v>
      </c>
      <c r="Q70" s="646">
        <f t="shared" ref="Q70:Q81" si="5">P70*$O70</f>
        <v>68630431.984883994</v>
      </c>
      <c r="R70" s="235">
        <v>163305.33120000002</v>
      </c>
      <c r="S70" s="646">
        <f t="shared" ref="S70:S81" si="6">R70*$O70</f>
        <v>70577298.038016006</v>
      </c>
      <c r="T70" s="235">
        <v>179635.86432000002</v>
      </c>
      <c r="U70" s="647">
        <f t="shared" ref="U70:U81" si="7">$O70*T70</f>
        <v>77635027.841817617</v>
      </c>
      <c r="V70" s="235">
        <f t="shared" ref="V70:V81" si="8">W70/O70</f>
        <v>167247.25644</v>
      </c>
      <c r="W70" s="478">
        <f t="shared" ref="W70:W81" si="9">AVERAGEIF($P$3:$U$3,W$3,$P70:$U70)</f>
        <v>72280919.288239196</v>
      </c>
      <c r="X70" s="648"/>
      <c r="Y70" s="302">
        <f t="shared" ref="Y70:Y81" si="10">Q70/$C$1</f>
        <v>357301.29104999994</v>
      </c>
      <c r="Z70" s="232"/>
    </row>
    <row r="71" spans="2:27" x14ac:dyDescent="0.35">
      <c r="B71" s="603"/>
      <c r="E71" s="604"/>
      <c r="F71" s="232" t="s">
        <v>231</v>
      </c>
      <c r="G71" s="625" t="s">
        <v>232</v>
      </c>
      <c r="H71" s="602"/>
      <c r="I71" s="626"/>
      <c r="J71" s="625" t="s">
        <v>189</v>
      </c>
      <c r="K71" s="420">
        <v>1</v>
      </c>
      <c r="L71" s="506">
        <v>192.08</v>
      </c>
      <c r="M71" s="373">
        <v>0.45</v>
      </c>
      <c r="N71" s="372">
        <v>1</v>
      </c>
      <c r="O71" s="507">
        <f t="shared" si="4"/>
        <v>86.436000000000007</v>
      </c>
      <c r="P71" s="235">
        <v>38965.657500000001</v>
      </c>
      <c r="Q71" s="646">
        <f t="shared" si="5"/>
        <v>3368035.5716700004</v>
      </c>
      <c r="R71" s="235">
        <v>41620.320720000011</v>
      </c>
      <c r="S71" s="646">
        <f t="shared" si="6"/>
        <v>3597494.0417539212</v>
      </c>
      <c r="T71" s="235">
        <v>44533.743170400012</v>
      </c>
      <c r="U71" s="647">
        <f t="shared" si="7"/>
        <v>3849318.6246766956</v>
      </c>
      <c r="V71" s="235">
        <f t="shared" si="8"/>
        <v>41706.573796800003</v>
      </c>
      <c r="W71" s="478">
        <f t="shared" si="9"/>
        <v>3604949.4127002056</v>
      </c>
      <c r="X71" s="648"/>
      <c r="Y71" s="302">
        <f t="shared" si="10"/>
        <v>17534.545875</v>
      </c>
      <c r="Z71" s="329"/>
    </row>
    <row r="72" spans="2:27" x14ac:dyDescent="0.35">
      <c r="B72" s="603"/>
      <c r="E72" s="604"/>
      <c r="F72" s="232" t="s">
        <v>233</v>
      </c>
      <c r="G72" s="625" t="s">
        <v>191</v>
      </c>
      <c r="H72" s="602"/>
      <c r="I72" s="626"/>
      <c r="J72" s="625" t="s">
        <v>189</v>
      </c>
      <c r="K72" s="420">
        <v>1</v>
      </c>
      <c r="L72" s="506">
        <v>192.08</v>
      </c>
      <c r="M72" s="377">
        <f>18/1000</f>
        <v>1.7999999999999999E-2</v>
      </c>
      <c r="N72" s="372">
        <v>1</v>
      </c>
      <c r="O72" s="507">
        <f t="shared" si="4"/>
        <v>3.4574400000000001</v>
      </c>
      <c r="P72" s="235">
        <v>106269.97500000001</v>
      </c>
      <c r="Q72" s="646">
        <f t="shared" si="5"/>
        <v>367422.06236400001</v>
      </c>
      <c r="R72" s="235">
        <v>113509.96560000001</v>
      </c>
      <c r="S72" s="646">
        <f t="shared" si="6"/>
        <v>392453.89546406403</v>
      </c>
      <c r="T72" s="235">
        <v>121455.66319200002</v>
      </c>
      <c r="U72" s="647">
        <f t="shared" si="7"/>
        <v>419925.66814654856</v>
      </c>
      <c r="V72" s="235">
        <f t="shared" si="8"/>
        <v>113745.201264</v>
      </c>
      <c r="W72" s="478">
        <f t="shared" si="9"/>
        <v>393267.20865820418</v>
      </c>
      <c r="X72" s="648"/>
      <c r="Y72" s="302">
        <f t="shared" si="10"/>
        <v>1912.8595499999999</v>
      </c>
      <c r="Z72" s="329"/>
    </row>
    <row r="73" spans="2:27" x14ac:dyDescent="0.35">
      <c r="B73" s="603"/>
      <c r="E73" s="604"/>
      <c r="F73" s="232" t="s">
        <v>235</v>
      </c>
      <c r="G73" s="318" t="s">
        <v>232</v>
      </c>
      <c r="H73" s="319"/>
      <c r="I73" s="320"/>
      <c r="J73" s="625" t="s">
        <v>189</v>
      </c>
      <c r="K73" s="420">
        <v>1</v>
      </c>
      <c r="L73" s="506">
        <v>192.08</v>
      </c>
      <c r="M73" s="377">
        <v>0.13500000000000001</v>
      </c>
      <c r="N73" s="372">
        <v>3</v>
      </c>
      <c r="O73" s="507">
        <f t="shared" si="4"/>
        <v>77.792400000000015</v>
      </c>
      <c r="P73" s="235">
        <v>49592.654999999999</v>
      </c>
      <c r="Q73" s="646">
        <f t="shared" si="5"/>
        <v>3857931.6548220008</v>
      </c>
      <c r="R73" s="235">
        <v>52971.317280000003</v>
      </c>
      <c r="S73" s="646">
        <f t="shared" si="6"/>
        <v>4120765.9023726732</v>
      </c>
      <c r="T73" s="235">
        <v>56679.309489600004</v>
      </c>
      <c r="U73" s="647">
        <f t="shared" si="7"/>
        <v>4409219.5155387605</v>
      </c>
      <c r="V73" s="235">
        <f t="shared" si="8"/>
        <v>53081.093923200009</v>
      </c>
      <c r="W73" s="478">
        <f t="shared" si="9"/>
        <v>4129305.6909111454</v>
      </c>
      <c r="X73" s="648"/>
      <c r="Y73" s="302">
        <f t="shared" si="10"/>
        <v>20085.025275000004</v>
      </c>
      <c r="Z73" s="329"/>
    </row>
    <row r="74" spans="2:27" x14ac:dyDescent="0.35">
      <c r="B74" s="603"/>
      <c r="E74" s="604"/>
      <c r="F74" s="374" t="s">
        <v>602</v>
      </c>
      <c r="G74" s="318" t="s">
        <v>232</v>
      </c>
      <c r="H74" s="319"/>
      <c r="I74" s="320"/>
      <c r="J74" s="625" t="s">
        <v>189</v>
      </c>
      <c r="K74" s="420">
        <v>1</v>
      </c>
      <c r="L74" s="506">
        <v>192.08</v>
      </c>
      <c r="M74" s="423">
        <v>0.5</v>
      </c>
      <c r="N74" s="372">
        <v>2</v>
      </c>
      <c r="O74" s="507">
        <f t="shared" si="4"/>
        <v>192.08</v>
      </c>
      <c r="P74" s="235">
        <v>163832.87812500002</v>
      </c>
      <c r="Q74" s="649">
        <f>P74*$O74</f>
        <v>31469019.230250005</v>
      </c>
      <c r="R74" s="235"/>
      <c r="S74" s="646"/>
      <c r="T74" s="235"/>
      <c r="U74" s="647"/>
      <c r="V74" s="235"/>
      <c r="W74" s="478"/>
      <c r="X74" s="648"/>
      <c r="Y74" s="302">
        <f t="shared" si="10"/>
        <v>163832.87812500002</v>
      </c>
      <c r="Z74" s="329"/>
    </row>
    <row r="75" spans="2:27" x14ac:dyDescent="0.35">
      <c r="B75" s="603"/>
      <c r="E75" s="604"/>
      <c r="F75" s="232" t="s">
        <v>236</v>
      </c>
      <c r="G75" s="318" t="s">
        <v>188</v>
      </c>
      <c r="H75" s="319"/>
      <c r="I75" s="320"/>
      <c r="J75" s="625" t="s">
        <v>189</v>
      </c>
      <c r="K75" s="420">
        <v>1</v>
      </c>
      <c r="L75" s="506">
        <v>192.08</v>
      </c>
      <c r="M75" s="373">
        <f>M70</f>
        <v>0.75</v>
      </c>
      <c r="N75" s="372">
        <v>3</v>
      </c>
      <c r="O75" s="507">
        <f t="shared" si="4"/>
        <v>432.18</v>
      </c>
      <c r="P75" s="235">
        <v>4469.4136124999995</v>
      </c>
      <c r="Q75" s="646">
        <f t="shared" si="5"/>
        <v>1931591.1750502498</v>
      </c>
      <c r="R75" s="235">
        <v>4490.6400000000003</v>
      </c>
      <c r="S75" s="646">
        <f t="shared" si="6"/>
        <v>1940764.7952000003</v>
      </c>
      <c r="T75" s="235">
        <v>4849.8912000000009</v>
      </c>
      <c r="U75" s="647">
        <f t="shared" si="7"/>
        <v>2096025.9788160005</v>
      </c>
      <c r="V75" s="235">
        <f t="shared" si="8"/>
        <v>4603.3149375000003</v>
      </c>
      <c r="W75" s="478">
        <f t="shared" si="9"/>
        <v>1989460.6496887503</v>
      </c>
      <c r="X75" s="648"/>
      <c r="Y75" s="302">
        <f t="shared" si="10"/>
        <v>10056.180628124997</v>
      </c>
      <c r="Z75" s="329"/>
      <c r="AA75" s="417"/>
    </row>
    <row r="76" spans="2:27" x14ac:dyDescent="0.35">
      <c r="B76" s="603"/>
      <c r="E76" s="604"/>
      <c r="F76" s="232" t="s">
        <v>230</v>
      </c>
      <c r="G76" s="318" t="s">
        <v>193</v>
      </c>
      <c r="H76" s="319"/>
      <c r="I76" s="320"/>
      <c r="J76" s="625" t="s">
        <v>189</v>
      </c>
      <c r="K76" s="420">
        <v>1</v>
      </c>
      <c r="L76" s="506">
        <v>192.08</v>
      </c>
      <c r="M76" s="377">
        <f>0.00625*(1/2)</f>
        <v>3.1250000000000002E-3</v>
      </c>
      <c r="N76" s="372">
        <v>3</v>
      </c>
      <c r="O76" s="507">
        <f t="shared" si="4"/>
        <v>1.8007500000000003</v>
      </c>
      <c r="P76" s="235">
        <v>1581858.0973125002</v>
      </c>
      <c r="Q76" s="646">
        <f t="shared" si="5"/>
        <v>2848530.9687354853</v>
      </c>
      <c r="R76" s="235">
        <v>1593848.8584</v>
      </c>
      <c r="S76" s="646">
        <f t="shared" si="6"/>
        <v>2870123.3317638007</v>
      </c>
      <c r="T76" s="235">
        <v>1721356.7670720001</v>
      </c>
      <c r="U76" s="647">
        <f t="shared" si="7"/>
        <v>3099733.1983049046</v>
      </c>
      <c r="V76" s="235">
        <f t="shared" si="8"/>
        <v>1632354.5742615003</v>
      </c>
      <c r="W76" s="478">
        <f t="shared" si="9"/>
        <v>2939462.4996013972</v>
      </c>
      <c r="X76" s="648"/>
      <c r="Y76" s="302">
        <f t="shared" si="10"/>
        <v>14829.919662304692</v>
      </c>
      <c r="Z76" s="329"/>
    </row>
    <row r="77" spans="2:27" x14ac:dyDescent="0.35">
      <c r="B77" s="603"/>
      <c r="E77" s="604"/>
      <c r="F77" s="232" t="s">
        <v>237</v>
      </c>
      <c r="G77" s="318" t="s">
        <v>193</v>
      </c>
      <c r="H77" s="319">
        <v>4</v>
      </c>
      <c r="I77" s="320" t="s">
        <v>238</v>
      </c>
      <c r="J77" s="625" t="s">
        <v>189</v>
      </c>
      <c r="K77" s="420">
        <v>1</v>
      </c>
      <c r="L77" s="506">
        <v>192.08</v>
      </c>
      <c r="M77" s="377">
        <f>((M$70*N$70)/240*($H77/N77))</f>
        <v>1.2499999999999999E-2</v>
      </c>
      <c r="N77" s="372">
        <v>3</v>
      </c>
      <c r="O77" s="507">
        <f t="shared" si="4"/>
        <v>7.2029999999999994</v>
      </c>
      <c r="P77" s="235">
        <v>49592.654999999999</v>
      </c>
      <c r="Q77" s="646">
        <f t="shared" si="5"/>
        <v>357215.89396499994</v>
      </c>
      <c r="R77" s="235">
        <v>49968.576000000008</v>
      </c>
      <c r="S77" s="646">
        <f t="shared" si="6"/>
        <v>359923.65292800002</v>
      </c>
      <c r="T77" s="235">
        <v>53966.062080000011</v>
      </c>
      <c r="U77" s="647">
        <f t="shared" si="7"/>
        <v>388717.54516224004</v>
      </c>
      <c r="V77" s="235">
        <f t="shared" si="8"/>
        <v>51175.764360000001</v>
      </c>
      <c r="W77" s="478">
        <f t="shared" si="9"/>
        <v>368619.03068507998</v>
      </c>
      <c r="X77" s="649"/>
      <c r="Y77" s="302">
        <f t="shared" si="10"/>
        <v>1859.7245624999996</v>
      </c>
      <c r="Z77" s="329"/>
    </row>
    <row r="78" spans="2:27" x14ac:dyDescent="0.35">
      <c r="B78" s="603"/>
      <c r="E78" s="604"/>
      <c r="F78" s="232" t="s">
        <v>239</v>
      </c>
      <c r="G78" s="318" t="s">
        <v>193</v>
      </c>
      <c r="H78" s="319">
        <v>12</v>
      </c>
      <c r="I78" s="320" t="s">
        <v>238</v>
      </c>
      <c r="J78" s="625" t="s">
        <v>189</v>
      </c>
      <c r="K78" s="420">
        <v>1</v>
      </c>
      <c r="L78" s="506">
        <v>192.08</v>
      </c>
      <c r="M78" s="377">
        <f>((M$70*N$70)/240*($H78/N78))</f>
        <v>3.7499999999999999E-2</v>
      </c>
      <c r="N78" s="372">
        <v>3</v>
      </c>
      <c r="O78" s="507">
        <f t="shared" si="4"/>
        <v>21.609000000000002</v>
      </c>
      <c r="P78" s="235">
        <v>16206.75</v>
      </c>
      <c r="Q78" s="646">
        <f t="shared" si="5"/>
        <v>350211.66075000004</v>
      </c>
      <c r="R78" s="235">
        <v>16329.600000000002</v>
      </c>
      <c r="S78" s="646">
        <f t="shared" si="6"/>
        <v>352866.32640000008</v>
      </c>
      <c r="T78" s="235">
        <v>17635.968000000004</v>
      </c>
      <c r="U78" s="647">
        <f t="shared" si="7"/>
        <v>381095.6325120001</v>
      </c>
      <c r="V78" s="235">
        <f t="shared" si="8"/>
        <v>16724.106000000003</v>
      </c>
      <c r="W78" s="478">
        <f t="shared" si="9"/>
        <v>361391.20655400009</v>
      </c>
      <c r="X78" s="649"/>
      <c r="Y78" s="302">
        <f t="shared" si="10"/>
        <v>1823.2593750000001</v>
      </c>
      <c r="Z78" s="329"/>
    </row>
    <row r="79" spans="2:27" x14ac:dyDescent="0.35">
      <c r="B79" s="603"/>
      <c r="E79" s="604"/>
      <c r="F79" s="232" t="s">
        <v>240</v>
      </c>
      <c r="G79" s="318" t="s">
        <v>193</v>
      </c>
      <c r="H79" s="319">
        <v>1</v>
      </c>
      <c r="I79" s="320" t="s">
        <v>238</v>
      </c>
      <c r="J79" s="625" t="s">
        <v>189</v>
      </c>
      <c r="K79" s="420">
        <v>1</v>
      </c>
      <c r="L79" s="506">
        <v>192.08</v>
      </c>
      <c r="M79" s="377">
        <f>((M$70*N$70)/240*($H79/N79))</f>
        <v>3.1249999999999997E-3</v>
      </c>
      <c r="N79" s="372">
        <v>3</v>
      </c>
      <c r="O79" s="507">
        <f t="shared" si="4"/>
        <v>1.8007499999999999</v>
      </c>
      <c r="P79" s="235">
        <v>43393.573125000003</v>
      </c>
      <c r="Q79" s="646">
        <f t="shared" si="5"/>
        <v>78140.976804843755</v>
      </c>
      <c r="R79" s="235">
        <v>43722.504000000008</v>
      </c>
      <c r="S79" s="646">
        <f t="shared" si="6"/>
        <v>78733.299078000011</v>
      </c>
      <c r="T79" s="235">
        <v>47220.30432000001</v>
      </c>
      <c r="U79" s="647">
        <f t="shared" si="7"/>
        <v>85031.963004240009</v>
      </c>
      <c r="V79" s="235">
        <f t="shared" si="8"/>
        <v>44778.793815000005</v>
      </c>
      <c r="W79" s="478">
        <f t="shared" si="9"/>
        <v>80635.412962361253</v>
      </c>
      <c r="X79" s="649"/>
      <c r="Y79" s="302">
        <f t="shared" si="10"/>
        <v>406.81474804687502</v>
      </c>
      <c r="Z79" s="329"/>
    </row>
    <row r="80" spans="2:27" x14ac:dyDescent="0.35">
      <c r="B80" s="603"/>
      <c r="E80" s="604"/>
      <c r="F80" s="232" t="s">
        <v>241</v>
      </c>
      <c r="G80" s="318" t="s">
        <v>193</v>
      </c>
      <c r="H80" s="319">
        <v>2</v>
      </c>
      <c r="I80" s="320" t="s">
        <v>238</v>
      </c>
      <c r="J80" s="625" t="s">
        <v>189</v>
      </c>
      <c r="K80" s="420">
        <v>1</v>
      </c>
      <c r="L80" s="506">
        <v>192.08</v>
      </c>
      <c r="M80" s="377">
        <f>((M$70*N$70)/240*($H80/N80))</f>
        <v>6.2499999999999995E-3</v>
      </c>
      <c r="N80" s="372">
        <v>3</v>
      </c>
      <c r="O80" s="507">
        <f t="shared" si="4"/>
        <v>3.6014999999999997</v>
      </c>
      <c r="P80" s="235">
        <v>37194.491250000006</v>
      </c>
      <c r="Q80" s="646">
        <f t="shared" si="5"/>
        <v>133955.96023687502</v>
      </c>
      <c r="R80" s="235">
        <v>37476.432000000001</v>
      </c>
      <c r="S80" s="646">
        <f t="shared" si="6"/>
        <v>134971.369848</v>
      </c>
      <c r="T80" s="235">
        <v>40474.546560000003</v>
      </c>
      <c r="U80" s="647">
        <f t="shared" si="7"/>
        <v>145769.07943583999</v>
      </c>
      <c r="V80" s="235">
        <f t="shared" si="8"/>
        <v>38381.823270000001</v>
      </c>
      <c r="W80" s="478">
        <f t="shared" si="9"/>
        <v>138232.13650690499</v>
      </c>
      <c r="X80" s="649"/>
      <c r="Y80" s="302">
        <f t="shared" si="10"/>
        <v>697.39671093750007</v>
      </c>
      <c r="Z80" s="329"/>
    </row>
    <row r="81" spans="2:26" x14ac:dyDescent="0.35">
      <c r="B81" s="603"/>
      <c r="D81" s="606"/>
      <c r="E81" s="607"/>
      <c r="F81" s="232" t="s">
        <v>242</v>
      </c>
      <c r="G81" s="318" t="s">
        <v>193</v>
      </c>
      <c r="H81" s="319">
        <v>1</v>
      </c>
      <c r="I81" s="320" t="s">
        <v>238</v>
      </c>
      <c r="J81" s="625" t="s">
        <v>189</v>
      </c>
      <c r="K81" s="420">
        <v>1</v>
      </c>
      <c r="L81" s="506">
        <v>192.08</v>
      </c>
      <c r="M81" s="377">
        <f>((M$70*N$70)/240*($H81/N81))</f>
        <v>3.1249999999999997E-3</v>
      </c>
      <c r="N81" s="372">
        <v>3</v>
      </c>
      <c r="O81" s="507">
        <f t="shared" si="4"/>
        <v>1.8007499999999999</v>
      </c>
      <c r="P81" s="235">
        <v>99185.31</v>
      </c>
      <c r="Q81" s="646">
        <f t="shared" si="5"/>
        <v>178607.94698249997</v>
      </c>
      <c r="R81" s="235">
        <v>99937.152000000016</v>
      </c>
      <c r="S81" s="646">
        <f t="shared" si="6"/>
        <v>179961.82646400001</v>
      </c>
      <c r="T81" s="235">
        <v>107932.12416000002</v>
      </c>
      <c r="U81" s="647">
        <f t="shared" si="7"/>
        <v>194358.77258112002</v>
      </c>
      <c r="V81" s="235">
        <f t="shared" si="8"/>
        <v>102351.52872</v>
      </c>
      <c r="W81" s="478">
        <f t="shared" si="9"/>
        <v>184309.51534253999</v>
      </c>
      <c r="X81" s="649"/>
      <c r="Y81" s="302">
        <f t="shared" si="10"/>
        <v>929.8622812499998</v>
      </c>
      <c r="Z81" s="329"/>
    </row>
    <row r="82" spans="2:26" ht="29.25" customHeight="1" x14ac:dyDescent="0.35">
      <c r="B82" s="630" t="s">
        <v>603</v>
      </c>
      <c r="C82" s="770"/>
      <c r="D82" s="770"/>
      <c r="E82" s="771"/>
      <c r="F82" s="633"/>
      <c r="G82" s="634"/>
      <c r="H82" s="635"/>
      <c r="I82" s="636"/>
      <c r="J82" s="634"/>
      <c r="K82" s="637"/>
      <c r="L82" s="638"/>
      <c r="M82" s="772"/>
      <c r="N82" s="773"/>
      <c r="O82" s="635"/>
      <c r="P82" s="640"/>
      <c r="Q82" s="651">
        <f>SUM(Q70:Q81)</f>
        <v>113571095.08651495</v>
      </c>
      <c r="R82" s="774"/>
      <c r="S82" s="651">
        <f>SUM(S70:S81)</f>
        <v>84605356.479288459</v>
      </c>
      <c r="T82" s="650"/>
      <c r="U82" s="650"/>
      <c r="V82" s="650"/>
      <c r="W82" s="650"/>
      <c r="X82" s="652"/>
      <c r="Y82" s="682">
        <f>Q82/$C$1</f>
        <v>591269.75784316403</v>
      </c>
      <c r="Z82" s="775">
        <f>Q82/$Q$401*100</f>
        <v>4.74414833671963</v>
      </c>
    </row>
    <row r="83" spans="2:26" x14ac:dyDescent="0.35">
      <c r="B83" s="603"/>
      <c r="D83" s="599" t="s">
        <v>501</v>
      </c>
      <c r="E83" s="600"/>
      <c r="F83" s="232" t="s">
        <v>187</v>
      </c>
      <c r="G83" s="318" t="s">
        <v>188</v>
      </c>
      <c r="H83" s="319"/>
      <c r="I83" s="320"/>
      <c r="J83" s="318"/>
      <c r="K83" s="501"/>
      <c r="L83" s="506"/>
      <c r="M83" s="231"/>
      <c r="N83" s="235"/>
      <c r="O83" s="319"/>
      <c r="P83" s="492"/>
      <c r="Q83" s="646"/>
      <c r="R83" s="646"/>
      <c r="S83" s="646"/>
      <c r="T83" s="647"/>
      <c r="U83" s="647"/>
      <c r="V83" s="647"/>
      <c r="W83" s="647"/>
      <c r="X83" s="648"/>
      <c r="Y83" s="302"/>
      <c r="Z83" s="232"/>
    </row>
    <row r="84" spans="2:26" hidden="1" x14ac:dyDescent="0.35">
      <c r="B84" s="603"/>
      <c r="E84" s="604"/>
      <c r="F84" s="232" t="s">
        <v>231</v>
      </c>
      <c r="G84" s="318" t="s">
        <v>232</v>
      </c>
      <c r="H84" s="319"/>
      <c r="I84" s="320"/>
      <c r="J84" s="318"/>
      <c r="K84" s="501"/>
      <c r="L84" s="506"/>
      <c r="M84" s="231"/>
      <c r="N84" s="235"/>
      <c r="O84" s="319"/>
      <c r="P84" s="492"/>
      <c r="Q84" s="646"/>
      <c r="R84" s="646"/>
      <c r="S84" s="646"/>
      <c r="T84" s="647"/>
      <c r="U84" s="647"/>
      <c r="V84" s="647"/>
      <c r="W84" s="647"/>
      <c r="X84" s="648"/>
      <c r="Y84" s="302"/>
      <c r="Z84" s="232"/>
    </row>
    <row r="85" spans="2:26" hidden="1" x14ac:dyDescent="0.35">
      <c r="B85" s="603"/>
      <c r="E85" s="604"/>
      <c r="F85" s="232" t="s">
        <v>233</v>
      </c>
      <c r="G85" s="318" t="s">
        <v>191</v>
      </c>
      <c r="H85" s="319"/>
      <c r="I85" s="320"/>
      <c r="J85" s="318"/>
      <c r="K85" s="501"/>
      <c r="L85" s="506"/>
      <c r="M85" s="231"/>
      <c r="N85" s="235"/>
      <c r="O85" s="319"/>
      <c r="P85" s="492"/>
      <c r="Q85" s="646"/>
      <c r="R85" s="646"/>
      <c r="S85" s="646"/>
      <c r="T85" s="647"/>
      <c r="U85" s="647"/>
      <c r="V85" s="647"/>
      <c r="W85" s="647"/>
      <c r="X85" s="648"/>
      <c r="Y85" s="302"/>
      <c r="Z85" s="232"/>
    </row>
    <row r="86" spans="2:26" hidden="1" x14ac:dyDescent="0.35">
      <c r="B86" s="603"/>
      <c r="E86" s="604"/>
      <c r="F86" s="232" t="s">
        <v>235</v>
      </c>
      <c r="G86" s="318" t="s">
        <v>232</v>
      </c>
      <c r="H86" s="319"/>
      <c r="I86" s="320"/>
      <c r="J86" s="318"/>
      <c r="K86" s="501"/>
      <c r="L86" s="506"/>
      <c r="M86" s="231"/>
      <c r="N86" s="235"/>
      <c r="O86" s="319"/>
      <c r="P86" s="492"/>
      <c r="Q86" s="646"/>
      <c r="R86" s="646"/>
      <c r="S86" s="646"/>
      <c r="T86" s="647"/>
      <c r="U86" s="647"/>
      <c r="V86" s="647"/>
      <c r="W86" s="647"/>
      <c r="X86" s="648"/>
      <c r="Y86" s="302"/>
      <c r="Z86" s="232"/>
    </row>
    <row r="87" spans="2:26" hidden="1" x14ac:dyDescent="0.35">
      <c r="B87" s="603"/>
      <c r="E87" s="604"/>
      <c r="F87" s="232" t="s">
        <v>236</v>
      </c>
      <c r="G87" s="318" t="s">
        <v>188</v>
      </c>
      <c r="H87" s="319"/>
      <c r="I87" s="320"/>
      <c r="J87" s="318"/>
      <c r="K87" s="501"/>
      <c r="L87" s="506"/>
      <c r="M87" s="231"/>
      <c r="N87" s="235"/>
      <c r="O87" s="319"/>
      <c r="P87" s="492"/>
      <c r="Q87" s="646"/>
      <c r="R87" s="646"/>
      <c r="S87" s="646"/>
      <c r="T87" s="647"/>
      <c r="U87" s="647"/>
      <c r="V87" s="647"/>
      <c r="W87" s="647"/>
      <c r="X87" s="648"/>
      <c r="Y87" s="302"/>
      <c r="Z87" s="232"/>
    </row>
    <row r="88" spans="2:26" hidden="1" x14ac:dyDescent="0.35">
      <c r="B88" s="603"/>
      <c r="E88" s="604"/>
      <c r="F88" s="232" t="s">
        <v>230</v>
      </c>
      <c r="G88" s="318" t="s">
        <v>193</v>
      </c>
      <c r="H88" s="319"/>
      <c r="I88" s="320"/>
      <c r="J88" s="318"/>
      <c r="K88" s="501"/>
      <c r="L88" s="506"/>
      <c r="M88" s="231"/>
      <c r="N88" s="235"/>
      <c r="O88" s="319"/>
      <c r="P88" s="492"/>
      <c r="Q88" s="646"/>
      <c r="R88" s="646"/>
      <c r="S88" s="646"/>
      <c r="T88" s="647"/>
      <c r="U88" s="647"/>
      <c r="V88" s="647"/>
      <c r="W88" s="647"/>
      <c r="X88" s="648"/>
      <c r="Y88" s="302"/>
      <c r="Z88" s="232"/>
    </row>
    <row r="89" spans="2:26" hidden="1" x14ac:dyDescent="0.35">
      <c r="B89" s="603"/>
      <c r="E89" s="604"/>
      <c r="F89" s="232" t="s">
        <v>237</v>
      </c>
      <c r="G89" s="318" t="s">
        <v>193</v>
      </c>
      <c r="H89" s="319"/>
      <c r="I89" s="320"/>
      <c r="J89" s="318"/>
      <c r="K89" s="501"/>
      <c r="L89" s="506"/>
      <c r="M89" s="231"/>
      <c r="N89" s="235"/>
      <c r="O89" s="319"/>
      <c r="P89" s="492"/>
      <c r="Q89" s="646"/>
      <c r="R89" s="646"/>
      <c r="S89" s="646"/>
      <c r="T89" s="647"/>
      <c r="U89" s="647"/>
      <c r="V89" s="647"/>
      <c r="W89" s="647"/>
      <c r="X89" s="648"/>
      <c r="Y89" s="302"/>
      <c r="Z89" s="232"/>
    </row>
    <row r="90" spans="2:26" hidden="1" x14ac:dyDescent="0.35">
      <c r="B90" s="603"/>
      <c r="E90" s="604"/>
      <c r="F90" s="232" t="s">
        <v>484</v>
      </c>
      <c r="G90" s="318" t="s">
        <v>193</v>
      </c>
      <c r="H90" s="319"/>
      <c r="I90" s="320"/>
      <c r="J90" s="318"/>
      <c r="K90" s="501"/>
      <c r="L90" s="506"/>
      <c r="M90" s="231"/>
      <c r="N90" s="235"/>
      <c r="O90" s="319"/>
      <c r="P90" s="492"/>
      <c r="Q90" s="646"/>
      <c r="R90" s="646"/>
      <c r="S90" s="646"/>
      <c r="T90" s="647"/>
      <c r="U90" s="647"/>
      <c r="V90" s="647"/>
      <c r="W90" s="647"/>
      <c r="X90" s="648"/>
      <c r="Y90" s="302"/>
      <c r="Z90" s="232"/>
    </row>
    <row r="91" spans="2:26" hidden="1" x14ac:dyDescent="0.35">
      <c r="B91" s="603"/>
      <c r="E91" s="604"/>
      <c r="F91" s="232" t="s">
        <v>240</v>
      </c>
      <c r="G91" s="318" t="s">
        <v>193</v>
      </c>
      <c r="H91" s="319"/>
      <c r="I91" s="320"/>
      <c r="J91" s="318"/>
      <c r="K91" s="501"/>
      <c r="L91" s="506"/>
      <c r="M91" s="231"/>
      <c r="N91" s="235"/>
      <c r="O91" s="319"/>
      <c r="P91" s="492"/>
      <c r="Q91" s="646"/>
      <c r="R91" s="646"/>
      <c r="S91" s="646"/>
      <c r="T91" s="647"/>
      <c r="U91" s="647"/>
      <c r="V91" s="647"/>
      <c r="W91" s="647"/>
      <c r="X91" s="648"/>
      <c r="Y91" s="302"/>
      <c r="Z91" s="232"/>
    </row>
    <row r="92" spans="2:26" hidden="1" x14ac:dyDescent="0.35">
      <c r="B92" s="603"/>
      <c r="E92" s="604"/>
      <c r="F92" s="232" t="s">
        <v>241</v>
      </c>
      <c r="G92" s="318" t="s">
        <v>193</v>
      </c>
      <c r="H92" s="319"/>
      <c r="I92" s="320"/>
      <c r="J92" s="318"/>
      <c r="K92" s="501"/>
      <c r="L92" s="506"/>
      <c r="M92" s="231"/>
      <c r="N92" s="235"/>
      <c r="O92" s="319"/>
      <c r="P92" s="492"/>
      <c r="Q92" s="646"/>
      <c r="R92" s="646"/>
      <c r="S92" s="646"/>
      <c r="T92" s="647"/>
      <c r="U92" s="647"/>
      <c r="V92" s="647"/>
      <c r="W92" s="647"/>
      <c r="X92" s="648"/>
      <c r="Y92" s="302"/>
      <c r="Z92" s="232"/>
    </row>
    <row r="93" spans="2:26" hidden="1" x14ac:dyDescent="0.35">
      <c r="B93" s="603"/>
      <c r="D93" s="606"/>
      <c r="E93" s="607"/>
      <c r="F93" s="232" t="s">
        <v>242</v>
      </c>
      <c r="G93" s="318" t="s">
        <v>193</v>
      </c>
      <c r="H93" s="319"/>
      <c r="I93" s="320"/>
      <c r="J93" s="318"/>
      <c r="K93" s="501"/>
      <c r="L93" s="506"/>
      <c r="M93" s="231"/>
      <c r="N93" s="235"/>
      <c r="O93" s="319"/>
      <c r="P93" s="492"/>
      <c r="Q93" s="646"/>
      <c r="R93" s="646"/>
      <c r="S93" s="646"/>
      <c r="T93" s="647"/>
      <c r="U93" s="647"/>
      <c r="V93" s="647"/>
      <c r="W93" s="647"/>
      <c r="X93" s="648"/>
      <c r="Y93" s="302"/>
      <c r="Z93" s="232"/>
    </row>
    <row r="94" spans="2:26" x14ac:dyDescent="0.35">
      <c r="B94" s="603"/>
      <c r="D94" s="599" t="s">
        <v>502</v>
      </c>
      <c r="E94" s="600"/>
      <c r="F94" s="232" t="s">
        <v>187</v>
      </c>
      <c r="G94" s="318" t="s">
        <v>188</v>
      </c>
      <c r="H94" s="319"/>
      <c r="I94" s="320"/>
      <c r="J94" s="318"/>
      <c r="K94" s="501"/>
      <c r="L94" s="506"/>
      <c r="M94" s="231"/>
      <c r="N94" s="235"/>
      <c r="O94" s="319"/>
      <c r="P94" s="492"/>
      <c r="Q94" s="646"/>
      <c r="R94" s="646"/>
      <c r="S94" s="646"/>
      <c r="T94" s="647"/>
      <c r="U94" s="647"/>
      <c r="V94" s="647"/>
      <c r="W94" s="647"/>
      <c r="X94" s="648"/>
      <c r="Y94" s="302"/>
      <c r="Z94" s="232"/>
    </row>
    <row r="95" spans="2:26" hidden="1" x14ac:dyDescent="0.35">
      <c r="B95" s="603"/>
      <c r="E95" s="604"/>
      <c r="F95" s="232" t="s">
        <v>231</v>
      </c>
      <c r="G95" s="318" t="s">
        <v>232</v>
      </c>
      <c r="H95" s="319"/>
      <c r="I95" s="320"/>
      <c r="J95" s="318"/>
      <c r="K95" s="501"/>
      <c r="L95" s="506"/>
      <c r="M95" s="231"/>
      <c r="N95" s="235"/>
      <c r="O95" s="319"/>
      <c r="P95" s="492"/>
      <c r="Q95" s="646"/>
      <c r="R95" s="646"/>
      <c r="S95" s="646"/>
      <c r="T95" s="647"/>
      <c r="U95" s="647"/>
      <c r="V95" s="647"/>
      <c r="W95" s="647"/>
      <c r="X95" s="648"/>
      <c r="Y95" s="302"/>
      <c r="Z95" s="232"/>
    </row>
    <row r="96" spans="2:26" hidden="1" x14ac:dyDescent="0.35">
      <c r="B96" s="603"/>
      <c r="E96" s="604"/>
      <c r="F96" s="232" t="s">
        <v>233</v>
      </c>
      <c r="G96" s="318" t="s">
        <v>191</v>
      </c>
      <c r="H96" s="319"/>
      <c r="I96" s="320"/>
      <c r="J96" s="318"/>
      <c r="K96" s="501"/>
      <c r="L96" s="506"/>
      <c r="M96" s="231"/>
      <c r="N96" s="235"/>
      <c r="O96" s="319"/>
      <c r="P96" s="492"/>
      <c r="Q96" s="646"/>
      <c r="R96" s="646"/>
      <c r="S96" s="646"/>
      <c r="T96" s="647"/>
      <c r="U96" s="647"/>
      <c r="V96" s="647"/>
      <c r="W96" s="647"/>
      <c r="X96" s="648"/>
      <c r="Y96" s="302"/>
      <c r="Z96" s="232"/>
    </row>
    <row r="97" spans="2:26" hidden="1" x14ac:dyDescent="0.35">
      <c r="B97" s="603"/>
      <c r="E97" s="604"/>
      <c r="F97" s="232" t="s">
        <v>235</v>
      </c>
      <c r="G97" s="318" t="s">
        <v>232</v>
      </c>
      <c r="H97" s="319"/>
      <c r="I97" s="320"/>
      <c r="J97" s="318"/>
      <c r="K97" s="501"/>
      <c r="L97" s="506"/>
      <c r="M97" s="231"/>
      <c r="N97" s="235"/>
      <c r="O97" s="319"/>
      <c r="P97" s="492"/>
      <c r="Q97" s="646"/>
      <c r="R97" s="646"/>
      <c r="S97" s="646"/>
      <c r="T97" s="647"/>
      <c r="U97" s="647"/>
      <c r="V97" s="647"/>
      <c r="W97" s="647"/>
      <c r="X97" s="648"/>
      <c r="Y97" s="302"/>
      <c r="Z97" s="232"/>
    </row>
    <row r="98" spans="2:26" hidden="1" x14ac:dyDescent="0.35">
      <c r="B98" s="603"/>
      <c r="E98" s="604"/>
      <c r="F98" s="232" t="s">
        <v>236</v>
      </c>
      <c r="G98" s="318" t="s">
        <v>188</v>
      </c>
      <c r="H98" s="319"/>
      <c r="I98" s="320"/>
      <c r="J98" s="318"/>
      <c r="K98" s="501"/>
      <c r="L98" s="506"/>
      <c r="M98" s="231"/>
      <c r="N98" s="235"/>
      <c r="O98" s="319"/>
      <c r="P98" s="492"/>
      <c r="Q98" s="646"/>
      <c r="R98" s="646"/>
      <c r="S98" s="646"/>
      <c r="T98" s="647"/>
      <c r="U98" s="647"/>
      <c r="V98" s="647"/>
      <c r="W98" s="647"/>
      <c r="X98" s="648"/>
      <c r="Y98" s="302"/>
      <c r="Z98" s="232"/>
    </row>
    <row r="99" spans="2:26" hidden="1" x14ac:dyDescent="0.35">
      <c r="B99" s="603"/>
      <c r="E99" s="604"/>
      <c r="F99" s="232" t="s">
        <v>230</v>
      </c>
      <c r="G99" s="318" t="s">
        <v>193</v>
      </c>
      <c r="H99" s="319"/>
      <c r="I99" s="320"/>
      <c r="J99" s="318"/>
      <c r="K99" s="501"/>
      <c r="L99" s="506"/>
      <c r="M99" s="231"/>
      <c r="N99" s="235"/>
      <c r="O99" s="319"/>
      <c r="P99" s="492"/>
      <c r="Q99" s="646"/>
      <c r="R99" s="646"/>
      <c r="S99" s="646"/>
      <c r="T99" s="647"/>
      <c r="U99" s="647"/>
      <c r="V99" s="647"/>
      <c r="W99" s="647"/>
      <c r="X99" s="648"/>
      <c r="Y99" s="302"/>
      <c r="Z99" s="232"/>
    </row>
    <row r="100" spans="2:26" hidden="1" x14ac:dyDescent="0.35">
      <c r="B100" s="603"/>
      <c r="E100" s="604"/>
      <c r="F100" s="232" t="s">
        <v>237</v>
      </c>
      <c r="G100" s="318" t="s">
        <v>193</v>
      </c>
      <c r="H100" s="319"/>
      <c r="I100" s="320"/>
      <c r="J100" s="318"/>
      <c r="K100" s="501"/>
      <c r="L100" s="506"/>
      <c r="M100" s="231"/>
      <c r="N100" s="235"/>
      <c r="O100" s="319"/>
      <c r="P100" s="492"/>
      <c r="Q100" s="646"/>
      <c r="R100" s="646"/>
      <c r="S100" s="646"/>
      <c r="T100" s="647"/>
      <c r="U100" s="647"/>
      <c r="V100" s="647"/>
      <c r="W100" s="647"/>
      <c r="X100" s="648"/>
      <c r="Y100" s="302"/>
      <c r="Z100" s="232"/>
    </row>
    <row r="101" spans="2:26" hidden="1" x14ac:dyDescent="0.35">
      <c r="B101" s="603"/>
      <c r="E101" s="604"/>
      <c r="F101" s="232" t="s">
        <v>484</v>
      </c>
      <c r="G101" s="318" t="s">
        <v>193</v>
      </c>
      <c r="H101" s="319"/>
      <c r="I101" s="320"/>
      <c r="J101" s="318"/>
      <c r="K101" s="501"/>
      <c r="L101" s="506"/>
      <c r="M101" s="231"/>
      <c r="N101" s="235"/>
      <c r="O101" s="319"/>
      <c r="P101" s="492"/>
      <c r="Q101" s="646"/>
      <c r="R101" s="646"/>
      <c r="S101" s="646"/>
      <c r="T101" s="647"/>
      <c r="U101" s="647"/>
      <c r="V101" s="647"/>
      <c r="W101" s="647"/>
      <c r="X101" s="648"/>
      <c r="Y101" s="302"/>
      <c r="Z101" s="232"/>
    </row>
    <row r="102" spans="2:26" hidden="1" x14ac:dyDescent="0.35">
      <c r="B102" s="603"/>
      <c r="E102" s="604"/>
      <c r="F102" s="232" t="s">
        <v>240</v>
      </c>
      <c r="G102" s="318" t="s">
        <v>193</v>
      </c>
      <c r="H102" s="319"/>
      <c r="I102" s="320"/>
      <c r="J102" s="318"/>
      <c r="K102" s="501"/>
      <c r="L102" s="506"/>
      <c r="M102" s="231"/>
      <c r="N102" s="235"/>
      <c r="O102" s="319"/>
      <c r="P102" s="492"/>
      <c r="Q102" s="646"/>
      <c r="R102" s="646"/>
      <c r="S102" s="646"/>
      <c r="T102" s="647"/>
      <c r="U102" s="647"/>
      <c r="V102" s="647"/>
      <c r="W102" s="647"/>
      <c r="X102" s="648"/>
      <c r="Y102" s="302"/>
      <c r="Z102" s="232"/>
    </row>
    <row r="103" spans="2:26" hidden="1" x14ac:dyDescent="0.35">
      <c r="B103" s="603"/>
      <c r="E103" s="604"/>
      <c r="F103" s="232" t="s">
        <v>241</v>
      </c>
      <c r="G103" s="318" t="s">
        <v>193</v>
      </c>
      <c r="H103" s="319"/>
      <c r="I103" s="320"/>
      <c r="J103" s="318"/>
      <c r="K103" s="501"/>
      <c r="L103" s="506"/>
      <c r="M103" s="231"/>
      <c r="N103" s="235"/>
      <c r="O103" s="319"/>
      <c r="P103" s="492"/>
      <c r="Q103" s="646"/>
      <c r="R103" s="646"/>
      <c r="S103" s="646"/>
      <c r="T103" s="647"/>
      <c r="U103" s="647"/>
      <c r="V103" s="647"/>
      <c r="W103" s="647"/>
      <c r="X103" s="648"/>
      <c r="Y103" s="302"/>
      <c r="Z103" s="232"/>
    </row>
    <row r="104" spans="2:26" hidden="1" x14ac:dyDescent="0.35">
      <c r="B104" s="605"/>
      <c r="C104" s="606"/>
      <c r="D104" s="606"/>
      <c r="E104" s="607"/>
      <c r="F104" s="232" t="s">
        <v>242</v>
      </c>
      <c r="G104" s="318" t="s">
        <v>193</v>
      </c>
      <c r="H104" s="319"/>
      <c r="I104" s="320"/>
      <c r="J104" s="318"/>
      <c r="K104" s="501"/>
      <c r="L104" s="506"/>
      <c r="M104" s="231"/>
      <c r="N104" s="235"/>
      <c r="O104" s="319"/>
      <c r="P104" s="492"/>
      <c r="Q104" s="646"/>
      <c r="R104" s="646"/>
      <c r="S104" s="646"/>
      <c r="T104" s="647"/>
      <c r="U104" s="647"/>
      <c r="V104" s="647"/>
      <c r="W104" s="647"/>
      <c r="X104" s="648"/>
      <c r="Y104" s="302"/>
      <c r="Z104" s="232"/>
    </row>
    <row r="105" spans="2:26" x14ac:dyDescent="0.35">
      <c r="B105" s="598"/>
      <c r="C105" s="599" t="s">
        <v>83</v>
      </c>
      <c r="D105" s="599"/>
      <c r="E105" s="600"/>
      <c r="F105" s="232" t="s">
        <v>187</v>
      </c>
      <c r="G105" s="318" t="s">
        <v>188</v>
      </c>
      <c r="H105" s="319"/>
      <c r="I105" s="320"/>
      <c r="J105" s="318" t="s">
        <v>189</v>
      </c>
      <c r="K105" s="420">
        <v>1</v>
      </c>
      <c r="L105" s="506">
        <v>192.08</v>
      </c>
      <c r="M105" s="235">
        <v>2</v>
      </c>
      <c r="N105" s="235">
        <v>2</v>
      </c>
      <c r="O105" s="507">
        <f>K105*L105*M105*N105</f>
        <v>768.32</v>
      </c>
      <c r="P105" s="235">
        <v>169122.61109699999</v>
      </c>
      <c r="Q105" s="646">
        <f>P105*$O105</f>
        <v>129940284.55804704</v>
      </c>
      <c r="R105" s="235">
        <v>163305.33120000002</v>
      </c>
      <c r="S105" s="646">
        <f>R105*$O105</f>
        <v>125470752.06758402</v>
      </c>
      <c r="T105" s="235">
        <v>179635.86432000002</v>
      </c>
      <c r="U105" s="647">
        <f>$O105*T105</f>
        <v>138017827.27434242</v>
      </c>
      <c r="V105" s="235">
        <f>W105/O105</f>
        <v>170687.93553900003</v>
      </c>
      <c r="W105" s="478">
        <f>AVERAGEIF($P$3:$U$3,W$3,$P105:$U105)</f>
        <v>131142954.6333245</v>
      </c>
      <c r="X105" s="648"/>
      <c r="Y105" s="302">
        <f t="shared" ref="Y105:Y107" si="11">Q105/$C$1</f>
        <v>676490.44438799995</v>
      </c>
      <c r="Z105" s="232"/>
    </row>
    <row r="106" spans="2:26" x14ac:dyDescent="0.35">
      <c r="B106" s="603"/>
      <c r="E106" s="604"/>
      <c r="F106" s="232" t="s">
        <v>291</v>
      </c>
      <c r="G106" s="318" t="s">
        <v>193</v>
      </c>
      <c r="H106" s="319"/>
      <c r="I106" s="320"/>
      <c r="J106" s="318"/>
      <c r="K106" s="420">
        <v>1</v>
      </c>
      <c r="L106" s="506">
        <v>192.08</v>
      </c>
      <c r="M106" s="377">
        <f>0.017*(1/2)</f>
        <v>8.5000000000000006E-3</v>
      </c>
      <c r="N106" s="372">
        <v>2</v>
      </c>
      <c r="O106" s="507">
        <f>K106*L106*M106*N106</f>
        <v>3.2653600000000003</v>
      </c>
      <c r="P106" s="235">
        <v>87746.527968750001</v>
      </c>
      <c r="Q106" s="646">
        <f>P106*$O106</f>
        <v>286524.00256803754</v>
      </c>
      <c r="R106" s="235">
        <v>88411.662000000011</v>
      </c>
      <c r="S106" s="646">
        <f>R106*$O106</f>
        <v>288695.90462832007</v>
      </c>
      <c r="T106" s="235">
        <v>95484.594960000017</v>
      </c>
      <c r="U106" s="647">
        <f>$O106*T106</f>
        <v>311791.57699858566</v>
      </c>
      <c r="V106" s="235">
        <f>W106/O106</f>
        <v>90547.594976249995</v>
      </c>
      <c r="W106" s="478">
        <f>AVERAGEIF($P$3:$U$3,W$3,$P106:$U106)</f>
        <v>295670.49473164772</v>
      </c>
      <c r="X106" s="648"/>
      <c r="Y106" s="302">
        <f t="shared" si="11"/>
        <v>1491.6909754687501</v>
      </c>
      <c r="Z106" s="232"/>
    </row>
    <row r="107" spans="2:26" x14ac:dyDescent="0.35">
      <c r="B107" s="603"/>
      <c r="D107" s="606"/>
      <c r="E107" s="607"/>
      <c r="F107" s="232" t="s">
        <v>242</v>
      </c>
      <c r="G107" s="318" t="s">
        <v>193</v>
      </c>
      <c r="H107" s="319"/>
      <c r="I107" s="320"/>
      <c r="J107" s="318" t="s">
        <v>189</v>
      </c>
      <c r="K107" s="420">
        <v>1</v>
      </c>
      <c r="L107" s="506">
        <v>192.08</v>
      </c>
      <c r="M107" s="377">
        <f>0.017*(1/2)</f>
        <v>8.5000000000000006E-3</v>
      </c>
      <c r="N107" s="372">
        <v>2</v>
      </c>
      <c r="O107" s="507">
        <f>K107*L107*M107*N107</f>
        <v>3.2653600000000003</v>
      </c>
      <c r="P107" s="235">
        <v>99185.31</v>
      </c>
      <c r="Q107" s="646">
        <f>P107*$O107</f>
        <v>323875.7438616</v>
      </c>
      <c r="R107" s="235">
        <v>99937.152000000016</v>
      </c>
      <c r="S107" s="646">
        <f>R107*$O107</f>
        <v>326330.77865472005</v>
      </c>
      <c r="T107" s="235">
        <v>107932.12416000002</v>
      </c>
      <c r="U107" s="647">
        <f>$O107*T107</f>
        <v>352437.24094709771</v>
      </c>
      <c r="V107" s="235">
        <f>W107/O107</f>
        <v>102351.52872</v>
      </c>
      <c r="W107" s="478">
        <f>AVERAGEIF($P$3:$U$3,W$3,$P107:$U107)</f>
        <v>334214.58782113926</v>
      </c>
      <c r="X107" s="648"/>
      <c r="Y107" s="302">
        <f t="shared" si="11"/>
        <v>1686.1502699999999</v>
      </c>
      <c r="Z107" s="232"/>
    </row>
    <row r="108" spans="2:26" ht="29.25" customHeight="1" x14ac:dyDescent="0.35">
      <c r="B108" s="630" t="s">
        <v>504</v>
      </c>
      <c r="C108" s="770"/>
      <c r="D108" s="770"/>
      <c r="E108" s="771"/>
      <c r="F108" s="633"/>
      <c r="G108" s="634"/>
      <c r="H108" s="635"/>
      <c r="I108" s="636"/>
      <c r="J108" s="634"/>
      <c r="K108" s="637"/>
      <c r="L108" s="638"/>
      <c r="M108" s="772"/>
      <c r="N108" s="773"/>
      <c r="O108" s="635"/>
      <c r="P108" s="640"/>
      <c r="Q108" s="651">
        <f>SUM(Q105:Q107)</f>
        <v>130550684.30447668</v>
      </c>
      <c r="R108" s="774"/>
      <c r="S108" s="651">
        <f>SUM(S97:S107)</f>
        <v>126085778.75086707</v>
      </c>
      <c r="T108" s="650"/>
      <c r="U108" s="650"/>
      <c r="V108" s="650"/>
      <c r="W108" s="650"/>
      <c r="X108" s="652"/>
      <c r="Y108" s="682">
        <f>Q108/$C$1</f>
        <v>679668.28563346877</v>
      </c>
      <c r="Z108" s="775">
        <f>Q108/$Q$401*100</f>
        <v>5.4534281925245986</v>
      </c>
    </row>
    <row r="109" spans="2:26" x14ac:dyDescent="0.35">
      <c r="B109" s="603"/>
      <c r="D109" s="599" t="s">
        <v>503</v>
      </c>
      <c r="E109" s="600"/>
      <c r="F109" s="232" t="s">
        <v>187</v>
      </c>
      <c r="G109" s="318" t="s">
        <v>188</v>
      </c>
      <c r="H109" s="319"/>
      <c r="I109" s="320"/>
      <c r="J109" s="318"/>
      <c r="K109" s="501"/>
      <c r="L109" s="506"/>
      <c r="M109" s="377">
        <v>12</v>
      </c>
      <c r="N109" s="372">
        <v>1</v>
      </c>
      <c r="O109" s="602"/>
      <c r="P109" s="628"/>
      <c r="Q109" s="649"/>
      <c r="R109" s="649"/>
      <c r="S109" s="649"/>
      <c r="T109" s="650"/>
      <c r="U109" s="650"/>
      <c r="V109" s="650"/>
      <c r="W109" s="650"/>
      <c r="X109" s="648"/>
      <c r="Y109" s="302"/>
      <c r="Z109" s="232"/>
    </row>
    <row r="110" spans="2:26" hidden="1" x14ac:dyDescent="0.35">
      <c r="B110" s="603"/>
      <c r="E110" s="604"/>
      <c r="F110" s="232" t="s">
        <v>291</v>
      </c>
      <c r="G110" s="318" t="s">
        <v>193</v>
      </c>
      <c r="H110" s="319"/>
      <c r="I110" s="320"/>
      <c r="J110" s="318"/>
      <c r="K110" s="501"/>
      <c r="L110" s="506"/>
      <c r="M110" s="377">
        <v>1.7000000000000001E-2</v>
      </c>
      <c r="N110" s="372">
        <v>1</v>
      </c>
      <c r="O110" s="602"/>
      <c r="P110" s="628"/>
      <c r="Q110" s="649"/>
      <c r="R110" s="649"/>
      <c r="S110" s="649"/>
      <c r="T110" s="650"/>
      <c r="U110" s="650"/>
      <c r="V110" s="650"/>
      <c r="W110" s="650"/>
      <c r="X110" s="648"/>
      <c r="Y110" s="302"/>
      <c r="Z110" s="232"/>
    </row>
    <row r="111" spans="2:26" hidden="1" x14ac:dyDescent="0.35">
      <c r="B111" s="603"/>
      <c r="E111" s="604"/>
      <c r="F111" s="232" t="s">
        <v>242</v>
      </c>
      <c r="G111" s="318" t="s">
        <v>193</v>
      </c>
      <c r="H111" s="319">
        <v>1</v>
      </c>
      <c r="I111" s="320" t="s">
        <v>238</v>
      </c>
      <c r="J111" s="318"/>
      <c r="K111" s="501"/>
      <c r="L111" s="506"/>
      <c r="M111" s="377">
        <f>((M$109*N$109)/240*($H111/N111))</f>
        <v>0.05</v>
      </c>
      <c r="N111" s="372">
        <v>1</v>
      </c>
      <c r="O111" s="602"/>
      <c r="P111" s="628"/>
      <c r="Q111" s="649"/>
      <c r="R111" s="649"/>
      <c r="S111" s="649"/>
      <c r="T111" s="650"/>
      <c r="U111" s="650"/>
      <c r="V111" s="650"/>
      <c r="W111" s="650"/>
      <c r="X111" s="648"/>
      <c r="Y111" s="302"/>
      <c r="Z111" s="232"/>
    </row>
    <row r="112" spans="2:26" x14ac:dyDescent="0.35">
      <c r="B112" s="598"/>
      <c r="C112" s="599" t="s">
        <v>85</v>
      </c>
      <c r="D112" s="599"/>
      <c r="E112" s="600"/>
      <c r="F112" s="232" t="s">
        <v>187</v>
      </c>
      <c r="G112" s="318" t="s">
        <v>188</v>
      </c>
      <c r="H112" s="319"/>
      <c r="I112" s="320"/>
      <c r="J112" s="318" t="s">
        <v>189</v>
      </c>
      <c r="K112" s="420">
        <v>1</v>
      </c>
      <c r="L112" s="506">
        <v>192.08</v>
      </c>
      <c r="M112" s="373">
        <v>1.25</v>
      </c>
      <c r="N112" s="372">
        <v>2</v>
      </c>
      <c r="O112" s="507">
        <f t="shared" ref="O112:O123" si="12">K112*L112*M112*N112</f>
        <v>480.20000000000005</v>
      </c>
      <c r="P112" s="235">
        <v>169122.61109699999</v>
      </c>
      <c r="Q112" s="646">
        <f t="shared" ref="Q112:Q123" si="13">P112*$O112</f>
        <v>81212677.848779395</v>
      </c>
      <c r="R112" s="235">
        <v>163305.33120000002</v>
      </c>
      <c r="S112" s="646">
        <f t="shared" ref="S112:S123" si="14">R112*$O112</f>
        <v>78419220.042240009</v>
      </c>
      <c r="T112" s="235">
        <v>179635.86432000002</v>
      </c>
      <c r="U112" s="647">
        <f t="shared" ref="U112:U123" si="15">$O112*T112</f>
        <v>86261142.046464026</v>
      </c>
      <c r="V112" s="235">
        <f t="shared" ref="V112:V123" si="16">W112/O112</f>
        <v>170687.93553900003</v>
      </c>
      <c r="W112" s="478">
        <f t="shared" ref="W112:W123" si="17">AVERAGEIF($P$3:$U$3,W$3,$P112:$U112)</f>
        <v>81964346.645827815</v>
      </c>
      <c r="X112" s="648"/>
      <c r="Y112" s="302">
        <f>Q112/$C$1</f>
        <v>422806.52774249995</v>
      </c>
      <c r="Z112" s="232"/>
    </row>
    <row r="113" spans="2:26" x14ac:dyDescent="0.35">
      <c r="B113" s="603"/>
      <c r="E113" s="604"/>
      <c r="F113" s="232" t="s">
        <v>505</v>
      </c>
      <c r="G113" s="318" t="s">
        <v>232</v>
      </c>
      <c r="H113" s="319"/>
      <c r="I113" s="320"/>
      <c r="J113" s="318" t="s">
        <v>189</v>
      </c>
      <c r="K113" s="420">
        <v>0</v>
      </c>
      <c r="L113" s="506">
        <v>192.08</v>
      </c>
      <c r="M113" s="377">
        <v>0.36</v>
      </c>
      <c r="N113" s="372">
        <v>2</v>
      </c>
      <c r="O113" s="507">
        <f t="shared" si="12"/>
        <v>0</v>
      </c>
      <c r="P113" s="235">
        <v>208997.61750000002</v>
      </c>
      <c r="Q113" s="646">
        <f t="shared" si="13"/>
        <v>0</v>
      </c>
      <c r="R113" s="235">
        <v>223236.26568000004</v>
      </c>
      <c r="S113" s="646">
        <f t="shared" si="14"/>
        <v>0</v>
      </c>
      <c r="T113" s="235">
        <v>238862.80427760005</v>
      </c>
      <c r="U113" s="647">
        <f t="shared" si="15"/>
        <v>0</v>
      </c>
      <c r="V113" s="235" t="e">
        <f t="shared" si="16"/>
        <v>#DIV/0!</v>
      </c>
      <c r="W113" s="478">
        <f t="shared" si="17"/>
        <v>0</v>
      </c>
      <c r="X113" s="648"/>
      <c r="Y113" s="302">
        <f t="shared" ref="Y113" si="18">Q113/192.08</f>
        <v>0</v>
      </c>
      <c r="Z113" s="232"/>
    </row>
    <row r="114" spans="2:26" x14ac:dyDescent="0.35">
      <c r="B114" s="603"/>
      <c r="E114" s="604"/>
      <c r="F114" s="232" t="s">
        <v>233</v>
      </c>
      <c r="G114" s="318" t="s">
        <v>191</v>
      </c>
      <c r="H114" s="319"/>
      <c r="I114" s="320"/>
      <c r="J114" s="318" t="s">
        <v>189</v>
      </c>
      <c r="K114" s="420">
        <v>1</v>
      </c>
      <c r="L114" s="506">
        <v>192.08</v>
      </c>
      <c r="M114" s="382">
        <f>36/1000</f>
        <v>3.5999999999999997E-2</v>
      </c>
      <c r="N114" s="372">
        <v>2</v>
      </c>
      <c r="O114" s="507">
        <f t="shared" si="12"/>
        <v>13.82976</v>
      </c>
      <c r="P114" s="235">
        <v>106269.97500000001</v>
      </c>
      <c r="Q114" s="646">
        <f t="shared" si="13"/>
        <v>1469688.249456</v>
      </c>
      <c r="R114" s="235">
        <v>113509.96560000001</v>
      </c>
      <c r="S114" s="646">
        <f t="shared" si="14"/>
        <v>1569815.5818562561</v>
      </c>
      <c r="T114" s="235">
        <v>121455.66319200002</v>
      </c>
      <c r="U114" s="647">
        <f t="shared" si="15"/>
        <v>1679702.6725861942</v>
      </c>
      <c r="V114" s="235">
        <f t="shared" si="16"/>
        <v>113745.201264</v>
      </c>
      <c r="W114" s="478">
        <f t="shared" si="17"/>
        <v>1573068.8346328167</v>
      </c>
      <c r="X114" s="648"/>
      <c r="Y114" s="302">
        <f t="shared" ref="Y114:Y123" si="19">Q114/$C$1</f>
        <v>7651.4381999999996</v>
      </c>
      <c r="Z114" s="232"/>
    </row>
    <row r="115" spans="2:26" x14ac:dyDescent="0.35">
      <c r="B115" s="603"/>
      <c r="E115" s="604"/>
      <c r="F115" s="232" t="s">
        <v>234</v>
      </c>
      <c r="G115" s="318" t="s">
        <v>232</v>
      </c>
      <c r="H115" s="319"/>
      <c r="I115" s="320"/>
      <c r="J115" s="318" t="s">
        <v>189</v>
      </c>
      <c r="K115" s="420">
        <v>1</v>
      </c>
      <c r="L115" s="506">
        <v>192.08</v>
      </c>
      <c r="M115" s="240">
        <v>0.90000000000000013</v>
      </c>
      <c r="N115" s="235">
        <v>2</v>
      </c>
      <c r="O115" s="507">
        <f t="shared" si="12"/>
        <v>345.74400000000009</v>
      </c>
      <c r="P115" s="235">
        <v>31290.603750000002</v>
      </c>
      <c r="Q115" s="646">
        <f t="shared" si="13"/>
        <v>10818538.502940003</v>
      </c>
      <c r="R115" s="235">
        <v>33422.378760000007</v>
      </c>
      <c r="S115" s="646">
        <f t="shared" si="14"/>
        <v>11555586.921997445</v>
      </c>
      <c r="T115" s="235">
        <v>35761.945273200006</v>
      </c>
      <c r="U115" s="647">
        <f t="shared" si="15"/>
        <v>12364478.006537266</v>
      </c>
      <c r="V115" s="235">
        <f t="shared" si="16"/>
        <v>33491.642594400008</v>
      </c>
      <c r="W115" s="478">
        <f t="shared" si="17"/>
        <v>11579534.477158239</v>
      </c>
      <c r="X115" s="648"/>
      <c r="Y115" s="302">
        <f t="shared" si="19"/>
        <v>56323.086750000009</v>
      </c>
      <c r="Z115" s="232"/>
    </row>
    <row r="116" spans="2:26" x14ac:dyDescent="0.35">
      <c r="B116" s="603"/>
      <c r="E116" s="604"/>
      <c r="F116" s="232" t="s">
        <v>235</v>
      </c>
      <c r="G116" s="318" t="s">
        <v>232</v>
      </c>
      <c r="H116" s="319"/>
      <c r="I116" s="320"/>
      <c r="J116" s="318" t="s">
        <v>189</v>
      </c>
      <c r="K116" s="420">
        <v>1</v>
      </c>
      <c r="L116" s="506">
        <v>192.08</v>
      </c>
      <c r="M116" s="373">
        <v>0.27</v>
      </c>
      <c r="N116" s="235">
        <v>2</v>
      </c>
      <c r="O116" s="507">
        <f t="shared" si="12"/>
        <v>103.72320000000002</v>
      </c>
      <c r="P116" s="235">
        <v>49592.654999999999</v>
      </c>
      <c r="Q116" s="646">
        <f t="shared" si="13"/>
        <v>5143908.8730960004</v>
      </c>
      <c r="R116" s="235">
        <v>52971.317280000003</v>
      </c>
      <c r="S116" s="646">
        <f t="shared" si="14"/>
        <v>5494354.5364968972</v>
      </c>
      <c r="T116" s="235">
        <v>56679.309489600004</v>
      </c>
      <c r="U116" s="647">
        <f t="shared" si="15"/>
        <v>5878959.3540516803</v>
      </c>
      <c r="V116" s="235">
        <f t="shared" si="16"/>
        <v>53081.093923199995</v>
      </c>
      <c r="W116" s="478">
        <f t="shared" si="17"/>
        <v>5505740.921214859</v>
      </c>
      <c r="X116" s="648"/>
      <c r="Y116" s="302">
        <f t="shared" si="19"/>
        <v>26780.0337</v>
      </c>
      <c r="Z116" s="232"/>
    </row>
    <row r="117" spans="2:26" x14ac:dyDescent="0.35">
      <c r="B117" s="603"/>
      <c r="E117" s="604"/>
      <c r="F117" s="232" t="s">
        <v>236</v>
      </c>
      <c r="G117" s="318" t="s">
        <v>188</v>
      </c>
      <c r="H117" s="319"/>
      <c r="I117" s="320"/>
      <c r="J117" s="318" t="s">
        <v>189</v>
      </c>
      <c r="K117" s="420">
        <v>1</v>
      </c>
      <c r="L117" s="506">
        <v>192.08</v>
      </c>
      <c r="M117" s="373">
        <f>M112</f>
        <v>1.25</v>
      </c>
      <c r="N117" s="235">
        <v>2</v>
      </c>
      <c r="O117" s="507">
        <f t="shared" si="12"/>
        <v>480.20000000000005</v>
      </c>
      <c r="P117" s="235">
        <v>4469.4136124999995</v>
      </c>
      <c r="Q117" s="646">
        <f t="shared" si="13"/>
        <v>2146212.4167224998</v>
      </c>
      <c r="R117" s="235">
        <v>4490.6400000000003</v>
      </c>
      <c r="S117" s="646">
        <f t="shared" si="14"/>
        <v>2156405.3280000002</v>
      </c>
      <c r="T117" s="235">
        <v>4849.8912000000009</v>
      </c>
      <c r="U117" s="647">
        <f t="shared" si="15"/>
        <v>2328917.7542400006</v>
      </c>
      <c r="V117" s="235">
        <f t="shared" si="16"/>
        <v>4603.3149375000003</v>
      </c>
      <c r="W117" s="478">
        <f t="shared" si="17"/>
        <v>2210511.8329875004</v>
      </c>
      <c r="X117" s="648"/>
      <c r="Y117" s="302">
        <f t="shared" si="19"/>
        <v>11173.534031249997</v>
      </c>
      <c r="Z117" s="232"/>
    </row>
    <row r="118" spans="2:26" x14ac:dyDescent="0.35">
      <c r="B118" s="603"/>
      <c r="E118" s="604"/>
      <c r="F118" s="232" t="s">
        <v>230</v>
      </c>
      <c r="G118" s="318" t="s">
        <v>193</v>
      </c>
      <c r="H118" s="319"/>
      <c r="I118" s="320"/>
      <c r="J118" s="318" t="s">
        <v>189</v>
      </c>
      <c r="K118" s="420">
        <v>1</v>
      </c>
      <c r="L118" s="506">
        <v>192.08</v>
      </c>
      <c r="M118" s="377">
        <f>0.0125*(1/2)</f>
        <v>6.2500000000000003E-3</v>
      </c>
      <c r="N118" s="235">
        <v>2</v>
      </c>
      <c r="O118" s="507">
        <f t="shared" si="12"/>
        <v>2.4010000000000002</v>
      </c>
      <c r="P118" s="235">
        <v>1581858.0973125002</v>
      </c>
      <c r="Q118" s="646">
        <f t="shared" si="13"/>
        <v>3798041.2916473136</v>
      </c>
      <c r="R118" s="235">
        <v>1593848.8584</v>
      </c>
      <c r="S118" s="646">
        <f t="shared" si="14"/>
        <v>3826831.1090184003</v>
      </c>
      <c r="T118" s="235">
        <v>1721356.7670720001</v>
      </c>
      <c r="U118" s="647">
        <f t="shared" si="15"/>
        <v>4132977.5977398725</v>
      </c>
      <c r="V118" s="235">
        <f t="shared" si="16"/>
        <v>1632354.5742615</v>
      </c>
      <c r="W118" s="478">
        <f t="shared" si="17"/>
        <v>3919283.3328018622</v>
      </c>
      <c r="X118" s="648"/>
      <c r="Y118" s="302">
        <f t="shared" si="19"/>
        <v>19773.226216406256</v>
      </c>
      <c r="Z118" s="232"/>
    </row>
    <row r="119" spans="2:26" x14ac:dyDescent="0.35">
      <c r="B119" s="603"/>
      <c r="E119" s="604"/>
      <c r="F119" s="232" t="s">
        <v>237</v>
      </c>
      <c r="G119" s="318" t="s">
        <v>193</v>
      </c>
      <c r="H119" s="319">
        <v>4</v>
      </c>
      <c r="I119" s="320" t="s">
        <v>238</v>
      </c>
      <c r="J119" s="318" t="s">
        <v>189</v>
      </c>
      <c r="K119" s="420">
        <v>1</v>
      </c>
      <c r="L119" s="506">
        <v>192.08</v>
      </c>
      <c r="M119" s="377">
        <f>((M$112*N$112)/240*($H119/N119))</f>
        <v>2.0833333333333332E-2</v>
      </c>
      <c r="N119" s="235">
        <v>2</v>
      </c>
      <c r="O119" s="507">
        <f t="shared" si="12"/>
        <v>8.0033333333333339</v>
      </c>
      <c r="P119" s="235">
        <v>49592.654999999999</v>
      </c>
      <c r="Q119" s="646">
        <f t="shared" si="13"/>
        <v>396906.54885000002</v>
      </c>
      <c r="R119" s="235">
        <v>49968.576000000008</v>
      </c>
      <c r="S119" s="646">
        <f t="shared" si="14"/>
        <v>399915.16992000007</v>
      </c>
      <c r="T119" s="235">
        <v>53966.062080000011</v>
      </c>
      <c r="U119" s="647">
        <f t="shared" si="15"/>
        <v>431908.3835136001</v>
      </c>
      <c r="V119" s="235">
        <f t="shared" si="16"/>
        <v>51175.764360000008</v>
      </c>
      <c r="W119" s="478">
        <f t="shared" si="17"/>
        <v>409576.7007612001</v>
      </c>
      <c r="X119" s="649"/>
      <c r="Y119" s="302">
        <f t="shared" si="19"/>
        <v>2066.3606249999998</v>
      </c>
      <c r="Z119" s="232"/>
    </row>
    <row r="120" spans="2:26" x14ac:dyDescent="0.35">
      <c r="B120" s="603"/>
      <c r="E120" s="604"/>
      <c r="F120" s="232" t="s">
        <v>239</v>
      </c>
      <c r="G120" s="318" t="s">
        <v>193</v>
      </c>
      <c r="H120" s="319">
        <v>12</v>
      </c>
      <c r="I120" s="320" t="s">
        <v>238</v>
      </c>
      <c r="J120" s="318" t="s">
        <v>189</v>
      </c>
      <c r="K120" s="420">
        <v>1</v>
      </c>
      <c r="L120" s="506">
        <v>192.08</v>
      </c>
      <c r="M120" s="377">
        <f>((M$112*N$112)/240*($H120/N120))</f>
        <v>6.25E-2</v>
      </c>
      <c r="N120" s="235">
        <v>2</v>
      </c>
      <c r="O120" s="507">
        <f t="shared" si="12"/>
        <v>24.01</v>
      </c>
      <c r="P120" s="235">
        <v>16206.75</v>
      </c>
      <c r="Q120" s="646">
        <f t="shared" si="13"/>
        <v>389124.0675</v>
      </c>
      <c r="R120" s="235">
        <v>16329.600000000002</v>
      </c>
      <c r="S120" s="646">
        <f t="shared" si="14"/>
        <v>392073.69600000005</v>
      </c>
      <c r="T120" s="235">
        <v>17635.968000000004</v>
      </c>
      <c r="U120" s="647">
        <f t="shared" si="15"/>
        <v>423439.59168000013</v>
      </c>
      <c r="V120" s="235">
        <f t="shared" si="16"/>
        <v>16724.106000000003</v>
      </c>
      <c r="W120" s="478">
        <f t="shared" si="17"/>
        <v>401545.78506000008</v>
      </c>
      <c r="X120" s="649"/>
      <c r="Y120" s="302">
        <f t="shared" si="19"/>
        <v>2025.84375</v>
      </c>
      <c r="Z120" s="232"/>
    </row>
    <row r="121" spans="2:26" x14ac:dyDescent="0.35">
      <c r="B121" s="603"/>
      <c r="E121" s="604"/>
      <c r="F121" s="232" t="s">
        <v>240</v>
      </c>
      <c r="G121" s="318" t="s">
        <v>193</v>
      </c>
      <c r="H121" s="319">
        <v>1</v>
      </c>
      <c r="I121" s="320" t="s">
        <v>238</v>
      </c>
      <c r="J121" s="318" t="s">
        <v>189</v>
      </c>
      <c r="K121" s="420">
        <v>1</v>
      </c>
      <c r="L121" s="506">
        <v>192.08</v>
      </c>
      <c r="M121" s="377">
        <f>((M$112*N$112)/240*($H121/N121))</f>
        <v>5.208333333333333E-3</v>
      </c>
      <c r="N121" s="235">
        <v>2</v>
      </c>
      <c r="O121" s="507">
        <f t="shared" si="12"/>
        <v>2.0008333333333335</v>
      </c>
      <c r="P121" s="235">
        <v>43393.573125000003</v>
      </c>
      <c r="Q121" s="646">
        <f t="shared" si="13"/>
        <v>86823.307560937508</v>
      </c>
      <c r="R121" s="235">
        <v>43722.504000000008</v>
      </c>
      <c r="S121" s="646">
        <f t="shared" si="14"/>
        <v>87481.443420000025</v>
      </c>
      <c r="T121" s="235">
        <v>47220.30432000001</v>
      </c>
      <c r="U121" s="647">
        <f t="shared" si="15"/>
        <v>94479.958893600022</v>
      </c>
      <c r="V121" s="235">
        <f t="shared" si="16"/>
        <v>44778.793815000005</v>
      </c>
      <c r="W121" s="478">
        <f t="shared" si="17"/>
        <v>89594.903291512514</v>
      </c>
      <c r="X121" s="649"/>
      <c r="Y121" s="302">
        <f t="shared" si="19"/>
        <v>452.01638671875003</v>
      </c>
      <c r="Z121" s="232"/>
    </row>
    <row r="122" spans="2:26" x14ac:dyDescent="0.35">
      <c r="B122" s="603"/>
      <c r="E122" s="604"/>
      <c r="F122" s="232" t="s">
        <v>241</v>
      </c>
      <c r="G122" s="318" t="s">
        <v>193</v>
      </c>
      <c r="H122" s="319">
        <v>2</v>
      </c>
      <c r="I122" s="320" t="s">
        <v>238</v>
      </c>
      <c r="J122" s="318" t="s">
        <v>189</v>
      </c>
      <c r="K122" s="420">
        <v>1</v>
      </c>
      <c r="L122" s="506">
        <v>192.08</v>
      </c>
      <c r="M122" s="377">
        <f>((M$112*N$112)/240*($H122/N122))</f>
        <v>1.0416666666666666E-2</v>
      </c>
      <c r="N122" s="235">
        <v>2</v>
      </c>
      <c r="O122" s="507">
        <f t="shared" si="12"/>
        <v>4.0016666666666669</v>
      </c>
      <c r="P122" s="235">
        <v>37194.491250000006</v>
      </c>
      <c r="Q122" s="646">
        <f t="shared" si="13"/>
        <v>148839.95581875002</v>
      </c>
      <c r="R122" s="235">
        <v>37476.432000000001</v>
      </c>
      <c r="S122" s="646">
        <f t="shared" si="14"/>
        <v>149968.18872000001</v>
      </c>
      <c r="T122" s="235">
        <v>40474.546560000003</v>
      </c>
      <c r="U122" s="647">
        <f t="shared" si="15"/>
        <v>161965.64381760001</v>
      </c>
      <c r="V122" s="235">
        <f t="shared" si="16"/>
        <v>38381.823270000001</v>
      </c>
      <c r="W122" s="478">
        <f t="shared" si="17"/>
        <v>153591.26278545</v>
      </c>
      <c r="X122" s="649"/>
      <c r="Y122" s="302">
        <f t="shared" si="19"/>
        <v>774.8852343750001</v>
      </c>
      <c r="Z122" s="232"/>
    </row>
    <row r="123" spans="2:26" x14ac:dyDescent="0.35">
      <c r="B123" s="603"/>
      <c r="E123" s="604"/>
      <c r="F123" s="232" t="s">
        <v>242</v>
      </c>
      <c r="G123" s="318" t="s">
        <v>193</v>
      </c>
      <c r="H123" s="319">
        <v>1</v>
      </c>
      <c r="I123" s="320" t="s">
        <v>238</v>
      </c>
      <c r="J123" s="318" t="s">
        <v>189</v>
      </c>
      <c r="K123" s="420">
        <v>1</v>
      </c>
      <c r="L123" s="506">
        <v>192.08</v>
      </c>
      <c r="M123" s="377">
        <f>((M$112*N$112)/240*($H123/N123))</f>
        <v>5.208333333333333E-3</v>
      </c>
      <c r="N123" s="235">
        <v>2</v>
      </c>
      <c r="O123" s="507">
        <f t="shared" si="12"/>
        <v>2.0008333333333335</v>
      </c>
      <c r="P123" s="235">
        <v>99185.31</v>
      </c>
      <c r="Q123" s="646">
        <f t="shared" si="13"/>
        <v>198453.27442500001</v>
      </c>
      <c r="R123" s="235">
        <v>99937.152000000016</v>
      </c>
      <c r="S123" s="646">
        <f t="shared" si="14"/>
        <v>199957.58496000004</v>
      </c>
      <c r="T123" s="235">
        <v>107932.12416000002</v>
      </c>
      <c r="U123" s="647">
        <f t="shared" si="15"/>
        <v>215954.19175680005</v>
      </c>
      <c r="V123" s="235">
        <f t="shared" si="16"/>
        <v>102351.52872000002</v>
      </c>
      <c r="W123" s="478">
        <f t="shared" si="17"/>
        <v>204788.35038060005</v>
      </c>
      <c r="X123" s="649"/>
      <c r="Y123" s="302">
        <f t="shared" si="19"/>
        <v>1033.1803124999999</v>
      </c>
      <c r="Z123" s="232"/>
    </row>
    <row r="124" spans="2:26" ht="29.25" customHeight="1" x14ac:dyDescent="0.35">
      <c r="B124" s="630" t="s">
        <v>506</v>
      </c>
      <c r="C124" s="770"/>
      <c r="D124" s="770"/>
      <c r="E124" s="771"/>
      <c r="F124" s="633"/>
      <c r="G124" s="634"/>
      <c r="H124" s="635"/>
      <c r="I124" s="636"/>
      <c r="J124" s="634"/>
      <c r="K124" s="637"/>
      <c r="L124" s="638"/>
      <c r="M124" s="772"/>
      <c r="N124" s="773"/>
      <c r="O124" s="635"/>
      <c r="P124" s="640"/>
      <c r="Q124" s="651">
        <f>SUM(Q112:Q123)</f>
        <v>105809214.33679591</v>
      </c>
      <c r="R124" s="774"/>
      <c r="S124" s="651">
        <f>SUM(S113:S123)</f>
        <v>25832389.560388997</v>
      </c>
      <c r="T124" s="650"/>
      <c r="U124" s="650"/>
      <c r="V124" s="650"/>
      <c r="W124" s="650"/>
      <c r="X124" s="652"/>
      <c r="Y124" s="682">
        <f>Q124/$C$1</f>
        <v>550860.13294875005</v>
      </c>
      <c r="Z124" s="775">
        <f>Q124/$Q$401*100</f>
        <v>4.4199151890111867</v>
      </c>
    </row>
    <row r="125" spans="2:26" x14ac:dyDescent="0.35">
      <c r="B125" s="684"/>
      <c r="C125" s="685" t="s">
        <v>85</v>
      </c>
      <c r="D125" s="685"/>
      <c r="E125" s="686"/>
      <c r="F125" s="232" t="s">
        <v>187</v>
      </c>
      <c r="G125" s="318" t="s">
        <v>188</v>
      </c>
      <c r="H125" s="319"/>
      <c r="I125" s="320"/>
      <c r="J125" s="318"/>
      <c r="K125" s="501"/>
      <c r="L125" s="506"/>
      <c r="M125" s="377">
        <v>1.5</v>
      </c>
      <c r="N125" s="372">
        <v>3</v>
      </c>
      <c r="O125" s="602"/>
      <c r="P125" s="628"/>
      <c r="Q125" s="649"/>
      <c r="R125" s="649"/>
      <c r="S125" s="649"/>
      <c r="T125" s="650"/>
      <c r="U125" s="650"/>
      <c r="V125" s="650"/>
      <c r="W125" s="650"/>
      <c r="X125" s="648"/>
      <c r="Y125" s="302"/>
      <c r="Z125" s="232"/>
    </row>
    <row r="126" spans="2:26" hidden="1" x14ac:dyDescent="0.35">
      <c r="B126" s="687"/>
      <c r="C126" s="688" t="s">
        <v>507</v>
      </c>
      <c r="D126" s="688"/>
      <c r="E126" s="689"/>
      <c r="F126" s="232" t="s">
        <v>505</v>
      </c>
      <c r="G126" s="318" t="s">
        <v>232</v>
      </c>
      <c r="H126" s="319"/>
      <c r="I126" s="320"/>
      <c r="J126" s="318"/>
      <c r="K126" s="501"/>
      <c r="L126" s="506"/>
      <c r="M126" s="377">
        <v>0.36</v>
      </c>
      <c r="N126" s="372">
        <v>3</v>
      </c>
      <c r="O126" s="602"/>
      <c r="P126" s="628"/>
      <c r="Q126" s="649"/>
      <c r="R126" s="649"/>
      <c r="S126" s="649"/>
      <c r="T126" s="650"/>
      <c r="U126" s="650"/>
      <c r="V126" s="650"/>
      <c r="W126" s="650"/>
      <c r="X126" s="648"/>
      <c r="Y126" s="302"/>
      <c r="Z126" s="232"/>
    </row>
    <row r="127" spans="2:26" hidden="1" x14ac:dyDescent="0.35">
      <c r="B127" s="690"/>
      <c r="C127" s="691"/>
      <c r="D127" s="691"/>
      <c r="E127" s="692"/>
      <c r="F127" s="232" t="s">
        <v>233</v>
      </c>
      <c r="G127" s="318" t="s">
        <v>191</v>
      </c>
      <c r="H127" s="319"/>
      <c r="I127" s="320"/>
      <c r="J127" s="318"/>
      <c r="K127" s="501"/>
      <c r="L127" s="506"/>
      <c r="M127" s="377">
        <f>36/1000</f>
        <v>3.5999999999999997E-2</v>
      </c>
      <c r="N127" s="372">
        <v>3</v>
      </c>
      <c r="O127" s="602"/>
      <c r="P127" s="628"/>
      <c r="Q127" s="649"/>
      <c r="R127" s="649"/>
      <c r="S127" s="649"/>
      <c r="T127" s="650"/>
      <c r="U127" s="650"/>
      <c r="V127" s="650"/>
      <c r="W127" s="650"/>
      <c r="X127" s="648"/>
      <c r="Y127" s="302"/>
      <c r="Z127" s="232"/>
    </row>
    <row r="128" spans="2:26" hidden="1" x14ac:dyDescent="0.35">
      <c r="B128" s="690"/>
      <c r="C128" s="691"/>
      <c r="D128" s="691"/>
      <c r="E128" s="692"/>
      <c r="F128" s="232" t="s">
        <v>234</v>
      </c>
      <c r="G128" s="318" t="s">
        <v>232</v>
      </c>
      <c r="H128" s="319"/>
      <c r="I128" s="320"/>
      <c r="J128" s="318"/>
      <c r="K128" s="501"/>
      <c r="L128" s="506"/>
      <c r="M128" s="231">
        <v>0.90000000000000013</v>
      </c>
      <c r="N128" s="235">
        <v>3</v>
      </c>
      <c r="O128" s="319"/>
      <c r="P128" s="492"/>
      <c r="Q128" s="646"/>
      <c r="R128" s="646"/>
      <c r="S128" s="646"/>
      <c r="T128" s="647"/>
      <c r="U128" s="647"/>
      <c r="V128" s="647"/>
      <c r="W128" s="647"/>
      <c r="X128" s="648"/>
      <c r="Y128" s="302"/>
      <c r="Z128" s="232"/>
    </row>
    <row r="129" spans="1:27" hidden="1" x14ac:dyDescent="0.35">
      <c r="B129" s="690"/>
      <c r="C129" s="691"/>
      <c r="D129" s="691"/>
      <c r="E129" s="692"/>
      <c r="F129" s="232" t="s">
        <v>235</v>
      </c>
      <c r="G129" s="318" t="s">
        <v>232</v>
      </c>
      <c r="H129" s="319"/>
      <c r="I129" s="320"/>
      <c r="J129" s="318"/>
      <c r="K129" s="501"/>
      <c r="L129" s="506"/>
      <c r="M129" s="377">
        <v>0.27</v>
      </c>
      <c r="N129" s="235">
        <v>3</v>
      </c>
      <c r="O129" s="319"/>
      <c r="P129" s="492"/>
      <c r="Q129" s="646"/>
      <c r="R129" s="646"/>
      <c r="S129" s="646"/>
      <c r="T129" s="647"/>
      <c r="U129" s="647"/>
      <c r="V129" s="647"/>
      <c r="W129" s="647"/>
      <c r="X129" s="648"/>
      <c r="Y129" s="302"/>
      <c r="Z129" s="232"/>
    </row>
    <row r="130" spans="1:27" hidden="1" x14ac:dyDescent="0.35">
      <c r="B130" s="690"/>
      <c r="C130" s="691"/>
      <c r="D130" s="691"/>
      <c r="E130" s="692"/>
      <c r="F130" s="232" t="s">
        <v>236</v>
      </c>
      <c r="G130" s="318" t="s">
        <v>188</v>
      </c>
      <c r="H130" s="319"/>
      <c r="I130" s="320"/>
      <c r="J130" s="318"/>
      <c r="K130" s="501"/>
      <c r="L130" s="506"/>
      <c r="M130" s="377">
        <v>1.5</v>
      </c>
      <c r="N130" s="235">
        <v>3</v>
      </c>
      <c r="O130" s="319"/>
      <c r="P130" s="492"/>
      <c r="Q130" s="646"/>
      <c r="R130" s="646"/>
      <c r="S130" s="646"/>
      <c r="T130" s="647"/>
      <c r="U130" s="647"/>
      <c r="V130" s="647"/>
      <c r="W130" s="647"/>
      <c r="X130" s="648"/>
      <c r="Y130" s="302"/>
      <c r="Z130" s="232"/>
    </row>
    <row r="131" spans="1:27" hidden="1" x14ac:dyDescent="0.35">
      <c r="B131" s="690"/>
      <c r="C131" s="691"/>
      <c r="D131" s="691"/>
      <c r="E131" s="692"/>
      <c r="F131" s="232" t="s">
        <v>508</v>
      </c>
      <c r="G131" s="318" t="s">
        <v>193</v>
      </c>
      <c r="H131" s="319"/>
      <c r="I131" s="320"/>
      <c r="J131" s="318"/>
      <c r="K131" s="501"/>
      <c r="L131" s="506"/>
      <c r="M131" s="377">
        <f>0.0188*(1/3)</f>
        <v>6.2666666666666669E-3</v>
      </c>
      <c r="N131" s="235">
        <v>3</v>
      </c>
      <c r="O131" s="319"/>
      <c r="P131" s="492"/>
      <c r="Q131" s="646"/>
      <c r="R131" s="646"/>
      <c r="S131" s="646"/>
      <c r="T131" s="647"/>
      <c r="U131" s="647"/>
      <c r="V131" s="647"/>
      <c r="W131" s="647"/>
      <c r="X131" s="648"/>
      <c r="Y131" s="302"/>
      <c r="Z131" s="232"/>
    </row>
    <row r="132" spans="1:27" hidden="1" x14ac:dyDescent="0.35">
      <c r="B132" s="690"/>
      <c r="C132" s="691"/>
      <c r="D132" s="691"/>
      <c r="E132" s="692"/>
      <c r="F132" s="232" t="s">
        <v>237</v>
      </c>
      <c r="G132" s="318" t="s">
        <v>193</v>
      </c>
      <c r="H132" s="319">
        <v>4</v>
      </c>
      <c r="I132" s="320" t="s">
        <v>238</v>
      </c>
      <c r="J132" s="318"/>
      <c r="K132" s="501"/>
      <c r="L132" s="506"/>
      <c r="M132" s="377">
        <f>((M$125*N$125)/240*($H132/N132))</f>
        <v>2.4999999999999998E-2</v>
      </c>
      <c r="N132" s="235">
        <v>3</v>
      </c>
      <c r="O132" s="319"/>
      <c r="P132" s="492"/>
      <c r="Q132" s="646"/>
      <c r="R132" s="646"/>
      <c r="S132" s="646"/>
      <c r="T132" s="647"/>
      <c r="U132" s="647"/>
      <c r="V132" s="647"/>
      <c r="W132" s="647"/>
      <c r="X132" s="648"/>
      <c r="Y132" s="302"/>
      <c r="Z132" s="232"/>
    </row>
    <row r="133" spans="1:27" hidden="1" x14ac:dyDescent="0.35">
      <c r="B133" s="690"/>
      <c r="C133" s="691"/>
      <c r="D133" s="691"/>
      <c r="E133" s="692"/>
      <c r="F133" s="232" t="s">
        <v>239</v>
      </c>
      <c r="G133" s="318" t="s">
        <v>193</v>
      </c>
      <c r="H133" s="319">
        <v>12</v>
      </c>
      <c r="I133" s="320" t="s">
        <v>238</v>
      </c>
      <c r="J133" s="318"/>
      <c r="K133" s="501"/>
      <c r="L133" s="506"/>
      <c r="M133" s="377">
        <f>((M$125*N$125)/240*($H133/N133))</f>
        <v>7.4999999999999997E-2</v>
      </c>
      <c r="N133" s="235">
        <v>3</v>
      </c>
      <c r="O133" s="319"/>
      <c r="P133" s="492"/>
      <c r="Q133" s="646"/>
      <c r="R133" s="646"/>
      <c r="S133" s="646"/>
      <c r="T133" s="647"/>
      <c r="U133" s="647"/>
      <c r="V133" s="647"/>
      <c r="W133" s="647"/>
      <c r="X133" s="648"/>
      <c r="Y133" s="302"/>
      <c r="Z133" s="232"/>
    </row>
    <row r="134" spans="1:27" hidden="1" x14ac:dyDescent="0.35">
      <c r="B134" s="690"/>
      <c r="C134" s="691"/>
      <c r="D134" s="691"/>
      <c r="E134" s="692"/>
      <c r="F134" s="232" t="s">
        <v>240</v>
      </c>
      <c r="G134" s="318" t="s">
        <v>193</v>
      </c>
      <c r="H134" s="319">
        <v>1</v>
      </c>
      <c r="I134" s="320" t="s">
        <v>238</v>
      </c>
      <c r="J134" s="318"/>
      <c r="K134" s="501"/>
      <c r="L134" s="506"/>
      <c r="M134" s="377">
        <f>((M$125*N$125)/240*($H134/N134))</f>
        <v>6.2499999999999995E-3</v>
      </c>
      <c r="N134" s="235">
        <v>3</v>
      </c>
      <c r="O134" s="319"/>
      <c r="P134" s="492"/>
      <c r="Q134" s="646"/>
      <c r="R134" s="646"/>
      <c r="S134" s="646"/>
      <c r="T134" s="647"/>
      <c r="U134" s="647"/>
      <c r="V134" s="647"/>
      <c r="W134" s="647"/>
      <c r="X134" s="648"/>
      <c r="Y134" s="302"/>
      <c r="Z134" s="232"/>
    </row>
    <row r="135" spans="1:27" hidden="1" x14ac:dyDescent="0.35">
      <c r="B135" s="690"/>
      <c r="C135" s="691"/>
      <c r="D135" s="691"/>
      <c r="E135" s="692"/>
      <c r="F135" s="232" t="s">
        <v>241</v>
      </c>
      <c r="G135" s="318" t="s">
        <v>193</v>
      </c>
      <c r="H135" s="319">
        <v>2</v>
      </c>
      <c r="I135" s="320" t="s">
        <v>238</v>
      </c>
      <c r="J135" s="318"/>
      <c r="K135" s="501"/>
      <c r="L135" s="506"/>
      <c r="M135" s="377">
        <f>((M$125*N$125)/240*($H135/N135))</f>
        <v>1.2499999999999999E-2</v>
      </c>
      <c r="N135" s="235">
        <v>3</v>
      </c>
      <c r="O135" s="319"/>
      <c r="P135" s="492"/>
      <c r="Q135" s="646"/>
      <c r="R135" s="646"/>
      <c r="S135" s="646"/>
      <c r="T135" s="647"/>
      <c r="U135" s="647"/>
      <c r="V135" s="647"/>
      <c r="W135" s="647"/>
      <c r="X135" s="648"/>
      <c r="Y135" s="302"/>
      <c r="Z135" s="232"/>
    </row>
    <row r="136" spans="1:27" hidden="1" x14ac:dyDescent="0.35">
      <c r="B136" s="690"/>
      <c r="C136" s="691"/>
      <c r="D136" s="691"/>
      <c r="E136" s="692"/>
      <c r="F136" s="232" t="s">
        <v>242</v>
      </c>
      <c r="G136" s="318" t="s">
        <v>193</v>
      </c>
      <c r="H136" s="319">
        <v>1</v>
      </c>
      <c r="I136" s="320" t="s">
        <v>238</v>
      </c>
      <c r="J136" s="318"/>
      <c r="K136" s="501"/>
      <c r="L136" s="506"/>
      <c r="M136" s="377">
        <f>((M$125*N$125)/240*($H136/N136))</f>
        <v>6.2499999999999995E-3</v>
      </c>
      <c r="N136" s="235">
        <v>3</v>
      </c>
      <c r="O136" s="319"/>
      <c r="P136" s="492"/>
      <c r="Q136" s="646"/>
      <c r="R136" s="646"/>
      <c r="S136" s="646"/>
      <c r="T136" s="647"/>
      <c r="U136" s="647"/>
      <c r="V136" s="647"/>
      <c r="W136" s="647"/>
      <c r="X136" s="648"/>
      <c r="Y136" s="302"/>
      <c r="Z136" s="232"/>
    </row>
    <row r="137" spans="1:27" hidden="1" x14ac:dyDescent="0.35">
      <c r="B137" s="690"/>
      <c r="C137" s="691"/>
      <c r="D137" s="691"/>
      <c r="E137" s="692"/>
      <c r="F137" s="232"/>
      <c r="G137" s="318"/>
      <c r="H137" s="319"/>
      <c r="I137" s="320"/>
      <c r="J137" s="318"/>
      <c r="K137" s="501"/>
      <c r="L137" s="506"/>
      <c r="M137" s="231"/>
      <c r="N137" s="235"/>
      <c r="O137" s="319"/>
      <c r="P137" s="492"/>
      <c r="Q137" s="646"/>
      <c r="R137" s="646"/>
      <c r="S137" s="646"/>
      <c r="T137" s="647"/>
      <c r="U137" s="647"/>
      <c r="V137" s="647"/>
      <c r="W137" s="647"/>
      <c r="X137" s="648"/>
      <c r="Y137" s="302"/>
      <c r="Z137" s="232"/>
    </row>
    <row r="138" spans="1:27" s="375" customFormat="1" x14ac:dyDescent="0.35">
      <c r="A138" s="286"/>
      <c r="B138" s="602"/>
      <c r="C138" s="626" t="s">
        <v>509</v>
      </c>
      <c r="D138" s="626"/>
      <c r="E138" s="678"/>
      <c r="F138" s="374"/>
      <c r="G138" s="625"/>
      <c r="H138" s="602"/>
      <c r="I138" s="626"/>
      <c r="J138" s="625"/>
      <c r="K138" s="596"/>
      <c r="L138" s="496"/>
      <c r="M138" s="377"/>
      <c r="N138" s="372"/>
      <c r="O138" s="602"/>
      <c r="P138" s="628"/>
      <c r="Q138" s="649"/>
      <c r="R138" s="649"/>
      <c r="S138" s="649"/>
      <c r="T138" s="650"/>
      <c r="U138" s="650"/>
      <c r="V138" s="650"/>
      <c r="W138" s="650"/>
      <c r="X138" s="648"/>
      <c r="Y138" s="679"/>
      <c r="Z138" s="374"/>
      <c r="AA138" s="286"/>
    </row>
    <row r="139" spans="1:27" x14ac:dyDescent="0.35">
      <c r="B139" s="598"/>
      <c r="C139" s="599"/>
      <c r="D139" s="599" t="s">
        <v>510</v>
      </c>
      <c r="E139" s="600"/>
      <c r="F139" s="232" t="s">
        <v>187</v>
      </c>
      <c r="G139" s="318" t="s">
        <v>188</v>
      </c>
      <c r="H139" s="319"/>
      <c r="I139" s="320"/>
      <c r="J139" s="318"/>
      <c r="K139" s="501"/>
      <c r="L139" s="506"/>
      <c r="M139" s="231">
        <v>4</v>
      </c>
      <c r="N139" s="235">
        <v>1</v>
      </c>
      <c r="O139" s="319"/>
      <c r="P139" s="492"/>
      <c r="Q139" s="646"/>
      <c r="R139" s="646"/>
      <c r="S139" s="646"/>
      <c r="T139" s="647"/>
      <c r="U139" s="647"/>
      <c r="V139" s="647"/>
      <c r="W139" s="647"/>
      <c r="X139" s="648"/>
      <c r="Y139" s="302"/>
      <c r="Z139" s="232"/>
    </row>
    <row r="140" spans="1:27" hidden="1" x14ac:dyDescent="0.35">
      <c r="B140" s="603"/>
      <c r="E140" s="604"/>
      <c r="F140" s="232" t="s">
        <v>231</v>
      </c>
      <c r="G140" s="318" t="s">
        <v>232</v>
      </c>
      <c r="H140" s="319"/>
      <c r="I140" s="320"/>
      <c r="J140" s="318"/>
      <c r="K140" s="501"/>
      <c r="L140" s="506"/>
      <c r="M140" s="231">
        <v>4</v>
      </c>
      <c r="N140" s="235">
        <v>1</v>
      </c>
      <c r="O140" s="319"/>
      <c r="P140" s="492"/>
      <c r="Q140" s="646"/>
      <c r="R140" s="646"/>
      <c r="S140" s="646"/>
      <c r="T140" s="647"/>
      <c r="U140" s="647"/>
      <c r="V140" s="647"/>
      <c r="W140" s="647"/>
      <c r="X140" s="648"/>
      <c r="Y140" s="302"/>
      <c r="Z140" s="232"/>
    </row>
    <row r="141" spans="1:27" hidden="1" x14ac:dyDescent="0.35">
      <c r="B141" s="603"/>
      <c r="E141" s="604"/>
      <c r="F141" s="232" t="s">
        <v>235</v>
      </c>
      <c r="G141" s="318" t="s">
        <v>232</v>
      </c>
      <c r="H141" s="319"/>
      <c r="I141" s="320"/>
      <c r="J141" s="318"/>
      <c r="K141" s="501"/>
      <c r="L141" s="506"/>
      <c r="M141" s="377">
        <v>7.2000000000000008E-2</v>
      </c>
      <c r="N141" s="235">
        <v>1</v>
      </c>
      <c r="O141" s="319"/>
      <c r="P141" s="492"/>
      <c r="Q141" s="646"/>
      <c r="R141" s="646"/>
      <c r="S141" s="646"/>
      <c r="T141" s="647"/>
      <c r="U141" s="647"/>
      <c r="V141" s="647"/>
      <c r="W141" s="647"/>
      <c r="X141" s="648"/>
      <c r="Y141" s="302"/>
      <c r="Z141" s="232"/>
    </row>
    <row r="142" spans="1:27" hidden="1" x14ac:dyDescent="0.35">
      <c r="B142" s="603"/>
      <c r="E142" s="604"/>
      <c r="F142" s="232" t="s">
        <v>236</v>
      </c>
      <c r="G142" s="318" t="s">
        <v>188</v>
      </c>
      <c r="H142" s="319"/>
      <c r="I142" s="320"/>
      <c r="J142" s="318"/>
      <c r="K142" s="501"/>
      <c r="L142" s="506"/>
      <c r="M142" s="377">
        <v>4</v>
      </c>
      <c r="N142" s="235">
        <v>1</v>
      </c>
      <c r="O142" s="319"/>
      <c r="P142" s="492"/>
      <c r="Q142" s="646"/>
      <c r="R142" s="646"/>
      <c r="S142" s="646"/>
      <c r="T142" s="647"/>
      <c r="U142" s="647"/>
      <c r="V142" s="647"/>
      <c r="W142" s="647"/>
      <c r="X142" s="648"/>
      <c r="Y142" s="302"/>
      <c r="Z142" s="232"/>
    </row>
    <row r="143" spans="1:27" hidden="1" x14ac:dyDescent="0.35">
      <c r="B143" s="603"/>
      <c r="E143" s="604"/>
      <c r="F143" s="232" t="s">
        <v>230</v>
      </c>
      <c r="G143" s="318" t="s">
        <v>193</v>
      </c>
      <c r="H143" s="319"/>
      <c r="I143" s="320"/>
      <c r="J143" s="318"/>
      <c r="K143" s="501"/>
      <c r="L143" s="506"/>
      <c r="M143" s="377">
        <f>((4*1)/240)</f>
        <v>1.6666666666666666E-2</v>
      </c>
      <c r="N143" s="235">
        <v>1</v>
      </c>
      <c r="O143" s="319"/>
      <c r="P143" s="492"/>
      <c r="Q143" s="646"/>
      <c r="R143" s="646"/>
      <c r="S143" s="646"/>
      <c r="T143" s="647"/>
      <c r="U143" s="647"/>
      <c r="V143" s="647"/>
      <c r="W143" s="647"/>
      <c r="X143" s="648"/>
      <c r="Y143" s="302"/>
      <c r="Z143" s="232"/>
    </row>
    <row r="144" spans="1:27" hidden="1" x14ac:dyDescent="0.35">
      <c r="B144" s="603"/>
      <c r="E144" s="604"/>
      <c r="F144" s="232" t="s">
        <v>237</v>
      </c>
      <c r="G144" s="318" t="s">
        <v>193</v>
      </c>
      <c r="H144" s="319">
        <v>4</v>
      </c>
      <c r="I144" s="320" t="s">
        <v>238</v>
      </c>
      <c r="J144" s="318"/>
      <c r="K144" s="501"/>
      <c r="L144" s="506"/>
      <c r="M144" s="377">
        <f>((M$139*N$139)/240*($H144/N144))</f>
        <v>6.6666666666666666E-2</v>
      </c>
      <c r="N144" s="235">
        <v>1</v>
      </c>
      <c r="O144" s="319"/>
      <c r="P144" s="492"/>
      <c r="Q144" s="646"/>
      <c r="R144" s="646"/>
      <c r="S144" s="646"/>
      <c r="T144" s="647"/>
      <c r="U144" s="647"/>
      <c r="V144" s="647"/>
      <c r="W144" s="647"/>
      <c r="X144" s="648"/>
      <c r="Y144" s="302"/>
      <c r="Z144" s="232"/>
    </row>
    <row r="145" spans="2:26" hidden="1" x14ac:dyDescent="0.35">
      <c r="B145" s="603"/>
      <c r="E145" s="604"/>
      <c r="F145" s="232" t="s">
        <v>239</v>
      </c>
      <c r="G145" s="318" t="s">
        <v>193</v>
      </c>
      <c r="H145" s="319">
        <v>12</v>
      </c>
      <c r="I145" s="320" t="s">
        <v>238</v>
      </c>
      <c r="J145" s="318"/>
      <c r="K145" s="501"/>
      <c r="L145" s="506"/>
      <c r="M145" s="377">
        <f>((M$139*N$139)/240*($H145/N145))</f>
        <v>0.2</v>
      </c>
      <c r="N145" s="235">
        <v>1</v>
      </c>
      <c r="O145" s="319"/>
      <c r="P145" s="492"/>
      <c r="Q145" s="646"/>
      <c r="R145" s="646"/>
      <c r="S145" s="646"/>
      <c r="T145" s="647"/>
      <c r="U145" s="647"/>
      <c r="V145" s="647"/>
      <c r="W145" s="647"/>
      <c r="X145" s="648"/>
      <c r="Y145" s="302"/>
      <c r="Z145" s="232"/>
    </row>
    <row r="146" spans="2:26" hidden="1" x14ac:dyDescent="0.35">
      <c r="B146" s="603"/>
      <c r="E146" s="604"/>
      <c r="F146" s="232" t="s">
        <v>240</v>
      </c>
      <c r="G146" s="318" t="s">
        <v>193</v>
      </c>
      <c r="H146" s="319">
        <v>1</v>
      </c>
      <c r="I146" s="320" t="s">
        <v>238</v>
      </c>
      <c r="J146" s="318"/>
      <c r="K146" s="501"/>
      <c r="L146" s="506"/>
      <c r="M146" s="377">
        <f>((M$139*N$139)/240*($H146/N146))</f>
        <v>1.6666666666666666E-2</v>
      </c>
      <c r="N146" s="235">
        <v>1</v>
      </c>
      <c r="O146" s="319"/>
      <c r="P146" s="492"/>
      <c r="Q146" s="646"/>
      <c r="R146" s="646"/>
      <c r="S146" s="646"/>
      <c r="T146" s="647"/>
      <c r="U146" s="647"/>
      <c r="V146" s="647"/>
      <c r="W146" s="647"/>
      <c r="X146" s="648"/>
      <c r="Y146" s="302"/>
      <c r="Z146" s="232"/>
    </row>
    <row r="147" spans="2:26" hidden="1" x14ac:dyDescent="0.35">
      <c r="B147" s="603"/>
      <c r="E147" s="604"/>
      <c r="F147" s="232" t="s">
        <v>241</v>
      </c>
      <c r="G147" s="318" t="s">
        <v>193</v>
      </c>
      <c r="H147" s="319">
        <v>2</v>
      </c>
      <c r="I147" s="320" t="s">
        <v>238</v>
      </c>
      <c r="J147" s="318"/>
      <c r="K147" s="501"/>
      <c r="L147" s="506"/>
      <c r="M147" s="377">
        <f>((M$139*N$139)/240*($H147/N147))</f>
        <v>3.3333333333333333E-2</v>
      </c>
      <c r="N147" s="235">
        <v>1</v>
      </c>
      <c r="O147" s="319"/>
      <c r="P147" s="492"/>
      <c r="Q147" s="646"/>
      <c r="R147" s="646"/>
      <c r="S147" s="646"/>
      <c r="T147" s="647"/>
      <c r="U147" s="647"/>
      <c r="V147" s="647"/>
      <c r="W147" s="647"/>
      <c r="X147" s="648"/>
      <c r="Y147" s="302"/>
      <c r="Z147" s="232"/>
    </row>
    <row r="148" spans="2:26" hidden="1" x14ac:dyDescent="0.35">
      <c r="B148" s="603"/>
      <c r="E148" s="604"/>
      <c r="F148" s="232" t="s">
        <v>242</v>
      </c>
      <c r="G148" s="318" t="s">
        <v>193</v>
      </c>
      <c r="H148" s="319">
        <v>1</v>
      </c>
      <c r="I148" s="320" t="s">
        <v>238</v>
      </c>
      <c r="J148" s="318"/>
      <c r="K148" s="501"/>
      <c r="L148" s="506"/>
      <c r="M148" s="377">
        <f>((M$139*N$139)/240*($H148/N148))</f>
        <v>1.6666666666666666E-2</v>
      </c>
      <c r="N148" s="235">
        <v>1</v>
      </c>
      <c r="O148" s="319"/>
      <c r="P148" s="492"/>
      <c r="Q148" s="646"/>
      <c r="R148" s="646"/>
      <c r="S148" s="646"/>
      <c r="T148" s="647"/>
      <c r="U148" s="647"/>
      <c r="V148" s="647"/>
      <c r="W148" s="647"/>
      <c r="X148" s="648"/>
      <c r="Y148" s="302"/>
      <c r="Z148" s="232"/>
    </row>
    <row r="149" spans="2:26" x14ac:dyDescent="0.35">
      <c r="B149" s="603"/>
      <c r="D149" s="599" t="s">
        <v>89</v>
      </c>
      <c r="E149" s="600"/>
      <c r="F149" s="232" t="s">
        <v>187</v>
      </c>
      <c r="G149" s="318" t="s">
        <v>188</v>
      </c>
      <c r="H149" s="319"/>
      <c r="I149" s="320"/>
      <c r="J149" s="318" t="s">
        <v>189</v>
      </c>
      <c r="K149" s="420">
        <v>0.2</v>
      </c>
      <c r="L149" s="506">
        <v>192.08</v>
      </c>
      <c r="M149" s="423">
        <v>1.5</v>
      </c>
      <c r="N149" s="235">
        <v>2</v>
      </c>
      <c r="O149" s="507">
        <f t="shared" ref="O149:O167" si="20">K149*L149*M149*N149</f>
        <v>115.24800000000002</v>
      </c>
      <c r="P149" s="235">
        <v>169122.61109699999</v>
      </c>
      <c r="Q149" s="646">
        <f t="shared" ref="Q149:Q167" si="21">P149*$O149</f>
        <v>19491042.683707058</v>
      </c>
      <c r="R149" s="235">
        <v>163305.33120000002</v>
      </c>
      <c r="S149" s="646">
        <f t="shared" ref="S149:S167" si="22">R149*$O149</f>
        <v>18820612.810137603</v>
      </c>
      <c r="T149" s="235">
        <v>179635.86432000002</v>
      </c>
      <c r="U149" s="647">
        <f t="shared" ref="U149:U167" si="23">$O149*T149</f>
        <v>20702674.091151364</v>
      </c>
      <c r="V149" s="235">
        <f t="shared" ref="V149:V167" si="24">W149/O149</f>
        <v>170687.935539</v>
      </c>
      <c r="W149" s="478">
        <f t="shared" ref="W149:W167" si="25">AVERAGEIF($P$3:$U$3,W$3,$P149:$U149)</f>
        <v>19671443.194998674</v>
      </c>
      <c r="X149" s="648"/>
      <c r="Y149" s="302">
        <f t="shared" ref="Y149:Y167" si="26">Q149/$C$1</f>
        <v>101473.56665820001</v>
      </c>
      <c r="Z149" s="232"/>
    </row>
    <row r="150" spans="2:26" x14ac:dyDescent="0.35">
      <c r="B150" s="603"/>
      <c r="E150" s="604"/>
      <c r="F150" s="232" t="s">
        <v>231</v>
      </c>
      <c r="G150" s="318" t="s">
        <v>232</v>
      </c>
      <c r="H150" s="319"/>
      <c r="I150" s="320"/>
      <c r="J150" s="318" t="s">
        <v>189</v>
      </c>
      <c r="K150" s="420">
        <v>0.2</v>
      </c>
      <c r="L150" s="506">
        <v>192.08</v>
      </c>
      <c r="M150" s="423">
        <v>1.5</v>
      </c>
      <c r="N150" s="235">
        <v>2</v>
      </c>
      <c r="O150" s="507">
        <f t="shared" si="20"/>
        <v>115.24800000000002</v>
      </c>
      <c r="P150" s="235">
        <v>38965.657500000001</v>
      </c>
      <c r="Q150" s="646">
        <f t="shared" si="21"/>
        <v>4490714.0955600012</v>
      </c>
      <c r="R150" s="235">
        <v>41620.320720000011</v>
      </c>
      <c r="S150" s="646">
        <f t="shared" si="22"/>
        <v>4796658.7223385619</v>
      </c>
      <c r="T150" s="235">
        <v>44533.743170400012</v>
      </c>
      <c r="U150" s="647">
        <f t="shared" si="23"/>
        <v>5132424.8329022611</v>
      </c>
      <c r="V150" s="235">
        <f t="shared" si="24"/>
        <v>41706.57379680001</v>
      </c>
      <c r="W150" s="478">
        <f t="shared" si="25"/>
        <v>4806599.2169336081</v>
      </c>
      <c r="X150" s="648"/>
      <c r="Y150" s="302">
        <f t="shared" si="26"/>
        <v>23379.394500000006</v>
      </c>
      <c r="Z150" s="232"/>
    </row>
    <row r="151" spans="2:26" x14ac:dyDescent="0.35">
      <c r="B151" s="603"/>
      <c r="E151" s="604"/>
      <c r="F151" s="232" t="s">
        <v>235</v>
      </c>
      <c r="G151" s="318" t="s">
        <v>232</v>
      </c>
      <c r="H151" s="319"/>
      <c r="I151" s="320"/>
      <c r="J151" s="318" t="s">
        <v>189</v>
      </c>
      <c r="K151" s="420">
        <v>0.2</v>
      </c>
      <c r="L151" s="506">
        <v>192.08</v>
      </c>
      <c r="M151" s="377">
        <v>2.7E-2</v>
      </c>
      <c r="N151" s="235">
        <v>2</v>
      </c>
      <c r="O151" s="507">
        <f t="shared" si="20"/>
        <v>2.0744640000000003</v>
      </c>
      <c r="P151" s="235">
        <v>49592.654999999999</v>
      </c>
      <c r="Q151" s="646">
        <f t="shared" si="21"/>
        <v>102878.17746192002</v>
      </c>
      <c r="R151" s="235">
        <v>52971.317280000003</v>
      </c>
      <c r="S151" s="646">
        <f t="shared" si="22"/>
        <v>109887.09072993795</v>
      </c>
      <c r="T151" s="235">
        <v>56679.309489600004</v>
      </c>
      <c r="U151" s="647">
        <f t="shared" si="23"/>
        <v>117579.1870810336</v>
      </c>
      <c r="V151" s="235">
        <f t="shared" si="24"/>
        <v>53081.093923200002</v>
      </c>
      <c r="W151" s="478">
        <f t="shared" si="25"/>
        <v>110114.81842429719</v>
      </c>
      <c r="X151" s="648"/>
      <c r="Y151" s="302">
        <f t="shared" si="26"/>
        <v>535.60067400000003</v>
      </c>
      <c r="Z151" s="232"/>
    </row>
    <row r="152" spans="2:26" x14ac:dyDescent="0.35">
      <c r="B152" s="603"/>
      <c r="E152" s="604"/>
      <c r="F152" s="232" t="s">
        <v>236</v>
      </c>
      <c r="G152" s="318" t="s">
        <v>188</v>
      </c>
      <c r="H152" s="319"/>
      <c r="I152" s="320"/>
      <c r="J152" s="318" t="s">
        <v>189</v>
      </c>
      <c r="K152" s="420">
        <v>0.2</v>
      </c>
      <c r="L152" s="506">
        <v>192.08</v>
      </c>
      <c r="M152" s="423">
        <v>1.5</v>
      </c>
      <c r="N152" s="235">
        <v>2</v>
      </c>
      <c r="O152" s="507">
        <f t="shared" si="20"/>
        <v>115.24800000000002</v>
      </c>
      <c r="P152" s="235">
        <v>4469.4136124999995</v>
      </c>
      <c r="Q152" s="646">
        <f t="shared" si="21"/>
        <v>515090.98001340003</v>
      </c>
      <c r="R152" s="235">
        <v>4490.6400000000003</v>
      </c>
      <c r="S152" s="646">
        <f t="shared" si="22"/>
        <v>517537.27872000012</v>
      </c>
      <c r="T152" s="235">
        <v>4849.8912000000009</v>
      </c>
      <c r="U152" s="647">
        <f t="shared" si="23"/>
        <v>558940.26101760019</v>
      </c>
      <c r="V152" s="235">
        <f t="shared" si="24"/>
        <v>4603.3149374999994</v>
      </c>
      <c r="W152" s="478">
        <f t="shared" si="25"/>
        <v>530522.83991700003</v>
      </c>
      <c r="X152" s="648"/>
      <c r="Y152" s="302">
        <f t="shared" si="26"/>
        <v>2681.6481675</v>
      </c>
      <c r="Z152" s="232"/>
    </row>
    <row r="153" spans="2:26" x14ac:dyDescent="0.35">
      <c r="B153" s="603"/>
      <c r="E153" s="604"/>
      <c r="F153" s="232" t="s">
        <v>230</v>
      </c>
      <c r="G153" s="318" t="s">
        <v>193</v>
      </c>
      <c r="H153" s="319"/>
      <c r="I153" s="320"/>
      <c r="J153" s="318" t="s">
        <v>189</v>
      </c>
      <c r="K153" s="420">
        <v>0.2</v>
      </c>
      <c r="L153" s="506">
        <v>192.08</v>
      </c>
      <c r="M153" s="377">
        <v>6.2500000000000003E-3</v>
      </c>
      <c r="N153" s="235">
        <v>2</v>
      </c>
      <c r="O153" s="507">
        <f t="shared" si="20"/>
        <v>0.48020000000000007</v>
      </c>
      <c r="P153" s="235">
        <v>1581858.0973125002</v>
      </c>
      <c r="Q153" s="646">
        <f t="shared" si="21"/>
        <v>759608.25832946273</v>
      </c>
      <c r="R153" s="235">
        <v>1593848.8584</v>
      </c>
      <c r="S153" s="646">
        <f t="shared" si="22"/>
        <v>765366.22180368018</v>
      </c>
      <c r="T153" s="235">
        <v>1721356.7670720001</v>
      </c>
      <c r="U153" s="647">
        <f t="shared" si="23"/>
        <v>826595.51954797457</v>
      </c>
      <c r="V153" s="235">
        <f t="shared" si="24"/>
        <v>1632354.5742615</v>
      </c>
      <c r="W153" s="478">
        <f t="shared" si="25"/>
        <v>783856.66656037245</v>
      </c>
      <c r="X153" s="648"/>
      <c r="Y153" s="302">
        <f t="shared" si="26"/>
        <v>3954.6452432812507</v>
      </c>
      <c r="Z153" s="232"/>
    </row>
    <row r="154" spans="2:26" x14ac:dyDescent="0.35">
      <c r="B154" s="603"/>
      <c r="E154" s="604"/>
      <c r="F154" s="232" t="s">
        <v>237</v>
      </c>
      <c r="G154" s="318" t="s">
        <v>193</v>
      </c>
      <c r="H154" s="319">
        <v>4</v>
      </c>
      <c r="I154" s="320" t="s">
        <v>238</v>
      </c>
      <c r="J154" s="318" t="s">
        <v>189</v>
      </c>
      <c r="K154" s="420">
        <v>0.2</v>
      </c>
      <c r="L154" s="506">
        <v>192.08</v>
      </c>
      <c r="M154" s="377">
        <f>((M$149*N$149)/240*($H154/N154))</f>
        <v>2.5000000000000001E-2</v>
      </c>
      <c r="N154" s="235">
        <v>2</v>
      </c>
      <c r="O154" s="507">
        <f t="shared" si="20"/>
        <v>1.9208000000000003</v>
      </c>
      <c r="P154" s="235">
        <v>49592.654999999999</v>
      </c>
      <c r="Q154" s="646">
        <f t="shared" si="21"/>
        <v>95257.571724000009</v>
      </c>
      <c r="R154" s="235">
        <v>49968.576000000008</v>
      </c>
      <c r="S154" s="646">
        <f t="shared" si="22"/>
        <v>95979.640780800037</v>
      </c>
      <c r="T154" s="235">
        <v>53966.062080000011</v>
      </c>
      <c r="U154" s="647">
        <f t="shared" si="23"/>
        <v>103658.01204326404</v>
      </c>
      <c r="V154" s="235">
        <f t="shared" si="24"/>
        <v>51175.764360000016</v>
      </c>
      <c r="W154" s="478">
        <f>AVERAGEIF($P$3:$U$3,W$3,$P154:$U154)</f>
        <v>98298.408182688043</v>
      </c>
      <c r="X154" s="648"/>
      <c r="Y154" s="302">
        <f t="shared" si="26"/>
        <v>495.92655000000002</v>
      </c>
      <c r="Z154" s="232"/>
    </row>
    <row r="155" spans="2:26" x14ac:dyDescent="0.35">
      <c r="B155" s="603"/>
      <c r="E155" s="604"/>
      <c r="F155" s="232" t="s">
        <v>239</v>
      </c>
      <c r="G155" s="318" t="s">
        <v>193</v>
      </c>
      <c r="H155" s="319">
        <v>12</v>
      </c>
      <c r="I155" s="320" t="s">
        <v>238</v>
      </c>
      <c r="J155" s="318" t="s">
        <v>189</v>
      </c>
      <c r="K155" s="420">
        <v>0.2</v>
      </c>
      <c r="L155" s="506">
        <v>192.08</v>
      </c>
      <c r="M155" s="377">
        <f>((M$149*N$149)/240*($H155/N155))</f>
        <v>7.5000000000000011E-2</v>
      </c>
      <c r="N155" s="235">
        <v>2</v>
      </c>
      <c r="O155" s="507">
        <f t="shared" si="20"/>
        <v>5.7624000000000013</v>
      </c>
      <c r="P155" s="235">
        <v>16206.75</v>
      </c>
      <c r="Q155" s="646">
        <f t="shared" si="21"/>
        <v>93389.776200000022</v>
      </c>
      <c r="R155" s="235">
        <v>16329.600000000002</v>
      </c>
      <c r="S155" s="646">
        <f t="shared" si="22"/>
        <v>94097.687040000033</v>
      </c>
      <c r="T155" s="235">
        <v>17635.968000000004</v>
      </c>
      <c r="U155" s="647">
        <f t="shared" si="23"/>
        <v>101625.50200320005</v>
      </c>
      <c r="V155" s="235">
        <f t="shared" si="24"/>
        <v>16724.106000000003</v>
      </c>
      <c r="W155" s="478">
        <f t="shared" si="25"/>
        <v>96370.988414400039</v>
      </c>
      <c r="X155" s="648"/>
      <c r="Y155" s="302">
        <f t="shared" si="26"/>
        <v>486.2025000000001</v>
      </c>
      <c r="Z155" s="232"/>
    </row>
    <row r="156" spans="2:26" x14ac:dyDescent="0.35">
      <c r="B156" s="603"/>
      <c r="E156" s="604"/>
      <c r="F156" s="232" t="s">
        <v>240</v>
      </c>
      <c r="G156" s="318" t="s">
        <v>193</v>
      </c>
      <c r="H156" s="319">
        <v>1</v>
      </c>
      <c r="I156" s="320" t="s">
        <v>238</v>
      </c>
      <c r="J156" s="318" t="s">
        <v>189</v>
      </c>
      <c r="K156" s="420">
        <v>0.2</v>
      </c>
      <c r="L156" s="506">
        <v>192.08</v>
      </c>
      <c r="M156" s="377">
        <f>((M$149*N$149)/240*($H156/N156))</f>
        <v>6.2500000000000003E-3</v>
      </c>
      <c r="N156" s="235">
        <v>2</v>
      </c>
      <c r="O156" s="507">
        <f t="shared" si="20"/>
        <v>0.48020000000000007</v>
      </c>
      <c r="P156" s="235">
        <v>43393.573125000003</v>
      </c>
      <c r="Q156" s="646">
        <f t="shared" si="21"/>
        <v>20837.593814625005</v>
      </c>
      <c r="R156" s="235">
        <v>43722.504000000008</v>
      </c>
      <c r="S156" s="646">
        <f t="shared" si="22"/>
        <v>20995.546420800008</v>
      </c>
      <c r="T156" s="235">
        <v>47220.30432000001</v>
      </c>
      <c r="U156" s="647">
        <f t="shared" si="23"/>
        <v>22675.19013446401</v>
      </c>
      <c r="V156" s="235">
        <f t="shared" si="24"/>
        <v>44778.793815000012</v>
      </c>
      <c r="W156" s="478">
        <f t="shared" si="25"/>
        <v>21502.776789963009</v>
      </c>
      <c r="X156" s="648"/>
      <c r="Y156" s="302">
        <f t="shared" si="26"/>
        <v>108.48393281250002</v>
      </c>
      <c r="Z156" s="232"/>
    </row>
    <row r="157" spans="2:26" x14ac:dyDescent="0.35">
      <c r="B157" s="603"/>
      <c r="E157" s="604"/>
      <c r="F157" s="232" t="s">
        <v>241</v>
      </c>
      <c r="G157" s="318" t="s">
        <v>193</v>
      </c>
      <c r="H157" s="319">
        <v>2</v>
      </c>
      <c r="I157" s="320" t="s">
        <v>238</v>
      </c>
      <c r="J157" s="318" t="s">
        <v>189</v>
      </c>
      <c r="K157" s="420">
        <v>0.2</v>
      </c>
      <c r="L157" s="506">
        <v>192.08</v>
      </c>
      <c r="M157" s="377">
        <f>((M$149*N$149)/240*($H157/N157))</f>
        <v>1.2500000000000001E-2</v>
      </c>
      <c r="N157" s="235">
        <v>2</v>
      </c>
      <c r="O157" s="507">
        <f t="shared" si="20"/>
        <v>0.96040000000000014</v>
      </c>
      <c r="P157" s="235">
        <v>37194.491250000006</v>
      </c>
      <c r="Q157" s="646">
        <f t="shared" si="21"/>
        <v>35721.589396500014</v>
      </c>
      <c r="R157" s="235">
        <v>37476.432000000001</v>
      </c>
      <c r="S157" s="646">
        <f t="shared" si="22"/>
        <v>35992.365292800008</v>
      </c>
      <c r="T157" s="235">
        <v>40474.546560000003</v>
      </c>
      <c r="U157" s="647">
        <f t="shared" si="23"/>
        <v>38871.754516224006</v>
      </c>
      <c r="V157" s="235">
        <f t="shared" si="24"/>
        <v>38381.823270000008</v>
      </c>
      <c r="W157" s="478">
        <f t="shared" si="25"/>
        <v>36861.903068508014</v>
      </c>
      <c r="X157" s="648"/>
      <c r="Y157" s="302">
        <f t="shared" si="26"/>
        <v>185.97245625000005</v>
      </c>
      <c r="Z157" s="232"/>
    </row>
    <row r="158" spans="2:26" x14ac:dyDescent="0.35">
      <c r="B158" s="603"/>
      <c r="E158" s="604"/>
      <c r="F158" s="232" t="s">
        <v>242</v>
      </c>
      <c r="G158" s="318" t="s">
        <v>193</v>
      </c>
      <c r="H158" s="319">
        <v>1</v>
      </c>
      <c r="I158" s="320" t="s">
        <v>238</v>
      </c>
      <c r="J158" s="318" t="s">
        <v>189</v>
      </c>
      <c r="K158" s="420">
        <v>0.2</v>
      </c>
      <c r="L158" s="506">
        <v>192.08</v>
      </c>
      <c r="M158" s="377">
        <f>((M$149*N$149)/240*($H158/N158))</f>
        <v>6.2500000000000003E-3</v>
      </c>
      <c r="N158" s="235">
        <v>2</v>
      </c>
      <c r="O158" s="507">
        <f t="shared" si="20"/>
        <v>0.48020000000000007</v>
      </c>
      <c r="P158" s="235">
        <v>99185.31</v>
      </c>
      <c r="Q158" s="646">
        <f t="shared" si="21"/>
        <v>47628.785862000004</v>
      </c>
      <c r="R158" s="235">
        <v>99937.152000000016</v>
      </c>
      <c r="S158" s="646">
        <f t="shared" si="22"/>
        <v>47989.820390400018</v>
      </c>
      <c r="T158" s="235">
        <v>107932.12416000002</v>
      </c>
      <c r="U158" s="647">
        <f t="shared" si="23"/>
        <v>51829.00602163202</v>
      </c>
      <c r="V158" s="235">
        <f t="shared" si="24"/>
        <v>102351.52872000003</v>
      </c>
      <c r="W158" s="478">
        <f t="shared" si="25"/>
        <v>49149.204091344021</v>
      </c>
      <c r="X158" s="648"/>
      <c r="Y158" s="302">
        <f t="shared" si="26"/>
        <v>247.96327500000001</v>
      </c>
      <c r="Z158" s="232"/>
    </row>
    <row r="159" spans="2:26" x14ac:dyDescent="0.35">
      <c r="B159" s="603"/>
      <c r="D159" s="599" t="s">
        <v>91</v>
      </c>
      <c r="E159" s="600"/>
      <c r="F159" s="232" t="s">
        <v>187</v>
      </c>
      <c r="G159" s="318" t="s">
        <v>188</v>
      </c>
      <c r="H159" s="319"/>
      <c r="I159" s="320"/>
      <c r="J159" s="318" t="s">
        <v>189</v>
      </c>
      <c r="K159" s="420">
        <v>1</v>
      </c>
      <c r="L159" s="506">
        <v>192.08</v>
      </c>
      <c r="M159" s="240">
        <v>0.3</v>
      </c>
      <c r="N159" s="235">
        <v>4</v>
      </c>
      <c r="O159" s="507">
        <f t="shared" si="20"/>
        <v>230.49600000000001</v>
      </c>
      <c r="P159" s="235">
        <v>169122.61109699999</v>
      </c>
      <c r="Q159" s="646">
        <f t="shared" si="21"/>
        <v>38982085.367414109</v>
      </c>
      <c r="R159" s="235">
        <v>163305.33120000002</v>
      </c>
      <c r="S159" s="646">
        <f t="shared" si="22"/>
        <v>37641225.620275207</v>
      </c>
      <c r="T159" s="235">
        <v>179635.86432000002</v>
      </c>
      <c r="U159" s="647">
        <f t="shared" si="23"/>
        <v>41405348.182302728</v>
      </c>
      <c r="V159" s="235">
        <f t="shared" si="24"/>
        <v>170687.935539</v>
      </c>
      <c r="W159" s="478">
        <f t="shared" si="25"/>
        <v>39342886.389997348</v>
      </c>
      <c r="X159" s="648"/>
      <c r="Y159" s="302">
        <f t="shared" si="26"/>
        <v>202947.13331639997</v>
      </c>
      <c r="Z159" s="232"/>
    </row>
    <row r="160" spans="2:26" x14ac:dyDescent="0.35">
      <c r="B160" s="603"/>
      <c r="E160" s="604"/>
      <c r="F160" s="232" t="s">
        <v>231</v>
      </c>
      <c r="G160" s="318" t="s">
        <v>232</v>
      </c>
      <c r="H160" s="319"/>
      <c r="I160" s="320"/>
      <c r="J160" s="318" t="s">
        <v>189</v>
      </c>
      <c r="K160" s="420">
        <v>1</v>
      </c>
      <c r="L160" s="506">
        <v>192.08</v>
      </c>
      <c r="M160" s="373">
        <v>0.25</v>
      </c>
      <c r="N160" s="235">
        <v>4</v>
      </c>
      <c r="O160" s="507">
        <f t="shared" si="20"/>
        <v>192.08</v>
      </c>
      <c r="P160" s="235">
        <v>38965.657500000001</v>
      </c>
      <c r="Q160" s="646">
        <f t="shared" si="21"/>
        <v>7484523.4926000005</v>
      </c>
      <c r="R160" s="235">
        <v>41620.320720000011</v>
      </c>
      <c r="S160" s="646">
        <f t="shared" si="22"/>
        <v>7994431.2038976029</v>
      </c>
      <c r="T160" s="235">
        <v>44533.743170400012</v>
      </c>
      <c r="U160" s="647">
        <f t="shared" si="23"/>
        <v>8554041.3881704342</v>
      </c>
      <c r="V160" s="235">
        <f t="shared" si="24"/>
        <v>41706.57379680001</v>
      </c>
      <c r="W160" s="478">
        <f t="shared" si="25"/>
        <v>8010998.6948893471</v>
      </c>
      <c r="X160" s="648"/>
      <c r="Y160" s="302">
        <f t="shared" si="26"/>
        <v>38965.657500000001</v>
      </c>
      <c r="Z160" s="232"/>
    </row>
    <row r="161" spans="2:26" x14ac:dyDescent="0.35">
      <c r="B161" s="603"/>
      <c r="E161" s="604"/>
      <c r="F161" s="232" t="s">
        <v>236</v>
      </c>
      <c r="G161" s="318" t="s">
        <v>188</v>
      </c>
      <c r="H161" s="319"/>
      <c r="I161" s="320"/>
      <c r="J161" s="318" t="s">
        <v>189</v>
      </c>
      <c r="K161" s="420">
        <v>1</v>
      </c>
      <c r="L161" s="506">
        <v>192.08</v>
      </c>
      <c r="M161" s="423">
        <v>0.3</v>
      </c>
      <c r="N161" s="235">
        <v>4</v>
      </c>
      <c r="O161" s="507">
        <f t="shared" si="20"/>
        <v>230.49600000000001</v>
      </c>
      <c r="P161" s="235">
        <v>4469.4136124999995</v>
      </c>
      <c r="Q161" s="646">
        <f t="shared" si="21"/>
        <v>1030181.9600267999</v>
      </c>
      <c r="R161" s="235">
        <v>4490.6400000000003</v>
      </c>
      <c r="S161" s="646">
        <f t="shared" si="22"/>
        <v>1035074.5574400001</v>
      </c>
      <c r="T161" s="235">
        <v>4849.8912000000009</v>
      </c>
      <c r="U161" s="647">
        <f t="shared" si="23"/>
        <v>1117880.5220352001</v>
      </c>
      <c r="V161" s="235">
        <f t="shared" si="24"/>
        <v>4603.3149375000003</v>
      </c>
      <c r="W161" s="478">
        <f t="shared" si="25"/>
        <v>1061045.6798340001</v>
      </c>
      <c r="X161" s="648"/>
      <c r="Y161" s="302">
        <f t="shared" si="26"/>
        <v>5363.2963349999991</v>
      </c>
      <c r="Z161" s="232"/>
    </row>
    <row r="162" spans="2:26" x14ac:dyDescent="0.35">
      <c r="B162" s="603"/>
      <c r="E162" s="604"/>
      <c r="F162" s="232" t="s">
        <v>405</v>
      </c>
      <c r="G162" s="318" t="s">
        <v>193</v>
      </c>
      <c r="H162" s="319">
        <v>1</v>
      </c>
      <c r="I162" s="320"/>
      <c r="J162" s="318" t="s">
        <v>189</v>
      </c>
      <c r="K162" s="420">
        <v>1</v>
      </c>
      <c r="L162" s="506">
        <v>192.08</v>
      </c>
      <c r="M162" s="377">
        <f t="shared" ref="M162:M167" si="27">((M$159*N$159)/240*($H162/N162))</f>
        <v>1.25E-3</v>
      </c>
      <c r="N162" s="235">
        <v>4</v>
      </c>
      <c r="O162" s="507">
        <f t="shared" si="20"/>
        <v>0.96040000000000003</v>
      </c>
      <c r="P162" s="235">
        <v>8885.3506875000003</v>
      </c>
      <c r="Q162" s="646">
        <f t="shared" si="21"/>
        <v>8533.4908002749999</v>
      </c>
      <c r="R162" s="235">
        <v>8952.7032000000017</v>
      </c>
      <c r="S162" s="646">
        <f t="shared" si="22"/>
        <v>8598.1761532800028</v>
      </c>
      <c r="T162" s="235">
        <v>9668.9194560000033</v>
      </c>
      <c r="U162" s="647">
        <f t="shared" si="23"/>
        <v>9286.0302455424026</v>
      </c>
      <c r="V162" s="235">
        <f t="shared" si="24"/>
        <v>9168.9911145000024</v>
      </c>
      <c r="W162" s="478">
        <f t="shared" si="25"/>
        <v>8805.8990663658024</v>
      </c>
      <c r="X162" s="648"/>
      <c r="Y162" s="302">
        <f t="shared" si="26"/>
        <v>44.426753437499997</v>
      </c>
      <c r="Z162" s="232"/>
    </row>
    <row r="163" spans="2:26" x14ac:dyDescent="0.35">
      <c r="B163" s="603"/>
      <c r="E163" s="604"/>
      <c r="F163" s="232" t="s">
        <v>237</v>
      </c>
      <c r="G163" s="318" t="s">
        <v>193</v>
      </c>
      <c r="H163" s="319">
        <v>4</v>
      </c>
      <c r="I163" s="320" t="s">
        <v>238</v>
      </c>
      <c r="J163" s="318" t="s">
        <v>189</v>
      </c>
      <c r="K163" s="420">
        <v>1</v>
      </c>
      <c r="L163" s="506">
        <v>192.08</v>
      </c>
      <c r="M163" s="377">
        <f t="shared" si="27"/>
        <v>5.0000000000000001E-3</v>
      </c>
      <c r="N163" s="235">
        <v>4</v>
      </c>
      <c r="O163" s="507">
        <f t="shared" si="20"/>
        <v>3.8416000000000001</v>
      </c>
      <c r="P163" s="235">
        <v>49592.654999999999</v>
      </c>
      <c r="Q163" s="646">
        <f t="shared" si="21"/>
        <v>190515.14344799999</v>
      </c>
      <c r="R163" s="235">
        <v>49968.576000000008</v>
      </c>
      <c r="S163" s="646">
        <f t="shared" si="22"/>
        <v>191959.28156160004</v>
      </c>
      <c r="T163" s="235">
        <v>53966.062080000011</v>
      </c>
      <c r="U163" s="647">
        <f t="shared" si="23"/>
        <v>207316.02408652805</v>
      </c>
      <c r="V163" s="235">
        <f t="shared" si="24"/>
        <v>51175.764360000008</v>
      </c>
      <c r="W163" s="478">
        <f t="shared" si="25"/>
        <v>196596.81636537603</v>
      </c>
      <c r="X163" s="648"/>
      <c r="Y163" s="302">
        <f t="shared" si="26"/>
        <v>991.85309999999993</v>
      </c>
      <c r="Z163" s="232"/>
    </row>
    <row r="164" spans="2:26" x14ac:dyDescent="0.35">
      <c r="B164" s="603"/>
      <c r="E164" s="604"/>
      <c r="F164" s="232" t="s">
        <v>239</v>
      </c>
      <c r="G164" s="318" t="s">
        <v>193</v>
      </c>
      <c r="H164" s="319">
        <v>12</v>
      </c>
      <c r="I164" s="320" t="s">
        <v>238</v>
      </c>
      <c r="J164" s="318" t="s">
        <v>189</v>
      </c>
      <c r="K164" s="420">
        <v>1</v>
      </c>
      <c r="L164" s="506">
        <v>192.08</v>
      </c>
      <c r="M164" s="377">
        <f t="shared" si="27"/>
        <v>1.4999999999999999E-2</v>
      </c>
      <c r="N164" s="235">
        <v>4</v>
      </c>
      <c r="O164" s="507">
        <f t="shared" si="20"/>
        <v>11.524800000000001</v>
      </c>
      <c r="P164" s="235">
        <v>16206.75</v>
      </c>
      <c r="Q164" s="646">
        <f t="shared" si="21"/>
        <v>186779.55240000002</v>
      </c>
      <c r="R164" s="235">
        <v>16329.600000000002</v>
      </c>
      <c r="S164" s="646">
        <f t="shared" si="22"/>
        <v>188195.37408000004</v>
      </c>
      <c r="T164" s="235">
        <v>17635.968000000004</v>
      </c>
      <c r="U164" s="647">
        <f t="shared" si="23"/>
        <v>203251.00400640006</v>
      </c>
      <c r="V164" s="235">
        <f t="shared" si="24"/>
        <v>16724.106000000003</v>
      </c>
      <c r="W164" s="478">
        <f t="shared" si="25"/>
        <v>192741.97682880005</v>
      </c>
      <c r="X164" s="648"/>
      <c r="Y164" s="302">
        <f t="shared" si="26"/>
        <v>972.40499999999997</v>
      </c>
      <c r="Z164" s="232"/>
    </row>
    <row r="165" spans="2:26" x14ac:dyDescent="0.35">
      <c r="B165" s="603"/>
      <c r="E165" s="604"/>
      <c r="F165" s="232" t="s">
        <v>240</v>
      </c>
      <c r="G165" s="318" t="s">
        <v>193</v>
      </c>
      <c r="H165" s="319">
        <v>1</v>
      </c>
      <c r="I165" s="320" t="s">
        <v>238</v>
      </c>
      <c r="J165" s="318" t="s">
        <v>189</v>
      </c>
      <c r="K165" s="420">
        <v>1</v>
      </c>
      <c r="L165" s="506">
        <v>192.08</v>
      </c>
      <c r="M165" s="377">
        <f t="shared" si="27"/>
        <v>1.25E-3</v>
      </c>
      <c r="N165" s="235">
        <v>4</v>
      </c>
      <c r="O165" s="507">
        <f t="shared" si="20"/>
        <v>0.96040000000000003</v>
      </c>
      <c r="P165" s="235">
        <v>43393.573125000003</v>
      </c>
      <c r="Q165" s="646">
        <f t="shared" si="21"/>
        <v>41675.187629250002</v>
      </c>
      <c r="R165" s="235">
        <v>43722.504000000008</v>
      </c>
      <c r="S165" s="646">
        <f t="shared" si="22"/>
        <v>41991.09284160001</v>
      </c>
      <c r="T165" s="235">
        <v>47220.30432000001</v>
      </c>
      <c r="U165" s="647">
        <f t="shared" si="23"/>
        <v>45350.380268928013</v>
      </c>
      <c r="V165" s="235">
        <f t="shared" si="24"/>
        <v>44778.793815000005</v>
      </c>
      <c r="W165" s="478">
        <f t="shared" si="25"/>
        <v>43005.553579926003</v>
      </c>
      <c r="X165" s="648"/>
      <c r="Y165" s="302">
        <f t="shared" si="26"/>
        <v>216.967865625</v>
      </c>
      <c r="Z165" s="232"/>
    </row>
    <row r="166" spans="2:26" x14ac:dyDescent="0.35">
      <c r="B166" s="603"/>
      <c r="E166" s="604"/>
      <c r="F166" s="232" t="s">
        <v>241</v>
      </c>
      <c r="G166" s="318" t="s">
        <v>193</v>
      </c>
      <c r="H166" s="319">
        <v>2</v>
      </c>
      <c r="I166" s="320" t="s">
        <v>238</v>
      </c>
      <c r="J166" s="318" t="s">
        <v>189</v>
      </c>
      <c r="K166" s="420">
        <v>1</v>
      </c>
      <c r="L166" s="506">
        <v>192.08</v>
      </c>
      <c r="M166" s="377">
        <f t="shared" si="27"/>
        <v>2.5000000000000001E-3</v>
      </c>
      <c r="N166" s="235">
        <v>4</v>
      </c>
      <c r="O166" s="507">
        <f t="shared" si="20"/>
        <v>1.9208000000000001</v>
      </c>
      <c r="P166" s="235">
        <v>37194.491250000006</v>
      </c>
      <c r="Q166" s="646">
        <f t="shared" si="21"/>
        <v>71443.178793000014</v>
      </c>
      <c r="R166" s="235">
        <v>37476.432000000001</v>
      </c>
      <c r="S166" s="646">
        <f t="shared" si="22"/>
        <v>71984.730585600002</v>
      </c>
      <c r="T166" s="235">
        <v>40474.546560000003</v>
      </c>
      <c r="U166" s="647">
        <f t="shared" si="23"/>
        <v>77743.509032448012</v>
      </c>
      <c r="V166" s="235">
        <f t="shared" si="24"/>
        <v>38381.823270000001</v>
      </c>
      <c r="W166" s="478">
        <f t="shared" si="25"/>
        <v>73723.806137015999</v>
      </c>
      <c r="X166" s="648"/>
      <c r="Y166" s="302">
        <f t="shared" si="26"/>
        <v>371.94491250000004</v>
      </c>
      <c r="Z166" s="232"/>
    </row>
    <row r="167" spans="2:26" x14ac:dyDescent="0.35">
      <c r="B167" s="603"/>
      <c r="E167" s="604"/>
      <c r="F167" s="232" t="s">
        <v>242</v>
      </c>
      <c r="G167" s="318" t="s">
        <v>193</v>
      </c>
      <c r="H167" s="319">
        <v>1</v>
      </c>
      <c r="I167" s="320" t="s">
        <v>238</v>
      </c>
      <c r="J167" s="318" t="s">
        <v>189</v>
      </c>
      <c r="K167" s="420">
        <v>1</v>
      </c>
      <c r="L167" s="506">
        <v>192.08</v>
      </c>
      <c r="M167" s="377">
        <f t="shared" si="27"/>
        <v>1.25E-3</v>
      </c>
      <c r="N167" s="235">
        <v>4</v>
      </c>
      <c r="O167" s="507">
        <f t="shared" si="20"/>
        <v>0.96040000000000003</v>
      </c>
      <c r="P167" s="235">
        <v>99185.31</v>
      </c>
      <c r="Q167" s="646">
        <f t="shared" si="21"/>
        <v>95257.571723999994</v>
      </c>
      <c r="R167" s="235">
        <v>99937.152000000016</v>
      </c>
      <c r="S167" s="646">
        <f t="shared" si="22"/>
        <v>95979.640780800022</v>
      </c>
      <c r="T167" s="235">
        <v>107932.12416000002</v>
      </c>
      <c r="U167" s="647">
        <f t="shared" si="23"/>
        <v>103658.01204326403</v>
      </c>
      <c r="V167" s="235">
        <f t="shared" si="24"/>
        <v>102351.52872000002</v>
      </c>
      <c r="W167" s="478">
        <f t="shared" si="25"/>
        <v>98298.408182688014</v>
      </c>
      <c r="X167" s="648"/>
      <c r="Y167" s="302">
        <f t="shared" si="26"/>
        <v>495.92654999999996</v>
      </c>
      <c r="Z167" s="232"/>
    </row>
    <row r="168" spans="2:26" x14ac:dyDescent="0.35">
      <c r="B168" s="598"/>
      <c r="C168" s="599" t="s">
        <v>93</v>
      </c>
      <c r="D168" s="599"/>
      <c r="E168" s="600"/>
      <c r="F168" s="232" t="s">
        <v>187</v>
      </c>
      <c r="G168" s="318" t="s">
        <v>188</v>
      </c>
      <c r="H168" s="319"/>
      <c r="I168" s="320"/>
      <c r="J168" s="318"/>
      <c r="K168" s="501"/>
      <c r="L168" s="506"/>
      <c r="M168" s="377">
        <v>0.73</v>
      </c>
      <c r="N168" s="235">
        <v>1</v>
      </c>
      <c r="O168" s="319"/>
      <c r="P168" s="235">
        <v>169122.61109699999</v>
      </c>
      <c r="Q168" s="646"/>
      <c r="R168" s="646"/>
      <c r="S168" s="646"/>
      <c r="T168" s="647"/>
      <c r="U168" s="647"/>
      <c r="V168" s="647"/>
      <c r="W168" s="647"/>
      <c r="X168" s="648"/>
      <c r="Y168" s="302"/>
      <c r="Z168" s="232"/>
    </row>
    <row r="169" spans="2:26" x14ac:dyDescent="0.35">
      <c r="B169" s="603"/>
      <c r="E169" s="604"/>
      <c r="F169" s="232" t="s">
        <v>365</v>
      </c>
      <c r="G169" s="318" t="s">
        <v>205</v>
      </c>
      <c r="H169" s="319"/>
      <c r="I169" s="320"/>
      <c r="J169" s="318"/>
      <c r="K169" s="501"/>
      <c r="L169" s="506"/>
      <c r="M169" s="231">
        <v>3.36</v>
      </c>
      <c r="N169" s="235">
        <v>1</v>
      </c>
      <c r="O169" s="319"/>
      <c r="P169" s="235">
        <v>161742.20737500003</v>
      </c>
      <c r="Q169" s="646"/>
      <c r="R169" s="646"/>
      <c r="S169" s="646"/>
      <c r="T169" s="647"/>
      <c r="U169" s="647"/>
      <c r="V169" s="647"/>
      <c r="W169" s="647"/>
      <c r="X169" s="648"/>
      <c r="Y169" s="302"/>
      <c r="Z169" s="232"/>
    </row>
    <row r="170" spans="2:26" x14ac:dyDescent="0.35">
      <c r="B170" s="605"/>
      <c r="C170" s="606"/>
      <c r="D170" s="606"/>
      <c r="E170" s="607"/>
      <c r="F170" s="232" t="s">
        <v>244</v>
      </c>
      <c r="G170" s="318" t="s">
        <v>189</v>
      </c>
      <c r="H170" s="319"/>
      <c r="I170" s="320"/>
      <c r="J170" s="318" t="s">
        <v>512</v>
      </c>
      <c r="K170" s="420">
        <v>0.15</v>
      </c>
      <c r="L170" s="506">
        <v>192.08</v>
      </c>
      <c r="M170" s="231">
        <f>20/30</f>
        <v>0.66666666666666663</v>
      </c>
      <c r="N170" s="235">
        <v>12</v>
      </c>
      <c r="O170" s="507">
        <f>K170*L170*M170*N170</f>
        <v>230.49599999999998</v>
      </c>
      <c r="P170" s="235">
        <v>76398.619500000015</v>
      </c>
      <c r="Q170" s="646">
        <f>P170*$O170</f>
        <v>17609576.200272001</v>
      </c>
      <c r="R170" s="235">
        <v>71381.2736</v>
      </c>
      <c r="S170" s="646">
        <f>R170*$O170</f>
        <v>16453098.039705599</v>
      </c>
      <c r="T170" s="235">
        <v>74236.524544</v>
      </c>
      <c r="U170" s="647">
        <f>$O170*T170</f>
        <v>17111221.961293824</v>
      </c>
      <c r="V170" s="235">
        <f>W170/O170</f>
        <v>74005.472548000005</v>
      </c>
      <c r="W170" s="478">
        <f>AVERAGEIF($P$3:$U$3,W$3,$P170:$U170)</f>
        <v>17057965.400423806</v>
      </c>
      <c r="X170" s="648"/>
      <c r="Y170" s="302">
        <f>Q170/$C$1</f>
        <v>91678.343399999998</v>
      </c>
      <c r="Z170" s="232"/>
    </row>
    <row r="171" spans="2:26" x14ac:dyDescent="0.35">
      <c r="B171" s="630" t="s">
        <v>513</v>
      </c>
      <c r="C171" s="770"/>
      <c r="D171" s="770"/>
      <c r="E171" s="771"/>
      <c r="F171" s="633"/>
      <c r="G171" s="634"/>
      <c r="H171" s="635"/>
      <c r="I171" s="636"/>
      <c r="J171" s="634"/>
      <c r="K171" s="637"/>
      <c r="L171" s="638"/>
      <c r="M171" s="772"/>
      <c r="N171" s="773"/>
      <c r="O171" s="635"/>
      <c r="P171" s="640"/>
      <c r="Q171" s="651">
        <f>SUM(Q139:Q170)</f>
        <v>91352740.657176375</v>
      </c>
      <c r="R171" s="774"/>
      <c r="S171" s="651">
        <f>SUM(S160:S170)</f>
        <v>26081312.097046077</v>
      </c>
      <c r="T171" s="650"/>
      <c r="U171" s="650"/>
      <c r="V171" s="650"/>
      <c r="W171" s="650"/>
      <c r="X171" s="652"/>
      <c r="Y171" s="682">
        <f>Q171/$C$1</f>
        <v>475597.35869000608</v>
      </c>
      <c r="Z171" s="775">
        <f>Q171/$Q$401*100</f>
        <v>3.8160321718600954</v>
      </c>
    </row>
    <row r="172" spans="2:26" x14ac:dyDescent="0.35">
      <c r="B172" s="693" t="s">
        <v>514</v>
      </c>
      <c r="C172" s="776"/>
      <c r="D172" s="776"/>
      <c r="E172" s="777"/>
      <c r="F172" s="516"/>
      <c r="G172" s="613"/>
      <c r="H172" s="614"/>
      <c r="I172" s="615"/>
      <c r="J172" s="613"/>
      <c r="K172" s="616"/>
      <c r="L172" s="617"/>
      <c r="M172" s="527"/>
      <c r="N172" s="766"/>
      <c r="O172" s="614"/>
      <c r="P172" s="618"/>
      <c r="Q172" s="696">
        <f>Q68+Q82+Q108+Q124+Q171</f>
        <v>522834756.63883388</v>
      </c>
      <c r="R172" s="778"/>
      <c r="S172" s="696">
        <f>SUM(S161:S171)</f>
        <v>44168192.990194559</v>
      </c>
      <c r="T172" s="673"/>
      <c r="U172" s="673"/>
      <c r="V172" s="673"/>
      <c r="W172" s="673"/>
      <c r="X172" s="674"/>
      <c r="Y172" s="675">
        <f>Q172/$C$1</f>
        <v>2721963.5393525292</v>
      </c>
      <c r="Z172" s="779">
        <f>Q172/$Q$401*100</f>
        <v>21.840113800063651</v>
      </c>
    </row>
    <row r="173" spans="2:26" x14ac:dyDescent="0.35">
      <c r="B173" s="620" t="s">
        <v>515</v>
      </c>
      <c r="C173" s="320"/>
      <c r="D173" s="320"/>
      <c r="E173" s="608"/>
      <c r="F173" s="232"/>
      <c r="G173" s="318"/>
      <c r="H173" s="319"/>
      <c r="I173" s="320"/>
      <c r="J173" s="318"/>
      <c r="K173" s="501"/>
      <c r="L173" s="506"/>
      <c r="M173" s="231"/>
      <c r="N173" s="235"/>
      <c r="O173" s="319"/>
      <c r="P173" s="492"/>
      <c r="Q173" s="646"/>
      <c r="R173" s="646"/>
      <c r="S173" s="646"/>
      <c r="T173" s="647"/>
      <c r="U173" s="647"/>
      <c r="V173" s="647"/>
      <c r="W173" s="647"/>
      <c r="X173" s="648"/>
      <c r="Y173" s="302"/>
      <c r="Z173" s="232"/>
    </row>
    <row r="174" spans="2:26" x14ac:dyDescent="0.35">
      <c r="B174" s="603"/>
      <c r="C174" s="94" t="s">
        <v>97</v>
      </c>
      <c r="E174" s="604"/>
      <c r="F174" s="232" t="s">
        <v>187</v>
      </c>
      <c r="G174" s="318" t="s">
        <v>188</v>
      </c>
      <c r="H174" s="319"/>
      <c r="I174" s="320"/>
      <c r="J174" s="318"/>
      <c r="K174" s="501"/>
      <c r="L174" s="506"/>
      <c r="M174" s="231"/>
      <c r="N174" s="235"/>
      <c r="O174" s="319"/>
      <c r="P174" s="492"/>
      <c r="Q174" s="646"/>
      <c r="R174" s="646"/>
      <c r="S174" s="646"/>
      <c r="T174" s="647"/>
      <c r="U174" s="647"/>
      <c r="V174" s="647"/>
      <c r="W174" s="647"/>
      <c r="X174" s="648"/>
      <c r="Y174" s="302"/>
      <c r="Z174" s="232"/>
    </row>
    <row r="175" spans="2:26" hidden="1" x14ac:dyDescent="0.35">
      <c r="B175" s="603"/>
      <c r="E175" s="604"/>
      <c r="F175" s="232" t="s">
        <v>516</v>
      </c>
      <c r="G175" s="318" t="s">
        <v>193</v>
      </c>
      <c r="H175" s="319"/>
      <c r="I175" s="320"/>
      <c r="J175" s="318"/>
      <c r="K175" s="501"/>
      <c r="L175" s="506"/>
      <c r="M175" s="231"/>
      <c r="N175" s="235"/>
      <c r="O175" s="319"/>
      <c r="P175" s="492"/>
      <c r="Q175" s="646"/>
      <c r="R175" s="646"/>
      <c r="S175" s="646"/>
      <c r="T175" s="647"/>
      <c r="U175" s="647"/>
      <c r="V175" s="647"/>
      <c r="W175" s="647"/>
      <c r="X175" s="648"/>
      <c r="Y175" s="302"/>
      <c r="Z175" s="232"/>
    </row>
    <row r="176" spans="2:26" hidden="1" x14ac:dyDescent="0.35">
      <c r="B176" s="603"/>
      <c r="E176" s="604"/>
      <c r="F176" s="232" t="s">
        <v>517</v>
      </c>
      <c r="G176" s="318" t="s">
        <v>193</v>
      </c>
      <c r="H176" s="319"/>
      <c r="I176" s="320"/>
      <c r="J176" s="318"/>
      <c r="K176" s="501"/>
      <c r="L176" s="506"/>
      <c r="M176" s="231"/>
      <c r="N176" s="235"/>
      <c r="O176" s="319"/>
      <c r="P176" s="492"/>
      <c r="Q176" s="646"/>
      <c r="R176" s="646"/>
      <c r="S176" s="646"/>
      <c r="T176" s="647"/>
      <c r="U176" s="647"/>
      <c r="V176" s="647"/>
      <c r="W176" s="647"/>
      <c r="X176" s="648"/>
      <c r="Y176" s="302"/>
      <c r="Z176" s="232"/>
    </row>
    <row r="177" spans="2:26" hidden="1" x14ac:dyDescent="0.35">
      <c r="B177" s="603"/>
      <c r="E177" s="604"/>
      <c r="F177" s="232" t="s">
        <v>518</v>
      </c>
      <c r="G177" s="318" t="s">
        <v>193</v>
      </c>
      <c r="H177" s="319"/>
      <c r="I177" s="320"/>
      <c r="J177" s="318"/>
      <c r="K177" s="501"/>
      <c r="L177" s="506"/>
      <c r="M177" s="377"/>
      <c r="N177" s="235"/>
      <c r="O177" s="319"/>
      <c r="P177" s="492"/>
      <c r="Q177" s="646"/>
      <c r="R177" s="646"/>
      <c r="S177" s="646"/>
      <c r="T177" s="647"/>
      <c r="U177" s="647"/>
      <c r="V177" s="647"/>
      <c r="W177" s="647"/>
      <c r="X177" s="648"/>
      <c r="Y177" s="302"/>
      <c r="Z177" s="232"/>
    </row>
    <row r="178" spans="2:26" x14ac:dyDescent="0.35">
      <c r="B178" s="598"/>
      <c r="C178" s="599" t="s">
        <v>95</v>
      </c>
      <c r="D178" s="599"/>
      <c r="E178" s="600"/>
      <c r="F178" s="232" t="s">
        <v>187</v>
      </c>
      <c r="G178" s="318" t="s">
        <v>188</v>
      </c>
      <c r="H178" s="319"/>
      <c r="I178" s="320"/>
      <c r="J178" s="318" t="s">
        <v>189</v>
      </c>
      <c r="K178" s="420">
        <v>1</v>
      </c>
      <c r="L178" s="506">
        <v>192.08</v>
      </c>
      <c r="M178" s="372">
        <v>1</v>
      </c>
      <c r="N178" s="235">
        <v>6</v>
      </c>
      <c r="O178" s="507">
        <f>K178*L178*M178*N178</f>
        <v>1152.48</v>
      </c>
      <c r="P178" s="235">
        <v>169122.61109699999</v>
      </c>
      <c r="Q178" s="646">
        <f>P178*$O178</f>
        <v>194910426.83707055</v>
      </c>
      <c r="R178" s="235">
        <v>163305.33120000002</v>
      </c>
      <c r="S178" s="646">
        <f>R178*$O178</f>
        <v>188206128.10137603</v>
      </c>
      <c r="T178" s="235">
        <v>179635.86432000002</v>
      </c>
      <c r="U178" s="647">
        <f>$O178*T178</f>
        <v>207026740.91151363</v>
      </c>
      <c r="V178" s="235">
        <f>W178/O178</f>
        <v>170687.935539</v>
      </c>
      <c r="W178" s="478">
        <f>AVERAGEIF($P$3:$U$3,W$3,$P178:$U178)</f>
        <v>196714431.94998673</v>
      </c>
      <c r="X178" s="648"/>
      <c r="Y178" s="302">
        <f t="shared" ref="Y178:Y182" si="28">Q178/$C$1</f>
        <v>1014735.6665819999</v>
      </c>
      <c r="Z178" s="232"/>
    </row>
    <row r="179" spans="2:26" x14ac:dyDescent="0.35">
      <c r="B179" s="603"/>
      <c r="E179" s="604"/>
      <c r="F179" s="232" t="s">
        <v>519</v>
      </c>
      <c r="G179" s="318" t="s">
        <v>193</v>
      </c>
      <c r="H179" s="319">
        <v>1</v>
      </c>
      <c r="I179" s="320" t="s">
        <v>238</v>
      </c>
      <c r="J179" s="318" t="s">
        <v>189</v>
      </c>
      <c r="K179" s="420">
        <v>1</v>
      </c>
      <c r="L179" s="506">
        <v>192.08</v>
      </c>
      <c r="M179" s="373">
        <f>((M$178*N$178)/(300))*($H179/N179)</f>
        <v>0.01</v>
      </c>
      <c r="N179" s="235">
        <v>2</v>
      </c>
      <c r="O179" s="507">
        <f>K179*L179*M179*N179</f>
        <v>3.8416000000000001</v>
      </c>
      <c r="P179" s="235">
        <v>76844.177786250017</v>
      </c>
      <c r="Q179" s="646">
        <f>P179*$O179</f>
        <v>295204.5933836581</v>
      </c>
      <c r="R179" s="235">
        <v>77426.670096000002</v>
      </c>
      <c r="S179" s="646">
        <f>R179*$O179</f>
        <v>297442.29584079364</v>
      </c>
      <c r="T179" s="235">
        <v>83620.803703680009</v>
      </c>
      <c r="U179" s="647">
        <f>$O179*T179</f>
        <v>321237.67950805713</v>
      </c>
      <c r="V179" s="235">
        <f>W179/O179</f>
        <v>79297.217195310019</v>
      </c>
      <c r="W179" s="478">
        <f>AVERAGEIF($P$3:$U$3,W$3,$P179:$U179)</f>
        <v>304628.18957750296</v>
      </c>
      <c r="X179" s="648"/>
      <c r="Y179" s="302">
        <f t="shared" si="28"/>
        <v>1536.8835557250004</v>
      </c>
      <c r="Z179" s="232"/>
    </row>
    <row r="180" spans="2:26" x14ac:dyDescent="0.35">
      <c r="B180" s="603"/>
      <c r="E180" s="604"/>
      <c r="F180" s="232" t="s">
        <v>517</v>
      </c>
      <c r="G180" s="318" t="s">
        <v>193</v>
      </c>
      <c r="H180" s="319">
        <v>1</v>
      </c>
      <c r="I180" s="320" t="s">
        <v>238</v>
      </c>
      <c r="J180" s="318" t="s">
        <v>189</v>
      </c>
      <c r="K180" s="420">
        <v>1</v>
      </c>
      <c r="L180" s="506">
        <v>192.08</v>
      </c>
      <c r="M180" s="373">
        <f>((M$178*N$178)/(300))*($H180/N180)</f>
        <v>0.01</v>
      </c>
      <c r="N180" s="235">
        <v>2</v>
      </c>
      <c r="O180" s="507">
        <f>K180*L180*M180*N180</f>
        <v>3.8416000000000001</v>
      </c>
      <c r="P180" s="235">
        <v>9077.2270312500004</v>
      </c>
      <c r="Q180" s="646">
        <f>P180*$O180</f>
        <v>34871.075363250005</v>
      </c>
      <c r="R180" s="235">
        <v>9146.0340000000015</v>
      </c>
      <c r="S180" s="646">
        <f>R180*$O180</f>
        <v>35135.404214400005</v>
      </c>
      <c r="T180" s="235">
        <v>9877.7167200000022</v>
      </c>
      <c r="U180" s="647">
        <f>$O180*T180</f>
        <v>37946.236551552007</v>
      </c>
      <c r="V180" s="235">
        <f>W180/O180</f>
        <v>9366.9925837500014</v>
      </c>
      <c r="W180" s="478">
        <f>AVERAGEIF($P$3:$U$3,W$3,$P180:$U180)</f>
        <v>35984.238709734003</v>
      </c>
      <c r="X180" s="648"/>
      <c r="Y180" s="302">
        <f t="shared" si="28"/>
        <v>181.54454062500002</v>
      </c>
      <c r="Z180" s="232"/>
    </row>
    <row r="181" spans="2:26" x14ac:dyDescent="0.35">
      <c r="B181" s="603"/>
      <c r="E181" s="604"/>
      <c r="F181" s="232" t="s">
        <v>518</v>
      </c>
      <c r="G181" s="318" t="s">
        <v>193</v>
      </c>
      <c r="H181" s="319">
        <v>1</v>
      </c>
      <c r="I181" s="320" t="s">
        <v>238</v>
      </c>
      <c r="J181" s="318" t="s">
        <v>189</v>
      </c>
      <c r="K181" s="420">
        <v>1</v>
      </c>
      <c r="L181" s="506">
        <v>192.08</v>
      </c>
      <c r="M181" s="373">
        <f>((M$178*N$178)/(300))*($H181/N181)</f>
        <v>0.01</v>
      </c>
      <c r="N181" s="235">
        <v>2</v>
      </c>
      <c r="O181" s="507">
        <f>K181*L181*M181*N181</f>
        <v>3.8416000000000001</v>
      </c>
      <c r="P181" s="235">
        <v>59304.549937500007</v>
      </c>
      <c r="Q181" s="646">
        <f>P181*$O181</f>
        <v>227824.35903990004</v>
      </c>
      <c r="R181" s="235">
        <v>59754.088800000005</v>
      </c>
      <c r="S181" s="646">
        <f>R181*$O181</f>
        <v>229551.30753408003</v>
      </c>
      <c r="T181" s="235">
        <v>64534.415904000009</v>
      </c>
      <c r="U181" s="647">
        <f>$O181*T181</f>
        <v>247915.41213680644</v>
      </c>
      <c r="V181" s="235">
        <f>W181/O181</f>
        <v>61197.684880500012</v>
      </c>
      <c r="W181" s="478">
        <f>AVERAGEIF($P$3:$U$3,W$3,$P181:$U181)</f>
        <v>235097.02623692885</v>
      </c>
      <c r="X181" s="648"/>
      <c r="Y181" s="302">
        <f t="shared" si="28"/>
        <v>1186.0909987500002</v>
      </c>
      <c r="Z181" s="232"/>
    </row>
    <row r="182" spans="2:26" x14ac:dyDescent="0.35">
      <c r="B182" s="605"/>
      <c r="C182" s="606"/>
      <c r="D182" s="606"/>
      <c r="E182" s="607"/>
      <c r="F182" s="232" t="s">
        <v>242</v>
      </c>
      <c r="G182" s="318" t="s">
        <v>193</v>
      </c>
      <c r="H182" s="319">
        <v>1</v>
      </c>
      <c r="I182" s="320" t="s">
        <v>238</v>
      </c>
      <c r="J182" s="318" t="s">
        <v>189</v>
      </c>
      <c r="K182" s="420">
        <v>1</v>
      </c>
      <c r="L182" s="506">
        <v>192.08</v>
      </c>
      <c r="M182" s="373">
        <f>((M$178*N$178)/(300))*($H182/N182)</f>
        <v>0.01</v>
      </c>
      <c r="N182" s="235">
        <v>2</v>
      </c>
      <c r="O182" s="507">
        <f>K182*L182*M182*N182</f>
        <v>3.8416000000000001</v>
      </c>
      <c r="P182" s="235">
        <v>99185.31</v>
      </c>
      <c r="Q182" s="646">
        <f>P182*$O182</f>
        <v>381030.28689599998</v>
      </c>
      <c r="R182" s="235">
        <v>99937.152000000016</v>
      </c>
      <c r="S182" s="646">
        <f>R182*$O182</f>
        <v>383918.56312320009</v>
      </c>
      <c r="T182" s="235">
        <v>107932.12416000002</v>
      </c>
      <c r="U182" s="647">
        <f>$O182*T182</f>
        <v>414632.0481730561</v>
      </c>
      <c r="V182" s="235">
        <f>W182/O182</f>
        <v>102351.52872000002</v>
      </c>
      <c r="W182" s="478">
        <f>AVERAGEIF($P$3:$U$3,W$3,$P182:$U182)</f>
        <v>393193.63273075206</v>
      </c>
      <c r="X182" s="649"/>
      <c r="Y182" s="302">
        <f t="shared" si="28"/>
        <v>1983.7061999999999</v>
      </c>
      <c r="Z182" s="232"/>
    </row>
    <row r="183" spans="2:26" x14ac:dyDescent="0.35">
      <c r="B183" s="630" t="s">
        <v>604</v>
      </c>
      <c r="C183" s="770"/>
      <c r="D183" s="770"/>
      <c r="E183" s="771"/>
      <c r="F183" s="633"/>
      <c r="G183" s="634"/>
      <c r="H183" s="635"/>
      <c r="I183" s="636"/>
      <c r="J183" s="634"/>
      <c r="K183" s="637"/>
      <c r="L183" s="638"/>
      <c r="M183" s="772"/>
      <c r="N183" s="773"/>
      <c r="O183" s="635"/>
      <c r="P183" s="640"/>
      <c r="Q183" s="651">
        <f>SUM(Q178:Q182)</f>
        <v>195849357.15175337</v>
      </c>
      <c r="R183" s="774"/>
      <c r="S183" s="651">
        <f>SUM(S171:S182)</f>
        <v>259401680.75932914</v>
      </c>
      <c r="T183" s="650"/>
      <c r="U183" s="650"/>
      <c r="V183" s="650"/>
      <c r="W183" s="650"/>
      <c r="X183" s="652"/>
      <c r="Y183" s="682">
        <f>Q183/$C$1</f>
        <v>1019623.8918770999</v>
      </c>
      <c r="Z183" s="775">
        <f>Q183/$Q$401*100</f>
        <v>8.1811168701975667</v>
      </c>
    </row>
    <row r="184" spans="2:26" x14ac:dyDescent="0.35">
      <c r="B184" s="319"/>
      <c r="C184" s="320" t="s">
        <v>520</v>
      </c>
      <c r="D184" s="320"/>
      <c r="E184" s="608"/>
      <c r="F184" s="232"/>
      <c r="G184" s="318"/>
      <c r="H184" s="319"/>
      <c r="I184" s="320"/>
      <c r="J184" s="318"/>
      <c r="K184" s="501"/>
      <c r="L184" s="506"/>
      <c r="M184" s="328"/>
      <c r="N184" s="235"/>
      <c r="O184" s="319"/>
      <c r="P184" s="492"/>
      <c r="Q184" s="646"/>
      <c r="R184" s="646"/>
      <c r="S184" s="646"/>
      <c r="T184" s="647"/>
      <c r="U184" s="647"/>
      <c r="V184" s="647"/>
      <c r="W184" s="647"/>
      <c r="X184" s="649"/>
      <c r="Y184" s="302"/>
      <c r="Z184" s="232"/>
    </row>
    <row r="185" spans="2:26" x14ac:dyDescent="0.35">
      <c r="B185" s="603"/>
      <c r="D185" s="94" t="s">
        <v>96</v>
      </c>
      <c r="E185" s="604"/>
      <c r="F185" s="232" t="s">
        <v>187</v>
      </c>
      <c r="G185" s="318" t="s">
        <v>188</v>
      </c>
      <c r="H185" s="319"/>
      <c r="I185" s="320"/>
      <c r="J185" s="318" t="s">
        <v>521</v>
      </c>
      <c r="K185" s="420">
        <v>0.02</v>
      </c>
      <c r="L185" s="698">
        <f>136*192.08</f>
        <v>26122.880000000001</v>
      </c>
      <c r="M185" s="231">
        <v>0.1429</v>
      </c>
      <c r="N185" s="235">
        <v>1</v>
      </c>
      <c r="O185" s="507">
        <f>K185*L185*M185*N185</f>
        <v>74.65919104000001</v>
      </c>
      <c r="P185" s="235">
        <v>169122.61109699999</v>
      </c>
      <c r="Q185" s="646">
        <f>P185*$O185</f>
        <v>12626557.331074547</v>
      </c>
      <c r="R185" s="235">
        <v>163305.33120000002</v>
      </c>
      <c r="S185" s="646">
        <f>R185*$O185</f>
        <v>12192243.919911275</v>
      </c>
      <c r="T185" s="235">
        <v>179635.86432000002</v>
      </c>
      <c r="U185" s="647">
        <f>$O185*T185</f>
        <v>13411468.311902404</v>
      </c>
      <c r="V185" s="235">
        <f>W185/O185</f>
        <v>170687.93553900003</v>
      </c>
      <c r="W185" s="478">
        <f>AVERAGEIF($P$3:$U$3,W$3,$P185:$U185)</f>
        <v>12743423.187629409</v>
      </c>
      <c r="X185" s="648" t="s">
        <v>605</v>
      </c>
      <c r="Y185" s="302">
        <f t="shared" ref="Y185:Y188" si="29">Q185/$C$1</f>
        <v>65735.929462070737</v>
      </c>
      <c r="Z185" s="232"/>
    </row>
    <row r="186" spans="2:26" x14ac:dyDescent="0.35">
      <c r="B186" s="603"/>
      <c r="E186" s="604"/>
      <c r="F186" s="232" t="s">
        <v>389</v>
      </c>
      <c r="G186" s="318" t="s">
        <v>388</v>
      </c>
      <c r="H186" s="319"/>
      <c r="I186" s="320"/>
      <c r="J186" s="318" t="s">
        <v>521</v>
      </c>
      <c r="K186" s="420">
        <v>0.02</v>
      </c>
      <c r="L186" s="698">
        <f>136*192.08</f>
        <v>26122.880000000001</v>
      </c>
      <c r="M186" s="235">
        <v>1</v>
      </c>
      <c r="N186" s="235">
        <v>1</v>
      </c>
      <c r="O186" s="507">
        <f>K186*L186*M186*N186</f>
        <v>522.45760000000007</v>
      </c>
      <c r="P186" s="235">
        <v>55566</v>
      </c>
      <c r="Q186" s="646">
        <f>P186*$O186</f>
        <v>29030879.001600005</v>
      </c>
      <c r="R186" s="235">
        <v>0</v>
      </c>
      <c r="S186" s="646">
        <f>R186*$O186</f>
        <v>0</v>
      </c>
      <c r="T186" s="235">
        <v>0</v>
      </c>
      <c r="U186" s="647">
        <f>$O186*T186</f>
        <v>0</v>
      </c>
      <c r="V186" s="235">
        <f>W186/O186</f>
        <v>18522</v>
      </c>
      <c r="W186" s="478">
        <f>AVERAGEIF($P$3:$U$3,W$3,$P186:$U186)</f>
        <v>9676959.667200001</v>
      </c>
      <c r="X186" s="648"/>
      <c r="Y186" s="302">
        <f t="shared" si="29"/>
        <v>151139.52000000002</v>
      </c>
      <c r="Z186" s="232"/>
    </row>
    <row r="187" spans="2:26" x14ac:dyDescent="0.35">
      <c r="B187" s="603"/>
      <c r="E187" s="604"/>
      <c r="F187" s="232" t="s">
        <v>322</v>
      </c>
      <c r="G187" s="318" t="s">
        <v>191</v>
      </c>
      <c r="H187" s="319"/>
      <c r="I187" s="320"/>
      <c r="J187" s="318" t="s">
        <v>521</v>
      </c>
      <c r="K187" s="420">
        <v>0.02</v>
      </c>
      <c r="L187" s="698">
        <f>136*192.08</f>
        <v>26122.880000000001</v>
      </c>
      <c r="M187" s="240">
        <v>0.5</v>
      </c>
      <c r="N187" s="235">
        <v>1</v>
      </c>
      <c r="O187" s="507">
        <f>K187*L187*M187*N187</f>
        <v>261.22880000000004</v>
      </c>
      <c r="P187" s="235">
        <v>2662.5374999999999</v>
      </c>
      <c r="Q187" s="646">
        <f>P187*$O187</f>
        <v>695531.47608000005</v>
      </c>
      <c r="R187" s="235">
        <v>2783</v>
      </c>
      <c r="S187" s="646">
        <f>R187*$O187</f>
        <v>726999.75040000014</v>
      </c>
      <c r="T187" s="235">
        <v>3061.3</v>
      </c>
      <c r="U187" s="647">
        <f>$O187*T187</f>
        <v>799699.72544000018</v>
      </c>
      <c r="V187" s="235">
        <f>W187/O187</f>
        <v>2835.6125000000002</v>
      </c>
      <c r="W187" s="478">
        <f>AVERAGEIF($P$3:$U$3,W$3,$P187:$U187)</f>
        <v>740743.65064000012</v>
      </c>
      <c r="X187" s="648"/>
      <c r="Y187" s="302">
        <f t="shared" si="29"/>
        <v>3621.0509999999999</v>
      </c>
      <c r="Z187" s="232"/>
    </row>
    <row r="188" spans="2:26" x14ac:dyDescent="0.35">
      <c r="B188" s="603"/>
      <c r="E188" s="604"/>
      <c r="F188" s="232" t="s">
        <v>390</v>
      </c>
      <c r="G188" s="318" t="s">
        <v>388</v>
      </c>
      <c r="H188" s="319"/>
      <c r="I188" s="320"/>
      <c r="J188" s="318" t="s">
        <v>521</v>
      </c>
      <c r="K188" s="420">
        <v>0.02</v>
      </c>
      <c r="L188" s="698">
        <f>136*192.08</f>
        <v>26122.880000000001</v>
      </c>
      <c r="M188" s="235">
        <f>M186</f>
        <v>1</v>
      </c>
      <c r="N188" s="235">
        <v>1</v>
      </c>
      <c r="O188" s="507">
        <f>K188*L188*M188*N188</f>
        <v>522.45760000000007</v>
      </c>
      <c r="P188" s="235">
        <v>5209.3125</v>
      </c>
      <c r="Q188" s="646">
        <f>P188*$O188</f>
        <v>2721644.9064000002</v>
      </c>
      <c r="R188" s="646"/>
      <c r="S188" s="646"/>
      <c r="T188" s="647"/>
      <c r="U188" s="647"/>
      <c r="V188" s="647"/>
      <c r="W188" s="647"/>
      <c r="X188" s="648"/>
      <c r="Y188" s="302">
        <f t="shared" si="29"/>
        <v>14169.33</v>
      </c>
      <c r="Z188" s="232"/>
    </row>
    <row r="189" spans="2:26" x14ac:dyDescent="0.35">
      <c r="B189" s="603"/>
      <c r="D189" s="606"/>
      <c r="E189" s="607"/>
      <c r="F189" s="232" t="s">
        <v>365</v>
      </c>
      <c r="G189" s="318" t="s">
        <v>205</v>
      </c>
      <c r="H189" s="319"/>
      <c r="I189" s="320"/>
      <c r="J189" s="318"/>
      <c r="K189" s="501"/>
      <c r="L189" s="506"/>
      <c r="M189" s="231">
        <v>2</v>
      </c>
      <c r="N189" s="235">
        <v>1</v>
      </c>
      <c r="O189" s="319"/>
      <c r="P189" s="492"/>
      <c r="Q189" s="646"/>
      <c r="R189" s="646"/>
      <c r="S189" s="646"/>
      <c r="T189" s="647"/>
      <c r="U189" s="647"/>
      <c r="V189" s="647"/>
      <c r="W189" s="647"/>
      <c r="X189" s="648"/>
      <c r="Y189" s="302"/>
      <c r="Z189" s="232"/>
    </row>
    <row r="190" spans="2:26" ht="29.25" customHeight="1" x14ac:dyDescent="0.35">
      <c r="B190" s="630" t="s">
        <v>606</v>
      </c>
      <c r="C190" s="770"/>
      <c r="D190" s="770"/>
      <c r="E190" s="771"/>
      <c r="F190" s="633"/>
      <c r="G190" s="634"/>
      <c r="H190" s="635"/>
      <c r="I190" s="636"/>
      <c r="J190" s="634"/>
      <c r="K190" s="637"/>
      <c r="L190" s="638"/>
      <c r="M190" s="772"/>
      <c r="N190" s="773"/>
      <c r="O190" s="635"/>
      <c r="P190" s="640"/>
      <c r="Q190" s="651">
        <f>SUM(Q185:Q189)</f>
        <v>45074612.715154551</v>
      </c>
      <c r="R190" s="774"/>
      <c r="S190" s="651">
        <f>SUM(S179:S189)</f>
        <v>273266972.00035292</v>
      </c>
      <c r="T190" s="650"/>
      <c r="U190" s="650"/>
      <c r="V190" s="650"/>
      <c r="W190" s="650"/>
      <c r="X190" s="652"/>
      <c r="Y190" s="682">
        <f>Q190/$C$1</f>
        <v>234665.83046207073</v>
      </c>
      <c r="Z190" s="775">
        <f>Q190/$Q$401*100</f>
        <v>1.8828791672562879</v>
      </c>
    </row>
    <row r="191" spans="2:26" x14ac:dyDescent="0.35">
      <c r="B191" s="603"/>
      <c r="D191" s="94" t="s">
        <v>100</v>
      </c>
      <c r="E191" s="604"/>
      <c r="F191" s="232" t="s">
        <v>187</v>
      </c>
      <c r="G191" s="318" t="s">
        <v>188</v>
      </c>
      <c r="H191" s="319"/>
      <c r="I191" s="320"/>
      <c r="J191" s="318"/>
      <c r="K191" s="501"/>
      <c r="L191" s="506"/>
      <c r="M191" s="377">
        <f>1/15</f>
        <v>6.6666666666666666E-2</v>
      </c>
      <c r="N191" s="235">
        <v>1</v>
      </c>
      <c r="O191" s="319"/>
      <c r="P191" s="492"/>
      <c r="Q191" s="646"/>
      <c r="R191" s="646"/>
      <c r="S191" s="646"/>
      <c r="T191" s="647"/>
      <c r="U191" s="647"/>
      <c r="V191" s="647"/>
      <c r="W191" s="647"/>
      <c r="X191" s="648"/>
      <c r="Y191" s="302"/>
      <c r="Z191" s="232"/>
    </row>
    <row r="192" spans="2:26" hidden="1" x14ac:dyDescent="0.35">
      <c r="B192" s="605"/>
      <c r="C192" s="606"/>
      <c r="D192" s="606"/>
      <c r="E192" s="607"/>
      <c r="F192" s="232" t="s">
        <v>291</v>
      </c>
      <c r="G192" s="318" t="s">
        <v>193</v>
      </c>
      <c r="H192" s="319"/>
      <c r="I192" s="320"/>
      <c r="J192" s="318"/>
      <c r="K192" s="501"/>
      <c r="L192" s="506"/>
      <c r="M192" s="377">
        <f>M191*N191/300</f>
        <v>2.2222222222222221E-4</v>
      </c>
      <c r="N192" s="235">
        <v>1</v>
      </c>
      <c r="O192" s="507"/>
      <c r="P192" s="233"/>
      <c r="Q192" s="646"/>
      <c r="R192" s="235"/>
      <c r="S192" s="646"/>
      <c r="T192" s="647"/>
      <c r="U192" s="647"/>
      <c r="V192" s="647"/>
      <c r="W192" s="647"/>
      <c r="X192" s="648"/>
      <c r="Y192" s="302"/>
      <c r="Z192" s="232"/>
    </row>
    <row r="193" spans="2:26" x14ac:dyDescent="0.35">
      <c r="B193" s="603"/>
      <c r="C193" s="94" t="s">
        <v>99</v>
      </c>
      <c r="E193" s="604"/>
      <c r="F193" s="232" t="s">
        <v>187</v>
      </c>
      <c r="G193" s="318" t="s">
        <v>188</v>
      </c>
      <c r="H193" s="319"/>
      <c r="I193" s="320"/>
      <c r="J193" s="318" t="s">
        <v>189</v>
      </c>
      <c r="K193" s="420">
        <v>1</v>
      </c>
      <c r="L193" s="506">
        <v>192.08</v>
      </c>
      <c r="M193" s="423">
        <v>0.5</v>
      </c>
      <c r="N193" s="235">
        <v>2</v>
      </c>
      <c r="O193" s="507">
        <f>K193*L193*M193*N193</f>
        <v>192.08</v>
      </c>
      <c r="P193" s="235">
        <v>169122.61109699999</v>
      </c>
      <c r="Q193" s="646">
        <f>P193*$O193</f>
        <v>32485071.13951176</v>
      </c>
      <c r="R193" s="235">
        <v>163305.33120000002</v>
      </c>
      <c r="S193" s="646">
        <f>R193*$O193</f>
        <v>31367688.016896006</v>
      </c>
      <c r="T193" s="235">
        <v>179635.86432000002</v>
      </c>
      <c r="U193" s="647">
        <f>$O193*T193</f>
        <v>34504456.818585604</v>
      </c>
      <c r="V193" s="235">
        <f>W193/O193</f>
        <v>170687.93553900003</v>
      </c>
      <c r="W193" s="478">
        <f>AVERAGEIF($P$3:$U$3,W$3,$P193:$U193)</f>
        <v>32785738.658331126</v>
      </c>
      <c r="X193" s="648"/>
      <c r="Y193" s="302">
        <f t="shared" ref="Y193:Y194" si="30">Q193/$C$1</f>
        <v>169122.61109699999</v>
      </c>
      <c r="Z193" s="232"/>
    </row>
    <row r="194" spans="2:26" x14ac:dyDescent="0.35">
      <c r="B194" s="603"/>
      <c r="E194" s="604"/>
      <c r="F194" s="232" t="s">
        <v>525</v>
      </c>
      <c r="G194" s="318" t="s">
        <v>351</v>
      </c>
      <c r="H194" s="319"/>
      <c r="I194" s="320"/>
      <c r="J194" s="318" t="s">
        <v>189</v>
      </c>
      <c r="K194" s="420">
        <v>1</v>
      </c>
      <c r="L194" s="506">
        <v>192.08</v>
      </c>
      <c r="M194" s="373">
        <f>0.02*(1/2)</f>
        <v>0.01</v>
      </c>
      <c r="N194" s="235">
        <v>2</v>
      </c>
      <c r="O194" s="507">
        <f>K194*L194*M194*N194</f>
        <v>3.8416000000000001</v>
      </c>
      <c r="P194" s="235">
        <v>35018.15625</v>
      </c>
      <c r="Q194" s="646">
        <f>P194*$O194</f>
        <v>134525.74905000001</v>
      </c>
      <c r="R194" s="646"/>
      <c r="S194" s="646"/>
      <c r="T194" s="647"/>
      <c r="U194" s="647"/>
      <c r="V194" s="647"/>
      <c r="W194" s="647"/>
      <c r="X194" s="648"/>
      <c r="Y194" s="302">
        <f t="shared" si="30"/>
        <v>700.36312499999997</v>
      </c>
      <c r="Z194" s="232"/>
    </row>
    <row r="195" spans="2:26" x14ac:dyDescent="0.35">
      <c r="B195" s="630" t="s">
        <v>526</v>
      </c>
      <c r="C195" s="770"/>
      <c r="D195" s="770"/>
      <c r="E195" s="771"/>
      <c r="F195" s="633"/>
      <c r="G195" s="634"/>
      <c r="H195" s="635"/>
      <c r="I195" s="636"/>
      <c r="J195" s="634"/>
      <c r="K195" s="637"/>
      <c r="L195" s="638"/>
      <c r="M195" s="772"/>
      <c r="N195" s="773"/>
      <c r="O195" s="635"/>
      <c r="P195" s="640"/>
      <c r="Q195" s="651">
        <f>SUM(Q193:Q194)</f>
        <v>32619596.888561759</v>
      </c>
      <c r="R195" s="774"/>
      <c r="S195" s="651">
        <f>SUM(S184:S194)</f>
        <v>317553903.6875602</v>
      </c>
      <c r="T195" s="650"/>
      <c r="U195" s="650"/>
      <c r="V195" s="650"/>
      <c r="W195" s="650"/>
      <c r="X195" s="652"/>
      <c r="Y195" s="682">
        <f>Q195/$C$1</f>
        <v>169822.97422199999</v>
      </c>
      <c r="Z195" s="775">
        <f>Q195/$Q$401*100</f>
        <v>1.3626020441684537</v>
      </c>
    </row>
    <row r="196" spans="2:26" x14ac:dyDescent="0.35">
      <c r="B196" s="693" t="s">
        <v>527</v>
      </c>
      <c r="C196" s="776"/>
      <c r="D196" s="776"/>
      <c r="E196" s="777"/>
      <c r="F196" s="516"/>
      <c r="G196" s="613"/>
      <c r="H196" s="614"/>
      <c r="I196" s="615"/>
      <c r="J196" s="613"/>
      <c r="K196" s="616"/>
      <c r="L196" s="617"/>
      <c r="M196" s="527"/>
      <c r="N196" s="766"/>
      <c r="O196" s="614"/>
      <c r="P196" s="618"/>
      <c r="Q196" s="696">
        <f>Q183+Q190+Q195</f>
        <v>273543566.75546968</v>
      </c>
      <c r="R196" s="778"/>
      <c r="S196" s="696">
        <f>SUM(S185:S195)</f>
        <v>635107807.3751204</v>
      </c>
      <c r="T196" s="673"/>
      <c r="U196" s="673"/>
      <c r="V196" s="673"/>
      <c r="W196" s="673"/>
      <c r="X196" s="674"/>
      <c r="Y196" s="675">
        <f>Q196/$C$1</f>
        <v>1424112.6965611707</v>
      </c>
      <c r="Z196" s="779">
        <f>Q196/$Q$401*100</f>
        <v>11.426598081622309</v>
      </c>
    </row>
    <row r="197" spans="2:26" x14ac:dyDescent="0.35">
      <c r="B197" s="620" t="s">
        <v>528</v>
      </c>
      <c r="C197" s="320"/>
      <c r="D197" s="320"/>
      <c r="E197" s="608"/>
      <c r="F197" s="232"/>
      <c r="G197" s="318"/>
      <c r="H197" s="319"/>
      <c r="I197" s="320"/>
      <c r="J197" s="318"/>
      <c r="K197" s="501"/>
      <c r="L197" s="506"/>
      <c r="M197" s="231"/>
      <c r="N197" s="235"/>
      <c r="O197" s="319"/>
      <c r="P197" s="492"/>
      <c r="Q197" s="646"/>
      <c r="R197" s="646"/>
      <c r="S197" s="646"/>
      <c r="T197" s="647"/>
      <c r="U197" s="647"/>
      <c r="V197" s="647"/>
      <c r="W197" s="647"/>
      <c r="X197" s="648"/>
      <c r="Y197" s="302"/>
      <c r="Z197" s="232"/>
    </row>
    <row r="198" spans="2:26" x14ac:dyDescent="0.35">
      <c r="B198" s="620"/>
      <c r="C198" s="320" t="s">
        <v>295</v>
      </c>
      <c r="D198" s="320"/>
      <c r="E198" s="608"/>
      <c r="F198" s="232"/>
      <c r="G198" s="318"/>
      <c r="H198" s="319"/>
      <c r="I198" s="320"/>
      <c r="J198" s="318"/>
      <c r="K198" s="501"/>
      <c r="L198" s="506"/>
      <c r="M198" s="231"/>
      <c r="N198" s="235"/>
      <c r="O198" s="319"/>
      <c r="P198" s="492"/>
      <c r="Q198" s="646"/>
      <c r="R198" s="646"/>
      <c r="S198" s="646"/>
      <c r="T198" s="647"/>
      <c r="U198" s="647"/>
      <c r="V198" s="647"/>
      <c r="W198" s="647"/>
      <c r="X198" s="648"/>
      <c r="Y198" s="302"/>
      <c r="Z198" s="232"/>
    </row>
    <row r="199" spans="2:26" x14ac:dyDescent="0.35">
      <c r="B199" s="603"/>
      <c r="D199" s="94" t="s">
        <v>102</v>
      </c>
      <c r="E199" s="604"/>
      <c r="F199" s="232" t="s">
        <v>187</v>
      </c>
      <c r="G199" s="318" t="s">
        <v>188</v>
      </c>
      <c r="H199" s="319"/>
      <c r="I199" s="320"/>
      <c r="J199" s="318"/>
      <c r="K199" s="627">
        <v>0</v>
      </c>
      <c r="L199" s="506">
        <v>192.08</v>
      </c>
      <c r="M199" s="240">
        <v>0.5</v>
      </c>
      <c r="N199" s="235">
        <v>1</v>
      </c>
      <c r="O199" s="507">
        <f t="shared" ref="O199:O205" si="31">K199*L199*M199*N199</f>
        <v>0</v>
      </c>
      <c r="P199" s="235">
        <v>158800.57379999998</v>
      </c>
      <c r="Q199" s="646">
        <f t="shared" ref="Q199:Q204" si="32">P199*$O199</f>
        <v>0</v>
      </c>
      <c r="R199" s="646"/>
      <c r="S199" s="646"/>
      <c r="T199" s="647"/>
      <c r="U199" s="647"/>
      <c r="V199" s="647"/>
      <c r="W199" s="647"/>
      <c r="X199" s="648"/>
      <c r="Y199" s="302">
        <f t="shared" ref="Y199:Y227" si="33">Q199/192.08</f>
        <v>0</v>
      </c>
      <c r="Z199" s="232"/>
    </row>
    <row r="200" spans="2:26" hidden="1" x14ac:dyDescent="0.35">
      <c r="B200" s="603"/>
      <c r="E200" s="604"/>
      <c r="F200" s="232" t="s">
        <v>529</v>
      </c>
      <c r="G200" s="318" t="s">
        <v>334</v>
      </c>
      <c r="H200" s="319"/>
      <c r="I200" s="320"/>
      <c r="J200" s="318"/>
      <c r="K200" s="627">
        <v>0</v>
      </c>
      <c r="L200" s="506"/>
      <c r="M200" s="231"/>
      <c r="N200" s="235"/>
      <c r="O200" s="507">
        <f t="shared" si="31"/>
        <v>0</v>
      </c>
      <c r="P200" s="235">
        <v>0</v>
      </c>
      <c r="Q200" s="646">
        <f t="shared" si="32"/>
        <v>0</v>
      </c>
      <c r="R200" s="646"/>
      <c r="S200" s="646"/>
      <c r="T200" s="647"/>
      <c r="U200" s="647"/>
      <c r="V200" s="647"/>
      <c r="W200" s="647"/>
      <c r="X200" s="648"/>
      <c r="Y200" s="302">
        <f t="shared" si="33"/>
        <v>0</v>
      </c>
      <c r="Z200" s="232"/>
    </row>
    <row r="201" spans="2:26" hidden="1" x14ac:dyDescent="0.35">
      <c r="B201" s="603"/>
      <c r="E201" s="604"/>
      <c r="F201" s="232" t="s">
        <v>530</v>
      </c>
      <c r="G201" s="318" t="s">
        <v>334</v>
      </c>
      <c r="H201" s="319"/>
      <c r="I201" s="320"/>
      <c r="J201" s="318"/>
      <c r="K201" s="627">
        <v>0</v>
      </c>
      <c r="L201" s="506">
        <v>2188</v>
      </c>
      <c r="M201" s="233">
        <f>1350/1000</f>
        <v>1.35</v>
      </c>
      <c r="N201" s="235">
        <v>1</v>
      </c>
      <c r="O201" s="507">
        <f t="shared" si="31"/>
        <v>0</v>
      </c>
      <c r="P201" s="235">
        <v>116455.5</v>
      </c>
      <c r="Q201" s="646">
        <f t="shared" si="32"/>
        <v>0</v>
      </c>
      <c r="R201" s="646"/>
      <c r="S201" s="646"/>
      <c r="T201" s="647"/>
      <c r="U201" s="647"/>
      <c r="V201" s="647"/>
      <c r="W201" s="647"/>
      <c r="X201" s="648"/>
      <c r="Y201" s="302">
        <f t="shared" si="33"/>
        <v>0</v>
      </c>
      <c r="Z201" s="232"/>
    </row>
    <row r="202" spans="2:26" hidden="1" x14ac:dyDescent="0.35">
      <c r="B202" s="603"/>
      <c r="E202" s="604"/>
      <c r="F202" s="232" t="s">
        <v>215</v>
      </c>
      <c r="G202" s="318" t="s">
        <v>205</v>
      </c>
      <c r="H202" s="319"/>
      <c r="I202" s="320"/>
      <c r="J202" s="318"/>
      <c r="K202" s="627">
        <v>0</v>
      </c>
      <c r="L202" s="506">
        <v>2188</v>
      </c>
      <c r="M202" s="231">
        <v>2.8000000000000001E-2</v>
      </c>
      <c r="N202" s="235">
        <v>1</v>
      </c>
      <c r="O202" s="507">
        <f t="shared" si="31"/>
        <v>0</v>
      </c>
      <c r="P202" s="235">
        <v>761671.70213055995</v>
      </c>
      <c r="Q202" s="646">
        <f t="shared" si="32"/>
        <v>0</v>
      </c>
      <c r="R202" s="646"/>
      <c r="S202" s="646"/>
      <c r="T202" s="647"/>
      <c r="U202" s="647"/>
      <c r="V202" s="647"/>
      <c r="W202" s="647"/>
      <c r="X202" s="648"/>
      <c r="Y202" s="302">
        <f t="shared" si="33"/>
        <v>0</v>
      </c>
      <c r="Z202" s="232"/>
    </row>
    <row r="203" spans="2:26" hidden="1" x14ac:dyDescent="0.35">
      <c r="B203" s="603"/>
      <c r="E203" s="604"/>
      <c r="F203" s="232" t="s">
        <v>531</v>
      </c>
      <c r="G203" s="318" t="s">
        <v>205</v>
      </c>
      <c r="H203" s="319"/>
      <c r="I203" s="320"/>
      <c r="J203" s="318"/>
      <c r="K203" s="627">
        <v>0</v>
      </c>
      <c r="L203" s="506">
        <v>2188</v>
      </c>
      <c r="M203" s="231">
        <f>10/1000</f>
        <v>0.01</v>
      </c>
      <c r="N203" s="235">
        <v>1</v>
      </c>
      <c r="O203" s="507">
        <f t="shared" si="31"/>
        <v>0</v>
      </c>
      <c r="P203" s="235">
        <v>696305.06082000001</v>
      </c>
      <c r="Q203" s="646">
        <f t="shared" si="32"/>
        <v>0</v>
      </c>
      <c r="R203" s="646"/>
      <c r="S203" s="646"/>
      <c r="T203" s="647"/>
      <c r="U203" s="647"/>
      <c r="V203" s="647"/>
      <c r="W203" s="647"/>
      <c r="X203" s="648"/>
      <c r="Y203" s="302">
        <f t="shared" si="33"/>
        <v>0</v>
      </c>
      <c r="Z203" s="232"/>
    </row>
    <row r="204" spans="2:26" hidden="1" x14ac:dyDescent="0.35">
      <c r="B204" s="603"/>
      <c r="D204" s="606"/>
      <c r="E204" s="607"/>
      <c r="F204" s="232" t="s">
        <v>255</v>
      </c>
      <c r="G204" s="318" t="s">
        <v>205</v>
      </c>
      <c r="H204" s="319"/>
      <c r="I204" s="320"/>
      <c r="J204" s="318"/>
      <c r="K204" s="627">
        <v>0</v>
      </c>
      <c r="L204" s="506">
        <v>2188</v>
      </c>
      <c r="M204" s="231">
        <f>10/1000</f>
        <v>0.01</v>
      </c>
      <c r="N204" s="235">
        <v>1</v>
      </c>
      <c r="O204" s="507">
        <f t="shared" si="31"/>
        <v>0</v>
      </c>
      <c r="P204" s="235">
        <v>751428.66536999994</v>
      </c>
      <c r="Q204" s="646">
        <f t="shared" si="32"/>
        <v>0</v>
      </c>
      <c r="R204" s="646"/>
      <c r="S204" s="646"/>
      <c r="T204" s="647"/>
      <c r="U204" s="647"/>
      <c r="V204" s="647"/>
      <c r="W204" s="647"/>
      <c r="X204" s="648"/>
      <c r="Y204" s="302">
        <f t="shared" si="33"/>
        <v>0</v>
      </c>
      <c r="Z204" s="232"/>
    </row>
    <row r="205" spans="2:26" x14ac:dyDescent="0.35">
      <c r="B205" s="603"/>
      <c r="D205" s="94" t="s">
        <v>105</v>
      </c>
      <c r="E205" s="604"/>
      <c r="F205" s="232" t="s">
        <v>187</v>
      </c>
      <c r="G205" s="318" t="s">
        <v>188</v>
      </c>
      <c r="H205" s="319"/>
      <c r="I205" s="320"/>
      <c r="J205" s="318" t="s">
        <v>279</v>
      </c>
      <c r="K205" s="627">
        <v>0</v>
      </c>
      <c r="L205" s="506">
        <v>192.08</v>
      </c>
      <c r="M205" s="231">
        <v>0.5</v>
      </c>
      <c r="N205" s="235">
        <v>1</v>
      </c>
      <c r="O205" s="507">
        <f t="shared" si="31"/>
        <v>0</v>
      </c>
      <c r="P205" s="235">
        <v>158800.57379999998</v>
      </c>
      <c r="Q205" s="646">
        <f>P205*$O205</f>
        <v>0</v>
      </c>
      <c r="R205" s="235">
        <v>163305.33120000002</v>
      </c>
      <c r="S205" s="646">
        <f>R205*$O205</f>
        <v>0</v>
      </c>
      <c r="T205" s="235">
        <v>179635.86432000002</v>
      </c>
      <c r="U205" s="647">
        <f>$O205*T205</f>
        <v>0</v>
      </c>
      <c r="V205" s="235" t="e">
        <f>W205/O205</f>
        <v>#DIV/0!</v>
      </c>
      <c r="W205" s="478">
        <f>AVERAGEIF($P$3:$U$3,W$3,$P205:$U205)</f>
        <v>0</v>
      </c>
      <c r="X205" s="648"/>
      <c r="Y205" s="302">
        <f t="shared" si="33"/>
        <v>0</v>
      </c>
      <c r="Z205" s="232"/>
    </row>
    <row r="206" spans="2:26" hidden="1" x14ac:dyDescent="0.35">
      <c r="B206" s="603"/>
      <c r="E206" s="604"/>
      <c r="F206" s="232" t="s">
        <v>529</v>
      </c>
      <c r="G206" s="318" t="s">
        <v>334</v>
      </c>
      <c r="H206" s="319"/>
      <c r="I206" s="320"/>
      <c r="J206" s="318"/>
      <c r="K206" s="627">
        <v>0</v>
      </c>
      <c r="L206" s="506"/>
      <c r="M206" s="231"/>
      <c r="N206" s="235"/>
      <c r="O206" s="319"/>
      <c r="P206" s="492"/>
      <c r="Q206" s="646"/>
      <c r="R206" s="646"/>
      <c r="S206" s="646"/>
      <c r="T206" s="647"/>
      <c r="U206" s="647"/>
      <c r="V206" s="647"/>
      <c r="W206" s="647"/>
      <c r="X206" s="648"/>
      <c r="Y206" s="302">
        <f t="shared" si="33"/>
        <v>0</v>
      </c>
      <c r="Z206" s="232"/>
    </row>
    <row r="207" spans="2:26" hidden="1" x14ac:dyDescent="0.35">
      <c r="B207" s="603"/>
      <c r="E207" s="604"/>
      <c r="F207" s="232" t="s">
        <v>530</v>
      </c>
      <c r="G207" s="318" t="s">
        <v>334</v>
      </c>
      <c r="H207" s="319"/>
      <c r="I207" s="320"/>
      <c r="J207" s="318" t="s">
        <v>279</v>
      </c>
      <c r="K207" s="627">
        <v>0</v>
      </c>
      <c r="L207" s="506">
        <v>4007</v>
      </c>
      <c r="M207" s="233">
        <f>1050/1000</f>
        <v>1.05</v>
      </c>
      <c r="N207" s="235">
        <v>1</v>
      </c>
      <c r="O207" s="507">
        <f>K207*L207*M207*N207</f>
        <v>0</v>
      </c>
      <c r="P207" s="235">
        <v>116455.5</v>
      </c>
      <c r="Q207" s="646">
        <f>P207*$O207</f>
        <v>0</v>
      </c>
      <c r="R207" s="235">
        <v>133813.90000000002</v>
      </c>
      <c r="S207" s="646">
        <f>R207*$O207</f>
        <v>0</v>
      </c>
      <c r="T207" s="235">
        <v>147195.29000000004</v>
      </c>
      <c r="U207" s="647">
        <f>$O207*T207</f>
        <v>0</v>
      </c>
      <c r="V207" s="235" t="e">
        <f>W207/O207</f>
        <v>#DIV/0!</v>
      </c>
      <c r="W207" s="478">
        <f>AVERAGEIF($P$3:$U$3,W$3,$P207:$U207)</f>
        <v>0</v>
      </c>
      <c r="X207" s="648"/>
      <c r="Y207" s="302">
        <f t="shared" si="33"/>
        <v>0</v>
      </c>
      <c r="Z207" s="232"/>
    </row>
    <row r="208" spans="2:26" hidden="1" x14ac:dyDescent="0.35">
      <c r="B208" s="603"/>
      <c r="E208" s="604"/>
      <c r="F208" s="232" t="s">
        <v>215</v>
      </c>
      <c r="G208" s="318" t="s">
        <v>205</v>
      </c>
      <c r="H208" s="319"/>
      <c r="I208" s="320"/>
      <c r="J208" s="318"/>
      <c r="K208" s="627">
        <v>0</v>
      </c>
      <c r="L208" s="506">
        <v>4007</v>
      </c>
      <c r="M208" s="231">
        <v>2.8000000000000001E-2</v>
      </c>
      <c r="N208" s="235">
        <v>1</v>
      </c>
      <c r="O208" s="507">
        <f>K208*L208*M208*N208</f>
        <v>0</v>
      </c>
      <c r="P208" s="235">
        <v>761671.70213055995</v>
      </c>
      <c r="Q208" s="646">
        <f>P208*$O208</f>
        <v>0</v>
      </c>
      <c r="R208" s="646"/>
      <c r="S208" s="646"/>
      <c r="T208" s="647"/>
      <c r="U208" s="647"/>
      <c r="V208" s="647"/>
      <c r="W208" s="647"/>
      <c r="X208" s="648"/>
      <c r="Y208" s="302">
        <f t="shared" si="33"/>
        <v>0</v>
      </c>
      <c r="Z208" s="232"/>
    </row>
    <row r="209" spans="2:26" hidden="1" x14ac:dyDescent="0.35">
      <c r="B209" s="603"/>
      <c r="E209" s="604"/>
      <c r="F209" s="232" t="s">
        <v>531</v>
      </c>
      <c r="G209" s="318" t="s">
        <v>205</v>
      </c>
      <c r="H209" s="319"/>
      <c r="I209" s="320"/>
      <c r="J209" s="318" t="s">
        <v>279</v>
      </c>
      <c r="K209" s="627">
        <v>0</v>
      </c>
      <c r="L209" s="506">
        <v>4007</v>
      </c>
      <c r="M209" s="231">
        <f>8/1000</f>
        <v>8.0000000000000002E-3</v>
      </c>
      <c r="N209" s="235">
        <v>1</v>
      </c>
      <c r="O209" s="507">
        <f>K209*L209*M209*N209</f>
        <v>0</v>
      </c>
      <c r="P209" s="235">
        <v>696305.06082000001</v>
      </c>
      <c r="Q209" s="646">
        <f>P209*$O209</f>
        <v>0</v>
      </c>
      <c r="R209" s="235">
        <v>577911.85919999995</v>
      </c>
      <c r="S209" s="646">
        <f>R209*$O209</f>
        <v>0</v>
      </c>
      <c r="T209" s="235">
        <v>601028.333568</v>
      </c>
      <c r="U209" s="647">
        <f>$O209*T209</f>
        <v>0</v>
      </c>
      <c r="V209" s="235" t="e">
        <f>W209/O209</f>
        <v>#DIV/0!</v>
      </c>
      <c r="W209" s="478">
        <f>AVERAGEIF($P$3:$U$3,W$3,$P209:$U209)</f>
        <v>0</v>
      </c>
      <c r="X209" s="648"/>
      <c r="Y209" s="302">
        <f t="shared" si="33"/>
        <v>0</v>
      </c>
      <c r="Z209" s="232"/>
    </row>
    <row r="210" spans="2:26" hidden="1" x14ac:dyDescent="0.35">
      <c r="B210" s="603"/>
      <c r="D210" s="606"/>
      <c r="E210" s="607"/>
      <c r="F210" s="232" t="s">
        <v>255</v>
      </c>
      <c r="G210" s="318" t="s">
        <v>205</v>
      </c>
      <c r="H210" s="319"/>
      <c r="I210" s="320"/>
      <c r="J210" s="318" t="s">
        <v>279</v>
      </c>
      <c r="K210" s="627">
        <v>0</v>
      </c>
      <c r="L210" s="506">
        <v>4007</v>
      </c>
      <c r="M210" s="231">
        <f>8/1000</f>
        <v>8.0000000000000002E-3</v>
      </c>
      <c r="N210" s="235">
        <v>1</v>
      </c>
      <c r="O210" s="507">
        <f>K210*L210*M210*N210</f>
        <v>0</v>
      </c>
      <c r="P210" s="235">
        <v>751428.66536999994</v>
      </c>
      <c r="Q210" s="646">
        <f>P210*$O210</f>
        <v>0</v>
      </c>
      <c r="R210" s="235">
        <v>671314.50879999995</v>
      </c>
      <c r="S210" s="646">
        <f>R210*$O210</f>
        <v>0</v>
      </c>
      <c r="T210" s="235">
        <v>698167.08915200003</v>
      </c>
      <c r="U210" s="647">
        <f>$O210*T210</f>
        <v>0</v>
      </c>
      <c r="V210" s="235" t="e">
        <f>W210/O210</f>
        <v>#DIV/0!</v>
      </c>
      <c r="W210" s="478">
        <f>AVERAGEIF($P$3:$U$3,W$3,$P210:$U210)</f>
        <v>0</v>
      </c>
      <c r="X210" s="648"/>
      <c r="Y210" s="302">
        <f t="shared" si="33"/>
        <v>0</v>
      </c>
      <c r="Z210" s="232"/>
    </row>
    <row r="211" spans="2:26" x14ac:dyDescent="0.35">
      <c r="B211" s="603"/>
      <c r="D211" s="94" t="s">
        <v>106</v>
      </c>
      <c r="E211" s="604"/>
      <c r="F211" s="232" t="s">
        <v>187</v>
      </c>
      <c r="G211" s="318" t="s">
        <v>188</v>
      </c>
      <c r="H211" s="319"/>
      <c r="I211" s="320"/>
      <c r="J211" s="318" t="s">
        <v>279</v>
      </c>
      <c r="K211" s="627">
        <v>0</v>
      </c>
      <c r="L211" s="506">
        <v>192.08</v>
      </c>
      <c r="M211" s="231">
        <v>0.5</v>
      </c>
      <c r="N211" s="235">
        <v>1</v>
      </c>
      <c r="O211" s="507">
        <f>K211*L211*M211*N211</f>
        <v>0</v>
      </c>
      <c r="P211" s="235">
        <v>158800.57379999998</v>
      </c>
      <c r="Q211" s="646">
        <f>P211*$O211</f>
        <v>0</v>
      </c>
      <c r="R211" s="235">
        <v>163305.33120000002</v>
      </c>
      <c r="S211" s="646">
        <f>R211*$O211</f>
        <v>0</v>
      </c>
      <c r="T211" s="235">
        <v>179635.86432000002</v>
      </c>
      <c r="U211" s="647">
        <f>$O211*T211</f>
        <v>0</v>
      </c>
      <c r="V211" s="235" t="e">
        <f>W211/O211</f>
        <v>#DIV/0!</v>
      </c>
      <c r="W211" s="478">
        <f>AVERAGEIF($P$3:$U$3,W$3,$P211:$U211)</f>
        <v>0</v>
      </c>
      <c r="X211" s="648"/>
      <c r="Y211" s="302">
        <f t="shared" si="33"/>
        <v>0</v>
      </c>
      <c r="Z211" s="232"/>
    </row>
    <row r="212" spans="2:26" hidden="1" x14ac:dyDescent="0.35">
      <c r="B212" s="603"/>
      <c r="E212" s="604"/>
      <c r="F212" s="232" t="s">
        <v>529</v>
      </c>
      <c r="G212" s="318" t="s">
        <v>334</v>
      </c>
      <c r="H212" s="319"/>
      <c r="I212" s="320"/>
      <c r="J212" s="318"/>
      <c r="K212" s="627">
        <v>0</v>
      </c>
      <c r="L212" s="506"/>
      <c r="M212" s="231"/>
      <c r="N212" s="235"/>
      <c r="O212" s="319"/>
      <c r="P212" s="492"/>
      <c r="Q212" s="646"/>
      <c r="R212" s="646"/>
      <c r="S212" s="646"/>
      <c r="T212" s="647"/>
      <c r="U212" s="647"/>
      <c r="V212" s="647"/>
      <c r="W212" s="647"/>
      <c r="X212" s="648"/>
      <c r="Y212" s="302">
        <f t="shared" si="33"/>
        <v>0</v>
      </c>
      <c r="Z212" s="232"/>
    </row>
    <row r="213" spans="2:26" hidden="1" x14ac:dyDescent="0.35">
      <c r="B213" s="603"/>
      <c r="E213" s="604"/>
      <c r="F213" s="232" t="s">
        <v>530</v>
      </c>
      <c r="G213" s="318" t="s">
        <v>334</v>
      </c>
      <c r="H213" s="319"/>
      <c r="I213" s="320"/>
      <c r="J213" s="318"/>
      <c r="K213" s="627">
        <v>0</v>
      </c>
      <c r="L213" s="506">
        <v>131</v>
      </c>
      <c r="M213" s="233">
        <f>1050/1000</f>
        <v>1.05</v>
      </c>
      <c r="N213" s="235">
        <v>1</v>
      </c>
      <c r="O213" s="507">
        <f>K213*L213*M213*N213</f>
        <v>0</v>
      </c>
      <c r="P213" s="235">
        <v>116455.5</v>
      </c>
      <c r="Q213" s="646">
        <f>P213*$O213</f>
        <v>0</v>
      </c>
      <c r="R213" s="235">
        <v>133813.90000000002</v>
      </c>
      <c r="S213" s="646">
        <f>R213*$O213</f>
        <v>0</v>
      </c>
      <c r="T213" s="235">
        <v>147195.29000000004</v>
      </c>
      <c r="U213" s="647">
        <f>$O213*T213</f>
        <v>0</v>
      </c>
      <c r="V213" s="235" t="e">
        <f>W213/O213</f>
        <v>#DIV/0!</v>
      </c>
      <c r="W213" s="478">
        <f>AVERAGEIF($P$3:$U$3,W$3,$P213:$U213)</f>
        <v>0</v>
      </c>
      <c r="X213" s="648"/>
      <c r="Y213" s="302">
        <f t="shared" si="33"/>
        <v>0</v>
      </c>
      <c r="Z213" s="232"/>
    </row>
    <row r="214" spans="2:26" hidden="1" x14ac:dyDescent="0.35">
      <c r="B214" s="603"/>
      <c r="E214" s="604"/>
      <c r="F214" s="232" t="s">
        <v>215</v>
      </c>
      <c r="G214" s="318" t="s">
        <v>205</v>
      </c>
      <c r="H214" s="319"/>
      <c r="I214" s="320"/>
      <c r="J214" s="318"/>
      <c r="K214" s="627">
        <v>0</v>
      </c>
      <c r="L214" s="506">
        <v>131</v>
      </c>
      <c r="M214" s="231">
        <v>2.8000000000000001E-2</v>
      </c>
      <c r="N214" s="235">
        <v>1</v>
      </c>
      <c r="O214" s="507">
        <f>K214*L214*M214*N214</f>
        <v>0</v>
      </c>
      <c r="P214" s="235">
        <v>761671.70213055995</v>
      </c>
      <c r="Q214" s="646">
        <f>P214*$O214</f>
        <v>0</v>
      </c>
      <c r="R214" s="646"/>
      <c r="S214" s="646"/>
      <c r="T214" s="647"/>
      <c r="U214" s="647"/>
      <c r="V214" s="647"/>
      <c r="W214" s="647"/>
      <c r="X214" s="648"/>
      <c r="Y214" s="302">
        <f t="shared" si="33"/>
        <v>0</v>
      </c>
      <c r="Z214" s="232"/>
    </row>
    <row r="215" spans="2:26" hidden="1" x14ac:dyDescent="0.35">
      <c r="B215" s="603"/>
      <c r="E215" s="604"/>
      <c r="F215" s="232" t="s">
        <v>531</v>
      </c>
      <c r="G215" s="318" t="s">
        <v>205</v>
      </c>
      <c r="H215" s="319"/>
      <c r="I215" s="320"/>
      <c r="J215" s="318"/>
      <c r="K215" s="627">
        <v>0</v>
      </c>
      <c r="L215" s="506">
        <v>131</v>
      </c>
      <c r="M215" s="231">
        <f>8/1000</f>
        <v>8.0000000000000002E-3</v>
      </c>
      <c r="N215" s="235">
        <v>1</v>
      </c>
      <c r="O215" s="507">
        <f>K215*L215*M215*N215</f>
        <v>0</v>
      </c>
      <c r="P215" s="235">
        <v>696305.06082000001</v>
      </c>
      <c r="Q215" s="646">
        <f>P215*$O215</f>
        <v>0</v>
      </c>
      <c r="R215" s="235">
        <v>577911.85919999995</v>
      </c>
      <c r="S215" s="646">
        <f>R215*$O215</f>
        <v>0</v>
      </c>
      <c r="T215" s="235">
        <v>601028.333568</v>
      </c>
      <c r="U215" s="647">
        <f>$O215*T215</f>
        <v>0</v>
      </c>
      <c r="V215" s="235" t="e">
        <f>W215/O215</f>
        <v>#DIV/0!</v>
      </c>
      <c r="W215" s="478">
        <f>AVERAGEIF($P$3:$U$3,W$3,$P215:$U215)</f>
        <v>0</v>
      </c>
      <c r="X215" s="648"/>
      <c r="Y215" s="302">
        <f t="shared" si="33"/>
        <v>0</v>
      </c>
      <c r="Z215" s="329"/>
    </row>
    <row r="216" spans="2:26" hidden="1" x14ac:dyDescent="0.35">
      <c r="B216" s="603"/>
      <c r="D216" s="606"/>
      <c r="E216" s="607"/>
      <c r="F216" s="232" t="s">
        <v>255</v>
      </c>
      <c r="G216" s="318" t="s">
        <v>205</v>
      </c>
      <c r="H216" s="319"/>
      <c r="I216" s="320"/>
      <c r="J216" s="318"/>
      <c r="K216" s="627">
        <v>0</v>
      </c>
      <c r="L216" s="506">
        <v>131</v>
      </c>
      <c r="M216" s="231">
        <f>8/1000</f>
        <v>8.0000000000000002E-3</v>
      </c>
      <c r="N216" s="235">
        <v>1</v>
      </c>
      <c r="O216" s="507">
        <f>K216*L216*M216*N216</f>
        <v>0</v>
      </c>
      <c r="P216" s="235">
        <v>751428.66536999994</v>
      </c>
      <c r="Q216" s="646">
        <f>P216*$O216</f>
        <v>0</v>
      </c>
      <c r="R216" s="235">
        <v>671314.50879999995</v>
      </c>
      <c r="S216" s="646">
        <f>R216*$O216</f>
        <v>0</v>
      </c>
      <c r="T216" s="235">
        <v>698167.08915200003</v>
      </c>
      <c r="U216" s="647">
        <f>$O216*T216</f>
        <v>0</v>
      </c>
      <c r="V216" s="235" t="e">
        <f>W216/O216</f>
        <v>#DIV/0!</v>
      </c>
      <c r="W216" s="478">
        <f>AVERAGEIF($P$3:$U$3,W$3,$P216:$U216)</f>
        <v>0</v>
      </c>
      <c r="X216" s="648"/>
      <c r="Y216" s="302">
        <f t="shared" si="33"/>
        <v>0</v>
      </c>
      <c r="Z216" s="329"/>
    </row>
    <row r="217" spans="2:26" x14ac:dyDescent="0.35">
      <c r="B217" s="603"/>
      <c r="D217" s="94" t="s">
        <v>109</v>
      </c>
      <c r="E217" s="604"/>
      <c r="F217" s="232" t="s">
        <v>187</v>
      </c>
      <c r="G217" s="318" t="s">
        <v>188</v>
      </c>
      <c r="H217" s="319"/>
      <c r="I217" s="320"/>
      <c r="J217" s="318"/>
      <c r="K217" s="627">
        <v>0</v>
      </c>
      <c r="L217" s="506">
        <v>192.08</v>
      </c>
      <c r="M217" s="231">
        <v>0.5</v>
      </c>
      <c r="N217" s="235">
        <v>1</v>
      </c>
      <c r="O217" s="507">
        <f>K217*L217*M217*N217</f>
        <v>0</v>
      </c>
      <c r="P217" s="235">
        <v>158800.57379999998</v>
      </c>
      <c r="Q217" s="646">
        <f t="shared" ref="Q217:Q222" si="34">P217*$O217</f>
        <v>0</v>
      </c>
      <c r="R217" s="646"/>
      <c r="S217" s="646"/>
      <c r="T217" s="647"/>
      <c r="U217" s="647"/>
      <c r="V217" s="647"/>
      <c r="W217" s="647"/>
      <c r="X217" s="648"/>
      <c r="Y217" s="302">
        <f t="shared" si="33"/>
        <v>0</v>
      </c>
      <c r="Z217" s="232"/>
    </row>
    <row r="218" spans="2:26" hidden="1" x14ac:dyDescent="0.35">
      <c r="B218" s="603"/>
      <c r="E218" s="604"/>
      <c r="F218" s="232" t="s">
        <v>529</v>
      </c>
      <c r="G218" s="318" t="s">
        <v>334</v>
      </c>
      <c r="H218" s="319"/>
      <c r="I218" s="320"/>
      <c r="J218" s="318"/>
      <c r="K218" s="627">
        <v>0</v>
      </c>
      <c r="L218" s="506"/>
      <c r="M218" s="231"/>
      <c r="N218" s="235"/>
      <c r="O218" s="319"/>
      <c r="P218" s="235">
        <v>0</v>
      </c>
      <c r="Q218" s="646">
        <f t="shared" si="34"/>
        <v>0</v>
      </c>
      <c r="R218" s="646"/>
      <c r="S218" s="646"/>
      <c r="T218" s="647"/>
      <c r="U218" s="647"/>
      <c r="V218" s="647"/>
      <c r="W218" s="647"/>
      <c r="X218" s="648"/>
      <c r="Y218" s="302">
        <f t="shared" si="33"/>
        <v>0</v>
      </c>
      <c r="Z218" s="232"/>
    </row>
    <row r="219" spans="2:26" hidden="1" x14ac:dyDescent="0.35">
      <c r="B219" s="644"/>
      <c r="C219" s="286"/>
      <c r="D219" s="286"/>
      <c r="E219" s="645"/>
      <c r="F219" s="374" t="s">
        <v>530</v>
      </c>
      <c r="G219" s="625" t="s">
        <v>334</v>
      </c>
      <c r="H219" s="602"/>
      <c r="I219" s="626"/>
      <c r="J219" s="625"/>
      <c r="K219" s="627">
        <v>0</v>
      </c>
      <c r="L219" s="506">
        <v>6004</v>
      </c>
      <c r="M219" s="233">
        <f>1050/1000</f>
        <v>1.05</v>
      </c>
      <c r="N219" s="235">
        <v>1</v>
      </c>
      <c r="O219" s="507">
        <f t="shared" ref="O219:O227" si="35">K219*L219*M219*N219</f>
        <v>0</v>
      </c>
      <c r="P219" s="235">
        <v>116455.5</v>
      </c>
      <c r="Q219" s="646">
        <f t="shared" si="34"/>
        <v>0</v>
      </c>
      <c r="R219" s="649"/>
      <c r="S219" s="649"/>
      <c r="T219" s="650"/>
      <c r="U219" s="650"/>
      <c r="V219" s="650"/>
      <c r="W219" s="650"/>
      <c r="X219" s="648"/>
      <c r="Y219" s="302">
        <f t="shared" si="33"/>
        <v>0</v>
      </c>
      <c r="Z219" s="232"/>
    </row>
    <row r="220" spans="2:26" hidden="1" x14ac:dyDescent="0.35">
      <c r="B220" s="644"/>
      <c r="C220" s="286"/>
      <c r="D220" s="286"/>
      <c r="E220" s="645"/>
      <c r="F220" s="374" t="s">
        <v>215</v>
      </c>
      <c r="G220" s="625" t="s">
        <v>205</v>
      </c>
      <c r="H220" s="602"/>
      <c r="I220" s="626"/>
      <c r="J220" s="625"/>
      <c r="K220" s="627">
        <v>0</v>
      </c>
      <c r="L220" s="506">
        <v>6004</v>
      </c>
      <c r="M220" s="366">
        <v>2.8000000000000001E-2</v>
      </c>
      <c r="N220" s="235">
        <v>1</v>
      </c>
      <c r="O220" s="507">
        <f t="shared" si="35"/>
        <v>0</v>
      </c>
      <c r="P220" s="235">
        <v>761671.70213055995</v>
      </c>
      <c r="Q220" s="646">
        <f t="shared" si="34"/>
        <v>0</v>
      </c>
      <c r="R220" s="649"/>
      <c r="S220" s="649"/>
      <c r="T220" s="650"/>
      <c r="U220" s="650"/>
      <c r="V220" s="650"/>
      <c r="W220" s="650"/>
      <c r="X220" s="648"/>
      <c r="Y220" s="302">
        <f t="shared" si="33"/>
        <v>0</v>
      </c>
      <c r="Z220" s="232"/>
    </row>
    <row r="221" spans="2:26" hidden="1" x14ac:dyDescent="0.35">
      <c r="B221" s="644"/>
      <c r="C221" s="286"/>
      <c r="D221" s="286"/>
      <c r="E221" s="645"/>
      <c r="F221" s="374" t="s">
        <v>531</v>
      </c>
      <c r="G221" s="625" t="s">
        <v>205</v>
      </c>
      <c r="H221" s="602"/>
      <c r="I221" s="626"/>
      <c r="J221" s="625"/>
      <c r="K221" s="627">
        <v>0</v>
      </c>
      <c r="L221" s="506">
        <v>6004</v>
      </c>
      <c r="M221" s="366">
        <f>8/1000</f>
        <v>8.0000000000000002E-3</v>
      </c>
      <c r="N221" s="235">
        <v>1</v>
      </c>
      <c r="O221" s="507">
        <f t="shared" si="35"/>
        <v>0</v>
      </c>
      <c r="P221" s="235">
        <v>696305.06082000001</v>
      </c>
      <c r="Q221" s="646">
        <f t="shared" si="34"/>
        <v>0</v>
      </c>
      <c r="R221" s="649"/>
      <c r="S221" s="649"/>
      <c r="T221" s="650"/>
      <c r="U221" s="650"/>
      <c r="V221" s="650"/>
      <c r="W221" s="650"/>
      <c r="X221" s="648"/>
      <c r="Y221" s="302">
        <f t="shared" si="33"/>
        <v>0</v>
      </c>
      <c r="Z221" s="232"/>
    </row>
    <row r="222" spans="2:26" hidden="1" x14ac:dyDescent="0.35">
      <c r="B222" s="644"/>
      <c r="C222" s="286"/>
      <c r="D222" s="623"/>
      <c r="E222" s="624"/>
      <c r="F222" s="374" t="s">
        <v>255</v>
      </c>
      <c r="G222" s="625" t="s">
        <v>205</v>
      </c>
      <c r="H222" s="602"/>
      <c r="I222" s="626"/>
      <c r="J222" s="625"/>
      <c r="K222" s="627">
        <v>0</v>
      </c>
      <c r="L222" s="506">
        <v>6004</v>
      </c>
      <c r="M222" s="366">
        <f>8/1000</f>
        <v>8.0000000000000002E-3</v>
      </c>
      <c r="N222" s="235">
        <v>1</v>
      </c>
      <c r="O222" s="507">
        <f t="shared" si="35"/>
        <v>0</v>
      </c>
      <c r="P222" s="235">
        <v>751428.66536999994</v>
      </c>
      <c r="Q222" s="646">
        <f t="shared" si="34"/>
        <v>0</v>
      </c>
      <c r="R222" s="649"/>
      <c r="S222" s="649"/>
      <c r="T222" s="650"/>
      <c r="U222" s="650"/>
      <c r="V222" s="650"/>
      <c r="W222" s="650"/>
      <c r="X222" s="648"/>
      <c r="Y222" s="302">
        <f t="shared" si="33"/>
        <v>0</v>
      </c>
      <c r="Z222" s="232"/>
    </row>
    <row r="223" spans="2:26" x14ac:dyDescent="0.35">
      <c r="B223" s="644"/>
      <c r="C223" s="286"/>
      <c r="D223" s="655" t="s">
        <v>111</v>
      </c>
      <c r="E223" s="702"/>
      <c r="F223" s="232" t="s">
        <v>187</v>
      </c>
      <c r="G223" s="318" t="s">
        <v>188</v>
      </c>
      <c r="H223" s="319"/>
      <c r="I223" s="320"/>
      <c r="J223" s="318"/>
      <c r="K223" s="627">
        <v>0</v>
      </c>
      <c r="L223" s="506">
        <v>192.08</v>
      </c>
      <c r="M223" s="240">
        <v>0.5</v>
      </c>
      <c r="N223" s="235">
        <v>1</v>
      </c>
      <c r="O223" s="507">
        <f t="shared" si="35"/>
        <v>0</v>
      </c>
      <c r="P223" s="235">
        <v>158800.57379999998</v>
      </c>
      <c r="Q223" s="646">
        <f>P223*$O223</f>
        <v>0</v>
      </c>
      <c r="R223" s="235">
        <v>163305.33120000002</v>
      </c>
      <c r="S223" s="646">
        <f>R223*$O223</f>
        <v>0</v>
      </c>
      <c r="T223" s="235">
        <v>179635.86432000002</v>
      </c>
      <c r="U223" s="647">
        <f>$O223*T223</f>
        <v>0</v>
      </c>
      <c r="V223" s="235" t="e">
        <f>W223/O223</f>
        <v>#DIV/0!</v>
      </c>
      <c r="W223" s="478">
        <f>AVERAGEIF($P$3:$U$3,W$3,$P223:$U223)</f>
        <v>0</v>
      </c>
      <c r="X223" s="648"/>
      <c r="Y223" s="302">
        <f t="shared" si="33"/>
        <v>0</v>
      </c>
      <c r="Z223" s="232"/>
    </row>
    <row r="224" spans="2:26" hidden="1" x14ac:dyDescent="0.35">
      <c r="B224" s="644"/>
      <c r="C224" s="286"/>
      <c r="D224" s="286"/>
      <c r="E224" s="645"/>
      <c r="F224" s="374" t="s">
        <v>530</v>
      </c>
      <c r="G224" s="625" t="s">
        <v>334</v>
      </c>
      <c r="H224" s="602"/>
      <c r="I224" s="626"/>
      <c r="J224" s="625"/>
      <c r="K224" s="627">
        <v>0</v>
      </c>
      <c r="L224" s="506">
        <v>1106</v>
      </c>
      <c r="M224" s="233">
        <f>1050/1000</f>
        <v>1.05</v>
      </c>
      <c r="N224" s="235">
        <v>1</v>
      </c>
      <c r="O224" s="507">
        <f t="shared" si="35"/>
        <v>0</v>
      </c>
      <c r="P224" s="235">
        <v>116455.5</v>
      </c>
      <c r="Q224" s="646">
        <f t="shared" ref="Q224:Q227" si="36">P224*$O224</f>
        <v>0</v>
      </c>
      <c r="R224" s="235">
        <v>133813.90000000002</v>
      </c>
      <c r="S224" s="646">
        <f>R224*$O224</f>
        <v>0</v>
      </c>
      <c r="T224" s="235">
        <v>147195.29000000004</v>
      </c>
      <c r="U224" s="647">
        <f>$O224*T224</f>
        <v>0</v>
      </c>
      <c r="V224" s="235" t="e">
        <f>W224/O224</f>
        <v>#DIV/0!</v>
      </c>
      <c r="W224" s="478">
        <f>AVERAGEIF($P$3:$U$3,W$3,$P224:$U224)</f>
        <v>0</v>
      </c>
      <c r="X224" s="648"/>
      <c r="Y224" s="302">
        <f t="shared" si="33"/>
        <v>0</v>
      </c>
      <c r="Z224" s="232"/>
    </row>
    <row r="225" spans="2:26" hidden="1" x14ac:dyDescent="0.35">
      <c r="B225" s="644"/>
      <c r="C225" s="286"/>
      <c r="D225" s="286"/>
      <c r="E225" s="645"/>
      <c r="F225" s="374" t="s">
        <v>215</v>
      </c>
      <c r="G225" s="625" t="s">
        <v>205</v>
      </c>
      <c r="H225" s="602"/>
      <c r="I225" s="626"/>
      <c r="J225" s="625"/>
      <c r="K225" s="627">
        <v>0</v>
      </c>
      <c r="L225" s="506">
        <v>1106</v>
      </c>
      <c r="M225" s="366">
        <v>2.8000000000000001E-2</v>
      </c>
      <c r="N225" s="235">
        <v>1</v>
      </c>
      <c r="O225" s="507">
        <f t="shared" si="35"/>
        <v>0</v>
      </c>
      <c r="P225" s="235">
        <v>761671.70213055995</v>
      </c>
      <c r="Q225" s="646">
        <f t="shared" si="36"/>
        <v>0</v>
      </c>
      <c r="R225" s="235"/>
      <c r="S225" s="646"/>
      <c r="T225" s="235"/>
      <c r="U225" s="647"/>
      <c r="V225" s="235"/>
      <c r="W225" s="478"/>
      <c r="X225" s="648"/>
      <c r="Y225" s="302">
        <f t="shared" si="33"/>
        <v>0</v>
      </c>
      <c r="Z225" s="232"/>
    </row>
    <row r="226" spans="2:26" hidden="1" x14ac:dyDescent="0.35">
      <c r="B226" s="644"/>
      <c r="C226" s="286"/>
      <c r="D226" s="286"/>
      <c r="E226" s="645"/>
      <c r="F226" s="374" t="s">
        <v>531</v>
      </c>
      <c r="G226" s="625" t="s">
        <v>205</v>
      </c>
      <c r="H226" s="602"/>
      <c r="I226" s="626"/>
      <c r="J226" s="625"/>
      <c r="K226" s="627">
        <v>0</v>
      </c>
      <c r="L226" s="506">
        <v>1106</v>
      </c>
      <c r="M226" s="366">
        <f>8/1000</f>
        <v>8.0000000000000002E-3</v>
      </c>
      <c r="N226" s="235">
        <v>1</v>
      </c>
      <c r="O226" s="507">
        <f t="shared" si="35"/>
        <v>0</v>
      </c>
      <c r="P226" s="235">
        <v>696305.06082000001</v>
      </c>
      <c r="Q226" s="646">
        <f t="shared" si="36"/>
        <v>0</v>
      </c>
      <c r="R226" s="235"/>
      <c r="S226" s="646"/>
      <c r="T226" s="235"/>
      <c r="U226" s="647"/>
      <c r="V226" s="235"/>
      <c r="W226" s="478"/>
      <c r="X226" s="648"/>
      <c r="Y226" s="302">
        <f t="shared" si="33"/>
        <v>0</v>
      </c>
      <c r="Z226" s="232"/>
    </row>
    <row r="227" spans="2:26" hidden="1" x14ac:dyDescent="0.35">
      <c r="B227" s="644"/>
      <c r="C227" s="286"/>
      <c r="D227" s="623"/>
      <c r="E227" s="624"/>
      <c r="F227" s="374" t="s">
        <v>255</v>
      </c>
      <c r="G227" s="625" t="s">
        <v>205</v>
      </c>
      <c r="H227" s="602"/>
      <c r="I227" s="626"/>
      <c r="J227" s="625"/>
      <c r="K227" s="627">
        <v>0</v>
      </c>
      <c r="L227" s="506">
        <v>1106</v>
      </c>
      <c r="M227" s="366">
        <f>8/1000</f>
        <v>8.0000000000000002E-3</v>
      </c>
      <c r="N227" s="235">
        <v>1</v>
      </c>
      <c r="O227" s="507">
        <f t="shared" si="35"/>
        <v>0</v>
      </c>
      <c r="P227" s="235">
        <v>751428.66536999994</v>
      </c>
      <c r="Q227" s="646">
        <f t="shared" si="36"/>
        <v>0</v>
      </c>
      <c r="R227" s="235">
        <v>671314.50879999995</v>
      </c>
      <c r="S227" s="646">
        <f>R227*$O227</f>
        <v>0</v>
      </c>
      <c r="T227" s="235">
        <v>698167.08915200003</v>
      </c>
      <c r="U227" s="647">
        <f>$O227*T227</f>
        <v>0</v>
      </c>
      <c r="V227" s="235" t="e">
        <f>W227/O227</f>
        <v>#DIV/0!</v>
      </c>
      <c r="W227" s="478">
        <f>AVERAGEIF($P$3:$U$3,W$3,$P227:$U227)</f>
        <v>0</v>
      </c>
      <c r="X227" s="648"/>
      <c r="Y227" s="302">
        <f t="shared" si="33"/>
        <v>0</v>
      </c>
      <c r="Z227" s="232"/>
    </row>
    <row r="228" spans="2:26" hidden="1" x14ac:dyDescent="0.35">
      <c r="B228" s="644"/>
      <c r="C228" s="286"/>
      <c r="D228" s="655" t="s">
        <v>105</v>
      </c>
      <c r="E228" s="702"/>
      <c r="F228" s="374" t="s">
        <v>187</v>
      </c>
      <c r="G228" s="625" t="s">
        <v>188</v>
      </c>
      <c r="H228" s="602"/>
      <c r="I228" s="626"/>
      <c r="J228" s="625"/>
      <c r="K228" s="596"/>
      <c r="L228" s="496"/>
      <c r="M228" s="377">
        <f>1/100</f>
        <v>0.01</v>
      </c>
      <c r="N228" s="372">
        <v>2</v>
      </c>
      <c r="O228" s="602"/>
      <c r="P228" s="628"/>
      <c r="Q228" s="649"/>
      <c r="R228" s="649"/>
      <c r="S228" s="649"/>
      <c r="T228" s="650"/>
      <c r="U228" s="650"/>
      <c r="V228" s="650"/>
      <c r="W228" s="650"/>
      <c r="X228" s="648"/>
      <c r="Y228" s="302"/>
      <c r="Z228" s="232"/>
    </row>
    <row r="229" spans="2:26" hidden="1" x14ac:dyDescent="0.35">
      <c r="B229" s="644"/>
      <c r="C229" s="286"/>
      <c r="D229" s="286"/>
      <c r="E229" s="645"/>
      <c r="F229" s="374" t="s">
        <v>531</v>
      </c>
      <c r="G229" s="625" t="s">
        <v>205</v>
      </c>
      <c r="H229" s="602"/>
      <c r="I229" s="626"/>
      <c r="J229" s="318" t="s">
        <v>279</v>
      </c>
      <c r="K229" s="420">
        <v>0.5</v>
      </c>
      <c r="L229" s="496"/>
      <c r="M229" s="377">
        <f>3/1000</f>
        <v>3.0000000000000001E-3</v>
      </c>
      <c r="N229" s="372">
        <v>1</v>
      </c>
      <c r="O229" s="507">
        <f>K229*L229*M229*N229</f>
        <v>0</v>
      </c>
      <c r="P229" s="235">
        <v>696305.06082000001</v>
      </c>
      <c r="Q229" s="646">
        <f>P229*$O229</f>
        <v>0</v>
      </c>
      <c r="R229" s="235">
        <v>577911.85919999995</v>
      </c>
      <c r="S229" s="646">
        <f>R229*$O229</f>
        <v>0</v>
      </c>
      <c r="T229" s="235">
        <v>601028.333568</v>
      </c>
      <c r="U229" s="647">
        <f>$O229*T229</f>
        <v>0</v>
      </c>
      <c r="V229" s="235" t="e">
        <f>W229/O229</f>
        <v>#DIV/0!</v>
      </c>
      <c r="W229" s="478">
        <f>AVERAGEIF($P$3:$U$3,W$3,$P229:$U229)</f>
        <v>0</v>
      </c>
      <c r="X229" s="648"/>
      <c r="Y229" s="302"/>
      <c r="Z229" s="232"/>
    </row>
    <row r="230" spans="2:26" hidden="1" x14ac:dyDescent="0.35">
      <c r="B230" s="644"/>
      <c r="C230" s="286"/>
      <c r="D230" s="623"/>
      <c r="E230" s="624"/>
      <c r="F230" s="374" t="s">
        <v>255</v>
      </c>
      <c r="G230" s="625" t="s">
        <v>205</v>
      </c>
      <c r="H230" s="602"/>
      <c r="I230" s="626"/>
      <c r="J230" s="318" t="s">
        <v>279</v>
      </c>
      <c r="K230" s="420">
        <v>0.5</v>
      </c>
      <c r="L230" s="496"/>
      <c r="M230" s="377">
        <f>3/1000</f>
        <v>3.0000000000000001E-3</v>
      </c>
      <c r="N230" s="372">
        <v>1</v>
      </c>
      <c r="O230" s="507">
        <f>K230*L230*M230*N230</f>
        <v>0</v>
      </c>
      <c r="P230" s="235">
        <v>751428.66536999994</v>
      </c>
      <c r="Q230" s="646">
        <f>P230*$O230</f>
        <v>0</v>
      </c>
      <c r="R230" s="235">
        <v>671314.50879999995</v>
      </c>
      <c r="S230" s="646">
        <f>R230*$O230</f>
        <v>0</v>
      </c>
      <c r="T230" s="235">
        <v>698167.08915200003</v>
      </c>
      <c r="U230" s="647">
        <f>$O230*T230</f>
        <v>0</v>
      </c>
      <c r="V230" s="235" t="e">
        <f>W230/O230</f>
        <v>#DIV/0!</v>
      </c>
      <c r="W230" s="478">
        <f>AVERAGEIF($P$3:$U$3,W$3,$P230:$U230)</f>
        <v>0</v>
      </c>
      <c r="X230" s="648"/>
      <c r="Y230" s="302"/>
      <c r="Z230" s="232"/>
    </row>
    <row r="231" spans="2:26" hidden="1" x14ac:dyDescent="0.35">
      <c r="B231" s="644"/>
      <c r="C231" s="286"/>
      <c r="D231" s="655" t="s">
        <v>106</v>
      </c>
      <c r="E231" s="702"/>
      <c r="F231" s="374" t="s">
        <v>187</v>
      </c>
      <c r="G231" s="625" t="s">
        <v>188</v>
      </c>
      <c r="H231" s="602"/>
      <c r="I231" s="626"/>
      <c r="J231" s="625"/>
      <c r="K231" s="627"/>
      <c r="L231" s="496"/>
      <c r="M231" s="377">
        <f>1/100</f>
        <v>0.01</v>
      </c>
      <c r="N231" s="372">
        <v>2</v>
      </c>
      <c r="O231" s="602"/>
      <c r="P231" s="628"/>
      <c r="Q231" s="649"/>
      <c r="R231" s="649"/>
      <c r="S231" s="649"/>
      <c r="T231" s="650"/>
      <c r="U231" s="650"/>
      <c r="V231" s="650"/>
      <c r="W231" s="650"/>
      <c r="X231" s="648"/>
      <c r="Y231" s="302"/>
      <c r="Z231" s="232"/>
    </row>
    <row r="232" spans="2:26" hidden="1" x14ac:dyDescent="0.35">
      <c r="B232" s="644"/>
      <c r="C232" s="286"/>
      <c r="D232" s="286"/>
      <c r="E232" s="645"/>
      <c r="F232" s="374" t="s">
        <v>531</v>
      </c>
      <c r="G232" s="625" t="s">
        <v>205</v>
      </c>
      <c r="H232" s="602"/>
      <c r="I232" s="626"/>
      <c r="J232" s="318" t="s">
        <v>279</v>
      </c>
      <c r="K232" s="420">
        <v>0.5</v>
      </c>
      <c r="L232" s="506"/>
      <c r="M232" s="377">
        <f>2/1000</f>
        <v>2E-3</v>
      </c>
      <c r="N232" s="372">
        <v>1</v>
      </c>
      <c r="O232" s="507">
        <f>K232*L232*M232*N232</f>
        <v>0</v>
      </c>
      <c r="P232" s="235">
        <v>696305.06082000001</v>
      </c>
      <c r="Q232" s="646">
        <f>P232*$O232</f>
        <v>0</v>
      </c>
      <c r="R232" s="235">
        <v>577911.85919999995</v>
      </c>
      <c r="S232" s="646">
        <f>R232*$O232</f>
        <v>0</v>
      </c>
      <c r="T232" s="235">
        <v>601028.333568</v>
      </c>
      <c r="U232" s="647">
        <f>$O232*T232</f>
        <v>0</v>
      </c>
      <c r="V232" s="235" t="e">
        <f>W232/O232</f>
        <v>#DIV/0!</v>
      </c>
      <c r="W232" s="478">
        <f>AVERAGEIF($P$3:$U$3,W$3,$P232:$U232)</f>
        <v>0</v>
      </c>
      <c r="X232" s="648"/>
      <c r="Y232" s="302"/>
      <c r="Z232" s="232"/>
    </row>
    <row r="233" spans="2:26" hidden="1" x14ac:dyDescent="0.35">
      <c r="B233" s="622"/>
      <c r="C233" s="623"/>
      <c r="D233" s="623"/>
      <c r="E233" s="624"/>
      <c r="F233" s="374" t="s">
        <v>255</v>
      </c>
      <c r="G233" s="625" t="s">
        <v>205</v>
      </c>
      <c r="H233" s="602"/>
      <c r="I233" s="626"/>
      <c r="J233" s="318" t="s">
        <v>279</v>
      </c>
      <c r="K233" s="420">
        <v>0.5</v>
      </c>
      <c r="L233" s="506"/>
      <c r="M233" s="377">
        <f>2/1000</f>
        <v>2E-3</v>
      </c>
      <c r="N233" s="372">
        <v>1</v>
      </c>
      <c r="O233" s="507">
        <f>K233*L233*M233*N233</f>
        <v>0</v>
      </c>
      <c r="P233" s="235">
        <v>751428.66536999994</v>
      </c>
      <c r="Q233" s="646">
        <f>P233*$O233</f>
        <v>0</v>
      </c>
      <c r="R233" s="235">
        <v>671314.50879999995</v>
      </c>
      <c r="S233" s="646">
        <f>R233*$O233</f>
        <v>0</v>
      </c>
      <c r="T233" s="235">
        <v>698167.08915200003</v>
      </c>
      <c r="U233" s="647">
        <f>$O233*T233</f>
        <v>0</v>
      </c>
      <c r="V233" s="235" t="e">
        <f>W233/O233</f>
        <v>#DIV/0!</v>
      </c>
      <c r="W233" s="478">
        <f>AVERAGEIF($P$3:$U$3,W$3,$P233:$U233)</f>
        <v>0</v>
      </c>
      <c r="X233" s="648"/>
      <c r="Y233" s="302"/>
      <c r="Z233" s="232"/>
    </row>
    <row r="234" spans="2:26" ht="29.25" customHeight="1" x14ac:dyDescent="0.35">
      <c r="B234" s="630" t="s">
        <v>532</v>
      </c>
      <c r="C234" s="770"/>
      <c r="D234" s="770"/>
      <c r="E234" s="771"/>
      <c r="F234" s="633"/>
      <c r="G234" s="634"/>
      <c r="H234" s="635"/>
      <c r="I234" s="636"/>
      <c r="J234" s="634"/>
      <c r="K234" s="637"/>
      <c r="L234" s="638"/>
      <c r="M234" s="772"/>
      <c r="N234" s="773"/>
      <c r="O234" s="635"/>
      <c r="P234" s="640"/>
      <c r="Q234" s="651">
        <f>SUM(Q199:Q227)</f>
        <v>0</v>
      </c>
      <c r="R234" s="774"/>
      <c r="S234" s="651">
        <f>SUM(S223:S233)</f>
        <v>0</v>
      </c>
      <c r="T234" s="650"/>
      <c r="U234" s="650"/>
      <c r="V234" s="650"/>
      <c r="W234" s="650"/>
      <c r="X234" s="652"/>
      <c r="Y234" s="682">
        <f t="shared" ref="Y234" si="37">Q234/192.08</f>
        <v>0</v>
      </c>
      <c r="Z234" s="780">
        <f>Q234/4365858560.88*100</f>
        <v>0</v>
      </c>
    </row>
    <row r="235" spans="2:26" x14ac:dyDescent="0.35">
      <c r="B235" s="602"/>
      <c r="C235" s="626" t="s">
        <v>533</v>
      </c>
      <c r="D235" s="626"/>
      <c r="E235" s="678"/>
      <c r="F235" s="374"/>
      <c r="G235" s="625"/>
      <c r="H235" s="602"/>
      <c r="I235" s="626"/>
      <c r="J235" s="625"/>
      <c r="K235" s="596"/>
      <c r="L235" s="496"/>
      <c r="M235" s="377"/>
      <c r="N235" s="372"/>
      <c r="O235" s="602"/>
      <c r="P235" s="628"/>
      <c r="Q235" s="649"/>
      <c r="R235" s="649"/>
      <c r="S235" s="649"/>
      <c r="T235" s="650"/>
      <c r="U235" s="650"/>
      <c r="V235" s="650"/>
      <c r="W235" s="650"/>
      <c r="X235" s="648"/>
      <c r="Y235" s="302"/>
      <c r="Z235" s="232"/>
    </row>
    <row r="236" spans="2:26" x14ac:dyDescent="0.35">
      <c r="B236" s="603"/>
      <c r="D236" s="94" t="s">
        <v>113</v>
      </c>
      <c r="E236" s="604"/>
      <c r="F236" s="232" t="s">
        <v>187</v>
      </c>
      <c r="G236" s="318" t="s">
        <v>188</v>
      </c>
      <c r="H236" s="319"/>
      <c r="I236" s="320"/>
      <c r="J236" s="318"/>
      <c r="K236" s="627">
        <v>0</v>
      </c>
      <c r="L236" s="506"/>
      <c r="M236" s="235">
        <v>1</v>
      </c>
      <c r="N236" s="235">
        <v>1</v>
      </c>
      <c r="O236" s="507">
        <f t="shared" ref="O236:O248" si="38">K236*L236*M236*N236</f>
        <v>0</v>
      </c>
      <c r="P236" s="492"/>
      <c r="Q236" s="646"/>
      <c r="R236" s="646"/>
      <c r="S236" s="646"/>
      <c r="T236" s="647"/>
      <c r="U236" s="647"/>
      <c r="V236" s="647"/>
      <c r="W236" s="647"/>
      <c r="X236" s="648"/>
      <c r="Y236" s="302">
        <f t="shared" ref="Y236:Y261" si="39">Q236/192.08</f>
        <v>0</v>
      </c>
      <c r="Z236" s="232"/>
    </row>
    <row r="237" spans="2:26" hidden="1" x14ac:dyDescent="0.35">
      <c r="B237" s="603"/>
      <c r="E237" s="604"/>
      <c r="F237" s="232" t="s">
        <v>262</v>
      </c>
      <c r="G237" s="318" t="s">
        <v>10</v>
      </c>
      <c r="H237" s="319"/>
      <c r="I237" s="320"/>
      <c r="J237" s="318"/>
      <c r="K237" s="627">
        <v>0</v>
      </c>
      <c r="L237" s="506"/>
      <c r="M237" s="235">
        <v>1</v>
      </c>
      <c r="N237" s="235">
        <v>1</v>
      </c>
      <c r="O237" s="507">
        <f t="shared" si="38"/>
        <v>0</v>
      </c>
      <c r="P237" s="492"/>
      <c r="Q237" s="646"/>
      <c r="R237" s="646"/>
      <c r="S237" s="646"/>
      <c r="T237" s="647"/>
      <c r="U237" s="647"/>
      <c r="V237" s="647"/>
      <c r="W237" s="647"/>
      <c r="X237" s="648"/>
      <c r="Y237" s="302">
        <f t="shared" si="39"/>
        <v>0</v>
      </c>
      <c r="Z237" s="232"/>
    </row>
    <row r="238" spans="2:26" hidden="1" x14ac:dyDescent="0.35">
      <c r="B238" s="603"/>
      <c r="E238" s="604"/>
      <c r="F238" s="703" t="s">
        <v>534</v>
      </c>
      <c r="G238" s="704" t="s">
        <v>10</v>
      </c>
      <c r="H238" s="705"/>
      <c r="I238" s="706"/>
      <c r="J238" s="704"/>
      <c r="K238" s="627">
        <v>0</v>
      </c>
      <c r="L238" s="707">
        <v>6</v>
      </c>
      <c r="M238" s="708">
        <v>1</v>
      </c>
      <c r="N238" s="709">
        <v>1</v>
      </c>
      <c r="O238" s="507">
        <f t="shared" si="38"/>
        <v>0</v>
      </c>
      <c r="P238" s="710">
        <f>63525000*110%</f>
        <v>69877500</v>
      </c>
      <c r="Q238" s="781">
        <f t="shared" ref="Q238:Q240" si="40">P238*$O238</f>
        <v>0</v>
      </c>
      <c r="R238" s="781"/>
      <c r="S238" s="781"/>
      <c r="T238" s="711"/>
      <c r="U238" s="711"/>
      <c r="V238" s="711"/>
      <c r="W238" s="711"/>
      <c r="X238" s="648"/>
      <c r="Y238" s="302">
        <f t="shared" si="39"/>
        <v>0</v>
      </c>
      <c r="Z238" s="232"/>
    </row>
    <row r="239" spans="2:26" hidden="1" x14ac:dyDescent="0.35">
      <c r="B239" s="603"/>
      <c r="E239" s="604"/>
      <c r="F239" s="703" t="s">
        <v>535</v>
      </c>
      <c r="G239" s="704" t="s">
        <v>10</v>
      </c>
      <c r="H239" s="705"/>
      <c r="I239" s="706"/>
      <c r="J239" s="704"/>
      <c r="K239" s="627">
        <v>0</v>
      </c>
      <c r="L239" s="707">
        <v>1</v>
      </c>
      <c r="M239" s="708">
        <v>1</v>
      </c>
      <c r="N239" s="709">
        <v>1</v>
      </c>
      <c r="O239" s="507">
        <f t="shared" si="38"/>
        <v>0</v>
      </c>
      <c r="P239" s="710">
        <f>114345000*110%</f>
        <v>125779500.00000001</v>
      </c>
      <c r="Q239" s="781">
        <f t="shared" si="40"/>
        <v>0</v>
      </c>
      <c r="R239" s="781"/>
      <c r="S239" s="781"/>
      <c r="T239" s="711"/>
      <c r="U239" s="711"/>
      <c r="V239" s="711"/>
      <c r="W239" s="711"/>
      <c r="X239" s="648"/>
      <c r="Y239" s="302">
        <f t="shared" si="39"/>
        <v>0</v>
      </c>
      <c r="Z239" s="232"/>
    </row>
    <row r="240" spans="2:26" hidden="1" x14ac:dyDescent="0.35">
      <c r="B240" s="603"/>
      <c r="E240" s="604"/>
      <c r="F240" s="703" t="s">
        <v>536</v>
      </c>
      <c r="G240" s="704" t="s">
        <v>10</v>
      </c>
      <c r="H240" s="705"/>
      <c r="I240" s="706"/>
      <c r="J240" s="704"/>
      <c r="K240" s="627">
        <v>0</v>
      </c>
      <c r="L240" s="707">
        <v>4</v>
      </c>
      <c r="M240" s="708">
        <v>1</v>
      </c>
      <c r="N240" s="709">
        <v>1</v>
      </c>
      <c r="O240" s="507">
        <f t="shared" si="38"/>
        <v>0</v>
      </c>
      <c r="P240" s="710">
        <f>114345000*110%</f>
        <v>125779500.00000001</v>
      </c>
      <c r="Q240" s="781">
        <f t="shared" si="40"/>
        <v>0</v>
      </c>
      <c r="R240" s="781"/>
      <c r="S240" s="781"/>
      <c r="T240" s="711"/>
      <c r="U240" s="711"/>
      <c r="V240" s="711"/>
      <c r="W240" s="711"/>
      <c r="X240" s="648"/>
      <c r="Y240" s="302">
        <f t="shared" si="39"/>
        <v>0</v>
      </c>
      <c r="Z240" s="232"/>
    </row>
    <row r="241" spans="2:26" hidden="1" x14ac:dyDescent="0.35">
      <c r="B241" s="603"/>
      <c r="E241" s="604"/>
      <c r="F241" s="703" t="s">
        <v>537</v>
      </c>
      <c r="G241" s="704" t="s">
        <v>10</v>
      </c>
      <c r="H241" s="705"/>
      <c r="I241" s="706"/>
      <c r="J241" s="704"/>
      <c r="K241" s="627">
        <v>0</v>
      </c>
      <c r="L241" s="707">
        <v>4</v>
      </c>
      <c r="M241" s="708">
        <v>1</v>
      </c>
      <c r="N241" s="709">
        <v>1</v>
      </c>
      <c r="O241" s="507">
        <f t="shared" si="38"/>
        <v>0</v>
      </c>
      <c r="P241" s="235">
        <f>139755000*110%</f>
        <v>153730500</v>
      </c>
      <c r="Q241" s="781">
        <f>P241*$O241</f>
        <v>0</v>
      </c>
      <c r="R241" s="709" t="e">
        <v>#N/A</v>
      </c>
      <c r="S241" s="781" t="e">
        <f>R241*$O241</f>
        <v>#N/A</v>
      </c>
      <c r="T241" s="709" t="e">
        <v>#N/A</v>
      </c>
      <c r="U241" s="711" t="e">
        <f>$O241*T241</f>
        <v>#N/A</v>
      </c>
      <c r="V241" s="709" t="e">
        <f>W241/O241</f>
        <v>#N/A</v>
      </c>
      <c r="W241" s="782" t="e">
        <f>AVERAGEIF($P$3:$U$3,W$3,$P241:$U241)</f>
        <v>#N/A</v>
      </c>
      <c r="X241" s="648"/>
      <c r="Y241" s="302">
        <f t="shared" si="39"/>
        <v>0</v>
      </c>
      <c r="Z241" s="232"/>
    </row>
    <row r="242" spans="2:26" hidden="1" x14ac:dyDescent="0.35">
      <c r="B242" s="603"/>
      <c r="E242" s="604"/>
      <c r="F242" s="703" t="s">
        <v>538</v>
      </c>
      <c r="G242" s="704" t="s">
        <v>10</v>
      </c>
      <c r="H242" s="705"/>
      <c r="I242" s="706"/>
      <c r="J242" s="704"/>
      <c r="K242" s="627">
        <v>0</v>
      </c>
      <c r="L242" s="707">
        <v>1</v>
      </c>
      <c r="M242" s="708">
        <v>1</v>
      </c>
      <c r="N242" s="709">
        <v>1</v>
      </c>
      <c r="O242" s="507">
        <f t="shared" si="38"/>
        <v>0</v>
      </c>
      <c r="P242" s="710">
        <f>165165000*110%</f>
        <v>181681500</v>
      </c>
      <c r="Q242" s="781">
        <f t="shared" ref="Q242:Q248" si="41">P242*$O242</f>
        <v>0</v>
      </c>
      <c r="R242" s="781"/>
      <c r="S242" s="781"/>
      <c r="T242" s="711"/>
      <c r="U242" s="711"/>
      <c r="V242" s="711"/>
      <c r="W242" s="711"/>
      <c r="X242" s="648"/>
      <c r="Y242" s="302">
        <f t="shared" si="39"/>
        <v>0</v>
      </c>
      <c r="Z242" s="232"/>
    </row>
    <row r="243" spans="2:26" hidden="1" x14ac:dyDescent="0.35">
      <c r="B243" s="603"/>
      <c r="E243" s="604"/>
      <c r="F243" s="703" t="s">
        <v>539</v>
      </c>
      <c r="G243" s="704" t="s">
        <v>10</v>
      </c>
      <c r="H243" s="705"/>
      <c r="I243" s="706"/>
      <c r="J243" s="704"/>
      <c r="K243" s="627">
        <v>0</v>
      </c>
      <c r="L243" s="707">
        <v>1</v>
      </c>
      <c r="M243" s="708">
        <v>1</v>
      </c>
      <c r="N243" s="709">
        <v>1</v>
      </c>
      <c r="O243" s="507">
        <f t="shared" si="38"/>
        <v>0</v>
      </c>
      <c r="P243" s="710">
        <f>51809625*110%</f>
        <v>56990587.500000007</v>
      </c>
      <c r="Q243" s="781">
        <f t="shared" si="41"/>
        <v>0</v>
      </c>
      <c r="R243" s="781"/>
      <c r="S243" s="781"/>
      <c r="T243" s="711"/>
      <c r="U243" s="711"/>
      <c r="V243" s="711"/>
      <c r="W243" s="711"/>
      <c r="X243" s="648"/>
      <c r="Y243" s="302">
        <f t="shared" si="39"/>
        <v>0</v>
      </c>
      <c r="Z243" s="232"/>
    </row>
    <row r="244" spans="2:26" hidden="1" x14ac:dyDescent="0.35">
      <c r="B244" s="603"/>
      <c r="E244" s="604"/>
      <c r="F244" s="703" t="s">
        <v>540</v>
      </c>
      <c r="G244" s="704" t="s">
        <v>10</v>
      </c>
      <c r="H244" s="705"/>
      <c r="I244" s="706"/>
      <c r="J244" s="704"/>
      <c r="K244" s="627">
        <v>0</v>
      </c>
      <c r="L244" s="707">
        <v>1</v>
      </c>
      <c r="M244" s="712">
        <v>1</v>
      </c>
      <c r="N244" s="709">
        <v>1</v>
      </c>
      <c r="O244" s="507">
        <f t="shared" si="38"/>
        <v>0</v>
      </c>
      <c r="P244" s="235">
        <f>82895400*110%</f>
        <v>91184940</v>
      </c>
      <c r="Q244" s="781">
        <f t="shared" si="41"/>
        <v>0</v>
      </c>
      <c r="R244" s="709">
        <v>87040170</v>
      </c>
      <c r="S244" s="781">
        <f>R244*$O244</f>
        <v>0</v>
      </c>
      <c r="T244" s="709">
        <v>91392178.5</v>
      </c>
      <c r="U244" s="711">
        <f>$O244*T244</f>
        <v>0</v>
      </c>
      <c r="V244" s="709" t="e">
        <f>W244/O244</f>
        <v>#DIV/0!</v>
      </c>
      <c r="W244" s="782">
        <f>AVERAGEIF($P$3:$U$3,W$3,$P244:$U244)</f>
        <v>0</v>
      </c>
      <c r="X244" s="648"/>
      <c r="Y244" s="302">
        <f t="shared" si="39"/>
        <v>0</v>
      </c>
      <c r="Z244" s="232"/>
    </row>
    <row r="245" spans="2:26" hidden="1" x14ac:dyDescent="0.35">
      <c r="B245" s="603"/>
      <c r="E245" s="604"/>
      <c r="F245" s="703" t="s">
        <v>541</v>
      </c>
      <c r="G245" s="704" t="s">
        <v>10</v>
      </c>
      <c r="H245" s="705"/>
      <c r="I245" s="706"/>
      <c r="J245" s="704"/>
      <c r="K245" s="627">
        <v>0</v>
      </c>
      <c r="L245" s="707"/>
      <c r="M245" s="712">
        <v>1</v>
      </c>
      <c r="N245" s="709">
        <v>1</v>
      </c>
      <c r="O245" s="507">
        <f t="shared" si="38"/>
        <v>0</v>
      </c>
      <c r="P245" s="646"/>
      <c r="Q245" s="781"/>
      <c r="R245" s="781"/>
      <c r="S245" s="781"/>
      <c r="T245" s="781"/>
      <c r="U245" s="711"/>
      <c r="V245" s="781"/>
      <c r="W245" s="782"/>
      <c r="X245" s="648"/>
      <c r="Y245" s="302">
        <f t="shared" si="39"/>
        <v>0</v>
      </c>
      <c r="Z245" s="232"/>
    </row>
    <row r="246" spans="2:26" hidden="1" x14ac:dyDescent="0.35">
      <c r="B246" s="603"/>
      <c r="E246" s="604"/>
      <c r="F246" s="703" t="s">
        <v>542</v>
      </c>
      <c r="G246" s="704"/>
      <c r="H246" s="705"/>
      <c r="I246" s="706"/>
      <c r="J246" s="704"/>
      <c r="K246" s="627">
        <v>0</v>
      </c>
      <c r="L246" s="707">
        <v>2</v>
      </c>
      <c r="M246" s="712">
        <v>1</v>
      </c>
      <c r="N246" s="709">
        <v>1</v>
      </c>
      <c r="O246" s="507">
        <f t="shared" si="38"/>
        <v>0</v>
      </c>
      <c r="P246" s="646">
        <f>51809625*110%</f>
        <v>56990587.500000007</v>
      </c>
      <c r="Q246" s="781">
        <f t="shared" si="41"/>
        <v>0</v>
      </c>
      <c r="R246" s="781"/>
      <c r="S246" s="781"/>
      <c r="T246" s="781"/>
      <c r="U246" s="711"/>
      <c r="V246" s="781"/>
      <c r="W246" s="782"/>
      <c r="X246" s="648"/>
      <c r="Y246" s="302">
        <f t="shared" si="39"/>
        <v>0</v>
      </c>
      <c r="Z246" s="232"/>
    </row>
    <row r="247" spans="2:26" hidden="1" x14ac:dyDescent="0.35">
      <c r="B247" s="603"/>
      <c r="E247" s="604"/>
      <c r="F247" s="703" t="s">
        <v>215</v>
      </c>
      <c r="G247" s="704" t="s">
        <v>205</v>
      </c>
      <c r="H247" s="705"/>
      <c r="I247" s="706"/>
      <c r="J247" s="704"/>
      <c r="K247" s="627">
        <v>0</v>
      </c>
      <c r="L247" s="707">
        <v>20</v>
      </c>
      <c r="M247" s="712">
        <v>6</v>
      </c>
      <c r="N247" s="709">
        <v>1</v>
      </c>
      <c r="O247" s="664">
        <f t="shared" si="38"/>
        <v>0</v>
      </c>
      <c r="P247" s="235">
        <v>761671.70213055995</v>
      </c>
      <c r="Q247" s="781">
        <f t="shared" si="41"/>
        <v>0</v>
      </c>
      <c r="R247" s="781"/>
      <c r="S247" s="781"/>
      <c r="T247" s="781"/>
      <c r="U247" s="711"/>
      <c r="V247" s="781"/>
      <c r="W247" s="782"/>
      <c r="X247" s="648"/>
      <c r="Y247" s="302">
        <f t="shared" si="39"/>
        <v>0</v>
      </c>
      <c r="Z247" s="232"/>
    </row>
    <row r="248" spans="2:26" hidden="1" x14ac:dyDescent="0.35">
      <c r="B248" s="603"/>
      <c r="E248" s="604"/>
      <c r="F248" s="703" t="s">
        <v>263</v>
      </c>
      <c r="G248" s="704" t="s">
        <v>205</v>
      </c>
      <c r="H248" s="705"/>
      <c r="I248" s="706"/>
      <c r="J248" s="704"/>
      <c r="K248" s="627">
        <v>0</v>
      </c>
      <c r="L248" s="707">
        <v>20</v>
      </c>
      <c r="M248" s="712">
        <v>7</v>
      </c>
      <c r="N248" s="709">
        <v>1</v>
      </c>
      <c r="O248" s="664">
        <f t="shared" si="38"/>
        <v>0</v>
      </c>
      <c r="P248" s="235">
        <v>715015.96154999989</v>
      </c>
      <c r="Q248" s="781">
        <f t="shared" si="41"/>
        <v>0</v>
      </c>
      <c r="R248" s="781"/>
      <c r="S248" s="781"/>
      <c r="T248" s="781"/>
      <c r="U248" s="711"/>
      <c r="V248" s="781"/>
      <c r="W248" s="782"/>
      <c r="X248" s="648"/>
      <c r="Y248" s="302">
        <f t="shared" si="39"/>
        <v>0</v>
      </c>
      <c r="Z248" s="232"/>
    </row>
    <row r="249" spans="2:26" x14ac:dyDescent="0.35">
      <c r="B249" s="603"/>
      <c r="D249" s="599" t="s">
        <v>543</v>
      </c>
      <c r="E249" s="600"/>
      <c r="F249" s="232" t="s">
        <v>187</v>
      </c>
      <c r="G249" s="318" t="s">
        <v>188</v>
      </c>
      <c r="H249" s="319"/>
      <c r="I249" s="320"/>
      <c r="J249" s="318"/>
      <c r="K249" s="501"/>
      <c r="L249" s="506"/>
      <c r="M249" s="231"/>
      <c r="N249" s="235">
        <v>1</v>
      </c>
      <c r="O249" s="319"/>
      <c r="P249" s="492"/>
      <c r="Q249" s="646"/>
      <c r="R249" s="646"/>
      <c r="S249" s="646"/>
      <c r="T249" s="647"/>
      <c r="U249" s="647"/>
      <c r="V249" s="647"/>
      <c r="W249" s="647"/>
      <c r="X249" s="648"/>
      <c r="Y249" s="302">
        <f t="shared" si="39"/>
        <v>0</v>
      </c>
      <c r="Z249" s="232"/>
    </row>
    <row r="250" spans="2:26" hidden="1" x14ac:dyDescent="0.35">
      <c r="B250" s="603"/>
      <c r="E250" s="604"/>
      <c r="F250" s="232" t="s">
        <v>269</v>
      </c>
      <c r="G250" s="318" t="s">
        <v>10</v>
      </c>
      <c r="H250" s="319"/>
      <c r="I250" s="320"/>
      <c r="J250" s="318"/>
      <c r="K250" s="501"/>
      <c r="L250" s="506"/>
      <c r="M250" s="231"/>
      <c r="N250" s="235">
        <v>1</v>
      </c>
      <c r="O250" s="319"/>
      <c r="P250" s="492"/>
      <c r="Q250" s="646"/>
      <c r="R250" s="646"/>
      <c r="S250" s="646"/>
      <c r="T250" s="647"/>
      <c r="U250" s="647"/>
      <c r="V250" s="647"/>
      <c r="W250" s="647"/>
      <c r="X250" s="648"/>
      <c r="Y250" s="302">
        <f t="shared" si="39"/>
        <v>0</v>
      </c>
      <c r="Z250" s="232"/>
    </row>
    <row r="251" spans="2:26" hidden="1" x14ac:dyDescent="0.35">
      <c r="B251" s="603"/>
      <c r="D251" s="606"/>
      <c r="E251" s="607"/>
      <c r="F251" s="232" t="s">
        <v>215</v>
      </c>
      <c r="G251" s="318" t="s">
        <v>205</v>
      </c>
      <c r="H251" s="319"/>
      <c r="I251" s="320"/>
      <c r="J251" s="318"/>
      <c r="K251" s="501"/>
      <c r="L251" s="506"/>
      <c r="M251" s="235">
        <v>10</v>
      </c>
      <c r="N251" s="235">
        <v>1</v>
      </c>
      <c r="O251" s="319"/>
      <c r="P251" s="492"/>
      <c r="Q251" s="646"/>
      <c r="R251" s="646"/>
      <c r="S251" s="646"/>
      <c r="T251" s="647"/>
      <c r="U251" s="647"/>
      <c r="V251" s="647"/>
      <c r="W251" s="647"/>
      <c r="X251" s="648"/>
      <c r="Y251" s="302">
        <f t="shared" si="39"/>
        <v>0</v>
      </c>
      <c r="Z251" s="232"/>
    </row>
    <row r="252" spans="2:26" x14ac:dyDescent="0.35">
      <c r="B252" s="644"/>
      <c r="C252" s="286"/>
      <c r="D252" s="286" t="s">
        <v>115</v>
      </c>
      <c r="E252" s="645"/>
      <c r="F252" s="374" t="s">
        <v>187</v>
      </c>
      <c r="G252" s="625" t="s">
        <v>188</v>
      </c>
      <c r="H252" s="602"/>
      <c r="I252" s="626"/>
      <c r="J252" s="625" t="s">
        <v>10</v>
      </c>
      <c r="K252" s="627">
        <v>0</v>
      </c>
      <c r="L252" s="496">
        <v>11</v>
      </c>
      <c r="M252" s="372">
        <v>2</v>
      </c>
      <c r="N252" s="372">
        <v>1</v>
      </c>
      <c r="O252" s="507">
        <f t="shared" ref="O252:O258" si="42">K252*L252*M252*N252</f>
        <v>0</v>
      </c>
      <c r="P252" s="235">
        <v>158800.57379999998</v>
      </c>
      <c r="Q252" s="646">
        <f t="shared" ref="Q252:Q260" si="43">P252*$O252</f>
        <v>0</v>
      </c>
      <c r="R252" s="649"/>
      <c r="S252" s="649"/>
      <c r="T252" s="650"/>
      <c r="U252" s="650"/>
      <c r="V252" s="650"/>
      <c r="W252" s="650"/>
      <c r="X252" s="648"/>
      <c r="Y252" s="302">
        <f t="shared" si="39"/>
        <v>0</v>
      </c>
      <c r="Z252" s="232"/>
    </row>
    <row r="253" spans="2:26" hidden="1" x14ac:dyDescent="0.35">
      <c r="B253" s="644"/>
      <c r="C253" s="286"/>
      <c r="D253" s="286"/>
      <c r="E253" s="645"/>
      <c r="F253" s="374" t="s">
        <v>115</v>
      </c>
      <c r="G253" s="625" t="s">
        <v>10</v>
      </c>
      <c r="H253" s="602"/>
      <c r="I253" s="626"/>
      <c r="J253" s="625" t="s">
        <v>10</v>
      </c>
      <c r="K253" s="627">
        <v>0</v>
      </c>
      <c r="L253" s="496">
        <v>11</v>
      </c>
      <c r="M253" s="372">
        <v>6</v>
      </c>
      <c r="N253" s="372">
        <v>1</v>
      </c>
      <c r="O253" s="507">
        <f t="shared" si="42"/>
        <v>0</v>
      </c>
      <c r="P253" s="235">
        <v>484000.00000000012</v>
      </c>
      <c r="Q253" s="646">
        <f t="shared" si="43"/>
        <v>0</v>
      </c>
      <c r="R253" s="649"/>
      <c r="S253" s="649"/>
      <c r="T253" s="650"/>
      <c r="U253" s="650"/>
      <c r="V253" s="650"/>
      <c r="W253" s="650"/>
      <c r="X253" s="648"/>
      <c r="Y253" s="302">
        <f t="shared" si="39"/>
        <v>0</v>
      </c>
      <c r="Z253" s="232"/>
    </row>
    <row r="254" spans="2:26" hidden="1" x14ac:dyDescent="0.35">
      <c r="B254" s="644"/>
      <c r="C254" s="286"/>
      <c r="D254" s="623"/>
      <c r="E254" s="624"/>
      <c r="F254" s="374" t="s">
        <v>263</v>
      </c>
      <c r="G254" s="625" t="s">
        <v>205</v>
      </c>
      <c r="H254" s="602"/>
      <c r="I254" s="626"/>
      <c r="J254" s="625" t="s">
        <v>10</v>
      </c>
      <c r="K254" s="627">
        <v>0</v>
      </c>
      <c r="L254" s="496">
        <v>11</v>
      </c>
      <c r="M254" s="372">
        <v>5</v>
      </c>
      <c r="N254" s="372">
        <v>1</v>
      </c>
      <c r="O254" s="507">
        <f t="shared" si="42"/>
        <v>0</v>
      </c>
      <c r="P254" s="235">
        <v>715015.96154999989</v>
      </c>
      <c r="Q254" s="646">
        <f t="shared" si="43"/>
        <v>0</v>
      </c>
      <c r="R254" s="649"/>
      <c r="S254" s="649"/>
      <c r="T254" s="650"/>
      <c r="U254" s="650"/>
      <c r="V254" s="650"/>
      <c r="W254" s="650"/>
      <c r="X254" s="648"/>
      <c r="Y254" s="302">
        <f t="shared" si="39"/>
        <v>0</v>
      </c>
      <c r="Z254" s="232"/>
    </row>
    <row r="255" spans="2:26" x14ac:dyDescent="0.35">
      <c r="B255" s="644"/>
      <c r="C255" s="286"/>
      <c r="D255" s="655" t="s">
        <v>117</v>
      </c>
      <c r="E255" s="702"/>
      <c r="F255" s="374" t="s">
        <v>187</v>
      </c>
      <c r="G255" s="625" t="s">
        <v>188</v>
      </c>
      <c r="H255" s="602"/>
      <c r="I255" s="626"/>
      <c r="J255" s="625" t="s">
        <v>10</v>
      </c>
      <c r="K255" s="627">
        <v>0</v>
      </c>
      <c r="L255" s="496">
        <v>5</v>
      </c>
      <c r="M255" s="372">
        <v>2</v>
      </c>
      <c r="N255" s="372">
        <v>1</v>
      </c>
      <c r="O255" s="507">
        <f t="shared" si="42"/>
        <v>0</v>
      </c>
      <c r="P255" s="235">
        <v>158800.57379999998</v>
      </c>
      <c r="Q255" s="646">
        <f t="shared" si="43"/>
        <v>0</v>
      </c>
      <c r="R255" s="649"/>
      <c r="S255" s="649"/>
      <c r="T255" s="650"/>
      <c r="U255" s="650"/>
      <c r="V255" s="650"/>
      <c r="W255" s="650"/>
      <c r="X255" s="648"/>
      <c r="Y255" s="302">
        <f t="shared" si="39"/>
        <v>0</v>
      </c>
      <c r="Z255" s="232"/>
    </row>
    <row r="256" spans="2:26" hidden="1" x14ac:dyDescent="0.35">
      <c r="B256" s="644"/>
      <c r="C256" s="286"/>
      <c r="D256" s="286"/>
      <c r="E256" s="645"/>
      <c r="F256" s="374" t="s">
        <v>544</v>
      </c>
      <c r="G256" s="625" t="s">
        <v>10</v>
      </c>
      <c r="H256" s="602"/>
      <c r="I256" s="626"/>
      <c r="J256" s="625" t="s">
        <v>10</v>
      </c>
      <c r="K256" s="627">
        <v>0</v>
      </c>
      <c r="L256" s="496">
        <v>5</v>
      </c>
      <c r="M256" s="372">
        <v>6</v>
      </c>
      <c r="N256" s="372">
        <v>1</v>
      </c>
      <c r="O256" s="507">
        <f t="shared" si="42"/>
        <v>0</v>
      </c>
      <c r="P256" s="235">
        <v>665500</v>
      </c>
      <c r="Q256" s="646">
        <f t="shared" si="43"/>
        <v>0</v>
      </c>
      <c r="R256" s="649"/>
      <c r="S256" s="649"/>
      <c r="T256" s="650"/>
      <c r="U256" s="650"/>
      <c r="V256" s="650"/>
      <c r="W256" s="650"/>
      <c r="X256" s="648"/>
      <c r="Y256" s="302">
        <f t="shared" si="39"/>
        <v>0</v>
      </c>
      <c r="Z256" s="232"/>
    </row>
    <row r="257" spans="2:26" hidden="1" x14ac:dyDescent="0.35">
      <c r="B257" s="644"/>
      <c r="C257" s="286"/>
      <c r="D257" s="623"/>
      <c r="E257" s="624"/>
      <c r="F257" s="374" t="s">
        <v>263</v>
      </c>
      <c r="G257" s="625" t="s">
        <v>205</v>
      </c>
      <c r="H257" s="602"/>
      <c r="I257" s="626"/>
      <c r="J257" s="625" t="s">
        <v>10</v>
      </c>
      <c r="K257" s="627">
        <v>0</v>
      </c>
      <c r="L257" s="496">
        <v>5</v>
      </c>
      <c r="M257" s="372">
        <v>5</v>
      </c>
      <c r="N257" s="372">
        <v>1</v>
      </c>
      <c r="O257" s="507">
        <f t="shared" si="42"/>
        <v>0</v>
      </c>
      <c r="P257" s="235">
        <v>715015.96154999989</v>
      </c>
      <c r="Q257" s="646">
        <f t="shared" si="43"/>
        <v>0</v>
      </c>
      <c r="R257" s="649"/>
      <c r="S257" s="649"/>
      <c r="T257" s="650"/>
      <c r="U257" s="650"/>
      <c r="V257" s="650"/>
      <c r="W257" s="650"/>
      <c r="X257" s="648"/>
      <c r="Y257" s="302">
        <f t="shared" si="39"/>
        <v>0</v>
      </c>
      <c r="Z257" s="232"/>
    </row>
    <row r="258" spans="2:26" x14ac:dyDescent="0.35">
      <c r="B258" s="644"/>
      <c r="C258" s="286"/>
      <c r="D258" s="655" t="s">
        <v>120</v>
      </c>
      <c r="E258" s="702"/>
      <c r="F258" s="374" t="s">
        <v>187</v>
      </c>
      <c r="G258" s="625" t="s">
        <v>188</v>
      </c>
      <c r="H258" s="602"/>
      <c r="I258" s="626"/>
      <c r="J258" s="625" t="s">
        <v>10</v>
      </c>
      <c r="K258" s="627">
        <v>0</v>
      </c>
      <c r="L258" s="496">
        <v>3</v>
      </c>
      <c r="M258" s="372">
        <v>2</v>
      </c>
      <c r="N258" s="372">
        <v>1</v>
      </c>
      <c r="O258" s="507">
        <f t="shared" si="42"/>
        <v>0</v>
      </c>
      <c r="P258" s="235">
        <v>158800.57379999998</v>
      </c>
      <c r="Q258" s="646">
        <f t="shared" si="43"/>
        <v>0</v>
      </c>
      <c r="R258" s="649"/>
      <c r="S258" s="649"/>
      <c r="T258" s="650"/>
      <c r="U258" s="650"/>
      <c r="V258" s="650"/>
      <c r="W258" s="650"/>
      <c r="X258" s="648"/>
      <c r="Y258" s="302">
        <f t="shared" si="39"/>
        <v>0</v>
      </c>
      <c r="Z258" s="232"/>
    </row>
    <row r="259" spans="2:26" hidden="1" x14ac:dyDescent="0.35">
      <c r="B259" s="644"/>
      <c r="C259" s="286"/>
      <c r="D259" s="286"/>
      <c r="E259" s="645"/>
      <c r="F259" s="374" t="s">
        <v>545</v>
      </c>
      <c r="G259" s="625" t="s">
        <v>10</v>
      </c>
      <c r="H259" s="602"/>
      <c r="I259" s="626"/>
      <c r="J259" s="625" t="s">
        <v>10</v>
      </c>
      <c r="K259" s="627">
        <v>0</v>
      </c>
      <c r="L259" s="496">
        <v>3</v>
      </c>
      <c r="M259" s="372">
        <v>6</v>
      </c>
      <c r="N259" s="372">
        <v>1</v>
      </c>
      <c r="O259" s="507">
        <f>K259*L259*M259*N259</f>
        <v>0</v>
      </c>
      <c r="P259" s="235">
        <v>786500.00000000012</v>
      </c>
      <c r="Q259" s="646">
        <f t="shared" si="43"/>
        <v>0</v>
      </c>
      <c r="R259" s="235">
        <v>716625</v>
      </c>
      <c r="S259" s="646">
        <f>R259*$O259</f>
        <v>0</v>
      </c>
      <c r="T259" s="235">
        <v>752456.25</v>
      </c>
      <c r="U259" s="647">
        <f>$O259*T259</f>
        <v>0</v>
      </c>
      <c r="V259" s="235" t="e">
        <f>W259/O259</f>
        <v>#DIV/0!</v>
      </c>
      <c r="W259" s="478">
        <f>AVERAGEIF($P$3:$U$3,W$3,$P259:$U259)</f>
        <v>0</v>
      </c>
      <c r="X259" s="648"/>
      <c r="Y259" s="302">
        <f t="shared" si="39"/>
        <v>0</v>
      </c>
      <c r="Z259" s="232"/>
    </row>
    <row r="260" spans="2:26" hidden="1" x14ac:dyDescent="0.35">
      <c r="B260" s="622"/>
      <c r="C260" s="623"/>
      <c r="D260" s="623"/>
      <c r="E260" s="624"/>
      <c r="F260" s="374" t="s">
        <v>263</v>
      </c>
      <c r="G260" s="625" t="s">
        <v>205</v>
      </c>
      <c r="H260" s="602"/>
      <c r="I260" s="626"/>
      <c r="J260" s="625" t="s">
        <v>10</v>
      </c>
      <c r="K260" s="627">
        <v>0</v>
      </c>
      <c r="L260" s="496">
        <v>3</v>
      </c>
      <c r="M260" s="372">
        <v>5</v>
      </c>
      <c r="N260" s="372">
        <v>1</v>
      </c>
      <c r="O260" s="507">
        <f>K260*L260*M260*N260</f>
        <v>0</v>
      </c>
      <c r="P260" s="235">
        <v>715015.96154999989</v>
      </c>
      <c r="Q260" s="646">
        <f t="shared" si="43"/>
        <v>0</v>
      </c>
      <c r="R260" s="235">
        <v>582130.09920000006</v>
      </c>
      <c r="S260" s="646">
        <f>R260*$O260</f>
        <v>0</v>
      </c>
      <c r="T260" s="235">
        <v>605415.30316800007</v>
      </c>
      <c r="U260" s="647">
        <f>$O260*T260</f>
        <v>0</v>
      </c>
      <c r="V260" s="235" t="e">
        <f>W260/O260</f>
        <v>#DIV/0!</v>
      </c>
      <c r="W260" s="478">
        <f>AVERAGEIF($P$3:$U$3,W$3,$P260:$U260)</f>
        <v>0</v>
      </c>
      <c r="X260" s="648"/>
      <c r="Y260" s="302">
        <f t="shared" si="39"/>
        <v>0</v>
      </c>
      <c r="Z260" s="232"/>
    </row>
    <row r="261" spans="2:26" ht="29.25" customHeight="1" x14ac:dyDescent="0.35">
      <c r="B261" s="630" t="s">
        <v>546</v>
      </c>
      <c r="C261" s="770"/>
      <c r="D261" s="770"/>
      <c r="E261" s="771"/>
      <c r="F261" s="633"/>
      <c r="G261" s="634"/>
      <c r="H261" s="635"/>
      <c r="I261" s="636"/>
      <c r="J261" s="634"/>
      <c r="K261" s="637"/>
      <c r="L261" s="638"/>
      <c r="M261" s="772"/>
      <c r="N261" s="773"/>
      <c r="O261" s="635"/>
      <c r="P261" s="640"/>
      <c r="Q261" s="651">
        <f>SUM(Q236:Q260)</f>
        <v>0</v>
      </c>
      <c r="R261" s="774"/>
      <c r="S261" s="651">
        <f>SUM(S250:S260)</f>
        <v>0</v>
      </c>
      <c r="T261" s="650"/>
      <c r="U261" s="650"/>
      <c r="V261" s="650"/>
      <c r="W261" s="650"/>
      <c r="X261" s="652"/>
      <c r="Y261" s="682">
        <f t="shared" si="39"/>
        <v>0</v>
      </c>
      <c r="Z261" s="775">
        <f>Q261/4365858560.88*100</f>
        <v>0</v>
      </c>
    </row>
    <row r="262" spans="2:26" x14ac:dyDescent="0.35">
      <c r="B262" s="602"/>
      <c r="C262" s="626" t="s">
        <v>547</v>
      </c>
      <c r="D262" s="626"/>
      <c r="E262" s="678"/>
      <c r="F262" s="374"/>
      <c r="G262" s="625"/>
      <c r="H262" s="602"/>
      <c r="I262" s="626"/>
      <c r="J262" s="625"/>
      <c r="K262" s="596"/>
      <c r="L262" s="713"/>
      <c r="M262" s="377"/>
      <c r="N262" s="372"/>
      <c r="O262" s="602"/>
      <c r="P262" s="628"/>
      <c r="Q262" s="649"/>
      <c r="R262" s="649"/>
      <c r="S262" s="649"/>
      <c r="T262" s="650"/>
      <c r="U262" s="650"/>
      <c r="V262" s="650"/>
      <c r="W262" s="650"/>
      <c r="X262" s="648"/>
      <c r="Y262" s="302"/>
      <c r="Z262" s="232"/>
    </row>
    <row r="263" spans="2:26" x14ac:dyDescent="0.35">
      <c r="B263" s="603"/>
      <c r="D263" s="94" t="s">
        <v>548</v>
      </c>
      <c r="E263" s="604"/>
      <c r="F263" s="232" t="s">
        <v>187</v>
      </c>
      <c r="G263" s="318" t="s">
        <v>188</v>
      </c>
      <c r="H263" s="319"/>
      <c r="I263" s="320"/>
      <c r="J263" s="318"/>
      <c r="K263" s="501"/>
      <c r="L263" s="506"/>
      <c r="M263" s="231"/>
      <c r="N263" s="235">
        <v>1</v>
      </c>
      <c r="O263" s="319"/>
      <c r="P263" s="492"/>
      <c r="Q263" s="646"/>
      <c r="R263" s="646"/>
      <c r="S263" s="646"/>
      <c r="T263" s="647"/>
      <c r="U263" s="647"/>
      <c r="V263" s="647"/>
      <c r="W263" s="647"/>
      <c r="X263" s="648"/>
      <c r="Y263" s="302"/>
      <c r="Z263" s="232"/>
    </row>
    <row r="264" spans="2:26" hidden="1" x14ac:dyDescent="0.35">
      <c r="B264" s="603"/>
      <c r="E264" s="604"/>
      <c r="F264" s="232" t="s">
        <v>215</v>
      </c>
      <c r="G264" s="318" t="s">
        <v>205</v>
      </c>
      <c r="H264" s="319"/>
      <c r="I264" s="320"/>
      <c r="J264" s="318"/>
      <c r="K264" s="501"/>
      <c r="L264" s="506"/>
      <c r="M264" s="231">
        <f>1/100</f>
        <v>0.01</v>
      </c>
      <c r="N264" s="235">
        <v>1</v>
      </c>
      <c r="O264" s="319"/>
      <c r="P264" s="492"/>
      <c r="Q264" s="646"/>
      <c r="R264" s="646"/>
      <c r="S264" s="646"/>
      <c r="T264" s="647"/>
      <c r="U264" s="647"/>
      <c r="V264" s="647"/>
      <c r="W264" s="647"/>
      <c r="X264" s="648"/>
      <c r="Y264" s="302"/>
      <c r="Z264" s="232"/>
    </row>
    <row r="265" spans="2:26" hidden="1" x14ac:dyDescent="0.35">
      <c r="B265" s="603"/>
      <c r="D265" s="606"/>
      <c r="E265" s="607"/>
      <c r="F265" s="232"/>
      <c r="G265" s="318"/>
      <c r="H265" s="319"/>
      <c r="I265" s="320"/>
      <c r="J265" s="318"/>
      <c r="K265" s="501"/>
      <c r="L265" s="506"/>
      <c r="M265" s="231"/>
      <c r="N265" s="235">
        <v>1</v>
      </c>
      <c r="O265" s="319"/>
      <c r="P265" s="492"/>
      <c r="Q265" s="646"/>
      <c r="R265" s="646"/>
      <c r="S265" s="646"/>
      <c r="T265" s="647"/>
      <c r="U265" s="647"/>
      <c r="V265" s="647"/>
      <c r="W265" s="647"/>
      <c r="X265" s="648"/>
      <c r="Y265" s="302"/>
      <c r="Z265" s="232"/>
    </row>
    <row r="266" spans="2:26" x14ac:dyDescent="0.35">
      <c r="B266" s="603"/>
      <c r="D266" s="94" t="s">
        <v>549</v>
      </c>
      <c r="E266" s="604"/>
      <c r="F266" s="232" t="s">
        <v>187</v>
      </c>
      <c r="G266" s="318" t="s">
        <v>188</v>
      </c>
      <c r="H266" s="319"/>
      <c r="I266" s="320"/>
      <c r="J266" s="318"/>
      <c r="K266" s="501"/>
      <c r="L266" s="506"/>
      <c r="M266" s="231"/>
      <c r="N266" s="235">
        <v>1</v>
      </c>
      <c r="O266" s="319"/>
      <c r="P266" s="492"/>
      <c r="Q266" s="646"/>
      <c r="R266" s="646"/>
      <c r="S266" s="646"/>
      <c r="T266" s="647"/>
      <c r="U266" s="647"/>
      <c r="V266" s="647"/>
      <c r="W266" s="647"/>
      <c r="X266" s="648"/>
      <c r="Y266" s="302"/>
      <c r="Z266" s="232"/>
    </row>
    <row r="267" spans="2:26" hidden="1" x14ac:dyDescent="0.35">
      <c r="B267" s="603"/>
      <c r="E267" s="604"/>
      <c r="F267" s="232" t="s">
        <v>215</v>
      </c>
      <c r="G267" s="318" t="s">
        <v>205</v>
      </c>
      <c r="H267" s="319"/>
      <c r="I267" s="320"/>
      <c r="J267" s="318"/>
      <c r="K267" s="501"/>
      <c r="L267" s="506"/>
      <c r="M267" s="231">
        <f>1/30</f>
        <v>3.3333333333333333E-2</v>
      </c>
      <c r="N267" s="235">
        <v>1</v>
      </c>
      <c r="O267" s="319"/>
      <c r="P267" s="492"/>
      <c r="Q267" s="646"/>
      <c r="R267" s="646"/>
      <c r="S267" s="646"/>
      <c r="T267" s="647"/>
      <c r="U267" s="647"/>
      <c r="V267" s="647"/>
      <c r="W267" s="647"/>
      <c r="X267" s="648"/>
      <c r="Y267" s="302"/>
      <c r="Z267" s="232"/>
    </row>
    <row r="268" spans="2:26" hidden="1" x14ac:dyDescent="0.35">
      <c r="B268" s="603"/>
      <c r="D268" s="606"/>
      <c r="E268" s="607"/>
      <c r="F268" s="232"/>
      <c r="G268" s="318"/>
      <c r="H268" s="319"/>
      <c r="I268" s="320"/>
      <c r="J268" s="318"/>
      <c r="K268" s="501"/>
      <c r="L268" s="506"/>
      <c r="M268" s="231"/>
      <c r="N268" s="235">
        <v>1</v>
      </c>
      <c r="O268" s="319"/>
      <c r="P268" s="492"/>
      <c r="Q268" s="646"/>
      <c r="R268" s="646"/>
      <c r="S268" s="646"/>
      <c r="T268" s="647"/>
      <c r="U268" s="647"/>
      <c r="V268" s="647"/>
      <c r="W268" s="647"/>
      <c r="X268" s="648"/>
      <c r="Y268" s="302"/>
      <c r="Z268" s="232"/>
    </row>
    <row r="269" spans="2:26" x14ac:dyDescent="0.35">
      <c r="B269" s="603"/>
      <c r="D269" s="94" t="s">
        <v>550</v>
      </c>
      <c r="E269" s="604"/>
      <c r="F269" s="232" t="s">
        <v>187</v>
      </c>
      <c r="G269" s="318" t="s">
        <v>188</v>
      </c>
      <c r="H269" s="319"/>
      <c r="I269" s="320"/>
      <c r="J269" s="318"/>
      <c r="K269" s="501"/>
      <c r="L269" s="506"/>
      <c r="M269" s="231">
        <f>1/30</f>
        <v>3.3333333333333333E-2</v>
      </c>
      <c r="N269" s="235">
        <v>1</v>
      </c>
      <c r="O269" s="319"/>
      <c r="P269" s="492"/>
      <c r="Q269" s="646"/>
      <c r="R269" s="646"/>
      <c r="S269" s="646"/>
      <c r="T269" s="647"/>
      <c r="U269" s="647"/>
      <c r="V269" s="647"/>
      <c r="W269" s="647"/>
      <c r="X269" s="648"/>
      <c r="Y269" s="302"/>
      <c r="Z269" s="232"/>
    </row>
    <row r="270" spans="2:26" hidden="1" x14ac:dyDescent="0.35">
      <c r="B270" s="603"/>
      <c r="E270" s="604"/>
      <c r="F270" s="232" t="s">
        <v>215</v>
      </c>
      <c r="G270" s="318" t="s">
        <v>205</v>
      </c>
      <c r="H270" s="319"/>
      <c r="I270" s="320"/>
      <c r="J270" s="318"/>
      <c r="K270" s="501"/>
      <c r="L270" s="506"/>
      <c r="M270" s="231">
        <f>1/60</f>
        <v>1.6666666666666666E-2</v>
      </c>
      <c r="N270" s="235">
        <v>1</v>
      </c>
      <c r="O270" s="319"/>
      <c r="P270" s="492"/>
      <c r="Q270" s="646"/>
      <c r="R270" s="646"/>
      <c r="S270" s="646"/>
      <c r="T270" s="647"/>
      <c r="U270" s="647"/>
      <c r="V270" s="647"/>
      <c r="W270" s="647"/>
      <c r="X270" s="648"/>
      <c r="Y270" s="302"/>
      <c r="Z270" s="232"/>
    </row>
    <row r="271" spans="2:26" hidden="1" x14ac:dyDescent="0.35">
      <c r="B271" s="603"/>
      <c r="D271" s="606"/>
      <c r="E271" s="607"/>
      <c r="F271" s="232"/>
      <c r="G271" s="318"/>
      <c r="H271" s="319"/>
      <c r="I271" s="320"/>
      <c r="J271" s="318"/>
      <c r="K271" s="501"/>
      <c r="L271" s="506"/>
      <c r="M271" s="231"/>
      <c r="N271" s="235">
        <v>1</v>
      </c>
      <c r="O271" s="319"/>
      <c r="P271" s="492"/>
      <c r="Q271" s="646"/>
      <c r="R271" s="646"/>
      <c r="S271" s="646"/>
      <c r="T271" s="647"/>
      <c r="U271" s="647"/>
      <c r="V271" s="647"/>
      <c r="W271" s="647"/>
      <c r="X271" s="648"/>
      <c r="Y271" s="302"/>
      <c r="Z271" s="232"/>
    </row>
    <row r="272" spans="2:26" x14ac:dyDescent="0.35">
      <c r="B272" s="603"/>
      <c r="D272" s="94" t="s">
        <v>551</v>
      </c>
      <c r="E272" s="604"/>
      <c r="F272" s="232" t="s">
        <v>187</v>
      </c>
      <c r="G272" s="318" t="s">
        <v>188</v>
      </c>
      <c r="H272" s="319"/>
      <c r="I272" s="320"/>
      <c r="J272" s="318"/>
      <c r="K272" s="501"/>
      <c r="L272" s="506"/>
      <c r="M272" s="231"/>
      <c r="N272" s="235">
        <v>1</v>
      </c>
      <c r="O272" s="319"/>
      <c r="P272" s="492"/>
      <c r="Q272" s="646"/>
      <c r="R272" s="646"/>
      <c r="S272" s="646"/>
      <c r="T272" s="647"/>
      <c r="U272" s="647"/>
      <c r="V272" s="647"/>
      <c r="W272" s="647"/>
      <c r="X272" s="648"/>
      <c r="Y272" s="302"/>
      <c r="Z272" s="232"/>
    </row>
    <row r="273" spans="2:26" hidden="1" x14ac:dyDescent="0.35">
      <c r="B273" s="603"/>
      <c r="E273" s="604"/>
      <c r="F273" s="232" t="s">
        <v>288</v>
      </c>
      <c r="G273" s="318" t="s">
        <v>10</v>
      </c>
      <c r="H273" s="319"/>
      <c r="I273" s="320"/>
      <c r="J273" s="318"/>
      <c r="K273" s="501"/>
      <c r="L273" s="506"/>
      <c r="M273" s="231"/>
      <c r="N273" s="235">
        <v>1</v>
      </c>
      <c r="O273" s="319"/>
      <c r="P273" s="492"/>
      <c r="Q273" s="646"/>
      <c r="R273" s="646"/>
      <c r="S273" s="646"/>
      <c r="T273" s="647"/>
      <c r="U273" s="647"/>
      <c r="V273" s="647"/>
      <c r="W273" s="647"/>
      <c r="X273" s="648"/>
      <c r="Y273" s="302"/>
      <c r="Z273" s="232"/>
    </row>
    <row r="274" spans="2:26" hidden="1" x14ac:dyDescent="0.35">
      <c r="B274" s="603"/>
      <c r="E274" s="604"/>
      <c r="F274" s="232" t="s">
        <v>215</v>
      </c>
      <c r="G274" s="318" t="s">
        <v>205</v>
      </c>
      <c r="H274" s="319"/>
      <c r="I274" s="320"/>
      <c r="J274" s="318"/>
      <c r="K274" s="501"/>
      <c r="L274" s="506"/>
      <c r="M274" s="231"/>
      <c r="N274" s="235">
        <v>1</v>
      </c>
      <c r="O274" s="319"/>
      <c r="P274" s="492"/>
      <c r="Q274" s="646"/>
      <c r="R274" s="646"/>
      <c r="S274" s="646"/>
      <c r="T274" s="647"/>
      <c r="U274" s="647"/>
      <c r="V274" s="647"/>
      <c r="W274" s="647"/>
      <c r="X274" s="648"/>
      <c r="Y274" s="302"/>
      <c r="Z274" s="232"/>
    </row>
    <row r="275" spans="2:26" x14ac:dyDescent="0.35">
      <c r="B275" s="598"/>
      <c r="C275" s="599" t="s">
        <v>552</v>
      </c>
      <c r="D275" s="599"/>
      <c r="E275" s="600"/>
      <c r="F275" s="232" t="s">
        <v>187</v>
      </c>
      <c r="G275" s="318" t="s">
        <v>188</v>
      </c>
      <c r="H275" s="319"/>
      <c r="I275" s="320"/>
      <c r="J275" s="318"/>
      <c r="K275" s="501"/>
      <c r="L275" s="506"/>
      <c r="M275" s="231"/>
      <c r="N275" s="235">
        <v>1</v>
      </c>
      <c r="O275" s="319"/>
      <c r="P275" s="492"/>
      <c r="Q275" s="646"/>
      <c r="R275" s="646"/>
      <c r="S275" s="646"/>
      <c r="T275" s="647"/>
      <c r="U275" s="647"/>
      <c r="V275" s="647"/>
      <c r="W275" s="647"/>
      <c r="X275" s="648"/>
      <c r="Y275" s="302"/>
      <c r="Z275" s="232"/>
    </row>
    <row r="276" spans="2:26" hidden="1" x14ac:dyDescent="0.35">
      <c r="B276" s="603"/>
      <c r="E276" s="604"/>
      <c r="F276" s="232" t="s">
        <v>255</v>
      </c>
      <c r="G276" s="318" t="s">
        <v>205</v>
      </c>
      <c r="H276" s="319"/>
      <c r="I276" s="320"/>
      <c r="J276" s="318"/>
      <c r="K276" s="501"/>
      <c r="L276" s="506"/>
      <c r="M276" s="231">
        <f>2/1000</f>
        <v>2E-3</v>
      </c>
      <c r="N276" s="235">
        <v>1</v>
      </c>
      <c r="O276" s="319"/>
      <c r="P276" s="492"/>
      <c r="Q276" s="646"/>
      <c r="R276" s="646"/>
      <c r="S276" s="646"/>
      <c r="T276" s="647"/>
      <c r="U276" s="647"/>
      <c r="V276" s="647"/>
      <c r="W276" s="647"/>
      <c r="X276" s="648"/>
      <c r="Y276" s="302"/>
      <c r="Z276" s="232"/>
    </row>
    <row r="277" spans="2:26" hidden="1" x14ac:dyDescent="0.35">
      <c r="B277" s="603"/>
      <c r="E277" s="604"/>
      <c r="F277" s="232" t="s">
        <v>215</v>
      </c>
      <c r="G277" s="318" t="s">
        <v>205</v>
      </c>
      <c r="H277" s="319"/>
      <c r="I277" s="320"/>
      <c r="J277" s="318"/>
      <c r="K277" s="501"/>
      <c r="L277" s="506"/>
      <c r="M277" s="231"/>
      <c r="N277" s="235">
        <v>1</v>
      </c>
      <c r="O277" s="319"/>
      <c r="P277" s="492"/>
      <c r="Q277" s="646"/>
      <c r="R277" s="646"/>
      <c r="S277" s="646"/>
      <c r="T277" s="647"/>
      <c r="U277" s="647"/>
      <c r="V277" s="647"/>
      <c r="W277" s="647"/>
      <c r="X277" s="648"/>
      <c r="Y277" s="302"/>
      <c r="Z277" s="232"/>
    </row>
    <row r="278" spans="2:26" x14ac:dyDescent="0.35">
      <c r="B278" s="598"/>
      <c r="C278" s="599" t="s">
        <v>553</v>
      </c>
      <c r="D278" s="599"/>
      <c r="E278" s="600"/>
      <c r="F278" s="232" t="s">
        <v>187</v>
      </c>
      <c r="G278" s="318" t="s">
        <v>188</v>
      </c>
      <c r="H278" s="319"/>
      <c r="I278" s="320"/>
      <c r="J278" s="318"/>
      <c r="K278" s="501"/>
      <c r="L278" s="506"/>
      <c r="M278" s="231"/>
      <c r="N278" s="235">
        <v>1</v>
      </c>
      <c r="O278" s="319"/>
      <c r="P278" s="492"/>
      <c r="Q278" s="646"/>
      <c r="R278" s="646"/>
      <c r="S278" s="646"/>
      <c r="T278" s="647"/>
      <c r="U278" s="647"/>
      <c r="V278" s="647"/>
      <c r="W278" s="647"/>
      <c r="X278" s="648"/>
      <c r="Y278" s="302"/>
      <c r="Z278" s="232"/>
    </row>
    <row r="279" spans="2:26" x14ac:dyDescent="0.35">
      <c r="B279" s="603"/>
      <c r="C279" s="94" t="s">
        <v>554</v>
      </c>
      <c r="E279" s="604"/>
      <c r="F279" s="232" t="s">
        <v>187</v>
      </c>
      <c r="G279" s="318" t="s">
        <v>188</v>
      </c>
      <c r="H279" s="319"/>
      <c r="I279" s="320"/>
      <c r="J279" s="318"/>
      <c r="K279" s="501"/>
      <c r="L279" s="506"/>
      <c r="M279" s="231"/>
      <c r="N279" s="235">
        <v>1</v>
      </c>
      <c r="O279" s="319"/>
      <c r="P279" s="492"/>
      <c r="Q279" s="646"/>
      <c r="R279" s="646"/>
      <c r="S279" s="646"/>
      <c r="T279" s="647"/>
      <c r="U279" s="647"/>
      <c r="V279" s="647"/>
      <c r="W279" s="647"/>
      <c r="X279" s="648"/>
      <c r="Y279" s="302"/>
      <c r="Z279" s="232"/>
    </row>
    <row r="280" spans="2:26" hidden="1" x14ac:dyDescent="0.35">
      <c r="B280" s="603"/>
      <c r="E280" s="604"/>
      <c r="F280" s="232" t="s">
        <v>555</v>
      </c>
      <c r="G280" s="318" t="s">
        <v>10</v>
      </c>
      <c r="H280" s="319"/>
      <c r="I280" s="320"/>
      <c r="J280" s="318"/>
      <c r="K280" s="501"/>
      <c r="L280" s="506"/>
      <c r="M280" s="231"/>
      <c r="N280" s="235">
        <v>1</v>
      </c>
      <c r="O280" s="319"/>
      <c r="P280" s="492"/>
      <c r="Q280" s="646"/>
      <c r="R280" s="646"/>
      <c r="S280" s="646"/>
      <c r="T280" s="647"/>
      <c r="U280" s="647"/>
      <c r="V280" s="647"/>
      <c r="W280" s="647"/>
      <c r="X280" s="648"/>
      <c r="Y280" s="302"/>
      <c r="Z280" s="232"/>
    </row>
    <row r="281" spans="2:26" ht="29.25" customHeight="1" x14ac:dyDescent="0.35">
      <c r="B281" s="693" t="s">
        <v>556</v>
      </c>
      <c r="C281" s="776"/>
      <c r="D281" s="776"/>
      <c r="E281" s="777"/>
      <c r="F281" s="516"/>
      <c r="G281" s="613"/>
      <c r="H281" s="614"/>
      <c r="I281" s="615"/>
      <c r="J281" s="613"/>
      <c r="K281" s="616"/>
      <c r="L281" s="617"/>
      <c r="M281" s="527"/>
      <c r="N281" s="766"/>
      <c r="O281" s="614"/>
      <c r="P281" s="618"/>
      <c r="Q281" s="696">
        <f>Q234+Q261</f>
        <v>0</v>
      </c>
      <c r="R281" s="778"/>
      <c r="S281" s="696">
        <f>SUM(S272:S280)</f>
        <v>0</v>
      </c>
      <c r="T281" s="673"/>
      <c r="U281" s="673"/>
      <c r="V281" s="673"/>
      <c r="W281" s="673"/>
      <c r="X281" s="674"/>
      <c r="Y281" s="675">
        <f t="shared" ref="Y281" si="44">Q281/192.08</f>
        <v>0</v>
      </c>
      <c r="Z281" s="779">
        <f>Q281/4365858560.88*100</f>
        <v>0</v>
      </c>
    </row>
    <row r="282" spans="2:26" x14ac:dyDescent="0.35">
      <c r="B282" s="620" t="s">
        <v>290</v>
      </c>
      <c r="C282" s="320"/>
      <c r="D282" s="320"/>
      <c r="E282" s="608"/>
      <c r="F282" s="232"/>
      <c r="G282" s="318"/>
      <c r="H282" s="319"/>
      <c r="I282" s="320"/>
      <c r="J282" s="318"/>
      <c r="K282" s="501"/>
      <c r="L282" s="506"/>
      <c r="M282" s="231"/>
      <c r="N282" s="235"/>
      <c r="O282" s="319"/>
      <c r="P282" s="492"/>
      <c r="Q282" s="646"/>
      <c r="R282" s="646"/>
      <c r="S282" s="646"/>
      <c r="T282" s="647"/>
      <c r="U282" s="647"/>
      <c r="V282" s="647"/>
      <c r="W282" s="647"/>
      <c r="X282" s="648"/>
      <c r="Y282" s="302"/>
      <c r="Z282" s="232"/>
    </row>
    <row r="283" spans="2:26" x14ac:dyDescent="0.35">
      <c r="B283" s="603"/>
      <c r="C283" s="94" t="s">
        <v>123</v>
      </c>
      <c r="E283" s="604"/>
      <c r="F283" s="232" t="s">
        <v>187</v>
      </c>
      <c r="G283" s="318" t="s">
        <v>188</v>
      </c>
      <c r="H283" s="319"/>
      <c r="I283" s="320"/>
      <c r="J283" s="318"/>
      <c r="K283" s="783">
        <v>0</v>
      </c>
      <c r="L283" s="700">
        <f>192.08*136</f>
        <v>26122.880000000001</v>
      </c>
      <c r="M283" s="784">
        <v>0.33333333333333331</v>
      </c>
      <c r="N283" s="785">
        <v>1</v>
      </c>
      <c r="O283" s="786">
        <f>K283*L283*M283*N283</f>
        <v>0</v>
      </c>
      <c r="P283" s="785">
        <v>158800.57379999998</v>
      </c>
      <c r="Q283" s="787">
        <f>P283*$O283</f>
        <v>0</v>
      </c>
      <c r="R283" s="788">
        <v>163305.33120000002</v>
      </c>
      <c r="S283" s="789">
        <f>R283*$O283</f>
        <v>0</v>
      </c>
      <c r="T283" s="788">
        <v>179635.86432000002</v>
      </c>
      <c r="U283" s="790">
        <f>$O283*T283</f>
        <v>0</v>
      </c>
      <c r="V283" s="788" t="e">
        <f>W283/O283</f>
        <v>#DIV/0!</v>
      </c>
      <c r="W283" s="791">
        <f>AVERAGEIF($P$3:$U$3,W$3,$P283:$U283)</f>
        <v>0</v>
      </c>
      <c r="X283" s="648"/>
      <c r="Y283" s="302">
        <f t="shared" ref="Y283:Y284" si="45">Q283/192.08</f>
        <v>0</v>
      </c>
      <c r="Z283" s="232"/>
    </row>
    <row r="284" spans="2:26" x14ac:dyDescent="0.35">
      <c r="B284" s="603"/>
      <c r="C284" s="94" t="s">
        <v>125</v>
      </c>
      <c r="E284" s="604"/>
      <c r="F284" s="232" t="s">
        <v>187</v>
      </c>
      <c r="G284" s="318" t="s">
        <v>188</v>
      </c>
      <c r="H284" s="319"/>
      <c r="I284" s="320"/>
      <c r="J284" s="318"/>
      <c r="K284" s="783">
        <v>0</v>
      </c>
      <c r="L284" s="700">
        <f>192.08*136</f>
        <v>26122.880000000001</v>
      </c>
      <c r="M284" s="784">
        <v>0.33333333333333331</v>
      </c>
      <c r="N284" s="785">
        <v>1</v>
      </c>
      <c r="O284" s="786">
        <f>K284*L284*M284*N284</f>
        <v>0</v>
      </c>
      <c r="P284" s="785">
        <v>158800.57379999998</v>
      </c>
      <c r="Q284" s="787">
        <f>P284*$O284</f>
        <v>0</v>
      </c>
      <c r="R284" s="788">
        <v>163305.33120000002</v>
      </c>
      <c r="S284" s="789">
        <f>R284*$O284</f>
        <v>0</v>
      </c>
      <c r="T284" s="788">
        <v>179635.86432000002</v>
      </c>
      <c r="U284" s="790">
        <f>$O284*T284</f>
        <v>0</v>
      </c>
      <c r="V284" s="788" t="e">
        <f>W284/O284</f>
        <v>#DIV/0!</v>
      </c>
      <c r="W284" s="791">
        <f>AVERAGEIF($P$3:$U$3,W$3,$P284:$U284)</f>
        <v>0</v>
      </c>
      <c r="X284" s="648"/>
      <c r="Y284" s="302">
        <f t="shared" si="45"/>
        <v>0</v>
      </c>
      <c r="Z284" s="232"/>
    </row>
    <row r="285" spans="2:26" x14ac:dyDescent="0.35">
      <c r="B285" s="603"/>
      <c r="C285" s="94" t="s">
        <v>292</v>
      </c>
      <c r="E285" s="604"/>
      <c r="F285" s="232" t="s">
        <v>187</v>
      </c>
      <c r="G285" s="318" t="s">
        <v>188</v>
      </c>
      <c r="H285" s="319"/>
      <c r="I285" s="320"/>
      <c r="J285" s="318"/>
      <c r="K285" s="501"/>
      <c r="L285" s="506"/>
      <c r="M285" s="231">
        <f>1/3</f>
        <v>0.33333333333333331</v>
      </c>
      <c r="N285" s="235">
        <v>1</v>
      </c>
      <c r="O285" s="319"/>
      <c r="P285" s="492"/>
      <c r="Q285" s="646"/>
      <c r="R285" s="646"/>
      <c r="S285" s="646"/>
      <c r="T285" s="647"/>
      <c r="U285" s="647"/>
      <c r="V285" s="647"/>
      <c r="W285" s="647"/>
      <c r="X285" s="648"/>
      <c r="Y285" s="302"/>
      <c r="Z285" s="232"/>
    </row>
    <row r="286" spans="2:26" x14ac:dyDescent="0.35">
      <c r="B286" s="603"/>
      <c r="C286" s="94" t="s">
        <v>557</v>
      </c>
      <c r="E286" s="604"/>
      <c r="F286" s="232" t="s">
        <v>187</v>
      </c>
      <c r="G286" s="318" t="s">
        <v>188</v>
      </c>
      <c r="H286" s="319"/>
      <c r="I286" s="320"/>
      <c r="J286" s="318"/>
      <c r="K286" s="501"/>
      <c r="L286" s="506"/>
      <c r="M286" s="231"/>
      <c r="N286" s="235">
        <v>1</v>
      </c>
      <c r="O286" s="319"/>
      <c r="P286" s="492"/>
      <c r="Q286" s="646"/>
      <c r="R286" s="646"/>
      <c r="S286" s="646"/>
      <c r="T286" s="647"/>
      <c r="U286" s="647"/>
      <c r="V286" s="647"/>
      <c r="W286" s="647"/>
      <c r="X286" s="648"/>
      <c r="Y286" s="302"/>
      <c r="Z286" s="232"/>
    </row>
    <row r="287" spans="2:26" ht="29.25" customHeight="1" x14ac:dyDescent="0.35">
      <c r="B287" s="693" t="s">
        <v>558</v>
      </c>
      <c r="C287" s="776"/>
      <c r="D287" s="776"/>
      <c r="E287" s="777"/>
      <c r="F287" s="516"/>
      <c r="G287" s="613"/>
      <c r="H287" s="614"/>
      <c r="I287" s="615"/>
      <c r="J287" s="613"/>
      <c r="K287" s="616"/>
      <c r="L287" s="617"/>
      <c r="M287" s="527"/>
      <c r="N287" s="766"/>
      <c r="O287" s="614"/>
      <c r="P287" s="618"/>
      <c r="Q287" s="696">
        <f>Q283+Q284</f>
        <v>0</v>
      </c>
      <c r="R287" s="778"/>
      <c r="S287" s="696">
        <f>SUM(S281:S286)</f>
        <v>0</v>
      </c>
      <c r="T287" s="673"/>
      <c r="U287" s="673"/>
      <c r="V287" s="673"/>
      <c r="W287" s="673"/>
      <c r="X287" s="674"/>
      <c r="Y287" s="675">
        <f t="shared" ref="Y287" si="46">Q287/192.08</f>
        <v>0</v>
      </c>
      <c r="Z287" s="779">
        <f>Q287/4365858560.88*100</f>
        <v>0</v>
      </c>
    </row>
    <row r="288" spans="2:26" x14ac:dyDescent="0.35">
      <c r="B288" s="620" t="s">
        <v>559</v>
      </c>
      <c r="C288" s="320"/>
      <c r="D288" s="320"/>
      <c r="E288" s="608"/>
      <c r="F288" s="232"/>
      <c r="G288" s="318"/>
      <c r="H288" s="319"/>
      <c r="I288" s="320"/>
      <c r="J288" s="318"/>
      <c r="K288" s="501"/>
      <c r="L288" s="506"/>
      <c r="M288" s="231"/>
      <c r="N288" s="235"/>
      <c r="O288" s="319"/>
      <c r="P288" s="492"/>
      <c r="Q288" s="646"/>
      <c r="R288" s="646"/>
      <c r="S288" s="646"/>
      <c r="T288" s="647"/>
      <c r="U288" s="647"/>
      <c r="V288" s="647"/>
      <c r="W288" s="647"/>
      <c r="X288" s="648"/>
      <c r="Y288" s="302"/>
      <c r="Z288" s="232"/>
    </row>
    <row r="289" spans="2:28" x14ac:dyDescent="0.35">
      <c r="B289" s="603"/>
      <c r="C289" s="94" t="s">
        <v>128</v>
      </c>
      <c r="E289" s="604"/>
      <c r="F289" s="232" t="s">
        <v>187</v>
      </c>
      <c r="G289" s="318" t="s">
        <v>188</v>
      </c>
      <c r="H289" s="319"/>
      <c r="I289" s="320"/>
      <c r="J289" s="318" t="s">
        <v>189</v>
      </c>
      <c r="K289" s="627">
        <v>1</v>
      </c>
      <c r="L289" s="506">
        <v>192.08</v>
      </c>
      <c r="M289" s="240">
        <v>0.5</v>
      </c>
      <c r="N289" s="235">
        <v>3</v>
      </c>
      <c r="O289" s="507">
        <f>K289*L289*M289*N289</f>
        <v>288.12</v>
      </c>
      <c r="P289" s="235">
        <v>169122.61109699999</v>
      </c>
      <c r="Q289" s="646">
        <f>P289*$O289</f>
        <v>48727606.709267639</v>
      </c>
      <c r="R289" s="235">
        <v>163305.33120000002</v>
      </c>
      <c r="S289" s="646">
        <f>R289*$O289</f>
        <v>47051532.025344007</v>
      </c>
      <c r="T289" s="235">
        <v>179635.86432000002</v>
      </c>
      <c r="U289" s="647">
        <f>$O289*T289</f>
        <v>51756685.227878407</v>
      </c>
      <c r="V289" s="235">
        <f>W289/O289</f>
        <v>170687.935539</v>
      </c>
      <c r="W289" s="478">
        <f>AVERAGEIF($P$3:$U$3,W$3,$P289:$U289)</f>
        <v>49178607.987496682</v>
      </c>
      <c r="X289" s="648"/>
      <c r="Y289" s="302">
        <f t="shared" ref="Y289:Y290" si="47">Q289/$C$1</f>
        <v>253683.91664549996</v>
      </c>
      <c r="Z289" s="232"/>
    </row>
    <row r="290" spans="2:28" x14ac:dyDescent="0.35">
      <c r="B290" s="603"/>
      <c r="E290" s="604"/>
      <c r="F290" s="232" t="s">
        <v>398</v>
      </c>
      <c r="G290" s="318" t="s">
        <v>191</v>
      </c>
      <c r="H290" s="319"/>
      <c r="I290" s="320"/>
      <c r="J290" s="318" t="s">
        <v>189</v>
      </c>
      <c r="K290" s="627">
        <v>1</v>
      </c>
      <c r="L290" s="506">
        <v>192.08</v>
      </c>
      <c r="M290" s="231">
        <v>0.186</v>
      </c>
      <c r="N290" s="235">
        <v>3</v>
      </c>
      <c r="O290" s="507">
        <f>K290*L290*M290*N290</f>
        <v>107.18064000000001</v>
      </c>
      <c r="P290" s="235">
        <v>37784.879999999997</v>
      </c>
      <c r="Q290" s="646">
        <f>P290*$O290</f>
        <v>4049807.6207232</v>
      </c>
      <c r="R290" s="235">
        <v>40359.098880000005</v>
      </c>
      <c r="S290" s="646">
        <f>R290*$O290</f>
        <v>4325714.0477816844</v>
      </c>
      <c r="T290" s="235">
        <v>43184.235801600007</v>
      </c>
      <c r="U290" s="647">
        <f>$O290*T290</f>
        <v>4628514.0311264023</v>
      </c>
      <c r="V290" s="235">
        <f>W290/O290</f>
        <v>40442.738227200003</v>
      </c>
      <c r="W290" s="478">
        <f>AVERAGEIF($P$3:$U$3,W$3,$P290:$U290)</f>
        <v>4334678.5665437626</v>
      </c>
      <c r="X290" s="648"/>
      <c r="Y290" s="302">
        <f t="shared" si="47"/>
        <v>21083.963039999999</v>
      </c>
      <c r="Z290" s="232"/>
    </row>
    <row r="291" spans="2:28" ht="29.25" customHeight="1" x14ac:dyDescent="0.35">
      <c r="B291" s="630" t="s">
        <v>561</v>
      </c>
      <c r="C291" s="770"/>
      <c r="D291" s="770"/>
      <c r="E291" s="771"/>
      <c r="F291" s="633"/>
      <c r="G291" s="634"/>
      <c r="H291" s="635"/>
      <c r="I291" s="636"/>
      <c r="J291" s="634"/>
      <c r="K291" s="637"/>
      <c r="L291" s="638"/>
      <c r="M291" s="772"/>
      <c r="N291" s="773"/>
      <c r="O291" s="635"/>
      <c r="P291" s="640"/>
      <c r="Q291" s="651">
        <f>SUM(Q289:Q290)</f>
        <v>52777414.329990841</v>
      </c>
      <c r="R291" s="774"/>
      <c r="S291" s="651">
        <f>SUM(S284:S290)</f>
        <v>51377246.07312569</v>
      </c>
      <c r="T291" s="650"/>
      <c r="U291" s="650"/>
      <c r="V291" s="650"/>
      <c r="W291" s="650"/>
      <c r="X291" s="652"/>
      <c r="Y291" s="682">
        <f>Q291/$C$1</f>
        <v>274767.8796855</v>
      </c>
      <c r="Z291" s="775">
        <f>Q291/$Q$401*100</f>
        <v>2.204644431923934</v>
      </c>
    </row>
    <row r="292" spans="2:28" x14ac:dyDescent="0.35">
      <c r="B292" s="603"/>
      <c r="C292" s="94" t="s">
        <v>562</v>
      </c>
      <c r="E292" s="604"/>
      <c r="F292" s="232" t="s">
        <v>187</v>
      </c>
      <c r="G292" s="318" t="s">
        <v>188</v>
      </c>
      <c r="H292" s="319"/>
      <c r="I292" s="320"/>
      <c r="J292" s="318"/>
      <c r="K292" s="501"/>
      <c r="L292" s="506"/>
      <c r="M292" s="231"/>
      <c r="N292" s="235"/>
      <c r="O292" s="319"/>
      <c r="P292" s="492"/>
      <c r="Q292" s="646"/>
      <c r="R292" s="646"/>
      <c r="S292" s="646"/>
      <c r="T292" s="647"/>
      <c r="U292" s="647"/>
      <c r="V292" s="647"/>
      <c r="W292" s="647"/>
      <c r="X292" s="648"/>
      <c r="Y292" s="302"/>
      <c r="Z292" s="232"/>
    </row>
    <row r="293" spans="2:28" x14ac:dyDescent="0.35">
      <c r="B293" s="605"/>
      <c r="C293" s="606"/>
      <c r="D293" s="606"/>
      <c r="E293" s="607"/>
      <c r="F293" s="232"/>
      <c r="G293" s="318"/>
      <c r="H293" s="319"/>
      <c r="I293" s="320"/>
      <c r="J293" s="318"/>
      <c r="K293" s="501"/>
      <c r="L293" s="506"/>
      <c r="M293" s="231"/>
      <c r="N293" s="235"/>
      <c r="O293" s="319"/>
      <c r="P293" s="492"/>
      <c r="Q293" s="646"/>
      <c r="R293" s="646"/>
      <c r="S293" s="646"/>
      <c r="T293" s="647"/>
      <c r="U293" s="647"/>
      <c r="V293" s="647"/>
      <c r="W293" s="647"/>
      <c r="X293" s="648"/>
      <c r="Y293" s="302"/>
      <c r="Z293" s="232"/>
    </row>
    <row r="294" spans="2:28" x14ac:dyDescent="0.35">
      <c r="B294" s="603"/>
      <c r="C294" s="94" t="s">
        <v>130</v>
      </c>
      <c r="E294" s="604"/>
      <c r="F294" s="232" t="s">
        <v>187</v>
      </c>
      <c r="G294" s="318" t="s">
        <v>188</v>
      </c>
      <c r="H294" s="319"/>
      <c r="I294" s="320"/>
      <c r="J294" s="318" t="s">
        <v>189</v>
      </c>
      <c r="K294" s="627">
        <v>0.1</v>
      </c>
      <c r="L294" s="496">
        <v>192.08</v>
      </c>
      <c r="M294" s="423">
        <v>0.1</v>
      </c>
      <c r="N294" s="235">
        <v>6</v>
      </c>
      <c r="O294" s="507">
        <f>K294*L294*M294*N294</f>
        <v>11.524800000000003</v>
      </c>
      <c r="P294" s="235">
        <v>169122.61109699999</v>
      </c>
      <c r="Q294" s="646">
        <f>P294*$O294</f>
        <v>1949104.2683707059</v>
      </c>
      <c r="R294" s="235">
        <v>163305.33120000002</v>
      </c>
      <c r="S294" s="646">
        <f>R294*$O294</f>
        <v>1882061.2810137605</v>
      </c>
      <c r="T294" s="235">
        <v>179635.86432000002</v>
      </c>
      <c r="U294" s="647">
        <f>$O294*T294</f>
        <v>2070267.4091151368</v>
      </c>
      <c r="V294" s="235">
        <f>W294/O294</f>
        <v>170687.935539</v>
      </c>
      <c r="W294" s="478">
        <f>AVERAGEIF($P$3:$U$3,W$3,$P294:$U294)</f>
        <v>1967144.3194998677</v>
      </c>
      <c r="X294" s="648"/>
      <c r="Y294" s="302">
        <f t="shared" ref="Y294:Y302" si="48">Q294/$C$1</f>
        <v>10147.356665820002</v>
      </c>
      <c r="Z294" s="232"/>
    </row>
    <row r="295" spans="2:28" x14ac:dyDescent="0.35">
      <c r="B295" s="603"/>
      <c r="E295" s="604"/>
      <c r="F295" s="232" t="s">
        <v>395</v>
      </c>
      <c r="G295" s="318" t="s">
        <v>232</v>
      </c>
      <c r="H295" s="319"/>
      <c r="I295" s="320"/>
      <c r="J295" s="318" t="s">
        <v>189</v>
      </c>
      <c r="K295" s="627">
        <v>0.1</v>
      </c>
      <c r="L295" s="496">
        <v>192.08</v>
      </c>
      <c r="M295" s="423">
        <v>0.1</v>
      </c>
      <c r="N295" s="235">
        <v>1</v>
      </c>
      <c r="O295" s="507">
        <f>K295*L295*M295*N295</f>
        <v>1.9208000000000003</v>
      </c>
      <c r="P295" s="235">
        <v>123981.63750000001</v>
      </c>
      <c r="Q295" s="646">
        <f>P295*$O295</f>
        <v>238143.92931000007</v>
      </c>
      <c r="R295" s="235">
        <v>122618.79000000001</v>
      </c>
      <c r="S295" s="646">
        <f>R295*$O295</f>
        <v>235526.17183200005</v>
      </c>
      <c r="T295" s="235">
        <v>131202.10530000002</v>
      </c>
      <c r="U295" s="647">
        <f>$O295*T295</f>
        <v>252013.00386024007</v>
      </c>
      <c r="V295" s="235">
        <f>W295/O295</f>
        <v>125934.17760000001</v>
      </c>
      <c r="W295" s="478">
        <f>AVERAGEIF($P$3:$U$3,W$3,$P295:$U295)</f>
        <v>241894.36833408006</v>
      </c>
      <c r="X295" s="648"/>
      <c r="Y295" s="302">
        <f t="shared" si="48"/>
        <v>1239.8163750000003</v>
      </c>
      <c r="Z295" s="232"/>
    </row>
    <row r="296" spans="2:28" x14ac:dyDescent="0.35">
      <c r="B296" s="603"/>
      <c r="E296" s="604"/>
      <c r="F296" s="232" t="s">
        <v>236</v>
      </c>
      <c r="G296" s="318" t="s">
        <v>232</v>
      </c>
      <c r="H296" s="319"/>
      <c r="I296" s="320"/>
      <c r="J296" s="318" t="s">
        <v>189</v>
      </c>
      <c r="K296" s="627">
        <v>0.1</v>
      </c>
      <c r="L296" s="496">
        <v>192.08</v>
      </c>
      <c r="M296" s="423">
        <v>0.1</v>
      </c>
      <c r="N296" s="235">
        <v>6</v>
      </c>
      <c r="O296" s="507">
        <f>K296*L296*M296*N296</f>
        <v>11.524800000000003</v>
      </c>
      <c r="P296" s="235">
        <v>4469.4136124999995</v>
      </c>
      <c r="Q296" s="646">
        <f>P296*$O296</f>
        <v>51509.098001340004</v>
      </c>
      <c r="R296" s="235">
        <v>4158</v>
      </c>
      <c r="S296" s="646">
        <f>R296*$O296</f>
        <v>47920.118400000014</v>
      </c>
      <c r="T296" s="647">
        <f>R296*1.1</f>
        <v>4573.8</v>
      </c>
      <c r="U296" s="647">
        <f>O296*T296</f>
        <v>52712.130240000013</v>
      </c>
      <c r="V296" s="235">
        <f>W296/O296</f>
        <v>4400.4045374999996</v>
      </c>
      <c r="W296" s="478">
        <f>AVERAGEIF($P$3:$U$3,W$3,$P296:$U296)</f>
        <v>50713.78221378001</v>
      </c>
      <c r="X296" s="648"/>
      <c r="Y296" s="302">
        <f t="shared" si="48"/>
        <v>268.16481675</v>
      </c>
      <c r="Z296" s="232"/>
    </row>
    <row r="297" spans="2:28" x14ac:dyDescent="0.35">
      <c r="B297" s="603"/>
      <c r="E297" s="604"/>
      <c r="F297" s="232" t="s">
        <v>237</v>
      </c>
      <c r="G297" s="318" t="s">
        <v>193</v>
      </c>
      <c r="H297" s="319">
        <v>4</v>
      </c>
      <c r="I297" s="320"/>
      <c r="J297" s="318" t="s">
        <v>189</v>
      </c>
      <c r="K297" s="627">
        <v>0.1</v>
      </c>
      <c r="L297" s="496">
        <v>192.08</v>
      </c>
      <c r="M297" s="373">
        <f>((M$294*N$294)/240*($H297/N297))</f>
        <v>1.0000000000000002E-2</v>
      </c>
      <c r="N297" s="235">
        <v>1</v>
      </c>
      <c r="O297" s="507">
        <f t="shared" ref="O297:O302" si="49">K297*L297*M297*N297</f>
        <v>0.19208000000000006</v>
      </c>
      <c r="P297" s="235">
        <v>49592.654999999999</v>
      </c>
      <c r="Q297" s="646">
        <f>P297*$O297</f>
        <v>9525.7571724000027</v>
      </c>
      <c r="R297" s="235">
        <v>46267.200000000004</v>
      </c>
      <c r="S297" s="646">
        <f>R297*$O297</f>
        <v>8887.0037760000032</v>
      </c>
      <c r="T297" s="647">
        <f>R297*1.1</f>
        <v>50893.920000000006</v>
      </c>
      <c r="U297" s="647">
        <f>O297*T297</f>
        <v>9775.7041536000033</v>
      </c>
      <c r="V297" s="235">
        <f>W297/O297</f>
        <v>48917.925000000003</v>
      </c>
      <c r="W297" s="478">
        <f>AVERAGEIF($P$3:$U$3,W$3,$P297:$U297)</f>
        <v>9396.1550340000031</v>
      </c>
      <c r="X297" s="648"/>
      <c r="Y297" s="302">
        <f t="shared" si="48"/>
        <v>49.592655000000008</v>
      </c>
      <c r="Z297" s="232"/>
    </row>
    <row r="298" spans="2:28" x14ac:dyDescent="0.35">
      <c r="B298" s="603"/>
      <c r="E298" s="604"/>
      <c r="F298" s="232" t="s">
        <v>230</v>
      </c>
      <c r="G298" s="318"/>
      <c r="H298" s="319"/>
      <c r="I298" s="320"/>
      <c r="J298" s="318"/>
      <c r="K298" s="627">
        <v>0.1</v>
      </c>
      <c r="L298" s="496">
        <v>192.08</v>
      </c>
      <c r="M298" s="377">
        <v>6.2500000000000003E-3</v>
      </c>
      <c r="N298" s="235">
        <v>1</v>
      </c>
      <c r="O298" s="507">
        <f t="shared" si="49"/>
        <v>0.12005000000000002</v>
      </c>
      <c r="P298" s="235">
        <v>1581858.0973125002</v>
      </c>
      <c r="Q298" s="646">
        <f t="shared" ref="Q298:Q302" si="50">P298*$O298</f>
        <v>189902.06458236568</v>
      </c>
      <c r="R298" s="646"/>
      <c r="S298" s="646"/>
      <c r="T298" s="647"/>
      <c r="U298" s="647"/>
      <c r="V298" s="646"/>
      <c r="W298" s="478"/>
      <c r="X298" s="648"/>
      <c r="Y298" s="302">
        <f t="shared" si="48"/>
        <v>988.66131082031268</v>
      </c>
      <c r="Z298" s="232"/>
    </row>
    <row r="299" spans="2:28" x14ac:dyDescent="0.35">
      <c r="B299" s="603"/>
      <c r="E299" s="604"/>
      <c r="F299" s="232" t="s">
        <v>239</v>
      </c>
      <c r="G299" s="318"/>
      <c r="H299" s="319">
        <v>12</v>
      </c>
      <c r="I299" s="320"/>
      <c r="J299" s="318"/>
      <c r="K299" s="627">
        <v>0.1</v>
      </c>
      <c r="L299" s="496">
        <v>192.08</v>
      </c>
      <c r="M299" s="373">
        <f t="shared" ref="M299:M302" si="51">((M$294*N$294)/240*($H299/N299))</f>
        <v>3.0000000000000006E-2</v>
      </c>
      <c r="N299" s="235">
        <v>1</v>
      </c>
      <c r="O299" s="507">
        <f t="shared" si="49"/>
        <v>0.5762400000000002</v>
      </c>
      <c r="P299" s="235">
        <v>16206.75</v>
      </c>
      <c r="Q299" s="646">
        <f t="shared" si="50"/>
        <v>9338.9776200000033</v>
      </c>
      <c r="R299" s="646"/>
      <c r="S299" s="646"/>
      <c r="T299" s="647"/>
      <c r="U299" s="647"/>
      <c r="V299" s="646"/>
      <c r="W299" s="478"/>
      <c r="X299" s="648"/>
      <c r="Y299" s="302">
        <f t="shared" si="48"/>
        <v>48.620250000000013</v>
      </c>
      <c r="Z299" s="232"/>
    </row>
    <row r="300" spans="2:28" x14ac:dyDescent="0.35">
      <c r="B300" s="603"/>
      <c r="E300" s="604"/>
      <c r="F300" s="232" t="s">
        <v>240</v>
      </c>
      <c r="G300" s="318"/>
      <c r="H300" s="319">
        <v>1</v>
      </c>
      <c r="I300" s="320"/>
      <c r="J300" s="318"/>
      <c r="K300" s="627">
        <v>0.1</v>
      </c>
      <c r="L300" s="496">
        <v>192.08</v>
      </c>
      <c r="M300" s="377">
        <f t="shared" si="51"/>
        <v>2.5000000000000005E-3</v>
      </c>
      <c r="N300" s="235">
        <v>1</v>
      </c>
      <c r="O300" s="507">
        <f t="shared" si="49"/>
        <v>4.8020000000000014E-2</v>
      </c>
      <c r="P300" s="235">
        <v>43393.573125000003</v>
      </c>
      <c r="Q300" s="646">
        <f t="shared" si="50"/>
        <v>2083.7593814625006</v>
      </c>
      <c r="R300" s="646"/>
      <c r="S300" s="646"/>
      <c r="T300" s="647"/>
      <c r="U300" s="647"/>
      <c r="V300" s="646"/>
      <c r="W300" s="478"/>
      <c r="X300" s="648"/>
      <c r="Y300" s="302">
        <f t="shared" si="48"/>
        <v>10.848393281250003</v>
      </c>
      <c r="Z300" s="232"/>
    </row>
    <row r="301" spans="2:28" x14ac:dyDescent="0.35">
      <c r="B301" s="603"/>
      <c r="E301" s="604"/>
      <c r="F301" s="232" t="s">
        <v>241</v>
      </c>
      <c r="G301" s="318"/>
      <c r="H301" s="319">
        <v>2</v>
      </c>
      <c r="I301" s="320"/>
      <c r="J301" s="318"/>
      <c r="K301" s="627">
        <v>0.1</v>
      </c>
      <c r="L301" s="496">
        <v>192.08</v>
      </c>
      <c r="M301" s="382">
        <f t="shared" si="51"/>
        <v>5.000000000000001E-3</v>
      </c>
      <c r="N301" s="235">
        <v>1</v>
      </c>
      <c r="O301" s="507">
        <f t="shared" si="49"/>
        <v>9.6040000000000028E-2</v>
      </c>
      <c r="P301" s="235">
        <v>37194.491250000006</v>
      </c>
      <c r="Q301" s="646">
        <f t="shared" si="50"/>
        <v>3572.1589396500017</v>
      </c>
      <c r="R301" s="646"/>
      <c r="S301" s="646"/>
      <c r="T301" s="647"/>
      <c r="U301" s="647"/>
      <c r="V301" s="646"/>
      <c r="W301" s="478"/>
      <c r="X301" s="648"/>
      <c r="Y301" s="302">
        <f t="shared" si="48"/>
        <v>18.597245625000006</v>
      </c>
      <c r="Z301" s="232"/>
    </row>
    <row r="302" spans="2:28" x14ac:dyDescent="0.35">
      <c r="B302" s="603"/>
      <c r="E302" s="604"/>
      <c r="F302" s="232" t="s">
        <v>242</v>
      </c>
      <c r="G302" s="318"/>
      <c r="H302" s="319">
        <v>1</v>
      </c>
      <c r="I302" s="320"/>
      <c r="J302" s="318"/>
      <c r="K302" s="627">
        <v>0.1</v>
      </c>
      <c r="L302" s="496">
        <v>192.08</v>
      </c>
      <c r="M302" s="377">
        <f t="shared" si="51"/>
        <v>2.5000000000000005E-3</v>
      </c>
      <c r="N302" s="235">
        <v>1</v>
      </c>
      <c r="O302" s="507">
        <f t="shared" si="49"/>
        <v>4.8020000000000014E-2</v>
      </c>
      <c r="P302" s="235">
        <v>99185.31</v>
      </c>
      <c r="Q302" s="646">
        <f t="shared" si="50"/>
        <v>4762.8785862000013</v>
      </c>
      <c r="R302" s="646"/>
      <c r="S302" s="646"/>
      <c r="T302" s="647"/>
      <c r="U302" s="647"/>
      <c r="V302" s="646"/>
      <c r="W302" s="478"/>
      <c r="X302" s="648"/>
      <c r="Y302" s="302">
        <f t="shared" si="48"/>
        <v>24.796327500000004</v>
      </c>
      <c r="Z302" s="232"/>
    </row>
    <row r="303" spans="2:28" ht="29.25" customHeight="1" x14ac:dyDescent="0.35">
      <c r="B303" s="630" t="s">
        <v>563</v>
      </c>
      <c r="C303" s="770"/>
      <c r="D303" s="770"/>
      <c r="E303" s="771"/>
      <c r="F303" s="633"/>
      <c r="G303" s="634"/>
      <c r="H303" s="635"/>
      <c r="I303" s="636"/>
      <c r="J303" s="634"/>
      <c r="K303" s="637"/>
      <c r="L303" s="638"/>
      <c r="M303" s="772"/>
      <c r="N303" s="773"/>
      <c r="O303" s="635"/>
      <c r="P303" s="640"/>
      <c r="Q303" s="651">
        <f>SUM(Q294:Q302)</f>
        <v>2457942.891964124</v>
      </c>
      <c r="R303" s="774"/>
      <c r="S303" s="651">
        <f>SUM(S293:S302)</f>
        <v>2174394.5750217605</v>
      </c>
      <c r="T303" s="650"/>
      <c r="U303" s="650"/>
      <c r="V303" s="650"/>
      <c r="W303" s="650"/>
      <c r="X303" s="652"/>
      <c r="Y303" s="682">
        <f>Q303/$C$1</f>
        <v>12796.454039796563</v>
      </c>
      <c r="Z303" s="775">
        <f>Q303/$Q$401*100</f>
        <v>0.10267441441663096</v>
      </c>
    </row>
    <row r="304" spans="2:28" x14ac:dyDescent="0.35">
      <c r="B304" s="598"/>
      <c r="C304" s="599" t="s">
        <v>564</v>
      </c>
      <c r="D304" s="599"/>
      <c r="E304" s="600"/>
      <c r="F304" s="232" t="s">
        <v>187</v>
      </c>
      <c r="G304" s="501" t="s">
        <v>188</v>
      </c>
      <c r="H304" s="319"/>
      <c r="I304" s="320"/>
      <c r="J304" s="318"/>
      <c r="K304" s="501"/>
      <c r="L304" s="506"/>
      <c r="M304" s="231">
        <v>0.5</v>
      </c>
      <c r="N304" s="235">
        <v>1</v>
      </c>
      <c r="O304" s="723"/>
      <c r="P304" s="492"/>
      <c r="Q304" s="646"/>
      <c r="R304" s="646"/>
      <c r="S304" s="646"/>
      <c r="T304" s="647"/>
      <c r="U304" s="647"/>
      <c r="V304" s="647"/>
      <c r="W304" s="647"/>
      <c r="X304" s="648"/>
      <c r="Y304" s="302"/>
      <c r="Z304" s="232"/>
      <c r="AB304" s="792"/>
    </row>
    <row r="305" spans="2:26" hidden="1" x14ac:dyDescent="0.35">
      <c r="B305" s="605"/>
      <c r="C305" s="606"/>
      <c r="D305" s="606"/>
      <c r="E305" s="607"/>
      <c r="F305" s="232" t="s">
        <v>404</v>
      </c>
      <c r="G305" s="501" t="s">
        <v>191</v>
      </c>
      <c r="H305" s="319"/>
      <c r="I305" s="320"/>
      <c r="J305" s="318"/>
      <c r="K305" s="501"/>
      <c r="L305" s="506"/>
      <c r="M305" s="231">
        <v>1.92</v>
      </c>
      <c r="N305" s="235">
        <v>1</v>
      </c>
      <c r="O305" s="723"/>
      <c r="P305" s="492"/>
      <c r="Q305" s="646"/>
      <c r="R305" s="646"/>
      <c r="S305" s="646"/>
      <c r="T305" s="647"/>
      <c r="U305" s="647"/>
      <c r="V305" s="647"/>
      <c r="W305" s="647"/>
      <c r="X305" s="648"/>
      <c r="Y305" s="302"/>
      <c r="Z305" s="232"/>
    </row>
    <row r="306" spans="2:26" x14ac:dyDescent="0.35">
      <c r="B306" s="603"/>
      <c r="C306" s="94" t="s">
        <v>565</v>
      </c>
      <c r="E306" s="604"/>
      <c r="F306" s="232" t="s">
        <v>187</v>
      </c>
      <c r="G306" s="318" t="s">
        <v>188</v>
      </c>
      <c r="H306" s="319"/>
      <c r="I306" s="320"/>
      <c r="J306" s="318" t="s">
        <v>189</v>
      </c>
      <c r="K306" s="627">
        <v>0</v>
      </c>
      <c r="L306" s="506">
        <v>51.1</v>
      </c>
      <c r="M306" s="231">
        <v>0.25</v>
      </c>
      <c r="N306" s="235">
        <v>12</v>
      </c>
      <c r="O306" s="507">
        <f>K306*L306*M306*N306</f>
        <v>0</v>
      </c>
      <c r="P306" s="235">
        <v>169122.61109699999</v>
      </c>
      <c r="Q306" s="646">
        <f>P306*$O306</f>
        <v>0</v>
      </c>
      <c r="R306" s="235">
        <v>163305.33120000002</v>
      </c>
      <c r="S306" s="646">
        <f>R306*$O306</f>
        <v>0</v>
      </c>
      <c r="T306" s="235">
        <v>179635.86432000002</v>
      </c>
      <c r="U306" s="647">
        <f>$O306*T306</f>
        <v>0</v>
      </c>
      <c r="V306" s="235" t="e">
        <f>W306/O306</f>
        <v>#DIV/0!</v>
      </c>
      <c r="W306" s="478">
        <f>AVERAGEIF($P$3:$U$3,W$3,$P306:$U306)</f>
        <v>0</v>
      </c>
      <c r="X306" s="648"/>
      <c r="Y306" s="302">
        <f t="shared" ref="Y306:Y308" si="52">Q306/192.08</f>
        <v>0</v>
      </c>
      <c r="Z306" s="232"/>
    </row>
    <row r="307" spans="2:26" hidden="1" x14ac:dyDescent="0.35">
      <c r="B307" s="603"/>
      <c r="E307" s="604"/>
      <c r="F307" s="232" t="s">
        <v>566</v>
      </c>
      <c r="G307" s="318" t="s">
        <v>567</v>
      </c>
      <c r="H307" s="319"/>
      <c r="I307" s="320"/>
      <c r="J307" s="318" t="s">
        <v>189</v>
      </c>
      <c r="K307" s="627">
        <v>0</v>
      </c>
      <c r="L307" s="506">
        <v>51.1</v>
      </c>
      <c r="M307" s="231">
        <f>1/2</f>
        <v>0.5</v>
      </c>
      <c r="N307" s="235">
        <v>6</v>
      </c>
      <c r="O307" s="507">
        <f>K307*L307*M307*N307</f>
        <v>0</v>
      </c>
      <c r="P307" s="235">
        <v>85441.059899999993</v>
      </c>
      <c r="Q307" s="646">
        <f>P307*$O307</f>
        <v>0</v>
      </c>
      <c r="R307" s="235">
        <v>84501.863280000005</v>
      </c>
      <c r="S307" s="646">
        <f>R307*$O307</f>
        <v>0</v>
      </c>
      <c r="T307" s="235">
        <v>90416.993709600007</v>
      </c>
      <c r="U307" s="647">
        <f>$O307*T307</f>
        <v>0</v>
      </c>
      <c r="V307" s="235" t="e">
        <f>W307/O307</f>
        <v>#DIV/0!</v>
      </c>
      <c r="W307" s="478">
        <f>AVERAGEIF($P$3:$U$3,W$3,$P307:$U307)</f>
        <v>0</v>
      </c>
      <c r="X307" s="648"/>
      <c r="Y307" s="302">
        <f t="shared" si="52"/>
        <v>0</v>
      </c>
      <c r="Z307" s="232"/>
    </row>
    <row r="308" spans="2:26" hidden="1" x14ac:dyDescent="0.35">
      <c r="B308" s="603"/>
      <c r="E308" s="604"/>
      <c r="F308" s="232" t="s">
        <v>568</v>
      </c>
      <c r="G308" s="318" t="s">
        <v>193</v>
      </c>
      <c r="H308" s="319"/>
      <c r="I308" s="320"/>
      <c r="J308" s="318" t="s">
        <v>189</v>
      </c>
      <c r="K308" s="627">
        <v>0</v>
      </c>
      <c r="L308" s="506">
        <v>51.1</v>
      </c>
      <c r="M308" s="231">
        <f>1/2</f>
        <v>0.5</v>
      </c>
      <c r="N308" s="235">
        <v>3</v>
      </c>
      <c r="O308" s="507">
        <f>K308*L308*M308*N308</f>
        <v>0</v>
      </c>
      <c r="P308" s="235">
        <v>57881.25</v>
      </c>
      <c r="Q308" s="646">
        <f>P308*$O308</f>
        <v>0</v>
      </c>
      <c r="R308" s="235"/>
      <c r="S308" s="646"/>
      <c r="T308" s="235"/>
      <c r="U308" s="647"/>
      <c r="V308" s="235"/>
      <c r="W308" s="478"/>
      <c r="X308" s="648"/>
      <c r="Y308" s="302">
        <f t="shared" si="52"/>
        <v>0</v>
      </c>
      <c r="Z308" s="232"/>
    </row>
    <row r="309" spans="2:26" x14ac:dyDescent="0.35">
      <c r="B309" s="603"/>
      <c r="E309" s="604"/>
      <c r="F309" s="232" t="s">
        <v>187</v>
      </c>
      <c r="G309" s="318" t="s">
        <v>188</v>
      </c>
      <c r="H309" s="319"/>
      <c r="I309" s="320"/>
      <c r="J309" s="318" t="s">
        <v>189</v>
      </c>
      <c r="K309" s="627">
        <v>1</v>
      </c>
      <c r="L309" s="496">
        <v>51.1</v>
      </c>
      <c r="M309" s="373">
        <v>0.25</v>
      </c>
      <c r="N309" s="235">
        <v>6</v>
      </c>
      <c r="O309" s="507">
        <f>K309*L309*M309*N309</f>
        <v>76.650000000000006</v>
      </c>
      <c r="P309" s="235">
        <v>169122.61109699999</v>
      </c>
      <c r="Q309" s="646">
        <f t="shared" ref="Q309:Q316" si="53">P309*$O309</f>
        <v>12963248.14058505</v>
      </c>
      <c r="R309" s="235"/>
      <c r="S309" s="646"/>
      <c r="T309" s="235"/>
      <c r="U309" s="647"/>
      <c r="V309" s="235"/>
      <c r="W309" s="478"/>
      <c r="X309" s="648"/>
      <c r="Y309" s="302">
        <f>Q309/$L$309</f>
        <v>253683.91664549999</v>
      </c>
      <c r="Z309" s="232"/>
    </row>
    <row r="310" spans="2:26" x14ac:dyDescent="0.35">
      <c r="B310" s="603"/>
      <c r="E310" s="604"/>
      <c r="F310" s="232" t="s">
        <v>236</v>
      </c>
      <c r="G310" s="318" t="s">
        <v>188</v>
      </c>
      <c r="H310" s="319"/>
      <c r="I310" s="320"/>
      <c r="J310" s="318" t="s">
        <v>189</v>
      </c>
      <c r="K310" s="627">
        <v>1</v>
      </c>
      <c r="L310" s="496">
        <v>51.1</v>
      </c>
      <c r="M310" s="373">
        <v>0.25</v>
      </c>
      <c r="N310" s="235">
        <v>6</v>
      </c>
      <c r="O310" s="507">
        <f t="shared" ref="O310:O316" si="54">K310*L310*M310*N310</f>
        <v>76.650000000000006</v>
      </c>
      <c r="P310" s="235">
        <v>4469.4136124999995</v>
      </c>
      <c r="Q310" s="646">
        <f t="shared" si="53"/>
        <v>342580.55339812499</v>
      </c>
      <c r="R310" s="235"/>
      <c r="S310" s="646"/>
      <c r="T310" s="235"/>
      <c r="U310" s="647"/>
      <c r="V310" s="235"/>
      <c r="W310" s="478"/>
      <c r="X310" s="648"/>
      <c r="Y310" s="302">
        <f t="shared" ref="Y310:Y317" si="55">Q310/$L$309</f>
        <v>6704.1204187499998</v>
      </c>
      <c r="Z310" s="232"/>
    </row>
    <row r="311" spans="2:26" x14ac:dyDescent="0.35">
      <c r="B311" s="603"/>
      <c r="E311" s="604"/>
      <c r="F311" s="232" t="s">
        <v>237</v>
      </c>
      <c r="G311" s="318" t="s">
        <v>193</v>
      </c>
      <c r="H311" s="319">
        <v>4</v>
      </c>
      <c r="I311" s="320" t="s">
        <v>238</v>
      </c>
      <c r="J311" s="318" t="s">
        <v>189</v>
      </c>
      <c r="K311" s="627">
        <v>1</v>
      </c>
      <c r="L311" s="496">
        <v>51.1</v>
      </c>
      <c r="M311" s="377">
        <f>((M$309*N$309)/240*($H311/N311))</f>
        <v>1.2500000000000001E-2</v>
      </c>
      <c r="N311" s="235">
        <v>2</v>
      </c>
      <c r="O311" s="507">
        <f t="shared" si="54"/>
        <v>1.2775000000000001</v>
      </c>
      <c r="P311" s="235">
        <v>49592.654999999999</v>
      </c>
      <c r="Q311" s="646">
        <f t="shared" si="53"/>
        <v>63354.616762500002</v>
      </c>
      <c r="R311" s="235"/>
      <c r="S311" s="646"/>
      <c r="T311" s="235"/>
      <c r="U311" s="647"/>
      <c r="V311" s="235"/>
      <c r="W311" s="478"/>
      <c r="X311" s="648"/>
      <c r="Y311" s="302">
        <f t="shared" si="55"/>
        <v>1239.8163750000001</v>
      </c>
      <c r="Z311" s="232"/>
    </row>
    <row r="312" spans="2:26" x14ac:dyDescent="0.35">
      <c r="B312" s="603"/>
      <c r="E312" s="604"/>
      <c r="F312" s="232" t="s">
        <v>230</v>
      </c>
      <c r="G312" s="318" t="s">
        <v>193</v>
      </c>
      <c r="H312" s="319"/>
      <c r="I312" s="320"/>
      <c r="J312" s="318"/>
      <c r="K312" s="627">
        <v>1</v>
      </c>
      <c r="L312" s="496">
        <v>51.1</v>
      </c>
      <c r="M312" s="377">
        <v>6.2500000000000003E-3</v>
      </c>
      <c r="N312" s="235">
        <v>1</v>
      </c>
      <c r="O312" s="507">
        <f t="shared" si="54"/>
        <v>0.31937500000000002</v>
      </c>
      <c r="P312" s="235">
        <v>1581858.0973125002</v>
      </c>
      <c r="Q312" s="646">
        <f t="shared" si="53"/>
        <v>505205.92982917977</v>
      </c>
      <c r="R312" s="235"/>
      <c r="S312" s="646"/>
      <c r="T312" s="235"/>
      <c r="U312" s="647"/>
      <c r="V312" s="235"/>
      <c r="W312" s="478"/>
      <c r="X312" s="648"/>
      <c r="Y312" s="302">
        <f t="shared" si="55"/>
        <v>9886.6131082031261</v>
      </c>
      <c r="Z312" s="232"/>
    </row>
    <row r="313" spans="2:26" x14ac:dyDescent="0.35">
      <c r="B313" s="603"/>
      <c r="E313" s="604"/>
      <c r="F313" s="232" t="s">
        <v>239</v>
      </c>
      <c r="G313" s="318" t="s">
        <v>193</v>
      </c>
      <c r="H313" s="319">
        <v>12</v>
      </c>
      <c r="I313" s="320" t="s">
        <v>238</v>
      </c>
      <c r="J313" s="318" t="s">
        <v>189</v>
      </c>
      <c r="K313" s="627">
        <v>1</v>
      </c>
      <c r="L313" s="496">
        <v>51.1</v>
      </c>
      <c r="M313" s="377">
        <f t="shared" ref="M313:M316" si="56">((M$309*N$309)/240*($H313/N313))</f>
        <v>3.7500000000000006E-2</v>
      </c>
      <c r="N313" s="235">
        <v>2</v>
      </c>
      <c r="O313" s="507">
        <f t="shared" si="54"/>
        <v>3.8325000000000005</v>
      </c>
      <c r="P313" s="235">
        <v>16206.75</v>
      </c>
      <c r="Q313" s="646">
        <f t="shared" si="53"/>
        <v>62112.369375000009</v>
      </c>
      <c r="R313" s="235"/>
      <c r="S313" s="646"/>
      <c r="T313" s="235"/>
      <c r="U313" s="647"/>
      <c r="V313" s="235"/>
      <c r="W313" s="478"/>
      <c r="X313" s="648"/>
      <c r="Y313" s="302">
        <f t="shared" si="55"/>
        <v>1215.5062500000001</v>
      </c>
      <c r="Z313" s="232"/>
    </row>
    <row r="314" spans="2:26" x14ac:dyDescent="0.35">
      <c r="B314" s="603"/>
      <c r="E314" s="604"/>
      <c r="F314" s="232" t="s">
        <v>240</v>
      </c>
      <c r="G314" s="318" t="s">
        <v>193</v>
      </c>
      <c r="H314" s="319">
        <v>1</v>
      </c>
      <c r="I314" s="320" t="s">
        <v>238</v>
      </c>
      <c r="J314" s="318" t="s">
        <v>189</v>
      </c>
      <c r="K314" s="627">
        <v>1</v>
      </c>
      <c r="L314" s="496">
        <v>51.1</v>
      </c>
      <c r="M314" s="377">
        <f t="shared" si="56"/>
        <v>3.1250000000000002E-3</v>
      </c>
      <c r="N314" s="235">
        <v>2</v>
      </c>
      <c r="O314" s="507">
        <f t="shared" si="54"/>
        <v>0.31937500000000002</v>
      </c>
      <c r="P314" s="235">
        <v>43393.573125000003</v>
      </c>
      <c r="Q314" s="646">
        <f t="shared" si="53"/>
        <v>13858.822416796876</v>
      </c>
      <c r="R314" s="235"/>
      <c r="S314" s="646"/>
      <c r="T314" s="235"/>
      <c r="U314" s="647"/>
      <c r="V314" s="235"/>
      <c r="W314" s="478"/>
      <c r="X314" s="648"/>
      <c r="Y314" s="302">
        <f t="shared" si="55"/>
        <v>271.20983203125002</v>
      </c>
      <c r="Z314" s="232"/>
    </row>
    <row r="315" spans="2:26" x14ac:dyDescent="0.35">
      <c r="B315" s="603"/>
      <c r="E315" s="604"/>
      <c r="F315" s="232" t="s">
        <v>241</v>
      </c>
      <c r="G315" s="318" t="s">
        <v>193</v>
      </c>
      <c r="H315" s="319">
        <v>2</v>
      </c>
      <c r="I315" s="320" t="s">
        <v>238</v>
      </c>
      <c r="J315" s="318" t="s">
        <v>189</v>
      </c>
      <c r="K315" s="627">
        <v>1</v>
      </c>
      <c r="L315" s="496">
        <v>51.1</v>
      </c>
      <c r="M315" s="377">
        <f t="shared" si="56"/>
        <v>6.2500000000000003E-3</v>
      </c>
      <c r="N315" s="235">
        <v>2</v>
      </c>
      <c r="O315" s="507">
        <f t="shared" si="54"/>
        <v>0.63875000000000004</v>
      </c>
      <c r="P315" s="235">
        <v>37194.491250000006</v>
      </c>
      <c r="Q315" s="646">
        <f t="shared" si="53"/>
        <v>23757.981285937505</v>
      </c>
      <c r="R315" s="235"/>
      <c r="S315" s="646"/>
      <c r="T315" s="235"/>
      <c r="U315" s="647"/>
      <c r="V315" s="235"/>
      <c r="W315" s="478"/>
      <c r="X315" s="648"/>
      <c r="Y315" s="302">
        <f t="shared" si="55"/>
        <v>464.93114062500007</v>
      </c>
      <c r="Z315" s="232"/>
    </row>
    <row r="316" spans="2:26" x14ac:dyDescent="0.35">
      <c r="B316" s="603"/>
      <c r="E316" s="604"/>
      <c r="F316" s="232" t="s">
        <v>242</v>
      </c>
      <c r="G316" s="318" t="s">
        <v>193</v>
      </c>
      <c r="H316" s="319">
        <v>1</v>
      </c>
      <c r="I316" s="320" t="s">
        <v>238</v>
      </c>
      <c r="J316" s="318" t="s">
        <v>189</v>
      </c>
      <c r="K316" s="627">
        <v>1</v>
      </c>
      <c r="L316" s="496">
        <v>51.1</v>
      </c>
      <c r="M316" s="377">
        <f t="shared" si="56"/>
        <v>6.2500000000000003E-3</v>
      </c>
      <c r="N316" s="235">
        <v>1</v>
      </c>
      <c r="O316" s="507">
        <f t="shared" si="54"/>
        <v>0.31937500000000002</v>
      </c>
      <c r="P316" s="235">
        <v>99185.31</v>
      </c>
      <c r="Q316" s="646">
        <f t="shared" si="53"/>
        <v>31677.308381250001</v>
      </c>
      <c r="R316" s="235"/>
      <c r="S316" s="646"/>
      <c r="T316" s="235"/>
      <c r="U316" s="647"/>
      <c r="V316" s="235"/>
      <c r="W316" s="478"/>
      <c r="X316" s="648"/>
      <c r="Y316" s="302">
        <f t="shared" si="55"/>
        <v>619.90818750000005</v>
      </c>
      <c r="Z316" s="232"/>
    </row>
    <row r="317" spans="2:26" x14ac:dyDescent="0.35">
      <c r="B317" s="603"/>
      <c r="E317" s="604"/>
      <c r="F317" s="232" t="s">
        <v>341</v>
      </c>
      <c r="G317" s="318" t="s">
        <v>232</v>
      </c>
      <c r="H317" s="319"/>
      <c r="I317" s="320"/>
      <c r="J317" s="318" t="s">
        <v>189</v>
      </c>
      <c r="K317" s="627">
        <v>1</v>
      </c>
      <c r="L317" s="506">
        <v>51.1</v>
      </c>
      <c r="M317" s="231">
        <f>91.08/1000</f>
        <v>9.1079999999999994E-2</v>
      </c>
      <c r="N317" s="235">
        <v>6</v>
      </c>
      <c r="O317" s="507">
        <f>K317*L317*M317*N317</f>
        <v>27.925127999999997</v>
      </c>
      <c r="P317" s="235">
        <v>58979.836125000002</v>
      </c>
      <c r="Q317" s="646">
        <f>P317*$O317</f>
        <v>1647019.4732096489</v>
      </c>
      <c r="R317" s="235"/>
      <c r="S317" s="646"/>
      <c r="T317" s="235"/>
      <c r="U317" s="647"/>
      <c r="V317" s="235"/>
      <c r="W317" s="478"/>
      <c r="X317" s="648"/>
      <c r="Y317" s="302">
        <f t="shared" si="55"/>
        <v>32231.300845589998</v>
      </c>
      <c r="Z317" s="232"/>
    </row>
    <row r="318" spans="2:26" x14ac:dyDescent="0.35">
      <c r="B318" s="603"/>
      <c r="E318" s="604"/>
      <c r="F318" s="225" t="s">
        <v>187</v>
      </c>
      <c r="G318" s="226" t="s">
        <v>188</v>
      </c>
      <c r="H318" s="227"/>
      <c r="I318" s="228"/>
      <c r="J318" s="229"/>
      <c r="K318" s="239">
        <v>1</v>
      </c>
      <c r="L318" s="230">
        <f>192.08-51.1</f>
        <v>140.98000000000002</v>
      </c>
      <c r="M318" s="233">
        <v>0.25</v>
      </c>
      <c r="N318" s="235">
        <v>12</v>
      </c>
      <c r="O318" s="233">
        <f>K318*L318*M318*N318</f>
        <v>422.94000000000005</v>
      </c>
      <c r="P318" s="235">
        <v>169122.61109699999</v>
      </c>
      <c r="Q318" s="646">
        <f t="shared" ref="Q318:Q319" si="57">P318*$O318</f>
        <v>71528717.137365177</v>
      </c>
      <c r="R318" s="235"/>
      <c r="S318" s="646"/>
      <c r="T318" s="235"/>
      <c r="U318" s="647"/>
      <c r="V318" s="235"/>
      <c r="W318" s="478"/>
      <c r="X318" s="648" t="s">
        <v>607</v>
      </c>
      <c r="Y318" s="302">
        <f>Q318/$L$318</f>
        <v>507367.83329099993</v>
      </c>
      <c r="Z318" s="232"/>
    </row>
    <row r="319" spans="2:26" x14ac:dyDescent="0.35">
      <c r="B319" s="605"/>
      <c r="C319" s="606"/>
      <c r="D319" s="606"/>
      <c r="E319" s="607"/>
      <c r="F319" s="225" t="s">
        <v>400</v>
      </c>
      <c r="G319" s="226" t="s">
        <v>401</v>
      </c>
      <c r="H319" s="227"/>
      <c r="I319" s="228"/>
      <c r="J319" s="229"/>
      <c r="K319" s="239">
        <v>1</v>
      </c>
      <c r="L319" s="230">
        <f>192.08-51.1</f>
        <v>140.98000000000002</v>
      </c>
      <c r="M319" s="233">
        <f>5*136/1000</f>
        <v>0.68</v>
      </c>
      <c r="N319" s="235">
        <v>12</v>
      </c>
      <c r="O319" s="233">
        <f>K319*L319*M319*N319</f>
        <v>1150.3968000000002</v>
      </c>
      <c r="P319" s="235">
        <v>35706.711600000002</v>
      </c>
      <c r="Q319" s="646">
        <f t="shared" si="57"/>
        <v>41076886.763162889</v>
      </c>
      <c r="R319" s="235">
        <v>0</v>
      </c>
      <c r="S319" s="646">
        <f>R319*$O319</f>
        <v>0</v>
      </c>
      <c r="T319" s="235">
        <v>0</v>
      </c>
      <c r="U319" s="647">
        <f>$O319*T319</f>
        <v>0</v>
      </c>
      <c r="V319" s="235">
        <f>W319/O319</f>
        <v>11902.2372</v>
      </c>
      <c r="W319" s="478">
        <f>AVERAGEIF($P$3:$U$3,W$3,$P319:$U319)</f>
        <v>13692295.587720962</v>
      </c>
      <c r="X319" s="648"/>
      <c r="Y319" s="302">
        <f>Q319/$L$318</f>
        <v>291366.76665600005</v>
      </c>
      <c r="Z319" s="232"/>
    </row>
    <row r="320" spans="2:26" ht="29.25" customHeight="1" x14ac:dyDescent="0.35">
      <c r="B320" s="630" t="s">
        <v>569</v>
      </c>
      <c r="C320" s="770"/>
      <c r="D320" s="770"/>
      <c r="E320" s="771"/>
      <c r="F320" s="633"/>
      <c r="G320" s="634"/>
      <c r="H320" s="635"/>
      <c r="I320" s="636"/>
      <c r="J320" s="634"/>
      <c r="K320" s="637"/>
      <c r="L320" s="638"/>
      <c r="M320" s="772"/>
      <c r="N320" s="773"/>
      <c r="O320" s="635"/>
      <c r="P320" s="640"/>
      <c r="Q320" s="651">
        <f>SUM(Q306:Q319)</f>
        <v>128258419.09577155</v>
      </c>
      <c r="R320" s="774"/>
      <c r="S320" s="651">
        <f>SUM(S309:S319)</f>
        <v>0</v>
      </c>
      <c r="T320" s="650"/>
      <c r="U320" s="650"/>
      <c r="V320" s="650"/>
      <c r="W320" s="650"/>
      <c r="X320" s="652"/>
      <c r="Y320" s="682">
        <f>Q320/$C$1</f>
        <v>667734.37680014339</v>
      </c>
      <c r="Z320" s="775">
        <f>Q320/$Q$401*100</f>
        <v>5.3576745487923221</v>
      </c>
    </row>
    <row r="321" spans="2:26" x14ac:dyDescent="0.35">
      <c r="B321" s="603"/>
      <c r="C321" s="94" t="s">
        <v>570</v>
      </c>
      <c r="E321" s="604"/>
      <c r="F321" s="232" t="s">
        <v>187</v>
      </c>
      <c r="G321" s="318" t="s">
        <v>188</v>
      </c>
      <c r="H321" s="319"/>
      <c r="I321" s="320"/>
      <c r="J321" s="318"/>
      <c r="K321" s="501"/>
      <c r="L321" s="506"/>
      <c r="M321" s="231"/>
      <c r="N321" s="235"/>
      <c r="O321" s="319"/>
      <c r="P321" s="492"/>
      <c r="Q321" s="646"/>
      <c r="R321" s="646"/>
      <c r="S321" s="646"/>
      <c r="T321" s="647"/>
      <c r="U321" s="647"/>
      <c r="V321" s="647"/>
      <c r="W321" s="647"/>
      <c r="X321" s="648"/>
      <c r="Y321" s="302"/>
      <c r="Z321" s="232"/>
    </row>
    <row r="322" spans="2:26" hidden="1" x14ac:dyDescent="0.35">
      <c r="B322" s="603"/>
      <c r="E322" s="604"/>
      <c r="F322" s="232" t="s">
        <v>476</v>
      </c>
      <c r="G322" s="318" t="s">
        <v>232</v>
      </c>
      <c r="H322" s="319"/>
      <c r="I322" s="320"/>
      <c r="J322" s="318"/>
      <c r="K322" s="501"/>
      <c r="L322" s="506"/>
      <c r="M322" s="231"/>
      <c r="N322" s="235"/>
      <c r="O322" s="319"/>
      <c r="P322" s="492"/>
      <c r="Q322" s="646"/>
      <c r="R322" s="646"/>
      <c r="S322" s="646"/>
      <c r="T322" s="647"/>
      <c r="U322" s="647"/>
      <c r="V322" s="647"/>
      <c r="W322" s="647"/>
      <c r="X322" s="648"/>
      <c r="Y322" s="302"/>
      <c r="Z322" s="232"/>
    </row>
    <row r="323" spans="2:26" ht="15" customHeight="1" x14ac:dyDescent="0.35">
      <c r="B323" s="598"/>
      <c r="C323" s="599" t="s">
        <v>571</v>
      </c>
      <c r="D323" s="599"/>
      <c r="E323" s="600"/>
      <c r="F323" s="703" t="s">
        <v>187</v>
      </c>
      <c r="G323" s="724" t="s">
        <v>188</v>
      </c>
      <c r="H323" s="725"/>
      <c r="I323" s="726"/>
      <c r="J323" s="727"/>
      <c r="K323" s="728"/>
      <c r="L323" s="729"/>
      <c r="M323" s="793">
        <v>11.5</v>
      </c>
      <c r="N323" s="709">
        <v>1</v>
      </c>
      <c r="O323" s="731"/>
      <c r="P323" s="730"/>
      <c r="Q323" s="709"/>
      <c r="R323" s="709"/>
      <c r="S323" s="709"/>
      <c r="T323" s="732"/>
      <c r="U323" s="732"/>
      <c r="V323" s="732"/>
      <c r="W323" s="732"/>
      <c r="X323" s="648"/>
      <c r="Y323" s="302"/>
      <c r="Z323" s="232"/>
    </row>
    <row r="324" spans="2:26" hidden="1" x14ac:dyDescent="0.35">
      <c r="B324" s="603"/>
      <c r="E324" s="604"/>
      <c r="F324" s="703" t="s">
        <v>410</v>
      </c>
      <c r="G324" s="724" t="s">
        <v>411</v>
      </c>
      <c r="H324" s="794"/>
      <c r="I324" s="795"/>
      <c r="J324" s="796"/>
      <c r="K324" s="733"/>
      <c r="L324" s="797"/>
      <c r="M324" s="793">
        <f>0.002*136</f>
        <v>0.27200000000000002</v>
      </c>
      <c r="N324" s="709">
        <v>1</v>
      </c>
      <c r="O324" s="731"/>
      <c r="P324" s="730"/>
      <c r="Q324" s="709"/>
      <c r="R324" s="709"/>
      <c r="S324" s="709"/>
      <c r="T324" s="732"/>
      <c r="U324" s="732"/>
      <c r="V324" s="732"/>
      <c r="W324" s="732"/>
      <c r="X324" s="648"/>
      <c r="Y324" s="302"/>
      <c r="Z324" s="232"/>
    </row>
    <row r="325" spans="2:26" hidden="1" x14ac:dyDescent="0.35">
      <c r="B325" s="603"/>
      <c r="E325" s="604"/>
      <c r="F325" s="703" t="s">
        <v>412</v>
      </c>
      <c r="G325" s="724" t="s">
        <v>191</v>
      </c>
      <c r="H325" s="735"/>
      <c r="I325" s="736"/>
      <c r="J325" s="737"/>
      <c r="K325" s="738"/>
      <c r="L325" s="739"/>
      <c r="M325" s="793">
        <f>0.001*136</f>
        <v>0.13600000000000001</v>
      </c>
      <c r="N325" s="709">
        <v>1</v>
      </c>
      <c r="O325" s="731"/>
      <c r="P325" s="730"/>
      <c r="Q325" s="709"/>
      <c r="R325" s="709"/>
      <c r="S325" s="709"/>
      <c r="T325" s="732"/>
      <c r="U325" s="732"/>
      <c r="V325" s="732"/>
      <c r="W325" s="732"/>
      <c r="X325" s="648"/>
      <c r="Y325" s="302"/>
      <c r="Z325" s="232"/>
    </row>
    <row r="326" spans="2:26" x14ac:dyDescent="0.35">
      <c r="B326" s="598"/>
      <c r="C326" s="599" t="s">
        <v>573</v>
      </c>
      <c r="D326" s="599"/>
      <c r="E326" s="600"/>
      <c r="F326" s="232" t="s">
        <v>187</v>
      </c>
      <c r="G326" s="318" t="s">
        <v>188</v>
      </c>
      <c r="H326" s="319"/>
      <c r="I326" s="320"/>
      <c r="J326" s="318"/>
      <c r="K326" s="501"/>
      <c r="L326" s="506"/>
      <c r="M326" s="231"/>
      <c r="N326" s="235"/>
      <c r="O326" s="319"/>
      <c r="P326" s="492"/>
      <c r="Q326" s="646"/>
      <c r="R326" s="646"/>
      <c r="S326" s="646"/>
      <c r="T326" s="647"/>
      <c r="U326" s="647"/>
      <c r="V326" s="647"/>
      <c r="W326" s="647"/>
      <c r="X326" s="648"/>
      <c r="Y326" s="302"/>
      <c r="Z326" s="232"/>
    </row>
    <row r="327" spans="2:26" ht="29.25" customHeight="1" x14ac:dyDescent="0.35">
      <c r="B327" s="693" t="s">
        <v>608</v>
      </c>
      <c r="C327" s="776"/>
      <c r="D327" s="776"/>
      <c r="E327" s="777"/>
      <c r="F327" s="516"/>
      <c r="G327" s="613"/>
      <c r="H327" s="614"/>
      <c r="I327" s="615"/>
      <c r="J327" s="613"/>
      <c r="K327" s="616"/>
      <c r="L327" s="617"/>
      <c r="M327" s="527"/>
      <c r="N327" s="766"/>
      <c r="O327" s="614"/>
      <c r="P327" s="618"/>
      <c r="Q327" s="696">
        <f>Q291+Q303+Q320</f>
        <v>183493776.31772652</v>
      </c>
      <c r="R327" s="778"/>
      <c r="S327" s="696">
        <f>SUM(S318:S326)</f>
        <v>0</v>
      </c>
      <c r="T327" s="673"/>
      <c r="U327" s="673"/>
      <c r="V327" s="673"/>
      <c r="W327" s="673"/>
      <c r="X327" s="674"/>
      <c r="Y327" s="675">
        <f>Q327/$C$1</f>
        <v>955298.71052543994</v>
      </c>
      <c r="Z327" s="779">
        <f>Q327/$Q$401*100</f>
        <v>7.6649933951328864</v>
      </c>
    </row>
    <row r="328" spans="2:26" x14ac:dyDescent="0.35">
      <c r="B328" s="620" t="s">
        <v>575</v>
      </c>
      <c r="C328" s="320"/>
      <c r="D328" s="320"/>
      <c r="E328" s="608"/>
      <c r="F328" s="232"/>
      <c r="G328" s="318"/>
      <c r="H328" s="319"/>
      <c r="I328" s="320"/>
      <c r="J328" s="318"/>
      <c r="K328" s="501"/>
      <c r="L328" s="506"/>
      <c r="M328" s="231"/>
      <c r="N328" s="235"/>
      <c r="O328" s="319"/>
      <c r="P328" s="492"/>
      <c r="Q328" s="646"/>
      <c r="R328" s="646"/>
      <c r="S328" s="646"/>
      <c r="T328" s="647"/>
      <c r="U328" s="647"/>
      <c r="V328" s="647"/>
      <c r="W328" s="647"/>
      <c r="X328" s="648"/>
      <c r="Y328" s="302"/>
      <c r="Z328" s="232"/>
    </row>
    <row r="329" spans="2:26" x14ac:dyDescent="0.35">
      <c r="B329" s="319"/>
      <c r="C329" s="320" t="s">
        <v>576</v>
      </c>
      <c r="D329" s="320"/>
      <c r="E329" s="608"/>
      <c r="F329" s="232"/>
      <c r="G329" s="318"/>
      <c r="H329" s="319"/>
      <c r="I329" s="320"/>
      <c r="J329" s="318"/>
      <c r="K329" s="501"/>
      <c r="L329" s="506"/>
      <c r="M329" s="231"/>
      <c r="N329" s="235"/>
      <c r="O329" s="319"/>
      <c r="P329" s="492"/>
      <c r="Q329" s="646"/>
      <c r="R329" s="646"/>
      <c r="S329" s="646"/>
      <c r="T329" s="647"/>
      <c r="U329" s="647"/>
      <c r="V329" s="647"/>
      <c r="W329" s="647"/>
      <c r="X329" s="648"/>
      <c r="Y329" s="302"/>
      <c r="Z329" s="232"/>
    </row>
    <row r="330" spans="2:26" x14ac:dyDescent="0.35">
      <c r="B330" s="469"/>
      <c r="C330" s="470"/>
      <c r="D330" s="740" t="s">
        <v>382</v>
      </c>
      <c r="E330" s="471"/>
      <c r="F330" s="232" t="s">
        <v>187</v>
      </c>
      <c r="G330" s="318" t="s">
        <v>188</v>
      </c>
      <c r="H330" s="319"/>
      <c r="I330" s="320"/>
      <c r="J330" s="318" t="s">
        <v>189</v>
      </c>
      <c r="K330" s="420">
        <v>0</v>
      </c>
      <c r="L330" s="506">
        <v>192.08</v>
      </c>
      <c r="M330" s="744">
        <v>0.5</v>
      </c>
      <c r="N330" s="235">
        <v>1</v>
      </c>
      <c r="O330" s="507">
        <f t="shared" ref="O330:O358" si="58">K330*L330*M330*N330</f>
        <v>0</v>
      </c>
      <c r="P330" s="235">
        <v>158800.57379999998</v>
      </c>
      <c r="Q330" s="646">
        <f t="shared" ref="Q330:Q358" si="59">P330*$O330</f>
        <v>0</v>
      </c>
      <c r="R330" s="235">
        <v>163305.33120000002</v>
      </c>
      <c r="S330" s="646">
        <f t="shared" ref="S330:S358" si="60">R330*$O330</f>
        <v>0</v>
      </c>
      <c r="T330" s="235">
        <v>179635.86432000002</v>
      </c>
      <c r="U330" s="647">
        <f t="shared" ref="U330:U358" si="61">$O330*T330</f>
        <v>0</v>
      </c>
      <c r="V330" s="235" t="e">
        <f>W330/O330</f>
        <v>#DIV/0!</v>
      </c>
      <c r="W330" s="478">
        <f t="shared" ref="W330:W358" si="62">AVERAGEIF($P$3:$U$3,W$3,$P330:$U330)</f>
        <v>0</v>
      </c>
      <c r="X330" s="648"/>
      <c r="Y330" s="302">
        <f t="shared" ref="Y330:Y382" si="63">Q330/192.08</f>
        <v>0</v>
      </c>
      <c r="Z330" s="232"/>
    </row>
    <row r="331" spans="2:26" hidden="1" x14ac:dyDescent="0.35">
      <c r="B331" s="603"/>
      <c r="D331" s="94" t="s">
        <v>609</v>
      </c>
      <c r="E331" s="604"/>
      <c r="F331" s="232" t="s">
        <v>359</v>
      </c>
      <c r="G331" s="318" t="s">
        <v>188</v>
      </c>
      <c r="H331" s="319"/>
      <c r="I331" s="320"/>
      <c r="J331" s="318" t="s">
        <v>189</v>
      </c>
      <c r="K331" s="420">
        <v>0</v>
      </c>
      <c r="L331" s="506">
        <v>192.08</v>
      </c>
      <c r="M331" s="744">
        <v>0.18</v>
      </c>
      <c r="N331" s="235">
        <f>N330</f>
        <v>1</v>
      </c>
      <c r="O331" s="507">
        <f t="shared" si="58"/>
        <v>0</v>
      </c>
      <c r="P331" s="235">
        <v>158800.57379999998</v>
      </c>
      <c r="Q331" s="646">
        <f t="shared" si="59"/>
        <v>0</v>
      </c>
      <c r="R331" s="235">
        <v>163305.33120000002</v>
      </c>
      <c r="S331" s="646">
        <f t="shared" si="60"/>
        <v>0</v>
      </c>
      <c r="T331" s="235">
        <v>179635.86432000002</v>
      </c>
      <c r="U331" s="647">
        <f t="shared" si="61"/>
        <v>0</v>
      </c>
      <c r="V331" s="235" t="e">
        <f>W331/O331</f>
        <v>#DIV/0!</v>
      </c>
      <c r="W331" s="478">
        <f t="shared" si="62"/>
        <v>0</v>
      </c>
      <c r="X331" s="648"/>
      <c r="Y331" s="302">
        <f t="shared" si="63"/>
        <v>0</v>
      </c>
      <c r="Z331" s="232"/>
    </row>
    <row r="332" spans="2:26" hidden="1" x14ac:dyDescent="0.35">
      <c r="B332" s="603"/>
      <c r="E332" s="604"/>
      <c r="F332" s="232" t="s">
        <v>236</v>
      </c>
      <c r="G332" s="318" t="s">
        <v>188</v>
      </c>
      <c r="H332" s="319"/>
      <c r="I332" s="320"/>
      <c r="J332" s="318" t="s">
        <v>189</v>
      </c>
      <c r="K332" s="420">
        <v>0</v>
      </c>
      <c r="L332" s="506">
        <v>192.08</v>
      </c>
      <c r="M332" s="744">
        <f>M330</f>
        <v>0.5</v>
      </c>
      <c r="N332" s="235">
        <f t="shared" ref="N332:N338" si="64">N331</f>
        <v>1</v>
      </c>
      <c r="O332" s="507">
        <f t="shared" si="58"/>
        <v>0</v>
      </c>
      <c r="P332" s="235">
        <v>4196.6324999999997</v>
      </c>
      <c r="Q332" s="646">
        <f t="shared" si="59"/>
        <v>0</v>
      </c>
      <c r="R332" s="235">
        <v>4490.6400000000003</v>
      </c>
      <c r="S332" s="646">
        <f t="shared" si="60"/>
        <v>0</v>
      </c>
      <c r="T332" s="235">
        <v>4849.8912000000009</v>
      </c>
      <c r="U332" s="647">
        <f t="shared" si="61"/>
        <v>0</v>
      </c>
      <c r="V332" s="235" t="e">
        <f t="shared" ref="V332:V358" si="65">W332/O332</f>
        <v>#DIV/0!</v>
      </c>
      <c r="W332" s="478">
        <f t="shared" si="62"/>
        <v>0</v>
      </c>
      <c r="X332" s="648"/>
      <c r="Y332" s="302">
        <f t="shared" si="63"/>
        <v>0</v>
      </c>
      <c r="Z332" s="232"/>
    </row>
    <row r="333" spans="2:26" hidden="1" x14ac:dyDescent="0.35">
      <c r="B333" s="603"/>
      <c r="E333" s="604"/>
      <c r="F333" s="232" t="s">
        <v>360</v>
      </c>
      <c r="G333" s="318" t="s">
        <v>193</v>
      </c>
      <c r="H333" s="319">
        <v>1</v>
      </c>
      <c r="I333" s="320" t="s">
        <v>238</v>
      </c>
      <c r="J333" s="318" t="s">
        <v>189</v>
      </c>
      <c r="K333" s="420">
        <v>0</v>
      </c>
      <c r="L333" s="506">
        <v>192.08</v>
      </c>
      <c r="M333" s="744">
        <f>((M$330*N$330)/240)*($H333/N333)</f>
        <v>2.0833333333333333E-3</v>
      </c>
      <c r="N333" s="235">
        <f t="shared" si="64"/>
        <v>1</v>
      </c>
      <c r="O333" s="507">
        <f t="shared" si="58"/>
        <v>0</v>
      </c>
      <c r="P333" s="235">
        <v>5512.5</v>
      </c>
      <c r="Q333" s="646">
        <f t="shared" si="59"/>
        <v>0</v>
      </c>
      <c r="R333" s="235">
        <v>5832</v>
      </c>
      <c r="S333" s="646">
        <f t="shared" si="60"/>
        <v>0</v>
      </c>
      <c r="T333" s="235">
        <v>6298.56</v>
      </c>
      <c r="U333" s="647">
        <f t="shared" si="61"/>
        <v>0</v>
      </c>
      <c r="V333" s="235" t="e">
        <f t="shared" si="65"/>
        <v>#DIV/0!</v>
      </c>
      <c r="W333" s="478">
        <f t="shared" si="62"/>
        <v>0</v>
      </c>
      <c r="X333" s="648"/>
      <c r="Y333" s="302">
        <f t="shared" si="63"/>
        <v>0</v>
      </c>
      <c r="Z333" s="329"/>
    </row>
    <row r="334" spans="2:26" hidden="1" x14ac:dyDescent="0.35">
      <c r="B334" s="603"/>
      <c r="E334" s="604"/>
      <c r="F334" s="232" t="s">
        <v>237</v>
      </c>
      <c r="G334" s="318" t="s">
        <v>193</v>
      </c>
      <c r="H334" s="319">
        <v>4</v>
      </c>
      <c r="I334" s="320" t="s">
        <v>238</v>
      </c>
      <c r="J334" s="318" t="s">
        <v>189</v>
      </c>
      <c r="K334" s="420">
        <v>0</v>
      </c>
      <c r="L334" s="506">
        <v>192.08</v>
      </c>
      <c r="M334" s="744">
        <f>((M$330*N$330)/240)*($H334/N334)</f>
        <v>8.3333333333333332E-3</v>
      </c>
      <c r="N334" s="235">
        <f t="shared" si="64"/>
        <v>1</v>
      </c>
      <c r="O334" s="507">
        <f t="shared" si="58"/>
        <v>0</v>
      </c>
      <c r="P334" s="235">
        <v>47231.1</v>
      </c>
      <c r="Q334" s="646">
        <f t="shared" si="59"/>
        <v>0</v>
      </c>
      <c r="R334" s="235">
        <v>49968.576000000008</v>
      </c>
      <c r="S334" s="646">
        <f t="shared" si="60"/>
        <v>0</v>
      </c>
      <c r="T334" s="235">
        <v>53966.062080000011</v>
      </c>
      <c r="U334" s="647">
        <f t="shared" si="61"/>
        <v>0</v>
      </c>
      <c r="V334" s="235" t="e">
        <f t="shared" si="65"/>
        <v>#DIV/0!</v>
      </c>
      <c r="W334" s="478">
        <f t="shared" si="62"/>
        <v>0</v>
      </c>
      <c r="X334" s="648"/>
      <c r="Y334" s="302">
        <f t="shared" si="63"/>
        <v>0</v>
      </c>
      <c r="Z334" s="232"/>
    </row>
    <row r="335" spans="2:26" hidden="1" x14ac:dyDescent="0.35">
      <c r="B335" s="603"/>
      <c r="E335" s="604"/>
      <c r="F335" s="232" t="s">
        <v>239</v>
      </c>
      <c r="G335" s="318" t="s">
        <v>193</v>
      </c>
      <c r="H335" s="319">
        <v>12</v>
      </c>
      <c r="I335" s="320" t="s">
        <v>238</v>
      </c>
      <c r="J335" s="318" t="s">
        <v>189</v>
      </c>
      <c r="K335" s="420">
        <v>0</v>
      </c>
      <c r="L335" s="506">
        <v>192.08</v>
      </c>
      <c r="M335" s="744">
        <f>((M$330*N$330)/240)*($H335/N335)</f>
        <v>2.5000000000000001E-2</v>
      </c>
      <c r="N335" s="235">
        <f t="shared" si="64"/>
        <v>1</v>
      </c>
      <c r="O335" s="507">
        <f t="shared" si="58"/>
        <v>0</v>
      </c>
      <c r="P335" s="235">
        <v>15435</v>
      </c>
      <c r="Q335" s="646">
        <f t="shared" si="59"/>
        <v>0</v>
      </c>
      <c r="R335" s="235">
        <v>16329.600000000002</v>
      </c>
      <c r="S335" s="646">
        <f t="shared" si="60"/>
        <v>0</v>
      </c>
      <c r="T335" s="235">
        <v>17635.968000000004</v>
      </c>
      <c r="U335" s="647">
        <f t="shared" si="61"/>
        <v>0</v>
      </c>
      <c r="V335" s="235" t="e">
        <f t="shared" si="65"/>
        <v>#DIV/0!</v>
      </c>
      <c r="W335" s="478">
        <f t="shared" si="62"/>
        <v>0</v>
      </c>
      <c r="X335" s="648"/>
      <c r="Y335" s="302">
        <f t="shared" si="63"/>
        <v>0</v>
      </c>
      <c r="Z335" s="232"/>
    </row>
    <row r="336" spans="2:26" hidden="1" x14ac:dyDescent="0.35">
      <c r="B336" s="603"/>
      <c r="E336" s="604"/>
      <c r="F336" s="232" t="s">
        <v>241</v>
      </c>
      <c r="G336" s="318" t="s">
        <v>193</v>
      </c>
      <c r="H336" s="319">
        <v>2</v>
      </c>
      <c r="I336" s="320" t="s">
        <v>238</v>
      </c>
      <c r="J336" s="318" t="s">
        <v>189</v>
      </c>
      <c r="K336" s="420">
        <v>0</v>
      </c>
      <c r="L336" s="506">
        <v>192.08</v>
      </c>
      <c r="M336" s="744">
        <f>((M$330*N$330)/240)*($H336/N336)</f>
        <v>4.1666666666666666E-3</v>
      </c>
      <c r="N336" s="235">
        <f t="shared" si="64"/>
        <v>1</v>
      </c>
      <c r="O336" s="507">
        <f t="shared" si="58"/>
        <v>0</v>
      </c>
      <c r="P336" s="235">
        <v>35423.325000000004</v>
      </c>
      <c r="Q336" s="646">
        <f t="shared" si="59"/>
        <v>0</v>
      </c>
      <c r="R336" s="235">
        <v>37476.432000000001</v>
      </c>
      <c r="S336" s="646">
        <f t="shared" si="60"/>
        <v>0</v>
      </c>
      <c r="T336" s="235">
        <v>40474.546560000003</v>
      </c>
      <c r="U336" s="647">
        <f t="shared" si="61"/>
        <v>0</v>
      </c>
      <c r="V336" s="235" t="e">
        <f t="shared" si="65"/>
        <v>#DIV/0!</v>
      </c>
      <c r="W336" s="478">
        <f t="shared" si="62"/>
        <v>0</v>
      </c>
      <c r="X336" s="648"/>
      <c r="Y336" s="302">
        <f t="shared" si="63"/>
        <v>0</v>
      </c>
      <c r="Z336" s="232"/>
    </row>
    <row r="337" spans="2:26" hidden="1" x14ac:dyDescent="0.35">
      <c r="B337" s="603"/>
      <c r="E337" s="604"/>
      <c r="F337" s="232" t="s">
        <v>242</v>
      </c>
      <c r="G337" s="318" t="s">
        <v>193</v>
      </c>
      <c r="H337" s="319">
        <v>1</v>
      </c>
      <c r="I337" s="320" t="s">
        <v>238</v>
      </c>
      <c r="J337" s="318" t="s">
        <v>189</v>
      </c>
      <c r="K337" s="420">
        <v>0</v>
      </c>
      <c r="L337" s="506">
        <v>192.08</v>
      </c>
      <c r="M337" s="744">
        <f>((M$330*N$330)/240)*($H337/N337)</f>
        <v>2.0833333333333333E-3</v>
      </c>
      <c r="N337" s="235">
        <f t="shared" si="64"/>
        <v>1</v>
      </c>
      <c r="O337" s="507">
        <f t="shared" si="58"/>
        <v>0</v>
      </c>
      <c r="P337" s="235">
        <v>94462.2</v>
      </c>
      <c r="Q337" s="646">
        <f t="shared" si="59"/>
        <v>0</v>
      </c>
      <c r="R337" s="235">
        <v>99937.152000000016</v>
      </c>
      <c r="S337" s="646">
        <f t="shared" si="60"/>
        <v>0</v>
      </c>
      <c r="T337" s="235">
        <v>107932.12416000002</v>
      </c>
      <c r="U337" s="647">
        <f t="shared" si="61"/>
        <v>0</v>
      </c>
      <c r="V337" s="235" t="e">
        <f t="shared" si="65"/>
        <v>#DIV/0!</v>
      </c>
      <c r="W337" s="478">
        <f t="shared" si="62"/>
        <v>0</v>
      </c>
      <c r="X337" s="648"/>
      <c r="Y337" s="302">
        <f t="shared" si="63"/>
        <v>0</v>
      </c>
      <c r="Z337" s="232"/>
    </row>
    <row r="338" spans="2:26" hidden="1" x14ac:dyDescent="0.35">
      <c r="B338" s="603"/>
      <c r="E338" s="604"/>
      <c r="F338" s="740" t="s">
        <v>382</v>
      </c>
      <c r="G338" s="318" t="s">
        <v>191</v>
      </c>
      <c r="H338" s="319"/>
      <c r="I338" s="320"/>
      <c r="J338" s="318" t="s">
        <v>325</v>
      </c>
      <c r="K338" s="420">
        <v>0</v>
      </c>
      <c r="L338" s="506">
        <v>192.08</v>
      </c>
      <c r="M338" s="744">
        <f>(500*136)/1000</f>
        <v>68</v>
      </c>
      <c r="N338" s="235">
        <f t="shared" si="64"/>
        <v>1</v>
      </c>
      <c r="O338" s="507">
        <f t="shared" si="58"/>
        <v>0</v>
      </c>
      <c r="P338" s="235">
        <v>5292</v>
      </c>
      <c r="Q338" s="646">
        <f t="shared" si="59"/>
        <v>0</v>
      </c>
      <c r="R338" s="235">
        <v>6478.9450000000015</v>
      </c>
      <c r="S338" s="646">
        <f t="shared" si="60"/>
        <v>0</v>
      </c>
      <c r="T338" s="235">
        <v>7126.8395000000019</v>
      </c>
      <c r="U338" s="647">
        <f t="shared" si="61"/>
        <v>0</v>
      </c>
      <c r="V338" s="235" t="e">
        <f t="shared" si="65"/>
        <v>#DIV/0!</v>
      </c>
      <c r="W338" s="478">
        <f t="shared" si="62"/>
        <v>0</v>
      </c>
      <c r="X338" s="648"/>
      <c r="Y338" s="302">
        <f t="shared" si="63"/>
        <v>0</v>
      </c>
      <c r="Z338" s="232"/>
    </row>
    <row r="339" spans="2:26" x14ac:dyDescent="0.35">
      <c r="B339" s="630" t="s">
        <v>610</v>
      </c>
      <c r="C339" s="770"/>
      <c r="D339" s="770"/>
      <c r="E339" s="771"/>
      <c r="F339" s="633"/>
      <c r="G339" s="634"/>
      <c r="H339" s="635"/>
      <c r="I339" s="636"/>
      <c r="J339" s="634"/>
      <c r="K339" s="637"/>
      <c r="L339" s="638"/>
      <c r="M339" s="772"/>
      <c r="N339" s="773"/>
      <c r="O339" s="635"/>
      <c r="P339" s="640"/>
      <c r="Q339" s="651">
        <f>SUM(Q330:Q338)</f>
        <v>0</v>
      </c>
      <c r="R339" s="774"/>
      <c r="S339" s="651">
        <f>SUM(S328:S338)</f>
        <v>0</v>
      </c>
      <c r="T339" s="650"/>
      <c r="U339" s="650"/>
      <c r="V339" s="650"/>
      <c r="W339" s="650"/>
      <c r="X339" s="652"/>
      <c r="Y339" s="682">
        <f t="shared" si="63"/>
        <v>0</v>
      </c>
      <c r="Z339" s="642">
        <f>Q339/4365858560.88*100</f>
        <v>0</v>
      </c>
    </row>
    <row r="340" spans="2:26" x14ac:dyDescent="0.35">
      <c r="B340" s="469"/>
      <c r="C340" s="470"/>
      <c r="D340" s="740" t="s">
        <v>584</v>
      </c>
      <c r="E340" s="741"/>
      <c r="F340" s="232" t="s">
        <v>187</v>
      </c>
      <c r="G340" s="318" t="s">
        <v>188</v>
      </c>
      <c r="H340" s="319"/>
      <c r="I340" s="320"/>
      <c r="J340" s="318" t="s">
        <v>189</v>
      </c>
      <c r="K340" s="420">
        <v>1</v>
      </c>
      <c r="L340" s="506">
        <v>192.08</v>
      </c>
      <c r="M340" s="747">
        <v>0.5</v>
      </c>
      <c r="N340" s="235">
        <v>3</v>
      </c>
      <c r="O340" s="507">
        <f t="shared" si="58"/>
        <v>288.12</v>
      </c>
      <c r="P340" s="235">
        <v>169122.61109699999</v>
      </c>
      <c r="Q340" s="646">
        <f t="shared" si="59"/>
        <v>48727606.709267639</v>
      </c>
      <c r="R340" s="235">
        <v>163305.33120000002</v>
      </c>
      <c r="S340" s="646">
        <f t="shared" si="60"/>
        <v>47051532.025344007</v>
      </c>
      <c r="T340" s="235">
        <v>179635.86432000002</v>
      </c>
      <c r="U340" s="647">
        <f t="shared" si="61"/>
        <v>51756685.227878407</v>
      </c>
      <c r="V340" s="235">
        <f t="shared" si="65"/>
        <v>170687.935539</v>
      </c>
      <c r="W340" s="478">
        <f t="shared" si="62"/>
        <v>49178607.987496682</v>
      </c>
      <c r="X340" s="648"/>
      <c r="Y340" s="302">
        <f>Q340/$C$1</f>
        <v>253683.91664549996</v>
      </c>
      <c r="Z340" s="232"/>
    </row>
    <row r="341" spans="2:26" x14ac:dyDescent="0.35">
      <c r="B341" s="603"/>
      <c r="D341" s="94" t="s">
        <v>611</v>
      </c>
      <c r="E341" s="604"/>
      <c r="F341" s="232" t="s">
        <v>359</v>
      </c>
      <c r="G341" s="318" t="s">
        <v>188</v>
      </c>
      <c r="H341" s="319"/>
      <c r="I341" s="320"/>
      <c r="J341" s="318" t="s">
        <v>189</v>
      </c>
      <c r="K341" s="420">
        <v>1</v>
      </c>
      <c r="L341" s="506">
        <v>192.08</v>
      </c>
      <c r="M341" s="743">
        <v>0.18</v>
      </c>
      <c r="N341" s="235">
        <f>N340</f>
        <v>3</v>
      </c>
      <c r="O341" s="507">
        <f t="shared" si="58"/>
        <v>103.72320000000002</v>
      </c>
      <c r="P341" s="235">
        <v>169122.61109699999</v>
      </c>
      <c r="Q341" s="646">
        <f t="shared" si="59"/>
        <v>17541938.415336352</v>
      </c>
      <c r="R341" s="235">
        <v>163305.33120000002</v>
      </c>
      <c r="S341" s="646">
        <f t="shared" si="60"/>
        <v>16938551.529123846</v>
      </c>
      <c r="T341" s="235">
        <v>179635.86432000002</v>
      </c>
      <c r="U341" s="647">
        <f t="shared" si="61"/>
        <v>18632406.682036228</v>
      </c>
      <c r="V341" s="235">
        <f t="shared" si="65"/>
        <v>170687.935539</v>
      </c>
      <c r="W341" s="478">
        <f t="shared" si="62"/>
        <v>17704298.875498809</v>
      </c>
      <c r="X341" s="648"/>
      <c r="Y341" s="302">
        <f t="shared" ref="Y341:Y348" si="66">Q341/$C$1</f>
        <v>91326.209992379998</v>
      </c>
      <c r="Z341" s="232"/>
    </row>
    <row r="342" spans="2:26" x14ac:dyDescent="0.35">
      <c r="B342" s="603"/>
      <c r="D342" s="94" t="s">
        <v>612</v>
      </c>
      <c r="E342" s="604"/>
      <c r="F342" s="232" t="s">
        <v>236</v>
      </c>
      <c r="G342" s="318" t="s">
        <v>188</v>
      </c>
      <c r="H342" s="319"/>
      <c r="I342" s="320"/>
      <c r="J342" s="318" t="s">
        <v>189</v>
      </c>
      <c r="K342" s="420">
        <v>1</v>
      </c>
      <c r="L342" s="506">
        <v>192.08</v>
      </c>
      <c r="M342" s="747">
        <f>M340</f>
        <v>0.5</v>
      </c>
      <c r="N342" s="235">
        <f t="shared" ref="N342:N347" si="67">N341</f>
        <v>3</v>
      </c>
      <c r="O342" s="507">
        <f t="shared" si="58"/>
        <v>288.12</v>
      </c>
      <c r="P342" s="235">
        <v>4469.4136124999995</v>
      </c>
      <c r="Q342" s="646">
        <f t="shared" si="59"/>
        <v>1287727.4500334999</v>
      </c>
      <c r="R342" s="235">
        <v>4490.6400000000003</v>
      </c>
      <c r="S342" s="646">
        <f t="shared" si="60"/>
        <v>1293843.1968</v>
      </c>
      <c r="T342" s="235">
        <v>4849.8912000000009</v>
      </c>
      <c r="U342" s="647">
        <f t="shared" si="61"/>
        <v>1397350.6525440002</v>
      </c>
      <c r="V342" s="235">
        <f t="shared" si="65"/>
        <v>4603.3149375000003</v>
      </c>
      <c r="W342" s="478">
        <f t="shared" si="62"/>
        <v>1326307.0997925</v>
      </c>
      <c r="X342" s="648"/>
      <c r="Y342" s="302">
        <f t="shared" si="66"/>
        <v>6704.1204187499989</v>
      </c>
      <c r="Z342" s="232"/>
    </row>
    <row r="343" spans="2:26" x14ac:dyDescent="0.35">
      <c r="B343" s="603"/>
      <c r="D343" s="94" t="s">
        <v>613</v>
      </c>
      <c r="E343" s="604"/>
      <c r="F343" s="232" t="s">
        <v>360</v>
      </c>
      <c r="G343" s="318" t="s">
        <v>193</v>
      </c>
      <c r="H343" s="319">
        <v>1</v>
      </c>
      <c r="I343" s="320" t="s">
        <v>238</v>
      </c>
      <c r="J343" s="318" t="s">
        <v>189</v>
      </c>
      <c r="K343" s="420">
        <v>1</v>
      </c>
      <c r="L343" s="506">
        <v>192.08</v>
      </c>
      <c r="M343" s="744">
        <f>((M$340*N$340)/240)*($H343/N343)</f>
        <v>2.0833333333333333E-3</v>
      </c>
      <c r="N343" s="235">
        <f t="shared" si="67"/>
        <v>3</v>
      </c>
      <c r="O343" s="507">
        <f t="shared" si="58"/>
        <v>1.2004999999999999</v>
      </c>
      <c r="P343" s="235">
        <v>5788.125</v>
      </c>
      <c r="Q343" s="646">
        <f t="shared" si="59"/>
        <v>6948.6440624999996</v>
      </c>
      <c r="R343" s="235">
        <v>5832</v>
      </c>
      <c r="S343" s="646">
        <f t="shared" si="60"/>
        <v>7001.3159999999998</v>
      </c>
      <c r="T343" s="235">
        <v>6298.56</v>
      </c>
      <c r="U343" s="647">
        <f t="shared" si="61"/>
        <v>7561.4212799999996</v>
      </c>
      <c r="V343" s="235">
        <f t="shared" si="65"/>
        <v>5972.8949999999995</v>
      </c>
      <c r="W343" s="478">
        <f t="shared" si="62"/>
        <v>7170.4604474999987</v>
      </c>
      <c r="X343" s="648"/>
      <c r="Y343" s="302">
        <f t="shared" si="66"/>
        <v>36.175781249999993</v>
      </c>
      <c r="Z343" s="232"/>
    </row>
    <row r="344" spans="2:26" x14ac:dyDescent="0.35">
      <c r="B344" s="603"/>
      <c r="E344" s="604"/>
      <c r="F344" s="232" t="s">
        <v>237</v>
      </c>
      <c r="G344" s="318" t="s">
        <v>193</v>
      </c>
      <c r="H344" s="319">
        <v>4</v>
      </c>
      <c r="I344" s="320" t="s">
        <v>238</v>
      </c>
      <c r="J344" s="318" t="s">
        <v>189</v>
      </c>
      <c r="K344" s="420">
        <v>1</v>
      </c>
      <c r="L344" s="506">
        <v>192.08</v>
      </c>
      <c r="M344" s="744">
        <f>((M$340*N$340)/240)*($H344/N344)</f>
        <v>8.3333333333333332E-3</v>
      </c>
      <c r="N344" s="235">
        <f t="shared" si="67"/>
        <v>3</v>
      </c>
      <c r="O344" s="507">
        <f t="shared" si="58"/>
        <v>4.8019999999999996</v>
      </c>
      <c r="P344" s="235">
        <v>49592.654999999999</v>
      </c>
      <c r="Q344" s="646">
        <f t="shared" si="59"/>
        <v>238143.92930999998</v>
      </c>
      <c r="R344" s="235">
        <v>49968.576000000008</v>
      </c>
      <c r="S344" s="646">
        <f t="shared" si="60"/>
        <v>239949.10195200003</v>
      </c>
      <c r="T344" s="235">
        <v>53966.062080000011</v>
      </c>
      <c r="U344" s="647">
        <f t="shared" si="61"/>
        <v>259145.03010816002</v>
      </c>
      <c r="V344" s="235">
        <f t="shared" si="65"/>
        <v>51175.764360000001</v>
      </c>
      <c r="W344" s="478">
        <f t="shared" si="62"/>
        <v>245746.02045672</v>
      </c>
      <c r="X344" s="648"/>
      <c r="Y344" s="302">
        <f t="shared" si="66"/>
        <v>1239.8163749999999</v>
      </c>
      <c r="Z344" s="232"/>
    </row>
    <row r="345" spans="2:26" x14ac:dyDescent="0.35">
      <c r="B345" s="603"/>
      <c r="E345" s="604"/>
      <c r="F345" s="232" t="s">
        <v>239</v>
      </c>
      <c r="G345" s="318" t="s">
        <v>193</v>
      </c>
      <c r="H345" s="319">
        <v>12</v>
      </c>
      <c r="I345" s="320" t="s">
        <v>238</v>
      </c>
      <c r="J345" s="318" t="s">
        <v>189</v>
      </c>
      <c r="K345" s="420">
        <v>1</v>
      </c>
      <c r="L345" s="506">
        <v>192.08</v>
      </c>
      <c r="M345" s="744">
        <f>((M$340*N$340)/240)*($H345/N345)</f>
        <v>2.5000000000000001E-2</v>
      </c>
      <c r="N345" s="235">
        <f t="shared" si="67"/>
        <v>3</v>
      </c>
      <c r="O345" s="507">
        <f t="shared" si="58"/>
        <v>14.406000000000002</v>
      </c>
      <c r="P345" s="235">
        <v>16206.75</v>
      </c>
      <c r="Q345" s="646">
        <f t="shared" si="59"/>
        <v>233474.44050000003</v>
      </c>
      <c r="R345" s="235">
        <v>16329.600000000002</v>
      </c>
      <c r="S345" s="646">
        <f t="shared" si="60"/>
        <v>235244.21760000006</v>
      </c>
      <c r="T345" s="235">
        <v>17635.968000000004</v>
      </c>
      <c r="U345" s="647">
        <f t="shared" si="61"/>
        <v>254063.75500800009</v>
      </c>
      <c r="V345" s="235">
        <f t="shared" si="65"/>
        <v>16724.106</v>
      </c>
      <c r="W345" s="478">
        <f t="shared" si="62"/>
        <v>240927.47103600006</v>
      </c>
      <c r="X345" s="648"/>
      <c r="Y345" s="302">
        <f t="shared" si="66"/>
        <v>1215.5062500000001</v>
      </c>
      <c r="Z345" s="232"/>
    </row>
    <row r="346" spans="2:26" x14ac:dyDescent="0.35">
      <c r="B346" s="603"/>
      <c r="E346" s="604"/>
      <c r="F346" s="232" t="s">
        <v>241</v>
      </c>
      <c r="G346" s="318" t="s">
        <v>193</v>
      </c>
      <c r="H346" s="319">
        <v>2</v>
      </c>
      <c r="I346" s="320" t="s">
        <v>238</v>
      </c>
      <c r="J346" s="318" t="s">
        <v>189</v>
      </c>
      <c r="K346" s="420">
        <v>1</v>
      </c>
      <c r="L346" s="506">
        <v>192.08</v>
      </c>
      <c r="M346" s="744">
        <f>((M$340*N$340)/240)*($H346/N346)</f>
        <v>4.1666666666666666E-3</v>
      </c>
      <c r="N346" s="235">
        <f t="shared" si="67"/>
        <v>3</v>
      </c>
      <c r="O346" s="507">
        <f t="shared" si="58"/>
        <v>2.4009999999999998</v>
      </c>
      <c r="P346" s="235">
        <v>37194.491250000006</v>
      </c>
      <c r="Q346" s="646">
        <f t="shared" si="59"/>
        <v>89303.973491250013</v>
      </c>
      <c r="R346" s="235">
        <v>37476.432000000001</v>
      </c>
      <c r="S346" s="646">
        <f t="shared" si="60"/>
        <v>89980.913231999992</v>
      </c>
      <c r="T346" s="235">
        <v>40474.546560000003</v>
      </c>
      <c r="U346" s="647">
        <f t="shared" si="61"/>
        <v>97179.386290559996</v>
      </c>
      <c r="V346" s="235">
        <f t="shared" si="65"/>
        <v>38381.823270000001</v>
      </c>
      <c r="W346" s="478">
        <f t="shared" si="62"/>
        <v>92154.757671269996</v>
      </c>
      <c r="X346" s="648"/>
      <c r="Y346" s="302">
        <f t="shared" si="66"/>
        <v>464.93114062500001</v>
      </c>
      <c r="Z346" s="232"/>
    </row>
    <row r="347" spans="2:26" x14ac:dyDescent="0.35">
      <c r="B347" s="603"/>
      <c r="E347" s="604"/>
      <c r="F347" s="232" t="s">
        <v>242</v>
      </c>
      <c r="G347" s="318" t="s">
        <v>193</v>
      </c>
      <c r="H347" s="319">
        <v>1</v>
      </c>
      <c r="I347" s="320" t="s">
        <v>238</v>
      </c>
      <c r="J347" s="318" t="s">
        <v>189</v>
      </c>
      <c r="K347" s="420">
        <v>1</v>
      </c>
      <c r="L347" s="506">
        <v>192.08</v>
      </c>
      <c r="M347" s="744">
        <f>((M$340*N$340)/240)*($H347/N347)</f>
        <v>2.0833333333333333E-3</v>
      </c>
      <c r="N347" s="235">
        <f t="shared" si="67"/>
        <v>3</v>
      </c>
      <c r="O347" s="507">
        <f t="shared" si="58"/>
        <v>1.2004999999999999</v>
      </c>
      <c r="P347" s="235">
        <v>99185.31</v>
      </c>
      <c r="Q347" s="646">
        <f t="shared" si="59"/>
        <v>119071.96465499999</v>
      </c>
      <c r="R347" s="235">
        <v>99937.152000000016</v>
      </c>
      <c r="S347" s="646">
        <f t="shared" si="60"/>
        <v>119974.55097600001</v>
      </c>
      <c r="T347" s="235">
        <v>107932.12416000002</v>
      </c>
      <c r="U347" s="647">
        <f t="shared" si="61"/>
        <v>129572.51505408001</v>
      </c>
      <c r="V347" s="235">
        <f t="shared" si="65"/>
        <v>102351.52872</v>
      </c>
      <c r="W347" s="478">
        <f t="shared" si="62"/>
        <v>122873.01022836</v>
      </c>
      <c r="X347" s="648"/>
      <c r="Y347" s="302">
        <f t="shared" si="66"/>
        <v>619.90818749999994</v>
      </c>
      <c r="Z347" s="232"/>
    </row>
    <row r="348" spans="2:26" x14ac:dyDescent="0.35">
      <c r="B348" s="603"/>
      <c r="E348" s="604"/>
      <c r="F348" s="95" t="s">
        <v>385</v>
      </c>
      <c r="G348" s="318" t="s">
        <v>191</v>
      </c>
      <c r="H348" s="319"/>
      <c r="I348" s="320"/>
      <c r="J348" s="318" t="s">
        <v>325</v>
      </c>
      <c r="K348" s="420">
        <v>1</v>
      </c>
      <c r="L348" s="506">
        <v>192.08</v>
      </c>
      <c r="M348" s="748">
        <f>(375*136)/1000</f>
        <v>51</v>
      </c>
      <c r="N348" s="235">
        <v>3</v>
      </c>
      <c r="O348" s="507">
        <f t="shared" si="58"/>
        <v>29388.239999999998</v>
      </c>
      <c r="P348" s="235">
        <v>1007.1337500000001</v>
      </c>
      <c r="Q348" s="646">
        <f t="shared" si="59"/>
        <v>29597888.357099999</v>
      </c>
      <c r="R348" s="235">
        <v>1052.7000000000003</v>
      </c>
      <c r="S348" s="646">
        <f t="shared" si="60"/>
        <v>30937000.248000007</v>
      </c>
      <c r="T348" s="235">
        <v>1157.9700000000005</v>
      </c>
      <c r="U348" s="647">
        <f t="shared" si="61"/>
        <v>34030700.272800013</v>
      </c>
      <c r="V348" s="235">
        <f t="shared" si="65"/>
        <v>1072.6012500000004</v>
      </c>
      <c r="W348" s="478">
        <f t="shared" si="62"/>
        <v>31521862.959300008</v>
      </c>
      <c r="X348" s="648"/>
      <c r="Y348" s="302">
        <f t="shared" si="66"/>
        <v>154091.46375</v>
      </c>
      <c r="Z348" s="232"/>
    </row>
    <row r="349" spans="2:26" x14ac:dyDescent="0.35">
      <c r="B349" s="630" t="s">
        <v>614</v>
      </c>
      <c r="C349" s="770"/>
      <c r="D349" s="770"/>
      <c r="E349" s="771"/>
      <c r="F349" s="633"/>
      <c r="G349" s="634"/>
      <c r="H349" s="635"/>
      <c r="I349" s="636"/>
      <c r="J349" s="634"/>
      <c r="K349" s="637"/>
      <c r="L349" s="638"/>
      <c r="M349" s="772"/>
      <c r="N349" s="773"/>
      <c r="O349" s="635"/>
      <c r="P349" s="640"/>
      <c r="Q349" s="651">
        <f>SUM(Q340:Q348)</f>
        <v>97842103.883756235</v>
      </c>
      <c r="R349" s="774"/>
      <c r="S349" s="651">
        <f>SUM(S338:S348)</f>
        <v>96913077.099027872</v>
      </c>
      <c r="T349" s="650"/>
      <c r="U349" s="650"/>
      <c r="V349" s="650"/>
      <c r="W349" s="650"/>
      <c r="X349" s="652"/>
      <c r="Y349" s="682">
        <f>Q349/$C$1</f>
        <v>509382.04854100494</v>
      </c>
      <c r="Z349" s="775">
        <f>Q349/$Q$401*100</f>
        <v>4.0871090839414324</v>
      </c>
    </row>
    <row r="350" spans="2:26" x14ac:dyDescent="0.35">
      <c r="B350" s="469"/>
      <c r="C350" s="470"/>
      <c r="D350" s="740" t="s">
        <v>615</v>
      </c>
      <c r="E350" s="741"/>
      <c r="F350" s="232" t="s">
        <v>187</v>
      </c>
      <c r="G350" s="318" t="s">
        <v>188</v>
      </c>
      <c r="H350" s="319"/>
      <c r="I350" s="320"/>
      <c r="J350" s="318" t="s">
        <v>189</v>
      </c>
      <c r="K350" s="420">
        <v>1</v>
      </c>
      <c r="L350" s="506">
        <v>192.08</v>
      </c>
      <c r="M350" s="747">
        <v>0.5</v>
      </c>
      <c r="N350" s="235">
        <v>3</v>
      </c>
      <c r="O350" s="507">
        <f t="shared" si="58"/>
        <v>288.12</v>
      </c>
      <c r="P350" s="235">
        <v>169122.61109699999</v>
      </c>
      <c r="Q350" s="646">
        <f t="shared" si="59"/>
        <v>48727606.709267639</v>
      </c>
      <c r="R350" s="235">
        <v>163305.33120000002</v>
      </c>
      <c r="S350" s="646">
        <f t="shared" si="60"/>
        <v>47051532.025344007</v>
      </c>
      <c r="T350" s="235">
        <v>179635.86432000002</v>
      </c>
      <c r="U350" s="647">
        <f t="shared" si="61"/>
        <v>51756685.227878407</v>
      </c>
      <c r="V350" s="235">
        <f t="shared" si="65"/>
        <v>170687.935539</v>
      </c>
      <c r="W350" s="478">
        <f t="shared" si="62"/>
        <v>49178607.987496682</v>
      </c>
      <c r="X350" s="648"/>
      <c r="Y350" s="302">
        <f t="shared" ref="Y350:Y358" si="68">Q350/$C$1</f>
        <v>253683.91664549996</v>
      </c>
      <c r="Z350" s="232"/>
    </row>
    <row r="351" spans="2:26" x14ac:dyDescent="0.35">
      <c r="B351" s="603"/>
      <c r="D351" s="94" t="s">
        <v>616</v>
      </c>
      <c r="E351" s="604"/>
      <c r="F351" s="232" t="s">
        <v>359</v>
      </c>
      <c r="G351" s="318" t="s">
        <v>188</v>
      </c>
      <c r="H351" s="319"/>
      <c r="I351" s="320"/>
      <c r="J351" s="318" t="s">
        <v>189</v>
      </c>
      <c r="K351" s="420">
        <v>1</v>
      </c>
      <c r="L351" s="506">
        <v>192.08</v>
      </c>
      <c r="M351" s="743">
        <v>0.18</v>
      </c>
      <c r="N351" s="235">
        <f>N350</f>
        <v>3</v>
      </c>
      <c r="O351" s="507">
        <f t="shared" si="58"/>
        <v>103.72320000000002</v>
      </c>
      <c r="P351" s="235">
        <v>169122.61109699999</v>
      </c>
      <c r="Q351" s="646">
        <f t="shared" si="59"/>
        <v>17541938.415336352</v>
      </c>
      <c r="R351" s="235">
        <v>163305.33120000002</v>
      </c>
      <c r="S351" s="646">
        <f t="shared" si="60"/>
        <v>16938551.529123846</v>
      </c>
      <c r="T351" s="235">
        <v>179635.86432000002</v>
      </c>
      <c r="U351" s="647">
        <f t="shared" si="61"/>
        <v>18632406.682036228</v>
      </c>
      <c r="V351" s="235">
        <f t="shared" si="65"/>
        <v>170687.935539</v>
      </c>
      <c r="W351" s="478">
        <f t="shared" si="62"/>
        <v>17704298.875498809</v>
      </c>
      <c r="X351" s="648"/>
      <c r="Y351" s="302">
        <f t="shared" si="68"/>
        <v>91326.209992379998</v>
      </c>
      <c r="Z351" s="232"/>
    </row>
    <row r="352" spans="2:26" x14ac:dyDescent="0.35">
      <c r="B352" s="603"/>
      <c r="D352" s="94" t="s">
        <v>617</v>
      </c>
      <c r="E352" s="604"/>
      <c r="F352" s="232" t="s">
        <v>236</v>
      </c>
      <c r="G352" s="318" t="s">
        <v>188</v>
      </c>
      <c r="H352" s="319"/>
      <c r="I352" s="320"/>
      <c r="J352" s="318" t="s">
        <v>189</v>
      </c>
      <c r="K352" s="420">
        <v>1</v>
      </c>
      <c r="L352" s="506">
        <v>192.08</v>
      </c>
      <c r="M352" s="747">
        <f>M350</f>
        <v>0.5</v>
      </c>
      <c r="N352" s="235">
        <f t="shared" ref="N352:N357" si="69">N351</f>
        <v>3</v>
      </c>
      <c r="O352" s="507">
        <f t="shared" si="58"/>
        <v>288.12</v>
      </c>
      <c r="P352" s="235">
        <v>4469.4136124999995</v>
      </c>
      <c r="Q352" s="646">
        <f t="shared" si="59"/>
        <v>1287727.4500334999</v>
      </c>
      <c r="R352" s="235">
        <v>4490.6400000000003</v>
      </c>
      <c r="S352" s="646">
        <f t="shared" si="60"/>
        <v>1293843.1968</v>
      </c>
      <c r="T352" s="235">
        <v>4849.8912000000009</v>
      </c>
      <c r="U352" s="647">
        <f t="shared" si="61"/>
        <v>1397350.6525440002</v>
      </c>
      <c r="V352" s="235">
        <f t="shared" si="65"/>
        <v>4603.3149375000003</v>
      </c>
      <c r="W352" s="478">
        <f t="shared" si="62"/>
        <v>1326307.0997925</v>
      </c>
      <c r="X352" s="648"/>
      <c r="Y352" s="302">
        <f t="shared" si="68"/>
        <v>6704.1204187499989</v>
      </c>
      <c r="Z352" s="232"/>
    </row>
    <row r="353" spans="2:26" x14ac:dyDescent="0.35">
      <c r="B353" s="603"/>
      <c r="D353" s="94" t="s">
        <v>618</v>
      </c>
      <c r="E353" s="604"/>
      <c r="F353" s="232" t="s">
        <v>360</v>
      </c>
      <c r="G353" s="318" t="s">
        <v>193</v>
      </c>
      <c r="H353" s="319">
        <v>1</v>
      </c>
      <c r="I353" s="320" t="s">
        <v>238</v>
      </c>
      <c r="J353" s="318" t="s">
        <v>189</v>
      </c>
      <c r="K353" s="420">
        <v>1</v>
      </c>
      <c r="L353" s="506">
        <v>192.08</v>
      </c>
      <c r="M353" s="744">
        <f>((M$340*N$340)/240)*($H353/N353)</f>
        <v>2.0833333333333333E-3</v>
      </c>
      <c r="N353" s="235">
        <f t="shared" si="69"/>
        <v>3</v>
      </c>
      <c r="O353" s="507">
        <f t="shared" si="58"/>
        <v>1.2004999999999999</v>
      </c>
      <c r="P353" s="235">
        <v>5788.125</v>
      </c>
      <c r="Q353" s="646">
        <f t="shared" si="59"/>
        <v>6948.6440624999996</v>
      </c>
      <c r="R353" s="235">
        <v>5832</v>
      </c>
      <c r="S353" s="646">
        <f t="shared" si="60"/>
        <v>7001.3159999999998</v>
      </c>
      <c r="T353" s="235">
        <v>6298.56</v>
      </c>
      <c r="U353" s="647">
        <f t="shared" si="61"/>
        <v>7561.4212799999996</v>
      </c>
      <c r="V353" s="235">
        <f t="shared" si="65"/>
        <v>5972.8949999999995</v>
      </c>
      <c r="W353" s="478">
        <f t="shared" si="62"/>
        <v>7170.4604474999987</v>
      </c>
      <c r="X353" s="648"/>
      <c r="Y353" s="302">
        <f t="shared" si="68"/>
        <v>36.175781249999993</v>
      </c>
      <c r="Z353" s="232"/>
    </row>
    <row r="354" spans="2:26" x14ac:dyDescent="0.35">
      <c r="B354" s="603"/>
      <c r="E354" s="604"/>
      <c r="F354" s="232" t="s">
        <v>237</v>
      </c>
      <c r="G354" s="318" t="s">
        <v>193</v>
      </c>
      <c r="H354" s="319">
        <v>4</v>
      </c>
      <c r="I354" s="320" t="s">
        <v>238</v>
      </c>
      <c r="J354" s="318" t="s">
        <v>189</v>
      </c>
      <c r="K354" s="420">
        <v>1</v>
      </c>
      <c r="L354" s="506">
        <v>192.08</v>
      </c>
      <c r="M354" s="744">
        <f>((M$340*N$340)/240)*($H354/N354)</f>
        <v>8.3333333333333332E-3</v>
      </c>
      <c r="N354" s="235">
        <f t="shared" si="69"/>
        <v>3</v>
      </c>
      <c r="O354" s="507">
        <f t="shared" si="58"/>
        <v>4.8019999999999996</v>
      </c>
      <c r="P354" s="235">
        <v>49592.654999999999</v>
      </c>
      <c r="Q354" s="646">
        <f t="shared" si="59"/>
        <v>238143.92930999998</v>
      </c>
      <c r="R354" s="235">
        <v>49968.576000000008</v>
      </c>
      <c r="S354" s="646">
        <f t="shared" si="60"/>
        <v>239949.10195200003</v>
      </c>
      <c r="T354" s="235">
        <v>53966.062080000011</v>
      </c>
      <c r="U354" s="647">
        <f t="shared" si="61"/>
        <v>259145.03010816002</v>
      </c>
      <c r="V354" s="235">
        <f t="shared" si="65"/>
        <v>51175.764360000001</v>
      </c>
      <c r="W354" s="478">
        <f t="shared" si="62"/>
        <v>245746.02045672</v>
      </c>
      <c r="X354" s="648"/>
      <c r="Y354" s="302">
        <f t="shared" si="68"/>
        <v>1239.8163749999999</v>
      </c>
      <c r="Z354" s="232"/>
    </row>
    <row r="355" spans="2:26" x14ac:dyDescent="0.35">
      <c r="B355" s="603"/>
      <c r="E355" s="604"/>
      <c r="F355" s="232" t="s">
        <v>239</v>
      </c>
      <c r="G355" s="318" t="s">
        <v>193</v>
      </c>
      <c r="H355" s="319">
        <v>12</v>
      </c>
      <c r="I355" s="320" t="s">
        <v>238</v>
      </c>
      <c r="J355" s="318" t="s">
        <v>189</v>
      </c>
      <c r="K355" s="420">
        <v>1</v>
      </c>
      <c r="L355" s="506">
        <v>192.08</v>
      </c>
      <c r="M355" s="746">
        <f>((M$340*N$340)/240)*($H355/N355)</f>
        <v>2.5000000000000001E-2</v>
      </c>
      <c r="N355" s="235">
        <f t="shared" si="69"/>
        <v>3</v>
      </c>
      <c r="O355" s="507">
        <f t="shared" si="58"/>
        <v>14.406000000000002</v>
      </c>
      <c r="P355" s="235">
        <v>16206.75</v>
      </c>
      <c r="Q355" s="646">
        <f t="shared" si="59"/>
        <v>233474.44050000003</v>
      </c>
      <c r="R355" s="235">
        <v>16329.600000000002</v>
      </c>
      <c r="S355" s="646">
        <f t="shared" si="60"/>
        <v>235244.21760000006</v>
      </c>
      <c r="T355" s="235">
        <v>17635.968000000004</v>
      </c>
      <c r="U355" s="647">
        <f t="shared" si="61"/>
        <v>254063.75500800009</v>
      </c>
      <c r="V355" s="235">
        <f t="shared" si="65"/>
        <v>16724.106</v>
      </c>
      <c r="W355" s="478">
        <f t="shared" si="62"/>
        <v>240927.47103600006</v>
      </c>
      <c r="X355" s="648"/>
      <c r="Y355" s="302">
        <f t="shared" si="68"/>
        <v>1215.5062500000001</v>
      </c>
      <c r="Z355" s="232"/>
    </row>
    <row r="356" spans="2:26" x14ac:dyDescent="0.35">
      <c r="B356" s="603"/>
      <c r="E356" s="604"/>
      <c r="F356" s="232" t="s">
        <v>241</v>
      </c>
      <c r="G356" s="318" t="s">
        <v>193</v>
      </c>
      <c r="H356" s="319">
        <v>2</v>
      </c>
      <c r="I356" s="320" t="s">
        <v>238</v>
      </c>
      <c r="J356" s="318" t="s">
        <v>189</v>
      </c>
      <c r="K356" s="420">
        <v>1</v>
      </c>
      <c r="L356" s="506">
        <v>192.08</v>
      </c>
      <c r="M356" s="744">
        <f>((M$340*N$340)/240)*($H356/N356)</f>
        <v>4.1666666666666666E-3</v>
      </c>
      <c r="N356" s="235">
        <f t="shared" si="69"/>
        <v>3</v>
      </c>
      <c r="O356" s="507">
        <f t="shared" si="58"/>
        <v>2.4009999999999998</v>
      </c>
      <c r="P356" s="235">
        <v>37194.491250000006</v>
      </c>
      <c r="Q356" s="646">
        <f t="shared" si="59"/>
        <v>89303.973491250013</v>
      </c>
      <c r="R356" s="235">
        <v>37476.432000000001</v>
      </c>
      <c r="S356" s="646">
        <f t="shared" si="60"/>
        <v>89980.913231999992</v>
      </c>
      <c r="T356" s="235">
        <v>40474.546560000003</v>
      </c>
      <c r="U356" s="647">
        <f t="shared" si="61"/>
        <v>97179.386290559996</v>
      </c>
      <c r="V356" s="235">
        <f t="shared" si="65"/>
        <v>38381.823270000001</v>
      </c>
      <c r="W356" s="478">
        <f t="shared" si="62"/>
        <v>92154.757671269996</v>
      </c>
      <c r="X356" s="648"/>
      <c r="Y356" s="302">
        <f t="shared" si="68"/>
        <v>464.93114062500001</v>
      </c>
      <c r="Z356" s="232"/>
    </row>
    <row r="357" spans="2:26" x14ac:dyDescent="0.35">
      <c r="B357" s="603"/>
      <c r="E357" s="604"/>
      <c r="F357" s="232" t="s">
        <v>242</v>
      </c>
      <c r="G357" s="318" t="s">
        <v>193</v>
      </c>
      <c r="H357" s="319">
        <v>1</v>
      </c>
      <c r="I357" s="320" t="s">
        <v>238</v>
      </c>
      <c r="J357" s="318" t="s">
        <v>189</v>
      </c>
      <c r="K357" s="420">
        <v>1</v>
      </c>
      <c r="L357" s="506">
        <v>192.08</v>
      </c>
      <c r="M357" s="744">
        <f>((M$340*N$340)/240)*($H357/N357)</f>
        <v>2.0833333333333333E-3</v>
      </c>
      <c r="N357" s="235">
        <f t="shared" si="69"/>
        <v>3</v>
      </c>
      <c r="O357" s="507">
        <f t="shared" si="58"/>
        <v>1.2004999999999999</v>
      </c>
      <c r="P357" s="235">
        <v>99185.31</v>
      </c>
      <c r="Q357" s="646">
        <f t="shared" si="59"/>
        <v>119071.96465499999</v>
      </c>
      <c r="R357" s="235">
        <v>99937.152000000016</v>
      </c>
      <c r="S357" s="646">
        <f t="shared" si="60"/>
        <v>119974.55097600001</v>
      </c>
      <c r="T357" s="235">
        <v>107932.12416000002</v>
      </c>
      <c r="U357" s="647">
        <f t="shared" si="61"/>
        <v>129572.51505408001</v>
      </c>
      <c r="V357" s="235">
        <f t="shared" si="65"/>
        <v>102351.52872</v>
      </c>
      <c r="W357" s="478">
        <f t="shared" si="62"/>
        <v>122873.01022836</v>
      </c>
      <c r="X357" s="648"/>
      <c r="Y357" s="302">
        <f t="shared" si="68"/>
        <v>619.90818749999994</v>
      </c>
      <c r="Z357" s="232"/>
    </row>
    <row r="358" spans="2:26" x14ac:dyDescent="0.35">
      <c r="B358" s="603"/>
      <c r="E358" s="604"/>
      <c r="F358" s="95" t="s">
        <v>582</v>
      </c>
      <c r="G358" s="318" t="s">
        <v>191</v>
      </c>
      <c r="H358" s="319"/>
      <c r="I358" s="320"/>
      <c r="J358" s="318" t="s">
        <v>325</v>
      </c>
      <c r="K358" s="420">
        <v>1</v>
      </c>
      <c r="L358" s="506">
        <v>192.08</v>
      </c>
      <c r="M358" s="748">
        <f>(4125*136)/1000</f>
        <v>561</v>
      </c>
      <c r="N358" s="235">
        <v>1</v>
      </c>
      <c r="O358" s="507">
        <f t="shared" si="58"/>
        <v>107756.88</v>
      </c>
      <c r="P358" s="235">
        <v>7122.2878125000007</v>
      </c>
      <c r="Q358" s="646">
        <f t="shared" si="59"/>
        <v>767475513.13702512</v>
      </c>
      <c r="R358" s="235">
        <v>7444.5250000000015</v>
      </c>
      <c r="S358" s="646">
        <f t="shared" si="60"/>
        <v>802198787.08200014</v>
      </c>
      <c r="T358" s="235">
        <v>8188.9775000000027</v>
      </c>
      <c r="U358" s="647">
        <f t="shared" si="61"/>
        <v>882418665.79020035</v>
      </c>
      <c r="V358" s="235">
        <f t="shared" si="65"/>
        <v>7585.2634375000007</v>
      </c>
      <c r="W358" s="478">
        <f t="shared" si="62"/>
        <v>817364322.00307512</v>
      </c>
      <c r="X358" s="648"/>
      <c r="Y358" s="302">
        <f t="shared" si="68"/>
        <v>3995603.4628125005</v>
      </c>
      <c r="Z358" s="232"/>
    </row>
    <row r="359" spans="2:26" x14ac:dyDescent="0.35">
      <c r="B359" s="630" t="s">
        <v>619</v>
      </c>
      <c r="C359" s="770"/>
      <c r="D359" s="770"/>
      <c r="E359" s="771"/>
      <c r="F359" s="633"/>
      <c r="G359" s="634"/>
      <c r="H359" s="635"/>
      <c r="I359" s="636"/>
      <c r="J359" s="634"/>
      <c r="K359" s="637"/>
      <c r="L359" s="638"/>
      <c r="M359" s="772"/>
      <c r="N359" s="773"/>
      <c r="O359" s="635"/>
      <c r="P359" s="640"/>
      <c r="Q359" s="651">
        <f>SUM(Q350:Q358)</f>
        <v>835719728.66368139</v>
      </c>
      <c r="R359" s="774"/>
      <c r="S359" s="651">
        <f>SUM(S348:S358)</f>
        <v>996024941.28005588</v>
      </c>
      <c r="T359" s="650"/>
      <c r="U359" s="650"/>
      <c r="V359" s="650"/>
      <c r="W359" s="650"/>
      <c r="X359" s="652"/>
      <c r="Y359" s="682">
        <f>Q359/$C$1</f>
        <v>4350894.0476035057</v>
      </c>
      <c r="Z359" s="775">
        <f>Q359/$Q$401*100</f>
        <v>34.910100652664653</v>
      </c>
    </row>
    <row r="360" spans="2:26" x14ac:dyDescent="0.35">
      <c r="B360" s="603"/>
      <c r="D360" s="740" t="s">
        <v>590</v>
      </c>
      <c r="E360" s="741"/>
      <c r="F360" s="232" t="s">
        <v>187</v>
      </c>
      <c r="G360" s="318" t="s">
        <v>188</v>
      </c>
      <c r="H360" s="319"/>
      <c r="I360" s="320"/>
      <c r="J360" s="318" t="s">
        <v>189</v>
      </c>
      <c r="K360" s="420">
        <v>1</v>
      </c>
      <c r="L360" s="506">
        <v>192.08</v>
      </c>
      <c r="M360" s="745">
        <v>0.2</v>
      </c>
      <c r="N360" s="235">
        <v>1</v>
      </c>
      <c r="O360" s="507">
        <f t="shared" ref="O360:O368" si="70">K360*L360*M360*N360</f>
        <v>38.416000000000004</v>
      </c>
      <c r="P360" s="235">
        <v>169122.61109699999</v>
      </c>
      <c r="Q360" s="646">
        <f t="shared" ref="Q360:Q368" si="71">P360*$O360</f>
        <v>6497014.2279023519</v>
      </c>
      <c r="R360" s="646"/>
      <c r="S360" s="646"/>
      <c r="T360" s="646"/>
      <c r="U360" s="647"/>
      <c r="V360" s="646"/>
      <c r="W360" s="478"/>
      <c r="X360" s="648"/>
      <c r="Y360" s="302">
        <f t="shared" ref="Y360:Y368" si="72">Q360/$C$1</f>
        <v>33824.522219399994</v>
      </c>
      <c r="Z360" s="232"/>
    </row>
    <row r="361" spans="2:26" x14ac:dyDescent="0.35">
      <c r="B361" s="603"/>
      <c r="D361" s="94" t="s">
        <v>620</v>
      </c>
      <c r="E361" s="604"/>
      <c r="F361" s="232" t="s">
        <v>359</v>
      </c>
      <c r="G361" s="318" t="s">
        <v>188</v>
      </c>
      <c r="H361" s="319"/>
      <c r="I361" s="320"/>
      <c r="J361" s="318" t="s">
        <v>189</v>
      </c>
      <c r="K361" s="420">
        <v>1</v>
      </c>
      <c r="L361" s="506">
        <v>192.08</v>
      </c>
      <c r="M361" s="743">
        <v>0.18</v>
      </c>
      <c r="N361" s="235">
        <f>N360</f>
        <v>1</v>
      </c>
      <c r="O361" s="507">
        <f t="shared" si="70"/>
        <v>34.574400000000004</v>
      </c>
      <c r="P361" s="235">
        <v>169122.61109699999</v>
      </c>
      <c r="Q361" s="646">
        <f t="shared" si="71"/>
        <v>5847312.805112117</v>
      </c>
      <c r="R361" s="646"/>
      <c r="S361" s="646"/>
      <c r="T361" s="646"/>
      <c r="U361" s="647"/>
      <c r="V361" s="646"/>
      <c r="W361" s="478"/>
      <c r="X361" s="648"/>
      <c r="Y361" s="302">
        <f t="shared" si="72"/>
        <v>30442.069997459999</v>
      </c>
      <c r="Z361" s="232"/>
    </row>
    <row r="362" spans="2:26" x14ac:dyDescent="0.35">
      <c r="B362" s="603"/>
      <c r="E362" s="604"/>
      <c r="F362" s="232" t="s">
        <v>236</v>
      </c>
      <c r="G362" s="318" t="s">
        <v>188</v>
      </c>
      <c r="H362" s="319"/>
      <c r="I362" s="320"/>
      <c r="J362" s="318" t="s">
        <v>189</v>
      </c>
      <c r="K362" s="420">
        <v>1</v>
      </c>
      <c r="L362" s="506">
        <v>192.08</v>
      </c>
      <c r="M362" s="747">
        <f>M360</f>
        <v>0.2</v>
      </c>
      <c r="N362" s="235">
        <f t="shared" ref="N362:N367" si="73">N361</f>
        <v>1</v>
      </c>
      <c r="O362" s="507">
        <f t="shared" si="70"/>
        <v>38.416000000000004</v>
      </c>
      <c r="P362" s="235">
        <v>4469.4136124999995</v>
      </c>
      <c r="Q362" s="646">
        <f t="shared" si="71"/>
        <v>171696.9933378</v>
      </c>
      <c r="R362" s="646"/>
      <c r="S362" s="646"/>
      <c r="T362" s="646"/>
      <c r="U362" s="647"/>
      <c r="V362" s="646"/>
      <c r="W362" s="478"/>
      <c r="X362" s="648"/>
      <c r="Y362" s="302">
        <f t="shared" si="72"/>
        <v>893.88272249999989</v>
      </c>
      <c r="Z362" s="232"/>
    </row>
    <row r="363" spans="2:26" x14ac:dyDescent="0.35">
      <c r="B363" s="603"/>
      <c r="E363" s="604"/>
      <c r="F363" s="232" t="s">
        <v>360</v>
      </c>
      <c r="G363" s="318" t="s">
        <v>193</v>
      </c>
      <c r="H363" s="319">
        <v>1</v>
      </c>
      <c r="I363" s="320" t="s">
        <v>238</v>
      </c>
      <c r="J363" s="318" t="s">
        <v>189</v>
      </c>
      <c r="K363" s="420">
        <v>1</v>
      </c>
      <c r="L363" s="506">
        <v>192.08</v>
      </c>
      <c r="M363" s="744">
        <f>((M$340*N$340)/240)*($H363/N363)</f>
        <v>6.2500000000000003E-3</v>
      </c>
      <c r="N363" s="235">
        <f t="shared" si="73"/>
        <v>1</v>
      </c>
      <c r="O363" s="507">
        <f t="shared" si="70"/>
        <v>1.2005000000000001</v>
      </c>
      <c r="P363" s="235">
        <v>5788.125</v>
      </c>
      <c r="Q363" s="646">
        <f t="shared" si="71"/>
        <v>6948.6440625000005</v>
      </c>
      <c r="R363" s="646"/>
      <c r="S363" s="646"/>
      <c r="T363" s="646"/>
      <c r="U363" s="647"/>
      <c r="V363" s="646"/>
      <c r="W363" s="478"/>
      <c r="X363" s="648"/>
      <c r="Y363" s="302">
        <f t="shared" si="72"/>
        <v>36.17578125</v>
      </c>
      <c r="Z363" s="232"/>
    </row>
    <row r="364" spans="2:26" x14ac:dyDescent="0.35">
      <c r="B364" s="603"/>
      <c r="E364" s="604"/>
      <c r="F364" s="232" t="s">
        <v>237</v>
      </c>
      <c r="G364" s="318" t="s">
        <v>193</v>
      </c>
      <c r="H364" s="319">
        <v>4</v>
      </c>
      <c r="I364" s="320" t="s">
        <v>238</v>
      </c>
      <c r="J364" s="318" t="s">
        <v>189</v>
      </c>
      <c r="K364" s="420">
        <v>1</v>
      </c>
      <c r="L364" s="506">
        <v>192.08</v>
      </c>
      <c r="M364" s="744">
        <f>((M$340*N$340)/240)*($H364/N364)</f>
        <v>2.5000000000000001E-2</v>
      </c>
      <c r="N364" s="235">
        <f t="shared" si="73"/>
        <v>1</v>
      </c>
      <c r="O364" s="507">
        <f t="shared" si="70"/>
        <v>4.8020000000000005</v>
      </c>
      <c r="P364" s="235">
        <v>49592.654999999999</v>
      </c>
      <c r="Q364" s="646">
        <f t="shared" si="71"/>
        <v>238143.92931000001</v>
      </c>
      <c r="R364" s="646"/>
      <c r="S364" s="646"/>
      <c r="T364" s="646"/>
      <c r="U364" s="647"/>
      <c r="V364" s="646"/>
      <c r="W364" s="478"/>
      <c r="X364" s="648"/>
      <c r="Y364" s="302">
        <f t="shared" si="72"/>
        <v>1239.8163749999999</v>
      </c>
      <c r="Z364" s="232"/>
    </row>
    <row r="365" spans="2:26" x14ac:dyDescent="0.35">
      <c r="B365" s="603"/>
      <c r="E365" s="604"/>
      <c r="F365" s="232" t="s">
        <v>239</v>
      </c>
      <c r="G365" s="318" t="s">
        <v>193</v>
      </c>
      <c r="H365" s="319">
        <v>12</v>
      </c>
      <c r="I365" s="320" t="s">
        <v>238</v>
      </c>
      <c r="J365" s="318" t="s">
        <v>189</v>
      </c>
      <c r="K365" s="420">
        <v>1</v>
      </c>
      <c r="L365" s="506">
        <v>192.08</v>
      </c>
      <c r="M365" s="744">
        <f>((M$340*N$340)/240)*($H365/N365)</f>
        <v>7.5000000000000011E-2</v>
      </c>
      <c r="N365" s="235">
        <f t="shared" si="73"/>
        <v>1</v>
      </c>
      <c r="O365" s="507">
        <f t="shared" si="70"/>
        <v>14.406000000000002</v>
      </c>
      <c r="P365" s="235">
        <v>16206.75</v>
      </c>
      <c r="Q365" s="646">
        <f t="shared" si="71"/>
        <v>233474.44050000003</v>
      </c>
      <c r="R365" s="646"/>
      <c r="S365" s="646"/>
      <c r="T365" s="646"/>
      <c r="U365" s="647"/>
      <c r="V365" s="646"/>
      <c r="W365" s="478"/>
      <c r="X365" s="648"/>
      <c r="Y365" s="302">
        <f t="shared" si="72"/>
        <v>1215.5062500000001</v>
      </c>
      <c r="Z365" s="232"/>
    </row>
    <row r="366" spans="2:26" x14ac:dyDescent="0.35">
      <c r="B366" s="603"/>
      <c r="E366" s="604"/>
      <c r="F366" s="232" t="s">
        <v>241</v>
      </c>
      <c r="G366" s="318" t="s">
        <v>193</v>
      </c>
      <c r="H366" s="319">
        <v>2</v>
      </c>
      <c r="I366" s="320" t="s">
        <v>238</v>
      </c>
      <c r="J366" s="318" t="s">
        <v>189</v>
      </c>
      <c r="K366" s="420">
        <v>1</v>
      </c>
      <c r="L366" s="506">
        <v>192.08</v>
      </c>
      <c r="M366" s="744">
        <f>((M$340*N$340)/240)*($H366/N366)</f>
        <v>1.2500000000000001E-2</v>
      </c>
      <c r="N366" s="235">
        <f t="shared" si="73"/>
        <v>1</v>
      </c>
      <c r="O366" s="507">
        <f t="shared" si="70"/>
        <v>2.4010000000000002</v>
      </c>
      <c r="P366" s="235">
        <v>37194.491250000006</v>
      </c>
      <c r="Q366" s="646">
        <f t="shared" si="71"/>
        <v>89303.973491250028</v>
      </c>
      <c r="R366" s="646"/>
      <c r="S366" s="646"/>
      <c r="T366" s="646"/>
      <c r="U366" s="647"/>
      <c r="V366" s="646"/>
      <c r="W366" s="478"/>
      <c r="X366" s="648"/>
      <c r="Y366" s="302">
        <f t="shared" si="72"/>
        <v>464.93114062500013</v>
      </c>
      <c r="Z366" s="232"/>
    </row>
    <row r="367" spans="2:26" x14ac:dyDescent="0.35">
      <c r="B367" s="603"/>
      <c r="E367" s="604"/>
      <c r="F367" s="232" t="s">
        <v>242</v>
      </c>
      <c r="G367" s="318" t="s">
        <v>193</v>
      </c>
      <c r="H367" s="319">
        <v>1</v>
      </c>
      <c r="I367" s="320" t="s">
        <v>238</v>
      </c>
      <c r="J367" s="318" t="s">
        <v>189</v>
      </c>
      <c r="K367" s="420">
        <v>1</v>
      </c>
      <c r="L367" s="506">
        <v>192.08</v>
      </c>
      <c r="M367" s="744">
        <f>((M$340*N$340)/240)*($H367/N367)</f>
        <v>6.2500000000000003E-3</v>
      </c>
      <c r="N367" s="235">
        <f t="shared" si="73"/>
        <v>1</v>
      </c>
      <c r="O367" s="507">
        <f t="shared" si="70"/>
        <v>1.2005000000000001</v>
      </c>
      <c r="P367" s="235">
        <v>99185.31</v>
      </c>
      <c r="Q367" s="646">
        <f t="shared" si="71"/>
        <v>119071.964655</v>
      </c>
      <c r="R367" s="646"/>
      <c r="S367" s="646"/>
      <c r="T367" s="646"/>
      <c r="U367" s="647"/>
      <c r="V367" s="646"/>
      <c r="W367" s="478"/>
      <c r="X367" s="648"/>
      <c r="Y367" s="302">
        <f t="shared" si="72"/>
        <v>619.90818749999994</v>
      </c>
      <c r="Z367" s="232"/>
    </row>
    <row r="368" spans="2:26" x14ac:dyDescent="0.35">
      <c r="B368" s="603"/>
      <c r="E368" s="604"/>
      <c r="F368" s="95" t="s">
        <v>425</v>
      </c>
      <c r="G368" s="318" t="s">
        <v>191</v>
      </c>
      <c r="H368" s="319"/>
      <c r="I368" s="320"/>
      <c r="J368" s="318" t="s">
        <v>325</v>
      </c>
      <c r="K368" s="420">
        <v>1</v>
      </c>
      <c r="L368" s="506">
        <v>192.08</v>
      </c>
      <c r="M368" s="747">
        <f>(50*136)/1000</f>
        <v>6.8</v>
      </c>
      <c r="N368" s="235">
        <v>1</v>
      </c>
      <c r="O368" s="507">
        <f t="shared" si="70"/>
        <v>1306.144</v>
      </c>
      <c r="P368" s="235">
        <v>12872.79</v>
      </c>
      <c r="Q368" s="646">
        <f t="shared" si="71"/>
        <v>16813717.42176</v>
      </c>
      <c r="R368" s="646"/>
      <c r="S368" s="646"/>
      <c r="T368" s="646"/>
      <c r="U368" s="647"/>
      <c r="V368" s="646"/>
      <c r="W368" s="478"/>
      <c r="X368" s="648"/>
      <c r="Y368" s="302">
        <f t="shared" si="72"/>
        <v>87534.971999999994</v>
      </c>
      <c r="Z368" s="232"/>
    </row>
    <row r="369" spans="2:26" x14ac:dyDescent="0.35">
      <c r="B369" s="630" t="s">
        <v>621</v>
      </c>
      <c r="C369" s="770"/>
      <c r="D369" s="770"/>
      <c r="E369" s="771"/>
      <c r="F369" s="633"/>
      <c r="G369" s="634"/>
      <c r="H369" s="635"/>
      <c r="I369" s="636"/>
      <c r="J369" s="634"/>
      <c r="K369" s="637"/>
      <c r="L369" s="638"/>
      <c r="M369" s="772"/>
      <c r="N369" s="773"/>
      <c r="O369" s="635"/>
      <c r="P369" s="640"/>
      <c r="Q369" s="651">
        <f>SUM(Q360:Q368)</f>
        <v>30016684.400131021</v>
      </c>
      <c r="R369" s="774"/>
      <c r="S369" s="651">
        <f>SUM(S359:S368)</f>
        <v>996024941.28005588</v>
      </c>
      <c r="T369" s="650"/>
      <c r="U369" s="650"/>
      <c r="V369" s="650"/>
      <c r="W369" s="650"/>
      <c r="X369" s="652"/>
      <c r="Y369" s="682">
        <f>Q369/$C$1</f>
        <v>156271.784673735</v>
      </c>
      <c r="Z369" s="775">
        <f>Q369/$Q$401*100</f>
        <v>1.253871887580559</v>
      </c>
    </row>
    <row r="370" spans="2:26" x14ac:dyDescent="0.35">
      <c r="B370" s="598"/>
      <c r="C370" s="599" t="s">
        <v>145</v>
      </c>
      <c r="D370" s="599"/>
      <c r="E370" s="600"/>
      <c r="F370" s="232" t="s">
        <v>187</v>
      </c>
      <c r="G370" s="318" t="s">
        <v>188</v>
      </c>
      <c r="H370" s="319"/>
      <c r="I370" s="320"/>
      <c r="J370" s="318"/>
      <c r="K370" s="420">
        <v>1</v>
      </c>
      <c r="L370" s="506">
        <v>192.08</v>
      </c>
      <c r="M370" s="372">
        <v>5</v>
      </c>
      <c r="N370" s="235">
        <v>1</v>
      </c>
      <c r="O370" s="507">
        <f t="shared" ref="O370:O374" si="74">K370*L370*M370*N370</f>
        <v>960.40000000000009</v>
      </c>
      <c r="P370" s="235">
        <v>169122.61109699999</v>
      </c>
      <c r="Q370" s="646">
        <f t="shared" ref="Q370:Q374" si="75">P370*$O370</f>
        <v>162425355.69755879</v>
      </c>
      <c r="R370" s="646"/>
      <c r="S370" s="646"/>
      <c r="T370" s="647"/>
      <c r="U370" s="647"/>
      <c r="V370" s="647"/>
      <c r="W370" s="647"/>
      <c r="X370" s="798"/>
      <c r="Y370" s="302">
        <f t="shared" ref="Y370:Y372" si="76">Q370/$C$1</f>
        <v>845613.0554849999</v>
      </c>
      <c r="Z370" s="232"/>
    </row>
    <row r="371" spans="2:26" x14ac:dyDescent="0.35">
      <c r="B371" s="603"/>
      <c r="E371" s="604"/>
      <c r="F371" s="232" t="s">
        <v>429</v>
      </c>
      <c r="G371" s="318" t="s">
        <v>367</v>
      </c>
      <c r="H371" s="319"/>
      <c r="I371" s="320"/>
      <c r="J371" s="318"/>
      <c r="K371" s="420">
        <v>1</v>
      </c>
      <c r="L371" s="506">
        <v>192.08</v>
      </c>
      <c r="M371" s="231">
        <f>78*136/1000</f>
        <v>10.608000000000001</v>
      </c>
      <c r="N371" s="235">
        <v>1</v>
      </c>
      <c r="O371" s="507">
        <f t="shared" si="74"/>
        <v>2037.5846400000003</v>
      </c>
      <c r="P371" s="235">
        <v>79376</v>
      </c>
      <c r="Q371" s="646">
        <f t="shared" si="75"/>
        <v>161735318.38464001</v>
      </c>
      <c r="R371" s="646"/>
      <c r="S371" s="646"/>
      <c r="T371" s="647"/>
      <c r="U371" s="647"/>
      <c r="V371" s="647"/>
      <c r="W371" s="647"/>
      <c r="X371" s="648" t="s">
        <v>622</v>
      </c>
      <c r="Y371" s="302">
        <f t="shared" si="76"/>
        <v>842020.60800000001</v>
      </c>
      <c r="Z371" s="232"/>
    </row>
    <row r="372" spans="2:26" x14ac:dyDescent="0.35">
      <c r="B372" s="603"/>
      <c r="E372" s="604"/>
      <c r="F372" s="232" t="s">
        <v>593</v>
      </c>
      <c r="G372" s="318" t="s">
        <v>193</v>
      </c>
      <c r="H372" s="319"/>
      <c r="I372" s="320"/>
      <c r="J372" s="318"/>
      <c r="K372" s="420">
        <v>1</v>
      </c>
      <c r="L372" s="506">
        <v>192.08</v>
      </c>
      <c r="M372" s="231">
        <v>1.67E-2</v>
      </c>
      <c r="N372" s="235">
        <v>1</v>
      </c>
      <c r="O372" s="507">
        <f t="shared" si="74"/>
        <v>3.2077360000000001</v>
      </c>
      <c r="P372" s="235">
        <v>622201.44262500014</v>
      </c>
      <c r="Q372" s="646">
        <f t="shared" si="75"/>
        <v>1995857.9667601476</v>
      </c>
      <c r="R372" s="646"/>
      <c r="S372" s="646"/>
      <c r="T372" s="647"/>
      <c r="U372" s="647"/>
      <c r="V372" s="647"/>
      <c r="W372" s="647"/>
      <c r="X372" s="648"/>
      <c r="Y372" s="302">
        <f t="shared" si="76"/>
        <v>10390.764091837502</v>
      </c>
      <c r="Z372" s="232"/>
    </row>
    <row r="373" spans="2:26" x14ac:dyDescent="0.35">
      <c r="B373" s="603"/>
      <c r="E373" s="604"/>
      <c r="F373" s="232" t="s">
        <v>594</v>
      </c>
      <c r="G373" s="318" t="s">
        <v>193</v>
      </c>
      <c r="H373" s="319"/>
      <c r="I373" s="320"/>
      <c r="J373" s="318"/>
      <c r="K373" s="420">
        <v>1</v>
      </c>
      <c r="L373" s="506">
        <v>192.08</v>
      </c>
      <c r="M373" s="231">
        <v>1.67E-2</v>
      </c>
      <c r="N373" s="235">
        <v>1</v>
      </c>
      <c r="O373" s="507">
        <f t="shared" si="74"/>
        <v>3.2077360000000001</v>
      </c>
      <c r="P373" s="235">
        <v>0</v>
      </c>
      <c r="Q373" s="646">
        <f t="shared" si="75"/>
        <v>0</v>
      </c>
      <c r="R373" s="646"/>
      <c r="S373" s="646"/>
      <c r="T373" s="647"/>
      <c r="U373" s="647"/>
      <c r="V373" s="647"/>
      <c r="W373" s="647"/>
      <c r="X373" s="648"/>
      <c r="Y373" s="302">
        <f t="shared" si="63"/>
        <v>0</v>
      </c>
      <c r="Z373" s="232"/>
    </row>
    <row r="374" spans="2:26" x14ac:dyDescent="0.35">
      <c r="B374" s="603"/>
      <c r="E374" s="604"/>
      <c r="F374" s="232" t="s">
        <v>242</v>
      </c>
      <c r="G374" s="318" t="s">
        <v>193</v>
      </c>
      <c r="H374" s="319"/>
      <c r="I374" s="320"/>
      <c r="J374" s="318"/>
      <c r="K374" s="420">
        <v>1</v>
      </c>
      <c r="L374" s="506">
        <v>192.08</v>
      </c>
      <c r="M374" s="231">
        <v>1.67E-2</v>
      </c>
      <c r="N374" s="235">
        <v>1</v>
      </c>
      <c r="O374" s="507">
        <f t="shared" si="74"/>
        <v>3.2077360000000001</v>
      </c>
      <c r="P374" s="235">
        <v>99185.31</v>
      </c>
      <c r="Q374" s="646">
        <f t="shared" si="75"/>
        <v>318160.28955816</v>
      </c>
      <c r="R374" s="646"/>
      <c r="S374" s="646"/>
      <c r="T374" s="647"/>
      <c r="U374" s="647"/>
      <c r="V374" s="647"/>
      <c r="W374" s="647"/>
      <c r="X374" s="648"/>
      <c r="Y374" s="302">
        <f>Q374/$C$1</f>
        <v>1656.394677</v>
      </c>
      <c r="Z374" s="232"/>
    </row>
    <row r="375" spans="2:26" x14ac:dyDescent="0.35">
      <c r="B375" s="630" t="s">
        <v>623</v>
      </c>
      <c r="C375" s="770"/>
      <c r="D375" s="770"/>
      <c r="E375" s="771"/>
      <c r="F375" s="633"/>
      <c r="G375" s="634"/>
      <c r="H375" s="635"/>
      <c r="I375" s="636"/>
      <c r="J375" s="634"/>
      <c r="K375" s="637"/>
      <c r="L375" s="638"/>
      <c r="M375" s="772"/>
      <c r="N375" s="773"/>
      <c r="O375" s="635"/>
      <c r="P375" s="640"/>
      <c r="Q375" s="651">
        <f>SUM(Q370:Q374)</f>
        <v>326474692.33851713</v>
      </c>
      <c r="R375" s="774"/>
      <c r="S375" s="651">
        <f>SUM(S365:S374)</f>
        <v>996024941.28005588</v>
      </c>
      <c r="T375" s="650"/>
      <c r="U375" s="650"/>
      <c r="V375" s="650"/>
      <c r="W375" s="650"/>
      <c r="X375" s="652"/>
      <c r="Y375" s="682">
        <f>Q375/$C$1</f>
        <v>1699680.8222538375</v>
      </c>
      <c r="Z375" s="775">
        <f>Q375/$Q$401*100</f>
        <v>13.637663416549495</v>
      </c>
    </row>
    <row r="376" spans="2:26" x14ac:dyDescent="0.35">
      <c r="B376" s="598"/>
      <c r="C376" s="599" t="s">
        <v>596</v>
      </c>
      <c r="D376" s="599"/>
      <c r="E376" s="600"/>
      <c r="F376" s="232" t="s">
        <v>187</v>
      </c>
      <c r="G376" s="318" t="s">
        <v>188</v>
      </c>
      <c r="H376" s="319"/>
      <c r="I376" s="320"/>
      <c r="J376" s="318"/>
      <c r="K376" s="501"/>
      <c r="L376" s="506"/>
      <c r="M376" s="231"/>
      <c r="N376" s="235"/>
      <c r="O376" s="319"/>
      <c r="P376" s="492"/>
      <c r="Q376" s="646"/>
      <c r="R376" s="646"/>
      <c r="S376" s="646"/>
      <c r="T376" s="647"/>
      <c r="U376" s="647"/>
      <c r="V376" s="647"/>
      <c r="W376" s="647"/>
      <c r="X376" s="648"/>
      <c r="Y376" s="302">
        <f t="shared" si="63"/>
        <v>0</v>
      </c>
      <c r="Z376" s="232"/>
    </row>
    <row r="377" spans="2:26" x14ac:dyDescent="0.35">
      <c r="B377" s="603"/>
      <c r="C377" s="94" t="s">
        <v>363</v>
      </c>
      <c r="E377" s="604"/>
      <c r="F377" s="232" t="s">
        <v>187</v>
      </c>
      <c r="G377" s="318" t="s">
        <v>188</v>
      </c>
      <c r="H377" s="319"/>
      <c r="I377" s="320"/>
      <c r="J377" s="318"/>
      <c r="K377" s="501"/>
      <c r="L377" s="506"/>
      <c r="M377" s="231"/>
      <c r="N377" s="235"/>
      <c r="O377" s="319"/>
      <c r="P377" s="492"/>
      <c r="Q377" s="646"/>
      <c r="R377" s="646"/>
      <c r="S377" s="646"/>
      <c r="T377" s="647"/>
      <c r="U377" s="647"/>
      <c r="V377" s="647"/>
      <c r="W377" s="647"/>
      <c r="X377" s="648"/>
      <c r="Y377" s="302">
        <f t="shared" si="63"/>
        <v>0</v>
      </c>
      <c r="Z377" s="232"/>
    </row>
    <row r="378" spans="2:26" x14ac:dyDescent="0.35">
      <c r="B378" s="603"/>
      <c r="C378" s="94" t="s">
        <v>148</v>
      </c>
      <c r="E378" s="604"/>
      <c r="F378" s="232" t="s">
        <v>368</v>
      </c>
      <c r="G378" s="318" t="s">
        <v>188</v>
      </c>
      <c r="H378" s="319"/>
      <c r="I378" s="320"/>
      <c r="J378" s="318" t="s">
        <v>367</v>
      </c>
      <c r="K378" s="420">
        <v>1</v>
      </c>
      <c r="L378" s="749">
        <f>(O368+O358+O348+O338)/1000</f>
        <v>138.45126400000001</v>
      </c>
      <c r="M378" s="372">
        <v>1</v>
      </c>
      <c r="N378" s="372">
        <v>1</v>
      </c>
      <c r="O378" s="498">
        <f>K378*L378*M378*N378</f>
        <v>138.45126400000001</v>
      </c>
      <c r="P378" s="235">
        <v>23555.017687499996</v>
      </c>
      <c r="Q378" s="646">
        <f>P378*$O378</f>
        <v>3261221.9723767317</v>
      </c>
      <c r="R378" s="235">
        <v>22744.800000000003</v>
      </c>
      <c r="S378" s="646">
        <f>R378*$O378</f>
        <v>3149046.3094272008</v>
      </c>
      <c r="T378" s="235">
        <v>24564.384000000005</v>
      </c>
      <c r="U378" s="647">
        <f>$O378*T378</f>
        <v>3400970.0141813769</v>
      </c>
      <c r="V378" s="235">
        <f>W378/O378</f>
        <v>23621.400562500003</v>
      </c>
      <c r="W378" s="478">
        <f>AVERAGEIF($P$3:$U$3,W$3,$P378:$U378)</f>
        <v>3270412.7653284366</v>
      </c>
      <c r="X378" s="648"/>
      <c r="Y378" s="302">
        <f>Q378/$C$1</f>
        <v>16978.456749149998</v>
      </c>
      <c r="Z378" s="232"/>
    </row>
    <row r="379" spans="2:26" hidden="1" x14ac:dyDescent="0.35">
      <c r="B379" s="603"/>
      <c r="E379" s="604"/>
      <c r="F379" s="232" t="s">
        <v>365</v>
      </c>
      <c r="G379" s="318" t="s">
        <v>205</v>
      </c>
      <c r="H379" s="319"/>
      <c r="I379" s="320"/>
      <c r="J379" s="318" t="s">
        <v>367</v>
      </c>
      <c r="K379" s="420"/>
      <c r="L379" s="506"/>
      <c r="M379" s="372"/>
      <c r="N379" s="372"/>
      <c r="O379" s="498"/>
      <c r="P379" s="233"/>
      <c r="Q379" s="646"/>
      <c r="R379" s="235"/>
      <c r="S379" s="646"/>
      <c r="T379" s="235"/>
      <c r="U379" s="647"/>
      <c r="V379" s="235" t="e">
        <f>W379/O379</f>
        <v>#DIV/0!</v>
      </c>
      <c r="W379" s="478"/>
      <c r="X379" s="648"/>
      <c r="Y379" s="302">
        <f t="shared" si="63"/>
        <v>0</v>
      </c>
      <c r="Z379" s="232"/>
    </row>
    <row r="380" spans="2:26" x14ac:dyDescent="0.35">
      <c r="B380" s="605"/>
      <c r="C380" s="606"/>
      <c r="D380" s="606"/>
      <c r="E380" s="607"/>
      <c r="F380" s="232" t="s">
        <v>370</v>
      </c>
      <c r="G380" s="501" t="s">
        <v>367</v>
      </c>
      <c r="H380" s="319"/>
      <c r="I380" s="320"/>
      <c r="J380" s="318" t="s">
        <v>367</v>
      </c>
      <c r="K380" s="420">
        <v>1</v>
      </c>
      <c r="L380" s="506">
        <f>L378</f>
        <v>138.45126400000001</v>
      </c>
      <c r="M380" s="748">
        <v>1</v>
      </c>
      <c r="N380" s="372">
        <v>1</v>
      </c>
      <c r="O380" s="498">
        <f>K380*L380*M380*N380</f>
        <v>138.45126400000001</v>
      </c>
      <c r="P380" s="235">
        <v>75262</v>
      </c>
      <c r="Q380" s="646">
        <f>P380*$O380</f>
        <v>10420119.031168001</v>
      </c>
      <c r="R380" s="235">
        <v>53647.360000000001</v>
      </c>
      <c r="S380" s="646">
        <f>R380*$O380</f>
        <v>7427544.802263041</v>
      </c>
      <c r="T380" s="235">
        <v>55793.254400000005</v>
      </c>
      <c r="U380" s="647">
        <f>$O380*T380</f>
        <v>7724646.5943535632</v>
      </c>
      <c r="V380" s="235">
        <f>W380/O380</f>
        <v>61567.538133333343</v>
      </c>
      <c r="W380" s="478">
        <f>AVERAGEIF($P$3:$U$3,W$3,$P380:$U380)</f>
        <v>8524103.4759282023</v>
      </c>
      <c r="X380" s="648"/>
      <c r="Y380" s="302">
        <f>Q380/$C$1</f>
        <v>54248.849600000001</v>
      </c>
      <c r="Z380" s="232"/>
    </row>
    <row r="381" spans="2:26" x14ac:dyDescent="0.35">
      <c r="B381" s="603"/>
      <c r="C381" s="94" t="s">
        <v>150</v>
      </c>
      <c r="E381" s="604"/>
      <c r="F381" s="232" t="s">
        <v>371</v>
      </c>
      <c r="G381" s="318" t="s">
        <v>188</v>
      </c>
      <c r="H381" s="319"/>
      <c r="I381" s="320"/>
      <c r="J381" s="318" t="s">
        <v>367</v>
      </c>
      <c r="K381" s="420">
        <v>1</v>
      </c>
      <c r="L381" s="506">
        <f>L378</f>
        <v>138.45126400000001</v>
      </c>
      <c r="M381" s="372">
        <v>1</v>
      </c>
      <c r="N381" s="372">
        <v>1</v>
      </c>
      <c r="O381" s="498">
        <f>K381*L381*M381*N381</f>
        <v>138.45126400000001</v>
      </c>
      <c r="P381" s="235">
        <v>38654.387999999992</v>
      </c>
      <c r="Q381" s="646">
        <f>P381*$O381</f>
        <v>5351748.8777464312</v>
      </c>
      <c r="R381" s="235">
        <v>37324.800000000003</v>
      </c>
      <c r="S381" s="646">
        <f>R381*$O381</f>
        <v>5167665.7385472003</v>
      </c>
      <c r="T381" s="235">
        <v>40310.784000000007</v>
      </c>
      <c r="U381" s="647">
        <f>$O381*T381</f>
        <v>5581078.9976309771</v>
      </c>
      <c r="V381" s="235">
        <f>W381/O381</f>
        <v>38763.323999999993</v>
      </c>
      <c r="W381" s="478">
        <f>AVERAGEIF($P$3:$U$3,W$3,$P381:$U381)</f>
        <v>5366831.2046415359</v>
      </c>
      <c r="X381" s="648"/>
      <c r="Y381" s="302">
        <f>Q381/$C$1</f>
        <v>27862.082870399994</v>
      </c>
      <c r="Z381" s="232"/>
    </row>
    <row r="382" spans="2:26" hidden="1" x14ac:dyDescent="0.35">
      <c r="B382" s="603"/>
      <c r="E382" s="604"/>
      <c r="F382" s="232" t="s">
        <v>431</v>
      </c>
      <c r="G382" s="318" t="s">
        <v>367</v>
      </c>
      <c r="H382" s="319"/>
      <c r="I382" s="320"/>
      <c r="J382" s="318" t="s">
        <v>367</v>
      </c>
      <c r="K382" s="420"/>
      <c r="L382" s="506">
        <f>L381</f>
        <v>138.45126400000001</v>
      </c>
      <c r="M382" s="748">
        <v>1</v>
      </c>
      <c r="N382" s="235">
        <v>1</v>
      </c>
      <c r="O382" s="498">
        <f>K382*L382*M382*N382</f>
        <v>0</v>
      </c>
      <c r="P382" s="233">
        <v>0</v>
      </c>
      <c r="Q382" s="646">
        <f>P382*$O382</f>
        <v>0</v>
      </c>
      <c r="R382" s="235">
        <v>0</v>
      </c>
      <c r="S382" s="646">
        <f>R382*$O382</f>
        <v>0</v>
      </c>
      <c r="T382" s="235">
        <v>0</v>
      </c>
      <c r="U382" s="647">
        <f>$O382*T382</f>
        <v>0</v>
      </c>
      <c r="V382" s="647"/>
      <c r="W382" s="647"/>
      <c r="X382" s="648"/>
      <c r="Y382" s="302">
        <f t="shared" si="63"/>
        <v>0</v>
      </c>
      <c r="Z382" s="232"/>
    </row>
    <row r="383" spans="2:26" x14ac:dyDescent="0.35">
      <c r="B383" s="630" t="s">
        <v>597</v>
      </c>
      <c r="C383" s="770"/>
      <c r="D383" s="770"/>
      <c r="E383" s="771"/>
      <c r="F383" s="633"/>
      <c r="G383" s="634"/>
      <c r="H383" s="635"/>
      <c r="I383" s="636"/>
      <c r="J383" s="634"/>
      <c r="K383" s="637"/>
      <c r="L383" s="638"/>
      <c r="M383" s="772"/>
      <c r="N383" s="773"/>
      <c r="O383" s="635"/>
      <c r="P383" s="640"/>
      <c r="Q383" s="651">
        <f>SUM(Q378:Q382)</f>
        <v>19033089.881291166</v>
      </c>
      <c r="R383" s="774"/>
      <c r="S383" s="651">
        <f>SUM(S375:S382)</f>
        <v>1011769198.1302933</v>
      </c>
      <c r="T383" s="650"/>
      <c r="U383" s="650"/>
      <c r="V383" s="650"/>
      <c r="W383" s="650"/>
      <c r="X383" s="652"/>
      <c r="Y383" s="682">
        <f>Q383/$C$1</f>
        <v>99089.389219550008</v>
      </c>
      <c r="Z383" s="775">
        <f>Q383/$Q$401*100</f>
        <v>0.79505970805492499</v>
      </c>
    </row>
    <row r="384" spans="2:26" ht="29.25" customHeight="1" x14ac:dyDescent="0.35">
      <c r="B384" s="693" t="s">
        <v>598</v>
      </c>
      <c r="C384" s="776"/>
      <c r="D384" s="776"/>
      <c r="E384" s="777"/>
      <c r="F384" s="516"/>
      <c r="G384" s="613"/>
      <c r="H384" s="614"/>
      <c r="I384" s="615"/>
      <c r="J384" s="613"/>
      <c r="K384" s="616"/>
      <c r="L384" s="617"/>
      <c r="M384" s="527"/>
      <c r="N384" s="766"/>
      <c r="O384" s="614"/>
      <c r="P384" s="618"/>
      <c r="Q384" s="696">
        <f>Q339+Q349+Q359+Q369+Q375+Q383</f>
        <v>1309086299.167377</v>
      </c>
      <c r="R384" s="778"/>
      <c r="S384" s="696">
        <f>SUM(S376:S383)</f>
        <v>1027513454.9805307</v>
      </c>
      <c r="T384" s="673"/>
      <c r="U384" s="673"/>
      <c r="V384" s="673"/>
      <c r="W384" s="673"/>
      <c r="X384" s="674"/>
      <c r="Y384" s="675">
        <f>Q384/$C$1</f>
        <v>6815318.0922916336</v>
      </c>
      <c r="Z384" s="779">
        <f>Q384/$Q$401*100</f>
        <v>54.683804748791061</v>
      </c>
    </row>
    <row r="385" spans="2:26" x14ac:dyDescent="0.35">
      <c r="B385" s="620" t="s">
        <v>356</v>
      </c>
      <c r="C385" s="320"/>
      <c r="D385" s="320"/>
      <c r="E385" s="608"/>
      <c r="F385" s="232"/>
      <c r="G385" s="318"/>
      <c r="H385" s="319"/>
      <c r="I385" s="320"/>
      <c r="J385" s="318"/>
      <c r="K385" s="501"/>
      <c r="L385" s="506"/>
      <c r="M385" s="231"/>
      <c r="N385" s="235"/>
      <c r="O385" s="319"/>
      <c r="P385" s="492"/>
      <c r="Q385" s="646"/>
      <c r="R385" s="646"/>
      <c r="S385" s="646"/>
      <c r="T385" s="647"/>
      <c r="U385" s="647"/>
      <c r="V385" s="647"/>
      <c r="W385" s="647"/>
      <c r="X385" s="648"/>
      <c r="Y385" s="302"/>
      <c r="Z385" s="232"/>
    </row>
    <row r="386" spans="2:26" x14ac:dyDescent="0.35">
      <c r="B386" s="603"/>
      <c r="C386" s="94" t="s">
        <v>576</v>
      </c>
      <c r="E386" s="604"/>
      <c r="F386" s="232" t="s">
        <v>187</v>
      </c>
      <c r="G386" s="318" t="s">
        <v>188</v>
      </c>
      <c r="H386" s="319"/>
      <c r="I386" s="320"/>
      <c r="J386" s="318"/>
      <c r="K386" s="501"/>
      <c r="L386" s="506"/>
      <c r="M386" s="231">
        <v>1</v>
      </c>
      <c r="N386" s="235">
        <v>1</v>
      </c>
      <c r="O386" s="319"/>
      <c r="P386" s="492"/>
      <c r="Q386" s="646"/>
      <c r="R386" s="646"/>
      <c r="S386" s="646"/>
      <c r="T386" s="647"/>
      <c r="U386" s="647"/>
      <c r="V386" s="647"/>
      <c r="W386" s="647"/>
      <c r="X386" s="648"/>
      <c r="Y386" s="302"/>
      <c r="Z386" s="232"/>
    </row>
    <row r="387" spans="2:26" hidden="1" x14ac:dyDescent="0.35">
      <c r="B387" s="603"/>
      <c r="E387" s="604"/>
      <c r="F387" s="232" t="s">
        <v>417</v>
      </c>
      <c r="G387" s="318" t="s">
        <v>191</v>
      </c>
      <c r="H387" s="319"/>
      <c r="I387" s="320"/>
      <c r="J387" s="318"/>
      <c r="K387" s="501"/>
      <c r="L387" s="506"/>
      <c r="M387" s="231">
        <v>25</v>
      </c>
      <c r="N387" s="235">
        <v>1</v>
      </c>
      <c r="O387" s="319"/>
      <c r="P387" s="492"/>
      <c r="Q387" s="646"/>
      <c r="R387" s="646"/>
      <c r="S387" s="646"/>
      <c r="T387" s="647"/>
      <c r="U387" s="647"/>
      <c r="V387" s="647"/>
      <c r="W387" s="647"/>
      <c r="X387" s="648"/>
      <c r="Y387" s="302"/>
      <c r="Z387" s="232"/>
    </row>
    <row r="388" spans="2:26" x14ac:dyDescent="0.35">
      <c r="B388" s="603"/>
      <c r="C388" s="94" t="s">
        <v>363</v>
      </c>
      <c r="E388" s="604"/>
      <c r="F388" s="232" t="s">
        <v>187</v>
      </c>
      <c r="G388" s="318" t="s">
        <v>188</v>
      </c>
      <c r="H388" s="319"/>
      <c r="I388" s="320"/>
      <c r="J388" s="318"/>
      <c r="K388" s="501"/>
      <c r="L388" s="506"/>
      <c r="M388" s="231"/>
      <c r="N388" s="235"/>
      <c r="O388" s="319"/>
      <c r="P388" s="492"/>
      <c r="Q388" s="646"/>
      <c r="R388" s="646"/>
      <c r="S388" s="646"/>
      <c r="T388" s="647"/>
      <c r="U388" s="647"/>
      <c r="V388" s="647"/>
      <c r="W388" s="647"/>
      <c r="X388" s="648"/>
      <c r="Y388" s="302"/>
      <c r="Z388" s="232"/>
    </row>
    <row r="389" spans="2:26" x14ac:dyDescent="0.35">
      <c r="B389" s="603"/>
      <c r="C389" s="94" t="s">
        <v>148</v>
      </c>
      <c r="E389" s="604"/>
      <c r="F389" s="232" t="s">
        <v>368</v>
      </c>
      <c r="G389" s="501" t="s">
        <v>367</v>
      </c>
      <c r="H389" s="319"/>
      <c r="I389" s="320"/>
      <c r="J389" s="318"/>
      <c r="K389" s="501"/>
      <c r="L389" s="506"/>
      <c r="M389" s="744">
        <v>1</v>
      </c>
      <c r="N389" s="372">
        <v>1</v>
      </c>
      <c r="O389" s="562"/>
      <c r="P389" s="373"/>
      <c r="Q389" s="372"/>
      <c r="R389" s="372"/>
      <c r="S389" s="372"/>
      <c r="T389" s="753"/>
      <c r="U389" s="753"/>
      <c r="V389" s="753"/>
      <c r="W389" s="753"/>
      <c r="X389" s="648"/>
      <c r="Y389" s="302"/>
      <c r="Z389" s="232"/>
    </row>
    <row r="390" spans="2:26" hidden="1" x14ac:dyDescent="0.35">
      <c r="B390" s="603"/>
      <c r="E390" s="604"/>
      <c r="F390" s="232" t="s">
        <v>365</v>
      </c>
      <c r="G390" s="501" t="s">
        <v>205</v>
      </c>
      <c r="H390" s="319"/>
      <c r="I390" s="320"/>
      <c r="J390" s="318"/>
      <c r="K390" s="501"/>
      <c r="L390" s="506"/>
      <c r="M390" s="744">
        <f>2/4</f>
        <v>0.5</v>
      </c>
      <c r="N390" s="372">
        <v>1</v>
      </c>
      <c r="O390" s="562"/>
      <c r="P390" s="373"/>
      <c r="Q390" s="372"/>
      <c r="R390" s="372"/>
      <c r="S390" s="372"/>
      <c r="T390" s="753"/>
      <c r="U390" s="753"/>
      <c r="V390" s="753"/>
      <c r="W390" s="753"/>
      <c r="X390" s="648"/>
      <c r="Y390" s="302"/>
      <c r="Z390" s="232"/>
    </row>
    <row r="391" spans="2:26" hidden="1" x14ac:dyDescent="0.35">
      <c r="B391" s="605"/>
      <c r="C391" s="606"/>
      <c r="D391" s="606"/>
      <c r="E391" s="607"/>
      <c r="F391" s="232" t="s">
        <v>370</v>
      </c>
      <c r="G391" s="501" t="s">
        <v>367</v>
      </c>
      <c r="H391" s="319"/>
      <c r="I391" s="320"/>
      <c r="J391" s="318"/>
      <c r="K391" s="501"/>
      <c r="L391" s="506"/>
      <c r="M391" s="744">
        <v>1</v>
      </c>
      <c r="N391" s="372">
        <v>1</v>
      </c>
      <c r="O391" s="562"/>
      <c r="P391" s="373"/>
      <c r="Q391" s="372"/>
      <c r="R391" s="372"/>
      <c r="S391" s="372"/>
      <c r="T391" s="753"/>
      <c r="U391" s="753"/>
      <c r="V391" s="753"/>
      <c r="W391" s="753"/>
      <c r="X391" s="648"/>
      <c r="Y391" s="302"/>
      <c r="Z391" s="232"/>
    </row>
    <row r="392" spans="2:26" x14ac:dyDescent="0.35">
      <c r="B392" s="603"/>
      <c r="C392" s="94" t="s">
        <v>150</v>
      </c>
      <c r="E392" s="604"/>
      <c r="F392" s="232" t="s">
        <v>371</v>
      </c>
      <c r="G392" s="501" t="s">
        <v>367</v>
      </c>
      <c r="H392" s="319"/>
      <c r="I392" s="320"/>
      <c r="J392" s="318"/>
      <c r="K392" s="501"/>
      <c r="L392" s="506"/>
      <c r="M392" s="744">
        <v>1</v>
      </c>
      <c r="N392" s="235">
        <v>1</v>
      </c>
      <c r="O392" s="481"/>
      <c r="P392" s="233"/>
      <c r="Q392" s="235"/>
      <c r="R392" s="235"/>
      <c r="S392" s="235"/>
      <c r="T392" s="754"/>
      <c r="U392" s="754"/>
      <c r="V392" s="754"/>
      <c r="W392" s="754"/>
      <c r="X392" s="648"/>
      <c r="Y392" s="302"/>
      <c r="Z392" s="232"/>
    </row>
    <row r="393" spans="2:26" hidden="1" x14ac:dyDescent="0.35">
      <c r="B393" s="603"/>
      <c r="E393" s="604"/>
      <c r="F393" s="232" t="s">
        <v>370</v>
      </c>
      <c r="G393" s="501" t="s">
        <v>367</v>
      </c>
      <c r="H393" s="319"/>
      <c r="I393" s="320"/>
      <c r="J393" s="318"/>
      <c r="K393" s="501"/>
      <c r="L393" s="506"/>
      <c r="M393" s="744">
        <v>1</v>
      </c>
      <c r="N393" s="235">
        <v>1</v>
      </c>
      <c r="O393" s="723"/>
      <c r="P393" s="492"/>
      <c r="Q393" s="646"/>
      <c r="R393" s="646"/>
      <c r="S393" s="646"/>
      <c r="T393" s="647"/>
      <c r="U393" s="647"/>
      <c r="V393" s="647"/>
      <c r="W393" s="647"/>
      <c r="X393" s="648"/>
      <c r="Y393" s="302"/>
      <c r="Z393" s="232"/>
    </row>
    <row r="394" spans="2:26" x14ac:dyDescent="0.35">
      <c r="B394" s="620" t="s">
        <v>434</v>
      </c>
      <c r="C394" s="320"/>
      <c r="D394" s="320"/>
      <c r="E394" s="608"/>
      <c r="F394" s="232"/>
      <c r="G394" s="318"/>
      <c r="H394" s="319"/>
      <c r="I394" s="320"/>
      <c r="J394" s="318"/>
      <c r="K394" s="501"/>
      <c r="L394" s="506"/>
      <c r="M394" s="231"/>
      <c r="N394" s="235"/>
      <c r="O394" s="319"/>
      <c r="P394" s="492"/>
      <c r="Q394" s="646"/>
      <c r="R394" s="646"/>
      <c r="S394" s="646"/>
      <c r="T394" s="647">
        <f>R394*1.1</f>
        <v>0</v>
      </c>
      <c r="U394" s="647">
        <f>O394*T394</f>
        <v>0</v>
      </c>
      <c r="V394" s="235"/>
      <c r="W394" s="235"/>
      <c r="X394" s="648"/>
      <c r="Y394" s="302"/>
      <c r="Z394" s="232"/>
    </row>
    <row r="395" spans="2:26" x14ac:dyDescent="0.35">
      <c r="B395" s="603"/>
      <c r="C395" s="94" t="s">
        <v>153</v>
      </c>
      <c r="E395" s="604"/>
      <c r="F395" s="232" t="s">
        <v>187</v>
      </c>
      <c r="G395" s="318" t="s">
        <v>188</v>
      </c>
      <c r="H395" s="319"/>
      <c r="I395" s="320"/>
      <c r="J395" s="318" t="s">
        <v>189</v>
      </c>
      <c r="K395" s="420">
        <v>1</v>
      </c>
      <c r="L395" s="506">
        <v>192.08</v>
      </c>
      <c r="M395" s="240">
        <f>(0.12/15)*25</f>
        <v>0.2</v>
      </c>
      <c r="N395" s="372">
        <v>12</v>
      </c>
      <c r="O395" s="507">
        <f>K395*L395*M395*N395</f>
        <v>460.99200000000008</v>
      </c>
      <c r="P395" s="235">
        <v>169122.61109699999</v>
      </c>
      <c r="Q395" s="646">
        <f>P395*$O395</f>
        <v>77964170.734828234</v>
      </c>
      <c r="R395" s="235">
        <v>163305.33120000002</v>
      </c>
      <c r="S395" s="646">
        <f>R395*$O395</f>
        <v>75282451.240550414</v>
      </c>
      <c r="T395" s="235">
        <v>179635.86432000002</v>
      </c>
      <c r="U395" s="647">
        <f>$O395*T395</f>
        <v>82810696.364605457</v>
      </c>
      <c r="V395" s="235">
        <f>W395/O395</f>
        <v>170687.935539</v>
      </c>
      <c r="W395" s="478">
        <f>AVERAGEIF($P$3:$U$3,W$3,$P395:$U395)</f>
        <v>78685772.779994696</v>
      </c>
      <c r="X395" s="648"/>
      <c r="Y395" s="302">
        <f>Q395/$C$1</f>
        <v>405894.26663280005</v>
      </c>
      <c r="Z395" s="232"/>
    </row>
    <row r="396" spans="2:26" x14ac:dyDescent="0.35">
      <c r="B396" s="603"/>
      <c r="E396" s="604"/>
      <c r="F396" s="232" t="s">
        <v>436</v>
      </c>
      <c r="G396" s="318" t="s">
        <v>468</v>
      </c>
      <c r="H396" s="319"/>
      <c r="I396" s="320"/>
      <c r="J396" s="318" t="s">
        <v>189</v>
      </c>
      <c r="K396" s="420">
        <v>0</v>
      </c>
      <c r="L396" s="506">
        <v>192.08</v>
      </c>
      <c r="M396" s="235">
        <v>1</v>
      </c>
      <c r="N396" s="372">
        <v>12</v>
      </c>
      <c r="O396" s="507">
        <f>K396*L396*M396*N396</f>
        <v>0</v>
      </c>
      <c r="P396" s="235">
        <v>2754.4198500000002</v>
      </c>
      <c r="Q396" s="646">
        <f>P396*$O396</f>
        <v>0</v>
      </c>
      <c r="R396" s="235">
        <v>2754.4198500000002</v>
      </c>
      <c r="S396" s="646">
        <f>R396*$O396</f>
        <v>0</v>
      </c>
      <c r="T396" s="235">
        <v>2892.1408425000004</v>
      </c>
      <c r="U396" s="647">
        <f>$O396*T396</f>
        <v>0</v>
      </c>
      <c r="V396" s="235" t="e">
        <f>W396/O396</f>
        <v>#DIV/0!</v>
      </c>
      <c r="W396" s="478">
        <f>AVERAGEIF($P$3:$U$3,W$3,$P396:$U396)</f>
        <v>0</v>
      </c>
      <c r="X396" s="648"/>
      <c r="Y396" s="302">
        <f t="shared" ref="Y396" si="77">Q396/192.08</f>
        <v>0</v>
      </c>
      <c r="Z396" s="232"/>
    </row>
    <row r="397" spans="2:26" x14ac:dyDescent="0.35">
      <c r="B397" s="603"/>
      <c r="E397" s="604"/>
      <c r="F397" s="232" t="s">
        <v>438</v>
      </c>
      <c r="G397" s="318" t="s">
        <v>468</v>
      </c>
      <c r="H397" s="319"/>
      <c r="I397" s="320"/>
      <c r="J397" s="318" t="s">
        <v>189</v>
      </c>
      <c r="K397" s="420">
        <v>1</v>
      </c>
      <c r="L397" s="506">
        <v>192.08</v>
      </c>
      <c r="M397" s="235">
        <v>1</v>
      </c>
      <c r="N397" s="372">
        <v>12</v>
      </c>
      <c r="O397" s="507">
        <f>K397*L397*M397*N397</f>
        <v>2304.96</v>
      </c>
      <c r="P397" s="235">
        <v>1404.2338537500002</v>
      </c>
      <c r="Q397" s="646">
        <f>P397*$O397</f>
        <v>3236702.8635396007</v>
      </c>
      <c r="R397" s="235">
        <v>1337.365575</v>
      </c>
      <c r="S397" s="646">
        <f>R397*$O397</f>
        <v>3082574.1557519999</v>
      </c>
      <c r="T397" s="235">
        <v>1404.2338537500002</v>
      </c>
      <c r="U397" s="647">
        <f>$O397*T397</f>
        <v>3236702.8635396007</v>
      </c>
      <c r="V397" s="235">
        <f>W397/O397</f>
        <v>1381.9444275000001</v>
      </c>
      <c r="W397" s="478">
        <f>AVERAGEIF($P$3:$U$3,W$3,$P397:$U397)</f>
        <v>3185326.6276104003</v>
      </c>
      <c r="X397" s="648"/>
      <c r="Y397" s="302">
        <f>Q397/$C$1</f>
        <v>16850.806245000003</v>
      </c>
      <c r="Z397" s="232"/>
    </row>
    <row r="398" spans="2:26" x14ac:dyDescent="0.35">
      <c r="B398" s="603"/>
      <c r="C398" s="94" t="s">
        <v>155</v>
      </c>
      <c r="E398" s="604"/>
      <c r="F398" s="232" t="s">
        <v>187</v>
      </c>
      <c r="G398" s="318" t="s">
        <v>188</v>
      </c>
      <c r="H398" s="319"/>
      <c r="I398" s="320"/>
      <c r="J398" s="318" t="s">
        <v>189</v>
      </c>
      <c r="K398" s="420">
        <v>1</v>
      </c>
      <c r="L398" s="506">
        <v>192.08</v>
      </c>
      <c r="M398" s="233">
        <f>(1/500)*25</f>
        <v>0.05</v>
      </c>
      <c r="N398" s="372">
        <v>12</v>
      </c>
      <c r="O398" s="507">
        <f>K398*L398*M398*N398</f>
        <v>115.24800000000002</v>
      </c>
      <c r="P398" s="235">
        <v>169122.61109699999</v>
      </c>
      <c r="Q398" s="646">
        <f>P398*$O398</f>
        <v>19491042.683707058</v>
      </c>
      <c r="R398" s="235">
        <v>163305.33120000002</v>
      </c>
      <c r="S398" s="646">
        <f>R398*$O398</f>
        <v>18820612.810137603</v>
      </c>
      <c r="T398" s="235">
        <v>179635.86432000002</v>
      </c>
      <c r="U398" s="647">
        <f>$O398*T398</f>
        <v>20702674.091151364</v>
      </c>
      <c r="V398" s="235">
        <f>W398/O398</f>
        <v>170687.935539</v>
      </c>
      <c r="W398" s="478">
        <f>AVERAGEIF($P$3:$U$3,W$3,$P398:$U398)</f>
        <v>19671443.194998674</v>
      </c>
      <c r="X398" s="648"/>
      <c r="Y398" s="302">
        <f>Q398/$C$1</f>
        <v>101473.56665820001</v>
      </c>
      <c r="Z398" s="232"/>
    </row>
    <row r="399" spans="2:26" x14ac:dyDescent="0.35">
      <c r="B399" s="603"/>
      <c r="E399" s="604"/>
      <c r="F399" s="232" t="s">
        <v>440</v>
      </c>
      <c r="G399" s="318" t="s">
        <v>351</v>
      </c>
      <c r="H399" s="319"/>
      <c r="I399" s="320"/>
      <c r="J399" s="318" t="s">
        <v>189</v>
      </c>
      <c r="K399" s="420">
        <v>1</v>
      </c>
      <c r="L399" s="506">
        <v>192.08</v>
      </c>
      <c r="M399" s="743">
        <v>0.08</v>
      </c>
      <c r="N399" s="372">
        <v>12</v>
      </c>
      <c r="O399" s="507">
        <f>K399*L399*M399*N399</f>
        <v>184.39680000000001</v>
      </c>
      <c r="P399" s="235">
        <v>23152.5</v>
      </c>
      <c r="Q399" s="646">
        <f>P399*$O399</f>
        <v>4269246.9120000005</v>
      </c>
      <c r="R399" s="235">
        <v>23328</v>
      </c>
      <c r="S399" s="646">
        <f>R399*$O399</f>
        <v>4301608.5504000001</v>
      </c>
      <c r="T399" s="235">
        <v>25194.240000000002</v>
      </c>
      <c r="U399" s="647">
        <f>$O399*T399</f>
        <v>4645737.2344320007</v>
      </c>
      <c r="V399" s="235">
        <f>W399/O399</f>
        <v>23891.58</v>
      </c>
      <c r="W399" s="478">
        <f>AVERAGEIF($P$3:$U$3,W$3,$P399:$U399)</f>
        <v>4405530.8989440007</v>
      </c>
      <c r="X399" s="648"/>
      <c r="Y399" s="302">
        <f>Q399/$C$1</f>
        <v>22226.400000000001</v>
      </c>
      <c r="Z399" s="232"/>
    </row>
    <row r="400" spans="2:26" x14ac:dyDescent="0.35">
      <c r="B400" s="693" t="s">
        <v>624</v>
      </c>
      <c r="C400" s="776"/>
      <c r="D400" s="776"/>
      <c r="E400" s="777"/>
      <c r="F400" s="516"/>
      <c r="G400" s="613"/>
      <c r="H400" s="614"/>
      <c r="I400" s="615"/>
      <c r="J400" s="613"/>
      <c r="K400" s="616"/>
      <c r="L400" s="617"/>
      <c r="M400" s="527"/>
      <c r="N400" s="766"/>
      <c r="O400" s="614"/>
      <c r="P400" s="618"/>
      <c r="Q400" s="696">
        <f>SUM(Q395:Q399)</f>
        <v>104961163.1940749</v>
      </c>
      <c r="R400" s="778"/>
      <c r="S400" s="696">
        <f>SUM(S392:S399)</f>
        <v>101487246.75684002</v>
      </c>
      <c r="T400" s="673"/>
      <c r="U400" s="673"/>
      <c r="V400" s="673"/>
      <c r="W400" s="673"/>
      <c r="X400" s="674"/>
      <c r="Y400" s="413">
        <f>Q400/$C$1</f>
        <v>546445.03953600011</v>
      </c>
      <c r="Z400" s="414">
        <f>Q400/$Q$401*100</f>
        <v>4.3844899743900871</v>
      </c>
    </row>
    <row r="401" spans="2:26" x14ac:dyDescent="0.35">
      <c r="B401" s="693" t="s">
        <v>625</v>
      </c>
      <c r="C401" s="776"/>
      <c r="D401" s="776"/>
      <c r="E401" s="777"/>
      <c r="F401" s="516"/>
      <c r="G401" s="613"/>
      <c r="H401" s="614"/>
      <c r="I401" s="615"/>
      <c r="J401" s="613"/>
      <c r="K401" s="616"/>
      <c r="L401" s="617"/>
      <c r="M401" s="527"/>
      <c r="N401" s="766"/>
      <c r="O401" s="614"/>
      <c r="P401" s="618"/>
      <c r="Q401" s="696">
        <f>Q35+Q56+Q172+Q196+Q281+Q287+Q327+Q384+Q400</f>
        <v>2393919562.073482</v>
      </c>
      <c r="R401" s="778"/>
      <c r="S401" s="696">
        <f>SUM(S393:S400)</f>
        <v>202974493.51368004</v>
      </c>
      <c r="T401" s="673"/>
      <c r="U401" s="673"/>
      <c r="V401" s="673"/>
      <c r="W401" s="673"/>
      <c r="X401" s="674"/>
      <c r="Y401" s="413">
        <f>Q401/$C$1</f>
        <v>12463138.078266773</v>
      </c>
      <c r="Z401" s="504">
        <f>Q401/$Q$401*100</f>
        <v>100</v>
      </c>
    </row>
    <row r="403" spans="2:26" x14ac:dyDescent="0.35">
      <c r="Q403" s="473"/>
    </row>
  </sheetData>
  <mergeCells count="55">
    <mergeCell ref="B375:E375"/>
    <mergeCell ref="B383:E383"/>
    <mergeCell ref="B384:E384"/>
    <mergeCell ref="B400:E400"/>
    <mergeCell ref="B401:E401"/>
    <mergeCell ref="K323:K325"/>
    <mergeCell ref="B327:E327"/>
    <mergeCell ref="B339:E339"/>
    <mergeCell ref="B349:E349"/>
    <mergeCell ref="B359:E359"/>
    <mergeCell ref="B369:E369"/>
    <mergeCell ref="B261:E261"/>
    <mergeCell ref="B281:E281"/>
    <mergeCell ref="B287:E287"/>
    <mergeCell ref="B291:E291"/>
    <mergeCell ref="B303:E303"/>
    <mergeCell ref="B320:E320"/>
    <mergeCell ref="B172:E172"/>
    <mergeCell ref="B183:E183"/>
    <mergeCell ref="B190:E190"/>
    <mergeCell ref="B195:E195"/>
    <mergeCell ref="B196:E196"/>
    <mergeCell ref="B234:E234"/>
    <mergeCell ref="B56:E56"/>
    <mergeCell ref="B68:E68"/>
    <mergeCell ref="B82:E82"/>
    <mergeCell ref="B108:E108"/>
    <mergeCell ref="B124:E124"/>
    <mergeCell ref="B171:E171"/>
    <mergeCell ref="S3:S4"/>
    <mergeCell ref="T3:T4"/>
    <mergeCell ref="U3:U4"/>
    <mergeCell ref="V3:V4"/>
    <mergeCell ref="W3:W4"/>
    <mergeCell ref="B35:D35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/>
  <pageMargins left="0.2" right="0.2" top="0.75" bottom="0.25" header="0.3" footer="0.3"/>
  <pageSetup paperSize="9" scale="64" orientation="landscape" r:id="rId1"/>
  <rowBreaks count="4" manualBreakCount="4">
    <brk id="116" max="25" man="1"/>
    <brk id="190" max="25" man="1"/>
    <brk id="299" max="25" man="1"/>
    <brk id="362" max="2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7D59-B2D2-4C56-BC56-CE952FC8F32D}">
  <sheetPr>
    <tabColor theme="9" tint="-0.249977111117893"/>
  </sheetPr>
  <dimension ref="A1:AB403"/>
  <sheetViews>
    <sheetView view="pageBreakPreview" zoomScale="60" zoomScaleNormal="100" workbookViewId="0">
      <pane xSplit="7" ySplit="5" topLeftCell="H348" activePane="bottomRight" state="frozen"/>
      <selection activeCell="Q12" sqref="Q12"/>
      <selection pane="topRight" activeCell="Q12" sqref="Q12"/>
      <selection pane="bottomLeft" activeCell="Q12" sqref="Q12"/>
      <selection pane="bottomRight" activeCell="Q12" sqref="Q12"/>
    </sheetView>
  </sheetViews>
  <sheetFormatPr defaultColWidth="9.1796875" defaultRowHeight="14.5" x14ac:dyDescent="0.35"/>
  <cols>
    <col min="1" max="1" width="2.1796875" style="286" customWidth="1"/>
    <col min="2" max="2" width="5.81640625" style="286" customWidth="1"/>
    <col min="3" max="3" width="8.81640625" style="286" customWidth="1"/>
    <col min="4" max="4" width="18" style="286" customWidth="1"/>
    <col min="5" max="5" width="14.81640625" style="286" customWidth="1"/>
    <col min="6" max="6" width="29" style="286" customWidth="1"/>
    <col min="7" max="7" width="7.54296875" style="582" bestFit="1" customWidth="1"/>
    <col min="8" max="8" width="7.54296875" style="286" customWidth="1"/>
    <col min="9" max="9" width="6" style="286" customWidth="1"/>
    <col min="10" max="10" width="6" style="582" customWidth="1"/>
    <col min="11" max="11" width="9.7265625" style="582" customWidth="1"/>
    <col min="12" max="12" width="11.1796875" style="582" customWidth="1"/>
    <col min="13" max="13" width="11.453125" style="800" bestFit="1" customWidth="1"/>
    <col min="14" max="14" width="7.26953125" style="801" bestFit="1" customWidth="1"/>
    <col min="15" max="15" width="12.453125" style="286" customWidth="1"/>
    <col min="16" max="16" width="16.81640625" style="286" bestFit="1" customWidth="1"/>
    <col min="17" max="17" width="17.453125" style="286" customWidth="1"/>
    <col min="18" max="19" width="15" style="286" hidden="1" customWidth="1"/>
    <col min="20" max="20" width="16.26953125" style="286" hidden="1" customWidth="1"/>
    <col min="21" max="21" width="15" style="286" hidden="1" customWidth="1"/>
    <col min="22" max="22" width="16.26953125" style="286" hidden="1" customWidth="1"/>
    <col min="23" max="23" width="15" style="286" hidden="1" customWidth="1"/>
    <col min="24" max="24" width="7.453125" style="286" hidden="1" customWidth="1"/>
    <col min="25" max="25" width="17.453125" style="286" customWidth="1"/>
    <col min="26" max="26" width="7.1796875" style="286" customWidth="1"/>
    <col min="27" max="28" width="9.1796875" style="286"/>
    <col min="29" max="16384" width="9.1796875" style="375"/>
  </cols>
  <sheetData>
    <row r="1" spans="1:28" x14ac:dyDescent="0.35">
      <c r="B1" s="799" t="s">
        <v>626</v>
      </c>
      <c r="C1" s="286">
        <v>192.08</v>
      </c>
    </row>
    <row r="2" spans="1:28" customFormat="1" ht="15" customHeight="1" x14ac:dyDescent="0.35">
      <c r="A2" s="94"/>
      <c r="B2" s="174" t="s">
        <v>8</v>
      </c>
      <c r="C2" s="571"/>
      <c r="D2" s="571"/>
      <c r="E2" s="175"/>
      <c r="F2" s="172" t="s">
        <v>168</v>
      </c>
      <c r="G2" s="173"/>
      <c r="H2" s="174" t="s">
        <v>169</v>
      </c>
      <c r="I2" s="175"/>
      <c r="J2" s="172" t="s">
        <v>627</v>
      </c>
      <c r="K2" s="572"/>
      <c r="L2" s="572"/>
      <c r="M2" s="572"/>
      <c r="N2" s="572"/>
      <c r="O2" s="173"/>
      <c r="P2" s="179">
        <v>2029</v>
      </c>
      <c r="Q2" s="180"/>
      <c r="R2" s="179">
        <v>2029</v>
      </c>
      <c r="S2" s="180"/>
      <c r="T2" s="181">
        <v>2029</v>
      </c>
      <c r="U2" s="182"/>
      <c r="V2" s="185" t="s">
        <v>171</v>
      </c>
      <c r="W2" s="186"/>
      <c r="X2" s="573"/>
      <c r="Y2" s="759" t="s">
        <v>68</v>
      </c>
      <c r="Z2" s="189" t="s">
        <v>69</v>
      </c>
      <c r="AA2" s="94"/>
      <c r="AB2" s="94"/>
    </row>
    <row r="3" spans="1:28" s="578" customFormat="1" x14ac:dyDescent="0.35">
      <c r="A3" s="570"/>
      <c r="B3" s="194"/>
      <c r="C3" s="574"/>
      <c r="D3" s="574"/>
      <c r="E3" s="195"/>
      <c r="F3" s="193" t="s">
        <v>175</v>
      </c>
      <c r="G3" s="193" t="s">
        <v>176</v>
      </c>
      <c r="H3" s="194"/>
      <c r="I3" s="195"/>
      <c r="J3" s="193" t="s">
        <v>176</v>
      </c>
      <c r="K3" s="172" t="s">
        <v>177</v>
      </c>
      <c r="L3" s="173"/>
      <c r="M3" s="196" t="s">
        <v>178</v>
      </c>
      <c r="N3" s="760" t="s">
        <v>179</v>
      </c>
      <c r="O3" s="577" t="s">
        <v>180</v>
      </c>
      <c r="P3" s="198" t="s">
        <v>181</v>
      </c>
      <c r="Q3" s="198" t="s">
        <v>182</v>
      </c>
      <c r="R3" s="198" t="s">
        <v>181</v>
      </c>
      <c r="S3" s="198" t="s">
        <v>182</v>
      </c>
      <c r="T3" s="200" t="s">
        <v>181</v>
      </c>
      <c r="U3" s="200" t="s">
        <v>182</v>
      </c>
      <c r="V3" s="202" t="s">
        <v>181</v>
      </c>
      <c r="W3" s="202" t="s">
        <v>182</v>
      </c>
      <c r="X3" s="761" t="s">
        <v>172</v>
      </c>
      <c r="Y3" s="759"/>
      <c r="Z3" s="204"/>
      <c r="AA3" s="570"/>
      <c r="AB3" s="570"/>
    </row>
    <row r="4" spans="1:28" s="578" customFormat="1" ht="28" x14ac:dyDescent="0.35">
      <c r="A4" s="570"/>
      <c r="B4" s="209"/>
      <c r="C4" s="762"/>
      <c r="D4" s="762"/>
      <c r="E4" s="210"/>
      <c r="F4" s="208"/>
      <c r="G4" s="208"/>
      <c r="H4" s="209"/>
      <c r="I4" s="210"/>
      <c r="J4" s="208"/>
      <c r="K4" s="211" t="s">
        <v>183</v>
      </c>
      <c r="L4" s="212" t="s">
        <v>184</v>
      </c>
      <c r="M4" s="213"/>
      <c r="N4" s="763"/>
      <c r="O4" s="581"/>
      <c r="P4" s="215"/>
      <c r="Q4" s="215"/>
      <c r="R4" s="215"/>
      <c r="S4" s="215"/>
      <c r="T4" s="217"/>
      <c r="U4" s="217"/>
      <c r="V4" s="219"/>
      <c r="W4" s="219"/>
      <c r="X4" s="761"/>
      <c r="Y4" s="759"/>
      <c r="Z4" s="221"/>
      <c r="AA4" s="570"/>
      <c r="AB4" s="570"/>
    </row>
    <row r="5" spans="1:28" s="597" customFormat="1" x14ac:dyDescent="0.35">
      <c r="A5" s="582"/>
      <c r="B5" s="583" t="s">
        <v>314</v>
      </c>
      <c r="C5" s="584"/>
      <c r="D5" s="585"/>
      <c r="E5" s="586"/>
      <c r="F5" s="587"/>
      <c r="G5" s="588"/>
      <c r="H5" s="588"/>
      <c r="I5" s="589"/>
      <c r="J5" s="588"/>
      <c r="K5" s="590"/>
      <c r="L5" s="591"/>
      <c r="M5" s="764"/>
      <c r="N5" s="765"/>
      <c r="O5" s="593"/>
      <c r="P5" s="594"/>
      <c r="Q5" s="594"/>
      <c r="R5" s="594"/>
      <c r="S5" s="594"/>
      <c r="T5" s="241"/>
      <c r="U5" s="241"/>
      <c r="V5" s="241"/>
      <c r="W5" s="241"/>
      <c r="X5" s="595"/>
      <c r="Y5" s="596"/>
      <c r="Z5" s="596"/>
      <c r="AA5" s="582"/>
      <c r="AB5" s="582"/>
    </row>
    <row r="6" spans="1:28" x14ac:dyDescent="0.35">
      <c r="B6" s="654"/>
      <c r="C6" s="655" t="s">
        <v>118</v>
      </c>
      <c r="D6" s="655"/>
      <c r="E6" s="702"/>
      <c r="F6" s="374" t="s">
        <v>187</v>
      </c>
      <c r="G6" s="625" t="s">
        <v>188</v>
      </c>
      <c r="H6" s="602"/>
      <c r="I6" s="626"/>
      <c r="J6" s="625"/>
      <c r="K6" s="596"/>
      <c r="L6" s="496"/>
      <c r="M6" s="377"/>
      <c r="N6" s="372"/>
      <c r="O6" s="602"/>
      <c r="P6" s="628"/>
      <c r="Q6" s="628"/>
      <c r="R6" s="628"/>
      <c r="S6" s="628"/>
      <c r="T6" s="629"/>
      <c r="U6" s="629"/>
      <c r="V6" s="629"/>
      <c r="W6" s="629"/>
      <c r="X6" s="602"/>
      <c r="Y6" s="374"/>
      <c r="Z6" s="374"/>
    </row>
    <row r="7" spans="1:28" hidden="1" x14ac:dyDescent="0.35">
      <c r="B7" s="644"/>
      <c r="E7" s="645"/>
      <c r="F7" s="374" t="s">
        <v>316</v>
      </c>
      <c r="G7" s="625" t="s">
        <v>191</v>
      </c>
      <c r="H7" s="602"/>
      <c r="I7" s="626"/>
      <c r="J7" s="625"/>
      <c r="K7" s="596"/>
      <c r="L7" s="496"/>
      <c r="M7" s="377"/>
      <c r="N7" s="372"/>
      <c r="O7" s="602"/>
      <c r="P7" s="628"/>
      <c r="Q7" s="628"/>
      <c r="R7" s="628"/>
      <c r="S7" s="628"/>
      <c r="T7" s="629"/>
      <c r="U7" s="629"/>
      <c r="V7" s="629"/>
      <c r="W7" s="629"/>
      <c r="X7" s="602"/>
      <c r="Y7" s="374"/>
      <c r="Z7" s="374"/>
    </row>
    <row r="8" spans="1:28" hidden="1" x14ac:dyDescent="0.35">
      <c r="B8" s="644"/>
      <c r="E8" s="645"/>
      <c r="F8" s="374" t="s">
        <v>317</v>
      </c>
      <c r="G8" s="625" t="s">
        <v>191</v>
      </c>
      <c r="H8" s="602"/>
      <c r="I8" s="626"/>
      <c r="J8" s="625"/>
      <c r="K8" s="596"/>
      <c r="L8" s="496"/>
      <c r="M8" s="377"/>
      <c r="N8" s="372"/>
      <c r="O8" s="602"/>
      <c r="P8" s="628"/>
      <c r="Q8" s="628"/>
      <c r="R8" s="628"/>
      <c r="S8" s="628"/>
      <c r="T8" s="629"/>
      <c r="U8" s="629"/>
      <c r="V8" s="629"/>
      <c r="W8" s="629"/>
      <c r="X8" s="602"/>
      <c r="Y8" s="374"/>
      <c r="Z8" s="374"/>
    </row>
    <row r="9" spans="1:28" customFormat="1" hidden="1" x14ac:dyDescent="0.35">
      <c r="A9" s="94"/>
      <c r="B9" s="644"/>
      <c r="C9" s="286"/>
      <c r="D9" s="286"/>
      <c r="E9" s="645"/>
      <c r="F9" s="232" t="s">
        <v>324</v>
      </c>
      <c r="G9" s="625" t="s">
        <v>191</v>
      </c>
      <c r="H9" s="319"/>
      <c r="I9" s="320"/>
      <c r="J9" s="318"/>
      <c r="K9" s="501"/>
      <c r="L9" s="506"/>
      <c r="M9" s="231"/>
      <c r="N9" s="235"/>
      <c r="O9" s="319"/>
      <c r="P9" s="492"/>
      <c r="Q9" s="492"/>
      <c r="R9" s="492"/>
      <c r="S9" s="492"/>
      <c r="T9" s="601"/>
      <c r="U9" s="601"/>
      <c r="V9" s="601"/>
      <c r="W9" s="601"/>
      <c r="X9" s="602"/>
      <c r="Y9" s="232"/>
      <c r="Z9" s="232"/>
      <c r="AA9" s="94"/>
      <c r="AB9" s="94"/>
    </row>
    <row r="10" spans="1:28" hidden="1" x14ac:dyDescent="0.35">
      <c r="B10" s="644"/>
      <c r="E10" s="645"/>
      <c r="F10" s="374" t="s">
        <v>482</v>
      </c>
      <c r="G10" s="625" t="s">
        <v>191</v>
      </c>
      <c r="H10" s="602"/>
      <c r="I10" s="626"/>
      <c r="J10" s="625"/>
      <c r="K10" s="596"/>
      <c r="L10" s="496"/>
      <c r="M10" s="377"/>
      <c r="N10" s="372"/>
      <c r="O10" s="602"/>
      <c r="P10" s="628"/>
      <c r="Q10" s="628"/>
      <c r="R10" s="628"/>
      <c r="S10" s="628"/>
      <c r="T10" s="629"/>
      <c r="U10" s="629"/>
      <c r="V10" s="629"/>
      <c r="W10" s="629"/>
      <c r="X10" s="602"/>
      <c r="Y10" s="374"/>
      <c r="Z10" s="374"/>
    </row>
    <row r="11" spans="1:28" hidden="1" x14ac:dyDescent="0.35">
      <c r="B11" s="644"/>
      <c r="E11" s="645"/>
      <c r="F11" s="374" t="s">
        <v>322</v>
      </c>
      <c r="G11" s="625" t="s">
        <v>191</v>
      </c>
      <c r="H11" s="602"/>
      <c r="I11" s="626"/>
      <c r="J11" s="625"/>
      <c r="K11" s="596"/>
      <c r="L11" s="496"/>
      <c r="M11" s="377"/>
      <c r="N11" s="372"/>
      <c r="O11" s="602"/>
      <c r="P11" s="628"/>
      <c r="Q11" s="628"/>
      <c r="R11" s="628"/>
      <c r="S11" s="628"/>
      <c r="T11" s="629"/>
      <c r="U11" s="629"/>
      <c r="V11" s="629"/>
      <c r="W11" s="629"/>
      <c r="X11" s="602"/>
      <c r="Y11" s="374"/>
      <c r="Z11" s="374"/>
    </row>
    <row r="12" spans="1:28" hidden="1" x14ac:dyDescent="0.35">
      <c r="B12" s="622"/>
      <c r="C12" s="623"/>
      <c r="D12" s="623"/>
      <c r="E12" s="624"/>
      <c r="F12" s="374" t="s">
        <v>242</v>
      </c>
      <c r="G12" s="625" t="s">
        <v>193</v>
      </c>
      <c r="H12" s="602">
        <v>1</v>
      </c>
      <c r="I12" s="626" t="s">
        <v>238</v>
      </c>
      <c r="J12" s="625"/>
      <c r="K12" s="596"/>
      <c r="L12" s="496"/>
      <c r="M12" s="377"/>
      <c r="N12" s="372"/>
      <c r="O12" s="602"/>
      <c r="P12" s="628"/>
      <c r="Q12" s="628"/>
      <c r="R12" s="628"/>
      <c r="S12" s="628"/>
      <c r="T12" s="629"/>
      <c r="U12" s="629"/>
      <c r="V12" s="629"/>
      <c r="W12" s="629"/>
      <c r="X12" s="602"/>
      <c r="Y12" s="374"/>
      <c r="Z12" s="374"/>
    </row>
    <row r="13" spans="1:28" x14ac:dyDescent="0.35">
      <c r="B13" s="602"/>
      <c r="C13" s="626" t="s">
        <v>136</v>
      </c>
      <c r="D13" s="626"/>
      <c r="E13" s="678"/>
      <c r="F13" s="374" t="s">
        <v>187</v>
      </c>
      <c r="G13" s="625" t="s">
        <v>188</v>
      </c>
      <c r="H13" s="602"/>
      <c r="I13" s="626"/>
      <c r="J13" s="625"/>
      <c r="K13" s="596"/>
      <c r="L13" s="496"/>
      <c r="M13" s="377"/>
      <c r="N13" s="372"/>
      <c r="O13" s="602"/>
      <c r="P13" s="628"/>
      <c r="Q13" s="628"/>
      <c r="R13" s="628"/>
      <c r="S13" s="628"/>
      <c r="T13" s="629"/>
      <c r="U13" s="629"/>
      <c r="V13" s="629"/>
      <c r="W13" s="629"/>
      <c r="X13" s="602"/>
      <c r="Y13" s="374"/>
      <c r="Z13" s="374"/>
    </row>
    <row r="14" spans="1:28" x14ac:dyDescent="0.35">
      <c r="B14" s="654"/>
      <c r="C14" s="655" t="s">
        <v>483</v>
      </c>
      <c r="D14" s="655"/>
      <c r="E14" s="702"/>
      <c r="F14" s="374" t="s">
        <v>187</v>
      </c>
      <c r="G14" s="625" t="s">
        <v>188</v>
      </c>
      <c r="H14" s="602"/>
      <c r="I14" s="626"/>
      <c r="J14" s="625"/>
      <c r="K14" s="596"/>
      <c r="L14" s="496"/>
      <c r="M14" s="377"/>
      <c r="N14" s="372"/>
      <c r="O14" s="602"/>
      <c r="P14" s="628"/>
      <c r="Q14" s="628"/>
      <c r="R14" s="628"/>
      <c r="S14" s="628"/>
      <c r="T14" s="629"/>
      <c r="U14" s="629"/>
      <c r="V14" s="629"/>
      <c r="W14" s="629"/>
      <c r="X14" s="609"/>
      <c r="Y14" s="374"/>
      <c r="Z14" s="374"/>
    </row>
    <row r="15" spans="1:28" hidden="1" x14ac:dyDescent="0.35">
      <c r="B15" s="644"/>
      <c r="E15" s="645"/>
      <c r="F15" s="374" t="s">
        <v>231</v>
      </c>
      <c r="G15" s="625" t="s">
        <v>232</v>
      </c>
      <c r="H15" s="602"/>
      <c r="I15" s="626"/>
      <c r="J15" s="625"/>
      <c r="K15" s="596"/>
      <c r="L15" s="496"/>
      <c r="M15" s="377"/>
      <c r="N15" s="372"/>
      <c r="O15" s="602"/>
      <c r="P15" s="628"/>
      <c r="Q15" s="628"/>
      <c r="R15" s="628"/>
      <c r="S15" s="628"/>
      <c r="T15" s="629"/>
      <c r="U15" s="629"/>
      <c r="V15" s="629"/>
      <c r="W15" s="629"/>
      <c r="X15" s="602"/>
      <c r="Y15" s="374"/>
      <c r="Z15" s="374"/>
    </row>
    <row r="16" spans="1:28" hidden="1" x14ac:dyDescent="0.35">
      <c r="B16" s="644"/>
      <c r="E16" s="645"/>
      <c r="F16" s="374" t="s">
        <v>233</v>
      </c>
      <c r="G16" s="625" t="s">
        <v>191</v>
      </c>
      <c r="H16" s="602"/>
      <c r="I16" s="626"/>
      <c r="J16" s="625"/>
      <c r="K16" s="596"/>
      <c r="L16" s="496"/>
      <c r="M16" s="377"/>
      <c r="N16" s="372"/>
      <c r="O16" s="602"/>
      <c r="P16" s="628"/>
      <c r="Q16" s="628"/>
      <c r="R16" s="628"/>
      <c r="S16" s="628"/>
      <c r="T16" s="629"/>
      <c r="U16" s="629"/>
      <c r="V16" s="629"/>
      <c r="W16" s="629"/>
      <c r="X16" s="602"/>
      <c r="Y16" s="374"/>
      <c r="Z16" s="374"/>
    </row>
    <row r="17" spans="2:26" hidden="1" x14ac:dyDescent="0.35">
      <c r="B17" s="644"/>
      <c r="E17" s="645"/>
      <c r="F17" s="374" t="s">
        <v>235</v>
      </c>
      <c r="G17" s="625" t="s">
        <v>232</v>
      </c>
      <c r="H17" s="602"/>
      <c r="I17" s="626"/>
      <c r="J17" s="625"/>
      <c r="K17" s="596"/>
      <c r="L17" s="496"/>
      <c r="M17" s="377"/>
      <c r="N17" s="372"/>
      <c r="O17" s="602"/>
      <c r="P17" s="628"/>
      <c r="Q17" s="628"/>
      <c r="R17" s="628"/>
      <c r="S17" s="628"/>
      <c r="T17" s="629"/>
      <c r="U17" s="629"/>
      <c r="V17" s="629"/>
      <c r="W17" s="629"/>
      <c r="X17" s="602"/>
      <c r="Y17" s="374"/>
      <c r="Z17" s="374"/>
    </row>
    <row r="18" spans="2:26" hidden="1" x14ac:dyDescent="0.35">
      <c r="B18" s="644"/>
      <c r="E18" s="645"/>
      <c r="F18" s="374" t="s">
        <v>396</v>
      </c>
      <c r="G18" s="625" t="s">
        <v>193</v>
      </c>
      <c r="H18" s="602"/>
      <c r="I18" s="626"/>
      <c r="J18" s="625"/>
      <c r="K18" s="596"/>
      <c r="L18" s="496"/>
      <c r="M18" s="377"/>
      <c r="N18" s="372"/>
      <c r="O18" s="602"/>
      <c r="P18" s="628"/>
      <c r="Q18" s="628"/>
      <c r="R18" s="628"/>
      <c r="S18" s="628"/>
      <c r="T18" s="629"/>
      <c r="U18" s="629"/>
      <c r="V18" s="629"/>
      <c r="W18" s="629"/>
      <c r="X18" s="602"/>
      <c r="Y18" s="374"/>
      <c r="Z18" s="374"/>
    </row>
    <row r="19" spans="2:26" hidden="1" x14ac:dyDescent="0.35">
      <c r="B19" s="644"/>
      <c r="E19" s="645"/>
      <c r="F19" s="374" t="s">
        <v>236</v>
      </c>
      <c r="G19" s="625" t="s">
        <v>188</v>
      </c>
      <c r="H19" s="602"/>
      <c r="I19" s="626"/>
      <c r="J19" s="625"/>
      <c r="K19" s="596"/>
      <c r="L19" s="496"/>
      <c r="M19" s="377"/>
      <c r="N19" s="372"/>
      <c r="O19" s="602"/>
      <c r="P19" s="628"/>
      <c r="Q19" s="628"/>
      <c r="R19" s="628"/>
      <c r="S19" s="628"/>
      <c r="T19" s="629"/>
      <c r="U19" s="629"/>
      <c r="V19" s="629"/>
      <c r="W19" s="629"/>
      <c r="X19" s="602"/>
      <c r="Y19" s="374"/>
      <c r="Z19" s="374"/>
    </row>
    <row r="20" spans="2:26" hidden="1" x14ac:dyDescent="0.35">
      <c r="B20" s="644"/>
      <c r="E20" s="645"/>
      <c r="F20" s="374" t="s">
        <v>237</v>
      </c>
      <c r="G20" s="625" t="s">
        <v>193</v>
      </c>
      <c r="H20" s="602">
        <v>4</v>
      </c>
      <c r="I20" s="626" t="s">
        <v>238</v>
      </c>
      <c r="J20" s="625"/>
      <c r="K20" s="596"/>
      <c r="L20" s="496"/>
      <c r="M20" s="377"/>
      <c r="N20" s="372"/>
      <c r="O20" s="602"/>
      <c r="P20" s="628"/>
      <c r="Q20" s="628"/>
      <c r="R20" s="628"/>
      <c r="S20" s="628"/>
      <c r="T20" s="629"/>
      <c r="U20" s="629"/>
      <c r="V20" s="629"/>
      <c r="W20" s="629"/>
      <c r="X20" s="602"/>
      <c r="Y20" s="374"/>
      <c r="Z20" s="374"/>
    </row>
    <row r="21" spans="2:26" hidden="1" x14ac:dyDescent="0.35">
      <c r="B21" s="644"/>
      <c r="E21" s="645"/>
      <c r="F21" s="374" t="s">
        <v>239</v>
      </c>
      <c r="G21" s="625" t="s">
        <v>193</v>
      </c>
      <c r="H21" s="602">
        <v>12</v>
      </c>
      <c r="I21" s="626" t="s">
        <v>238</v>
      </c>
      <c r="J21" s="625"/>
      <c r="K21" s="596"/>
      <c r="L21" s="496"/>
      <c r="M21" s="377"/>
      <c r="N21" s="372"/>
      <c r="O21" s="602"/>
      <c r="P21" s="628"/>
      <c r="Q21" s="628"/>
      <c r="R21" s="628"/>
      <c r="S21" s="628"/>
      <c r="T21" s="629"/>
      <c r="U21" s="629"/>
      <c r="V21" s="629"/>
      <c r="W21" s="629"/>
      <c r="X21" s="602"/>
      <c r="Y21" s="374"/>
      <c r="Z21" s="374"/>
    </row>
    <row r="22" spans="2:26" hidden="1" x14ac:dyDescent="0.35">
      <c r="B22" s="644"/>
      <c r="E22" s="645"/>
      <c r="F22" s="374" t="s">
        <v>240</v>
      </c>
      <c r="G22" s="625" t="s">
        <v>193</v>
      </c>
      <c r="H22" s="602">
        <v>1</v>
      </c>
      <c r="I22" s="626" t="s">
        <v>238</v>
      </c>
      <c r="J22" s="625"/>
      <c r="K22" s="596"/>
      <c r="L22" s="496"/>
      <c r="M22" s="377"/>
      <c r="N22" s="372"/>
      <c r="O22" s="602"/>
      <c r="P22" s="628"/>
      <c r="Q22" s="628"/>
      <c r="R22" s="628"/>
      <c r="S22" s="628"/>
      <c r="T22" s="629"/>
      <c r="U22" s="629"/>
      <c r="V22" s="629"/>
      <c r="W22" s="629"/>
      <c r="X22" s="602"/>
      <c r="Y22" s="374"/>
      <c r="Z22" s="374"/>
    </row>
    <row r="23" spans="2:26" hidden="1" x14ac:dyDescent="0.35">
      <c r="B23" s="644"/>
      <c r="E23" s="645"/>
      <c r="F23" s="374" t="s">
        <v>241</v>
      </c>
      <c r="G23" s="625" t="s">
        <v>193</v>
      </c>
      <c r="H23" s="602">
        <v>2</v>
      </c>
      <c r="I23" s="626" t="s">
        <v>238</v>
      </c>
      <c r="J23" s="625"/>
      <c r="K23" s="596"/>
      <c r="L23" s="496"/>
      <c r="M23" s="377"/>
      <c r="N23" s="372"/>
      <c r="O23" s="602"/>
      <c r="P23" s="628"/>
      <c r="Q23" s="628"/>
      <c r="R23" s="628"/>
      <c r="S23" s="628"/>
      <c r="T23" s="629"/>
      <c r="U23" s="629"/>
      <c r="V23" s="629"/>
      <c r="W23" s="629"/>
      <c r="X23" s="602"/>
      <c r="Y23" s="374"/>
      <c r="Z23" s="374"/>
    </row>
    <row r="24" spans="2:26" hidden="1" x14ac:dyDescent="0.35">
      <c r="B24" s="622"/>
      <c r="C24" s="623"/>
      <c r="D24" s="623"/>
      <c r="E24" s="624"/>
      <c r="F24" s="374" t="s">
        <v>242</v>
      </c>
      <c r="G24" s="625" t="s">
        <v>193</v>
      </c>
      <c r="H24" s="602">
        <v>1</v>
      </c>
      <c r="I24" s="626" t="s">
        <v>238</v>
      </c>
      <c r="J24" s="625"/>
      <c r="K24" s="596"/>
      <c r="L24" s="496"/>
      <c r="M24" s="377"/>
      <c r="N24" s="372"/>
      <c r="O24" s="602"/>
      <c r="P24" s="628"/>
      <c r="Q24" s="628"/>
      <c r="R24" s="628"/>
      <c r="S24" s="628"/>
      <c r="T24" s="629"/>
      <c r="U24" s="629"/>
      <c r="V24" s="629"/>
      <c r="W24" s="629"/>
      <c r="X24" s="602"/>
      <c r="Y24" s="374"/>
      <c r="Z24" s="374"/>
    </row>
    <row r="25" spans="2:26" x14ac:dyDescent="0.35">
      <c r="B25" s="654"/>
      <c r="C25" s="655" t="s">
        <v>88</v>
      </c>
      <c r="D25" s="655"/>
      <c r="E25" s="702"/>
      <c r="F25" s="374" t="s">
        <v>187</v>
      </c>
      <c r="G25" s="625" t="s">
        <v>188</v>
      </c>
      <c r="H25" s="602"/>
      <c r="I25" s="626"/>
      <c r="J25" s="625"/>
      <c r="K25" s="596"/>
      <c r="L25" s="496"/>
      <c r="M25" s="377"/>
      <c r="N25" s="372"/>
      <c r="O25" s="602"/>
      <c r="P25" s="628"/>
      <c r="Q25" s="628"/>
      <c r="R25" s="628"/>
      <c r="S25" s="628"/>
      <c r="T25" s="629"/>
      <c r="U25" s="629"/>
      <c r="V25" s="629"/>
      <c r="W25" s="629"/>
      <c r="X25" s="602"/>
      <c r="Y25" s="374"/>
      <c r="Z25" s="374"/>
    </row>
    <row r="26" spans="2:26" hidden="1" x14ac:dyDescent="0.35">
      <c r="B26" s="644"/>
      <c r="E26" s="645"/>
      <c r="F26" s="374" t="s">
        <v>231</v>
      </c>
      <c r="G26" s="625" t="s">
        <v>232</v>
      </c>
      <c r="H26" s="602"/>
      <c r="I26" s="626"/>
      <c r="J26" s="625"/>
      <c r="K26" s="596"/>
      <c r="L26" s="496"/>
      <c r="M26" s="377"/>
      <c r="N26" s="372"/>
      <c r="O26" s="602"/>
      <c r="P26" s="628"/>
      <c r="Q26" s="628"/>
      <c r="R26" s="628"/>
      <c r="S26" s="628"/>
      <c r="T26" s="629"/>
      <c r="U26" s="629"/>
      <c r="V26" s="629"/>
      <c r="W26" s="629"/>
      <c r="X26" s="602"/>
      <c r="Y26" s="374"/>
      <c r="Z26" s="374"/>
    </row>
    <row r="27" spans="2:26" hidden="1" x14ac:dyDescent="0.35">
      <c r="B27" s="644"/>
      <c r="E27" s="645"/>
      <c r="F27" s="374" t="s">
        <v>235</v>
      </c>
      <c r="G27" s="625" t="s">
        <v>232</v>
      </c>
      <c r="H27" s="602"/>
      <c r="I27" s="626"/>
      <c r="J27" s="625"/>
      <c r="K27" s="596"/>
      <c r="L27" s="496"/>
      <c r="M27" s="377"/>
      <c r="N27" s="372"/>
      <c r="O27" s="602"/>
      <c r="P27" s="628"/>
      <c r="Q27" s="628"/>
      <c r="R27" s="628"/>
      <c r="S27" s="628"/>
      <c r="T27" s="629"/>
      <c r="U27" s="629"/>
      <c r="V27" s="629"/>
      <c r="W27" s="629"/>
      <c r="X27" s="602"/>
      <c r="Y27" s="374"/>
      <c r="Z27" s="374"/>
    </row>
    <row r="28" spans="2:26" hidden="1" x14ac:dyDescent="0.35">
      <c r="B28" s="644"/>
      <c r="E28" s="645"/>
      <c r="F28" s="374" t="s">
        <v>396</v>
      </c>
      <c r="G28" s="625" t="s">
        <v>193</v>
      </c>
      <c r="H28" s="602"/>
      <c r="I28" s="626"/>
      <c r="J28" s="625"/>
      <c r="K28" s="596"/>
      <c r="L28" s="496"/>
      <c r="M28" s="377"/>
      <c r="N28" s="372"/>
      <c r="O28" s="602"/>
      <c r="P28" s="628"/>
      <c r="Q28" s="628"/>
      <c r="R28" s="628"/>
      <c r="S28" s="628"/>
      <c r="T28" s="629"/>
      <c r="U28" s="629"/>
      <c r="V28" s="629"/>
      <c r="W28" s="629"/>
      <c r="X28" s="602"/>
      <c r="Y28" s="374"/>
      <c r="Z28" s="374"/>
    </row>
    <row r="29" spans="2:26" hidden="1" x14ac:dyDescent="0.35">
      <c r="B29" s="644"/>
      <c r="E29" s="645"/>
      <c r="F29" s="374" t="s">
        <v>236</v>
      </c>
      <c r="G29" s="625" t="s">
        <v>188</v>
      </c>
      <c r="H29" s="602"/>
      <c r="I29" s="626"/>
      <c r="J29" s="625"/>
      <c r="K29" s="596"/>
      <c r="L29" s="496"/>
      <c r="M29" s="377"/>
      <c r="N29" s="372"/>
      <c r="O29" s="602"/>
      <c r="P29" s="628"/>
      <c r="Q29" s="628"/>
      <c r="R29" s="628"/>
      <c r="S29" s="628"/>
      <c r="T29" s="629"/>
      <c r="U29" s="629"/>
      <c r="V29" s="629"/>
      <c r="W29" s="629"/>
      <c r="X29" s="602"/>
      <c r="Y29" s="374"/>
      <c r="Z29" s="374"/>
    </row>
    <row r="30" spans="2:26" hidden="1" x14ac:dyDescent="0.35">
      <c r="B30" s="644"/>
      <c r="E30" s="645"/>
      <c r="F30" s="374" t="s">
        <v>237</v>
      </c>
      <c r="G30" s="625" t="s">
        <v>193</v>
      </c>
      <c r="H30" s="602">
        <v>4</v>
      </c>
      <c r="I30" s="626" t="s">
        <v>238</v>
      </c>
      <c r="J30" s="625"/>
      <c r="K30" s="596"/>
      <c r="L30" s="496"/>
      <c r="M30" s="377"/>
      <c r="N30" s="372"/>
      <c r="O30" s="602"/>
      <c r="P30" s="628"/>
      <c r="Q30" s="628"/>
      <c r="R30" s="628"/>
      <c r="S30" s="628"/>
      <c r="T30" s="629"/>
      <c r="U30" s="629"/>
      <c r="V30" s="629"/>
      <c r="W30" s="629"/>
      <c r="X30" s="602"/>
      <c r="Y30" s="374"/>
      <c r="Z30" s="374"/>
    </row>
    <row r="31" spans="2:26" hidden="1" x14ac:dyDescent="0.35">
      <c r="B31" s="644"/>
      <c r="E31" s="645"/>
      <c r="F31" s="374" t="s">
        <v>484</v>
      </c>
      <c r="G31" s="625" t="s">
        <v>193</v>
      </c>
      <c r="H31" s="602">
        <v>12</v>
      </c>
      <c r="I31" s="626" t="s">
        <v>238</v>
      </c>
      <c r="J31" s="625"/>
      <c r="K31" s="596"/>
      <c r="L31" s="496"/>
      <c r="M31" s="377"/>
      <c r="N31" s="372"/>
      <c r="O31" s="602"/>
      <c r="P31" s="628"/>
      <c r="Q31" s="628"/>
      <c r="R31" s="628"/>
      <c r="S31" s="628"/>
      <c r="T31" s="629"/>
      <c r="U31" s="629"/>
      <c r="V31" s="629"/>
      <c r="W31" s="629"/>
      <c r="X31" s="602"/>
      <c r="Y31" s="374"/>
      <c r="Z31" s="374"/>
    </row>
    <row r="32" spans="2:26" hidden="1" x14ac:dyDescent="0.35">
      <c r="B32" s="644"/>
      <c r="E32" s="645"/>
      <c r="F32" s="374" t="s">
        <v>240</v>
      </c>
      <c r="G32" s="625" t="s">
        <v>193</v>
      </c>
      <c r="H32" s="602">
        <v>1</v>
      </c>
      <c r="I32" s="626" t="s">
        <v>238</v>
      </c>
      <c r="J32" s="625"/>
      <c r="K32" s="596"/>
      <c r="L32" s="496"/>
      <c r="M32" s="377"/>
      <c r="N32" s="372"/>
      <c r="O32" s="602"/>
      <c r="P32" s="628"/>
      <c r="Q32" s="628"/>
      <c r="R32" s="628"/>
      <c r="S32" s="628"/>
      <c r="T32" s="629"/>
      <c r="U32" s="629"/>
      <c r="V32" s="629"/>
      <c r="W32" s="629"/>
      <c r="X32" s="602"/>
      <c r="Y32" s="374"/>
      <c r="Z32" s="374"/>
    </row>
    <row r="33" spans="1:28" hidden="1" x14ac:dyDescent="0.35">
      <c r="B33" s="644"/>
      <c r="E33" s="645"/>
      <c r="F33" s="374" t="s">
        <v>241</v>
      </c>
      <c r="G33" s="625" t="s">
        <v>193</v>
      </c>
      <c r="H33" s="602">
        <v>2</v>
      </c>
      <c r="I33" s="626" t="s">
        <v>238</v>
      </c>
      <c r="J33" s="625"/>
      <c r="K33" s="596"/>
      <c r="L33" s="496"/>
      <c r="M33" s="377"/>
      <c r="N33" s="372"/>
      <c r="O33" s="602"/>
      <c r="P33" s="628"/>
      <c r="Q33" s="628"/>
      <c r="R33" s="628"/>
      <c r="S33" s="628"/>
      <c r="T33" s="629"/>
      <c r="U33" s="629"/>
      <c r="V33" s="629"/>
      <c r="W33" s="629"/>
      <c r="X33" s="602"/>
      <c r="Y33" s="374"/>
      <c r="Z33" s="374"/>
    </row>
    <row r="34" spans="1:28" hidden="1" x14ac:dyDescent="0.35">
      <c r="B34" s="622"/>
      <c r="C34" s="623"/>
      <c r="D34" s="623"/>
      <c r="E34" s="624"/>
      <c r="F34" s="374" t="s">
        <v>242</v>
      </c>
      <c r="G34" s="625" t="s">
        <v>193</v>
      </c>
      <c r="H34" s="602">
        <v>1</v>
      </c>
      <c r="I34" s="626" t="s">
        <v>238</v>
      </c>
      <c r="J34" s="625"/>
      <c r="K34" s="596"/>
      <c r="L34" s="496"/>
      <c r="M34" s="377"/>
      <c r="N34" s="372"/>
      <c r="O34" s="602"/>
      <c r="P34" s="628"/>
      <c r="Q34" s="628"/>
      <c r="R34" s="628"/>
      <c r="S34" s="628"/>
      <c r="T34" s="629"/>
      <c r="U34" s="629"/>
      <c r="V34" s="629"/>
      <c r="W34" s="629"/>
      <c r="X34" s="602"/>
      <c r="Y34" s="374"/>
      <c r="Z34" s="374"/>
    </row>
    <row r="35" spans="1:28" customFormat="1" x14ac:dyDescent="0.35">
      <c r="A35" s="94"/>
      <c r="B35" s="693" t="s">
        <v>628</v>
      </c>
      <c r="C35" s="776"/>
      <c r="D35" s="776"/>
      <c r="E35" s="777"/>
      <c r="F35" s="516"/>
      <c r="G35" s="613"/>
      <c r="H35" s="614"/>
      <c r="I35" s="615"/>
      <c r="J35" s="613"/>
      <c r="K35" s="616"/>
      <c r="L35" s="617"/>
      <c r="M35" s="527"/>
      <c r="N35" s="766"/>
      <c r="O35" s="614"/>
      <c r="P35" s="618"/>
      <c r="Q35" s="802">
        <f>SUM(Q6:Q34)</f>
        <v>0</v>
      </c>
      <c r="R35" s="802">
        <f t="shared" ref="R35:AA35" si="0">SUM(R6:R34)</f>
        <v>0</v>
      </c>
      <c r="S35" s="802">
        <f t="shared" si="0"/>
        <v>0</v>
      </c>
      <c r="T35" s="802">
        <f t="shared" si="0"/>
        <v>0</v>
      </c>
      <c r="U35" s="802">
        <f t="shared" si="0"/>
        <v>0</v>
      </c>
      <c r="V35" s="802">
        <f t="shared" si="0"/>
        <v>0</v>
      </c>
      <c r="W35" s="802">
        <f t="shared" si="0"/>
        <v>0</v>
      </c>
      <c r="X35" s="802">
        <f t="shared" si="0"/>
        <v>0</v>
      </c>
      <c r="Y35" s="802">
        <f t="shared" si="0"/>
        <v>0</v>
      </c>
      <c r="Z35" s="802">
        <f t="shared" si="0"/>
        <v>0</v>
      </c>
      <c r="AA35" s="802">
        <f t="shared" si="0"/>
        <v>0</v>
      </c>
      <c r="AB35" s="94"/>
    </row>
    <row r="36" spans="1:28" x14ac:dyDescent="0.35">
      <c r="B36" s="677" t="s">
        <v>486</v>
      </c>
      <c r="C36" s="626"/>
      <c r="D36" s="626"/>
      <c r="E36" s="678"/>
      <c r="F36" s="374"/>
      <c r="G36" s="625"/>
      <c r="H36" s="602"/>
      <c r="I36" s="626"/>
      <c r="J36" s="625"/>
      <c r="K36" s="596"/>
      <c r="L36" s="496"/>
      <c r="M36" s="377"/>
      <c r="N36" s="372"/>
      <c r="O36" s="602"/>
      <c r="P36" s="628"/>
      <c r="Q36" s="628"/>
      <c r="R36" s="628"/>
      <c r="S36" s="628"/>
      <c r="T36" s="629"/>
      <c r="U36" s="629"/>
      <c r="V36" s="629"/>
      <c r="W36" s="629"/>
      <c r="X36" s="602"/>
      <c r="Y36" s="374"/>
      <c r="Z36" s="374"/>
    </row>
    <row r="37" spans="1:28" x14ac:dyDescent="0.35">
      <c r="B37" s="680" t="s">
        <v>487</v>
      </c>
      <c r="E37" s="645"/>
      <c r="F37" s="374"/>
      <c r="G37" s="625"/>
      <c r="H37" s="602"/>
      <c r="I37" s="626"/>
      <c r="J37" s="625"/>
      <c r="K37" s="596"/>
      <c r="L37" s="496"/>
      <c r="M37" s="377"/>
      <c r="N37" s="372"/>
      <c r="O37" s="602"/>
      <c r="P37" s="628"/>
      <c r="Q37" s="628"/>
      <c r="R37" s="628"/>
      <c r="S37" s="628"/>
      <c r="T37" s="629"/>
      <c r="U37" s="629"/>
      <c r="V37" s="629"/>
      <c r="W37" s="629"/>
      <c r="X37" s="602"/>
      <c r="Y37" s="374"/>
      <c r="Z37" s="374"/>
    </row>
    <row r="38" spans="1:28" x14ac:dyDescent="0.35">
      <c r="B38" s="654"/>
      <c r="C38" s="655" t="s">
        <v>74</v>
      </c>
      <c r="D38" s="655"/>
      <c r="E38" s="702"/>
      <c r="F38" s="374" t="s">
        <v>187</v>
      </c>
      <c r="G38" s="625" t="s">
        <v>188</v>
      </c>
      <c r="H38" s="602"/>
      <c r="I38" s="626"/>
      <c r="J38" s="625"/>
      <c r="K38" s="627"/>
      <c r="L38" s="496"/>
      <c r="M38" s="377"/>
      <c r="N38" s="372"/>
      <c r="O38" s="498">
        <f>K38*L38*M38*N38</f>
        <v>0</v>
      </c>
      <c r="P38" s="235">
        <v>169122.61109699999</v>
      </c>
      <c r="Q38" s="628">
        <f>P38*$O38</f>
        <v>0</v>
      </c>
      <c r="R38" s="373">
        <v>179635.86432000002</v>
      </c>
      <c r="S38" s="628">
        <f>R38*$O38</f>
        <v>0</v>
      </c>
      <c r="T38" s="373">
        <v>197599.45075200003</v>
      </c>
      <c r="U38" s="629">
        <f>$O38*T38</f>
        <v>0</v>
      </c>
      <c r="V38" s="373" t="e">
        <f>W38/O38</f>
        <v>#DIV/0!</v>
      </c>
      <c r="W38" s="241">
        <f>AVERAGEIF($P$3:$U$3,W$3,$P38:$U38)</f>
        <v>0</v>
      </c>
      <c r="X38" s="602"/>
      <c r="Y38" s="374"/>
      <c r="Z38" s="374"/>
    </row>
    <row r="39" spans="1:28" hidden="1" x14ac:dyDescent="0.35">
      <c r="B39" s="644"/>
      <c r="E39" s="645"/>
      <c r="F39" s="374" t="s">
        <v>291</v>
      </c>
      <c r="G39" s="625" t="s">
        <v>193</v>
      </c>
      <c r="H39" s="602"/>
      <c r="I39" s="626"/>
      <c r="J39" s="625"/>
      <c r="K39" s="596"/>
      <c r="L39" s="496"/>
      <c r="M39" s="377"/>
      <c r="N39" s="372"/>
      <c r="O39" s="602"/>
      <c r="P39" s="628"/>
      <c r="Q39" s="628"/>
      <c r="R39" s="628"/>
      <c r="S39" s="628"/>
      <c r="T39" s="629"/>
      <c r="U39" s="629"/>
      <c r="V39" s="629"/>
      <c r="W39" s="629"/>
      <c r="X39" s="602"/>
      <c r="Y39" s="374"/>
      <c r="Z39" s="374"/>
    </row>
    <row r="40" spans="1:28" hidden="1" x14ac:dyDescent="0.35">
      <c r="B40" s="622"/>
      <c r="C40" s="623"/>
      <c r="D40" s="623"/>
      <c r="E40" s="624"/>
      <c r="F40" s="374" t="s">
        <v>242</v>
      </c>
      <c r="G40" s="625" t="s">
        <v>193</v>
      </c>
      <c r="H40" s="602"/>
      <c r="I40" s="626"/>
      <c r="J40" s="625"/>
      <c r="K40" s="596"/>
      <c r="L40" s="496"/>
      <c r="M40" s="377"/>
      <c r="N40" s="372"/>
      <c r="O40" s="602"/>
      <c r="P40" s="628"/>
      <c r="Q40" s="628"/>
      <c r="R40" s="628"/>
      <c r="S40" s="628"/>
      <c r="T40" s="629"/>
      <c r="U40" s="629"/>
      <c r="V40" s="629"/>
      <c r="W40" s="629"/>
      <c r="X40" s="602"/>
      <c r="Y40" s="374"/>
      <c r="Z40" s="374"/>
    </row>
    <row r="41" spans="1:28" x14ac:dyDescent="0.35">
      <c r="B41" s="654"/>
      <c r="C41" s="655" t="s">
        <v>489</v>
      </c>
      <c r="D41" s="655"/>
      <c r="E41" s="702"/>
      <c r="F41" s="374" t="s">
        <v>187</v>
      </c>
      <c r="G41" s="625" t="s">
        <v>188</v>
      </c>
      <c r="H41" s="602"/>
      <c r="I41" s="626"/>
      <c r="J41" s="625"/>
      <c r="K41" s="596"/>
      <c r="L41" s="496"/>
      <c r="M41" s="377"/>
      <c r="N41" s="372"/>
      <c r="O41" s="602"/>
      <c r="P41" s="628"/>
      <c r="Q41" s="628"/>
      <c r="R41" s="628"/>
      <c r="S41" s="628"/>
      <c r="T41" s="629"/>
      <c r="U41" s="629"/>
      <c r="V41" s="629"/>
      <c r="W41" s="629"/>
      <c r="X41" s="602"/>
      <c r="Y41" s="374"/>
      <c r="Z41" s="374"/>
    </row>
    <row r="42" spans="1:28" hidden="1" x14ac:dyDescent="0.35">
      <c r="B42" s="644"/>
      <c r="E42" s="645"/>
      <c r="F42" s="374" t="s">
        <v>291</v>
      </c>
      <c r="G42" s="625" t="s">
        <v>193</v>
      </c>
      <c r="H42" s="602"/>
      <c r="I42" s="626"/>
      <c r="J42" s="625"/>
      <c r="K42" s="596"/>
      <c r="L42" s="496"/>
      <c r="M42" s="377"/>
      <c r="N42" s="372"/>
      <c r="O42" s="602"/>
      <c r="P42" s="628"/>
      <c r="Q42" s="628"/>
      <c r="R42" s="628"/>
      <c r="S42" s="628"/>
      <c r="T42" s="629"/>
      <c r="U42" s="629"/>
      <c r="V42" s="629"/>
      <c r="W42" s="629"/>
      <c r="X42" s="602"/>
      <c r="Y42" s="374"/>
      <c r="Z42" s="374"/>
    </row>
    <row r="43" spans="1:28" hidden="1" x14ac:dyDescent="0.35">
      <c r="B43" s="622"/>
      <c r="C43" s="623"/>
      <c r="D43" s="623"/>
      <c r="E43" s="624"/>
      <c r="F43" s="374" t="s">
        <v>242</v>
      </c>
      <c r="G43" s="625" t="s">
        <v>193</v>
      </c>
      <c r="H43" s="602"/>
      <c r="I43" s="626"/>
      <c r="J43" s="625"/>
      <c r="K43" s="596"/>
      <c r="L43" s="496"/>
      <c r="M43" s="377"/>
      <c r="N43" s="372"/>
      <c r="O43" s="602"/>
      <c r="P43" s="628"/>
      <c r="Q43" s="628"/>
      <c r="R43" s="628"/>
      <c r="S43" s="628"/>
      <c r="T43" s="629"/>
      <c r="U43" s="629"/>
      <c r="V43" s="629"/>
      <c r="W43" s="629"/>
      <c r="X43" s="602"/>
      <c r="Y43" s="374"/>
      <c r="Z43" s="374"/>
    </row>
    <row r="44" spans="1:28" x14ac:dyDescent="0.35">
      <c r="B44" s="644"/>
      <c r="C44" s="286" t="s">
        <v>78</v>
      </c>
      <c r="E44" s="645"/>
      <c r="F44" s="374" t="s">
        <v>187</v>
      </c>
      <c r="G44" s="625" t="s">
        <v>188</v>
      </c>
      <c r="H44" s="602"/>
      <c r="I44" s="626"/>
      <c r="J44" s="625"/>
      <c r="K44" s="627">
        <v>1</v>
      </c>
      <c r="L44" s="496">
        <v>192.08</v>
      </c>
      <c r="M44" s="382">
        <f>1/8</f>
        <v>0.125</v>
      </c>
      <c r="N44" s="372">
        <v>1</v>
      </c>
      <c r="O44" s="498">
        <f>K44*L44*M44*N44</f>
        <v>24.01</v>
      </c>
      <c r="P44" s="235">
        <v>180115.58081830497</v>
      </c>
      <c r="Q44" s="649">
        <f>P44*$O44</f>
        <v>4324575.0954475021</v>
      </c>
      <c r="R44" s="372">
        <v>179635.86432000002</v>
      </c>
      <c r="S44" s="649">
        <f>R44*$O44</f>
        <v>4313057.1023232006</v>
      </c>
      <c r="T44" s="372">
        <v>197599.45075200003</v>
      </c>
      <c r="U44" s="650">
        <f>$O44*T44</f>
        <v>4744362.8125555208</v>
      </c>
      <c r="V44" s="372">
        <f>W44/O44</f>
        <v>185783.63196343501</v>
      </c>
      <c r="W44" s="478">
        <f>AVERAGEIF($P$3:$U$3,W$3,$P44:$U44)</f>
        <v>4460665.0034420751</v>
      </c>
      <c r="X44" s="648"/>
      <c r="Y44" s="679">
        <f>Q44/$C$1</f>
        <v>22514.447602288117</v>
      </c>
      <c r="Z44" s="374"/>
    </row>
    <row r="45" spans="1:28" x14ac:dyDescent="0.35">
      <c r="B45" s="644"/>
      <c r="E45" s="645"/>
      <c r="F45" s="374" t="s">
        <v>291</v>
      </c>
      <c r="G45" s="625" t="s">
        <v>193</v>
      </c>
      <c r="H45" s="602"/>
      <c r="I45" s="626"/>
      <c r="J45" s="625"/>
      <c r="K45" s="627">
        <v>1</v>
      </c>
      <c r="L45" s="496">
        <v>192.08</v>
      </c>
      <c r="M45" s="377">
        <v>8.3000000000000001E-3</v>
      </c>
      <c r="N45" s="372">
        <v>1</v>
      </c>
      <c r="O45" s="498">
        <f t="shared" ref="O45:O46" si="1">K45*L45*M45*N45</f>
        <v>1.5942640000000001</v>
      </c>
      <c r="P45" s="235">
        <v>92133.854367187509</v>
      </c>
      <c r="Q45" s="649">
        <f t="shared" ref="Q45:Q46" si="2">P45*$O45</f>
        <v>146885.68719884983</v>
      </c>
      <c r="R45" s="649"/>
      <c r="S45" s="649"/>
      <c r="T45" s="650"/>
      <c r="U45" s="650"/>
      <c r="V45" s="650"/>
      <c r="W45" s="650"/>
      <c r="X45" s="648"/>
      <c r="Y45" s="679">
        <f t="shared" ref="Y45:Y47" si="3">Q45/$C$1</f>
        <v>764.71099124765635</v>
      </c>
      <c r="Z45" s="374"/>
    </row>
    <row r="46" spans="1:28" x14ac:dyDescent="0.35">
      <c r="B46" s="644"/>
      <c r="E46" s="645"/>
      <c r="F46" s="374" t="s">
        <v>242</v>
      </c>
      <c r="G46" s="625"/>
      <c r="H46" s="602"/>
      <c r="I46" s="626"/>
      <c r="J46" s="625"/>
      <c r="K46" s="627">
        <v>1</v>
      </c>
      <c r="L46" s="496">
        <v>192.08</v>
      </c>
      <c r="M46" s="377">
        <v>1.0416666666666666E-2</v>
      </c>
      <c r="N46" s="372">
        <v>1</v>
      </c>
      <c r="O46" s="498">
        <f t="shared" si="1"/>
        <v>2.0008333333333335</v>
      </c>
      <c r="P46" s="235">
        <v>104144.57550000001</v>
      </c>
      <c r="Q46" s="649">
        <f t="shared" si="2"/>
        <v>208375.93814625003</v>
      </c>
      <c r="R46" s="649"/>
      <c r="S46" s="649"/>
      <c r="T46" s="650"/>
      <c r="U46" s="650"/>
      <c r="V46" s="650"/>
      <c r="W46" s="650"/>
      <c r="X46" s="648"/>
      <c r="Y46" s="679">
        <f t="shared" si="3"/>
        <v>1084.8393281250001</v>
      </c>
      <c r="Z46" s="374"/>
    </row>
    <row r="47" spans="1:28" customFormat="1" x14ac:dyDescent="0.35">
      <c r="A47" s="94"/>
      <c r="B47" s="630" t="s">
        <v>629</v>
      </c>
      <c r="C47" s="770"/>
      <c r="D47" s="770"/>
      <c r="E47" s="771"/>
      <c r="F47" s="633"/>
      <c r="G47" s="634"/>
      <c r="H47" s="635"/>
      <c r="I47" s="636"/>
      <c r="J47" s="634"/>
      <c r="K47" s="637"/>
      <c r="L47" s="638"/>
      <c r="M47" s="772"/>
      <c r="N47" s="773"/>
      <c r="O47" s="635"/>
      <c r="P47" s="640"/>
      <c r="Q47" s="651">
        <f>SUM(Q44:Q46)</f>
        <v>4679836.7207926018</v>
      </c>
      <c r="R47" s="774"/>
      <c r="S47" s="651">
        <f>SUM(S36:S46)</f>
        <v>4313057.1023232006</v>
      </c>
      <c r="T47" s="803"/>
      <c r="U47" s="803"/>
      <c r="V47" s="803"/>
      <c r="W47" s="803"/>
      <c r="X47" s="652"/>
      <c r="Y47" s="653">
        <f t="shared" si="3"/>
        <v>24363.997921660775</v>
      </c>
      <c r="Z47" s="775">
        <f>Q47/$Q$395*100</f>
        <v>0.11676704174999873</v>
      </c>
      <c r="AA47" s="94"/>
      <c r="AB47" s="94"/>
    </row>
    <row r="48" spans="1:28" x14ac:dyDescent="0.35">
      <c r="B48" s="654"/>
      <c r="C48" s="655" t="s">
        <v>80</v>
      </c>
      <c r="D48" s="655"/>
      <c r="E48" s="702"/>
      <c r="F48" s="374" t="s">
        <v>187</v>
      </c>
      <c r="G48" s="625" t="s">
        <v>188</v>
      </c>
      <c r="H48" s="602"/>
      <c r="I48" s="626"/>
      <c r="J48" s="625"/>
      <c r="K48" s="627"/>
      <c r="L48" s="496"/>
      <c r="M48" s="377">
        <v>0.5</v>
      </c>
      <c r="N48" s="372">
        <v>1</v>
      </c>
      <c r="O48" s="498">
        <f>K48*L48*M48*N48</f>
        <v>0</v>
      </c>
      <c r="P48" s="235">
        <v>169122.61109699999</v>
      </c>
      <c r="Q48" s="628">
        <f>P48*$O48</f>
        <v>0</v>
      </c>
      <c r="R48" s="373">
        <v>179635.86432000002</v>
      </c>
      <c r="S48" s="628">
        <f>R48*$O48</f>
        <v>0</v>
      </c>
      <c r="T48" s="373">
        <v>197599.45075200003</v>
      </c>
      <c r="U48" s="629">
        <f>$O48*T48</f>
        <v>0</v>
      </c>
      <c r="V48" s="373" t="e">
        <f>W48/O48</f>
        <v>#DIV/0!</v>
      </c>
      <c r="W48" s="241">
        <f>AVERAGEIF($P$3:$U$3,W$3,$P48:$U48)</f>
        <v>0</v>
      </c>
      <c r="X48" s="602"/>
      <c r="Y48" s="374"/>
      <c r="Z48" s="374"/>
    </row>
    <row r="49" spans="1:28" hidden="1" x14ac:dyDescent="0.35">
      <c r="B49" s="644"/>
      <c r="E49" s="645"/>
      <c r="F49" s="374" t="s">
        <v>490</v>
      </c>
      <c r="G49" s="625" t="s">
        <v>193</v>
      </c>
      <c r="H49" s="602"/>
      <c r="I49" s="626"/>
      <c r="J49" s="625"/>
      <c r="K49" s="627"/>
      <c r="L49" s="496"/>
      <c r="M49" s="377">
        <v>0.5</v>
      </c>
      <c r="N49" s="372">
        <v>1</v>
      </c>
      <c r="O49" s="498">
        <f>K49*L49*M49*N49</f>
        <v>0</v>
      </c>
      <c r="P49" s="235">
        <v>520931.25</v>
      </c>
      <c r="Q49" s="628">
        <f>P49*$O49</f>
        <v>0</v>
      </c>
      <c r="R49" s="373">
        <v>598950.00000000023</v>
      </c>
      <c r="S49" s="628">
        <f>R49*$O49</f>
        <v>0</v>
      </c>
      <c r="T49" s="373">
        <v>658845.00000000035</v>
      </c>
      <c r="U49" s="629">
        <f>$O49*T49</f>
        <v>0</v>
      </c>
      <c r="V49" s="373" t="e">
        <f>W49/O49</f>
        <v>#DIV/0!</v>
      </c>
      <c r="W49" s="241">
        <f>AVERAGEIF($P$3:$U$3,W$3,$P49:$U49)</f>
        <v>0</v>
      </c>
      <c r="X49" s="602"/>
      <c r="Y49" s="374"/>
      <c r="Z49" s="374"/>
    </row>
    <row r="50" spans="1:28" hidden="1" x14ac:dyDescent="0.35">
      <c r="B50" s="622"/>
      <c r="C50" s="623"/>
      <c r="D50" s="623"/>
      <c r="E50" s="624"/>
      <c r="F50" s="374" t="s">
        <v>242</v>
      </c>
      <c r="G50" s="625" t="s">
        <v>193</v>
      </c>
      <c r="H50" s="602"/>
      <c r="I50" s="626"/>
      <c r="J50" s="625"/>
      <c r="K50" s="596"/>
      <c r="L50" s="496"/>
      <c r="M50" s="377"/>
      <c r="N50" s="372"/>
      <c r="O50" s="602"/>
      <c r="P50" s="628"/>
      <c r="Q50" s="628"/>
      <c r="R50" s="628"/>
      <c r="S50" s="628"/>
      <c r="T50" s="629"/>
      <c r="U50" s="629"/>
      <c r="V50" s="629"/>
      <c r="W50" s="629"/>
      <c r="X50" s="602"/>
      <c r="Y50" s="374"/>
      <c r="Z50" s="374"/>
    </row>
    <row r="51" spans="1:28" x14ac:dyDescent="0.35">
      <c r="B51" s="654"/>
      <c r="C51" s="655" t="s">
        <v>492</v>
      </c>
      <c r="D51" s="655"/>
      <c r="E51" s="702"/>
      <c r="F51" s="374" t="s">
        <v>187</v>
      </c>
      <c r="G51" s="625" t="s">
        <v>188</v>
      </c>
      <c r="H51" s="602"/>
      <c r="I51" s="626"/>
      <c r="J51" s="625"/>
      <c r="K51" s="596"/>
      <c r="L51" s="496"/>
      <c r="M51" s="377">
        <v>0.15</v>
      </c>
      <c r="N51" s="372">
        <v>1</v>
      </c>
      <c r="O51" s="602"/>
      <c r="P51" s="628"/>
      <c r="Q51" s="628"/>
      <c r="R51" s="628"/>
      <c r="S51" s="628"/>
      <c r="T51" s="629"/>
      <c r="U51" s="629"/>
      <c r="V51" s="629"/>
      <c r="W51" s="629"/>
      <c r="X51" s="602"/>
      <c r="Y51" s="374"/>
      <c r="Z51" s="374"/>
    </row>
    <row r="52" spans="1:28" hidden="1" x14ac:dyDescent="0.35">
      <c r="B52" s="644"/>
      <c r="E52" s="645"/>
      <c r="F52" s="374" t="s">
        <v>493</v>
      </c>
      <c r="G52" s="625" t="s">
        <v>193</v>
      </c>
      <c r="H52" s="602"/>
      <c r="I52" s="626"/>
      <c r="J52" s="625"/>
      <c r="K52" s="596"/>
      <c r="L52" s="496"/>
      <c r="M52" s="377">
        <v>5.0000000000000001E-4</v>
      </c>
      <c r="N52" s="372">
        <v>1</v>
      </c>
      <c r="O52" s="602"/>
      <c r="P52" s="628"/>
      <c r="Q52" s="628"/>
      <c r="R52" s="628"/>
      <c r="S52" s="628"/>
      <c r="T52" s="629"/>
      <c r="U52" s="629"/>
      <c r="V52" s="629"/>
      <c r="W52" s="629"/>
      <c r="X52" s="602"/>
      <c r="Y52" s="374"/>
      <c r="Z52" s="374"/>
    </row>
    <row r="53" spans="1:28" hidden="1" x14ac:dyDescent="0.35">
      <c r="B53" s="622"/>
      <c r="C53" s="623"/>
      <c r="D53" s="623"/>
      <c r="E53" s="624"/>
      <c r="F53" s="374" t="s">
        <v>242</v>
      </c>
      <c r="G53" s="625" t="s">
        <v>193</v>
      </c>
      <c r="H53" s="602">
        <v>1</v>
      </c>
      <c r="I53" s="626" t="s">
        <v>238</v>
      </c>
      <c r="J53" s="625"/>
      <c r="K53" s="596"/>
      <c r="L53" s="496"/>
      <c r="M53" s="377">
        <f>((M$51*N$51)/240*($H53/N53))</f>
        <v>6.2500000000000001E-4</v>
      </c>
      <c r="N53" s="372">
        <v>1</v>
      </c>
      <c r="O53" s="602"/>
      <c r="P53" s="628"/>
      <c r="Q53" s="628"/>
      <c r="R53" s="628"/>
      <c r="S53" s="628"/>
      <c r="T53" s="629"/>
      <c r="U53" s="629"/>
      <c r="V53" s="629"/>
      <c r="W53" s="629"/>
      <c r="X53" s="602"/>
      <c r="Y53" s="374"/>
      <c r="Z53" s="374"/>
    </row>
    <row r="54" spans="1:28" customFormat="1" x14ac:dyDescent="0.35">
      <c r="A54" s="94"/>
      <c r="B54" s="644"/>
      <c r="C54" s="804" t="s">
        <v>306</v>
      </c>
      <c r="D54" s="665"/>
      <c r="E54" s="660"/>
      <c r="F54" s="225" t="s">
        <v>187</v>
      </c>
      <c r="G54" s="226" t="s">
        <v>188</v>
      </c>
      <c r="H54" s="227"/>
      <c r="I54" s="228"/>
      <c r="J54" s="229"/>
      <c r="K54" s="230"/>
      <c r="L54" s="230"/>
      <c r="M54" s="231"/>
      <c r="N54" s="235">
        <v>1</v>
      </c>
      <c r="O54" s="233"/>
      <c r="P54" s="661"/>
      <c r="Q54" s="661"/>
      <c r="R54" s="661"/>
      <c r="S54" s="661"/>
      <c r="T54" s="767"/>
      <c r="U54" s="767"/>
      <c r="V54" s="767"/>
      <c r="W54" s="767"/>
      <c r="X54" s="319"/>
      <c r="Y54" s="232"/>
      <c r="Z54" s="232"/>
      <c r="AA54" s="94"/>
      <c r="AB54" s="94"/>
    </row>
    <row r="55" spans="1:28" customFormat="1" hidden="1" x14ac:dyDescent="0.35">
      <c r="A55" s="94"/>
      <c r="B55" s="644"/>
      <c r="C55" s="665"/>
      <c r="D55" s="665"/>
      <c r="E55" s="660"/>
      <c r="F55" s="232" t="s">
        <v>490</v>
      </c>
      <c r="G55" s="226" t="s">
        <v>10</v>
      </c>
      <c r="H55" s="227"/>
      <c r="I55" s="228"/>
      <c r="J55" s="229"/>
      <c r="K55" s="230"/>
      <c r="L55" s="230"/>
      <c r="M55" s="231"/>
      <c r="N55" s="235">
        <v>1</v>
      </c>
      <c r="O55" s="233"/>
      <c r="P55" s="661"/>
      <c r="Q55" s="661"/>
      <c r="R55" s="661"/>
      <c r="S55" s="661"/>
      <c r="T55" s="767"/>
      <c r="U55" s="767"/>
      <c r="V55" s="767"/>
      <c r="W55" s="767"/>
      <c r="X55" s="319"/>
      <c r="Y55" s="232"/>
      <c r="Z55" s="232"/>
      <c r="AA55" s="94"/>
      <c r="AB55" s="94"/>
    </row>
    <row r="56" spans="1:28" customFormat="1" hidden="1" x14ac:dyDescent="0.35">
      <c r="A56" s="94"/>
      <c r="B56" s="622"/>
      <c r="C56" s="666"/>
      <c r="D56" s="666"/>
      <c r="E56" s="667"/>
      <c r="F56" s="225" t="s">
        <v>263</v>
      </c>
      <c r="G56" s="226" t="s">
        <v>205</v>
      </c>
      <c r="H56" s="227"/>
      <c r="I56" s="228"/>
      <c r="J56" s="229"/>
      <c r="K56" s="230"/>
      <c r="L56" s="230"/>
      <c r="M56" s="231"/>
      <c r="N56" s="235">
        <v>1</v>
      </c>
      <c r="O56" s="233"/>
      <c r="P56" s="661"/>
      <c r="Q56" s="661"/>
      <c r="R56" s="661"/>
      <c r="S56" s="661"/>
      <c r="T56" s="767"/>
      <c r="U56" s="767"/>
      <c r="V56" s="767"/>
      <c r="W56" s="767"/>
      <c r="X56" s="319"/>
      <c r="Y56" s="232"/>
      <c r="Z56" s="232"/>
      <c r="AA56" s="94"/>
      <c r="AB56" s="94"/>
    </row>
    <row r="57" spans="1:28" customFormat="1" ht="38.25" customHeight="1" x14ac:dyDescent="0.35">
      <c r="A57" s="94"/>
      <c r="B57" s="693" t="s">
        <v>630</v>
      </c>
      <c r="C57" s="776"/>
      <c r="D57" s="776"/>
      <c r="E57" s="777"/>
      <c r="F57" s="516"/>
      <c r="G57" s="613"/>
      <c r="H57" s="614"/>
      <c r="I57" s="615"/>
      <c r="J57" s="613"/>
      <c r="K57" s="616"/>
      <c r="L57" s="617"/>
      <c r="M57" s="527"/>
      <c r="N57" s="766"/>
      <c r="O57" s="614"/>
      <c r="P57" s="618"/>
      <c r="Q57" s="696">
        <f>Q47</f>
        <v>4679836.7207926018</v>
      </c>
      <c r="R57" s="618"/>
      <c r="S57" s="802">
        <f>SUM(S46:S56)</f>
        <v>4313057.1023232006</v>
      </c>
      <c r="T57" s="619"/>
      <c r="U57" s="619"/>
      <c r="V57" s="619"/>
      <c r="W57" s="619"/>
      <c r="X57" s="614"/>
      <c r="Y57" s="675">
        <f>Q57/$C$1</f>
        <v>24363.997921660775</v>
      </c>
      <c r="Z57" s="779">
        <f>Q57/$Q$395*100</f>
        <v>0.11676704174999873</v>
      </c>
      <c r="AA57" s="94"/>
      <c r="AB57" s="94"/>
    </row>
    <row r="58" spans="1:28" x14ac:dyDescent="0.35">
      <c r="B58" s="677" t="s">
        <v>495</v>
      </c>
      <c r="C58" s="626"/>
      <c r="D58" s="626"/>
      <c r="E58" s="678"/>
      <c r="F58" s="374"/>
      <c r="G58" s="625"/>
      <c r="H58" s="602"/>
      <c r="I58" s="626"/>
      <c r="J58" s="625"/>
      <c r="K58" s="596"/>
      <c r="L58" s="496"/>
      <c r="M58" s="377"/>
      <c r="N58" s="372"/>
      <c r="O58" s="602"/>
      <c r="P58" s="628"/>
      <c r="Q58" s="628"/>
      <c r="R58" s="628"/>
      <c r="S58" s="628"/>
      <c r="T58" s="629"/>
      <c r="U58" s="629"/>
      <c r="V58" s="629"/>
      <c r="W58" s="629"/>
      <c r="X58" s="602"/>
      <c r="Y58" s="374"/>
      <c r="Z58" s="374"/>
    </row>
    <row r="59" spans="1:28" x14ac:dyDescent="0.35">
      <c r="B59" s="680"/>
      <c r="C59" s="286" t="s">
        <v>496</v>
      </c>
      <c r="E59" s="645"/>
      <c r="F59" s="374"/>
      <c r="G59" s="625"/>
      <c r="H59" s="602"/>
      <c r="I59" s="626"/>
      <c r="J59" s="625"/>
      <c r="K59" s="596"/>
      <c r="L59" s="496"/>
      <c r="M59" s="377"/>
      <c r="N59" s="372"/>
      <c r="O59" s="602"/>
      <c r="P59" s="628"/>
      <c r="Q59" s="628"/>
      <c r="R59" s="628"/>
      <c r="S59" s="628"/>
      <c r="T59" s="629"/>
      <c r="U59" s="629"/>
      <c r="V59" s="629"/>
      <c r="W59" s="629"/>
      <c r="X59" s="602"/>
      <c r="Y59" s="374"/>
      <c r="Z59" s="374"/>
    </row>
    <row r="60" spans="1:28" x14ac:dyDescent="0.35">
      <c r="B60" s="654"/>
      <c r="C60" s="655"/>
      <c r="D60" s="655" t="s">
        <v>76</v>
      </c>
      <c r="E60" s="702"/>
      <c r="F60" s="374" t="s">
        <v>187</v>
      </c>
      <c r="G60" s="625" t="s">
        <v>188</v>
      </c>
      <c r="H60" s="602"/>
      <c r="I60" s="626"/>
      <c r="J60" s="625" t="s">
        <v>189</v>
      </c>
      <c r="K60" s="627">
        <v>1</v>
      </c>
      <c r="L60" s="496">
        <v>192.08</v>
      </c>
      <c r="M60" s="423">
        <v>2.5</v>
      </c>
      <c r="N60" s="372">
        <v>1</v>
      </c>
      <c r="O60" s="498">
        <f>K60*L60*M60*N60</f>
        <v>480.20000000000005</v>
      </c>
      <c r="P60" s="235">
        <v>180115.58081830497</v>
      </c>
      <c r="Q60" s="649">
        <f>P60*$O60</f>
        <v>86491501.908950061</v>
      </c>
      <c r="R60" s="372">
        <v>179635.86432000002</v>
      </c>
      <c r="S60" s="649">
        <f>R60*$O60</f>
        <v>86261142.046464026</v>
      </c>
      <c r="T60" s="372">
        <v>197599.45075200003</v>
      </c>
      <c r="U60" s="650">
        <f>$O60*T60</f>
        <v>94887256.25111042</v>
      </c>
      <c r="V60" s="372">
        <f>W60/O60</f>
        <v>185783.63196343501</v>
      </c>
      <c r="W60" s="478">
        <f>AVERAGEIF($P$3:$U$3,W$3,$P60:$U60)</f>
        <v>89213300.068841502</v>
      </c>
      <c r="X60" s="648"/>
      <c r="Y60" s="679">
        <f>Q60/$C$1</f>
        <v>450288.95204576245</v>
      </c>
      <c r="Z60" s="805"/>
    </row>
    <row r="61" spans="1:28" x14ac:dyDescent="0.35">
      <c r="B61" s="644"/>
      <c r="E61" s="645"/>
      <c r="F61" s="374" t="s">
        <v>291</v>
      </c>
      <c r="G61" s="625" t="s">
        <v>193</v>
      </c>
      <c r="H61" s="602"/>
      <c r="I61" s="626"/>
      <c r="J61" s="625" t="s">
        <v>189</v>
      </c>
      <c r="K61" s="627">
        <v>1</v>
      </c>
      <c r="L61" s="496">
        <v>192.08</v>
      </c>
      <c r="M61" s="377">
        <v>8.3000000000000001E-3</v>
      </c>
      <c r="N61" s="372">
        <v>1</v>
      </c>
      <c r="O61" s="498">
        <f t="shared" ref="O61:O62" si="4">K61*L61*M61*N61</f>
        <v>1.5942640000000001</v>
      </c>
      <c r="P61" s="235">
        <v>92133.854367187509</v>
      </c>
      <c r="Q61" s="649">
        <f t="shared" ref="Q61:Q62" si="5">P61*$O61</f>
        <v>146885.68719884983</v>
      </c>
      <c r="R61" s="649"/>
      <c r="S61" s="649"/>
      <c r="T61" s="650"/>
      <c r="U61" s="650"/>
      <c r="V61" s="650"/>
      <c r="W61" s="650"/>
      <c r="X61" s="648"/>
      <c r="Y61" s="679">
        <f t="shared" ref="Y61:Y62" si="6">Q61/$C$1</f>
        <v>764.71099124765635</v>
      </c>
      <c r="Z61" s="374"/>
    </row>
    <row r="62" spans="1:28" x14ac:dyDescent="0.35">
      <c r="B62" s="644"/>
      <c r="D62" s="623"/>
      <c r="E62" s="624"/>
      <c r="F62" s="374" t="s">
        <v>242</v>
      </c>
      <c r="G62" s="625" t="s">
        <v>193</v>
      </c>
      <c r="H62" s="602">
        <v>1</v>
      </c>
      <c r="I62" s="626" t="s">
        <v>238</v>
      </c>
      <c r="J62" s="625"/>
      <c r="K62" s="627">
        <v>1</v>
      </c>
      <c r="L62" s="496">
        <v>192.08</v>
      </c>
      <c r="M62" s="377">
        <f>((M$60*N$60)/240*($H62/N62))</f>
        <v>1.0416666666666666E-2</v>
      </c>
      <c r="N62" s="372">
        <v>1</v>
      </c>
      <c r="O62" s="498">
        <f t="shared" si="4"/>
        <v>2.0008333333333335</v>
      </c>
      <c r="P62" s="235">
        <v>104144.57550000001</v>
      </c>
      <c r="Q62" s="649">
        <f t="shared" si="5"/>
        <v>208375.93814625003</v>
      </c>
      <c r="R62" s="649"/>
      <c r="S62" s="649"/>
      <c r="T62" s="650"/>
      <c r="U62" s="650"/>
      <c r="V62" s="650"/>
      <c r="W62" s="650"/>
      <c r="X62" s="648"/>
      <c r="Y62" s="679">
        <f t="shared" si="6"/>
        <v>1084.8393281250001</v>
      </c>
      <c r="Z62" s="374"/>
    </row>
    <row r="63" spans="1:28" customFormat="1" x14ac:dyDescent="0.35">
      <c r="A63" s="94"/>
      <c r="B63" s="630" t="s">
        <v>631</v>
      </c>
      <c r="C63" s="770"/>
      <c r="D63" s="770"/>
      <c r="E63" s="771"/>
      <c r="F63" s="633"/>
      <c r="G63" s="634"/>
      <c r="H63" s="635"/>
      <c r="I63" s="636"/>
      <c r="J63" s="634"/>
      <c r="K63" s="637"/>
      <c r="L63" s="638"/>
      <c r="M63" s="772"/>
      <c r="N63" s="773"/>
      <c r="O63" s="635"/>
      <c r="P63" s="640"/>
      <c r="Q63" s="651">
        <f>SUM(Q60:Q62)</f>
        <v>86846763.534295157</v>
      </c>
      <c r="R63" s="774"/>
      <c r="S63" s="651">
        <f>SUM(S52:S62)</f>
        <v>90574199.14878723</v>
      </c>
      <c r="T63" s="803"/>
      <c r="U63" s="803"/>
      <c r="V63" s="803"/>
      <c r="W63" s="803"/>
      <c r="X63" s="652"/>
      <c r="Y63" s="682">
        <f>Q63/$C$1</f>
        <v>452138.50236513512</v>
      </c>
      <c r="Z63" s="775">
        <f>Q63/$Q$395*100</f>
        <v>2.1669216830590203</v>
      </c>
      <c r="AA63" s="94"/>
      <c r="AB63" s="94"/>
    </row>
    <row r="64" spans="1:28" x14ac:dyDescent="0.35">
      <c r="B64" s="644"/>
      <c r="D64" s="655" t="s">
        <v>497</v>
      </c>
      <c r="E64" s="702"/>
      <c r="F64" s="374" t="s">
        <v>187</v>
      </c>
      <c r="G64" s="625" t="s">
        <v>188</v>
      </c>
      <c r="H64" s="602"/>
      <c r="I64" s="626"/>
      <c r="J64" s="625"/>
      <c r="K64" s="596"/>
      <c r="L64" s="496"/>
      <c r="M64" s="377"/>
      <c r="N64" s="372"/>
      <c r="O64" s="602"/>
      <c r="P64" s="628"/>
      <c r="Q64" s="628"/>
      <c r="R64" s="628"/>
      <c r="S64" s="628"/>
      <c r="T64" s="629"/>
      <c r="U64" s="629"/>
      <c r="V64" s="629"/>
      <c r="W64" s="629"/>
      <c r="X64" s="602"/>
      <c r="Y64" s="374"/>
      <c r="Z64" s="374"/>
    </row>
    <row r="65" spans="1:28" hidden="1" x14ac:dyDescent="0.35">
      <c r="B65" s="644"/>
      <c r="E65" s="645"/>
      <c r="F65" s="374" t="s">
        <v>291</v>
      </c>
      <c r="G65" s="625" t="s">
        <v>193</v>
      </c>
      <c r="H65" s="602"/>
      <c r="I65" s="626"/>
      <c r="J65" s="625"/>
      <c r="K65" s="596"/>
      <c r="L65" s="496"/>
      <c r="M65" s="377"/>
      <c r="N65" s="372"/>
      <c r="O65" s="602"/>
      <c r="P65" s="628"/>
      <c r="Q65" s="628"/>
      <c r="R65" s="628"/>
      <c r="S65" s="628"/>
      <c r="T65" s="629"/>
      <c r="U65" s="629"/>
      <c r="V65" s="629"/>
      <c r="W65" s="629"/>
      <c r="X65" s="602"/>
      <c r="Y65" s="374"/>
      <c r="Z65" s="374"/>
    </row>
    <row r="66" spans="1:28" hidden="1" x14ac:dyDescent="0.35">
      <c r="B66" s="644"/>
      <c r="D66" s="623"/>
      <c r="E66" s="624"/>
      <c r="F66" s="374" t="s">
        <v>242</v>
      </c>
      <c r="G66" s="625" t="s">
        <v>193</v>
      </c>
      <c r="H66" s="602"/>
      <c r="I66" s="626"/>
      <c r="J66" s="625"/>
      <c r="K66" s="596"/>
      <c r="L66" s="496"/>
      <c r="M66" s="377"/>
      <c r="N66" s="372"/>
      <c r="O66" s="602"/>
      <c r="P66" s="628"/>
      <c r="Q66" s="628"/>
      <c r="R66" s="628"/>
      <c r="S66" s="628"/>
      <c r="T66" s="629"/>
      <c r="U66" s="629"/>
      <c r="V66" s="629"/>
      <c r="W66" s="629"/>
      <c r="X66" s="602"/>
      <c r="Y66" s="374"/>
      <c r="Z66" s="374"/>
    </row>
    <row r="67" spans="1:28" x14ac:dyDescent="0.35">
      <c r="B67" s="644"/>
      <c r="D67" s="655" t="s">
        <v>86</v>
      </c>
      <c r="E67" s="702"/>
      <c r="F67" s="374" t="s">
        <v>187</v>
      </c>
      <c r="G67" s="625" t="s">
        <v>188</v>
      </c>
      <c r="H67" s="602"/>
      <c r="I67" s="626"/>
      <c r="J67" s="625" t="s">
        <v>189</v>
      </c>
      <c r="K67" s="627">
        <v>1</v>
      </c>
      <c r="L67" s="496">
        <v>192.08</v>
      </c>
      <c r="M67" s="372">
        <v>5</v>
      </c>
      <c r="N67" s="372">
        <v>1</v>
      </c>
      <c r="O67" s="498">
        <f>K67*L67*M67*N67</f>
        <v>960.40000000000009</v>
      </c>
      <c r="P67" s="235">
        <v>180115.58081830497</v>
      </c>
      <c r="Q67" s="649">
        <f>P67*$O67</f>
        <v>172983003.81790012</v>
      </c>
      <c r="R67" s="372">
        <v>179635.86432000002</v>
      </c>
      <c r="S67" s="649">
        <f>R67*$O67</f>
        <v>172522284.09292805</v>
      </c>
      <c r="T67" s="372">
        <v>197599.45075200003</v>
      </c>
      <c r="U67" s="650">
        <f>$O67*T67</f>
        <v>189774512.50222084</v>
      </c>
      <c r="V67" s="372">
        <f>W67/O67</f>
        <v>185783.63196343501</v>
      </c>
      <c r="W67" s="478">
        <f>AVERAGEIF($P$3:$U$3,W$3,$P67:$U67)</f>
        <v>178426600.137683</v>
      </c>
      <c r="X67" s="648"/>
      <c r="Y67" s="679">
        <f t="shared" ref="Y67:Y69" si="7">Q67/$C$1</f>
        <v>900577.90409152489</v>
      </c>
      <c r="Z67" s="374"/>
    </row>
    <row r="68" spans="1:28" hidden="1" x14ac:dyDescent="0.35">
      <c r="B68" s="644"/>
      <c r="E68" s="645"/>
      <c r="F68" s="374" t="s">
        <v>493</v>
      </c>
      <c r="G68" s="625" t="s">
        <v>193</v>
      </c>
      <c r="H68" s="602"/>
      <c r="I68" s="626"/>
      <c r="J68" s="625" t="s">
        <v>189</v>
      </c>
      <c r="K68" s="627">
        <v>1</v>
      </c>
      <c r="L68" s="496">
        <v>192.08</v>
      </c>
      <c r="M68" s="382">
        <v>5.0000000000000001E-3</v>
      </c>
      <c r="N68" s="372">
        <v>1</v>
      </c>
      <c r="O68" s="498">
        <f t="shared" ref="O68:O69" si="8">K68*L68*M68*N68</f>
        <v>0.96040000000000003</v>
      </c>
      <c r="P68" s="235">
        <v>146143.35520312501</v>
      </c>
      <c r="Q68" s="649">
        <f t="shared" ref="Q68:Q69" si="9">P68*$O68</f>
        <v>140356.07833708127</v>
      </c>
      <c r="R68" s="649"/>
      <c r="S68" s="649"/>
      <c r="T68" s="650"/>
      <c r="U68" s="650"/>
      <c r="V68" s="650"/>
      <c r="W68" s="650"/>
      <c r="X68" s="648"/>
      <c r="Y68" s="679">
        <f t="shared" si="7"/>
        <v>730.7167760156251</v>
      </c>
      <c r="Z68" s="374"/>
    </row>
    <row r="69" spans="1:28" hidden="1" x14ac:dyDescent="0.35">
      <c r="B69" s="644"/>
      <c r="E69" s="645"/>
      <c r="F69" s="374" t="s">
        <v>242</v>
      </c>
      <c r="G69" s="625" t="s">
        <v>193</v>
      </c>
      <c r="H69" s="602">
        <v>1</v>
      </c>
      <c r="I69" s="626" t="s">
        <v>238</v>
      </c>
      <c r="J69" s="625"/>
      <c r="K69" s="627">
        <v>1</v>
      </c>
      <c r="L69" s="496">
        <v>192.08</v>
      </c>
      <c r="M69" s="377">
        <f>((M$67*N$67)/240*($H69/N69))</f>
        <v>2.0833333333333332E-2</v>
      </c>
      <c r="N69" s="372">
        <v>1</v>
      </c>
      <c r="O69" s="498">
        <f t="shared" si="8"/>
        <v>4.0016666666666669</v>
      </c>
      <c r="P69" s="235">
        <v>104144.57550000001</v>
      </c>
      <c r="Q69" s="649">
        <f t="shared" si="9"/>
        <v>416751.87629250006</v>
      </c>
      <c r="R69" s="649"/>
      <c r="S69" s="649"/>
      <c r="T69" s="650"/>
      <c r="U69" s="650"/>
      <c r="V69" s="650"/>
      <c r="W69" s="650"/>
      <c r="X69" s="648"/>
      <c r="Y69" s="679">
        <f t="shared" si="7"/>
        <v>2169.6786562500001</v>
      </c>
      <c r="Z69" s="374"/>
    </row>
    <row r="70" spans="1:28" customFormat="1" x14ac:dyDescent="0.35">
      <c r="A70" s="94"/>
      <c r="B70" s="630" t="s">
        <v>632</v>
      </c>
      <c r="C70" s="770"/>
      <c r="D70" s="770"/>
      <c r="E70" s="771"/>
      <c r="F70" s="633"/>
      <c r="G70" s="634"/>
      <c r="H70" s="635"/>
      <c r="I70" s="636"/>
      <c r="J70" s="634"/>
      <c r="K70" s="637"/>
      <c r="L70" s="638"/>
      <c r="M70" s="772"/>
      <c r="N70" s="773"/>
      <c r="O70" s="635"/>
      <c r="P70" s="640"/>
      <c r="Q70" s="651">
        <f>SUM(Q64:Q69)</f>
        <v>173540111.77252969</v>
      </c>
      <c r="R70" s="774"/>
      <c r="S70" s="651">
        <f>SUM(S60:S69)</f>
        <v>349357625.28817928</v>
      </c>
      <c r="T70" s="803"/>
      <c r="U70" s="803"/>
      <c r="V70" s="803"/>
      <c r="W70" s="803"/>
      <c r="X70" s="652"/>
      <c r="Y70" s="682">
        <f>Q70/$C$1</f>
        <v>903478.29952379048</v>
      </c>
      <c r="Z70" s="775">
        <f>Q70/$Q$395*100</f>
        <v>4.3300154867818641</v>
      </c>
      <c r="AA70" s="94"/>
      <c r="AB70" s="94"/>
    </row>
    <row r="71" spans="1:28" x14ac:dyDescent="0.35">
      <c r="B71" s="644"/>
      <c r="C71" s="286" t="s">
        <v>499</v>
      </c>
      <c r="E71" s="645"/>
      <c r="F71" s="374"/>
      <c r="G71" s="625"/>
      <c r="H71" s="602"/>
      <c r="I71" s="626"/>
      <c r="J71" s="625"/>
      <c r="K71" s="596"/>
      <c r="L71" s="496"/>
      <c r="M71" s="377"/>
      <c r="N71" s="372"/>
      <c r="O71" s="602"/>
      <c r="P71" s="628"/>
      <c r="Q71" s="628"/>
      <c r="R71" s="628"/>
      <c r="S71" s="628"/>
      <c r="T71" s="629"/>
      <c r="U71" s="629"/>
      <c r="V71" s="629"/>
      <c r="W71" s="629"/>
      <c r="X71" s="602"/>
      <c r="Y71" s="374"/>
      <c r="Z71" s="374"/>
    </row>
    <row r="72" spans="1:28" x14ac:dyDescent="0.35">
      <c r="B72" s="654"/>
      <c r="C72" s="655"/>
      <c r="D72" s="655" t="s">
        <v>81</v>
      </c>
      <c r="E72" s="702"/>
      <c r="F72" s="374" t="s">
        <v>187</v>
      </c>
      <c r="G72" s="625" t="s">
        <v>188</v>
      </c>
      <c r="H72" s="602"/>
      <c r="I72" s="626"/>
      <c r="J72" s="625" t="s">
        <v>189</v>
      </c>
      <c r="K72" s="627">
        <v>1</v>
      </c>
      <c r="L72" s="496">
        <v>192.08</v>
      </c>
      <c r="M72" s="373">
        <v>0.75</v>
      </c>
      <c r="N72" s="372">
        <v>3</v>
      </c>
      <c r="O72" s="498">
        <f t="shared" ref="O72:O83" si="10">K72*L72*M72*N72</f>
        <v>432.18</v>
      </c>
      <c r="P72" s="235">
        <v>180115.58081830497</v>
      </c>
      <c r="Q72" s="649">
        <f t="shared" ref="Q72:Q83" si="11">P72*$O72</f>
        <v>77842351.71805504</v>
      </c>
      <c r="R72" s="372">
        <v>179635.86432000002</v>
      </c>
      <c r="S72" s="649">
        <f t="shared" ref="S72:S83" si="12">R72*$O72</f>
        <v>77635027.841817617</v>
      </c>
      <c r="T72" s="372">
        <v>197599.45075200003</v>
      </c>
      <c r="U72" s="650">
        <f t="shared" ref="U72:U83" si="13">$O72*T72</f>
        <v>85398530.625999376</v>
      </c>
      <c r="V72" s="372">
        <f t="shared" ref="V72:V83" si="14">W72/O72</f>
        <v>185783.63196343501</v>
      </c>
      <c r="W72" s="478">
        <f t="shared" ref="W72:W83" si="15">AVERAGEIF($P$3:$U$3,W$3,$P72:$U72)</f>
        <v>80291970.061957344</v>
      </c>
      <c r="X72" s="648"/>
      <c r="Y72" s="679">
        <f t="shared" ref="Y72:Y83" si="16">Q72/$C$1</f>
        <v>405260.05684118613</v>
      </c>
      <c r="Z72" s="374"/>
    </row>
    <row r="73" spans="1:28" x14ac:dyDescent="0.35">
      <c r="B73" s="644"/>
      <c r="E73" s="645"/>
      <c r="F73" s="374" t="s">
        <v>231</v>
      </c>
      <c r="G73" s="625" t="s">
        <v>232</v>
      </c>
      <c r="H73" s="602"/>
      <c r="I73" s="626"/>
      <c r="J73" s="625" t="s">
        <v>189</v>
      </c>
      <c r="K73" s="627">
        <v>1</v>
      </c>
      <c r="L73" s="496">
        <v>192.08</v>
      </c>
      <c r="M73" s="373">
        <v>0.45</v>
      </c>
      <c r="N73" s="372">
        <v>1</v>
      </c>
      <c r="O73" s="498">
        <f t="shared" si="10"/>
        <v>86.436000000000007</v>
      </c>
      <c r="P73" s="235">
        <v>40913.940375000006</v>
      </c>
      <c r="Q73" s="649">
        <f t="shared" si="11"/>
        <v>3536437.350253501</v>
      </c>
      <c r="R73" s="372">
        <v>44533.743170400012</v>
      </c>
      <c r="S73" s="649">
        <f t="shared" si="12"/>
        <v>3849318.6246766956</v>
      </c>
      <c r="T73" s="372">
        <v>47651.105192328017</v>
      </c>
      <c r="U73" s="650">
        <f t="shared" si="13"/>
        <v>4118770.9284040648</v>
      </c>
      <c r="V73" s="372">
        <f t="shared" si="14"/>
        <v>44366.262912576014</v>
      </c>
      <c r="W73" s="478">
        <f t="shared" si="15"/>
        <v>3834842.3011114206</v>
      </c>
      <c r="X73" s="648"/>
      <c r="Y73" s="679">
        <f t="shared" si="16"/>
        <v>18411.273168750005</v>
      </c>
      <c r="Z73" s="374"/>
    </row>
    <row r="74" spans="1:28" x14ac:dyDescent="0.35">
      <c r="B74" s="644"/>
      <c r="E74" s="645"/>
      <c r="F74" s="374" t="s">
        <v>233</v>
      </c>
      <c r="G74" s="625" t="s">
        <v>191</v>
      </c>
      <c r="H74" s="602"/>
      <c r="I74" s="626"/>
      <c r="J74" s="625" t="s">
        <v>189</v>
      </c>
      <c r="K74" s="627">
        <v>1</v>
      </c>
      <c r="L74" s="496">
        <v>192.08</v>
      </c>
      <c r="M74" s="382">
        <f>18/1000</f>
        <v>1.7999999999999999E-2</v>
      </c>
      <c r="N74" s="372">
        <v>1</v>
      </c>
      <c r="O74" s="498">
        <f t="shared" si="10"/>
        <v>3.4574400000000001</v>
      </c>
      <c r="P74" s="235">
        <v>111583.47375</v>
      </c>
      <c r="Q74" s="649">
        <f t="shared" si="11"/>
        <v>385793.16548220004</v>
      </c>
      <c r="R74" s="372">
        <v>121455.66319200002</v>
      </c>
      <c r="S74" s="649">
        <f t="shared" si="12"/>
        <v>419925.66814654856</v>
      </c>
      <c r="T74" s="372">
        <v>129957.55961544003</v>
      </c>
      <c r="U74" s="650">
        <f t="shared" si="13"/>
        <v>449320.46491680696</v>
      </c>
      <c r="V74" s="372">
        <f t="shared" si="14"/>
        <v>120998.89885248001</v>
      </c>
      <c r="W74" s="478">
        <f t="shared" si="15"/>
        <v>418346.43284851848</v>
      </c>
      <c r="X74" s="648"/>
      <c r="Y74" s="679">
        <f t="shared" si="16"/>
        <v>2008.5025275</v>
      </c>
      <c r="Z74" s="374"/>
    </row>
    <row r="75" spans="1:28" x14ac:dyDescent="0.35">
      <c r="B75" s="644"/>
      <c r="E75" s="645"/>
      <c r="F75" s="374" t="s">
        <v>235</v>
      </c>
      <c r="G75" s="625" t="s">
        <v>232</v>
      </c>
      <c r="H75" s="602"/>
      <c r="I75" s="626"/>
      <c r="J75" s="625" t="s">
        <v>189</v>
      </c>
      <c r="K75" s="627">
        <v>1</v>
      </c>
      <c r="L75" s="496">
        <v>192.08</v>
      </c>
      <c r="M75" s="382">
        <v>0.13500000000000001</v>
      </c>
      <c r="N75" s="372">
        <v>3</v>
      </c>
      <c r="O75" s="498">
        <f t="shared" si="10"/>
        <v>77.792400000000015</v>
      </c>
      <c r="P75" s="235">
        <v>52072.287750000003</v>
      </c>
      <c r="Q75" s="649">
        <f t="shared" si="11"/>
        <v>4050828.2375631011</v>
      </c>
      <c r="R75" s="372">
        <v>56679.309489600004</v>
      </c>
      <c r="S75" s="649">
        <f t="shared" si="12"/>
        <v>4409219.5155387605</v>
      </c>
      <c r="T75" s="372">
        <v>60646.861153872007</v>
      </c>
      <c r="U75" s="650">
        <f t="shared" si="13"/>
        <v>4717864.8816264737</v>
      </c>
      <c r="V75" s="372">
        <f t="shared" si="14"/>
        <v>56466.152797823997</v>
      </c>
      <c r="W75" s="478">
        <f t="shared" si="15"/>
        <v>4392637.5449094446</v>
      </c>
      <c r="X75" s="648"/>
      <c r="Y75" s="679">
        <f t="shared" si="16"/>
        <v>21089.276538750004</v>
      </c>
      <c r="Z75" s="374"/>
    </row>
    <row r="76" spans="1:28" x14ac:dyDescent="0.35">
      <c r="B76" s="644"/>
      <c r="E76" s="645"/>
      <c r="F76" s="374" t="s">
        <v>602</v>
      </c>
      <c r="G76" s="625" t="s">
        <v>232</v>
      </c>
      <c r="H76" s="602"/>
      <c r="I76" s="626"/>
      <c r="J76" s="625" t="s">
        <v>189</v>
      </c>
      <c r="K76" s="627">
        <v>1</v>
      </c>
      <c r="L76" s="496">
        <v>192.08</v>
      </c>
      <c r="M76" s="423">
        <v>0.5</v>
      </c>
      <c r="N76" s="372">
        <v>2</v>
      </c>
      <c r="O76" s="498">
        <f t="shared" si="10"/>
        <v>192.08</v>
      </c>
      <c r="P76" s="235">
        <v>172024.52203125003</v>
      </c>
      <c r="Q76" s="649">
        <f t="shared" si="11"/>
        <v>33042470.191762507</v>
      </c>
      <c r="R76" s="372"/>
      <c r="S76" s="649"/>
      <c r="T76" s="372"/>
      <c r="U76" s="650"/>
      <c r="V76" s="372"/>
      <c r="W76" s="478"/>
      <c r="X76" s="648"/>
      <c r="Y76" s="679">
        <f t="shared" si="16"/>
        <v>172024.52203125003</v>
      </c>
      <c r="Z76" s="374"/>
    </row>
    <row r="77" spans="1:28" x14ac:dyDescent="0.35">
      <c r="B77" s="644"/>
      <c r="E77" s="645"/>
      <c r="F77" s="374" t="s">
        <v>236</v>
      </c>
      <c r="G77" s="625" t="s">
        <v>188</v>
      </c>
      <c r="H77" s="602"/>
      <c r="I77" s="626"/>
      <c r="J77" s="625" t="s">
        <v>189</v>
      </c>
      <c r="K77" s="627">
        <v>1</v>
      </c>
      <c r="L77" s="496">
        <v>192.08</v>
      </c>
      <c r="M77" s="373">
        <f>M72</f>
        <v>0.75</v>
      </c>
      <c r="N77" s="372">
        <v>3</v>
      </c>
      <c r="O77" s="498">
        <f t="shared" si="10"/>
        <v>432.18</v>
      </c>
      <c r="P77" s="235">
        <v>4759.9254973124989</v>
      </c>
      <c r="Q77" s="649">
        <f t="shared" si="11"/>
        <v>2057144.6014285157</v>
      </c>
      <c r="R77" s="372">
        <v>4849.8912000000009</v>
      </c>
      <c r="S77" s="649">
        <f t="shared" si="12"/>
        <v>2096025.9788160005</v>
      </c>
      <c r="T77" s="372">
        <v>5237.8824960000011</v>
      </c>
      <c r="U77" s="650">
        <f t="shared" si="13"/>
        <v>2263708.0571212806</v>
      </c>
      <c r="V77" s="372">
        <f t="shared" si="14"/>
        <v>4949.2330644374997</v>
      </c>
      <c r="W77" s="478">
        <f t="shared" si="15"/>
        <v>2138959.5457885987</v>
      </c>
      <c r="X77" s="648"/>
      <c r="Y77" s="679">
        <f t="shared" si="16"/>
        <v>10709.832368953123</v>
      </c>
      <c r="Z77" s="374"/>
    </row>
    <row r="78" spans="1:28" x14ac:dyDescent="0.35">
      <c r="B78" s="644"/>
      <c r="E78" s="645"/>
      <c r="F78" s="374" t="s">
        <v>230</v>
      </c>
      <c r="G78" s="625" t="s">
        <v>193</v>
      </c>
      <c r="H78" s="602"/>
      <c r="I78" s="626"/>
      <c r="J78" s="625" t="s">
        <v>189</v>
      </c>
      <c r="K78" s="627">
        <v>1</v>
      </c>
      <c r="L78" s="496">
        <v>192.08</v>
      </c>
      <c r="M78" s="377">
        <f>0.00625*(1/2)</f>
        <v>3.1250000000000002E-3</v>
      </c>
      <c r="N78" s="372">
        <v>3</v>
      </c>
      <c r="O78" s="498">
        <f t="shared" si="10"/>
        <v>1.8007500000000003</v>
      </c>
      <c r="P78" s="235">
        <v>1660951.0021781253</v>
      </c>
      <c r="Q78" s="649">
        <f t="shared" si="11"/>
        <v>2990957.5171722597</v>
      </c>
      <c r="R78" s="372">
        <v>1721356.7670720001</v>
      </c>
      <c r="S78" s="649">
        <f t="shared" si="12"/>
        <v>3099733.1983049046</v>
      </c>
      <c r="T78" s="372">
        <v>1859065.3084377602</v>
      </c>
      <c r="U78" s="650">
        <f t="shared" si="13"/>
        <v>3347711.8541692975</v>
      </c>
      <c r="V78" s="372">
        <f t="shared" si="14"/>
        <v>1747124.3592292953</v>
      </c>
      <c r="W78" s="478">
        <f t="shared" si="15"/>
        <v>3146134.1898821541</v>
      </c>
      <c r="X78" s="648"/>
      <c r="Y78" s="679">
        <f t="shared" si="16"/>
        <v>15571.415645419927</v>
      </c>
      <c r="Z78" s="374"/>
    </row>
    <row r="79" spans="1:28" x14ac:dyDescent="0.35">
      <c r="B79" s="644"/>
      <c r="E79" s="645"/>
      <c r="F79" s="374" t="s">
        <v>237</v>
      </c>
      <c r="G79" s="625" t="s">
        <v>193</v>
      </c>
      <c r="H79" s="602">
        <v>4</v>
      </c>
      <c r="I79" s="626" t="s">
        <v>238</v>
      </c>
      <c r="J79" s="625" t="s">
        <v>189</v>
      </c>
      <c r="K79" s="627">
        <v>1</v>
      </c>
      <c r="L79" s="496">
        <v>192.08</v>
      </c>
      <c r="M79" s="377">
        <f>((M$72*N$72)/240*($H79/N79))</f>
        <v>1.2499999999999999E-2</v>
      </c>
      <c r="N79" s="372">
        <v>3</v>
      </c>
      <c r="O79" s="498">
        <f t="shared" si="10"/>
        <v>7.2029999999999994</v>
      </c>
      <c r="P79" s="235">
        <v>52072.287750000003</v>
      </c>
      <c r="Q79" s="649">
        <f t="shared" si="11"/>
        <v>375076.68866325001</v>
      </c>
      <c r="R79" s="372">
        <v>53966.062080000011</v>
      </c>
      <c r="S79" s="649">
        <f t="shared" si="12"/>
        <v>388717.54516224004</v>
      </c>
      <c r="T79" s="372">
        <v>58283.347046400013</v>
      </c>
      <c r="U79" s="650">
        <f t="shared" si="13"/>
        <v>419814.94877521927</v>
      </c>
      <c r="V79" s="372">
        <f t="shared" si="14"/>
        <v>54773.898958800019</v>
      </c>
      <c r="W79" s="478">
        <f t="shared" si="15"/>
        <v>394536.39420023648</v>
      </c>
      <c r="X79" s="649"/>
      <c r="Y79" s="679">
        <f t="shared" si="16"/>
        <v>1952.7107906249998</v>
      </c>
      <c r="Z79" s="374"/>
    </row>
    <row r="80" spans="1:28" x14ac:dyDescent="0.35">
      <c r="B80" s="644"/>
      <c r="E80" s="645"/>
      <c r="F80" s="374" t="s">
        <v>239</v>
      </c>
      <c r="G80" s="625" t="s">
        <v>193</v>
      </c>
      <c r="H80" s="602">
        <v>12</v>
      </c>
      <c r="I80" s="626" t="s">
        <v>238</v>
      </c>
      <c r="J80" s="625" t="s">
        <v>189</v>
      </c>
      <c r="K80" s="627">
        <v>1</v>
      </c>
      <c r="L80" s="496">
        <v>192.08</v>
      </c>
      <c r="M80" s="377">
        <f>((M$72*N$72)/240*($H80/N80))</f>
        <v>3.7499999999999999E-2</v>
      </c>
      <c r="N80" s="372">
        <v>3</v>
      </c>
      <c r="O80" s="498">
        <f t="shared" si="10"/>
        <v>21.609000000000002</v>
      </c>
      <c r="P80" s="235">
        <v>17017.087500000001</v>
      </c>
      <c r="Q80" s="649">
        <f t="shared" si="11"/>
        <v>367722.24378750008</v>
      </c>
      <c r="R80" s="372">
        <v>17635.968000000004</v>
      </c>
      <c r="S80" s="649">
        <f t="shared" si="12"/>
        <v>381095.6325120001</v>
      </c>
      <c r="T80" s="372">
        <v>19046.845440000005</v>
      </c>
      <c r="U80" s="650">
        <f t="shared" si="13"/>
        <v>411583.28311296011</v>
      </c>
      <c r="V80" s="372">
        <f t="shared" si="14"/>
        <v>17899.966980000005</v>
      </c>
      <c r="W80" s="478">
        <f t="shared" si="15"/>
        <v>386800.38647082011</v>
      </c>
      <c r="X80" s="649"/>
      <c r="Y80" s="679">
        <f t="shared" si="16"/>
        <v>1914.4223437500002</v>
      </c>
      <c r="Z80" s="374"/>
    </row>
    <row r="81" spans="1:28" x14ac:dyDescent="0.35">
      <c r="B81" s="644"/>
      <c r="E81" s="645"/>
      <c r="F81" s="374" t="s">
        <v>240</v>
      </c>
      <c r="G81" s="625" t="s">
        <v>193</v>
      </c>
      <c r="H81" s="602">
        <v>1</v>
      </c>
      <c r="I81" s="626" t="s">
        <v>238</v>
      </c>
      <c r="J81" s="625" t="s">
        <v>189</v>
      </c>
      <c r="K81" s="627">
        <v>1</v>
      </c>
      <c r="L81" s="496">
        <v>192.08</v>
      </c>
      <c r="M81" s="377">
        <f>((M$72*N$72)/240*($H81/N81))</f>
        <v>3.1249999999999997E-3</v>
      </c>
      <c r="N81" s="372">
        <v>3</v>
      </c>
      <c r="O81" s="498">
        <f t="shared" si="10"/>
        <v>1.8007499999999999</v>
      </c>
      <c r="P81" s="235">
        <v>45563.251781250008</v>
      </c>
      <c r="Q81" s="649">
        <f t="shared" si="11"/>
        <v>82048.025645085945</v>
      </c>
      <c r="R81" s="372">
        <v>47220.30432000001</v>
      </c>
      <c r="S81" s="649">
        <f t="shared" si="12"/>
        <v>85031.963004240009</v>
      </c>
      <c r="T81" s="372">
        <v>50997.928665600011</v>
      </c>
      <c r="U81" s="650">
        <f t="shared" si="13"/>
        <v>91834.520044579214</v>
      </c>
      <c r="V81" s="372">
        <f t="shared" si="14"/>
        <v>47927.16158895001</v>
      </c>
      <c r="W81" s="478">
        <f t="shared" si="15"/>
        <v>86304.836231301728</v>
      </c>
      <c r="X81" s="649"/>
      <c r="Y81" s="679">
        <f t="shared" si="16"/>
        <v>427.15548544921876</v>
      </c>
      <c r="Z81" s="374"/>
    </row>
    <row r="82" spans="1:28" x14ac:dyDescent="0.35">
      <c r="B82" s="644"/>
      <c r="E82" s="645"/>
      <c r="F82" s="374" t="s">
        <v>241</v>
      </c>
      <c r="G82" s="625" t="s">
        <v>193</v>
      </c>
      <c r="H82" s="602">
        <v>2</v>
      </c>
      <c r="I82" s="626" t="s">
        <v>238</v>
      </c>
      <c r="J82" s="625" t="s">
        <v>189</v>
      </c>
      <c r="K82" s="627">
        <v>1</v>
      </c>
      <c r="L82" s="496">
        <v>192.08</v>
      </c>
      <c r="M82" s="377">
        <f>((M$72*N$72)/240*($H82/N82))</f>
        <v>6.2499999999999995E-3</v>
      </c>
      <c r="N82" s="372">
        <v>3</v>
      </c>
      <c r="O82" s="498">
        <f t="shared" si="10"/>
        <v>3.6014999999999997</v>
      </c>
      <c r="P82" s="235">
        <v>39054.215812500006</v>
      </c>
      <c r="Q82" s="649">
        <f t="shared" si="11"/>
        <v>140653.75824871875</v>
      </c>
      <c r="R82" s="372">
        <v>40474.546560000003</v>
      </c>
      <c r="S82" s="649">
        <f t="shared" si="12"/>
        <v>145769.07943583999</v>
      </c>
      <c r="T82" s="372">
        <v>43712.510284800002</v>
      </c>
      <c r="U82" s="650">
        <f t="shared" si="13"/>
        <v>157430.6057907072</v>
      </c>
      <c r="V82" s="372">
        <f t="shared" si="14"/>
        <v>41080.424219099994</v>
      </c>
      <c r="W82" s="478">
        <f t="shared" si="15"/>
        <v>147951.14782508861</v>
      </c>
      <c r="X82" s="649"/>
      <c r="Y82" s="679">
        <f t="shared" si="16"/>
        <v>732.26654648437489</v>
      </c>
      <c r="Z82" s="374"/>
    </row>
    <row r="83" spans="1:28" x14ac:dyDescent="0.35">
      <c r="B83" s="644"/>
      <c r="D83" s="623"/>
      <c r="E83" s="624"/>
      <c r="F83" s="374" t="s">
        <v>242</v>
      </c>
      <c r="G83" s="625" t="s">
        <v>193</v>
      </c>
      <c r="H83" s="602">
        <v>1</v>
      </c>
      <c r="I83" s="626" t="s">
        <v>238</v>
      </c>
      <c r="J83" s="625" t="s">
        <v>189</v>
      </c>
      <c r="K83" s="627">
        <v>1</v>
      </c>
      <c r="L83" s="496">
        <v>192.08</v>
      </c>
      <c r="M83" s="377">
        <f>((M$72*N$72)/240*($H83/N83))</f>
        <v>3.1249999999999997E-3</v>
      </c>
      <c r="N83" s="372">
        <v>3</v>
      </c>
      <c r="O83" s="498">
        <f t="shared" si="10"/>
        <v>1.8007499999999999</v>
      </c>
      <c r="P83" s="235">
        <v>104144.57550000001</v>
      </c>
      <c r="Q83" s="649">
        <f t="shared" si="11"/>
        <v>187538.344331625</v>
      </c>
      <c r="R83" s="372">
        <v>107932.12416000002</v>
      </c>
      <c r="S83" s="649">
        <f t="shared" si="12"/>
        <v>194358.77258112002</v>
      </c>
      <c r="T83" s="372">
        <v>116566.69409280003</v>
      </c>
      <c r="U83" s="650">
        <f t="shared" si="13"/>
        <v>209907.47438760963</v>
      </c>
      <c r="V83" s="372">
        <f t="shared" si="14"/>
        <v>109547.79791760004</v>
      </c>
      <c r="W83" s="478">
        <f t="shared" si="15"/>
        <v>197268.19710011824</v>
      </c>
      <c r="X83" s="649"/>
      <c r="Y83" s="679">
        <f t="shared" si="16"/>
        <v>976.35539531249992</v>
      </c>
      <c r="Z83" s="374"/>
    </row>
    <row r="84" spans="1:28" customFormat="1" ht="29.25" customHeight="1" x14ac:dyDescent="0.35">
      <c r="A84" s="94"/>
      <c r="B84" s="630" t="s">
        <v>633</v>
      </c>
      <c r="C84" s="770"/>
      <c r="D84" s="770"/>
      <c r="E84" s="771"/>
      <c r="F84" s="633"/>
      <c r="G84" s="634"/>
      <c r="H84" s="635"/>
      <c r="I84" s="636"/>
      <c r="J84" s="634"/>
      <c r="K84" s="637"/>
      <c r="L84" s="638"/>
      <c r="M84" s="772"/>
      <c r="N84" s="773"/>
      <c r="O84" s="635"/>
      <c r="P84" s="640"/>
      <c r="Q84" s="651">
        <f>SUM(Q72:Q83)</f>
        <v>125059021.84239329</v>
      </c>
      <c r="R84" s="774"/>
      <c r="S84" s="651">
        <f>SUM(S72:S83)</f>
        <v>92704223.819995984</v>
      </c>
      <c r="T84" s="803"/>
      <c r="U84" s="803"/>
      <c r="V84" s="803"/>
      <c r="W84" s="803"/>
      <c r="X84" s="652"/>
      <c r="Y84" s="682">
        <f>Q84/$C$1</f>
        <v>651077.78968343022</v>
      </c>
      <c r="Z84" s="775">
        <f>Q84/$Q$395*100</f>
        <v>3.1203592979653227</v>
      </c>
      <c r="AA84" s="94"/>
      <c r="AB84" s="94"/>
    </row>
    <row r="85" spans="1:28" x14ac:dyDescent="0.35">
      <c r="B85" s="644"/>
      <c r="D85" s="655" t="s">
        <v>501</v>
      </c>
      <c r="E85" s="702"/>
      <c r="F85" s="374" t="s">
        <v>187</v>
      </c>
      <c r="G85" s="625" t="s">
        <v>188</v>
      </c>
      <c r="H85" s="602"/>
      <c r="I85" s="626"/>
      <c r="J85" s="625"/>
      <c r="K85" s="596"/>
      <c r="L85" s="496"/>
      <c r="M85" s="377"/>
      <c r="N85" s="372"/>
      <c r="O85" s="602"/>
      <c r="P85" s="628"/>
      <c r="Q85" s="628"/>
      <c r="R85" s="628"/>
      <c r="S85" s="628"/>
      <c r="T85" s="629"/>
      <c r="U85" s="629"/>
      <c r="V85" s="629"/>
      <c r="W85" s="629"/>
      <c r="X85" s="602"/>
      <c r="Y85" s="374"/>
      <c r="Z85" s="374"/>
    </row>
    <row r="86" spans="1:28" hidden="1" x14ac:dyDescent="0.35">
      <c r="B86" s="644"/>
      <c r="E86" s="645"/>
      <c r="F86" s="374" t="s">
        <v>231</v>
      </c>
      <c r="G86" s="625" t="s">
        <v>232</v>
      </c>
      <c r="H86" s="602"/>
      <c r="I86" s="626"/>
      <c r="J86" s="625"/>
      <c r="K86" s="596"/>
      <c r="L86" s="496"/>
      <c r="M86" s="377"/>
      <c r="N86" s="372"/>
      <c r="O86" s="602"/>
      <c r="P86" s="628"/>
      <c r="Q86" s="628"/>
      <c r="R86" s="628"/>
      <c r="S86" s="628"/>
      <c r="T86" s="629"/>
      <c r="U86" s="629"/>
      <c r="V86" s="629"/>
      <c r="W86" s="629"/>
      <c r="X86" s="602"/>
      <c r="Y86" s="374"/>
      <c r="Z86" s="374"/>
    </row>
    <row r="87" spans="1:28" hidden="1" x14ac:dyDescent="0.35">
      <c r="B87" s="644"/>
      <c r="E87" s="645"/>
      <c r="F87" s="374" t="s">
        <v>233</v>
      </c>
      <c r="G87" s="625" t="s">
        <v>191</v>
      </c>
      <c r="H87" s="602"/>
      <c r="I87" s="626"/>
      <c r="J87" s="625"/>
      <c r="K87" s="596"/>
      <c r="L87" s="496"/>
      <c r="M87" s="377"/>
      <c r="N87" s="372"/>
      <c r="O87" s="602"/>
      <c r="P87" s="628"/>
      <c r="Q87" s="628"/>
      <c r="R87" s="628"/>
      <c r="S87" s="628"/>
      <c r="T87" s="629"/>
      <c r="U87" s="629"/>
      <c r="V87" s="629"/>
      <c r="W87" s="629"/>
      <c r="X87" s="602"/>
      <c r="Y87" s="374"/>
      <c r="Z87" s="374"/>
    </row>
    <row r="88" spans="1:28" hidden="1" x14ac:dyDescent="0.35">
      <c r="B88" s="644"/>
      <c r="E88" s="645"/>
      <c r="F88" s="374" t="s">
        <v>235</v>
      </c>
      <c r="G88" s="625" t="s">
        <v>232</v>
      </c>
      <c r="H88" s="602"/>
      <c r="I88" s="626"/>
      <c r="J88" s="625"/>
      <c r="K88" s="596"/>
      <c r="L88" s="496"/>
      <c r="M88" s="377"/>
      <c r="N88" s="372"/>
      <c r="O88" s="602"/>
      <c r="P88" s="628"/>
      <c r="Q88" s="628"/>
      <c r="R88" s="628"/>
      <c r="S88" s="628"/>
      <c r="T88" s="629"/>
      <c r="U88" s="629"/>
      <c r="V88" s="629"/>
      <c r="W88" s="629"/>
      <c r="X88" s="602"/>
      <c r="Y88" s="374"/>
      <c r="Z88" s="374"/>
    </row>
    <row r="89" spans="1:28" hidden="1" x14ac:dyDescent="0.35">
      <c r="B89" s="644"/>
      <c r="E89" s="645"/>
      <c r="F89" s="374" t="s">
        <v>236</v>
      </c>
      <c r="G89" s="625" t="s">
        <v>188</v>
      </c>
      <c r="H89" s="602"/>
      <c r="I89" s="626"/>
      <c r="J89" s="625"/>
      <c r="K89" s="596"/>
      <c r="L89" s="496"/>
      <c r="M89" s="377"/>
      <c r="N89" s="372"/>
      <c r="O89" s="602"/>
      <c r="P89" s="628"/>
      <c r="Q89" s="628"/>
      <c r="R89" s="628"/>
      <c r="S89" s="628"/>
      <c r="T89" s="629"/>
      <c r="U89" s="629"/>
      <c r="V89" s="629"/>
      <c r="W89" s="629"/>
      <c r="X89" s="602"/>
      <c r="Y89" s="374"/>
      <c r="Z89" s="374"/>
    </row>
    <row r="90" spans="1:28" hidden="1" x14ac:dyDescent="0.35">
      <c r="B90" s="644"/>
      <c r="E90" s="645"/>
      <c r="F90" s="374" t="s">
        <v>230</v>
      </c>
      <c r="G90" s="625" t="s">
        <v>193</v>
      </c>
      <c r="H90" s="602"/>
      <c r="I90" s="626"/>
      <c r="J90" s="625"/>
      <c r="K90" s="596"/>
      <c r="L90" s="496"/>
      <c r="M90" s="377"/>
      <c r="N90" s="372"/>
      <c r="O90" s="602"/>
      <c r="P90" s="628"/>
      <c r="Q90" s="628"/>
      <c r="R90" s="628"/>
      <c r="S90" s="628"/>
      <c r="T90" s="629"/>
      <c r="U90" s="629"/>
      <c r="V90" s="629"/>
      <c r="W90" s="629"/>
      <c r="X90" s="602"/>
      <c r="Y90" s="374"/>
      <c r="Z90" s="374"/>
    </row>
    <row r="91" spans="1:28" hidden="1" x14ac:dyDescent="0.35">
      <c r="B91" s="644"/>
      <c r="E91" s="645"/>
      <c r="F91" s="374" t="s">
        <v>237</v>
      </c>
      <c r="G91" s="625" t="s">
        <v>193</v>
      </c>
      <c r="H91" s="602"/>
      <c r="I91" s="626"/>
      <c r="J91" s="625"/>
      <c r="K91" s="596"/>
      <c r="L91" s="496"/>
      <c r="M91" s="377"/>
      <c r="N91" s="372"/>
      <c r="O91" s="602"/>
      <c r="P91" s="628"/>
      <c r="Q91" s="628"/>
      <c r="R91" s="628"/>
      <c r="S91" s="628"/>
      <c r="T91" s="629"/>
      <c r="U91" s="629"/>
      <c r="V91" s="629"/>
      <c r="W91" s="629"/>
      <c r="X91" s="602"/>
      <c r="Y91" s="374"/>
      <c r="Z91" s="374"/>
    </row>
    <row r="92" spans="1:28" hidden="1" x14ac:dyDescent="0.35">
      <c r="B92" s="644"/>
      <c r="E92" s="645"/>
      <c r="F92" s="374" t="s">
        <v>484</v>
      </c>
      <c r="G92" s="625" t="s">
        <v>193</v>
      </c>
      <c r="H92" s="602"/>
      <c r="I92" s="626"/>
      <c r="J92" s="625"/>
      <c r="K92" s="596"/>
      <c r="L92" s="496"/>
      <c r="M92" s="377"/>
      <c r="N92" s="372"/>
      <c r="O92" s="602"/>
      <c r="P92" s="628"/>
      <c r="Q92" s="628"/>
      <c r="R92" s="628"/>
      <c r="S92" s="628"/>
      <c r="T92" s="629"/>
      <c r="U92" s="629"/>
      <c r="V92" s="629"/>
      <c r="W92" s="629"/>
      <c r="X92" s="602"/>
      <c r="Y92" s="374"/>
      <c r="Z92" s="374"/>
    </row>
    <row r="93" spans="1:28" hidden="1" x14ac:dyDescent="0.35">
      <c r="B93" s="644"/>
      <c r="E93" s="645"/>
      <c r="F93" s="374" t="s">
        <v>240</v>
      </c>
      <c r="G93" s="625" t="s">
        <v>193</v>
      </c>
      <c r="H93" s="602"/>
      <c r="I93" s="626"/>
      <c r="J93" s="625"/>
      <c r="K93" s="596"/>
      <c r="L93" s="496"/>
      <c r="M93" s="377"/>
      <c r="N93" s="372"/>
      <c r="O93" s="602"/>
      <c r="P93" s="628"/>
      <c r="Q93" s="628"/>
      <c r="R93" s="628"/>
      <c r="S93" s="628"/>
      <c r="T93" s="629"/>
      <c r="U93" s="629"/>
      <c r="V93" s="629"/>
      <c r="W93" s="629"/>
      <c r="X93" s="602"/>
      <c r="Y93" s="374"/>
      <c r="Z93" s="374"/>
    </row>
    <row r="94" spans="1:28" hidden="1" x14ac:dyDescent="0.35">
      <c r="B94" s="644"/>
      <c r="E94" s="645"/>
      <c r="F94" s="374" t="s">
        <v>241</v>
      </c>
      <c r="G94" s="625" t="s">
        <v>193</v>
      </c>
      <c r="H94" s="602"/>
      <c r="I94" s="626"/>
      <c r="J94" s="625"/>
      <c r="K94" s="596"/>
      <c r="L94" s="496"/>
      <c r="M94" s="377"/>
      <c r="N94" s="372"/>
      <c r="O94" s="602"/>
      <c r="P94" s="628"/>
      <c r="Q94" s="628"/>
      <c r="R94" s="628"/>
      <c r="S94" s="628"/>
      <c r="T94" s="629"/>
      <c r="U94" s="629"/>
      <c r="V94" s="629"/>
      <c r="W94" s="629"/>
      <c r="X94" s="602"/>
      <c r="Y94" s="374"/>
      <c r="Z94" s="374"/>
    </row>
    <row r="95" spans="1:28" hidden="1" x14ac:dyDescent="0.35">
      <c r="B95" s="644"/>
      <c r="D95" s="623"/>
      <c r="E95" s="624"/>
      <c r="F95" s="374" t="s">
        <v>242</v>
      </c>
      <c r="G95" s="625" t="s">
        <v>193</v>
      </c>
      <c r="H95" s="602"/>
      <c r="I95" s="626"/>
      <c r="J95" s="625"/>
      <c r="K95" s="596"/>
      <c r="L95" s="496"/>
      <c r="M95" s="377"/>
      <c r="N95" s="372"/>
      <c r="O95" s="602"/>
      <c r="P95" s="628"/>
      <c r="Q95" s="628"/>
      <c r="R95" s="628"/>
      <c r="S95" s="628"/>
      <c r="T95" s="629"/>
      <c r="U95" s="629"/>
      <c r="V95" s="629"/>
      <c r="W95" s="629"/>
      <c r="X95" s="602"/>
      <c r="Y95" s="374"/>
      <c r="Z95" s="374"/>
    </row>
    <row r="96" spans="1:28" x14ac:dyDescent="0.35">
      <c r="B96" s="644"/>
      <c r="D96" s="655" t="s">
        <v>502</v>
      </c>
      <c r="E96" s="702"/>
      <c r="F96" s="374" t="s">
        <v>187</v>
      </c>
      <c r="G96" s="625" t="s">
        <v>188</v>
      </c>
      <c r="H96" s="602"/>
      <c r="I96" s="626"/>
      <c r="J96" s="625"/>
      <c r="K96" s="596"/>
      <c r="L96" s="496"/>
      <c r="M96" s="377"/>
      <c r="N96" s="372"/>
      <c r="O96" s="602"/>
      <c r="P96" s="628"/>
      <c r="Q96" s="628"/>
      <c r="R96" s="628"/>
      <c r="S96" s="628"/>
      <c r="T96" s="629"/>
      <c r="U96" s="629"/>
      <c r="V96" s="629"/>
      <c r="W96" s="629"/>
      <c r="X96" s="602"/>
      <c r="Y96" s="374"/>
      <c r="Z96" s="374"/>
    </row>
    <row r="97" spans="1:28" x14ac:dyDescent="0.35">
      <c r="B97" s="644"/>
      <c r="E97" s="645"/>
      <c r="F97" s="374" t="s">
        <v>231</v>
      </c>
      <c r="G97" s="625" t="s">
        <v>232</v>
      </c>
      <c r="H97" s="602"/>
      <c r="I97" s="626"/>
      <c r="J97" s="625"/>
      <c r="K97" s="596"/>
      <c r="L97" s="496"/>
      <c r="M97" s="377"/>
      <c r="N97" s="372"/>
      <c r="O97" s="602"/>
      <c r="P97" s="628"/>
      <c r="Q97" s="628"/>
      <c r="R97" s="628"/>
      <c r="S97" s="628"/>
      <c r="T97" s="629"/>
      <c r="U97" s="629"/>
      <c r="V97" s="629"/>
      <c r="W97" s="629"/>
      <c r="X97" s="602"/>
      <c r="Y97" s="374"/>
      <c r="Z97" s="374"/>
    </row>
    <row r="98" spans="1:28" x14ac:dyDescent="0.35">
      <c r="B98" s="644"/>
      <c r="E98" s="645"/>
      <c r="F98" s="374" t="s">
        <v>233</v>
      </c>
      <c r="G98" s="625" t="s">
        <v>191</v>
      </c>
      <c r="H98" s="602"/>
      <c r="I98" s="626"/>
      <c r="J98" s="625"/>
      <c r="K98" s="596"/>
      <c r="L98" s="496"/>
      <c r="M98" s="377"/>
      <c r="N98" s="372"/>
      <c r="O98" s="602"/>
      <c r="P98" s="628"/>
      <c r="Q98" s="628"/>
      <c r="R98" s="628"/>
      <c r="S98" s="628"/>
      <c r="T98" s="629"/>
      <c r="U98" s="629"/>
      <c r="V98" s="629"/>
      <c r="W98" s="629"/>
      <c r="X98" s="602"/>
      <c r="Y98" s="374"/>
      <c r="Z98" s="374"/>
    </row>
    <row r="99" spans="1:28" x14ac:dyDescent="0.35">
      <c r="B99" s="644"/>
      <c r="E99" s="645"/>
      <c r="F99" s="374" t="s">
        <v>235</v>
      </c>
      <c r="G99" s="625" t="s">
        <v>232</v>
      </c>
      <c r="H99" s="602"/>
      <c r="I99" s="626"/>
      <c r="J99" s="625"/>
      <c r="K99" s="596"/>
      <c r="L99" s="496"/>
      <c r="M99" s="377"/>
      <c r="N99" s="372"/>
      <c r="O99" s="602"/>
      <c r="P99" s="628"/>
      <c r="Q99" s="628"/>
      <c r="R99" s="628"/>
      <c r="S99" s="628"/>
      <c r="T99" s="629"/>
      <c r="U99" s="629"/>
      <c r="V99" s="629"/>
      <c r="W99" s="629"/>
      <c r="X99" s="602"/>
      <c r="Y99" s="374"/>
      <c r="Z99" s="374"/>
    </row>
    <row r="100" spans="1:28" x14ac:dyDescent="0.35">
      <c r="B100" s="644"/>
      <c r="E100" s="645"/>
      <c r="F100" s="374" t="s">
        <v>236</v>
      </c>
      <c r="G100" s="625" t="s">
        <v>188</v>
      </c>
      <c r="H100" s="602"/>
      <c r="I100" s="626"/>
      <c r="J100" s="625"/>
      <c r="K100" s="596"/>
      <c r="L100" s="496"/>
      <c r="M100" s="377"/>
      <c r="N100" s="372"/>
      <c r="O100" s="602"/>
      <c r="P100" s="628"/>
      <c r="Q100" s="628"/>
      <c r="R100" s="628"/>
      <c r="S100" s="628"/>
      <c r="T100" s="629"/>
      <c r="U100" s="629"/>
      <c r="V100" s="629"/>
      <c r="W100" s="629"/>
      <c r="X100" s="602"/>
      <c r="Y100" s="374"/>
      <c r="Z100" s="374"/>
    </row>
    <row r="101" spans="1:28" x14ac:dyDescent="0.35">
      <c r="B101" s="644"/>
      <c r="E101" s="645"/>
      <c r="F101" s="374" t="s">
        <v>230</v>
      </c>
      <c r="G101" s="625" t="s">
        <v>193</v>
      </c>
      <c r="H101" s="602"/>
      <c r="I101" s="626"/>
      <c r="J101" s="625"/>
      <c r="K101" s="596"/>
      <c r="L101" s="496"/>
      <c r="M101" s="377"/>
      <c r="N101" s="372"/>
      <c r="O101" s="602"/>
      <c r="P101" s="628"/>
      <c r="Q101" s="628"/>
      <c r="R101" s="628"/>
      <c r="S101" s="628"/>
      <c r="T101" s="629"/>
      <c r="U101" s="629"/>
      <c r="V101" s="629"/>
      <c r="W101" s="629"/>
      <c r="X101" s="602"/>
      <c r="Y101" s="374"/>
      <c r="Z101" s="374"/>
    </row>
    <row r="102" spans="1:28" x14ac:dyDescent="0.35">
      <c r="B102" s="644"/>
      <c r="E102" s="645"/>
      <c r="F102" s="374" t="s">
        <v>237</v>
      </c>
      <c r="G102" s="625" t="s">
        <v>193</v>
      </c>
      <c r="H102" s="602"/>
      <c r="I102" s="626"/>
      <c r="J102" s="625"/>
      <c r="K102" s="596"/>
      <c r="L102" s="496"/>
      <c r="M102" s="377"/>
      <c r="N102" s="372"/>
      <c r="O102" s="602"/>
      <c r="P102" s="628"/>
      <c r="Q102" s="628"/>
      <c r="R102" s="628"/>
      <c r="S102" s="628"/>
      <c r="T102" s="629"/>
      <c r="U102" s="629"/>
      <c r="V102" s="629"/>
      <c r="W102" s="629"/>
      <c r="X102" s="602"/>
      <c r="Y102" s="374"/>
      <c r="Z102" s="374"/>
    </row>
    <row r="103" spans="1:28" x14ac:dyDescent="0.35">
      <c r="B103" s="644"/>
      <c r="E103" s="645"/>
      <c r="F103" s="374" t="s">
        <v>484</v>
      </c>
      <c r="G103" s="625" t="s">
        <v>193</v>
      </c>
      <c r="H103" s="602"/>
      <c r="I103" s="626"/>
      <c r="J103" s="625"/>
      <c r="K103" s="596"/>
      <c r="L103" s="496"/>
      <c r="M103" s="377"/>
      <c r="N103" s="372"/>
      <c r="O103" s="602"/>
      <c r="P103" s="628"/>
      <c r="Q103" s="628"/>
      <c r="R103" s="628"/>
      <c r="S103" s="628"/>
      <c r="T103" s="629"/>
      <c r="U103" s="629"/>
      <c r="V103" s="629"/>
      <c r="W103" s="629"/>
      <c r="X103" s="602"/>
      <c r="Y103" s="374"/>
      <c r="Z103" s="374"/>
    </row>
    <row r="104" spans="1:28" x14ac:dyDescent="0.35">
      <c r="B104" s="644"/>
      <c r="E104" s="645"/>
      <c r="F104" s="374" t="s">
        <v>240</v>
      </c>
      <c r="G104" s="625" t="s">
        <v>193</v>
      </c>
      <c r="H104" s="602"/>
      <c r="I104" s="626"/>
      <c r="J104" s="625"/>
      <c r="K104" s="596"/>
      <c r="L104" s="496"/>
      <c r="M104" s="377"/>
      <c r="N104" s="372"/>
      <c r="O104" s="602"/>
      <c r="P104" s="628"/>
      <c r="Q104" s="628"/>
      <c r="R104" s="628"/>
      <c r="S104" s="628"/>
      <c r="T104" s="629"/>
      <c r="U104" s="629"/>
      <c r="V104" s="629"/>
      <c r="W104" s="629"/>
      <c r="X104" s="602"/>
      <c r="Y104" s="374"/>
      <c r="Z104" s="374"/>
    </row>
    <row r="105" spans="1:28" x14ac:dyDescent="0.35">
      <c r="B105" s="644"/>
      <c r="E105" s="645"/>
      <c r="F105" s="374" t="s">
        <v>241</v>
      </c>
      <c r="G105" s="625" t="s">
        <v>193</v>
      </c>
      <c r="H105" s="602"/>
      <c r="I105" s="626"/>
      <c r="J105" s="625"/>
      <c r="K105" s="596"/>
      <c r="L105" s="496"/>
      <c r="M105" s="377"/>
      <c r="N105" s="372"/>
      <c r="O105" s="602"/>
      <c r="P105" s="628"/>
      <c r="Q105" s="628"/>
      <c r="R105" s="628"/>
      <c r="S105" s="628"/>
      <c r="T105" s="629"/>
      <c r="U105" s="629"/>
      <c r="V105" s="629"/>
      <c r="W105" s="629"/>
      <c r="X105" s="602"/>
      <c r="Y105" s="374"/>
      <c r="Z105" s="374"/>
    </row>
    <row r="106" spans="1:28" x14ac:dyDescent="0.35">
      <c r="B106" s="622"/>
      <c r="C106" s="623"/>
      <c r="D106" s="623"/>
      <c r="E106" s="624"/>
      <c r="F106" s="374" t="s">
        <v>242</v>
      </c>
      <c r="G106" s="625" t="s">
        <v>193</v>
      </c>
      <c r="H106" s="602"/>
      <c r="I106" s="626"/>
      <c r="J106" s="625"/>
      <c r="K106" s="596"/>
      <c r="L106" s="496"/>
      <c r="M106" s="377"/>
      <c r="N106" s="372"/>
      <c r="O106" s="602"/>
      <c r="P106" s="628"/>
      <c r="Q106" s="628"/>
      <c r="R106" s="628"/>
      <c r="S106" s="628"/>
      <c r="T106" s="629"/>
      <c r="U106" s="629"/>
      <c r="V106" s="629"/>
      <c r="W106" s="629"/>
      <c r="X106" s="602"/>
      <c r="Y106" s="374"/>
      <c r="Z106" s="374"/>
    </row>
    <row r="107" spans="1:28" x14ac:dyDescent="0.35">
      <c r="B107" s="654"/>
      <c r="C107" s="655" t="s">
        <v>83</v>
      </c>
      <c r="D107" s="655"/>
      <c r="E107" s="702"/>
      <c r="F107" s="374" t="s">
        <v>187</v>
      </c>
      <c r="G107" s="625" t="s">
        <v>188</v>
      </c>
      <c r="H107" s="602"/>
      <c r="I107" s="626"/>
      <c r="J107" s="625" t="s">
        <v>189</v>
      </c>
      <c r="K107" s="627">
        <v>1</v>
      </c>
      <c r="L107" s="496">
        <v>192.08</v>
      </c>
      <c r="M107" s="372">
        <v>2</v>
      </c>
      <c r="N107" s="372">
        <v>2</v>
      </c>
      <c r="O107" s="498">
        <f>K107*L107*M107*N107</f>
        <v>768.32</v>
      </c>
      <c r="P107" s="235">
        <v>180115.58081830497</v>
      </c>
      <c r="Q107" s="649">
        <f>P107*$O107</f>
        <v>138386403.05432007</v>
      </c>
      <c r="R107" s="372">
        <v>179635.86432000002</v>
      </c>
      <c r="S107" s="649">
        <f>R107*$O107</f>
        <v>138017827.27434242</v>
      </c>
      <c r="T107" s="372">
        <v>197599.45075200003</v>
      </c>
      <c r="U107" s="650">
        <f>$O107*T107</f>
        <v>151819610.00177667</v>
      </c>
      <c r="V107" s="372">
        <f>W107/O107</f>
        <v>185783.63196343501</v>
      </c>
      <c r="W107" s="478">
        <f>AVERAGEIF($P$3:$U$3,W$3,$P107:$U107)</f>
        <v>142741280.1101464</v>
      </c>
      <c r="X107" s="648"/>
      <c r="Y107" s="679">
        <f t="shared" ref="Y107:Y109" si="17">Q107/$C$1</f>
        <v>720462.32327321975</v>
      </c>
      <c r="Z107" s="374"/>
    </row>
    <row r="108" spans="1:28" x14ac:dyDescent="0.35">
      <c r="B108" s="644"/>
      <c r="E108" s="645"/>
      <c r="F108" s="374" t="s">
        <v>291</v>
      </c>
      <c r="G108" s="625" t="s">
        <v>193</v>
      </c>
      <c r="H108" s="602"/>
      <c r="I108" s="626"/>
      <c r="J108" s="625"/>
      <c r="K108" s="627">
        <v>1</v>
      </c>
      <c r="L108" s="496">
        <v>192.08</v>
      </c>
      <c r="M108" s="377">
        <f>0.017*(1/2)</f>
        <v>8.5000000000000006E-3</v>
      </c>
      <c r="N108" s="372">
        <v>2</v>
      </c>
      <c r="O108" s="498">
        <f>K108*L108*M108*N108</f>
        <v>3.2653600000000003</v>
      </c>
      <c r="P108" s="235">
        <v>92133.854367187509</v>
      </c>
      <c r="Q108" s="649">
        <f>P108*$O108</f>
        <v>300850.2026964394</v>
      </c>
      <c r="R108" s="372">
        <v>95484.594960000017</v>
      </c>
      <c r="S108" s="649">
        <f>R108*$O108</f>
        <v>311791.57699858566</v>
      </c>
      <c r="T108" s="372">
        <v>103123.36255680003</v>
      </c>
      <c r="U108" s="650">
        <f>$O108*T108</f>
        <v>336734.90315847256</v>
      </c>
      <c r="V108" s="372">
        <f>W108/O108</f>
        <v>96913.937294662494</v>
      </c>
      <c r="W108" s="478">
        <f>AVERAGEIF($P$3:$U$3,W$3,$P108:$U108)</f>
        <v>316458.89428449917</v>
      </c>
      <c r="X108" s="648"/>
      <c r="Y108" s="679">
        <f t="shared" si="17"/>
        <v>1566.2755242421874</v>
      </c>
      <c r="Z108" s="374"/>
    </row>
    <row r="109" spans="1:28" x14ac:dyDescent="0.35">
      <c r="B109" s="644"/>
      <c r="D109" s="623"/>
      <c r="E109" s="624"/>
      <c r="F109" s="374" t="s">
        <v>242</v>
      </c>
      <c r="G109" s="625" t="s">
        <v>193</v>
      </c>
      <c r="H109" s="602"/>
      <c r="I109" s="626"/>
      <c r="J109" s="625" t="s">
        <v>189</v>
      </c>
      <c r="K109" s="627">
        <v>1</v>
      </c>
      <c r="L109" s="496">
        <v>192.08</v>
      </c>
      <c r="M109" s="377">
        <f>0.017*(1/2)</f>
        <v>8.5000000000000006E-3</v>
      </c>
      <c r="N109" s="372">
        <v>2</v>
      </c>
      <c r="O109" s="498">
        <f>K109*L109*M109*N109</f>
        <v>3.2653600000000003</v>
      </c>
      <c r="P109" s="235">
        <v>104144.57550000001</v>
      </c>
      <c r="Q109" s="649">
        <f>P109*$O109</f>
        <v>340069.53105468006</v>
      </c>
      <c r="R109" s="372">
        <v>107932.12416000002</v>
      </c>
      <c r="S109" s="649">
        <f>R109*$O109</f>
        <v>352437.24094709771</v>
      </c>
      <c r="T109" s="372">
        <v>116566.69409280003</v>
      </c>
      <c r="U109" s="650">
        <f>$O109*T109</f>
        <v>380632.22022286552</v>
      </c>
      <c r="V109" s="372">
        <f>W109/O109</f>
        <v>109547.79791760002</v>
      </c>
      <c r="W109" s="478">
        <f>AVERAGEIF($P$3:$U$3,W$3,$P109:$U109)</f>
        <v>357712.99740821443</v>
      </c>
      <c r="X109" s="648"/>
      <c r="Y109" s="679">
        <f t="shared" si="17"/>
        <v>1770.4577835000002</v>
      </c>
      <c r="Z109" s="374"/>
    </row>
    <row r="110" spans="1:28" customFormat="1" ht="29.25" customHeight="1" x14ac:dyDescent="0.35">
      <c r="A110" s="94"/>
      <c r="B110" s="630" t="s">
        <v>634</v>
      </c>
      <c r="C110" s="770"/>
      <c r="D110" s="770"/>
      <c r="E110" s="771"/>
      <c r="F110" s="633"/>
      <c r="G110" s="634"/>
      <c r="H110" s="635"/>
      <c r="I110" s="636"/>
      <c r="J110" s="634"/>
      <c r="K110" s="637"/>
      <c r="L110" s="638"/>
      <c r="M110" s="772"/>
      <c r="N110" s="773"/>
      <c r="O110" s="635"/>
      <c r="P110" s="640"/>
      <c r="Q110" s="651">
        <f>SUM(Q107:Q109)</f>
        <v>139027322.78807119</v>
      </c>
      <c r="R110" s="774"/>
      <c r="S110" s="651">
        <f>SUM(S99:S109)</f>
        <v>138682056.09228811</v>
      </c>
      <c r="T110" s="803"/>
      <c r="U110" s="803"/>
      <c r="V110" s="803"/>
      <c r="W110" s="803"/>
      <c r="X110" s="652"/>
      <c r="Y110" s="682">
        <f>Q110/$C$1</f>
        <v>723799.05658096203</v>
      </c>
      <c r="Z110" s="775">
        <f>Q110/$Q$395*100</f>
        <v>3.4688836754193026</v>
      </c>
      <c r="AA110" s="94"/>
      <c r="AB110" s="94"/>
    </row>
    <row r="111" spans="1:28" x14ac:dyDescent="0.35">
      <c r="B111" s="644"/>
      <c r="D111" s="655" t="s">
        <v>503</v>
      </c>
      <c r="E111" s="702"/>
      <c r="F111" s="374" t="s">
        <v>187</v>
      </c>
      <c r="G111" s="625" t="s">
        <v>188</v>
      </c>
      <c r="H111" s="602"/>
      <c r="I111" s="626"/>
      <c r="J111" s="625"/>
      <c r="K111" s="596"/>
      <c r="L111" s="496"/>
      <c r="M111" s="377">
        <v>12</v>
      </c>
      <c r="N111" s="372">
        <v>1</v>
      </c>
      <c r="O111" s="602"/>
      <c r="P111" s="628"/>
      <c r="Q111" s="628"/>
      <c r="R111" s="628"/>
      <c r="S111" s="628"/>
      <c r="T111" s="629"/>
      <c r="U111" s="629"/>
      <c r="V111" s="629"/>
      <c r="W111" s="629"/>
      <c r="X111" s="602"/>
      <c r="Y111" s="374"/>
      <c r="Z111" s="374"/>
    </row>
    <row r="112" spans="1:28" hidden="1" x14ac:dyDescent="0.35">
      <c r="B112" s="644"/>
      <c r="E112" s="645"/>
      <c r="F112" s="374" t="s">
        <v>291</v>
      </c>
      <c r="G112" s="625" t="s">
        <v>193</v>
      </c>
      <c r="H112" s="602"/>
      <c r="I112" s="626"/>
      <c r="J112" s="625"/>
      <c r="K112" s="596"/>
      <c r="L112" s="496"/>
      <c r="M112" s="377">
        <v>1.7000000000000001E-2</v>
      </c>
      <c r="N112" s="372">
        <v>1</v>
      </c>
      <c r="O112" s="602"/>
      <c r="P112" s="628"/>
      <c r="Q112" s="628"/>
      <c r="R112" s="628"/>
      <c r="S112" s="628"/>
      <c r="T112" s="629"/>
      <c r="U112" s="629"/>
      <c r="V112" s="629"/>
      <c r="W112" s="629"/>
      <c r="X112" s="602"/>
      <c r="Y112" s="374"/>
      <c r="Z112" s="374"/>
    </row>
    <row r="113" spans="1:28" hidden="1" x14ac:dyDescent="0.35">
      <c r="B113" s="644"/>
      <c r="E113" s="645"/>
      <c r="F113" s="374" t="s">
        <v>242</v>
      </c>
      <c r="G113" s="625" t="s">
        <v>193</v>
      </c>
      <c r="H113" s="602">
        <v>1</v>
      </c>
      <c r="I113" s="626" t="s">
        <v>238</v>
      </c>
      <c r="J113" s="625"/>
      <c r="K113" s="596"/>
      <c r="L113" s="496"/>
      <c r="M113" s="377">
        <f>((M$111*N$111)/240*($H113/N113))</f>
        <v>0.05</v>
      </c>
      <c r="N113" s="372">
        <v>1</v>
      </c>
      <c r="O113" s="602"/>
      <c r="P113" s="628"/>
      <c r="Q113" s="628"/>
      <c r="R113" s="628"/>
      <c r="S113" s="628"/>
      <c r="T113" s="629"/>
      <c r="U113" s="629"/>
      <c r="V113" s="629"/>
      <c r="W113" s="629"/>
      <c r="X113" s="602"/>
      <c r="Y113" s="374"/>
      <c r="Z113" s="374"/>
    </row>
    <row r="114" spans="1:28" x14ac:dyDescent="0.35">
      <c r="B114" s="654"/>
      <c r="C114" s="655" t="s">
        <v>85</v>
      </c>
      <c r="D114" s="655"/>
      <c r="E114" s="702"/>
      <c r="F114" s="374" t="s">
        <v>187</v>
      </c>
      <c r="G114" s="625" t="s">
        <v>188</v>
      </c>
      <c r="H114" s="602"/>
      <c r="I114" s="626"/>
      <c r="J114" s="625" t="s">
        <v>189</v>
      </c>
      <c r="K114" s="627">
        <v>1</v>
      </c>
      <c r="L114" s="496">
        <v>192.08</v>
      </c>
      <c r="M114" s="373">
        <v>1.25</v>
      </c>
      <c r="N114" s="372">
        <v>2</v>
      </c>
      <c r="O114" s="498">
        <f t="shared" ref="O114:O125" si="18">K114*L114*M114*N114</f>
        <v>480.20000000000005</v>
      </c>
      <c r="P114" s="235">
        <v>180115.58081830497</v>
      </c>
      <c r="Q114" s="649">
        <f t="shared" ref="Q114:Q125" si="19">P114*$O114</f>
        <v>86491501.908950061</v>
      </c>
      <c r="R114" s="372">
        <v>179635.86432000002</v>
      </c>
      <c r="S114" s="649">
        <f t="shared" ref="S114:S125" si="20">R114*$O114</f>
        <v>86261142.046464026</v>
      </c>
      <c r="T114" s="372">
        <v>197599.45075200003</v>
      </c>
      <c r="U114" s="650">
        <f t="shared" ref="U114:U125" si="21">$O114*T114</f>
        <v>94887256.25111042</v>
      </c>
      <c r="V114" s="372">
        <f t="shared" ref="V114:V125" si="22">W114/O114</f>
        <v>185783.63196343501</v>
      </c>
      <c r="W114" s="478">
        <f t="shared" ref="W114:W125" si="23">AVERAGEIF($P$3:$U$3,W$3,$P114:$U114)</f>
        <v>89213300.068841502</v>
      </c>
      <c r="X114" s="648"/>
      <c r="Y114" s="679">
        <f>Q114/$C$1</f>
        <v>450288.95204576245</v>
      </c>
      <c r="Z114" s="374"/>
    </row>
    <row r="115" spans="1:28" x14ac:dyDescent="0.35">
      <c r="B115" s="644"/>
      <c r="E115" s="645"/>
      <c r="F115" s="374" t="s">
        <v>505</v>
      </c>
      <c r="G115" s="625" t="s">
        <v>232</v>
      </c>
      <c r="H115" s="602"/>
      <c r="I115" s="626"/>
      <c r="J115" s="625" t="s">
        <v>189</v>
      </c>
      <c r="K115" s="627">
        <v>0</v>
      </c>
      <c r="L115" s="496">
        <v>192.08</v>
      </c>
      <c r="M115" s="373">
        <v>0.36</v>
      </c>
      <c r="N115" s="372">
        <v>2</v>
      </c>
      <c r="O115" s="498">
        <f t="shared" si="18"/>
        <v>0</v>
      </c>
      <c r="P115" s="235">
        <v>219447.49837500002</v>
      </c>
      <c r="Q115" s="649">
        <f t="shared" si="19"/>
        <v>0</v>
      </c>
      <c r="R115" s="372">
        <v>238862.80427760005</v>
      </c>
      <c r="S115" s="649">
        <f t="shared" si="20"/>
        <v>0</v>
      </c>
      <c r="T115" s="372">
        <v>255583.20057703208</v>
      </c>
      <c r="U115" s="650">
        <f t="shared" si="21"/>
        <v>0</v>
      </c>
      <c r="V115" s="372" t="e">
        <f t="shared" si="22"/>
        <v>#DIV/0!</v>
      </c>
      <c r="W115" s="478">
        <f t="shared" si="23"/>
        <v>0</v>
      </c>
      <c r="X115" s="648"/>
      <c r="Y115" s="679">
        <f t="shared" ref="Y115" si="24">Q115/192.08</f>
        <v>0</v>
      </c>
      <c r="Z115" s="374"/>
    </row>
    <row r="116" spans="1:28" x14ac:dyDescent="0.35">
      <c r="B116" s="644"/>
      <c r="E116" s="645"/>
      <c r="F116" s="374" t="s">
        <v>233</v>
      </c>
      <c r="G116" s="625" t="s">
        <v>191</v>
      </c>
      <c r="H116" s="602"/>
      <c r="I116" s="626"/>
      <c r="J116" s="625" t="s">
        <v>189</v>
      </c>
      <c r="K116" s="627">
        <v>1</v>
      </c>
      <c r="L116" s="496">
        <v>192.08</v>
      </c>
      <c r="M116" s="373">
        <v>0.03</v>
      </c>
      <c r="N116" s="372">
        <v>2</v>
      </c>
      <c r="O116" s="498">
        <f t="shared" si="18"/>
        <v>11.524800000000001</v>
      </c>
      <c r="P116" s="235">
        <v>111583.47375</v>
      </c>
      <c r="Q116" s="649">
        <f t="shared" si="19"/>
        <v>1285977.2182740001</v>
      </c>
      <c r="R116" s="372">
        <v>121455.66319200002</v>
      </c>
      <c r="S116" s="649">
        <f t="shared" si="20"/>
        <v>1399752.227155162</v>
      </c>
      <c r="T116" s="372">
        <v>129957.55961544003</v>
      </c>
      <c r="U116" s="650">
        <f t="shared" si="21"/>
        <v>1497734.8830560234</v>
      </c>
      <c r="V116" s="372">
        <f t="shared" si="22"/>
        <v>120998.89885248001</v>
      </c>
      <c r="W116" s="478">
        <f t="shared" si="23"/>
        <v>1394488.1094950617</v>
      </c>
      <c r="X116" s="648"/>
      <c r="Y116" s="679">
        <f t="shared" ref="Y116:Y125" si="25">Q116/$C$1</f>
        <v>6695.008425</v>
      </c>
      <c r="Z116" s="374"/>
    </row>
    <row r="117" spans="1:28" x14ac:dyDescent="0.35">
      <c r="B117" s="644"/>
      <c r="E117" s="645"/>
      <c r="F117" s="374" t="s">
        <v>234</v>
      </c>
      <c r="G117" s="625" t="s">
        <v>232</v>
      </c>
      <c r="H117" s="602"/>
      <c r="I117" s="626"/>
      <c r="J117" s="625" t="s">
        <v>189</v>
      </c>
      <c r="K117" s="627">
        <v>1</v>
      </c>
      <c r="L117" s="496">
        <v>192.08</v>
      </c>
      <c r="M117" s="373">
        <v>0.75</v>
      </c>
      <c r="N117" s="372">
        <v>2</v>
      </c>
      <c r="O117" s="498">
        <f t="shared" si="18"/>
        <v>288.12</v>
      </c>
      <c r="P117" s="235">
        <v>32855.133937500003</v>
      </c>
      <c r="Q117" s="649">
        <f t="shared" si="19"/>
        <v>9466221.1900725011</v>
      </c>
      <c r="R117" s="372">
        <v>35761.945273200006</v>
      </c>
      <c r="S117" s="649">
        <f t="shared" si="20"/>
        <v>10303731.672114385</v>
      </c>
      <c r="T117" s="372">
        <v>38265.281442324012</v>
      </c>
      <c r="U117" s="650">
        <f t="shared" si="21"/>
        <v>11024992.889162395</v>
      </c>
      <c r="V117" s="372">
        <f t="shared" si="22"/>
        <v>35627.45355100801</v>
      </c>
      <c r="W117" s="478">
        <f t="shared" si="23"/>
        <v>10264981.917116428</v>
      </c>
      <c r="X117" s="648"/>
      <c r="Y117" s="679">
        <f t="shared" si="25"/>
        <v>49282.70090625</v>
      </c>
      <c r="Z117" s="374"/>
    </row>
    <row r="118" spans="1:28" x14ac:dyDescent="0.35">
      <c r="B118" s="644"/>
      <c r="E118" s="645"/>
      <c r="F118" s="374" t="s">
        <v>235</v>
      </c>
      <c r="G118" s="625" t="s">
        <v>232</v>
      </c>
      <c r="H118" s="602"/>
      <c r="I118" s="626"/>
      <c r="J118" s="625" t="s">
        <v>189</v>
      </c>
      <c r="K118" s="627">
        <v>1</v>
      </c>
      <c r="L118" s="496">
        <v>192.08</v>
      </c>
      <c r="M118" s="382">
        <v>0.22500000000000001</v>
      </c>
      <c r="N118" s="372">
        <v>2</v>
      </c>
      <c r="O118" s="498">
        <f t="shared" si="18"/>
        <v>86.436000000000007</v>
      </c>
      <c r="P118" s="235">
        <v>52072.287750000003</v>
      </c>
      <c r="Q118" s="649">
        <f t="shared" si="19"/>
        <v>4500920.2639590008</v>
      </c>
      <c r="R118" s="372">
        <v>56679.309489600004</v>
      </c>
      <c r="S118" s="649">
        <f t="shared" si="20"/>
        <v>4899132.7950430661</v>
      </c>
      <c r="T118" s="372">
        <v>60646.861153872007</v>
      </c>
      <c r="U118" s="650">
        <f t="shared" si="21"/>
        <v>5242072.0906960815</v>
      </c>
      <c r="V118" s="372">
        <f t="shared" si="22"/>
        <v>56466.152797824012</v>
      </c>
      <c r="W118" s="478">
        <f t="shared" si="23"/>
        <v>4880708.3832327165</v>
      </c>
      <c r="X118" s="648"/>
      <c r="Y118" s="679">
        <f t="shared" si="25"/>
        <v>23432.529487500004</v>
      </c>
      <c r="Z118" s="374"/>
    </row>
    <row r="119" spans="1:28" x14ac:dyDescent="0.35">
      <c r="B119" s="644"/>
      <c r="E119" s="645"/>
      <c r="F119" s="374" t="s">
        <v>236</v>
      </c>
      <c r="G119" s="625" t="s">
        <v>188</v>
      </c>
      <c r="H119" s="602"/>
      <c r="I119" s="626"/>
      <c r="J119" s="625" t="s">
        <v>189</v>
      </c>
      <c r="K119" s="627">
        <v>1</v>
      </c>
      <c r="L119" s="496">
        <v>192.08</v>
      </c>
      <c r="M119" s="373">
        <f>M114</f>
        <v>1.25</v>
      </c>
      <c r="N119" s="372">
        <v>2</v>
      </c>
      <c r="O119" s="498">
        <f t="shared" si="18"/>
        <v>480.20000000000005</v>
      </c>
      <c r="P119" s="235">
        <v>4759.9254973124989</v>
      </c>
      <c r="Q119" s="649">
        <f t="shared" si="19"/>
        <v>2285716.223809462</v>
      </c>
      <c r="R119" s="372">
        <v>4849.8912000000009</v>
      </c>
      <c r="S119" s="649">
        <f t="shared" si="20"/>
        <v>2328917.7542400006</v>
      </c>
      <c r="T119" s="372">
        <v>5237.8824960000011</v>
      </c>
      <c r="U119" s="650">
        <f t="shared" si="21"/>
        <v>2515231.1745792008</v>
      </c>
      <c r="V119" s="372">
        <f t="shared" si="22"/>
        <v>4949.2330644375006</v>
      </c>
      <c r="W119" s="478">
        <f t="shared" si="23"/>
        <v>2376621.7175428881</v>
      </c>
      <c r="X119" s="648"/>
      <c r="Y119" s="679">
        <f t="shared" si="25"/>
        <v>11899.813743281247</v>
      </c>
      <c r="Z119" s="374"/>
    </row>
    <row r="120" spans="1:28" x14ac:dyDescent="0.35">
      <c r="B120" s="644"/>
      <c r="E120" s="645"/>
      <c r="F120" s="374" t="s">
        <v>230</v>
      </c>
      <c r="G120" s="625" t="s">
        <v>193</v>
      </c>
      <c r="H120" s="602"/>
      <c r="I120" s="626"/>
      <c r="J120" s="625" t="s">
        <v>189</v>
      </c>
      <c r="K120" s="627">
        <v>1</v>
      </c>
      <c r="L120" s="496">
        <v>192.08</v>
      </c>
      <c r="M120" s="377">
        <f>0.0125*(1/2)</f>
        <v>6.2500000000000003E-3</v>
      </c>
      <c r="N120" s="372">
        <v>2</v>
      </c>
      <c r="O120" s="498">
        <f t="shared" si="18"/>
        <v>2.4010000000000002</v>
      </c>
      <c r="P120" s="235">
        <v>1660951.0021781253</v>
      </c>
      <c r="Q120" s="649">
        <f t="shared" si="19"/>
        <v>3987943.3562296792</v>
      </c>
      <c r="R120" s="372">
        <v>1721356.7670720001</v>
      </c>
      <c r="S120" s="649">
        <f t="shared" si="20"/>
        <v>4132977.5977398725</v>
      </c>
      <c r="T120" s="372">
        <v>1859065.3084377602</v>
      </c>
      <c r="U120" s="650">
        <f t="shared" si="21"/>
        <v>4463615.8055590624</v>
      </c>
      <c r="V120" s="372">
        <f t="shared" si="22"/>
        <v>1747124.359229295</v>
      </c>
      <c r="W120" s="478">
        <f t="shared" si="23"/>
        <v>4194845.5865095379</v>
      </c>
      <c r="X120" s="648"/>
      <c r="Y120" s="679">
        <f t="shared" si="25"/>
        <v>20761.887527226565</v>
      </c>
      <c r="Z120" s="374"/>
    </row>
    <row r="121" spans="1:28" x14ac:dyDescent="0.35">
      <c r="B121" s="644"/>
      <c r="E121" s="645"/>
      <c r="F121" s="374" t="s">
        <v>237</v>
      </c>
      <c r="G121" s="625" t="s">
        <v>193</v>
      </c>
      <c r="H121" s="602">
        <v>4</v>
      </c>
      <c r="I121" s="626" t="s">
        <v>238</v>
      </c>
      <c r="J121" s="625" t="s">
        <v>189</v>
      </c>
      <c r="K121" s="627">
        <v>1</v>
      </c>
      <c r="L121" s="496">
        <v>192.08</v>
      </c>
      <c r="M121" s="377">
        <f>((M$114*N$114)/240*($H121/N121))</f>
        <v>2.0833333333333332E-2</v>
      </c>
      <c r="N121" s="372">
        <v>2</v>
      </c>
      <c r="O121" s="498">
        <f t="shared" si="18"/>
        <v>8.0033333333333339</v>
      </c>
      <c r="P121" s="235">
        <v>52072.287750000003</v>
      </c>
      <c r="Q121" s="649">
        <f t="shared" si="19"/>
        <v>416751.87629250006</v>
      </c>
      <c r="R121" s="372">
        <v>53966.062080000011</v>
      </c>
      <c r="S121" s="649">
        <f t="shared" si="20"/>
        <v>431908.3835136001</v>
      </c>
      <c r="T121" s="372">
        <v>58283.347046400013</v>
      </c>
      <c r="U121" s="650">
        <f t="shared" si="21"/>
        <v>466461.05419468816</v>
      </c>
      <c r="V121" s="372">
        <f t="shared" si="22"/>
        <v>54773.898958800011</v>
      </c>
      <c r="W121" s="478">
        <f t="shared" si="23"/>
        <v>438373.77133359615</v>
      </c>
      <c r="X121" s="649"/>
      <c r="Y121" s="679">
        <f t="shared" si="25"/>
        <v>2169.6786562500001</v>
      </c>
      <c r="Z121" s="374"/>
    </row>
    <row r="122" spans="1:28" x14ac:dyDescent="0.35">
      <c r="B122" s="644"/>
      <c r="E122" s="645"/>
      <c r="F122" s="374" t="s">
        <v>239</v>
      </c>
      <c r="G122" s="625" t="s">
        <v>193</v>
      </c>
      <c r="H122" s="602">
        <v>12</v>
      </c>
      <c r="I122" s="626" t="s">
        <v>238</v>
      </c>
      <c r="J122" s="625" t="s">
        <v>189</v>
      </c>
      <c r="K122" s="627">
        <v>1</v>
      </c>
      <c r="L122" s="496">
        <v>192.08</v>
      </c>
      <c r="M122" s="377">
        <f>((M$114*N$114)/240*($H122/N122))</f>
        <v>6.25E-2</v>
      </c>
      <c r="N122" s="372">
        <v>2</v>
      </c>
      <c r="O122" s="498">
        <f t="shared" si="18"/>
        <v>24.01</v>
      </c>
      <c r="P122" s="235">
        <v>17017.087500000001</v>
      </c>
      <c r="Q122" s="649">
        <f t="shared" si="19"/>
        <v>408580.27087500005</v>
      </c>
      <c r="R122" s="372">
        <v>17635.968000000004</v>
      </c>
      <c r="S122" s="649">
        <f t="shared" si="20"/>
        <v>423439.59168000013</v>
      </c>
      <c r="T122" s="372">
        <v>19046.845440000005</v>
      </c>
      <c r="U122" s="650">
        <f t="shared" si="21"/>
        <v>457314.75901440013</v>
      </c>
      <c r="V122" s="372">
        <f t="shared" si="22"/>
        <v>17899.966980000005</v>
      </c>
      <c r="W122" s="478">
        <f t="shared" si="23"/>
        <v>429778.20718980016</v>
      </c>
      <c r="X122" s="649"/>
      <c r="Y122" s="679">
        <f t="shared" si="25"/>
        <v>2127.1359375000002</v>
      </c>
      <c r="Z122" s="374"/>
    </row>
    <row r="123" spans="1:28" x14ac:dyDescent="0.35">
      <c r="B123" s="644"/>
      <c r="E123" s="645"/>
      <c r="F123" s="374" t="s">
        <v>240</v>
      </c>
      <c r="G123" s="625" t="s">
        <v>193</v>
      </c>
      <c r="H123" s="602">
        <v>1</v>
      </c>
      <c r="I123" s="626" t="s">
        <v>238</v>
      </c>
      <c r="J123" s="625" t="s">
        <v>189</v>
      </c>
      <c r="K123" s="627">
        <v>1</v>
      </c>
      <c r="L123" s="496">
        <v>192.08</v>
      </c>
      <c r="M123" s="377">
        <f>((M$114*N$114)/240*($H123/N123))</f>
        <v>5.208333333333333E-3</v>
      </c>
      <c r="N123" s="372">
        <v>2</v>
      </c>
      <c r="O123" s="498">
        <f t="shared" si="18"/>
        <v>2.0008333333333335</v>
      </c>
      <c r="P123" s="235">
        <v>45563.251781250008</v>
      </c>
      <c r="Q123" s="649">
        <f t="shared" si="19"/>
        <v>91164.4729389844</v>
      </c>
      <c r="R123" s="372">
        <v>47220.30432000001</v>
      </c>
      <c r="S123" s="649">
        <f t="shared" si="20"/>
        <v>94479.958893600022</v>
      </c>
      <c r="T123" s="372">
        <v>50997.928665600011</v>
      </c>
      <c r="U123" s="650">
        <f t="shared" si="21"/>
        <v>102038.35560508803</v>
      </c>
      <c r="V123" s="372">
        <f t="shared" si="22"/>
        <v>47927.161588950017</v>
      </c>
      <c r="W123" s="478">
        <f t="shared" si="23"/>
        <v>95894.26247922417</v>
      </c>
      <c r="X123" s="649"/>
      <c r="Y123" s="679">
        <f t="shared" si="25"/>
        <v>474.61720605468759</v>
      </c>
      <c r="Z123" s="374"/>
    </row>
    <row r="124" spans="1:28" x14ac:dyDescent="0.35">
      <c r="B124" s="644"/>
      <c r="E124" s="645"/>
      <c r="F124" s="374" t="s">
        <v>241</v>
      </c>
      <c r="G124" s="625" t="s">
        <v>193</v>
      </c>
      <c r="H124" s="602">
        <v>2</v>
      </c>
      <c r="I124" s="626" t="s">
        <v>238</v>
      </c>
      <c r="J124" s="625" t="s">
        <v>189</v>
      </c>
      <c r="K124" s="627">
        <v>1</v>
      </c>
      <c r="L124" s="496">
        <v>192.08</v>
      </c>
      <c r="M124" s="377">
        <f>((M$114*N$114)/240*($H124/N124))</f>
        <v>1.0416666666666666E-2</v>
      </c>
      <c r="N124" s="372">
        <v>2</v>
      </c>
      <c r="O124" s="498">
        <f t="shared" si="18"/>
        <v>4.0016666666666669</v>
      </c>
      <c r="P124" s="235">
        <v>39054.215812500006</v>
      </c>
      <c r="Q124" s="649">
        <f t="shared" si="19"/>
        <v>156281.95360968754</v>
      </c>
      <c r="R124" s="372">
        <v>40474.546560000003</v>
      </c>
      <c r="S124" s="649">
        <f t="shared" si="20"/>
        <v>161965.64381760001</v>
      </c>
      <c r="T124" s="372">
        <v>43712.510284800002</v>
      </c>
      <c r="U124" s="650">
        <f t="shared" si="21"/>
        <v>174922.89532300801</v>
      </c>
      <c r="V124" s="372">
        <f t="shared" si="22"/>
        <v>41080.424219100001</v>
      </c>
      <c r="W124" s="478">
        <f t="shared" si="23"/>
        <v>164390.16425009852</v>
      </c>
      <c r="X124" s="649"/>
      <c r="Y124" s="679">
        <f t="shared" si="25"/>
        <v>813.62949609375016</v>
      </c>
      <c r="Z124" s="374"/>
    </row>
    <row r="125" spans="1:28" x14ac:dyDescent="0.35">
      <c r="B125" s="644"/>
      <c r="E125" s="645"/>
      <c r="F125" s="374" t="s">
        <v>242</v>
      </c>
      <c r="G125" s="625" t="s">
        <v>193</v>
      </c>
      <c r="H125" s="602">
        <v>1</v>
      </c>
      <c r="I125" s="626" t="s">
        <v>238</v>
      </c>
      <c r="J125" s="625" t="s">
        <v>189</v>
      </c>
      <c r="K125" s="627">
        <v>1</v>
      </c>
      <c r="L125" s="496">
        <v>192.08</v>
      </c>
      <c r="M125" s="377">
        <f>((M$114*N$114)/240*($H125/N125))</f>
        <v>5.208333333333333E-3</v>
      </c>
      <c r="N125" s="372">
        <v>2</v>
      </c>
      <c r="O125" s="498">
        <f t="shared" si="18"/>
        <v>2.0008333333333335</v>
      </c>
      <c r="P125" s="235">
        <v>104144.57550000001</v>
      </c>
      <c r="Q125" s="649">
        <f t="shared" si="19"/>
        <v>208375.93814625003</v>
      </c>
      <c r="R125" s="372">
        <v>107932.12416000002</v>
      </c>
      <c r="S125" s="649">
        <f t="shared" si="20"/>
        <v>215954.19175680005</v>
      </c>
      <c r="T125" s="372">
        <v>116566.69409280003</v>
      </c>
      <c r="U125" s="650">
        <f t="shared" si="21"/>
        <v>233230.52709734408</v>
      </c>
      <c r="V125" s="372">
        <f t="shared" si="22"/>
        <v>109547.79791760002</v>
      </c>
      <c r="W125" s="478">
        <f t="shared" si="23"/>
        <v>219186.88566679807</v>
      </c>
      <c r="X125" s="649"/>
      <c r="Y125" s="679">
        <f t="shared" si="25"/>
        <v>1084.8393281250001</v>
      </c>
      <c r="Z125" s="374"/>
    </row>
    <row r="126" spans="1:28" customFormat="1" ht="29.25" customHeight="1" x14ac:dyDescent="0.35">
      <c r="A126" s="94"/>
      <c r="B126" s="630" t="s">
        <v>635</v>
      </c>
      <c r="C126" s="770"/>
      <c r="D126" s="770"/>
      <c r="E126" s="771"/>
      <c r="F126" s="633"/>
      <c r="G126" s="634"/>
      <c r="H126" s="635"/>
      <c r="I126" s="636"/>
      <c r="J126" s="634"/>
      <c r="K126" s="637"/>
      <c r="L126" s="638"/>
      <c r="M126" s="772"/>
      <c r="N126" s="773"/>
      <c r="O126" s="635"/>
      <c r="P126" s="640"/>
      <c r="Q126" s="651">
        <f>SUM(Q114:Q125)</f>
        <v>109299434.67315714</v>
      </c>
      <c r="R126" s="774"/>
      <c r="S126" s="651">
        <f>SUM(S115:S125)</f>
        <v>24392259.815954089</v>
      </c>
      <c r="T126" s="803"/>
      <c r="U126" s="803"/>
      <c r="V126" s="803"/>
      <c r="W126" s="803"/>
      <c r="X126" s="652"/>
      <c r="Y126" s="682">
        <f>Q126/$C$1</f>
        <v>569030.79275904375</v>
      </c>
      <c r="Z126" s="775">
        <f>Q126/$Q$395*100</f>
        <v>2.7271403711645439</v>
      </c>
      <c r="AA126" s="94"/>
      <c r="AB126" s="94"/>
    </row>
    <row r="127" spans="1:28" x14ac:dyDescent="0.35">
      <c r="B127" s="684"/>
      <c r="C127" s="685" t="s">
        <v>85</v>
      </c>
      <c r="D127" s="685"/>
      <c r="E127" s="686"/>
      <c r="F127" s="374" t="s">
        <v>187</v>
      </c>
      <c r="G127" s="625" t="s">
        <v>188</v>
      </c>
      <c r="H127" s="602"/>
      <c r="I127" s="626"/>
      <c r="J127" s="625"/>
      <c r="K127" s="596"/>
      <c r="L127" s="496"/>
      <c r="M127" s="377">
        <v>1.5</v>
      </c>
      <c r="N127" s="372">
        <v>3</v>
      </c>
      <c r="O127" s="602"/>
      <c r="P127" s="628"/>
      <c r="Q127" s="628"/>
      <c r="R127" s="628"/>
      <c r="S127" s="628"/>
      <c r="T127" s="629"/>
      <c r="U127" s="629"/>
      <c r="V127" s="629"/>
      <c r="W127" s="629"/>
      <c r="X127" s="602"/>
      <c r="Y127" s="374"/>
      <c r="Z127" s="374"/>
    </row>
    <row r="128" spans="1:28" hidden="1" x14ac:dyDescent="0.35">
      <c r="B128" s="687"/>
      <c r="C128" s="688" t="s">
        <v>507</v>
      </c>
      <c r="D128" s="688"/>
      <c r="E128" s="689"/>
      <c r="F128" s="374" t="s">
        <v>505</v>
      </c>
      <c r="G128" s="625" t="s">
        <v>232</v>
      </c>
      <c r="H128" s="602"/>
      <c r="I128" s="626"/>
      <c r="J128" s="625"/>
      <c r="K128" s="596"/>
      <c r="L128" s="496"/>
      <c r="M128" s="377">
        <v>0.36</v>
      </c>
      <c r="N128" s="372">
        <v>3</v>
      </c>
      <c r="O128" s="602"/>
      <c r="P128" s="628"/>
      <c r="Q128" s="628"/>
      <c r="R128" s="628"/>
      <c r="S128" s="628"/>
      <c r="T128" s="629"/>
      <c r="U128" s="629"/>
      <c r="V128" s="629"/>
      <c r="W128" s="629"/>
      <c r="X128" s="602"/>
      <c r="Y128" s="374"/>
      <c r="Z128" s="374"/>
    </row>
    <row r="129" spans="2:26" hidden="1" x14ac:dyDescent="0.35">
      <c r="B129" s="690"/>
      <c r="C129" s="691"/>
      <c r="D129" s="691"/>
      <c r="E129" s="692"/>
      <c r="F129" s="374" t="s">
        <v>233</v>
      </c>
      <c r="G129" s="625" t="s">
        <v>191</v>
      </c>
      <c r="H129" s="602"/>
      <c r="I129" s="626"/>
      <c r="J129" s="625"/>
      <c r="K129" s="596"/>
      <c r="L129" s="496"/>
      <c r="M129" s="377">
        <f>36/1000</f>
        <v>3.5999999999999997E-2</v>
      </c>
      <c r="N129" s="372">
        <v>3</v>
      </c>
      <c r="O129" s="602"/>
      <c r="P129" s="628"/>
      <c r="Q129" s="628"/>
      <c r="R129" s="628"/>
      <c r="S129" s="628"/>
      <c r="T129" s="629"/>
      <c r="U129" s="629"/>
      <c r="V129" s="629"/>
      <c r="W129" s="629"/>
      <c r="X129" s="602"/>
      <c r="Y129" s="374"/>
      <c r="Z129" s="374"/>
    </row>
    <row r="130" spans="2:26" hidden="1" x14ac:dyDescent="0.35">
      <c r="B130" s="690"/>
      <c r="C130" s="691"/>
      <c r="D130" s="691"/>
      <c r="E130" s="692"/>
      <c r="F130" s="374" t="s">
        <v>234</v>
      </c>
      <c r="G130" s="625" t="s">
        <v>232</v>
      </c>
      <c r="H130" s="602"/>
      <c r="I130" s="626"/>
      <c r="J130" s="625"/>
      <c r="K130" s="596"/>
      <c r="L130" s="496"/>
      <c r="M130" s="377">
        <v>0.90000000000000013</v>
      </c>
      <c r="N130" s="372">
        <v>3</v>
      </c>
      <c r="O130" s="602"/>
      <c r="P130" s="628"/>
      <c r="Q130" s="628"/>
      <c r="R130" s="628"/>
      <c r="S130" s="628"/>
      <c r="T130" s="629"/>
      <c r="U130" s="629"/>
      <c r="V130" s="629"/>
      <c r="W130" s="629"/>
      <c r="X130" s="602"/>
      <c r="Y130" s="374"/>
      <c r="Z130" s="374"/>
    </row>
    <row r="131" spans="2:26" hidden="1" x14ac:dyDescent="0.35">
      <c r="B131" s="690"/>
      <c r="C131" s="691"/>
      <c r="D131" s="691"/>
      <c r="E131" s="692"/>
      <c r="F131" s="374" t="s">
        <v>235</v>
      </c>
      <c r="G131" s="625" t="s">
        <v>232</v>
      </c>
      <c r="H131" s="602"/>
      <c r="I131" s="626"/>
      <c r="J131" s="625"/>
      <c r="K131" s="596"/>
      <c r="L131" s="496"/>
      <c r="M131" s="377">
        <v>0.27</v>
      </c>
      <c r="N131" s="372">
        <v>3</v>
      </c>
      <c r="O131" s="602"/>
      <c r="P131" s="628"/>
      <c r="Q131" s="628"/>
      <c r="R131" s="628"/>
      <c r="S131" s="628"/>
      <c r="T131" s="629"/>
      <c r="U131" s="629"/>
      <c r="V131" s="629"/>
      <c r="W131" s="629"/>
      <c r="X131" s="602"/>
      <c r="Y131" s="374"/>
      <c r="Z131" s="374"/>
    </row>
    <row r="132" spans="2:26" hidden="1" x14ac:dyDescent="0.35">
      <c r="B132" s="690"/>
      <c r="C132" s="691"/>
      <c r="D132" s="691"/>
      <c r="E132" s="692"/>
      <c r="F132" s="374" t="s">
        <v>236</v>
      </c>
      <c r="G132" s="625" t="s">
        <v>188</v>
      </c>
      <c r="H132" s="602"/>
      <c r="I132" s="626"/>
      <c r="J132" s="625"/>
      <c r="K132" s="596"/>
      <c r="L132" s="496"/>
      <c r="M132" s="377">
        <v>1.5</v>
      </c>
      <c r="N132" s="372">
        <v>3</v>
      </c>
      <c r="O132" s="602"/>
      <c r="P132" s="628"/>
      <c r="Q132" s="628"/>
      <c r="R132" s="628"/>
      <c r="S132" s="628"/>
      <c r="T132" s="629"/>
      <c r="U132" s="629"/>
      <c r="V132" s="629"/>
      <c r="W132" s="629"/>
      <c r="X132" s="602"/>
      <c r="Y132" s="374"/>
      <c r="Z132" s="374"/>
    </row>
    <row r="133" spans="2:26" hidden="1" x14ac:dyDescent="0.35">
      <c r="B133" s="690"/>
      <c r="C133" s="691"/>
      <c r="D133" s="691"/>
      <c r="E133" s="692"/>
      <c r="F133" s="374" t="s">
        <v>508</v>
      </c>
      <c r="G133" s="625" t="s">
        <v>193</v>
      </c>
      <c r="H133" s="602"/>
      <c r="I133" s="626"/>
      <c r="J133" s="625"/>
      <c r="K133" s="596"/>
      <c r="L133" s="496"/>
      <c r="M133" s="377">
        <f>0.0188*(1/3)</f>
        <v>6.2666666666666669E-3</v>
      </c>
      <c r="N133" s="372">
        <v>3</v>
      </c>
      <c r="O133" s="602"/>
      <c r="P133" s="628"/>
      <c r="Q133" s="628"/>
      <c r="R133" s="628"/>
      <c r="S133" s="628"/>
      <c r="T133" s="629"/>
      <c r="U133" s="629"/>
      <c r="V133" s="629"/>
      <c r="W133" s="629"/>
      <c r="X133" s="602"/>
      <c r="Y133" s="374"/>
      <c r="Z133" s="374"/>
    </row>
    <row r="134" spans="2:26" hidden="1" x14ac:dyDescent="0.35">
      <c r="B134" s="690"/>
      <c r="C134" s="691"/>
      <c r="D134" s="691"/>
      <c r="E134" s="692"/>
      <c r="F134" s="374" t="s">
        <v>237</v>
      </c>
      <c r="G134" s="625" t="s">
        <v>193</v>
      </c>
      <c r="H134" s="602">
        <v>4</v>
      </c>
      <c r="I134" s="626" t="s">
        <v>238</v>
      </c>
      <c r="J134" s="625"/>
      <c r="K134" s="596"/>
      <c r="L134" s="496"/>
      <c r="M134" s="377">
        <f>((M$127*N$127)/240*($H134/N134))</f>
        <v>2.4999999999999998E-2</v>
      </c>
      <c r="N134" s="372">
        <v>3</v>
      </c>
      <c r="O134" s="602"/>
      <c r="P134" s="628"/>
      <c r="Q134" s="628"/>
      <c r="R134" s="628"/>
      <c r="S134" s="628"/>
      <c r="T134" s="629"/>
      <c r="U134" s="629"/>
      <c r="V134" s="629"/>
      <c r="W134" s="629"/>
      <c r="X134" s="602"/>
      <c r="Y134" s="374"/>
      <c r="Z134" s="374"/>
    </row>
    <row r="135" spans="2:26" hidden="1" x14ac:dyDescent="0.35">
      <c r="B135" s="690"/>
      <c r="C135" s="691"/>
      <c r="D135" s="691"/>
      <c r="E135" s="692"/>
      <c r="F135" s="374" t="s">
        <v>239</v>
      </c>
      <c r="G135" s="625" t="s">
        <v>193</v>
      </c>
      <c r="H135" s="602">
        <v>12</v>
      </c>
      <c r="I135" s="626" t="s">
        <v>238</v>
      </c>
      <c r="J135" s="625"/>
      <c r="K135" s="596"/>
      <c r="L135" s="496"/>
      <c r="M135" s="377">
        <f>((M$127*N$127)/240*($H135/N135))</f>
        <v>7.4999999999999997E-2</v>
      </c>
      <c r="N135" s="372">
        <v>3</v>
      </c>
      <c r="O135" s="602"/>
      <c r="P135" s="628"/>
      <c r="Q135" s="628"/>
      <c r="R135" s="628"/>
      <c r="S135" s="628"/>
      <c r="T135" s="629"/>
      <c r="U135" s="629"/>
      <c r="V135" s="629"/>
      <c r="W135" s="629"/>
      <c r="X135" s="602"/>
      <c r="Y135" s="374"/>
      <c r="Z135" s="374"/>
    </row>
    <row r="136" spans="2:26" hidden="1" x14ac:dyDescent="0.35">
      <c r="B136" s="690"/>
      <c r="C136" s="691"/>
      <c r="D136" s="691"/>
      <c r="E136" s="692"/>
      <c r="F136" s="374" t="s">
        <v>240</v>
      </c>
      <c r="G136" s="625" t="s">
        <v>193</v>
      </c>
      <c r="H136" s="602">
        <v>1</v>
      </c>
      <c r="I136" s="626" t="s">
        <v>238</v>
      </c>
      <c r="J136" s="625"/>
      <c r="K136" s="596"/>
      <c r="L136" s="496"/>
      <c r="M136" s="377">
        <f>((M$127*N$127)/240*($H136/N136))</f>
        <v>6.2499999999999995E-3</v>
      </c>
      <c r="N136" s="372">
        <v>3</v>
      </c>
      <c r="O136" s="602"/>
      <c r="P136" s="628"/>
      <c r="Q136" s="628"/>
      <c r="R136" s="628"/>
      <c r="S136" s="628"/>
      <c r="T136" s="629"/>
      <c r="U136" s="629"/>
      <c r="V136" s="629"/>
      <c r="W136" s="629"/>
      <c r="X136" s="602"/>
      <c r="Y136" s="374"/>
      <c r="Z136" s="374"/>
    </row>
    <row r="137" spans="2:26" hidden="1" x14ac:dyDescent="0.35">
      <c r="B137" s="690"/>
      <c r="C137" s="691"/>
      <c r="D137" s="691"/>
      <c r="E137" s="692"/>
      <c r="F137" s="374" t="s">
        <v>241</v>
      </c>
      <c r="G137" s="625" t="s">
        <v>193</v>
      </c>
      <c r="H137" s="602">
        <v>2</v>
      </c>
      <c r="I137" s="626" t="s">
        <v>238</v>
      </c>
      <c r="J137" s="625"/>
      <c r="K137" s="596"/>
      <c r="L137" s="496"/>
      <c r="M137" s="377">
        <f>((M$127*N$127)/240*($H137/N137))</f>
        <v>1.2499999999999999E-2</v>
      </c>
      <c r="N137" s="372">
        <v>3</v>
      </c>
      <c r="O137" s="602"/>
      <c r="P137" s="628"/>
      <c r="Q137" s="628"/>
      <c r="R137" s="628"/>
      <c r="S137" s="628"/>
      <c r="T137" s="629"/>
      <c r="U137" s="629"/>
      <c r="V137" s="629"/>
      <c r="W137" s="629"/>
      <c r="X137" s="602"/>
      <c r="Y137" s="374"/>
      <c r="Z137" s="374"/>
    </row>
    <row r="138" spans="2:26" hidden="1" x14ac:dyDescent="0.35">
      <c r="B138" s="690"/>
      <c r="C138" s="691"/>
      <c r="D138" s="691"/>
      <c r="E138" s="692"/>
      <c r="F138" s="374" t="s">
        <v>242</v>
      </c>
      <c r="G138" s="625" t="s">
        <v>193</v>
      </c>
      <c r="H138" s="602">
        <v>1</v>
      </c>
      <c r="I138" s="626" t="s">
        <v>238</v>
      </c>
      <c r="J138" s="625"/>
      <c r="K138" s="596"/>
      <c r="L138" s="496"/>
      <c r="M138" s="377">
        <f>((M$127*N$127)/240*($H138/N138))</f>
        <v>6.2499999999999995E-3</v>
      </c>
      <c r="N138" s="372">
        <v>3</v>
      </c>
      <c r="O138" s="602"/>
      <c r="P138" s="628"/>
      <c r="Q138" s="628"/>
      <c r="R138" s="628"/>
      <c r="S138" s="628"/>
      <c r="T138" s="629"/>
      <c r="U138" s="629"/>
      <c r="V138" s="629"/>
      <c r="W138" s="629"/>
      <c r="X138" s="602"/>
      <c r="Y138" s="374"/>
      <c r="Z138" s="374"/>
    </row>
    <row r="139" spans="2:26" hidden="1" x14ac:dyDescent="0.35">
      <c r="B139" s="690"/>
      <c r="C139" s="691"/>
      <c r="D139" s="691"/>
      <c r="E139" s="692"/>
      <c r="F139" s="374"/>
      <c r="G139" s="625"/>
      <c r="H139" s="602"/>
      <c r="I139" s="626"/>
      <c r="J139" s="625"/>
      <c r="K139" s="596"/>
      <c r="L139" s="496"/>
      <c r="M139" s="377"/>
      <c r="N139" s="372"/>
      <c r="O139" s="602"/>
      <c r="P139" s="628"/>
      <c r="Q139" s="628"/>
      <c r="R139" s="628"/>
      <c r="S139" s="628"/>
      <c r="T139" s="629"/>
      <c r="U139" s="629"/>
      <c r="V139" s="629"/>
      <c r="W139" s="629"/>
      <c r="X139" s="602"/>
      <c r="Y139" s="374"/>
      <c r="Z139" s="374"/>
    </row>
    <row r="140" spans="2:26" x14ac:dyDescent="0.35">
      <c r="B140" s="602"/>
      <c r="C140" s="626" t="s">
        <v>509</v>
      </c>
      <c r="D140" s="626"/>
      <c r="E140" s="678"/>
      <c r="F140" s="374"/>
      <c r="G140" s="625"/>
      <c r="H140" s="602"/>
      <c r="I140" s="626"/>
      <c r="J140" s="625"/>
      <c r="K140" s="596"/>
      <c r="L140" s="496"/>
      <c r="M140" s="377"/>
      <c r="N140" s="372"/>
      <c r="O140" s="602"/>
      <c r="P140" s="628"/>
      <c r="Q140" s="628"/>
      <c r="R140" s="628"/>
      <c r="S140" s="628"/>
      <c r="T140" s="629"/>
      <c r="U140" s="629"/>
      <c r="V140" s="629"/>
      <c r="W140" s="629"/>
      <c r="X140" s="602"/>
      <c r="Y140" s="374"/>
      <c r="Z140" s="374"/>
    </row>
    <row r="141" spans="2:26" x14ac:dyDescent="0.35">
      <c r="B141" s="654"/>
      <c r="C141" s="655"/>
      <c r="D141" s="655" t="s">
        <v>510</v>
      </c>
      <c r="E141" s="702"/>
      <c r="F141" s="374" t="s">
        <v>187</v>
      </c>
      <c r="G141" s="625" t="s">
        <v>188</v>
      </c>
      <c r="H141" s="602"/>
      <c r="I141" s="626"/>
      <c r="J141" s="625"/>
      <c r="K141" s="596"/>
      <c r="L141" s="496"/>
      <c r="M141" s="377">
        <v>4</v>
      </c>
      <c r="N141" s="372">
        <v>1</v>
      </c>
      <c r="O141" s="602"/>
      <c r="P141" s="628"/>
      <c r="Q141" s="628"/>
      <c r="R141" s="628"/>
      <c r="S141" s="628"/>
      <c r="T141" s="629"/>
      <c r="U141" s="629"/>
      <c r="V141" s="629"/>
      <c r="W141" s="629"/>
      <c r="X141" s="602"/>
      <c r="Y141" s="374"/>
      <c r="Z141" s="374"/>
    </row>
    <row r="142" spans="2:26" hidden="1" x14ac:dyDescent="0.35">
      <c r="B142" s="644"/>
      <c r="E142" s="645"/>
      <c r="F142" s="374" t="s">
        <v>231</v>
      </c>
      <c r="G142" s="625" t="s">
        <v>232</v>
      </c>
      <c r="H142" s="602"/>
      <c r="I142" s="626"/>
      <c r="J142" s="625"/>
      <c r="K142" s="596"/>
      <c r="L142" s="496"/>
      <c r="M142" s="377">
        <v>4</v>
      </c>
      <c r="N142" s="372">
        <v>1</v>
      </c>
      <c r="O142" s="602"/>
      <c r="P142" s="628"/>
      <c r="Q142" s="628"/>
      <c r="R142" s="628"/>
      <c r="S142" s="628"/>
      <c r="T142" s="629"/>
      <c r="U142" s="629"/>
      <c r="V142" s="629"/>
      <c r="W142" s="629"/>
      <c r="X142" s="602"/>
      <c r="Y142" s="374"/>
      <c r="Z142" s="374"/>
    </row>
    <row r="143" spans="2:26" hidden="1" x14ac:dyDescent="0.35">
      <c r="B143" s="644"/>
      <c r="E143" s="645"/>
      <c r="F143" s="374" t="s">
        <v>235</v>
      </c>
      <c r="G143" s="625" t="s">
        <v>232</v>
      </c>
      <c r="H143" s="602"/>
      <c r="I143" s="626"/>
      <c r="J143" s="625"/>
      <c r="K143" s="596"/>
      <c r="L143" s="496"/>
      <c r="M143" s="377">
        <v>7.2000000000000008E-2</v>
      </c>
      <c r="N143" s="372">
        <v>1</v>
      </c>
      <c r="O143" s="602"/>
      <c r="P143" s="628"/>
      <c r="Q143" s="628"/>
      <c r="R143" s="628"/>
      <c r="S143" s="628"/>
      <c r="T143" s="629"/>
      <c r="U143" s="629"/>
      <c r="V143" s="629"/>
      <c r="W143" s="629"/>
      <c r="X143" s="602"/>
      <c r="Y143" s="374"/>
      <c r="Z143" s="374"/>
    </row>
    <row r="144" spans="2:26" hidden="1" x14ac:dyDescent="0.35">
      <c r="B144" s="644"/>
      <c r="E144" s="645"/>
      <c r="F144" s="374" t="s">
        <v>236</v>
      </c>
      <c r="G144" s="625" t="s">
        <v>188</v>
      </c>
      <c r="H144" s="602"/>
      <c r="I144" s="626"/>
      <c r="J144" s="625"/>
      <c r="K144" s="596"/>
      <c r="L144" s="496"/>
      <c r="M144" s="377">
        <v>4</v>
      </c>
      <c r="N144" s="372">
        <v>1</v>
      </c>
      <c r="O144" s="602"/>
      <c r="P144" s="628"/>
      <c r="Q144" s="628"/>
      <c r="R144" s="628"/>
      <c r="S144" s="628"/>
      <c r="T144" s="629"/>
      <c r="U144" s="629"/>
      <c r="V144" s="629"/>
      <c r="W144" s="629"/>
      <c r="X144" s="602"/>
      <c r="Y144" s="374"/>
      <c r="Z144" s="374"/>
    </row>
    <row r="145" spans="2:26" hidden="1" x14ac:dyDescent="0.35">
      <c r="B145" s="644"/>
      <c r="E145" s="645"/>
      <c r="F145" s="374" t="s">
        <v>230</v>
      </c>
      <c r="G145" s="625" t="s">
        <v>193</v>
      </c>
      <c r="H145" s="602"/>
      <c r="I145" s="626"/>
      <c r="J145" s="625"/>
      <c r="K145" s="596"/>
      <c r="L145" s="496"/>
      <c r="M145" s="377">
        <f>((4*1)/240)</f>
        <v>1.6666666666666666E-2</v>
      </c>
      <c r="N145" s="372">
        <v>1</v>
      </c>
      <c r="O145" s="602"/>
      <c r="P145" s="628"/>
      <c r="Q145" s="628"/>
      <c r="R145" s="628"/>
      <c r="S145" s="628"/>
      <c r="T145" s="629"/>
      <c r="U145" s="629"/>
      <c r="V145" s="629"/>
      <c r="W145" s="629"/>
      <c r="X145" s="602"/>
      <c r="Y145" s="374"/>
      <c r="Z145" s="374"/>
    </row>
    <row r="146" spans="2:26" hidden="1" x14ac:dyDescent="0.35">
      <c r="B146" s="644"/>
      <c r="E146" s="645"/>
      <c r="F146" s="374" t="s">
        <v>237</v>
      </c>
      <c r="G146" s="625" t="s">
        <v>193</v>
      </c>
      <c r="H146" s="602">
        <v>4</v>
      </c>
      <c r="I146" s="626" t="s">
        <v>238</v>
      </c>
      <c r="J146" s="625"/>
      <c r="K146" s="596"/>
      <c r="L146" s="496"/>
      <c r="M146" s="377">
        <f>((M$141*N$141)/240*($H146/N146))</f>
        <v>6.6666666666666666E-2</v>
      </c>
      <c r="N146" s="372">
        <v>1</v>
      </c>
      <c r="O146" s="602"/>
      <c r="P146" s="628"/>
      <c r="Q146" s="628"/>
      <c r="R146" s="628"/>
      <c r="S146" s="628"/>
      <c r="T146" s="629"/>
      <c r="U146" s="629"/>
      <c r="V146" s="629"/>
      <c r="W146" s="629"/>
      <c r="X146" s="602"/>
      <c r="Y146" s="374"/>
      <c r="Z146" s="374"/>
    </row>
    <row r="147" spans="2:26" hidden="1" x14ac:dyDescent="0.35">
      <c r="B147" s="644"/>
      <c r="E147" s="645"/>
      <c r="F147" s="374" t="s">
        <v>239</v>
      </c>
      <c r="G147" s="625" t="s">
        <v>193</v>
      </c>
      <c r="H147" s="602">
        <v>12</v>
      </c>
      <c r="I147" s="626" t="s">
        <v>238</v>
      </c>
      <c r="J147" s="625"/>
      <c r="K147" s="596"/>
      <c r="L147" s="496"/>
      <c r="M147" s="377">
        <f>((M$141*N$141)/240*($H147/N147))</f>
        <v>0.2</v>
      </c>
      <c r="N147" s="372">
        <v>1</v>
      </c>
      <c r="O147" s="602"/>
      <c r="P147" s="628"/>
      <c r="Q147" s="628"/>
      <c r="R147" s="628"/>
      <c r="S147" s="628"/>
      <c r="T147" s="629"/>
      <c r="U147" s="629"/>
      <c r="V147" s="629"/>
      <c r="W147" s="629"/>
      <c r="X147" s="602"/>
      <c r="Y147" s="374"/>
      <c r="Z147" s="374"/>
    </row>
    <row r="148" spans="2:26" hidden="1" x14ac:dyDescent="0.35">
      <c r="B148" s="644"/>
      <c r="E148" s="645"/>
      <c r="F148" s="374" t="s">
        <v>240</v>
      </c>
      <c r="G148" s="625" t="s">
        <v>193</v>
      </c>
      <c r="H148" s="602">
        <v>1</v>
      </c>
      <c r="I148" s="626" t="s">
        <v>238</v>
      </c>
      <c r="J148" s="625"/>
      <c r="K148" s="596"/>
      <c r="L148" s="496"/>
      <c r="M148" s="377">
        <f>((M$141*N$141)/240*($H148/N148))</f>
        <v>1.6666666666666666E-2</v>
      </c>
      <c r="N148" s="372">
        <v>1</v>
      </c>
      <c r="O148" s="602"/>
      <c r="P148" s="628"/>
      <c r="Q148" s="628"/>
      <c r="R148" s="628"/>
      <c r="S148" s="628"/>
      <c r="T148" s="629"/>
      <c r="U148" s="629"/>
      <c r="V148" s="629"/>
      <c r="W148" s="629"/>
      <c r="X148" s="602"/>
      <c r="Y148" s="374"/>
      <c r="Z148" s="374"/>
    </row>
    <row r="149" spans="2:26" hidden="1" x14ac:dyDescent="0.35">
      <c r="B149" s="644"/>
      <c r="E149" s="645"/>
      <c r="F149" s="374" t="s">
        <v>241</v>
      </c>
      <c r="G149" s="625" t="s">
        <v>193</v>
      </c>
      <c r="H149" s="602">
        <v>2</v>
      </c>
      <c r="I149" s="626" t="s">
        <v>238</v>
      </c>
      <c r="J149" s="625"/>
      <c r="K149" s="596"/>
      <c r="L149" s="496"/>
      <c r="M149" s="377">
        <f>((M$141*N$141)/240*($H149/N149))</f>
        <v>3.3333333333333333E-2</v>
      </c>
      <c r="N149" s="372">
        <v>1</v>
      </c>
      <c r="O149" s="602"/>
      <c r="P149" s="628"/>
      <c r="Q149" s="628"/>
      <c r="R149" s="628"/>
      <c r="S149" s="628"/>
      <c r="T149" s="629"/>
      <c r="U149" s="629"/>
      <c r="V149" s="629"/>
      <c r="W149" s="629"/>
      <c r="X149" s="602"/>
      <c r="Y149" s="374"/>
      <c r="Z149" s="374"/>
    </row>
    <row r="150" spans="2:26" hidden="1" x14ac:dyDescent="0.35">
      <c r="B150" s="644"/>
      <c r="E150" s="645"/>
      <c r="F150" s="374" t="s">
        <v>242</v>
      </c>
      <c r="G150" s="625" t="s">
        <v>193</v>
      </c>
      <c r="H150" s="602">
        <v>1</v>
      </c>
      <c r="I150" s="626" t="s">
        <v>238</v>
      </c>
      <c r="J150" s="625"/>
      <c r="K150" s="596"/>
      <c r="L150" s="496"/>
      <c r="M150" s="377">
        <f>((M$141*N$141)/240*($H150/N150))</f>
        <v>1.6666666666666666E-2</v>
      </c>
      <c r="N150" s="372">
        <v>1</v>
      </c>
      <c r="O150" s="602"/>
      <c r="P150" s="628"/>
      <c r="Q150" s="628"/>
      <c r="R150" s="628"/>
      <c r="S150" s="628"/>
      <c r="T150" s="629"/>
      <c r="U150" s="629"/>
      <c r="V150" s="629"/>
      <c r="W150" s="629"/>
      <c r="X150" s="602"/>
      <c r="Y150" s="374"/>
      <c r="Z150" s="374"/>
    </row>
    <row r="151" spans="2:26" x14ac:dyDescent="0.35">
      <c r="B151" s="644"/>
      <c r="D151" s="655" t="s">
        <v>89</v>
      </c>
      <c r="E151" s="702"/>
      <c r="F151" s="374" t="s">
        <v>187</v>
      </c>
      <c r="G151" s="625" t="s">
        <v>188</v>
      </c>
      <c r="H151" s="602"/>
      <c r="I151" s="626"/>
      <c r="J151" s="625" t="s">
        <v>189</v>
      </c>
      <c r="K151" s="627"/>
      <c r="L151" s="496">
        <v>1</v>
      </c>
      <c r="M151" s="377">
        <v>1.5</v>
      </c>
      <c r="N151" s="372">
        <v>2</v>
      </c>
      <c r="O151" s="498">
        <f t="shared" ref="O151:O169" si="26">K151*L151*M151*N151</f>
        <v>0</v>
      </c>
      <c r="P151" s="235">
        <v>169122.61109699999</v>
      </c>
      <c r="Q151" s="628">
        <f t="shared" ref="Q151:Q169" si="27">P151*$O151</f>
        <v>0</v>
      </c>
      <c r="R151" s="373">
        <v>179635.86432000002</v>
      </c>
      <c r="S151" s="628">
        <f t="shared" ref="S151:S169" si="28">R151*$O151</f>
        <v>0</v>
      </c>
      <c r="T151" s="373">
        <v>197599.45075200003</v>
      </c>
      <c r="U151" s="629">
        <f t="shared" ref="U151:U169" si="29">$O151*T151</f>
        <v>0</v>
      </c>
      <c r="V151" s="373" t="e">
        <f t="shared" ref="V151:V169" si="30">W151/O151</f>
        <v>#DIV/0!</v>
      </c>
      <c r="W151" s="241">
        <f t="shared" ref="W151:W169" si="31">AVERAGEIF($P$3:$U$3,W$3,$P151:$U151)</f>
        <v>0</v>
      </c>
      <c r="X151" s="602"/>
      <c r="Y151" s="374"/>
      <c r="Z151" s="374"/>
    </row>
    <row r="152" spans="2:26" hidden="1" x14ac:dyDescent="0.35">
      <c r="B152" s="644"/>
      <c r="E152" s="645"/>
      <c r="F152" s="374" t="s">
        <v>231</v>
      </c>
      <c r="G152" s="625" t="s">
        <v>232</v>
      </c>
      <c r="H152" s="602"/>
      <c r="I152" s="626"/>
      <c r="J152" s="625" t="s">
        <v>189</v>
      </c>
      <c r="K152" s="627"/>
      <c r="L152" s="496">
        <v>1</v>
      </c>
      <c r="M152" s="377">
        <v>1</v>
      </c>
      <c r="N152" s="372">
        <v>2</v>
      </c>
      <c r="O152" s="498">
        <f t="shared" si="26"/>
        <v>0</v>
      </c>
      <c r="P152" s="235">
        <v>38965.657500000001</v>
      </c>
      <c r="Q152" s="628">
        <f t="shared" si="27"/>
        <v>0</v>
      </c>
      <c r="R152" s="373">
        <v>44533.743170400012</v>
      </c>
      <c r="S152" s="628">
        <f t="shared" si="28"/>
        <v>0</v>
      </c>
      <c r="T152" s="373">
        <v>47651.105192328017</v>
      </c>
      <c r="U152" s="629">
        <f t="shared" si="29"/>
        <v>0</v>
      </c>
      <c r="V152" s="373" t="e">
        <f t="shared" si="30"/>
        <v>#DIV/0!</v>
      </c>
      <c r="W152" s="241">
        <f t="shared" si="31"/>
        <v>0</v>
      </c>
      <c r="X152" s="602"/>
      <c r="Y152" s="374"/>
      <c r="Z152" s="374"/>
    </row>
    <row r="153" spans="2:26" hidden="1" x14ac:dyDescent="0.35">
      <c r="B153" s="644"/>
      <c r="E153" s="645"/>
      <c r="F153" s="374" t="s">
        <v>235</v>
      </c>
      <c r="G153" s="625" t="s">
        <v>232</v>
      </c>
      <c r="H153" s="602"/>
      <c r="I153" s="626"/>
      <c r="J153" s="625" t="s">
        <v>189</v>
      </c>
      <c r="K153" s="627"/>
      <c r="L153" s="496">
        <v>1</v>
      </c>
      <c r="M153" s="377">
        <v>0.18</v>
      </c>
      <c r="N153" s="372">
        <v>2</v>
      </c>
      <c r="O153" s="498">
        <f t="shared" si="26"/>
        <v>0</v>
      </c>
      <c r="P153" s="235">
        <v>49592.654999999999</v>
      </c>
      <c r="Q153" s="628">
        <f t="shared" si="27"/>
        <v>0</v>
      </c>
      <c r="R153" s="373">
        <v>56679.309489600004</v>
      </c>
      <c r="S153" s="628">
        <f t="shared" si="28"/>
        <v>0</v>
      </c>
      <c r="T153" s="373">
        <v>60646.861153872007</v>
      </c>
      <c r="U153" s="629">
        <f t="shared" si="29"/>
        <v>0</v>
      </c>
      <c r="V153" s="373" t="e">
        <f t="shared" si="30"/>
        <v>#DIV/0!</v>
      </c>
      <c r="W153" s="241">
        <f t="shared" si="31"/>
        <v>0</v>
      </c>
      <c r="X153" s="602"/>
      <c r="Y153" s="374"/>
      <c r="Z153" s="374"/>
    </row>
    <row r="154" spans="2:26" hidden="1" x14ac:dyDescent="0.35">
      <c r="B154" s="644"/>
      <c r="E154" s="645"/>
      <c r="F154" s="374" t="s">
        <v>236</v>
      </c>
      <c r="G154" s="625" t="s">
        <v>188</v>
      </c>
      <c r="H154" s="602"/>
      <c r="I154" s="626"/>
      <c r="J154" s="625" t="s">
        <v>189</v>
      </c>
      <c r="K154" s="627"/>
      <c r="L154" s="496">
        <v>1</v>
      </c>
      <c r="M154" s="377">
        <v>1.5</v>
      </c>
      <c r="N154" s="372">
        <v>2</v>
      </c>
      <c r="O154" s="498">
        <f t="shared" si="26"/>
        <v>0</v>
      </c>
      <c r="P154" s="235">
        <v>4469.4136124999995</v>
      </c>
      <c r="Q154" s="628">
        <f t="shared" si="27"/>
        <v>0</v>
      </c>
      <c r="R154" s="373">
        <v>4849.8912000000009</v>
      </c>
      <c r="S154" s="628">
        <f t="shared" si="28"/>
        <v>0</v>
      </c>
      <c r="T154" s="373">
        <v>5237.8824960000011</v>
      </c>
      <c r="U154" s="629">
        <f t="shared" si="29"/>
        <v>0</v>
      </c>
      <c r="V154" s="373" t="e">
        <f t="shared" si="30"/>
        <v>#DIV/0!</v>
      </c>
      <c r="W154" s="241">
        <f t="shared" si="31"/>
        <v>0</v>
      </c>
      <c r="X154" s="602"/>
      <c r="Y154" s="374"/>
      <c r="Z154" s="374"/>
    </row>
    <row r="155" spans="2:26" hidden="1" x14ac:dyDescent="0.35">
      <c r="B155" s="644"/>
      <c r="E155" s="645"/>
      <c r="F155" s="374" t="s">
        <v>230</v>
      </c>
      <c r="G155" s="625" t="s">
        <v>193</v>
      </c>
      <c r="H155" s="602"/>
      <c r="I155" s="626"/>
      <c r="J155" s="625" t="s">
        <v>189</v>
      </c>
      <c r="K155" s="627"/>
      <c r="L155" s="496">
        <v>1</v>
      </c>
      <c r="M155" s="377">
        <v>6.2500000000000003E-3</v>
      </c>
      <c r="N155" s="372">
        <v>2</v>
      </c>
      <c r="O155" s="498">
        <f t="shared" si="26"/>
        <v>0</v>
      </c>
      <c r="P155" s="235">
        <v>1581858.0973125002</v>
      </c>
      <c r="Q155" s="628">
        <f t="shared" si="27"/>
        <v>0</v>
      </c>
      <c r="R155" s="373">
        <v>1721356.7670720001</v>
      </c>
      <c r="S155" s="628">
        <f t="shared" si="28"/>
        <v>0</v>
      </c>
      <c r="T155" s="373">
        <v>1859065.3084377602</v>
      </c>
      <c r="U155" s="629">
        <f t="shared" si="29"/>
        <v>0</v>
      </c>
      <c r="V155" s="373" t="e">
        <f t="shared" si="30"/>
        <v>#DIV/0!</v>
      </c>
      <c r="W155" s="241">
        <f t="shared" si="31"/>
        <v>0</v>
      </c>
      <c r="X155" s="602"/>
      <c r="Y155" s="374"/>
      <c r="Z155" s="374"/>
    </row>
    <row r="156" spans="2:26" hidden="1" x14ac:dyDescent="0.35">
      <c r="B156" s="644"/>
      <c r="E156" s="645"/>
      <c r="F156" s="374" t="s">
        <v>237</v>
      </c>
      <c r="G156" s="625" t="s">
        <v>193</v>
      </c>
      <c r="H156" s="602">
        <v>4</v>
      </c>
      <c r="I156" s="626" t="s">
        <v>238</v>
      </c>
      <c r="J156" s="625" t="s">
        <v>189</v>
      </c>
      <c r="K156" s="627"/>
      <c r="L156" s="496">
        <v>1</v>
      </c>
      <c r="M156" s="377">
        <f>((M$151*N$151)/240*($H156/N156))</f>
        <v>2.5000000000000001E-2</v>
      </c>
      <c r="N156" s="372">
        <v>2</v>
      </c>
      <c r="O156" s="498">
        <f t="shared" si="26"/>
        <v>0</v>
      </c>
      <c r="P156" s="235">
        <v>49592.654999999999</v>
      </c>
      <c r="Q156" s="628">
        <f t="shared" si="27"/>
        <v>0</v>
      </c>
      <c r="R156" s="373">
        <v>53966.062080000011</v>
      </c>
      <c r="S156" s="628">
        <f t="shared" si="28"/>
        <v>0</v>
      </c>
      <c r="T156" s="373">
        <v>58283.347046400013</v>
      </c>
      <c r="U156" s="629">
        <f t="shared" si="29"/>
        <v>0</v>
      </c>
      <c r="V156" s="373" t="e">
        <f t="shared" si="30"/>
        <v>#DIV/0!</v>
      </c>
      <c r="W156" s="241">
        <f t="shared" si="31"/>
        <v>0</v>
      </c>
      <c r="X156" s="602"/>
      <c r="Y156" s="374"/>
      <c r="Z156" s="374"/>
    </row>
    <row r="157" spans="2:26" hidden="1" x14ac:dyDescent="0.35">
      <c r="B157" s="644"/>
      <c r="E157" s="645"/>
      <c r="F157" s="374" t="s">
        <v>239</v>
      </c>
      <c r="G157" s="625" t="s">
        <v>193</v>
      </c>
      <c r="H157" s="602">
        <v>12</v>
      </c>
      <c r="I157" s="626" t="s">
        <v>238</v>
      </c>
      <c r="J157" s="625" t="s">
        <v>189</v>
      </c>
      <c r="K157" s="627"/>
      <c r="L157" s="496">
        <v>1</v>
      </c>
      <c r="M157" s="377">
        <f>((M$151*N$151)/240*($H157/N157))</f>
        <v>7.5000000000000011E-2</v>
      </c>
      <c r="N157" s="372">
        <v>2</v>
      </c>
      <c r="O157" s="498">
        <f t="shared" si="26"/>
        <v>0</v>
      </c>
      <c r="P157" s="235">
        <v>16206.75</v>
      </c>
      <c r="Q157" s="628">
        <f t="shared" si="27"/>
        <v>0</v>
      </c>
      <c r="R157" s="373">
        <v>17635.968000000004</v>
      </c>
      <c r="S157" s="628">
        <f t="shared" si="28"/>
        <v>0</v>
      </c>
      <c r="T157" s="373">
        <v>19046.845440000005</v>
      </c>
      <c r="U157" s="629">
        <f t="shared" si="29"/>
        <v>0</v>
      </c>
      <c r="V157" s="373" t="e">
        <f t="shared" si="30"/>
        <v>#DIV/0!</v>
      </c>
      <c r="W157" s="241">
        <f t="shared" si="31"/>
        <v>0</v>
      </c>
      <c r="X157" s="602"/>
      <c r="Y157" s="374"/>
      <c r="Z157" s="374"/>
    </row>
    <row r="158" spans="2:26" hidden="1" x14ac:dyDescent="0.35">
      <c r="B158" s="644"/>
      <c r="E158" s="645"/>
      <c r="F158" s="374" t="s">
        <v>240</v>
      </c>
      <c r="G158" s="625" t="s">
        <v>193</v>
      </c>
      <c r="H158" s="602">
        <v>1</v>
      </c>
      <c r="I158" s="626" t="s">
        <v>238</v>
      </c>
      <c r="J158" s="625" t="s">
        <v>189</v>
      </c>
      <c r="K158" s="627"/>
      <c r="L158" s="496">
        <v>1</v>
      </c>
      <c r="M158" s="377">
        <f>((M$151*N$151)/240*($H158/N158))</f>
        <v>6.2500000000000003E-3</v>
      </c>
      <c r="N158" s="372">
        <v>2</v>
      </c>
      <c r="O158" s="498">
        <f t="shared" si="26"/>
        <v>0</v>
      </c>
      <c r="P158" s="235">
        <v>43393.573125000003</v>
      </c>
      <c r="Q158" s="628">
        <f t="shared" si="27"/>
        <v>0</v>
      </c>
      <c r="R158" s="373">
        <v>47220.30432000001</v>
      </c>
      <c r="S158" s="628">
        <f t="shared" si="28"/>
        <v>0</v>
      </c>
      <c r="T158" s="373">
        <v>50997.928665600011</v>
      </c>
      <c r="U158" s="629">
        <f t="shared" si="29"/>
        <v>0</v>
      </c>
      <c r="V158" s="373" t="e">
        <f t="shared" si="30"/>
        <v>#DIV/0!</v>
      </c>
      <c r="W158" s="241">
        <f t="shared" si="31"/>
        <v>0</v>
      </c>
      <c r="X158" s="602"/>
      <c r="Y158" s="374"/>
      <c r="Z158" s="374"/>
    </row>
    <row r="159" spans="2:26" hidden="1" x14ac:dyDescent="0.35">
      <c r="B159" s="644"/>
      <c r="E159" s="645"/>
      <c r="F159" s="374" t="s">
        <v>241</v>
      </c>
      <c r="G159" s="625" t="s">
        <v>193</v>
      </c>
      <c r="H159" s="602">
        <v>2</v>
      </c>
      <c r="I159" s="626" t="s">
        <v>238</v>
      </c>
      <c r="J159" s="625" t="s">
        <v>189</v>
      </c>
      <c r="K159" s="627"/>
      <c r="L159" s="496">
        <v>1</v>
      </c>
      <c r="M159" s="377">
        <f>((M$151*N$151)/240*($H159/N159))</f>
        <v>1.2500000000000001E-2</v>
      </c>
      <c r="N159" s="372">
        <v>2</v>
      </c>
      <c r="O159" s="498">
        <f t="shared" si="26"/>
        <v>0</v>
      </c>
      <c r="P159" s="235">
        <v>37194.491250000006</v>
      </c>
      <c r="Q159" s="628">
        <f t="shared" si="27"/>
        <v>0</v>
      </c>
      <c r="R159" s="373">
        <v>40474.546560000003</v>
      </c>
      <c r="S159" s="628">
        <f t="shared" si="28"/>
        <v>0</v>
      </c>
      <c r="T159" s="373">
        <v>43712.510284800002</v>
      </c>
      <c r="U159" s="629">
        <f t="shared" si="29"/>
        <v>0</v>
      </c>
      <c r="V159" s="373" t="e">
        <f t="shared" si="30"/>
        <v>#DIV/0!</v>
      </c>
      <c r="W159" s="241">
        <f t="shared" si="31"/>
        <v>0</v>
      </c>
      <c r="X159" s="602"/>
      <c r="Y159" s="374"/>
      <c r="Z159" s="374"/>
    </row>
    <row r="160" spans="2:26" hidden="1" x14ac:dyDescent="0.35">
      <c r="B160" s="644"/>
      <c r="E160" s="645"/>
      <c r="F160" s="374" t="s">
        <v>242</v>
      </c>
      <c r="G160" s="625" t="s">
        <v>193</v>
      </c>
      <c r="H160" s="602">
        <v>1</v>
      </c>
      <c r="I160" s="626" t="s">
        <v>238</v>
      </c>
      <c r="J160" s="625" t="s">
        <v>189</v>
      </c>
      <c r="K160" s="627"/>
      <c r="L160" s="496">
        <v>1</v>
      </c>
      <c r="M160" s="377">
        <f>((M$151*N$151)/240*($H160/N160))</f>
        <v>6.2500000000000003E-3</v>
      </c>
      <c r="N160" s="372">
        <v>2</v>
      </c>
      <c r="O160" s="498">
        <f t="shared" si="26"/>
        <v>0</v>
      </c>
      <c r="P160" s="235">
        <v>99185.31</v>
      </c>
      <c r="Q160" s="628">
        <f t="shared" si="27"/>
        <v>0</v>
      </c>
      <c r="R160" s="373">
        <v>107932.12416000002</v>
      </c>
      <c r="S160" s="628">
        <f t="shared" si="28"/>
        <v>0</v>
      </c>
      <c r="T160" s="373">
        <v>116566.69409280003</v>
      </c>
      <c r="U160" s="629">
        <f t="shared" si="29"/>
        <v>0</v>
      </c>
      <c r="V160" s="373" t="e">
        <f t="shared" si="30"/>
        <v>#DIV/0!</v>
      </c>
      <c r="W160" s="241">
        <f t="shared" si="31"/>
        <v>0</v>
      </c>
      <c r="X160" s="602"/>
      <c r="Y160" s="374"/>
      <c r="Z160" s="374"/>
    </row>
    <row r="161" spans="1:28" x14ac:dyDescent="0.35">
      <c r="B161" s="644"/>
      <c r="D161" s="655" t="s">
        <v>91</v>
      </c>
      <c r="E161" s="702"/>
      <c r="F161" s="374" t="s">
        <v>187</v>
      </c>
      <c r="G161" s="625" t="s">
        <v>188</v>
      </c>
      <c r="H161" s="602"/>
      <c r="I161" s="626"/>
      <c r="J161" s="625" t="s">
        <v>189</v>
      </c>
      <c r="K161" s="627">
        <v>1</v>
      </c>
      <c r="L161" s="496">
        <v>192.08</v>
      </c>
      <c r="M161" s="423">
        <v>0.3</v>
      </c>
      <c r="N161" s="372">
        <v>4</v>
      </c>
      <c r="O161" s="498">
        <f t="shared" si="26"/>
        <v>230.49600000000001</v>
      </c>
      <c r="P161" s="235">
        <v>180115.58081830497</v>
      </c>
      <c r="Q161" s="649">
        <f t="shared" si="27"/>
        <v>41515920.91629602</v>
      </c>
      <c r="R161" s="372">
        <v>179635.86432000002</v>
      </c>
      <c r="S161" s="649">
        <f t="shared" si="28"/>
        <v>41405348.182302728</v>
      </c>
      <c r="T161" s="372">
        <v>197599.45075200003</v>
      </c>
      <c r="U161" s="650">
        <f t="shared" si="29"/>
        <v>45545883.000533</v>
      </c>
      <c r="V161" s="372">
        <f t="shared" si="30"/>
        <v>185783.63196343498</v>
      </c>
      <c r="W161" s="478">
        <f t="shared" si="31"/>
        <v>42822384.033043914</v>
      </c>
      <c r="X161" s="648"/>
      <c r="Y161" s="679">
        <f t="shared" ref="Y161:Y169" si="32">Q161/$C$1</f>
        <v>216138.69698196594</v>
      </c>
      <c r="Z161" s="374"/>
    </row>
    <row r="162" spans="1:28" x14ac:dyDescent="0.35">
      <c r="B162" s="644"/>
      <c r="E162" s="645"/>
      <c r="F162" s="374" t="s">
        <v>231</v>
      </c>
      <c r="G162" s="625" t="s">
        <v>232</v>
      </c>
      <c r="H162" s="602"/>
      <c r="I162" s="626"/>
      <c r="J162" s="625" t="s">
        <v>189</v>
      </c>
      <c r="K162" s="627">
        <v>1</v>
      </c>
      <c r="L162" s="496">
        <v>192.08</v>
      </c>
      <c r="M162" s="373">
        <v>0.25</v>
      </c>
      <c r="N162" s="372">
        <v>4</v>
      </c>
      <c r="O162" s="498">
        <f t="shared" si="26"/>
        <v>192.08</v>
      </c>
      <c r="P162" s="235">
        <v>40913.940375000006</v>
      </c>
      <c r="Q162" s="649">
        <f t="shared" si="27"/>
        <v>7858749.6672300017</v>
      </c>
      <c r="R162" s="372">
        <v>44533.743170400012</v>
      </c>
      <c r="S162" s="649">
        <f t="shared" si="28"/>
        <v>8554041.3881704342</v>
      </c>
      <c r="T162" s="372">
        <v>47651.105192328017</v>
      </c>
      <c r="U162" s="650">
        <f t="shared" si="29"/>
        <v>9152824.2853423655</v>
      </c>
      <c r="V162" s="372">
        <f t="shared" si="30"/>
        <v>44366.262912576014</v>
      </c>
      <c r="W162" s="478">
        <f t="shared" si="31"/>
        <v>8521871.7802476007</v>
      </c>
      <c r="X162" s="648"/>
      <c r="Y162" s="679">
        <f t="shared" si="32"/>
        <v>40913.940375000006</v>
      </c>
      <c r="Z162" s="374"/>
    </row>
    <row r="163" spans="1:28" x14ac:dyDescent="0.35">
      <c r="B163" s="644"/>
      <c r="E163" s="645"/>
      <c r="F163" s="374" t="s">
        <v>236</v>
      </c>
      <c r="G163" s="625" t="s">
        <v>188</v>
      </c>
      <c r="H163" s="602"/>
      <c r="I163" s="626"/>
      <c r="J163" s="625" t="s">
        <v>189</v>
      </c>
      <c r="K163" s="627">
        <v>1</v>
      </c>
      <c r="L163" s="496">
        <v>192.08</v>
      </c>
      <c r="M163" s="423">
        <v>0.3</v>
      </c>
      <c r="N163" s="372">
        <v>4</v>
      </c>
      <c r="O163" s="498">
        <f t="shared" si="26"/>
        <v>230.49600000000001</v>
      </c>
      <c r="P163" s="235">
        <v>4759.9254973124989</v>
      </c>
      <c r="Q163" s="649">
        <f t="shared" si="27"/>
        <v>1097143.7874285418</v>
      </c>
      <c r="R163" s="372">
        <v>4849.8912000000009</v>
      </c>
      <c r="S163" s="649">
        <f t="shared" si="28"/>
        <v>1117880.5220352001</v>
      </c>
      <c r="T163" s="372">
        <v>5237.8824960000011</v>
      </c>
      <c r="U163" s="650">
        <f t="shared" si="29"/>
        <v>1207310.9637980163</v>
      </c>
      <c r="V163" s="372">
        <f t="shared" si="30"/>
        <v>4949.2330644375006</v>
      </c>
      <c r="W163" s="478">
        <f t="shared" si="31"/>
        <v>1140778.4244205861</v>
      </c>
      <c r="X163" s="648"/>
      <c r="Y163" s="679">
        <f t="shared" si="32"/>
        <v>5711.9105967749983</v>
      </c>
      <c r="Z163" s="374"/>
    </row>
    <row r="164" spans="1:28" x14ac:dyDescent="0.35">
      <c r="B164" s="644"/>
      <c r="E164" s="645"/>
      <c r="F164" s="374" t="s">
        <v>405</v>
      </c>
      <c r="G164" s="625" t="s">
        <v>193</v>
      </c>
      <c r="H164" s="602">
        <v>1</v>
      </c>
      <c r="I164" s="626"/>
      <c r="J164" s="625" t="s">
        <v>189</v>
      </c>
      <c r="K164" s="627">
        <v>1</v>
      </c>
      <c r="L164" s="496">
        <v>192.08</v>
      </c>
      <c r="M164" s="377">
        <f t="shared" ref="M164:M169" si="33">((M$161*N$161)/240*($H164/N164))</f>
        <v>1.25E-3</v>
      </c>
      <c r="N164" s="372">
        <v>4</v>
      </c>
      <c r="O164" s="498">
        <f t="shared" si="26"/>
        <v>0.96040000000000003</v>
      </c>
      <c r="P164" s="235">
        <v>9329.618221875</v>
      </c>
      <c r="Q164" s="649">
        <f t="shared" si="27"/>
        <v>8960.1653402887496</v>
      </c>
      <c r="R164" s="372">
        <v>9668.9194560000033</v>
      </c>
      <c r="S164" s="649">
        <f t="shared" si="28"/>
        <v>9286.0302455424026</v>
      </c>
      <c r="T164" s="372">
        <v>10442.433012480004</v>
      </c>
      <c r="U164" s="650">
        <f t="shared" si="29"/>
        <v>10028.912665185795</v>
      </c>
      <c r="V164" s="372">
        <f t="shared" si="30"/>
        <v>9813.6568967850017</v>
      </c>
      <c r="W164" s="478">
        <f t="shared" si="31"/>
        <v>9425.0360836723157</v>
      </c>
      <c r="X164" s="648"/>
      <c r="Y164" s="679">
        <f t="shared" si="32"/>
        <v>46.648091109374995</v>
      </c>
      <c r="Z164" s="374"/>
    </row>
    <row r="165" spans="1:28" x14ac:dyDescent="0.35">
      <c r="B165" s="644"/>
      <c r="E165" s="645"/>
      <c r="F165" s="374" t="s">
        <v>237</v>
      </c>
      <c r="G165" s="625" t="s">
        <v>193</v>
      </c>
      <c r="H165" s="602">
        <v>4</v>
      </c>
      <c r="I165" s="626" t="s">
        <v>238</v>
      </c>
      <c r="J165" s="625" t="s">
        <v>189</v>
      </c>
      <c r="K165" s="627">
        <v>1</v>
      </c>
      <c r="L165" s="496">
        <v>192.08</v>
      </c>
      <c r="M165" s="382">
        <f t="shared" si="33"/>
        <v>5.0000000000000001E-3</v>
      </c>
      <c r="N165" s="372">
        <v>4</v>
      </c>
      <c r="O165" s="498">
        <f t="shared" si="26"/>
        <v>3.8416000000000001</v>
      </c>
      <c r="P165" s="235">
        <v>52072.287750000003</v>
      </c>
      <c r="Q165" s="649">
        <f t="shared" si="27"/>
        <v>200040.90062040003</v>
      </c>
      <c r="R165" s="372">
        <v>53966.062080000011</v>
      </c>
      <c r="S165" s="649">
        <f t="shared" si="28"/>
        <v>207316.02408652805</v>
      </c>
      <c r="T165" s="372">
        <v>58283.347046400013</v>
      </c>
      <c r="U165" s="650">
        <f t="shared" si="29"/>
        <v>223901.30601345029</v>
      </c>
      <c r="V165" s="372">
        <f t="shared" si="30"/>
        <v>54773.898958800004</v>
      </c>
      <c r="W165" s="478">
        <f t="shared" si="31"/>
        <v>210419.4102401261</v>
      </c>
      <c r="X165" s="648"/>
      <c r="Y165" s="679">
        <f t="shared" si="32"/>
        <v>1041.4457550000002</v>
      </c>
      <c r="Z165" s="374"/>
    </row>
    <row r="166" spans="1:28" x14ac:dyDescent="0.35">
      <c r="B166" s="644"/>
      <c r="E166" s="645"/>
      <c r="F166" s="374" t="s">
        <v>239</v>
      </c>
      <c r="G166" s="625" t="s">
        <v>193</v>
      </c>
      <c r="H166" s="602">
        <v>12</v>
      </c>
      <c r="I166" s="626" t="s">
        <v>238</v>
      </c>
      <c r="J166" s="625" t="s">
        <v>189</v>
      </c>
      <c r="K166" s="627">
        <v>1</v>
      </c>
      <c r="L166" s="496">
        <v>192.08</v>
      </c>
      <c r="M166" s="377">
        <f t="shared" si="33"/>
        <v>1.4999999999999999E-2</v>
      </c>
      <c r="N166" s="372">
        <v>4</v>
      </c>
      <c r="O166" s="498">
        <f t="shared" si="26"/>
        <v>11.524800000000001</v>
      </c>
      <c r="P166" s="235">
        <v>17017.087500000001</v>
      </c>
      <c r="Q166" s="649">
        <f t="shared" si="27"/>
        <v>196118.53002000003</v>
      </c>
      <c r="R166" s="372">
        <v>17635.968000000004</v>
      </c>
      <c r="S166" s="649">
        <f t="shared" si="28"/>
        <v>203251.00400640006</v>
      </c>
      <c r="T166" s="372">
        <v>19046.845440000005</v>
      </c>
      <c r="U166" s="650">
        <f t="shared" si="29"/>
        <v>219511.08432691207</v>
      </c>
      <c r="V166" s="372">
        <f t="shared" si="30"/>
        <v>17899.966980000001</v>
      </c>
      <c r="W166" s="478">
        <f t="shared" si="31"/>
        <v>206293.53945110404</v>
      </c>
      <c r="X166" s="648"/>
      <c r="Y166" s="679">
        <f t="shared" si="32"/>
        <v>1021.0252500000001</v>
      </c>
      <c r="Z166" s="374"/>
    </row>
    <row r="167" spans="1:28" x14ac:dyDescent="0.35">
      <c r="B167" s="644"/>
      <c r="E167" s="645"/>
      <c r="F167" s="374" t="s">
        <v>240</v>
      </c>
      <c r="G167" s="625" t="s">
        <v>193</v>
      </c>
      <c r="H167" s="602">
        <v>1</v>
      </c>
      <c r="I167" s="626" t="s">
        <v>238</v>
      </c>
      <c r="J167" s="625" t="s">
        <v>189</v>
      </c>
      <c r="K167" s="627">
        <v>1</v>
      </c>
      <c r="L167" s="496">
        <v>192.08</v>
      </c>
      <c r="M167" s="377">
        <f t="shared" si="33"/>
        <v>1.25E-3</v>
      </c>
      <c r="N167" s="372">
        <v>4</v>
      </c>
      <c r="O167" s="498">
        <f t="shared" si="26"/>
        <v>0.96040000000000003</v>
      </c>
      <c r="P167" s="235">
        <v>45563.251781250008</v>
      </c>
      <c r="Q167" s="649">
        <f t="shared" si="27"/>
        <v>43758.947010712509</v>
      </c>
      <c r="R167" s="372">
        <v>47220.30432000001</v>
      </c>
      <c r="S167" s="649">
        <f t="shared" si="28"/>
        <v>45350.380268928013</v>
      </c>
      <c r="T167" s="372">
        <v>50997.928665600011</v>
      </c>
      <c r="U167" s="650">
        <f t="shared" si="29"/>
        <v>48978.410690442252</v>
      </c>
      <c r="V167" s="372">
        <f t="shared" si="30"/>
        <v>47927.16158895001</v>
      </c>
      <c r="W167" s="478">
        <f t="shared" si="31"/>
        <v>46029.245990027594</v>
      </c>
      <c r="X167" s="648"/>
      <c r="Y167" s="679">
        <f t="shared" si="32"/>
        <v>227.81625890625003</v>
      </c>
      <c r="Z167" s="374"/>
    </row>
    <row r="168" spans="1:28" x14ac:dyDescent="0.35">
      <c r="B168" s="644"/>
      <c r="E168" s="645"/>
      <c r="F168" s="374" t="s">
        <v>241</v>
      </c>
      <c r="G168" s="625" t="s">
        <v>193</v>
      </c>
      <c r="H168" s="602">
        <v>2</v>
      </c>
      <c r="I168" s="626" t="s">
        <v>238</v>
      </c>
      <c r="J168" s="625" t="s">
        <v>189</v>
      </c>
      <c r="K168" s="627">
        <v>1</v>
      </c>
      <c r="L168" s="496">
        <v>192.08</v>
      </c>
      <c r="M168" s="377">
        <f t="shared" si="33"/>
        <v>2.5000000000000001E-3</v>
      </c>
      <c r="N168" s="372">
        <v>4</v>
      </c>
      <c r="O168" s="498">
        <f t="shared" si="26"/>
        <v>1.9208000000000001</v>
      </c>
      <c r="P168" s="235">
        <v>39054.215812500006</v>
      </c>
      <c r="Q168" s="649">
        <f t="shared" si="27"/>
        <v>75015.337732650019</v>
      </c>
      <c r="R168" s="372">
        <v>40474.546560000003</v>
      </c>
      <c r="S168" s="649">
        <f t="shared" si="28"/>
        <v>77743.509032448012</v>
      </c>
      <c r="T168" s="372">
        <v>43712.510284800002</v>
      </c>
      <c r="U168" s="650">
        <f t="shared" si="29"/>
        <v>83962.989755043847</v>
      </c>
      <c r="V168" s="372">
        <f t="shared" si="30"/>
        <v>41080.424219100008</v>
      </c>
      <c r="W168" s="478">
        <f t="shared" si="31"/>
        <v>78907.278840047293</v>
      </c>
      <c r="X168" s="648"/>
      <c r="Y168" s="679">
        <f t="shared" si="32"/>
        <v>390.54215812500007</v>
      </c>
      <c r="Z168" s="374"/>
    </row>
    <row r="169" spans="1:28" x14ac:dyDescent="0.35">
      <c r="B169" s="644"/>
      <c r="E169" s="645"/>
      <c r="F169" s="374" t="s">
        <v>242</v>
      </c>
      <c r="G169" s="625" t="s">
        <v>193</v>
      </c>
      <c r="H169" s="602">
        <v>1</v>
      </c>
      <c r="I169" s="626" t="s">
        <v>238</v>
      </c>
      <c r="J169" s="625" t="s">
        <v>189</v>
      </c>
      <c r="K169" s="627">
        <v>1</v>
      </c>
      <c r="L169" s="496">
        <v>192.08</v>
      </c>
      <c r="M169" s="377">
        <f t="shared" si="33"/>
        <v>1.25E-3</v>
      </c>
      <c r="N169" s="372">
        <v>4</v>
      </c>
      <c r="O169" s="498">
        <f t="shared" si="26"/>
        <v>0.96040000000000003</v>
      </c>
      <c r="P169" s="235">
        <v>104144.57550000001</v>
      </c>
      <c r="Q169" s="649">
        <f t="shared" si="27"/>
        <v>100020.45031020002</v>
      </c>
      <c r="R169" s="372">
        <v>107932.12416000002</v>
      </c>
      <c r="S169" s="649">
        <f t="shared" si="28"/>
        <v>103658.01204326403</v>
      </c>
      <c r="T169" s="372">
        <v>116566.69409280003</v>
      </c>
      <c r="U169" s="650">
        <f t="shared" si="29"/>
        <v>111950.65300672514</v>
      </c>
      <c r="V169" s="372">
        <f t="shared" si="30"/>
        <v>109547.79791760001</v>
      </c>
      <c r="W169" s="478">
        <f t="shared" si="31"/>
        <v>105209.70512006305</v>
      </c>
      <c r="X169" s="648"/>
      <c r="Y169" s="679">
        <f t="shared" si="32"/>
        <v>520.7228775000001</v>
      </c>
      <c r="Z169" s="374"/>
    </row>
    <row r="170" spans="1:28" x14ac:dyDescent="0.35">
      <c r="B170" s="654"/>
      <c r="C170" s="655" t="s">
        <v>93</v>
      </c>
      <c r="D170" s="655"/>
      <c r="E170" s="702"/>
      <c r="F170" s="374" t="s">
        <v>187</v>
      </c>
      <c r="G170" s="625" t="s">
        <v>188</v>
      </c>
      <c r="H170" s="602"/>
      <c r="I170" s="626"/>
      <c r="J170" s="625"/>
      <c r="K170" s="596"/>
      <c r="L170" s="496"/>
      <c r="M170" s="377">
        <v>0.73</v>
      </c>
      <c r="N170" s="372">
        <v>1</v>
      </c>
      <c r="O170" s="602"/>
      <c r="P170" s="628"/>
      <c r="Q170" s="649"/>
      <c r="R170" s="649"/>
      <c r="S170" s="649"/>
      <c r="T170" s="650"/>
      <c r="U170" s="650"/>
      <c r="V170" s="650"/>
      <c r="W170" s="650"/>
      <c r="X170" s="648"/>
      <c r="Y170" s="679">
        <f t="shared" ref="Y170:Y171" si="34">Q170/192.08</f>
        <v>0</v>
      </c>
      <c r="Z170" s="374"/>
    </row>
    <row r="171" spans="1:28" hidden="1" x14ac:dyDescent="0.35">
      <c r="B171" s="644"/>
      <c r="E171" s="645"/>
      <c r="F171" s="374" t="s">
        <v>365</v>
      </c>
      <c r="G171" s="625" t="s">
        <v>205</v>
      </c>
      <c r="H171" s="602"/>
      <c r="I171" s="626"/>
      <c r="J171" s="625"/>
      <c r="K171" s="596"/>
      <c r="L171" s="496"/>
      <c r="M171" s="377">
        <v>3.36</v>
      </c>
      <c r="N171" s="372">
        <v>1</v>
      </c>
      <c r="O171" s="602"/>
      <c r="P171" s="628"/>
      <c r="Q171" s="649"/>
      <c r="R171" s="649"/>
      <c r="S171" s="649"/>
      <c r="T171" s="650"/>
      <c r="U171" s="650"/>
      <c r="V171" s="650"/>
      <c r="W171" s="650"/>
      <c r="X171" s="648"/>
      <c r="Y171" s="679">
        <f t="shared" si="34"/>
        <v>0</v>
      </c>
      <c r="Z171" s="374"/>
    </row>
    <row r="172" spans="1:28" x14ac:dyDescent="0.35">
      <c r="B172" s="622"/>
      <c r="C172" s="623"/>
      <c r="D172" s="623"/>
      <c r="E172" s="624"/>
      <c r="F172" s="374" t="s">
        <v>244</v>
      </c>
      <c r="G172" s="625" t="s">
        <v>189</v>
      </c>
      <c r="H172" s="602"/>
      <c r="I172" s="626"/>
      <c r="J172" s="625" t="s">
        <v>512</v>
      </c>
      <c r="K172" s="627">
        <v>0.15</v>
      </c>
      <c r="L172" s="496">
        <v>192.08</v>
      </c>
      <c r="M172" s="377">
        <f>20/30</f>
        <v>0.66666666666666663</v>
      </c>
      <c r="N172" s="372">
        <v>12</v>
      </c>
      <c r="O172" s="498">
        <f>K172*L172*M172*N172</f>
        <v>230.49599999999998</v>
      </c>
      <c r="P172" s="235">
        <v>80218.550475000025</v>
      </c>
      <c r="Q172" s="649">
        <f>P172*$O172</f>
        <v>18490055.010285605</v>
      </c>
      <c r="R172" s="372">
        <v>74236.524544</v>
      </c>
      <c r="S172" s="649">
        <f>R172*$O172</f>
        <v>17111221.961293824</v>
      </c>
      <c r="T172" s="372">
        <v>77205.985525759999</v>
      </c>
      <c r="U172" s="650">
        <f>$O172*T172</f>
        <v>17795670.839745574</v>
      </c>
      <c r="V172" s="372">
        <f>W172/O172</f>
        <v>77220.353514920018</v>
      </c>
      <c r="W172" s="478">
        <f t="shared" ref="W172:W179" si="35">AVERAGEIF($P$3:$U$3,W$3,$P172:$U172)</f>
        <v>17798982.603775002</v>
      </c>
      <c r="X172" s="648"/>
      <c r="Y172" s="679">
        <f>Q172/$C$1</f>
        <v>96262.260570000013</v>
      </c>
      <c r="Z172" s="374"/>
    </row>
    <row r="173" spans="1:28" customFormat="1" x14ac:dyDescent="0.35">
      <c r="A173" s="94"/>
      <c r="B173" s="630" t="s">
        <v>513</v>
      </c>
      <c r="C173" s="770"/>
      <c r="D173" s="770"/>
      <c r="E173" s="771"/>
      <c r="F173" s="633"/>
      <c r="G173" s="634"/>
      <c r="H173" s="635"/>
      <c r="I173" s="636"/>
      <c r="J173" s="634"/>
      <c r="K173" s="637"/>
      <c r="L173" s="638"/>
      <c r="M173" s="772"/>
      <c r="N173" s="773"/>
      <c r="O173" s="635"/>
      <c r="P173" s="640"/>
      <c r="Q173" s="651">
        <f>SUM(Q141:Q172)</f>
        <v>69585783.712274417</v>
      </c>
      <c r="R173" s="774"/>
      <c r="S173" s="651">
        <f>SUM(S162:S172)</f>
        <v>27429748.831182569</v>
      </c>
      <c r="T173" s="803"/>
      <c r="U173" s="803"/>
      <c r="V173" s="803"/>
      <c r="W173" s="803"/>
      <c r="X173" s="652"/>
      <c r="Y173" s="653">
        <f>Q173/$C$1</f>
        <v>362275.00891438156</v>
      </c>
      <c r="Z173" s="642">
        <f>Q173/$Q$395*100</f>
        <v>1.7362413683871818</v>
      </c>
      <c r="AA173" s="94"/>
      <c r="AB173" s="94"/>
    </row>
    <row r="174" spans="1:28" customFormat="1" x14ac:dyDescent="0.35">
      <c r="A174" s="94"/>
      <c r="B174" s="693" t="s">
        <v>514</v>
      </c>
      <c r="C174" s="776"/>
      <c r="D174" s="776"/>
      <c r="E174" s="777"/>
      <c r="F174" s="516"/>
      <c r="G174" s="613"/>
      <c r="H174" s="614"/>
      <c r="I174" s="615"/>
      <c r="J174" s="613"/>
      <c r="K174" s="616"/>
      <c r="L174" s="617"/>
      <c r="M174" s="527"/>
      <c r="N174" s="766"/>
      <c r="O174" s="614"/>
      <c r="P174" s="618"/>
      <c r="Q174" s="696">
        <f>Q63+Q70+Q84+Q110+Q126+Q173</f>
        <v>703358438.32272089</v>
      </c>
      <c r="R174" s="778"/>
      <c r="S174" s="696">
        <f>SUM(S163:S173)</f>
        <v>46305456.274194703</v>
      </c>
      <c r="T174" s="673"/>
      <c r="U174" s="673"/>
      <c r="V174" s="673"/>
      <c r="W174" s="673"/>
      <c r="X174" s="674"/>
      <c r="Y174" s="413">
        <f>Q174/$C$1</f>
        <v>3661799.4498267435</v>
      </c>
      <c r="Z174" s="414">
        <f>Q174/$Q$395*100</f>
        <v>17.549561882777237</v>
      </c>
      <c r="AA174" s="94"/>
      <c r="AB174" s="94"/>
    </row>
    <row r="175" spans="1:28" x14ac:dyDescent="0.35">
      <c r="B175" s="677" t="s">
        <v>515</v>
      </c>
      <c r="C175" s="626"/>
      <c r="D175" s="626"/>
      <c r="E175" s="678"/>
      <c r="F175" s="374"/>
      <c r="G175" s="625"/>
      <c r="H175" s="602"/>
      <c r="I175" s="626"/>
      <c r="J175" s="625"/>
      <c r="K175" s="596"/>
      <c r="L175" s="496"/>
      <c r="M175" s="377"/>
      <c r="N175" s="372"/>
      <c r="O175" s="602"/>
      <c r="P175" s="628"/>
      <c r="Q175" s="628"/>
      <c r="R175" s="628"/>
      <c r="S175" s="628"/>
      <c r="T175" s="629"/>
      <c r="U175" s="629"/>
      <c r="V175" s="629"/>
      <c r="W175" s="629"/>
      <c r="X175" s="602"/>
      <c r="Y175" s="374"/>
      <c r="Z175" s="374"/>
    </row>
    <row r="176" spans="1:28" x14ac:dyDescent="0.35">
      <c r="B176" s="644"/>
      <c r="C176" s="286" t="s">
        <v>97</v>
      </c>
      <c r="E176" s="645"/>
      <c r="F176" s="374" t="s">
        <v>187</v>
      </c>
      <c r="G176" s="625" t="s">
        <v>188</v>
      </c>
      <c r="H176" s="602"/>
      <c r="I176" s="626"/>
      <c r="J176" s="625" t="s">
        <v>189</v>
      </c>
      <c r="K176" s="627">
        <v>1</v>
      </c>
      <c r="L176" s="496">
        <v>192.08</v>
      </c>
      <c r="M176" s="372">
        <v>2</v>
      </c>
      <c r="N176" s="372">
        <v>1</v>
      </c>
      <c r="O176" s="498">
        <f t="shared" ref="O176:O185" si="36">K176*L176*M176*N176</f>
        <v>384.16</v>
      </c>
      <c r="P176" s="235">
        <v>180115.58081830497</v>
      </c>
      <c r="Q176" s="649">
        <f t="shared" ref="Q176:Q185" si="37">P176*$O176</f>
        <v>69193201.527160034</v>
      </c>
      <c r="R176" s="372">
        <v>179635.86432000002</v>
      </c>
      <c r="S176" s="649">
        <f t="shared" ref="S176:S185" si="38">R176*$O176</f>
        <v>69008913.637171209</v>
      </c>
      <c r="T176" s="372">
        <v>197599.45075200003</v>
      </c>
      <c r="U176" s="650">
        <f t="shared" ref="U176:U185" si="39">$O176*T176</f>
        <v>75909805.000888333</v>
      </c>
      <c r="V176" s="372">
        <f t="shared" ref="V176:V185" si="40">W176/O176</f>
        <v>185783.63196343501</v>
      </c>
      <c r="W176" s="478">
        <f t="shared" si="35"/>
        <v>71370640.055073202</v>
      </c>
      <c r="X176" s="648"/>
      <c r="Y176" s="679">
        <f t="shared" ref="Y176:Y179" si="41">Q176/$C$1</f>
        <v>360231.16163660988</v>
      </c>
      <c r="Z176" s="374"/>
    </row>
    <row r="177" spans="1:28" x14ac:dyDescent="0.35">
      <c r="B177" s="644"/>
      <c r="E177" s="645"/>
      <c r="F177" s="374" t="s">
        <v>516</v>
      </c>
      <c r="G177" s="625" t="s">
        <v>193</v>
      </c>
      <c r="H177" s="602"/>
      <c r="I177" s="626"/>
      <c r="J177" s="625" t="s">
        <v>189</v>
      </c>
      <c r="K177" s="627">
        <v>1</v>
      </c>
      <c r="L177" s="496">
        <v>192.08</v>
      </c>
      <c r="M177" s="382">
        <v>3.3333333333333335E-3</v>
      </c>
      <c r="N177" s="372">
        <v>1</v>
      </c>
      <c r="O177" s="498">
        <f t="shared" si="36"/>
        <v>0.64026666666666676</v>
      </c>
      <c r="P177" s="235">
        <v>114881.38530750001</v>
      </c>
      <c r="Q177" s="649">
        <f t="shared" si="37"/>
        <v>73554.721632882021</v>
      </c>
      <c r="R177" s="372">
        <v>119059.41219840002</v>
      </c>
      <c r="S177" s="649">
        <f t="shared" si="38"/>
        <v>76229.772983562259</v>
      </c>
      <c r="T177" s="372">
        <v>128584.16517427203</v>
      </c>
      <c r="U177" s="650">
        <f t="shared" si="39"/>
        <v>82328.154822247248</v>
      </c>
      <c r="V177" s="372">
        <f t="shared" si="40"/>
        <v>120841.65422672401</v>
      </c>
      <c r="W177" s="478">
        <f t="shared" si="35"/>
        <v>77370.88314623051</v>
      </c>
      <c r="X177" s="648"/>
      <c r="Y177" s="679">
        <f t="shared" si="41"/>
        <v>382.93795102500007</v>
      </c>
      <c r="Z177" s="374"/>
    </row>
    <row r="178" spans="1:28" x14ac:dyDescent="0.35">
      <c r="B178" s="644"/>
      <c r="E178" s="645"/>
      <c r="F178" s="374" t="s">
        <v>517</v>
      </c>
      <c r="G178" s="625" t="s">
        <v>193</v>
      </c>
      <c r="H178" s="602"/>
      <c r="I178" s="626"/>
      <c r="J178" s="625" t="s">
        <v>189</v>
      </c>
      <c r="K178" s="627">
        <v>1</v>
      </c>
      <c r="L178" s="496">
        <v>192.08</v>
      </c>
      <c r="M178" s="382">
        <v>3.3333333333333335E-3</v>
      </c>
      <c r="N178" s="372">
        <v>1</v>
      </c>
      <c r="O178" s="498">
        <f t="shared" si="36"/>
        <v>0.64026666666666676</v>
      </c>
      <c r="P178" s="235">
        <v>9531.0883828125006</v>
      </c>
      <c r="Q178" s="649">
        <f t="shared" si="37"/>
        <v>6102.4381885687517</v>
      </c>
      <c r="R178" s="372">
        <v>9877.7167200000022</v>
      </c>
      <c r="S178" s="649">
        <f t="shared" si="38"/>
        <v>6324.3727585920024</v>
      </c>
      <c r="T178" s="372">
        <v>10667.934057600003</v>
      </c>
      <c r="U178" s="650">
        <f t="shared" si="39"/>
        <v>6830.3225792793628</v>
      </c>
      <c r="V178" s="372">
        <f t="shared" si="40"/>
        <v>10025.579720137501</v>
      </c>
      <c r="W178" s="478">
        <f t="shared" si="35"/>
        <v>6419.044508813372</v>
      </c>
      <c r="X178" s="648"/>
      <c r="Y178" s="679">
        <f t="shared" si="41"/>
        <v>31.770294609375007</v>
      </c>
      <c r="Z178" s="374"/>
    </row>
    <row r="179" spans="1:28" x14ac:dyDescent="0.35">
      <c r="B179" s="644"/>
      <c r="E179" s="645"/>
      <c r="F179" s="374" t="s">
        <v>518</v>
      </c>
      <c r="G179" s="625" t="s">
        <v>193</v>
      </c>
      <c r="H179" s="602"/>
      <c r="I179" s="626"/>
      <c r="J179" s="625" t="s">
        <v>189</v>
      </c>
      <c r="K179" s="627">
        <v>1</v>
      </c>
      <c r="L179" s="496">
        <v>192.08</v>
      </c>
      <c r="M179" s="382">
        <v>3.3333333333333335E-3</v>
      </c>
      <c r="N179" s="372">
        <v>1</v>
      </c>
      <c r="O179" s="498">
        <f t="shared" si="36"/>
        <v>0.64026666666666676</v>
      </c>
      <c r="P179" s="235">
        <v>62269.777434375013</v>
      </c>
      <c r="Q179" s="649">
        <f t="shared" si="37"/>
        <v>39869.262831982516</v>
      </c>
      <c r="R179" s="372">
        <v>64534.415904000009</v>
      </c>
      <c r="S179" s="649">
        <f t="shared" si="38"/>
        <v>41319.235356134413</v>
      </c>
      <c r="T179" s="372">
        <v>69697.169176320007</v>
      </c>
      <c r="U179" s="650">
        <f t="shared" si="39"/>
        <v>44624.774184625167</v>
      </c>
      <c r="V179" s="372">
        <f t="shared" si="40"/>
        <v>65500.454171565019</v>
      </c>
      <c r="W179" s="478">
        <f t="shared" si="35"/>
        <v>41937.757457580701</v>
      </c>
      <c r="X179" s="648"/>
      <c r="Y179" s="679">
        <f t="shared" si="41"/>
        <v>207.56592478125006</v>
      </c>
      <c r="Z179" s="374"/>
    </row>
    <row r="180" spans="1:28" customFormat="1" x14ac:dyDescent="0.35">
      <c r="A180" s="94"/>
      <c r="B180" s="630" t="s">
        <v>636</v>
      </c>
      <c r="C180" s="770"/>
      <c r="D180" s="770"/>
      <c r="E180" s="771"/>
      <c r="F180" s="633"/>
      <c r="G180" s="634"/>
      <c r="H180" s="635"/>
      <c r="I180" s="636"/>
      <c r="J180" s="634"/>
      <c r="K180" s="637"/>
      <c r="L180" s="638"/>
      <c r="M180" s="772"/>
      <c r="N180" s="773"/>
      <c r="O180" s="635"/>
      <c r="P180" s="640"/>
      <c r="Q180" s="651">
        <f>SUM(Q176:Q179)</f>
        <v>69312727.94981347</v>
      </c>
      <c r="R180" s="774"/>
      <c r="S180" s="651">
        <f>SUM(S169:S179)</f>
        <v>160082872.09698385</v>
      </c>
      <c r="T180" s="803"/>
      <c r="U180" s="803"/>
      <c r="V180" s="803"/>
      <c r="W180" s="803"/>
      <c r="X180" s="652"/>
      <c r="Y180" s="653">
        <f>Q180/$C$1</f>
        <v>360853.43580702553</v>
      </c>
      <c r="Z180" s="642">
        <f>Q180/$Q$395*100</f>
        <v>1.7294283286343854</v>
      </c>
      <c r="AA180" s="94"/>
      <c r="AB180" s="94"/>
    </row>
    <row r="181" spans="1:28" x14ac:dyDescent="0.35">
      <c r="B181" s="654"/>
      <c r="C181" s="655" t="s">
        <v>95</v>
      </c>
      <c r="D181" s="655"/>
      <c r="E181" s="702"/>
      <c r="F181" s="374" t="s">
        <v>187</v>
      </c>
      <c r="G181" s="625" t="s">
        <v>188</v>
      </c>
      <c r="H181" s="602"/>
      <c r="I181" s="626"/>
      <c r="J181" s="625" t="s">
        <v>189</v>
      </c>
      <c r="K181" s="627">
        <v>1</v>
      </c>
      <c r="L181" s="496">
        <v>192.08</v>
      </c>
      <c r="M181" s="372">
        <v>1</v>
      </c>
      <c r="N181" s="372">
        <v>1</v>
      </c>
      <c r="O181" s="498">
        <f t="shared" si="36"/>
        <v>192.08</v>
      </c>
      <c r="P181" s="235">
        <v>180115.58081830497</v>
      </c>
      <c r="Q181" s="649">
        <f t="shared" si="37"/>
        <v>34596600.763580017</v>
      </c>
      <c r="R181" s="372">
        <v>179635.86432000002</v>
      </c>
      <c r="S181" s="649">
        <f t="shared" si="38"/>
        <v>34504456.818585604</v>
      </c>
      <c r="T181" s="372">
        <v>197599.45075200003</v>
      </c>
      <c r="U181" s="650">
        <f t="shared" si="39"/>
        <v>37954902.500444166</v>
      </c>
      <c r="V181" s="372">
        <f t="shared" si="40"/>
        <v>185783.63196343501</v>
      </c>
      <c r="W181" s="478">
        <f>AVERAGEIF($P$3:$U$3,W$3,$P181:$U181)</f>
        <v>35685320.027536601</v>
      </c>
      <c r="X181" s="648"/>
      <c r="Y181" s="679">
        <f t="shared" ref="Y181:Y185" si="42">Q181/$C$1</f>
        <v>180115.58081830494</v>
      </c>
      <c r="Z181" s="374"/>
    </row>
    <row r="182" spans="1:28" x14ac:dyDescent="0.35">
      <c r="B182" s="644"/>
      <c r="E182" s="645"/>
      <c r="F182" s="374" t="s">
        <v>519</v>
      </c>
      <c r="G182" s="625" t="s">
        <v>193</v>
      </c>
      <c r="H182" s="602">
        <v>1</v>
      </c>
      <c r="I182" s="626" t="s">
        <v>238</v>
      </c>
      <c r="J182" s="625" t="s">
        <v>189</v>
      </c>
      <c r="K182" s="627">
        <v>1</v>
      </c>
      <c r="L182" s="496">
        <v>192.08</v>
      </c>
      <c r="M182" s="382">
        <f>((M$181*N$181)/(300))*($H182/N182)</f>
        <v>3.3333333333333335E-3</v>
      </c>
      <c r="N182" s="372">
        <v>1</v>
      </c>
      <c r="O182" s="498">
        <f t="shared" si="36"/>
        <v>0.64026666666666676</v>
      </c>
      <c r="P182" s="235">
        <v>80686.38667556252</v>
      </c>
      <c r="Q182" s="649">
        <f t="shared" si="37"/>
        <v>51660.803842140172</v>
      </c>
      <c r="R182" s="372">
        <v>83620.803703680009</v>
      </c>
      <c r="S182" s="649">
        <f t="shared" si="38"/>
        <v>53539.61325134286</v>
      </c>
      <c r="T182" s="372">
        <v>90310.467999974411</v>
      </c>
      <c r="U182" s="650">
        <f t="shared" si="39"/>
        <v>57822.78231145029</v>
      </c>
      <c r="V182" s="372">
        <f t="shared" si="40"/>
        <v>84872.552793072304</v>
      </c>
      <c r="W182" s="478">
        <f>AVERAGEIF($P$3:$U$3,W$3,$P182:$U182)</f>
        <v>54341.066468311103</v>
      </c>
      <c r="X182" s="648"/>
      <c r="Y182" s="679">
        <f t="shared" si="42"/>
        <v>268.95462225187509</v>
      </c>
      <c r="Z182" s="374"/>
    </row>
    <row r="183" spans="1:28" x14ac:dyDescent="0.35">
      <c r="B183" s="644"/>
      <c r="E183" s="645"/>
      <c r="F183" s="374" t="s">
        <v>517</v>
      </c>
      <c r="G183" s="625" t="s">
        <v>193</v>
      </c>
      <c r="H183" s="602">
        <v>1</v>
      </c>
      <c r="I183" s="626" t="s">
        <v>238</v>
      </c>
      <c r="J183" s="625" t="s">
        <v>189</v>
      </c>
      <c r="K183" s="627">
        <v>1</v>
      </c>
      <c r="L183" s="496">
        <v>192.08</v>
      </c>
      <c r="M183" s="382">
        <f>((M$181*N$181)/(300))*($H183/N183)</f>
        <v>3.3333333333333335E-3</v>
      </c>
      <c r="N183" s="372">
        <v>1</v>
      </c>
      <c r="O183" s="498">
        <f t="shared" si="36"/>
        <v>0.64026666666666676</v>
      </c>
      <c r="P183" s="235">
        <v>9531.0883828125006</v>
      </c>
      <c r="Q183" s="649">
        <f t="shared" si="37"/>
        <v>6102.4381885687517</v>
      </c>
      <c r="R183" s="372">
        <v>9877.7167200000022</v>
      </c>
      <c r="S183" s="649">
        <f t="shared" si="38"/>
        <v>6324.3727585920024</v>
      </c>
      <c r="T183" s="372">
        <v>10667.934057600003</v>
      </c>
      <c r="U183" s="650">
        <f t="shared" si="39"/>
        <v>6830.3225792793628</v>
      </c>
      <c r="V183" s="372">
        <f t="shared" si="40"/>
        <v>10025.579720137501</v>
      </c>
      <c r="W183" s="478">
        <f>AVERAGEIF($P$3:$U$3,W$3,$P183:$U183)</f>
        <v>6419.044508813372</v>
      </c>
      <c r="X183" s="648"/>
      <c r="Y183" s="679">
        <f t="shared" si="42"/>
        <v>31.770294609375007</v>
      </c>
      <c r="Z183" s="374"/>
    </row>
    <row r="184" spans="1:28" x14ac:dyDescent="0.35">
      <c r="B184" s="644"/>
      <c r="E184" s="645"/>
      <c r="F184" s="374" t="s">
        <v>518</v>
      </c>
      <c r="G184" s="625" t="s">
        <v>193</v>
      </c>
      <c r="H184" s="602">
        <v>1</v>
      </c>
      <c r="I184" s="626" t="s">
        <v>238</v>
      </c>
      <c r="J184" s="625" t="s">
        <v>189</v>
      </c>
      <c r="K184" s="627">
        <v>1</v>
      </c>
      <c r="L184" s="496">
        <v>192.08</v>
      </c>
      <c r="M184" s="382">
        <f>((M$181*N$181)/(300))*($H184/N184)</f>
        <v>3.3333333333333335E-3</v>
      </c>
      <c r="N184" s="372">
        <v>1</v>
      </c>
      <c r="O184" s="498">
        <f t="shared" si="36"/>
        <v>0.64026666666666676</v>
      </c>
      <c r="P184" s="235">
        <v>62269.777434375013</v>
      </c>
      <c r="Q184" s="649">
        <f t="shared" si="37"/>
        <v>39869.262831982516</v>
      </c>
      <c r="R184" s="372">
        <v>64534.415904000009</v>
      </c>
      <c r="S184" s="649">
        <f t="shared" si="38"/>
        <v>41319.235356134413</v>
      </c>
      <c r="T184" s="372">
        <v>69697.169176320007</v>
      </c>
      <c r="U184" s="650">
        <f t="shared" si="39"/>
        <v>44624.774184625167</v>
      </c>
      <c r="V184" s="372">
        <f t="shared" si="40"/>
        <v>65500.454171565019</v>
      </c>
      <c r="W184" s="478">
        <f>AVERAGEIF($P$3:$U$3,W$3,$P184:$U184)</f>
        <v>41937.757457580701</v>
      </c>
      <c r="X184" s="648"/>
      <c r="Y184" s="679">
        <f t="shared" si="42"/>
        <v>207.56592478125006</v>
      </c>
      <c r="Z184" s="374"/>
    </row>
    <row r="185" spans="1:28" x14ac:dyDescent="0.35">
      <c r="B185" s="622"/>
      <c r="C185" s="623"/>
      <c r="D185" s="623"/>
      <c r="E185" s="624"/>
      <c r="F185" s="374" t="s">
        <v>242</v>
      </c>
      <c r="G185" s="625" t="s">
        <v>193</v>
      </c>
      <c r="H185" s="602">
        <v>1</v>
      </c>
      <c r="I185" s="626" t="s">
        <v>238</v>
      </c>
      <c r="J185" s="625" t="s">
        <v>189</v>
      </c>
      <c r="K185" s="627">
        <v>1</v>
      </c>
      <c r="L185" s="496">
        <v>192.08</v>
      </c>
      <c r="M185" s="382">
        <f>((M$181*N$181)/(300))*($H185/N185)</f>
        <v>3.3333333333333335E-3</v>
      </c>
      <c r="N185" s="372">
        <v>1</v>
      </c>
      <c r="O185" s="498">
        <f t="shared" si="36"/>
        <v>0.64026666666666676</v>
      </c>
      <c r="P185" s="235">
        <v>104144.57550000001</v>
      </c>
      <c r="Q185" s="649">
        <f t="shared" si="37"/>
        <v>66680.300206800021</v>
      </c>
      <c r="R185" s="372">
        <v>107932.12416000002</v>
      </c>
      <c r="S185" s="649">
        <f t="shared" si="38"/>
        <v>69105.341362176026</v>
      </c>
      <c r="T185" s="372">
        <v>116566.69409280003</v>
      </c>
      <c r="U185" s="650">
        <f t="shared" si="39"/>
        <v>74633.768671150101</v>
      </c>
      <c r="V185" s="372">
        <f t="shared" si="40"/>
        <v>109547.79791760002</v>
      </c>
      <c r="W185" s="478">
        <f>AVERAGEIF($P$3:$U$3,W$3,$P185:$U185)</f>
        <v>70139.803413375383</v>
      </c>
      <c r="X185" s="649"/>
      <c r="Y185" s="679">
        <f t="shared" si="42"/>
        <v>347.14858500000008</v>
      </c>
      <c r="Z185" s="374"/>
    </row>
    <row r="186" spans="1:28" customFormat="1" x14ac:dyDescent="0.35">
      <c r="A186" s="94"/>
      <c r="B186" s="630" t="s">
        <v>604</v>
      </c>
      <c r="C186" s="770"/>
      <c r="D186" s="770"/>
      <c r="E186" s="771"/>
      <c r="F186" s="633"/>
      <c r="G186" s="634"/>
      <c r="H186" s="635"/>
      <c r="I186" s="636"/>
      <c r="J186" s="634"/>
      <c r="K186" s="637"/>
      <c r="L186" s="638"/>
      <c r="M186" s="772"/>
      <c r="N186" s="773"/>
      <c r="O186" s="635"/>
      <c r="P186" s="640"/>
      <c r="Q186" s="651">
        <f>SUM(Q181:Q185)</f>
        <v>34760913.568649516</v>
      </c>
      <c r="R186" s="774"/>
      <c r="S186" s="651">
        <f>SUM(S175:S185)</f>
        <v>263890404.49656719</v>
      </c>
      <c r="T186" s="803"/>
      <c r="U186" s="803"/>
      <c r="V186" s="803"/>
      <c r="W186" s="803"/>
      <c r="X186" s="652"/>
      <c r="Y186" s="653">
        <f>Q186/$C$1</f>
        <v>180971.02024494749</v>
      </c>
      <c r="Z186" s="642">
        <f>Q186/$Q$395*100</f>
        <v>0.86732279096505616</v>
      </c>
      <c r="AA186" s="94"/>
      <c r="AB186" s="94"/>
    </row>
    <row r="187" spans="1:28" x14ac:dyDescent="0.35">
      <c r="B187" s="602"/>
      <c r="C187" s="626" t="s">
        <v>520</v>
      </c>
      <c r="D187" s="626"/>
      <c r="E187" s="678"/>
      <c r="F187" s="374"/>
      <c r="G187" s="625"/>
      <c r="H187" s="602"/>
      <c r="I187" s="626"/>
      <c r="J187" s="625"/>
      <c r="K187" s="596"/>
      <c r="L187" s="496"/>
      <c r="M187" s="373"/>
      <c r="N187" s="372"/>
      <c r="O187" s="602"/>
      <c r="P187" s="628"/>
      <c r="Q187" s="628"/>
      <c r="R187" s="628"/>
      <c r="S187" s="628"/>
      <c r="T187" s="629"/>
      <c r="U187" s="629"/>
      <c r="V187" s="629"/>
      <c r="W187" s="629"/>
      <c r="X187" s="806"/>
      <c r="Y187" s="374"/>
      <c r="Z187" s="374"/>
    </row>
    <row r="188" spans="1:28" x14ac:dyDescent="0.35">
      <c r="B188" s="644"/>
      <c r="D188" s="286" t="s">
        <v>96</v>
      </c>
      <c r="E188" s="645"/>
      <c r="F188" s="374" t="s">
        <v>187</v>
      </c>
      <c r="G188" s="625" t="s">
        <v>188</v>
      </c>
      <c r="H188" s="602"/>
      <c r="I188" s="626"/>
      <c r="J188" s="318" t="s">
        <v>521</v>
      </c>
      <c r="K188" s="420">
        <v>0</v>
      </c>
      <c r="L188" s="698">
        <f>136*192.08</f>
        <v>26122.880000000001</v>
      </c>
      <c r="M188" s="231">
        <v>0.1429</v>
      </c>
      <c r="N188" s="235">
        <v>1</v>
      </c>
      <c r="O188" s="507">
        <f>K188*L188*M188*N188</f>
        <v>0</v>
      </c>
      <c r="P188" s="235">
        <v>169122.61109699999</v>
      </c>
      <c r="Q188" s="628">
        <f>P188*$O188</f>
        <v>0</v>
      </c>
      <c r="R188" s="373">
        <v>179635.86432000002</v>
      </c>
      <c r="S188" s="628">
        <f>R188*$O188</f>
        <v>0</v>
      </c>
      <c r="T188" s="373">
        <v>197599.45075200003</v>
      </c>
      <c r="U188" s="629">
        <f>$O188*T188</f>
        <v>0</v>
      </c>
      <c r="V188" s="373" t="e">
        <f>W188/O188</f>
        <v>#DIV/0!</v>
      </c>
      <c r="W188" s="241">
        <f>AVERAGEIF($P$3:$U$3,W$3,$P188:$U188)</f>
        <v>0</v>
      </c>
      <c r="X188" s="602"/>
      <c r="Y188" s="807">
        <f t="shared" ref="Y188:Y191" si="43">Q188/192.08</f>
        <v>0</v>
      </c>
      <c r="Z188" s="374"/>
    </row>
    <row r="189" spans="1:28" hidden="1" x14ac:dyDescent="0.35">
      <c r="B189" s="644"/>
      <c r="E189" s="645"/>
      <c r="F189" s="374" t="s">
        <v>389</v>
      </c>
      <c r="G189" s="625" t="s">
        <v>388</v>
      </c>
      <c r="H189" s="602"/>
      <c r="I189" s="626"/>
      <c r="J189" s="318" t="s">
        <v>521</v>
      </c>
      <c r="K189" s="420">
        <v>0</v>
      </c>
      <c r="L189" s="698">
        <f>136*192.08</f>
        <v>26122.880000000001</v>
      </c>
      <c r="M189" s="231">
        <v>1</v>
      </c>
      <c r="N189" s="235">
        <v>1</v>
      </c>
      <c r="O189" s="507">
        <f>K189*L189*M189*N189</f>
        <v>0</v>
      </c>
      <c r="P189" s="235">
        <f>48538.5402535298*110%</f>
        <v>53392.394278882784</v>
      </c>
      <c r="Q189" s="628">
        <f>P189*$O189</f>
        <v>0</v>
      </c>
      <c r="R189" s="373">
        <v>0</v>
      </c>
      <c r="S189" s="628">
        <f>R189*$O189</f>
        <v>0</v>
      </c>
      <c r="T189" s="373">
        <v>0</v>
      </c>
      <c r="U189" s="629">
        <f>$O189*T189</f>
        <v>0</v>
      </c>
      <c r="V189" s="373" t="e">
        <f>W189/O189</f>
        <v>#DIV/0!</v>
      </c>
      <c r="W189" s="241">
        <f>AVERAGEIF($P$3:$U$3,W$3,$P189:$U189)</f>
        <v>0</v>
      </c>
      <c r="X189" s="602"/>
      <c r="Y189" s="807">
        <f t="shared" si="43"/>
        <v>0</v>
      </c>
      <c r="Z189" s="374"/>
    </row>
    <row r="190" spans="1:28" hidden="1" x14ac:dyDescent="0.35">
      <c r="B190" s="644"/>
      <c r="E190" s="645"/>
      <c r="F190" s="374" t="s">
        <v>322</v>
      </c>
      <c r="G190" s="625" t="s">
        <v>191</v>
      </c>
      <c r="H190" s="602"/>
      <c r="I190" s="626"/>
      <c r="J190" s="318" t="s">
        <v>521</v>
      </c>
      <c r="K190" s="420">
        <v>0</v>
      </c>
      <c r="L190" s="698">
        <f>136*192.08</f>
        <v>26122.880000000001</v>
      </c>
      <c r="M190" s="231">
        <v>0.5</v>
      </c>
      <c r="N190" s="235">
        <v>1</v>
      </c>
      <c r="O190" s="507">
        <f>K190*L190*M190*N190</f>
        <v>0</v>
      </c>
      <c r="P190" s="235">
        <v>2662.5374999999999</v>
      </c>
      <c r="Q190" s="628">
        <f>P190*$O190</f>
        <v>0</v>
      </c>
      <c r="R190" s="373">
        <v>3061.3</v>
      </c>
      <c r="S190" s="628">
        <f>R190*$O190</f>
        <v>0</v>
      </c>
      <c r="T190" s="373">
        <v>3367.4300000000003</v>
      </c>
      <c r="U190" s="629">
        <f>$O190*T190</f>
        <v>0</v>
      </c>
      <c r="V190" s="373" t="e">
        <f>W190/O190</f>
        <v>#DIV/0!</v>
      </c>
      <c r="W190" s="241">
        <f>AVERAGEIF($P$3:$U$3,W$3,$P190:$U190)</f>
        <v>0</v>
      </c>
      <c r="X190" s="602"/>
      <c r="Y190" s="807">
        <f t="shared" si="43"/>
        <v>0</v>
      </c>
      <c r="Z190" s="374"/>
    </row>
    <row r="191" spans="1:28" hidden="1" x14ac:dyDescent="0.35">
      <c r="B191" s="644"/>
      <c r="E191" s="645"/>
      <c r="F191" s="374" t="s">
        <v>390</v>
      </c>
      <c r="G191" s="625" t="s">
        <v>388</v>
      </c>
      <c r="H191" s="602"/>
      <c r="I191" s="626"/>
      <c r="J191" s="318" t="s">
        <v>521</v>
      </c>
      <c r="K191" s="420">
        <v>0</v>
      </c>
      <c r="L191" s="698">
        <f>136*192.08</f>
        <v>26122.880000000001</v>
      </c>
      <c r="M191" s="231">
        <f>M189</f>
        <v>1</v>
      </c>
      <c r="N191" s="235">
        <v>1</v>
      </c>
      <c r="O191" s="507">
        <f>K191*L191*M191*N191</f>
        <v>0</v>
      </c>
      <c r="P191" s="235">
        <v>5209.3125</v>
      </c>
      <c r="Q191" s="628">
        <f>P191*$O191</f>
        <v>0</v>
      </c>
      <c r="R191" s="628"/>
      <c r="S191" s="628"/>
      <c r="T191" s="629"/>
      <c r="U191" s="629"/>
      <c r="V191" s="629"/>
      <c r="W191" s="629"/>
      <c r="X191" s="602"/>
      <c r="Y191" s="807">
        <f t="shared" si="43"/>
        <v>0</v>
      </c>
      <c r="Z191" s="374"/>
    </row>
    <row r="192" spans="1:28" hidden="1" x14ac:dyDescent="0.35">
      <c r="B192" s="644"/>
      <c r="D192" s="623"/>
      <c r="E192" s="624"/>
      <c r="F192" s="374" t="s">
        <v>365</v>
      </c>
      <c r="G192" s="625" t="s">
        <v>205</v>
      </c>
      <c r="H192" s="602"/>
      <c r="I192" s="626"/>
      <c r="J192" s="625"/>
      <c r="K192" s="596"/>
      <c r="L192" s="496"/>
      <c r="M192" s="377">
        <v>2</v>
      </c>
      <c r="N192" s="372">
        <v>1</v>
      </c>
      <c r="O192" s="602"/>
      <c r="P192" s="628"/>
      <c r="Q192" s="628"/>
      <c r="R192" s="628"/>
      <c r="S192" s="628"/>
      <c r="T192" s="629"/>
      <c r="U192" s="629"/>
      <c r="V192" s="629"/>
      <c r="W192" s="629"/>
      <c r="X192" s="602"/>
      <c r="Y192" s="374"/>
      <c r="Z192" s="374"/>
    </row>
    <row r="193" spans="1:28" customFormat="1" x14ac:dyDescent="0.35">
      <c r="A193" s="94"/>
      <c r="B193" s="630" t="s">
        <v>606</v>
      </c>
      <c r="C193" s="770"/>
      <c r="D193" s="770"/>
      <c r="E193" s="771"/>
      <c r="F193" s="633"/>
      <c r="G193" s="634"/>
      <c r="H193" s="635"/>
      <c r="I193" s="636"/>
      <c r="J193" s="634"/>
      <c r="K193" s="637"/>
      <c r="L193" s="638"/>
      <c r="M193" s="772"/>
      <c r="N193" s="773"/>
      <c r="O193" s="635"/>
      <c r="P193" s="640"/>
      <c r="Q193" s="641">
        <f>SUM(Q188:Q192)</f>
        <v>0</v>
      </c>
      <c r="R193" s="640"/>
      <c r="S193" s="641">
        <f>SUM(S182:S192)</f>
        <v>264060693.05929545</v>
      </c>
      <c r="T193" s="808"/>
      <c r="U193" s="808"/>
      <c r="V193" s="808"/>
      <c r="W193" s="808"/>
      <c r="X193" s="635"/>
      <c r="Y193" s="775">
        <f t="shared" ref="Y193" si="44">Q193/192.08</f>
        <v>0</v>
      </c>
      <c r="Z193" s="642">
        <f>Q193/5127997141.07*100</f>
        <v>0</v>
      </c>
      <c r="AA193" s="94"/>
      <c r="AB193" s="94"/>
    </row>
    <row r="194" spans="1:28" x14ac:dyDescent="0.35">
      <c r="B194" s="644"/>
      <c r="D194" s="286" t="s">
        <v>100</v>
      </c>
      <c r="E194" s="645"/>
      <c r="F194" s="374" t="s">
        <v>187</v>
      </c>
      <c r="G194" s="625" t="s">
        <v>188</v>
      </c>
      <c r="H194" s="602"/>
      <c r="I194" s="626"/>
      <c r="J194" s="625"/>
      <c r="K194" s="596"/>
      <c r="L194" s="496"/>
      <c r="M194" s="377">
        <f>1/15</f>
        <v>6.6666666666666666E-2</v>
      </c>
      <c r="N194" s="372">
        <v>1</v>
      </c>
      <c r="O194" s="602"/>
      <c r="P194" s="628"/>
      <c r="Q194" s="628"/>
      <c r="R194" s="628"/>
      <c r="S194" s="628"/>
      <c r="T194" s="629"/>
      <c r="U194" s="629"/>
      <c r="V194" s="629"/>
      <c r="W194" s="629"/>
      <c r="X194" s="602"/>
      <c r="Y194" s="374"/>
      <c r="Z194" s="374"/>
    </row>
    <row r="195" spans="1:28" hidden="1" x14ac:dyDescent="0.35">
      <c r="B195" s="622"/>
      <c r="C195" s="623"/>
      <c r="D195" s="623"/>
      <c r="E195" s="624"/>
      <c r="F195" s="374" t="s">
        <v>291</v>
      </c>
      <c r="G195" s="625" t="s">
        <v>193</v>
      </c>
      <c r="H195" s="602"/>
      <c r="I195" s="626"/>
      <c r="J195" s="625"/>
      <c r="K195" s="596"/>
      <c r="L195" s="496"/>
      <c r="M195" s="377">
        <f>M194*N194/300</f>
        <v>2.2222222222222221E-4</v>
      </c>
      <c r="N195" s="372">
        <v>1</v>
      </c>
      <c r="O195" s="498"/>
      <c r="P195" s="373"/>
      <c r="Q195" s="628"/>
      <c r="R195" s="373"/>
      <c r="S195" s="628"/>
      <c r="T195" s="629"/>
      <c r="U195" s="629"/>
      <c r="V195" s="629"/>
      <c r="W195" s="629"/>
      <c r="X195" s="602"/>
      <c r="Y195" s="374"/>
      <c r="Z195" s="374"/>
    </row>
    <row r="196" spans="1:28" x14ac:dyDescent="0.35">
      <c r="B196" s="644"/>
      <c r="C196" s="286" t="s">
        <v>99</v>
      </c>
      <c r="E196" s="645"/>
      <c r="F196" s="374" t="s">
        <v>187</v>
      </c>
      <c r="G196" s="625" t="s">
        <v>188</v>
      </c>
      <c r="H196" s="602"/>
      <c r="I196" s="626"/>
      <c r="J196" s="625" t="s">
        <v>189</v>
      </c>
      <c r="K196" s="627">
        <v>1</v>
      </c>
      <c r="L196" s="496">
        <v>192.08</v>
      </c>
      <c r="M196" s="423">
        <v>0.5</v>
      </c>
      <c r="N196" s="372">
        <v>2</v>
      </c>
      <c r="O196" s="498">
        <f>K196*L196*M196*N196</f>
        <v>192.08</v>
      </c>
      <c r="P196" s="235">
        <v>180115.58081830497</v>
      </c>
      <c r="Q196" s="649">
        <f>P196*$O196</f>
        <v>34596600.763580017</v>
      </c>
      <c r="R196" s="372">
        <v>179635.86432000002</v>
      </c>
      <c r="S196" s="649">
        <f>R196*$O196</f>
        <v>34504456.818585604</v>
      </c>
      <c r="T196" s="372">
        <v>197599.45075200003</v>
      </c>
      <c r="U196" s="650">
        <f>$O196*T196</f>
        <v>37954902.500444166</v>
      </c>
      <c r="V196" s="372">
        <f>W196/O196</f>
        <v>185783.63196343501</v>
      </c>
      <c r="W196" s="478">
        <f>AVERAGEIF($P$3:$U$3,W$3,$P196:$U196)</f>
        <v>35685320.027536601</v>
      </c>
      <c r="X196" s="648"/>
      <c r="Y196" s="679">
        <f t="shared" ref="Y196:Y197" si="45">Q196/$C$1</f>
        <v>180115.58081830494</v>
      </c>
      <c r="Z196" s="374"/>
    </row>
    <row r="197" spans="1:28" x14ac:dyDescent="0.35">
      <c r="B197" s="644"/>
      <c r="E197" s="645"/>
      <c r="F197" s="374" t="s">
        <v>525</v>
      </c>
      <c r="G197" s="625" t="s">
        <v>351</v>
      </c>
      <c r="H197" s="602"/>
      <c r="I197" s="626"/>
      <c r="J197" s="625" t="s">
        <v>189</v>
      </c>
      <c r="K197" s="627">
        <v>1</v>
      </c>
      <c r="L197" s="496">
        <v>192.08</v>
      </c>
      <c r="M197" s="373">
        <v>0.01</v>
      </c>
      <c r="N197" s="372">
        <v>2</v>
      </c>
      <c r="O197" s="498">
        <f>K197*L197*M197*N197</f>
        <v>3.8416000000000001</v>
      </c>
      <c r="P197" s="235">
        <v>36769.064062500001</v>
      </c>
      <c r="Q197" s="649">
        <f>P197*$O197</f>
        <v>141252.03650250001</v>
      </c>
      <c r="R197" s="649"/>
      <c r="S197" s="649"/>
      <c r="T197" s="650"/>
      <c r="U197" s="650"/>
      <c r="V197" s="650"/>
      <c r="W197" s="650"/>
      <c r="X197" s="648"/>
      <c r="Y197" s="679">
        <f t="shared" si="45"/>
        <v>735.38128125000003</v>
      </c>
      <c r="Z197" s="374"/>
    </row>
    <row r="198" spans="1:28" customFormat="1" x14ac:dyDescent="0.35">
      <c r="A198" s="94"/>
      <c r="B198" s="630" t="s">
        <v>606</v>
      </c>
      <c r="C198" s="770"/>
      <c r="D198" s="770"/>
      <c r="E198" s="771"/>
      <c r="F198" s="633"/>
      <c r="G198" s="634"/>
      <c r="H198" s="635"/>
      <c r="I198" s="636"/>
      <c r="J198" s="634"/>
      <c r="K198" s="637"/>
      <c r="L198" s="638"/>
      <c r="M198" s="772"/>
      <c r="N198" s="773"/>
      <c r="O198" s="635"/>
      <c r="P198" s="640"/>
      <c r="Q198" s="651">
        <f>SUM(Q196:Q197)</f>
        <v>34737852.80008252</v>
      </c>
      <c r="R198" s="774"/>
      <c r="S198" s="651">
        <f>SUM(S187:S197)</f>
        <v>298565149.87788105</v>
      </c>
      <c r="T198" s="803"/>
      <c r="U198" s="803"/>
      <c r="V198" s="803"/>
      <c r="W198" s="803"/>
      <c r="X198" s="652"/>
      <c r="Y198" s="653">
        <f>Q198/$C$1</f>
        <v>180850.96209955498</v>
      </c>
      <c r="Z198" s="642">
        <f>Q198/$Q$395*100</f>
        <v>0.86674739958140257</v>
      </c>
      <c r="AA198" s="94"/>
      <c r="AB198" s="94"/>
    </row>
    <row r="199" spans="1:28" customFormat="1" x14ac:dyDescent="0.35">
      <c r="A199" s="94"/>
      <c r="B199" s="693" t="s">
        <v>527</v>
      </c>
      <c r="C199" s="776"/>
      <c r="D199" s="776"/>
      <c r="E199" s="777"/>
      <c r="F199" s="516"/>
      <c r="G199" s="613"/>
      <c r="H199" s="614"/>
      <c r="I199" s="615"/>
      <c r="J199" s="613"/>
      <c r="K199" s="616"/>
      <c r="L199" s="617"/>
      <c r="M199" s="527"/>
      <c r="N199" s="766"/>
      <c r="O199" s="614"/>
      <c r="P199" s="618"/>
      <c r="Q199" s="696">
        <f>Q180+Q186+Q193+Q198</f>
        <v>138811494.31854552</v>
      </c>
      <c r="R199" s="778"/>
      <c r="S199" s="696">
        <f>SUM(S188:S198)</f>
        <v>597130299.7557621</v>
      </c>
      <c r="T199" s="673"/>
      <c r="U199" s="673"/>
      <c r="V199" s="673"/>
      <c r="W199" s="673"/>
      <c r="X199" s="674"/>
      <c r="Y199" s="413">
        <f>Q199/$C$1</f>
        <v>722675.41815152811</v>
      </c>
      <c r="Z199" s="414">
        <f>Q199/$Q$395*100</f>
        <v>3.4634985191808445</v>
      </c>
      <c r="AA199" s="94"/>
      <c r="AB199" s="94"/>
    </row>
    <row r="200" spans="1:28" x14ac:dyDescent="0.35">
      <c r="B200" s="677" t="s">
        <v>528</v>
      </c>
      <c r="C200" s="626"/>
      <c r="D200" s="626"/>
      <c r="E200" s="678"/>
      <c r="F200" s="374"/>
      <c r="G200" s="625"/>
      <c r="H200" s="602"/>
      <c r="I200" s="626"/>
      <c r="J200" s="625"/>
      <c r="K200" s="596"/>
      <c r="L200" s="496"/>
      <c r="M200" s="377"/>
      <c r="N200" s="372"/>
      <c r="O200" s="602"/>
      <c r="P200" s="628"/>
      <c r="Q200" s="628"/>
      <c r="R200" s="628"/>
      <c r="S200" s="628"/>
      <c r="T200" s="629"/>
      <c r="U200" s="629"/>
      <c r="V200" s="629"/>
      <c r="W200" s="629"/>
      <c r="X200" s="602"/>
      <c r="Y200" s="374"/>
      <c r="Z200" s="374"/>
    </row>
    <row r="201" spans="1:28" x14ac:dyDescent="0.35">
      <c r="B201" s="677"/>
      <c r="C201" s="626" t="s">
        <v>295</v>
      </c>
      <c r="D201" s="626"/>
      <c r="E201" s="678"/>
      <c r="F201" s="374"/>
      <c r="G201" s="625"/>
      <c r="H201" s="602"/>
      <c r="I201" s="626"/>
      <c r="J201" s="625"/>
      <c r="K201" s="596"/>
      <c r="L201" s="496"/>
      <c r="M201" s="377"/>
      <c r="N201" s="372"/>
      <c r="O201" s="602"/>
      <c r="P201" s="628"/>
      <c r="Q201" s="628"/>
      <c r="R201" s="628"/>
      <c r="S201" s="628"/>
      <c r="T201" s="629"/>
      <c r="U201" s="629"/>
      <c r="V201" s="629"/>
      <c r="W201" s="629"/>
      <c r="X201" s="602"/>
      <c r="Y201" s="374"/>
      <c r="Z201" s="374"/>
    </row>
    <row r="202" spans="1:28" x14ac:dyDescent="0.35">
      <c r="B202" s="644"/>
      <c r="D202" s="286" t="s">
        <v>102</v>
      </c>
      <c r="E202" s="645"/>
      <c r="F202" s="232" t="s">
        <v>187</v>
      </c>
      <c r="G202" s="318" t="s">
        <v>188</v>
      </c>
      <c r="H202" s="319"/>
      <c r="I202" s="320"/>
      <c r="J202" s="318"/>
      <c r="K202" s="420">
        <v>0.25</v>
      </c>
      <c r="L202" s="506">
        <v>192.08</v>
      </c>
      <c r="M202" s="240">
        <v>0.5</v>
      </c>
      <c r="N202" s="235">
        <v>1</v>
      </c>
      <c r="O202" s="507">
        <f t="shared" ref="O202:O208" si="46">K202*L202*M202*N202</f>
        <v>24.01</v>
      </c>
      <c r="P202" s="235">
        <v>180115.58081830497</v>
      </c>
      <c r="Q202" s="649">
        <f t="shared" ref="Q202:Q207" si="47">P202*$O202</f>
        <v>4324575.0954475021</v>
      </c>
      <c r="R202" s="649"/>
      <c r="S202" s="649"/>
      <c r="T202" s="650"/>
      <c r="U202" s="650"/>
      <c r="V202" s="650"/>
      <c r="W202" s="650"/>
      <c r="X202" s="648"/>
      <c r="Y202" s="679">
        <f>Q202/$C$1</f>
        <v>22514.447602288117</v>
      </c>
      <c r="Z202" s="374"/>
    </row>
    <row r="203" spans="1:28" x14ac:dyDescent="0.35">
      <c r="B203" s="644"/>
      <c r="E203" s="645"/>
      <c r="F203" s="232" t="s">
        <v>529</v>
      </c>
      <c r="G203" s="318" t="s">
        <v>334</v>
      </c>
      <c r="H203" s="319"/>
      <c r="I203" s="320"/>
      <c r="J203" s="318"/>
      <c r="K203" s="420">
        <v>0.25</v>
      </c>
      <c r="L203" s="506"/>
      <c r="M203" s="231"/>
      <c r="N203" s="235"/>
      <c r="O203" s="507">
        <f t="shared" si="46"/>
        <v>0</v>
      </c>
      <c r="P203" s="235">
        <v>0</v>
      </c>
      <c r="Q203" s="649">
        <f t="shared" si="47"/>
        <v>0</v>
      </c>
      <c r="R203" s="649"/>
      <c r="S203" s="649"/>
      <c r="T203" s="650"/>
      <c r="U203" s="650"/>
      <c r="V203" s="650"/>
      <c r="W203" s="650"/>
      <c r="X203" s="648"/>
      <c r="Y203" s="679">
        <f t="shared" ref="Y203:Y248" si="48">Q203/192.08</f>
        <v>0</v>
      </c>
      <c r="Z203" s="374"/>
    </row>
    <row r="204" spans="1:28" x14ac:dyDescent="0.35">
      <c r="B204" s="644"/>
      <c r="E204" s="645"/>
      <c r="F204" s="232" t="s">
        <v>530</v>
      </c>
      <c r="G204" s="318" t="s">
        <v>334</v>
      </c>
      <c r="H204" s="319"/>
      <c r="I204" s="320"/>
      <c r="J204" s="318"/>
      <c r="K204" s="420">
        <v>0.25</v>
      </c>
      <c r="L204" s="506">
        <v>2188</v>
      </c>
      <c r="M204" s="233">
        <f>1350/1000</f>
        <v>1.35</v>
      </c>
      <c r="N204" s="235">
        <v>1</v>
      </c>
      <c r="O204" s="507">
        <f t="shared" si="46"/>
        <v>738.45</v>
      </c>
      <c r="P204" s="235">
        <v>128392.18875000002</v>
      </c>
      <c r="Q204" s="649">
        <f t="shared" si="47"/>
        <v>94811211.782437518</v>
      </c>
      <c r="R204" s="649"/>
      <c r="S204" s="649"/>
      <c r="T204" s="650"/>
      <c r="U204" s="650"/>
      <c r="V204" s="650"/>
      <c r="W204" s="650"/>
      <c r="X204" s="648"/>
      <c r="Y204" s="679">
        <f t="shared" ref="Y204:Y208" si="49">Q204/$C$1</f>
        <v>493602.72689732147</v>
      </c>
      <c r="Z204" s="374"/>
    </row>
    <row r="205" spans="1:28" x14ac:dyDescent="0.35">
      <c r="B205" s="644"/>
      <c r="E205" s="645"/>
      <c r="F205" s="232" t="s">
        <v>215</v>
      </c>
      <c r="G205" s="318" t="s">
        <v>205</v>
      </c>
      <c r="H205" s="319"/>
      <c r="I205" s="320"/>
      <c r="J205" s="318"/>
      <c r="K205" s="420">
        <v>0.25</v>
      </c>
      <c r="L205" s="506">
        <v>2188</v>
      </c>
      <c r="M205" s="366">
        <v>2.8000000000000001E-2</v>
      </c>
      <c r="N205" s="235">
        <v>1</v>
      </c>
      <c r="O205" s="507">
        <f t="shared" si="46"/>
        <v>15.316000000000001</v>
      </c>
      <c r="P205" s="235">
        <v>852474.70050243323</v>
      </c>
      <c r="Q205" s="649">
        <f t="shared" si="47"/>
        <v>13056502.512895267</v>
      </c>
      <c r="R205" s="649"/>
      <c r="S205" s="649"/>
      <c r="T205" s="650"/>
      <c r="U205" s="650"/>
      <c r="V205" s="650"/>
      <c r="W205" s="650"/>
      <c r="X205" s="648"/>
      <c r="Y205" s="679">
        <f t="shared" si="49"/>
        <v>67974.294631899553</v>
      </c>
      <c r="Z205" s="374"/>
    </row>
    <row r="206" spans="1:28" x14ac:dyDescent="0.35">
      <c r="B206" s="644"/>
      <c r="E206" s="645"/>
      <c r="F206" s="232" t="s">
        <v>531</v>
      </c>
      <c r="G206" s="318" t="s">
        <v>205</v>
      </c>
      <c r="H206" s="319"/>
      <c r="I206" s="320"/>
      <c r="J206" s="318"/>
      <c r="K206" s="420">
        <v>0.25</v>
      </c>
      <c r="L206" s="506">
        <v>2188</v>
      </c>
      <c r="M206" s="233">
        <f>10/1000</f>
        <v>0.01</v>
      </c>
      <c r="N206" s="235">
        <v>1</v>
      </c>
      <c r="O206" s="507">
        <f t="shared" si="46"/>
        <v>5.47</v>
      </c>
      <c r="P206" s="235">
        <v>769238.4293293847</v>
      </c>
      <c r="Q206" s="649">
        <f t="shared" si="47"/>
        <v>4207734.2084317338</v>
      </c>
      <c r="R206" s="649"/>
      <c r="S206" s="649"/>
      <c r="T206" s="650"/>
      <c r="U206" s="650"/>
      <c r="V206" s="650"/>
      <c r="W206" s="650"/>
      <c r="X206" s="648"/>
      <c r="Y206" s="679">
        <f t="shared" si="49"/>
        <v>21906.154771093989</v>
      </c>
      <c r="Z206" s="374"/>
    </row>
    <row r="207" spans="1:28" x14ac:dyDescent="0.35">
      <c r="B207" s="644"/>
      <c r="D207" s="623"/>
      <c r="E207" s="624"/>
      <c r="F207" s="232" t="s">
        <v>255</v>
      </c>
      <c r="G207" s="318" t="s">
        <v>205</v>
      </c>
      <c r="H207" s="319"/>
      <c r="I207" s="320"/>
      <c r="J207" s="318"/>
      <c r="K207" s="420">
        <v>0.25</v>
      </c>
      <c r="L207" s="506">
        <v>2188</v>
      </c>
      <c r="M207" s="233">
        <f>10/1000</f>
        <v>0.01</v>
      </c>
      <c r="N207" s="235">
        <v>1</v>
      </c>
      <c r="O207" s="507">
        <f t="shared" si="46"/>
        <v>5.47</v>
      </c>
      <c r="P207" s="235">
        <v>830533.49837412941</v>
      </c>
      <c r="Q207" s="649">
        <f t="shared" si="47"/>
        <v>4543018.2361064879</v>
      </c>
      <c r="R207" s="649"/>
      <c r="S207" s="649"/>
      <c r="T207" s="650"/>
      <c r="U207" s="650"/>
      <c r="V207" s="650"/>
      <c r="W207" s="650"/>
      <c r="X207" s="648"/>
      <c r="Y207" s="679">
        <f t="shared" si="49"/>
        <v>23651.698438705163</v>
      </c>
      <c r="Z207" s="374"/>
    </row>
    <row r="208" spans="1:28" x14ac:dyDescent="0.35">
      <c r="B208" s="644"/>
      <c r="D208" s="286" t="s">
        <v>105</v>
      </c>
      <c r="E208" s="645"/>
      <c r="F208" s="232" t="s">
        <v>187</v>
      </c>
      <c r="G208" s="318" t="s">
        <v>188</v>
      </c>
      <c r="H208" s="319"/>
      <c r="I208" s="320"/>
      <c r="J208" s="318" t="s">
        <v>279</v>
      </c>
      <c r="K208" s="420">
        <v>0.25</v>
      </c>
      <c r="L208" s="506">
        <v>192.08</v>
      </c>
      <c r="M208" s="240">
        <v>0.5</v>
      </c>
      <c r="N208" s="235">
        <v>1</v>
      </c>
      <c r="O208" s="507">
        <f t="shared" si="46"/>
        <v>24.01</v>
      </c>
      <c r="P208" s="235">
        <v>180115.58081830497</v>
      </c>
      <c r="Q208" s="646">
        <f>P208*$O208</f>
        <v>4324575.0954475021</v>
      </c>
      <c r="R208" s="372">
        <v>179635.86432000002</v>
      </c>
      <c r="S208" s="649">
        <f>R208*$O208</f>
        <v>4313057.1023232006</v>
      </c>
      <c r="T208" s="372">
        <v>197599.45075200003</v>
      </c>
      <c r="U208" s="650">
        <f>$O208*T208</f>
        <v>4744362.8125555208</v>
      </c>
      <c r="V208" s="372">
        <f>W208/O208</f>
        <v>185783.63196343501</v>
      </c>
      <c r="W208" s="478">
        <f>AVERAGEIF($P$3:$U$3,W$3,$P208:$U208)</f>
        <v>4460665.0034420751</v>
      </c>
      <c r="X208" s="648"/>
      <c r="Y208" s="679">
        <f t="shared" si="49"/>
        <v>22514.447602288117</v>
      </c>
      <c r="Z208" s="374"/>
    </row>
    <row r="209" spans="2:26" x14ac:dyDescent="0.35">
      <c r="B209" s="644"/>
      <c r="E209" s="645"/>
      <c r="F209" s="232" t="s">
        <v>529</v>
      </c>
      <c r="G209" s="318" t="s">
        <v>334</v>
      </c>
      <c r="H209" s="319"/>
      <c r="I209" s="320"/>
      <c r="J209" s="318"/>
      <c r="K209" s="501"/>
      <c r="L209" s="506"/>
      <c r="M209" s="231"/>
      <c r="N209" s="235"/>
      <c r="O209" s="319"/>
      <c r="P209" s="492"/>
      <c r="Q209" s="646"/>
      <c r="R209" s="649"/>
      <c r="S209" s="649"/>
      <c r="T209" s="650"/>
      <c r="U209" s="650"/>
      <c r="V209" s="650"/>
      <c r="W209" s="650"/>
      <c r="X209" s="648"/>
      <c r="Y209" s="679">
        <f t="shared" si="48"/>
        <v>0</v>
      </c>
      <c r="Z209" s="374"/>
    </row>
    <row r="210" spans="2:26" x14ac:dyDescent="0.35">
      <c r="B210" s="644"/>
      <c r="E210" s="645"/>
      <c r="F210" s="232" t="s">
        <v>530</v>
      </c>
      <c r="G210" s="318" t="s">
        <v>334</v>
      </c>
      <c r="H210" s="319"/>
      <c r="I210" s="320"/>
      <c r="J210" s="318" t="s">
        <v>279</v>
      </c>
      <c r="K210" s="627">
        <v>0.25</v>
      </c>
      <c r="L210" s="506">
        <v>4007</v>
      </c>
      <c r="M210" s="233">
        <f>1050/1000</f>
        <v>1.05</v>
      </c>
      <c r="N210" s="235">
        <v>1</v>
      </c>
      <c r="O210" s="507">
        <f>K210*L210*M210*N210</f>
        <v>1051.8375000000001</v>
      </c>
      <c r="P210" s="235">
        <v>128392.18875000002</v>
      </c>
      <c r="Q210" s="646">
        <f>P210*$O210</f>
        <v>135047718.83432814</v>
      </c>
      <c r="R210" s="372">
        <v>147195.29000000004</v>
      </c>
      <c r="S210" s="649">
        <f>R210*$O210</f>
        <v>154825525.84537506</v>
      </c>
      <c r="T210" s="372">
        <v>161914.81900000005</v>
      </c>
      <c r="U210" s="650">
        <f>$O210*T210</f>
        <v>170308078.42991257</v>
      </c>
      <c r="V210" s="372">
        <f>W210/O210</f>
        <v>145834.09925000006</v>
      </c>
      <c r="W210" s="478">
        <f>AVERAGEIF($P$3:$U$3,W$3,$P210:$U210)</f>
        <v>153393774.36987194</v>
      </c>
      <c r="X210" s="648"/>
      <c r="Y210" s="679">
        <f t="shared" ref="Y210:Y214" si="50">Q210/$C$1</f>
        <v>703080.58535156259</v>
      </c>
      <c r="Z210" s="374"/>
    </row>
    <row r="211" spans="2:26" x14ac:dyDescent="0.35">
      <c r="B211" s="644"/>
      <c r="E211" s="645"/>
      <c r="F211" s="232" t="s">
        <v>215</v>
      </c>
      <c r="G211" s="318" t="s">
        <v>205</v>
      </c>
      <c r="H211" s="319"/>
      <c r="I211" s="320"/>
      <c r="J211" s="318"/>
      <c r="K211" s="627">
        <v>0.25</v>
      </c>
      <c r="L211" s="506">
        <v>4007</v>
      </c>
      <c r="M211" s="366">
        <v>2.8000000000000001E-2</v>
      </c>
      <c r="N211" s="235">
        <v>1</v>
      </c>
      <c r="O211" s="507">
        <f>K211*L211*M211*N211</f>
        <v>28.048999999999999</v>
      </c>
      <c r="P211" s="235">
        <v>852474.70050243323</v>
      </c>
      <c r="Q211" s="646">
        <f>P211*$O211</f>
        <v>23911062.874392748</v>
      </c>
      <c r="R211" s="649"/>
      <c r="S211" s="649"/>
      <c r="T211" s="650"/>
      <c r="U211" s="650"/>
      <c r="V211" s="650"/>
      <c r="W211" s="650"/>
      <c r="X211" s="648"/>
      <c r="Y211" s="679">
        <f t="shared" si="50"/>
        <v>124484.91708867527</v>
      </c>
      <c r="Z211" s="374"/>
    </row>
    <row r="212" spans="2:26" x14ac:dyDescent="0.35">
      <c r="B212" s="644"/>
      <c r="E212" s="645"/>
      <c r="F212" s="232" t="s">
        <v>531</v>
      </c>
      <c r="G212" s="318" t="s">
        <v>205</v>
      </c>
      <c r="H212" s="319"/>
      <c r="I212" s="320"/>
      <c r="J212" s="318" t="s">
        <v>279</v>
      </c>
      <c r="K212" s="627">
        <v>0.25</v>
      </c>
      <c r="L212" s="506">
        <v>4007</v>
      </c>
      <c r="M212" s="366">
        <f>8/1000</f>
        <v>8.0000000000000002E-3</v>
      </c>
      <c r="N212" s="235">
        <v>1</v>
      </c>
      <c r="O212" s="507">
        <f>K212*L212*M212*N212</f>
        <v>8.0139999999999993</v>
      </c>
      <c r="P212" s="235">
        <v>769238.4293293847</v>
      </c>
      <c r="Q212" s="646">
        <f>P212*$O212</f>
        <v>6164676.7726456886</v>
      </c>
      <c r="R212" s="372">
        <v>601028.333568</v>
      </c>
      <c r="S212" s="649">
        <f>R212*$O212</f>
        <v>4816641.0652139513</v>
      </c>
      <c r="T212" s="372">
        <v>625069.46691071999</v>
      </c>
      <c r="U212" s="650">
        <f>$O212*T212</f>
        <v>5009306.7078225091</v>
      </c>
      <c r="V212" s="372">
        <f>W212/O212</f>
        <v>665112.07660270156</v>
      </c>
      <c r="W212" s="478">
        <f>AVERAGEIF($P$3:$U$3,W$3,$P212:$U212)</f>
        <v>5330208.18189405</v>
      </c>
      <c r="X212" s="648"/>
      <c r="Y212" s="679">
        <f t="shared" si="50"/>
        <v>32094.318891324907</v>
      </c>
      <c r="Z212" s="374"/>
    </row>
    <row r="213" spans="2:26" x14ac:dyDescent="0.35">
      <c r="B213" s="644"/>
      <c r="D213" s="623"/>
      <c r="E213" s="624"/>
      <c r="F213" s="232" t="s">
        <v>255</v>
      </c>
      <c r="G213" s="318" t="s">
        <v>205</v>
      </c>
      <c r="H213" s="319"/>
      <c r="I213" s="320"/>
      <c r="J213" s="318" t="s">
        <v>279</v>
      </c>
      <c r="K213" s="627">
        <v>0.25</v>
      </c>
      <c r="L213" s="506">
        <v>4007</v>
      </c>
      <c r="M213" s="366">
        <f>8/1000</f>
        <v>8.0000000000000002E-3</v>
      </c>
      <c r="N213" s="235">
        <v>1</v>
      </c>
      <c r="O213" s="507">
        <f>K213*L213*M213*N213</f>
        <v>8.0139999999999993</v>
      </c>
      <c r="P213" s="235">
        <v>830533.49837412941</v>
      </c>
      <c r="Q213" s="646">
        <f>P213*$O213</f>
        <v>6655895.4559702724</v>
      </c>
      <c r="R213" s="372">
        <v>698167.08915200003</v>
      </c>
      <c r="S213" s="649">
        <f>R213*$O213</f>
        <v>5595111.0524641275</v>
      </c>
      <c r="T213" s="372">
        <v>726093.77271808009</v>
      </c>
      <c r="U213" s="650">
        <f>$O213*T213</f>
        <v>5818915.4945626929</v>
      </c>
      <c r="V213" s="372">
        <f>W213/O213</f>
        <v>751598.12008140318</v>
      </c>
      <c r="W213" s="478">
        <f>AVERAGEIF($P$3:$U$3,W$3,$P213:$U213)</f>
        <v>6023307.3343323646</v>
      </c>
      <c r="X213" s="648"/>
      <c r="Y213" s="679">
        <f t="shared" si="50"/>
        <v>34651.683964859811</v>
      </c>
      <c r="Z213" s="374"/>
    </row>
    <row r="214" spans="2:26" x14ac:dyDescent="0.35">
      <c r="B214" s="644"/>
      <c r="D214" s="286" t="s">
        <v>106</v>
      </c>
      <c r="E214" s="645"/>
      <c r="F214" s="232" t="s">
        <v>187</v>
      </c>
      <c r="G214" s="318" t="s">
        <v>188</v>
      </c>
      <c r="H214" s="319"/>
      <c r="I214" s="320"/>
      <c r="J214" s="318" t="s">
        <v>279</v>
      </c>
      <c r="K214" s="627">
        <v>0.25</v>
      </c>
      <c r="L214" s="506">
        <v>192.08</v>
      </c>
      <c r="M214" s="240">
        <v>0.5</v>
      </c>
      <c r="N214" s="235">
        <v>1</v>
      </c>
      <c r="O214" s="507">
        <f>K214*L214*M214*N214</f>
        <v>24.01</v>
      </c>
      <c r="P214" s="235">
        <v>180115.58081830497</v>
      </c>
      <c r="Q214" s="646">
        <f>P214*$O214</f>
        <v>4324575.0954475021</v>
      </c>
      <c r="R214" s="372">
        <v>179635.86432000002</v>
      </c>
      <c r="S214" s="649">
        <f>R214*$O214</f>
        <v>4313057.1023232006</v>
      </c>
      <c r="T214" s="372">
        <v>197599.45075200003</v>
      </c>
      <c r="U214" s="650">
        <f>$O214*T214</f>
        <v>4744362.8125555208</v>
      </c>
      <c r="V214" s="372">
        <f>W214/O214</f>
        <v>185783.63196343501</v>
      </c>
      <c r="W214" s="478">
        <f>AVERAGEIF($P$3:$U$3,W$3,$P214:$U214)</f>
        <v>4460665.0034420751</v>
      </c>
      <c r="X214" s="648"/>
      <c r="Y214" s="679">
        <f t="shared" si="50"/>
        <v>22514.447602288117</v>
      </c>
      <c r="Z214" s="374"/>
    </row>
    <row r="215" spans="2:26" x14ac:dyDescent="0.35">
      <c r="B215" s="644"/>
      <c r="E215" s="645"/>
      <c r="F215" s="232" t="s">
        <v>529</v>
      </c>
      <c r="G215" s="318" t="s">
        <v>334</v>
      </c>
      <c r="H215" s="319"/>
      <c r="I215" s="320"/>
      <c r="J215" s="318"/>
      <c r="K215" s="596"/>
      <c r="L215" s="506"/>
      <c r="M215" s="231"/>
      <c r="N215" s="235"/>
      <c r="O215" s="319"/>
      <c r="P215" s="492"/>
      <c r="Q215" s="646"/>
      <c r="R215" s="649"/>
      <c r="S215" s="649"/>
      <c r="T215" s="650"/>
      <c r="U215" s="650"/>
      <c r="V215" s="650"/>
      <c r="W215" s="650"/>
      <c r="X215" s="648"/>
      <c r="Y215" s="679">
        <f t="shared" si="48"/>
        <v>0</v>
      </c>
      <c r="Z215" s="374"/>
    </row>
    <row r="216" spans="2:26" x14ac:dyDescent="0.35">
      <c r="B216" s="644"/>
      <c r="E216" s="645"/>
      <c r="F216" s="232" t="s">
        <v>530</v>
      </c>
      <c r="G216" s="318" t="s">
        <v>334</v>
      </c>
      <c r="H216" s="319"/>
      <c r="I216" s="320"/>
      <c r="J216" s="318"/>
      <c r="K216" s="627">
        <v>0.25</v>
      </c>
      <c r="L216" s="506">
        <v>131</v>
      </c>
      <c r="M216" s="233">
        <f>1050/1000</f>
        <v>1.05</v>
      </c>
      <c r="N216" s="235">
        <v>1</v>
      </c>
      <c r="O216" s="507">
        <f>K216*L216*M216*N216</f>
        <v>34.387500000000003</v>
      </c>
      <c r="P216" s="235">
        <v>128392.18875000002</v>
      </c>
      <c r="Q216" s="646">
        <f>P216*$O216</f>
        <v>4415086.3906406257</v>
      </c>
      <c r="R216" s="372">
        <v>147195.29000000004</v>
      </c>
      <c r="S216" s="649">
        <f>R216*$O216</f>
        <v>5061678.0348750018</v>
      </c>
      <c r="T216" s="372">
        <v>161914.81900000005</v>
      </c>
      <c r="U216" s="650">
        <f>$O216*T216</f>
        <v>5567845.8383625019</v>
      </c>
      <c r="V216" s="372">
        <f>W216/O216</f>
        <v>145834.09925000003</v>
      </c>
      <c r="W216" s="478">
        <f>AVERAGEIF($P$3:$U$3,W$3,$P216:$U216)</f>
        <v>5014870.0879593762</v>
      </c>
      <c r="X216" s="648"/>
      <c r="Y216" s="679">
        <f t="shared" ref="Y216:Y220" si="51">Q216/$C$1</f>
        <v>22985.664257812503</v>
      </c>
      <c r="Z216" s="374"/>
    </row>
    <row r="217" spans="2:26" x14ac:dyDescent="0.35">
      <c r="B217" s="644"/>
      <c r="E217" s="645"/>
      <c r="F217" s="232" t="s">
        <v>215</v>
      </c>
      <c r="G217" s="318" t="s">
        <v>205</v>
      </c>
      <c r="H217" s="319"/>
      <c r="I217" s="320"/>
      <c r="J217" s="318"/>
      <c r="K217" s="627">
        <v>0.25</v>
      </c>
      <c r="L217" s="506">
        <v>131</v>
      </c>
      <c r="M217" s="366">
        <v>2.8000000000000001E-2</v>
      </c>
      <c r="N217" s="235">
        <v>1</v>
      </c>
      <c r="O217" s="507">
        <f>K217*L217*M217*N217</f>
        <v>0.91700000000000004</v>
      </c>
      <c r="P217" s="235">
        <v>852474.70050243323</v>
      </c>
      <c r="Q217" s="646">
        <f>P217*$O217</f>
        <v>781719.30036073131</v>
      </c>
      <c r="R217" s="649"/>
      <c r="S217" s="649"/>
      <c r="T217" s="650"/>
      <c r="U217" s="650"/>
      <c r="V217" s="650"/>
      <c r="W217" s="650"/>
      <c r="X217" s="648"/>
      <c r="Y217" s="679">
        <f t="shared" si="51"/>
        <v>4069.7589564802752</v>
      </c>
      <c r="Z217" s="374"/>
    </row>
    <row r="218" spans="2:26" x14ac:dyDescent="0.35">
      <c r="B218" s="644"/>
      <c r="E218" s="645"/>
      <c r="F218" s="232" t="s">
        <v>531</v>
      </c>
      <c r="G218" s="318" t="s">
        <v>205</v>
      </c>
      <c r="H218" s="319"/>
      <c r="I218" s="320"/>
      <c r="J218" s="318"/>
      <c r="K218" s="627">
        <v>0.25</v>
      </c>
      <c r="L218" s="506">
        <v>131</v>
      </c>
      <c r="M218" s="366">
        <f>8/1000</f>
        <v>8.0000000000000002E-3</v>
      </c>
      <c r="N218" s="235">
        <v>1</v>
      </c>
      <c r="O218" s="507">
        <f>K218*L218*M218*N218</f>
        <v>0.26200000000000001</v>
      </c>
      <c r="P218" s="235">
        <v>769238.4293293847</v>
      </c>
      <c r="Q218" s="646">
        <f>P218*$O218</f>
        <v>201540.46848429879</v>
      </c>
      <c r="R218" s="372">
        <v>601028.333568</v>
      </c>
      <c r="S218" s="649">
        <f>R218*$O218</f>
        <v>157469.423394816</v>
      </c>
      <c r="T218" s="372">
        <v>625069.46691071999</v>
      </c>
      <c r="U218" s="650">
        <f>$O218*T218</f>
        <v>163768.20033060864</v>
      </c>
      <c r="V218" s="372">
        <f>W218/O218</f>
        <v>665112.07660270156</v>
      </c>
      <c r="W218" s="478">
        <f>AVERAGEIF($P$3:$U$3,W$3,$P218:$U218)</f>
        <v>174259.36406990781</v>
      </c>
      <c r="X218" s="648"/>
      <c r="Y218" s="679">
        <f t="shared" si="51"/>
        <v>1049.2527513759828</v>
      </c>
      <c r="Z218" s="374"/>
    </row>
    <row r="219" spans="2:26" x14ac:dyDescent="0.35">
      <c r="B219" s="644"/>
      <c r="D219" s="623"/>
      <c r="E219" s="624"/>
      <c r="F219" s="232" t="s">
        <v>255</v>
      </c>
      <c r="G219" s="318" t="s">
        <v>205</v>
      </c>
      <c r="H219" s="319"/>
      <c r="I219" s="320"/>
      <c r="J219" s="318"/>
      <c r="K219" s="627">
        <v>0.25</v>
      </c>
      <c r="L219" s="506">
        <v>131</v>
      </c>
      <c r="M219" s="366">
        <f>8/1000</f>
        <v>8.0000000000000002E-3</v>
      </c>
      <c r="N219" s="235">
        <v>1</v>
      </c>
      <c r="O219" s="507">
        <f>K219*L219*M219*N219</f>
        <v>0.26200000000000001</v>
      </c>
      <c r="P219" s="235">
        <v>830533.49837412941</v>
      </c>
      <c r="Q219" s="646">
        <f>P219*$O219</f>
        <v>217599.7765740219</v>
      </c>
      <c r="R219" s="372">
        <v>698167.08915200003</v>
      </c>
      <c r="S219" s="649">
        <f>R219*$O219</f>
        <v>182919.777357824</v>
      </c>
      <c r="T219" s="372">
        <v>726093.77271808009</v>
      </c>
      <c r="U219" s="650">
        <f>$O219*T219</f>
        <v>190236.568452137</v>
      </c>
      <c r="V219" s="372">
        <f>W219/O219</f>
        <v>751598.12008140318</v>
      </c>
      <c r="W219" s="478">
        <f>AVERAGEIF($P$3:$U$3,W$3,$P219:$U219)</f>
        <v>196918.70746132763</v>
      </c>
      <c r="X219" s="648"/>
      <c r="Y219" s="679">
        <f t="shared" si="51"/>
        <v>1132.8601445961156</v>
      </c>
      <c r="Z219" s="374"/>
    </row>
    <row r="220" spans="2:26" x14ac:dyDescent="0.35">
      <c r="B220" s="644"/>
      <c r="D220" s="286" t="s">
        <v>109</v>
      </c>
      <c r="E220" s="645"/>
      <c r="F220" s="232" t="s">
        <v>187</v>
      </c>
      <c r="G220" s="318" t="s">
        <v>188</v>
      </c>
      <c r="H220" s="319"/>
      <c r="I220" s="320"/>
      <c r="J220" s="318"/>
      <c r="K220" s="420">
        <v>0.15</v>
      </c>
      <c r="L220" s="506">
        <v>192.08</v>
      </c>
      <c r="M220" s="240">
        <v>0.5</v>
      </c>
      <c r="N220" s="235">
        <v>1</v>
      </c>
      <c r="O220" s="507">
        <f>K220*L220*M220*N220</f>
        <v>14.406000000000001</v>
      </c>
      <c r="P220" s="235">
        <v>180115.58081830497</v>
      </c>
      <c r="Q220" s="646">
        <f t="shared" ref="Q220:Q225" si="52">P220*$O220</f>
        <v>2594745.0572685013</v>
      </c>
      <c r="R220" s="649"/>
      <c r="S220" s="649"/>
      <c r="T220" s="650"/>
      <c r="U220" s="650"/>
      <c r="V220" s="650"/>
      <c r="W220" s="650"/>
      <c r="X220" s="648"/>
      <c r="Y220" s="679">
        <f t="shared" si="51"/>
        <v>13508.668561372871</v>
      </c>
      <c r="Z220" s="374"/>
    </row>
    <row r="221" spans="2:26" x14ac:dyDescent="0.35">
      <c r="B221" s="644"/>
      <c r="E221" s="645"/>
      <c r="F221" s="232" t="s">
        <v>529</v>
      </c>
      <c r="G221" s="318" t="s">
        <v>334</v>
      </c>
      <c r="H221" s="319"/>
      <c r="I221" s="320"/>
      <c r="J221" s="318"/>
      <c r="K221" s="501"/>
      <c r="L221" s="506"/>
      <c r="M221" s="231"/>
      <c r="N221" s="235"/>
      <c r="O221" s="319"/>
      <c r="P221" s="235">
        <v>0</v>
      </c>
      <c r="Q221" s="646">
        <f t="shared" si="52"/>
        <v>0</v>
      </c>
      <c r="R221" s="649"/>
      <c r="S221" s="649"/>
      <c r="T221" s="650"/>
      <c r="U221" s="650"/>
      <c r="V221" s="650"/>
      <c r="W221" s="650"/>
      <c r="X221" s="648"/>
      <c r="Y221" s="679">
        <f t="shared" si="48"/>
        <v>0</v>
      </c>
      <c r="Z221" s="374"/>
    </row>
    <row r="222" spans="2:26" x14ac:dyDescent="0.35">
      <c r="B222" s="644"/>
      <c r="E222" s="645"/>
      <c r="F222" s="374" t="s">
        <v>530</v>
      </c>
      <c r="G222" s="625" t="s">
        <v>334</v>
      </c>
      <c r="H222" s="602"/>
      <c r="I222" s="626"/>
      <c r="J222" s="625"/>
      <c r="K222" s="627">
        <v>0.15</v>
      </c>
      <c r="L222" s="506">
        <v>6004</v>
      </c>
      <c r="M222" s="233">
        <f>1050/1000</f>
        <v>1.05</v>
      </c>
      <c r="N222" s="235">
        <v>1</v>
      </c>
      <c r="O222" s="507">
        <f t="shared" ref="O222:O230" si="53">K222*L222*M222*N222</f>
        <v>945.63000000000011</v>
      </c>
      <c r="P222" s="235">
        <v>128392.18875000002</v>
      </c>
      <c r="Q222" s="646">
        <f t="shared" si="52"/>
        <v>121411505.44766253</v>
      </c>
      <c r="R222" s="649"/>
      <c r="S222" s="649"/>
      <c r="T222" s="650"/>
      <c r="U222" s="650"/>
      <c r="V222" s="650"/>
      <c r="W222" s="650"/>
      <c r="X222" s="648"/>
      <c r="Y222" s="679">
        <f t="shared" ref="Y222:Y230" si="54">Q222/$C$1</f>
        <v>632088.22078125016</v>
      </c>
      <c r="Z222" s="374"/>
    </row>
    <row r="223" spans="2:26" x14ac:dyDescent="0.35">
      <c r="B223" s="644"/>
      <c r="E223" s="645"/>
      <c r="F223" s="374" t="s">
        <v>215</v>
      </c>
      <c r="G223" s="625" t="s">
        <v>205</v>
      </c>
      <c r="H223" s="602"/>
      <c r="I223" s="626"/>
      <c r="J223" s="625"/>
      <c r="K223" s="627">
        <v>0.15</v>
      </c>
      <c r="L223" s="506">
        <v>6004</v>
      </c>
      <c r="M223" s="366">
        <v>2.8000000000000001E-2</v>
      </c>
      <c r="N223" s="235">
        <v>1</v>
      </c>
      <c r="O223" s="507">
        <f t="shared" si="53"/>
        <v>25.216800000000003</v>
      </c>
      <c r="P223" s="235">
        <v>852474.70050243323</v>
      </c>
      <c r="Q223" s="646">
        <f t="shared" si="52"/>
        <v>21496684.027629759</v>
      </c>
      <c r="R223" s="649"/>
      <c r="S223" s="649"/>
      <c r="T223" s="650"/>
      <c r="U223" s="650"/>
      <c r="V223" s="650"/>
      <c r="W223" s="650"/>
      <c r="X223" s="648"/>
      <c r="Y223" s="679">
        <f t="shared" si="54"/>
        <v>111915.26461698125</v>
      </c>
      <c r="Z223" s="374"/>
    </row>
    <row r="224" spans="2:26" x14ac:dyDescent="0.35">
      <c r="B224" s="644"/>
      <c r="E224" s="645"/>
      <c r="F224" s="374" t="s">
        <v>531</v>
      </c>
      <c r="G224" s="625" t="s">
        <v>205</v>
      </c>
      <c r="H224" s="602"/>
      <c r="I224" s="626"/>
      <c r="J224" s="625"/>
      <c r="K224" s="627">
        <v>0.15</v>
      </c>
      <c r="L224" s="506">
        <v>6004</v>
      </c>
      <c r="M224" s="366">
        <f>8/1000</f>
        <v>8.0000000000000002E-3</v>
      </c>
      <c r="N224" s="235">
        <v>1</v>
      </c>
      <c r="O224" s="507">
        <f t="shared" si="53"/>
        <v>7.2048000000000005</v>
      </c>
      <c r="P224" s="235">
        <v>769238.4293293847</v>
      </c>
      <c r="Q224" s="646">
        <f t="shared" si="52"/>
        <v>5542209.0356323514</v>
      </c>
      <c r="R224" s="649"/>
      <c r="S224" s="649"/>
      <c r="T224" s="650"/>
      <c r="U224" s="650"/>
      <c r="V224" s="650"/>
      <c r="W224" s="650"/>
      <c r="X224" s="648"/>
      <c r="Y224" s="679">
        <f t="shared" si="54"/>
        <v>28853.649706540771</v>
      </c>
      <c r="Z224" s="374"/>
    </row>
    <row r="225" spans="1:28" x14ac:dyDescent="0.35">
      <c r="B225" s="644"/>
      <c r="D225" s="623"/>
      <c r="E225" s="624"/>
      <c r="F225" s="374" t="s">
        <v>255</v>
      </c>
      <c r="G225" s="625" t="s">
        <v>205</v>
      </c>
      <c r="H225" s="602"/>
      <c r="I225" s="626"/>
      <c r="J225" s="625"/>
      <c r="K225" s="627">
        <v>0.15</v>
      </c>
      <c r="L225" s="506">
        <v>6004</v>
      </c>
      <c r="M225" s="366">
        <f>8/1000</f>
        <v>8.0000000000000002E-3</v>
      </c>
      <c r="N225" s="235">
        <v>1</v>
      </c>
      <c r="O225" s="507">
        <f t="shared" si="53"/>
        <v>7.2048000000000005</v>
      </c>
      <c r="P225" s="235">
        <v>830533.49837412941</v>
      </c>
      <c r="Q225" s="646">
        <f t="shared" si="52"/>
        <v>5983827.7490859283</v>
      </c>
      <c r="R225" s="649"/>
      <c r="S225" s="649"/>
      <c r="T225" s="650"/>
      <c r="U225" s="650"/>
      <c r="V225" s="650"/>
      <c r="W225" s="650"/>
      <c r="X225" s="648"/>
      <c r="Y225" s="679">
        <f t="shared" si="54"/>
        <v>31152.78919765685</v>
      </c>
      <c r="Z225" s="374"/>
    </row>
    <row r="226" spans="1:28" x14ac:dyDescent="0.35">
      <c r="B226" s="644"/>
      <c r="D226" s="655" t="s">
        <v>111</v>
      </c>
      <c r="E226" s="702"/>
      <c r="F226" s="232" t="s">
        <v>187</v>
      </c>
      <c r="G226" s="318" t="s">
        <v>188</v>
      </c>
      <c r="H226" s="319"/>
      <c r="I226" s="320"/>
      <c r="J226" s="318"/>
      <c r="K226" s="627">
        <v>0.15</v>
      </c>
      <c r="L226" s="506">
        <v>192.08</v>
      </c>
      <c r="M226" s="240">
        <v>0.5</v>
      </c>
      <c r="N226" s="235">
        <v>1</v>
      </c>
      <c r="O226" s="507">
        <f t="shared" si="53"/>
        <v>14.406000000000001</v>
      </c>
      <c r="P226" s="235">
        <v>180115.58081830497</v>
      </c>
      <c r="Q226" s="649">
        <f>P226*$O226</f>
        <v>2594745.0572685013</v>
      </c>
      <c r="R226" s="372">
        <v>179635.86432000002</v>
      </c>
      <c r="S226" s="649">
        <f>R226*$O226</f>
        <v>2587834.2613939205</v>
      </c>
      <c r="T226" s="372">
        <v>197599.45075200003</v>
      </c>
      <c r="U226" s="650">
        <f>$O226*T226</f>
        <v>2846617.6875333125</v>
      </c>
      <c r="V226" s="372">
        <f>W226/O226</f>
        <v>185783.63196343498</v>
      </c>
      <c r="W226" s="478">
        <f>AVERAGEIF($P$3:$U$3,W$3,$P226:$U226)</f>
        <v>2676399.0020652446</v>
      </c>
      <c r="X226" s="648"/>
      <c r="Y226" s="679">
        <f t="shared" si="54"/>
        <v>13508.668561372871</v>
      </c>
      <c r="Z226" s="374"/>
    </row>
    <row r="227" spans="1:28" x14ac:dyDescent="0.35">
      <c r="B227" s="644"/>
      <c r="E227" s="645"/>
      <c r="F227" s="374" t="s">
        <v>530</v>
      </c>
      <c r="G227" s="625" t="s">
        <v>334</v>
      </c>
      <c r="H227" s="602"/>
      <c r="I227" s="626"/>
      <c r="J227" s="625"/>
      <c r="K227" s="627">
        <v>0.15</v>
      </c>
      <c r="L227" s="506">
        <v>1106</v>
      </c>
      <c r="M227" s="233">
        <f>1050/1000</f>
        <v>1.05</v>
      </c>
      <c r="N227" s="235">
        <v>1</v>
      </c>
      <c r="O227" s="507">
        <f t="shared" si="53"/>
        <v>174.19500000000002</v>
      </c>
      <c r="P227" s="235">
        <v>128392.18875000002</v>
      </c>
      <c r="Q227" s="649">
        <f t="shared" ref="Q227:Q245" si="55">P227*$O227</f>
        <v>22365277.319306254</v>
      </c>
      <c r="R227" s="372"/>
      <c r="S227" s="649"/>
      <c r="T227" s="372"/>
      <c r="U227" s="650"/>
      <c r="V227" s="372"/>
      <c r="W227" s="478"/>
      <c r="X227" s="648"/>
      <c r="Y227" s="679">
        <f t="shared" si="54"/>
        <v>116437.30382812502</v>
      </c>
      <c r="Z227" s="374"/>
    </row>
    <row r="228" spans="1:28" x14ac:dyDescent="0.35">
      <c r="B228" s="644"/>
      <c r="E228" s="645"/>
      <c r="F228" s="374" t="s">
        <v>215</v>
      </c>
      <c r="G228" s="625" t="s">
        <v>205</v>
      </c>
      <c r="H228" s="602"/>
      <c r="I228" s="626"/>
      <c r="J228" s="625"/>
      <c r="K228" s="627">
        <v>0.15</v>
      </c>
      <c r="L228" s="506">
        <v>1106</v>
      </c>
      <c r="M228" s="366">
        <v>2.8000000000000001E-2</v>
      </c>
      <c r="N228" s="235">
        <v>1</v>
      </c>
      <c r="O228" s="507">
        <f t="shared" si="53"/>
        <v>4.6452</v>
      </c>
      <c r="P228" s="235">
        <v>852474.70050243323</v>
      </c>
      <c r="Q228" s="649">
        <f t="shared" si="55"/>
        <v>3959915.4787739026</v>
      </c>
      <c r="R228" s="372"/>
      <c r="S228" s="649"/>
      <c r="T228" s="372"/>
      <c r="U228" s="650"/>
      <c r="V228" s="372"/>
      <c r="W228" s="478"/>
      <c r="X228" s="648"/>
      <c r="Y228" s="679">
        <f t="shared" si="54"/>
        <v>20615.969797864964</v>
      </c>
      <c r="Z228" s="374"/>
    </row>
    <row r="229" spans="1:28" x14ac:dyDescent="0.35">
      <c r="B229" s="644"/>
      <c r="E229" s="645"/>
      <c r="F229" s="374" t="s">
        <v>531</v>
      </c>
      <c r="G229" s="625" t="s">
        <v>205</v>
      </c>
      <c r="H229" s="602"/>
      <c r="I229" s="626"/>
      <c r="J229" s="625"/>
      <c r="K229" s="627">
        <v>0.15</v>
      </c>
      <c r="L229" s="506">
        <v>1106</v>
      </c>
      <c r="M229" s="366">
        <f>8/1000</f>
        <v>8.0000000000000002E-3</v>
      </c>
      <c r="N229" s="235">
        <v>1</v>
      </c>
      <c r="O229" s="507">
        <f t="shared" si="53"/>
        <v>1.3272000000000002</v>
      </c>
      <c r="P229" s="235">
        <v>769238.4293293847</v>
      </c>
      <c r="Q229" s="649">
        <f t="shared" si="55"/>
        <v>1020933.2434059595</v>
      </c>
      <c r="R229" s="372"/>
      <c r="S229" s="649"/>
      <c r="T229" s="372"/>
      <c r="U229" s="650"/>
      <c r="V229" s="372"/>
      <c r="W229" s="478"/>
      <c r="X229" s="648"/>
      <c r="Y229" s="679">
        <f t="shared" si="54"/>
        <v>5315.1459985732999</v>
      </c>
      <c r="Z229" s="374"/>
    </row>
    <row r="230" spans="1:28" x14ac:dyDescent="0.35">
      <c r="B230" s="644"/>
      <c r="E230" s="645"/>
      <c r="F230" s="374" t="s">
        <v>255</v>
      </c>
      <c r="G230" s="625" t="s">
        <v>205</v>
      </c>
      <c r="H230" s="602"/>
      <c r="I230" s="626"/>
      <c r="J230" s="625"/>
      <c r="K230" s="627">
        <v>0.15</v>
      </c>
      <c r="L230" s="506">
        <v>1106</v>
      </c>
      <c r="M230" s="366">
        <f>8/1000</f>
        <v>8.0000000000000002E-3</v>
      </c>
      <c r="N230" s="235">
        <v>1</v>
      </c>
      <c r="O230" s="507">
        <f t="shared" si="53"/>
        <v>1.3272000000000002</v>
      </c>
      <c r="P230" s="235">
        <v>830533.49837412941</v>
      </c>
      <c r="Q230" s="649">
        <f t="shared" si="55"/>
        <v>1102284.0590421448</v>
      </c>
      <c r="R230" s="372"/>
      <c r="S230" s="649"/>
      <c r="T230" s="372"/>
      <c r="U230" s="650"/>
      <c r="V230" s="372"/>
      <c r="W230" s="478"/>
      <c r="X230" s="648"/>
      <c r="Y230" s="679">
        <f t="shared" si="54"/>
        <v>5738.6716943052097</v>
      </c>
      <c r="Z230" s="374"/>
    </row>
    <row r="231" spans="1:28" customFormat="1" x14ac:dyDescent="0.35">
      <c r="A231" s="94"/>
      <c r="B231" s="630" t="s">
        <v>532</v>
      </c>
      <c r="C231" s="770"/>
      <c r="D231" s="770"/>
      <c r="E231" s="771"/>
      <c r="F231" s="633"/>
      <c r="G231" s="634"/>
      <c r="H231" s="635"/>
      <c r="I231" s="636"/>
      <c r="J231" s="634"/>
      <c r="K231" s="637"/>
      <c r="L231" s="638"/>
      <c r="M231" s="772"/>
      <c r="N231" s="773"/>
      <c r="O231" s="635"/>
      <c r="P231" s="640"/>
      <c r="Q231" s="651">
        <f>SUM(Q202:Q230)</f>
        <v>495059618.37468582</v>
      </c>
      <c r="R231" s="774"/>
      <c r="S231" s="651">
        <f>SUM(S220:S230)</f>
        <v>2587834.2613939205</v>
      </c>
      <c r="T231" s="803"/>
      <c r="U231" s="803"/>
      <c r="V231" s="803"/>
      <c r="W231" s="803"/>
      <c r="X231" s="652"/>
      <c r="Y231" s="653">
        <f>Q231/$C$1</f>
        <v>2577361.6116966149</v>
      </c>
      <c r="Z231" s="642">
        <f>Q231/$Q$395*100</f>
        <v>12.352278631999994</v>
      </c>
      <c r="AA231" s="94"/>
      <c r="AB231" s="94"/>
    </row>
    <row r="232" spans="1:28" x14ac:dyDescent="0.35">
      <c r="B232" s="602"/>
      <c r="C232" s="626" t="s">
        <v>533</v>
      </c>
      <c r="D232" s="626"/>
      <c r="E232" s="678"/>
      <c r="F232" s="374"/>
      <c r="G232" s="625"/>
      <c r="H232" s="602"/>
      <c r="I232" s="626"/>
      <c r="J232" s="625"/>
      <c r="K232" s="596"/>
      <c r="L232" s="496"/>
      <c r="M232" s="377"/>
      <c r="N232" s="372"/>
      <c r="O232" s="602"/>
      <c r="P232" s="235"/>
      <c r="Q232" s="628"/>
      <c r="R232" s="628"/>
      <c r="S232" s="628"/>
      <c r="T232" s="629"/>
      <c r="U232" s="629"/>
      <c r="V232" s="629"/>
      <c r="W232" s="629"/>
      <c r="X232" s="602"/>
      <c r="Y232" s="374"/>
      <c r="Z232" s="374"/>
    </row>
    <row r="233" spans="1:28" x14ac:dyDescent="0.35">
      <c r="B233" s="644"/>
      <c r="D233" s="286" t="s">
        <v>113</v>
      </c>
      <c r="E233" s="645"/>
      <c r="F233" s="374" t="s">
        <v>187</v>
      </c>
      <c r="G233" s="625" t="s">
        <v>188</v>
      </c>
      <c r="H233" s="602"/>
      <c r="I233" s="626"/>
      <c r="J233" s="625"/>
      <c r="K233" s="627">
        <v>0.1</v>
      </c>
      <c r="L233" s="496"/>
      <c r="M233" s="372">
        <v>1</v>
      </c>
      <c r="N233" s="372">
        <v>1</v>
      </c>
      <c r="O233" s="507">
        <f t="shared" ref="O233:O245" si="56">K233*L233*M233*N233</f>
        <v>0</v>
      </c>
      <c r="P233" s="235">
        <v>169122.61109699999</v>
      </c>
      <c r="Q233" s="628">
        <f t="shared" si="55"/>
        <v>0</v>
      </c>
      <c r="R233" s="628"/>
      <c r="S233" s="628"/>
      <c r="T233" s="629"/>
      <c r="U233" s="629"/>
      <c r="V233" s="629"/>
      <c r="W233" s="629"/>
      <c r="X233" s="602"/>
      <c r="Y233" s="807">
        <f t="shared" si="48"/>
        <v>0</v>
      </c>
      <c r="Z233" s="374"/>
    </row>
    <row r="234" spans="1:28" x14ac:dyDescent="0.35">
      <c r="B234" s="644"/>
      <c r="E234" s="645"/>
      <c r="F234" s="374" t="s">
        <v>262</v>
      </c>
      <c r="G234" s="625" t="s">
        <v>10</v>
      </c>
      <c r="H234" s="602"/>
      <c r="I234" s="626"/>
      <c r="J234" s="625"/>
      <c r="K234" s="627">
        <v>0.1</v>
      </c>
      <c r="L234" s="496"/>
      <c r="M234" s="372">
        <v>1</v>
      </c>
      <c r="N234" s="372">
        <v>1</v>
      </c>
      <c r="O234" s="507">
        <f t="shared" si="56"/>
        <v>0</v>
      </c>
      <c r="P234" s="235">
        <v>80525500.00000003</v>
      </c>
      <c r="Q234" s="628">
        <f t="shared" si="55"/>
        <v>0</v>
      </c>
      <c r="R234" s="628"/>
      <c r="S234" s="628"/>
      <c r="T234" s="629"/>
      <c r="U234" s="629"/>
      <c r="V234" s="629"/>
      <c r="W234" s="629"/>
      <c r="X234" s="602"/>
      <c r="Y234" s="807">
        <f t="shared" si="48"/>
        <v>0</v>
      </c>
      <c r="Z234" s="374"/>
    </row>
    <row r="235" spans="1:28" x14ac:dyDescent="0.35">
      <c r="B235" s="644"/>
      <c r="E235" s="645"/>
      <c r="F235" s="374" t="s">
        <v>534</v>
      </c>
      <c r="G235" s="625" t="s">
        <v>10</v>
      </c>
      <c r="H235" s="602"/>
      <c r="I235" s="626"/>
      <c r="J235" s="625"/>
      <c r="K235" s="627">
        <v>0.1</v>
      </c>
      <c r="L235" s="496">
        <v>6</v>
      </c>
      <c r="M235" s="748">
        <v>1</v>
      </c>
      <c r="N235" s="372">
        <v>1</v>
      </c>
      <c r="O235" s="507">
        <f t="shared" si="56"/>
        <v>0.60000000000000009</v>
      </c>
      <c r="P235" s="235">
        <f>69877500*110%</f>
        <v>76865250</v>
      </c>
      <c r="Q235" s="649">
        <f t="shared" si="55"/>
        <v>46119150.000000007</v>
      </c>
      <c r="R235" s="649"/>
      <c r="S235" s="649"/>
      <c r="T235" s="650"/>
      <c r="U235" s="650"/>
      <c r="V235" s="650"/>
      <c r="W235" s="650"/>
      <c r="X235" s="648"/>
      <c r="Y235" s="679">
        <f t="shared" ref="Y235:Y241" si="57">Q235/$C$1</f>
        <v>240103.86297376096</v>
      </c>
      <c r="Z235" s="374"/>
    </row>
    <row r="236" spans="1:28" x14ac:dyDescent="0.35">
      <c r="B236" s="644"/>
      <c r="E236" s="645"/>
      <c r="F236" s="374" t="s">
        <v>535</v>
      </c>
      <c r="G236" s="625" t="s">
        <v>10</v>
      </c>
      <c r="H236" s="602"/>
      <c r="I236" s="626"/>
      <c r="J236" s="625"/>
      <c r="K236" s="627">
        <v>0.1</v>
      </c>
      <c r="L236" s="496">
        <v>1</v>
      </c>
      <c r="M236" s="748">
        <v>1</v>
      </c>
      <c r="N236" s="372">
        <v>1</v>
      </c>
      <c r="O236" s="507">
        <f t="shared" si="56"/>
        <v>0.1</v>
      </c>
      <c r="P236" s="235">
        <f>125779500*110%</f>
        <v>138357450</v>
      </c>
      <c r="Q236" s="649">
        <f t="shared" si="55"/>
        <v>13835745</v>
      </c>
      <c r="R236" s="649"/>
      <c r="S236" s="649"/>
      <c r="T236" s="650"/>
      <c r="U236" s="650"/>
      <c r="V236" s="650"/>
      <c r="W236" s="650"/>
      <c r="X236" s="648"/>
      <c r="Y236" s="679">
        <f t="shared" si="57"/>
        <v>72031.158892128282</v>
      </c>
      <c r="Z236" s="374"/>
    </row>
    <row r="237" spans="1:28" x14ac:dyDescent="0.35">
      <c r="B237" s="644"/>
      <c r="E237" s="645"/>
      <c r="F237" s="374" t="s">
        <v>536</v>
      </c>
      <c r="G237" s="625" t="s">
        <v>10</v>
      </c>
      <c r="H237" s="602"/>
      <c r="I237" s="626"/>
      <c r="J237" s="625"/>
      <c r="K237" s="627">
        <v>0.1</v>
      </c>
      <c r="L237" s="496">
        <v>4</v>
      </c>
      <c r="M237" s="748">
        <v>1</v>
      </c>
      <c r="N237" s="372">
        <v>1</v>
      </c>
      <c r="O237" s="507">
        <f t="shared" si="56"/>
        <v>0.4</v>
      </c>
      <c r="P237" s="235">
        <f>125779500*110%</f>
        <v>138357450</v>
      </c>
      <c r="Q237" s="649">
        <f t="shared" si="55"/>
        <v>55342980</v>
      </c>
      <c r="R237" s="649"/>
      <c r="S237" s="649"/>
      <c r="T237" s="650"/>
      <c r="U237" s="650"/>
      <c r="V237" s="650"/>
      <c r="W237" s="650"/>
      <c r="X237" s="648"/>
      <c r="Y237" s="679">
        <f t="shared" si="57"/>
        <v>288124.63556851313</v>
      </c>
      <c r="Z237" s="374"/>
    </row>
    <row r="238" spans="1:28" x14ac:dyDescent="0.35">
      <c r="B238" s="644"/>
      <c r="E238" s="645"/>
      <c r="F238" s="374" t="s">
        <v>537</v>
      </c>
      <c r="G238" s="625" t="s">
        <v>10</v>
      </c>
      <c r="H238" s="602"/>
      <c r="I238" s="626"/>
      <c r="J238" s="625"/>
      <c r="K238" s="627">
        <v>0.1</v>
      </c>
      <c r="L238" s="496">
        <v>4</v>
      </c>
      <c r="M238" s="748">
        <v>1</v>
      </c>
      <c r="N238" s="372">
        <v>1</v>
      </c>
      <c r="O238" s="507">
        <f t="shared" si="56"/>
        <v>0.4</v>
      </c>
      <c r="P238" s="235">
        <f>153730500*110%</f>
        <v>169103550</v>
      </c>
      <c r="Q238" s="649">
        <f t="shared" si="55"/>
        <v>67641420</v>
      </c>
      <c r="R238" s="372" t="e">
        <v>#N/A</v>
      </c>
      <c r="S238" s="649" t="e">
        <f>R238*$O238</f>
        <v>#N/A</v>
      </c>
      <c r="T238" s="372" t="e">
        <v>#N/A</v>
      </c>
      <c r="U238" s="650" t="e">
        <f>$O238*T238</f>
        <v>#N/A</v>
      </c>
      <c r="V238" s="372" t="e">
        <f>W238/O238</f>
        <v>#N/A</v>
      </c>
      <c r="W238" s="478" t="e">
        <f>AVERAGEIF($P$3:$U$3,W$3,$P238:$U238)</f>
        <v>#N/A</v>
      </c>
      <c r="X238" s="648"/>
      <c r="Y238" s="679">
        <f t="shared" si="57"/>
        <v>352152.33236151602</v>
      </c>
      <c r="Z238" s="374"/>
    </row>
    <row r="239" spans="1:28" x14ac:dyDescent="0.35">
      <c r="B239" s="644"/>
      <c r="E239" s="645"/>
      <c r="F239" s="374" t="s">
        <v>538</v>
      </c>
      <c r="G239" s="625" t="s">
        <v>10</v>
      </c>
      <c r="H239" s="602"/>
      <c r="I239" s="626"/>
      <c r="J239" s="625"/>
      <c r="K239" s="627">
        <v>0.1</v>
      </c>
      <c r="L239" s="496">
        <v>1</v>
      </c>
      <c r="M239" s="748">
        <v>1</v>
      </c>
      <c r="N239" s="372">
        <v>1</v>
      </c>
      <c r="O239" s="507">
        <f t="shared" si="56"/>
        <v>0.1</v>
      </c>
      <c r="P239" s="235">
        <f>181681500*110%</f>
        <v>199849650.00000003</v>
      </c>
      <c r="Q239" s="649">
        <f t="shared" si="55"/>
        <v>19984965.000000004</v>
      </c>
      <c r="R239" s="649"/>
      <c r="S239" s="649"/>
      <c r="T239" s="650"/>
      <c r="U239" s="650"/>
      <c r="V239" s="650"/>
      <c r="W239" s="650"/>
      <c r="X239" s="648"/>
      <c r="Y239" s="679">
        <f t="shared" si="57"/>
        <v>104045.00728862976</v>
      </c>
      <c r="Z239" s="374"/>
    </row>
    <row r="240" spans="1:28" x14ac:dyDescent="0.35">
      <c r="B240" s="644"/>
      <c r="E240" s="645"/>
      <c r="F240" s="374" t="s">
        <v>539</v>
      </c>
      <c r="G240" s="625" t="s">
        <v>10</v>
      </c>
      <c r="H240" s="602"/>
      <c r="I240" s="626"/>
      <c r="J240" s="625"/>
      <c r="K240" s="627">
        <v>0.1</v>
      </c>
      <c r="L240" s="496">
        <v>1</v>
      </c>
      <c r="M240" s="748">
        <v>1</v>
      </c>
      <c r="N240" s="372">
        <v>1</v>
      </c>
      <c r="O240" s="507">
        <f t="shared" si="56"/>
        <v>0.1</v>
      </c>
      <c r="P240" s="235">
        <f>56990587.5*110%</f>
        <v>62689646.250000007</v>
      </c>
      <c r="Q240" s="649">
        <f t="shared" si="55"/>
        <v>6268964.6250000009</v>
      </c>
      <c r="R240" s="649"/>
      <c r="S240" s="649"/>
      <c r="T240" s="650"/>
      <c r="U240" s="650"/>
      <c r="V240" s="650"/>
      <c r="W240" s="650"/>
      <c r="X240" s="648"/>
      <c r="Y240" s="679">
        <f t="shared" si="57"/>
        <v>32637.258564139946</v>
      </c>
      <c r="Z240" s="374"/>
    </row>
    <row r="241" spans="2:26" x14ac:dyDescent="0.35">
      <c r="B241" s="644"/>
      <c r="E241" s="645"/>
      <c r="F241" s="374" t="s">
        <v>540</v>
      </c>
      <c r="G241" s="625" t="s">
        <v>10</v>
      </c>
      <c r="H241" s="602"/>
      <c r="I241" s="626"/>
      <c r="J241" s="625"/>
      <c r="K241" s="627">
        <v>0.1</v>
      </c>
      <c r="L241" s="496">
        <v>1</v>
      </c>
      <c r="M241" s="809">
        <v>1</v>
      </c>
      <c r="N241" s="372">
        <v>1</v>
      </c>
      <c r="O241" s="507">
        <f t="shared" si="56"/>
        <v>0.1</v>
      </c>
      <c r="P241" s="235">
        <v>107523504.00000003</v>
      </c>
      <c r="Q241" s="649">
        <f t="shared" si="55"/>
        <v>10752350.400000004</v>
      </c>
      <c r="R241" s="649"/>
      <c r="S241" s="649"/>
      <c r="T241" s="650"/>
      <c r="U241" s="650"/>
      <c r="V241" s="650"/>
      <c r="W241" s="810"/>
      <c r="X241" s="648"/>
      <c r="Y241" s="679">
        <f t="shared" si="57"/>
        <v>55978.50062473971</v>
      </c>
      <c r="Z241" s="374"/>
    </row>
    <row r="242" spans="2:26" x14ac:dyDescent="0.35">
      <c r="B242" s="644"/>
      <c r="E242" s="645"/>
      <c r="F242" s="374" t="s">
        <v>541</v>
      </c>
      <c r="G242" s="625" t="s">
        <v>10</v>
      </c>
      <c r="H242" s="602"/>
      <c r="I242" s="626"/>
      <c r="J242" s="625"/>
      <c r="K242" s="627">
        <v>0.1</v>
      </c>
      <c r="L242" s="496"/>
      <c r="M242" s="809">
        <v>1</v>
      </c>
      <c r="N242" s="372">
        <v>1</v>
      </c>
      <c r="O242" s="507">
        <f t="shared" si="56"/>
        <v>0</v>
      </c>
      <c r="P242" s="235">
        <v>126258660.00000003</v>
      </c>
      <c r="Q242" s="649">
        <f t="shared" si="55"/>
        <v>0</v>
      </c>
      <c r="R242" s="649"/>
      <c r="S242" s="649"/>
      <c r="T242" s="650"/>
      <c r="U242" s="650"/>
      <c r="V242" s="650"/>
      <c r="W242" s="810"/>
      <c r="X242" s="648"/>
      <c r="Y242" s="679">
        <f t="shared" si="48"/>
        <v>0</v>
      </c>
      <c r="Z242" s="374"/>
    </row>
    <row r="243" spans="2:26" x14ac:dyDescent="0.35">
      <c r="B243" s="644"/>
      <c r="E243" s="645"/>
      <c r="F243" s="374" t="s">
        <v>542</v>
      </c>
      <c r="G243" s="625"/>
      <c r="H243" s="602"/>
      <c r="I243" s="626"/>
      <c r="J243" s="625"/>
      <c r="K243" s="627">
        <v>0.1</v>
      </c>
      <c r="L243" s="496">
        <v>2</v>
      </c>
      <c r="M243" s="809">
        <v>1</v>
      </c>
      <c r="N243" s="372">
        <v>1</v>
      </c>
      <c r="O243" s="507">
        <f t="shared" si="56"/>
        <v>0.2</v>
      </c>
      <c r="P243" s="235">
        <f>56990587.5*110%</f>
        <v>62689646.250000007</v>
      </c>
      <c r="Q243" s="649">
        <f t="shared" si="55"/>
        <v>12537929.250000002</v>
      </c>
      <c r="R243" s="649"/>
      <c r="S243" s="649"/>
      <c r="T243" s="650"/>
      <c r="U243" s="650"/>
      <c r="V243" s="650"/>
      <c r="W243" s="810"/>
      <c r="X243" s="648"/>
      <c r="Y243" s="679">
        <f t="shared" ref="Y243:Y245" si="58">Q243/$C$1</f>
        <v>65274.517128279891</v>
      </c>
      <c r="Z243" s="374"/>
    </row>
    <row r="244" spans="2:26" x14ac:dyDescent="0.35">
      <c r="B244" s="644"/>
      <c r="E244" s="645"/>
      <c r="F244" s="374" t="s">
        <v>215</v>
      </c>
      <c r="G244" s="625" t="s">
        <v>205</v>
      </c>
      <c r="H244" s="602"/>
      <c r="I244" s="626"/>
      <c r="J244" s="625"/>
      <c r="K244" s="627">
        <v>0.1</v>
      </c>
      <c r="L244" s="496">
        <v>20</v>
      </c>
      <c r="M244" s="809">
        <v>6</v>
      </c>
      <c r="N244" s="372">
        <v>1</v>
      </c>
      <c r="O244" s="664">
        <f t="shared" si="56"/>
        <v>12</v>
      </c>
      <c r="P244" s="235">
        <v>852474.70050243323</v>
      </c>
      <c r="Q244" s="649">
        <f t="shared" si="55"/>
        <v>10229696.406029198</v>
      </c>
      <c r="R244" s="649"/>
      <c r="S244" s="649"/>
      <c r="T244" s="650"/>
      <c r="U244" s="650"/>
      <c r="V244" s="650"/>
      <c r="W244" s="810"/>
      <c r="X244" s="648"/>
      <c r="Y244" s="679">
        <f t="shared" si="58"/>
        <v>53257.478165499779</v>
      </c>
      <c r="Z244" s="374"/>
    </row>
    <row r="245" spans="2:26" x14ac:dyDescent="0.35">
      <c r="B245" s="644"/>
      <c r="E245" s="645"/>
      <c r="F245" s="374" t="s">
        <v>263</v>
      </c>
      <c r="G245" s="625" t="s">
        <v>205</v>
      </c>
      <c r="H245" s="602"/>
      <c r="I245" s="626"/>
      <c r="J245" s="625"/>
      <c r="K245" s="627">
        <v>0.1</v>
      </c>
      <c r="L245" s="496">
        <v>20</v>
      </c>
      <c r="M245" s="809">
        <v>7</v>
      </c>
      <c r="N245" s="372">
        <v>1</v>
      </c>
      <c r="O245" s="664">
        <f t="shared" si="56"/>
        <v>14</v>
      </c>
      <c r="P245" s="235">
        <v>790731.69185593445</v>
      </c>
      <c r="Q245" s="649">
        <f t="shared" si="55"/>
        <v>11070243.685983082</v>
      </c>
      <c r="R245" s="649"/>
      <c r="S245" s="649"/>
      <c r="T245" s="650"/>
      <c r="U245" s="650"/>
      <c r="V245" s="650"/>
      <c r="W245" s="810"/>
      <c r="X245" s="648"/>
      <c r="Y245" s="679">
        <f t="shared" si="58"/>
        <v>57633.505237313002</v>
      </c>
      <c r="Z245" s="374"/>
    </row>
    <row r="246" spans="2:26" x14ac:dyDescent="0.35">
      <c r="B246" s="644"/>
      <c r="D246" s="655" t="s">
        <v>543</v>
      </c>
      <c r="E246" s="702"/>
      <c r="F246" s="374" t="s">
        <v>187</v>
      </c>
      <c r="G246" s="625" t="s">
        <v>188</v>
      </c>
      <c r="H246" s="602"/>
      <c r="I246" s="626"/>
      <c r="J246" s="625"/>
      <c r="K246" s="596"/>
      <c r="L246" s="496"/>
      <c r="M246" s="377"/>
      <c r="N246" s="372">
        <v>1</v>
      </c>
      <c r="O246" s="602"/>
      <c r="P246" s="628"/>
      <c r="Q246" s="628"/>
      <c r="R246" s="628"/>
      <c r="S246" s="628"/>
      <c r="T246" s="629"/>
      <c r="U246" s="629"/>
      <c r="V246" s="629"/>
      <c r="W246" s="629"/>
      <c r="X246" s="602"/>
      <c r="Y246" s="807">
        <f t="shared" si="48"/>
        <v>0</v>
      </c>
      <c r="Z246" s="374"/>
    </row>
    <row r="247" spans="2:26" x14ac:dyDescent="0.35">
      <c r="B247" s="644"/>
      <c r="E247" s="645"/>
      <c r="F247" s="374" t="s">
        <v>269</v>
      </c>
      <c r="G247" s="625" t="s">
        <v>10</v>
      </c>
      <c r="H247" s="602"/>
      <c r="I247" s="626"/>
      <c r="J247" s="625"/>
      <c r="K247" s="596"/>
      <c r="L247" s="496"/>
      <c r="M247" s="377"/>
      <c r="N247" s="372">
        <v>1</v>
      </c>
      <c r="O247" s="602"/>
      <c r="P247" s="628"/>
      <c r="Q247" s="628"/>
      <c r="R247" s="628"/>
      <c r="S247" s="628"/>
      <c r="T247" s="629"/>
      <c r="U247" s="629"/>
      <c r="V247" s="629"/>
      <c r="W247" s="629"/>
      <c r="X247" s="602"/>
      <c r="Y247" s="807">
        <f t="shared" si="48"/>
        <v>0</v>
      </c>
      <c r="Z247" s="374"/>
    </row>
    <row r="248" spans="2:26" x14ac:dyDescent="0.35">
      <c r="B248" s="644"/>
      <c r="D248" s="623"/>
      <c r="E248" s="624"/>
      <c r="F248" s="374" t="s">
        <v>215</v>
      </c>
      <c r="G248" s="625" t="s">
        <v>205</v>
      </c>
      <c r="H248" s="602"/>
      <c r="I248" s="626"/>
      <c r="J248" s="625"/>
      <c r="K248" s="596"/>
      <c r="L248" s="496"/>
      <c r="M248" s="377">
        <v>10</v>
      </c>
      <c r="N248" s="372">
        <v>1</v>
      </c>
      <c r="O248" s="602"/>
      <c r="P248" s="628"/>
      <c r="Q248" s="628"/>
      <c r="R248" s="628"/>
      <c r="S248" s="628"/>
      <c r="T248" s="629"/>
      <c r="U248" s="629"/>
      <c r="V248" s="629"/>
      <c r="W248" s="629"/>
      <c r="X248" s="602"/>
      <c r="Y248" s="807">
        <f t="shared" si="48"/>
        <v>0</v>
      </c>
      <c r="Z248" s="374"/>
    </row>
    <row r="249" spans="2:26" x14ac:dyDescent="0.35">
      <c r="B249" s="644"/>
      <c r="D249" s="286" t="s">
        <v>115</v>
      </c>
      <c r="E249" s="645"/>
      <c r="F249" s="374" t="s">
        <v>187</v>
      </c>
      <c r="G249" s="625" t="s">
        <v>188</v>
      </c>
      <c r="H249" s="602"/>
      <c r="I249" s="626"/>
      <c r="J249" s="625" t="s">
        <v>10</v>
      </c>
      <c r="K249" s="627">
        <v>0.1</v>
      </c>
      <c r="L249" s="496">
        <v>11</v>
      </c>
      <c r="M249" s="372">
        <v>2</v>
      </c>
      <c r="N249" s="372">
        <v>1</v>
      </c>
      <c r="O249" s="507">
        <f t="shared" ref="O249:O255" si="59">K249*L249*M249*N249</f>
        <v>2.2000000000000002</v>
      </c>
      <c r="P249" s="235">
        <v>180115.58081830497</v>
      </c>
      <c r="Q249" s="649">
        <f t="shared" ref="Q249:Q257" si="60">P249*$O249</f>
        <v>396254.27780027094</v>
      </c>
      <c r="R249" s="649"/>
      <c r="S249" s="649"/>
      <c r="T249" s="650"/>
      <c r="U249" s="650"/>
      <c r="V249" s="650"/>
      <c r="W249" s="650"/>
      <c r="X249" s="648"/>
      <c r="Y249" s="679">
        <f t="shared" ref="Y249:Y257" si="61">Q249/$C$1</f>
        <v>2062.964794878545</v>
      </c>
      <c r="Z249" s="374"/>
    </row>
    <row r="250" spans="2:26" x14ac:dyDescent="0.35">
      <c r="B250" s="644"/>
      <c r="E250" s="645"/>
      <c r="F250" s="374" t="s">
        <v>115</v>
      </c>
      <c r="G250" s="625" t="s">
        <v>10</v>
      </c>
      <c r="H250" s="602"/>
      <c r="I250" s="626"/>
      <c r="J250" s="625" t="s">
        <v>10</v>
      </c>
      <c r="K250" s="627">
        <v>0.1</v>
      </c>
      <c r="L250" s="496">
        <v>11</v>
      </c>
      <c r="M250" s="372">
        <v>6</v>
      </c>
      <c r="N250" s="372">
        <v>1</v>
      </c>
      <c r="O250" s="507">
        <f t="shared" si="59"/>
        <v>6.6000000000000005</v>
      </c>
      <c r="P250" s="235">
        <v>585640.00000000023</v>
      </c>
      <c r="Q250" s="649">
        <f t="shared" si="60"/>
        <v>3865224.0000000019</v>
      </c>
      <c r="R250" s="649"/>
      <c r="S250" s="649"/>
      <c r="T250" s="650"/>
      <c r="U250" s="650"/>
      <c r="V250" s="650"/>
      <c r="W250" s="650"/>
      <c r="X250" s="648"/>
      <c r="Y250" s="679">
        <f t="shared" si="61"/>
        <v>20122.990420658069</v>
      </c>
      <c r="Z250" s="374"/>
    </row>
    <row r="251" spans="2:26" x14ac:dyDescent="0.35">
      <c r="B251" s="644"/>
      <c r="D251" s="623"/>
      <c r="E251" s="624"/>
      <c r="F251" s="374" t="s">
        <v>263</v>
      </c>
      <c r="G251" s="625" t="s">
        <v>205</v>
      </c>
      <c r="H251" s="602"/>
      <c r="I251" s="626"/>
      <c r="J251" s="625" t="s">
        <v>10</v>
      </c>
      <c r="K251" s="627">
        <v>0.1</v>
      </c>
      <c r="L251" s="496">
        <v>11</v>
      </c>
      <c r="M251" s="372">
        <v>5</v>
      </c>
      <c r="N251" s="372">
        <v>1</v>
      </c>
      <c r="O251" s="507">
        <f t="shared" si="59"/>
        <v>5.5</v>
      </c>
      <c r="P251" s="235">
        <v>790731.69185593445</v>
      </c>
      <c r="Q251" s="649">
        <f t="shared" si="60"/>
        <v>4349024.3052076399</v>
      </c>
      <c r="R251" s="649"/>
      <c r="S251" s="649"/>
      <c r="T251" s="650"/>
      <c r="U251" s="650"/>
      <c r="V251" s="650"/>
      <c r="W251" s="650"/>
      <c r="X251" s="648"/>
      <c r="Y251" s="679">
        <f t="shared" si="61"/>
        <v>22641.734200372968</v>
      </c>
      <c r="Z251" s="374"/>
    </row>
    <row r="252" spans="2:26" x14ac:dyDescent="0.35">
      <c r="B252" s="644"/>
      <c r="D252" s="655" t="s">
        <v>117</v>
      </c>
      <c r="E252" s="702"/>
      <c r="F252" s="374" t="s">
        <v>187</v>
      </c>
      <c r="G252" s="625" t="s">
        <v>188</v>
      </c>
      <c r="H252" s="602"/>
      <c r="I252" s="626"/>
      <c r="J252" s="625" t="s">
        <v>10</v>
      </c>
      <c r="K252" s="627">
        <v>0.1</v>
      </c>
      <c r="L252" s="496">
        <v>5</v>
      </c>
      <c r="M252" s="372">
        <v>2</v>
      </c>
      <c r="N252" s="372">
        <v>1</v>
      </c>
      <c r="O252" s="507">
        <f t="shared" si="59"/>
        <v>1</v>
      </c>
      <c r="P252" s="235">
        <v>180115.58081830497</v>
      </c>
      <c r="Q252" s="649">
        <f t="shared" si="60"/>
        <v>180115.58081830497</v>
      </c>
      <c r="R252" s="649"/>
      <c r="S252" s="649"/>
      <c r="T252" s="650"/>
      <c r="U252" s="650"/>
      <c r="V252" s="650"/>
      <c r="W252" s="650"/>
      <c r="X252" s="648"/>
      <c r="Y252" s="679">
        <f t="shared" si="61"/>
        <v>937.71127039933856</v>
      </c>
      <c r="Z252" s="374"/>
    </row>
    <row r="253" spans="2:26" x14ac:dyDescent="0.35">
      <c r="B253" s="644"/>
      <c r="E253" s="645"/>
      <c r="F253" s="374" t="s">
        <v>544</v>
      </c>
      <c r="G253" s="625" t="s">
        <v>10</v>
      </c>
      <c r="H253" s="602"/>
      <c r="I253" s="626"/>
      <c r="J253" s="625" t="s">
        <v>10</v>
      </c>
      <c r="K253" s="627">
        <v>0.1</v>
      </c>
      <c r="L253" s="496">
        <v>5</v>
      </c>
      <c r="M253" s="372">
        <v>6</v>
      </c>
      <c r="N253" s="372">
        <v>1</v>
      </c>
      <c r="O253" s="507">
        <f t="shared" si="59"/>
        <v>3</v>
      </c>
      <c r="P253" s="235">
        <v>805255.00000000023</v>
      </c>
      <c r="Q253" s="649">
        <f t="shared" si="60"/>
        <v>2415765.0000000009</v>
      </c>
      <c r="R253" s="649"/>
      <c r="S253" s="649"/>
      <c r="T253" s="650"/>
      <c r="U253" s="650"/>
      <c r="V253" s="650"/>
      <c r="W253" s="650"/>
      <c r="X253" s="648"/>
      <c r="Y253" s="679">
        <f t="shared" si="61"/>
        <v>12576.869012911291</v>
      </c>
      <c r="Z253" s="374"/>
    </row>
    <row r="254" spans="2:26" x14ac:dyDescent="0.35">
      <c r="B254" s="644"/>
      <c r="D254" s="623"/>
      <c r="E254" s="624"/>
      <c r="F254" s="374" t="s">
        <v>263</v>
      </c>
      <c r="G254" s="625" t="s">
        <v>205</v>
      </c>
      <c r="H254" s="602"/>
      <c r="I254" s="626"/>
      <c r="J254" s="625" t="s">
        <v>10</v>
      </c>
      <c r="K254" s="627">
        <v>0.1</v>
      </c>
      <c r="L254" s="496">
        <v>5</v>
      </c>
      <c r="M254" s="372">
        <v>5</v>
      </c>
      <c r="N254" s="372">
        <v>1</v>
      </c>
      <c r="O254" s="507">
        <f t="shared" si="59"/>
        <v>2.5</v>
      </c>
      <c r="P254" s="235">
        <v>790731.69185593445</v>
      </c>
      <c r="Q254" s="649">
        <f t="shared" si="60"/>
        <v>1976829.2296398361</v>
      </c>
      <c r="R254" s="649"/>
      <c r="S254" s="649"/>
      <c r="T254" s="650"/>
      <c r="U254" s="650"/>
      <c r="V254" s="650"/>
      <c r="W254" s="650"/>
      <c r="X254" s="648"/>
      <c r="Y254" s="679">
        <f t="shared" si="61"/>
        <v>10291.697363805893</v>
      </c>
      <c r="Z254" s="374"/>
    </row>
    <row r="255" spans="2:26" x14ac:dyDescent="0.35">
      <c r="B255" s="644"/>
      <c r="D255" s="655" t="s">
        <v>120</v>
      </c>
      <c r="E255" s="702"/>
      <c r="F255" s="374" t="s">
        <v>187</v>
      </c>
      <c r="G255" s="625" t="s">
        <v>188</v>
      </c>
      <c r="H255" s="602"/>
      <c r="I255" s="626"/>
      <c r="J255" s="625" t="s">
        <v>10</v>
      </c>
      <c r="K255" s="627">
        <v>0.1</v>
      </c>
      <c r="L255" s="496">
        <v>3</v>
      </c>
      <c r="M255" s="372">
        <v>2</v>
      </c>
      <c r="N255" s="372">
        <v>1</v>
      </c>
      <c r="O255" s="507">
        <f t="shared" si="59"/>
        <v>0.60000000000000009</v>
      </c>
      <c r="P255" s="235">
        <v>180115.58081830497</v>
      </c>
      <c r="Q255" s="649">
        <f t="shared" si="60"/>
        <v>108069.348490983</v>
      </c>
      <c r="R255" s="649"/>
      <c r="S255" s="649"/>
      <c r="T255" s="650"/>
      <c r="U255" s="650"/>
      <c r="V255" s="650"/>
      <c r="W255" s="650"/>
      <c r="X255" s="648"/>
      <c r="Y255" s="679">
        <f t="shared" si="61"/>
        <v>562.62676223960329</v>
      </c>
      <c r="Z255" s="374"/>
    </row>
    <row r="256" spans="2:26" x14ac:dyDescent="0.35">
      <c r="B256" s="644"/>
      <c r="E256" s="645"/>
      <c r="F256" s="374" t="s">
        <v>545</v>
      </c>
      <c r="G256" s="625" t="s">
        <v>10</v>
      </c>
      <c r="H256" s="602"/>
      <c r="I256" s="626"/>
      <c r="J256" s="625" t="s">
        <v>10</v>
      </c>
      <c r="K256" s="627">
        <v>0.1</v>
      </c>
      <c r="L256" s="496">
        <v>3</v>
      </c>
      <c r="M256" s="372">
        <v>6</v>
      </c>
      <c r="N256" s="372">
        <v>1</v>
      </c>
      <c r="O256" s="507">
        <f>K256*L256*M256*N256</f>
        <v>1.8000000000000003</v>
      </c>
      <c r="P256" s="235">
        <v>951665.00000000035</v>
      </c>
      <c r="Q256" s="649">
        <f t="shared" si="60"/>
        <v>1712997.0000000009</v>
      </c>
      <c r="R256" s="372">
        <v>752456.25</v>
      </c>
      <c r="S256" s="649">
        <f>R256*$O256</f>
        <v>1354421.2500000002</v>
      </c>
      <c r="T256" s="372">
        <v>790079.0625</v>
      </c>
      <c r="U256" s="650">
        <f>$O256*T256</f>
        <v>1422142.3125000002</v>
      </c>
      <c r="V256" s="372">
        <f>W256/O256</f>
        <v>831400.10416666663</v>
      </c>
      <c r="W256" s="478">
        <f>AVERAGEIF($P$3:$U$3,W$3,$P256:$U256)</f>
        <v>1496520.1875000002</v>
      </c>
      <c r="X256" s="648"/>
      <c r="Y256" s="679">
        <f t="shared" si="61"/>
        <v>8918.1434818825528</v>
      </c>
      <c r="Z256" s="374"/>
    </row>
    <row r="257" spans="1:28" x14ac:dyDescent="0.35">
      <c r="B257" s="622"/>
      <c r="C257" s="623"/>
      <c r="D257" s="623"/>
      <c r="E257" s="624"/>
      <c r="F257" s="374" t="s">
        <v>263</v>
      </c>
      <c r="G257" s="625" t="s">
        <v>205</v>
      </c>
      <c r="H257" s="602"/>
      <c r="I257" s="626"/>
      <c r="J257" s="625" t="s">
        <v>10</v>
      </c>
      <c r="K257" s="627">
        <v>0.1</v>
      </c>
      <c r="L257" s="496">
        <v>3</v>
      </c>
      <c r="M257" s="372">
        <v>5</v>
      </c>
      <c r="N257" s="372">
        <v>1</v>
      </c>
      <c r="O257" s="507">
        <f>K257*L257*M257*N257</f>
        <v>1.5000000000000002</v>
      </c>
      <c r="P257" s="235">
        <v>790731.69185593445</v>
      </c>
      <c r="Q257" s="649">
        <f t="shared" si="60"/>
        <v>1186097.5377839019</v>
      </c>
      <c r="R257" s="372">
        <v>605415.30316800007</v>
      </c>
      <c r="S257" s="649">
        <f>R257*$O257</f>
        <v>908122.95475200028</v>
      </c>
      <c r="T257" s="372">
        <v>629631.91529472009</v>
      </c>
      <c r="U257" s="650">
        <f>$O257*T257</f>
        <v>944447.87294208026</v>
      </c>
      <c r="V257" s="372">
        <f>W257/O257</f>
        <v>675259.63677288487</v>
      </c>
      <c r="W257" s="478">
        <f>AVERAGEIF($P$3:$U$3,W$3,$P257:$U257)</f>
        <v>1012889.4551593275</v>
      </c>
      <c r="X257" s="648"/>
      <c r="Y257" s="679">
        <f t="shared" si="61"/>
        <v>6175.0184182835374</v>
      </c>
      <c r="Z257" s="374"/>
    </row>
    <row r="258" spans="1:28" customFormat="1" x14ac:dyDescent="0.35">
      <c r="A258" s="94"/>
      <c r="B258" s="630" t="s">
        <v>637</v>
      </c>
      <c r="C258" s="770"/>
      <c r="D258" s="770"/>
      <c r="E258" s="771"/>
      <c r="F258" s="633"/>
      <c r="G258" s="634"/>
      <c r="H258" s="635"/>
      <c r="I258" s="636"/>
      <c r="J258" s="634"/>
      <c r="K258" s="637"/>
      <c r="L258" s="638"/>
      <c r="M258" s="772"/>
      <c r="N258" s="773"/>
      <c r="O258" s="635"/>
      <c r="P258" s="640"/>
      <c r="Q258" s="651">
        <f>SUM(Q233:Q257)</f>
        <v>269973820.64675325</v>
      </c>
      <c r="R258" s="774"/>
      <c r="S258" s="651">
        <f>SUM(S247:S257)</f>
        <v>2262544.2047520005</v>
      </c>
      <c r="T258" s="803"/>
      <c r="U258" s="803"/>
      <c r="V258" s="803"/>
      <c r="W258" s="803"/>
      <c r="X258" s="652"/>
      <c r="Y258" s="653">
        <f>Q258/$C$1</f>
        <v>1405528.0125299522</v>
      </c>
      <c r="Z258" s="642">
        <f>Q258/$Q$395*100</f>
        <v>6.7361419356372396</v>
      </c>
      <c r="AA258" s="94"/>
      <c r="AB258" s="94"/>
    </row>
    <row r="259" spans="1:28" x14ac:dyDescent="0.35">
      <c r="B259" s="602"/>
      <c r="C259" s="626" t="s">
        <v>547</v>
      </c>
      <c r="D259" s="626"/>
      <c r="E259" s="678"/>
      <c r="F259" s="374"/>
      <c r="G259" s="625"/>
      <c r="H259" s="602"/>
      <c r="I259" s="626"/>
      <c r="J259" s="625"/>
      <c r="K259" s="596"/>
      <c r="L259" s="713"/>
      <c r="M259" s="377"/>
      <c r="N259" s="372"/>
      <c r="O259" s="602"/>
      <c r="P259" s="628"/>
      <c r="Q259" s="628"/>
      <c r="R259" s="628"/>
      <c r="S259" s="628"/>
      <c r="T259" s="629"/>
      <c r="U259" s="629"/>
      <c r="V259" s="629"/>
      <c r="W259" s="629"/>
      <c r="X259" s="602"/>
      <c r="Y259" s="374"/>
      <c r="Z259" s="374"/>
    </row>
    <row r="260" spans="1:28" x14ac:dyDescent="0.35">
      <c r="B260" s="644"/>
      <c r="D260" s="286" t="s">
        <v>548</v>
      </c>
      <c r="E260" s="645"/>
      <c r="F260" s="374" t="s">
        <v>187</v>
      </c>
      <c r="G260" s="625" t="s">
        <v>188</v>
      </c>
      <c r="H260" s="602"/>
      <c r="I260" s="626"/>
      <c r="J260" s="625"/>
      <c r="K260" s="596"/>
      <c r="L260" s="496"/>
      <c r="M260" s="377"/>
      <c r="N260" s="372">
        <v>1</v>
      </c>
      <c r="O260" s="602"/>
      <c r="P260" s="628"/>
      <c r="Q260" s="628"/>
      <c r="R260" s="628"/>
      <c r="S260" s="628"/>
      <c r="T260" s="629"/>
      <c r="U260" s="629"/>
      <c r="V260" s="629"/>
      <c r="W260" s="629"/>
      <c r="X260" s="602"/>
      <c r="Y260" s="374"/>
      <c r="Z260" s="374"/>
    </row>
    <row r="261" spans="1:28" hidden="1" x14ac:dyDescent="0.35">
      <c r="B261" s="644"/>
      <c r="E261" s="645"/>
      <c r="F261" s="374" t="s">
        <v>215</v>
      </c>
      <c r="G261" s="625" t="s">
        <v>205</v>
      </c>
      <c r="H261" s="602"/>
      <c r="I261" s="626"/>
      <c r="J261" s="625"/>
      <c r="K261" s="596"/>
      <c r="L261" s="496"/>
      <c r="M261" s="377">
        <f>1/100</f>
        <v>0.01</v>
      </c>
      <c r="N261" s="372">
        <v>1</v>
      </c>
      <c r="O261" s="602"/>
      <c r="P261" s="628"/>
      <c r="Q261" s="628"/>
      <c r="R261" s="628"/>
      <c r="S261" s="628"/>
      <c r="T261" s="629"/>
      <c r="U261" s="629"/>
      <c r="V261" s="629"/>
      <c r="W261" s="629"/>
      <c r="X261" s="602"/>
      <c r="Y261" s="374"/>
      <c r="Z261" s="374"/>
    </row>
    <row r="262" spans="1:28" x14ac:dyDescent="0.35">
      <c r="B262" s="644"/>
      <c r="D262" s="286" t="s">
        <v>549</v>
      </c>
      <c r="E262" s="645"/>
      <c r="F262" s="374" t="s">
        <v>187</v>
      </c>
      <c r="G262" s="625" t="s">
        <v>188</v>
      </c>
      <c r="H262" s="602"/>
      <c r="I262" s="626"/>
      <c r="J262" s="625"/>
      <c r="K262" s="596"/>
      <c r="L262" s="496"/>
      <c r="M262" s="377"/>
      <c r="N262" s="372">
        <v>1</v>
      </c>
      <c r="O262" s="602"/>
      <c r="P262" s="628"/>
      <c r="Q262" s="628"/>
      <c r="R262" s="628"/>
      <c r="S262" s="628"/>
      <c r="T262" s="629"/>
      <c r="U262" s="629"/>
      <c r="V262" s="629"/>
      <c r="W262" s="629"/>
      <c r="X262" s="602"/>
      <c r="Y262" s="374"/>
      <c r="Z262" s="374"/>
    </row>
    <row r="263" spans="1:28" hidden="1" x14ac:dyDescent="0.35">
      <c r="B263" s="644"/>
      <c r="E263" s="645"/>
      <c r="F263" s="374" t="s">
        <v>215</v>
      </c>
      <c r="G263" s="625" t="s">
        <v>205</v>
      </c>
      <c r="H263" s="602"/>
      <c r="I263" s="626"/>
      <c r="J263" s="625"/>
      <c r="K263" s="596"/>
      <c r="L263" s="496"/>
      <c r="M263" s="377">
        <f>1/30</f>
        <v>3.3333333333333333E-2</v>
      </c>
      <c r="N263" s="372">
        <v>1</v>
      </c>
      <c r="O263" s="602"/>
      <c r="P263" s="628"/>
      <c r="Q263" s="628"/>
      <c r="R263" s="628"/>
      <c r="S263" s="628"/>
      <c r="T263" s="629"/>
      <c r="U263" s="629"/>
      <c r="V263" s="629"/>
      <c r="W263" s="629"/>
      <c r="X263" s="602"/>
      <c r="Y263" s="374"/>
      <c r="Z263" s="374"/>
    </row>
    <row r="264" spans="1:28" x14ac:dyDescent="0.35">
      <c r="B264" s="644"/>
      <c r="D264" s="286" t="s">
        <v>550</v>
      </c>
      <c r="E264" s="645"/>
      <c r="F264" s="374" t="s">
        <v>187</v>
      </c>
      <c r="G264" s="625" t="s">
        <v>188</v>
      </c>
      <c r="H264" s="602"/>
      <c r="I264" s="626"/>
      <c r="J264" s="625"/>
      <c r="K264" s="596"/>
      <c r="L264" s="496"/>
      <c r="M264" s="377">
        <f>1/30</f>
        <v>3.3333333333333333E-2</v>
      </c>
      <c r="N264" s="372">
        <v>1</v>
      </c>
      <c r="O264" s="602"/>
      <c r="P264" s="628"/>
      <c r="Q264" s="628"/>
      <c r="R264" s="628"/>
      <c r="S264" s="628"/>
      <c r="T264" s="629"/>
      <c r="U264" s="629"/>
      <c r="V264" s="629"/>
      <c r="W264" s="629"/>
      <c r="X264" s="602"/>
      <c r="Y264" s="374"/>
      <c r="Z264" s="374"/>
    </row>
    <row r="265" spans="1:28" hidden="1" x14ac:dyDescent="0.35">
      <c r="B265" s="644"/>
      <c r="E265" s="645"/>
      <c r="F265" s="374" t="s">
        <v>215</v>
      </c>
      <c r="G265" s="625" t="s">
        <v>205</v>
      </c>
      <c r="H265" s="602"/>
      <c r="I265" s="626"/>
      <c r="J265" s="625"/>
      <c r="K265" s="596"/>
      <c r="L265" s="496"/>
      <c r="M265" s="377">
        <f>1/60</f>
        <v>1.6666666666666666E-2</v>
      </c>
      <c r="N265" s="372">
        <v>1</v>
      </c>
      <c r="O265" s="602"/>
      <c r="P265" s="628"/>
      <c r="Q265" s="628"/>
      <c r="R265" s="628"/>
      <c r="S265" s="628"/>
      <c r="T265" s="629"/>
      <c r="U265" s="629"/>
      <c r="V265" s="629"/>
      <c r="W265" s="629"/>
      <c r="X265" s="602"/>
      <c r="Y265" s="374"/>
      <c r="Z265" s="374"/>
    </row>
    <row r="266" spans="1:28" x14ac:dyDescent="0.35">
      <c r="B266" s="644"/>
      <c r="D266" s="286" t="s">
        <v>551</v>
      </c>
      <c r="E266" s="645"/>
      <c r="F266" s="374" t="s">
        <v>187</v>
      </c>
      <c r="G266" s="625" t="s">
        <v>188</v>
      </c>
      <c r="H266" s="602"/>
      <c r="I266" s="626"/>
      <c r="J266" s="625"/>
      <c r="K266" s="596"/>
      <c r="L266" s="496"/>
      <c r="M266" s="377"/>
      <c r="N266" s="372">
        <v>1</v>
      </c>
      <c r="O266" s="602"/>
      <c r="P266" s="628"/>
      <c r="Q266" s="628"/>
      <c r="R266" s="628"/>
      <c r="S266" s="628"/>
      <c r="T266" s="629"/>
      <c r="U266" s="629"/>
      <c r="V266" s="629"/>
      <c r="W266" s="629"/>
      <c r="X266" s="602"/>
      <c r="Y266" s="374"/>
      <c r="Z266" s="374"/>
    </row>
    <row r="267" spans="1:28" hidden="1" x14ac:dyDescent="0.35">
      <c r="B267" s="644"/>
      <c r="E267" s="645"/>
      <c r="F267" s="374" t="s">
        <v>288</v>
      </c>
      <c r="G267" s="625" t="s">
        <v>10</v>
      </c>
      <c r="H267" s="602"/>
      <c r="I267" s="626"/>
      <c r="J267" s="625"/>
      <c r="K267" s="596"/>
      <c r="L267" s="496"/>
      <c r="M267" s="377"/>
      <c r="N267" s="372">
        <v>1</v>
      </c>
      <c r="O267" s="602"/>
      <c r="P267" s="628"/>
      <c r="Q267" s="628"/>
      <c r="R267" s="628"/>
      <c r="S267" s="628"/>
      <c r="T267" s="629"/>
      <c r="U267" s="629"/>
      <c r="V267" s="629"/>
      <c r="W267" s="629"/>
      <c r="X267" s="602"/>
      <c r="Y267" s="374"/>
      <c r="Z267" s="374"/>
    </row>
    <row r="268" spans="1:28" hidden="1" x14ac:dyDescent="0.35">
      <c r="B268" s="644"/>
      <c r="E268" s="645"/>
      <c r="F268" s="374" t="s">
        <v>215</v>
      </c>
      <c r="G268" s="625" t="s">
        <v>205</v>
      </c>
      <c r="H268" s="602"/>
      <c r="I268" s="626"/>
      <c r="J268" s="625"/>
      <c r="K268" s="596"/>
      <c r="L268" s="496"/>
      <c r="M268" s="377"/>
      <c r="N268" s="372">
        <v>1</v>
      </c>
      <c r="O268" s="602"/>
      <c r="P268" s="628"/>
      <c r="Q268" s="628"/>
      <c r="R268" s="628"/>
      <c r="S268" s="628"/>
      <c r="T268" s="629"/>
      <c r="U268" s="629"/>
      <c r="V268" s="629"/>
      <c r="W268" s="629"/>
      <c r="X268" s="602"/>
      <c r="Y268" s="374"/>
      <c r="Z268" s="374"/>
    </row>
    <row r="269" spans="1:28" x14ac:dyDescent="0.35">
      <c r="B269" s="654"/>
      <c r="C269" s="655" t="s">
        <v>552</v>
      </c>
      <c r="D269" s="655"/>
      <c r="E269" s="702"/>
      <c r="F269" s="374" t="s">
        <v>187</v>
      </c>
      <c r="G269" s="625" t="s">
        <v>188</v>
      </c>
      <c r="H269" s="602"/>
      <c r="I269" s="626"/>
      <c r="J269" s="625"/>
      <c r="K269" s="596"/>
      <c r="L269" s="496"/>
      <c r="M269" s="377"/>
      <c r="N269" s="372">
        <v>1</v>
      </c>
      <c r="O269" s="602"/>
      <c r="P269" s="628"/>
      <c r="Q269" s="628"/>
      <c r="R269" s="628"/>
      <c r="S269" s="628"/>
      <c r="T269" s="629"/>
      <c r="U269" s="629"/>
      <c r="V269" s="629"/>
      <c r="W269" s="629"/>
      <c r="X269" s="602"/>
      <c r="Y269" s="374"/>
      <c r="Z269" s="374"/>
    </row>
    <row r="270" spans="1:28" hidden="1" x14ac:dyDescent="0.35">
      <c r="B270" s="644"/>
      <c r="E270" s="645"/>
      <c r="F270" s="374" t="s">
        <v>255</v>
      </c>
      <c r="G270" s="625" t="s">
        <v>205</v>
      </c>
      <c r="H270" s="602"/>
      <c r="I270" s="626"/>
      <c r="J270" s="625"/>
      <c r="K270" s="596"/>
      <c r="L270" s="496"/>
      <c r="M270" s="377">
        <f>2/1000</f>
        <v>2E-3</v>
      </c>
      <c r="N270" s="372">
        <v>1</v>
      </c>
      <c r="O270" s="602"/>
      <c r="P270" s="628"/>
      <c r="Q270" s="628"/>
      <c r="R270" s="628"/>
      <c r="S270" s="628"/>
      <c r="T270" s="629"/>
      <c r="U270" s="629"/>
      <c r="V270" s="629"/>
      <c r="W270" s="629"/>
      <c r="X270" s="602"/>
      <c r="Y270" s="374"/>
      <c r="Z270" s="374"/>
    </row>
    <row r="271" spans="1:28" hidden="1" x14ac:dyDescent="0.35">
      <c r="B271" s="644"/>
      <c r="E271" s="645"/>
      <c r="F271" s="374" t="s">
        <v>215</v>
      </c>
      <c r="G271" s="625" t="s">
        <v>205</v>
      </c>
      <c r="H271" s="602"/>
      <c r="I271" s="626"/>
      <c r="J271" s="625"/>
      <c r="K271" s="596"/>
      <c r="L271" s="496"/>
      <c r="M271" s="377"/>
      <c r="N271" s="372">
        <v>1</v>
      </c>
      <c r="O271" s="602"/>
      <c r="P271" s="628"/>
      <c r="Q271" s="628"/>
      <c r="R271" s="628"/>
      <c r="S271" s="628"/>
      <c r="T271" s="629"/>
      <c r="U271" s="629"/>
      <c r="V271" s="629"/>
      <c r="W271" s="629"/>
      <c r="X271" s="602"/>
      <c r="Y271" s="374"/>
      <c r="Z271" s="374"/>
    </row>
    <row r="272" spans="1:28" x14ac:dyDescent="0.35">
      <c r="B272" s="654"/>
      <c r="C272" s="655" t="s">
        <v>553</v>
      </c>
      <c r="D272" s="655"/>
      <c r="E272" s="702"/>
      <c r="F272" s="374" t="s">
        <v>187</v>
      </c>
      <c r="G272" s="625" t="s">
        <v>188</v>
      </c>
      <c r="H272" s="602"/>
      <c r="I272" s="626"/>
      <c r="J272" s="625"/>
      <c r="K272" s="596"/>
      <c r="L272" s="496"/>
      <c r="M272" s="377"/>
      <c r="N272" s="372">
        <v>1</v>
      </c>
      <c r="O272" s="602"/>
      <c r="P272" s="628"/>
      <c r="Q272" s="628"/>
      <c r="R272" s="628"/>
      <c r="S272" s="628"/>
      <c r="T272" s="629"/>
      <c r="U272" s="629"/>
      <c r="V272" s="629"/>
      <c r="W272" s="629"/>
      <c r="X272" s="602"/>
      <c r="Y272" s="374"/>
      <c r="Z272" s="374"/>
    </row>
    <row r="273" spans="1:28" x14ac:dyDescent="0.35">
      <c r="B273" s="644"/>
      <c r="C273" s="286" t="s">
        <v>554</v>
      </c>
      <c r="E273" s="645"/>
      <c r="F273" s="374" t="s">
        <v>187</v>
      </c>
      <c r="G273" s="625" t="s">
        <v>188</v>
      </c>
      <c r="H273" s="602"/>
      <c r="I273" s="626"/>
      <c r="J273" s="625"/>
      <c r="K273" s="596"/>
      <c r="L273" s="496"/>
      <c r="M273" s="377"/>
      <c r="N273" s="372">
        <v>1</v>
      </c>
      <c r="O273" s="602"/>
      <c r="P273" s="628"/>
      <c r="Q273" s="628"/>
      <c r="R273" s="628"/>
      <c r="S273" s="628"/>
      <c r="T273" s="629"/>
      <c r="U273" s="629"/>
      <c r="V273" s="629"/>
      <c r="W273" s="629"/>
      <c r="X273" s="602"/>
      <c r="Y273" s="374"/>
      <c r="Z273" s="374"/>
    </row>
    <row r="274" spans="1:28" hidden="1" x14ac:dyDescent="0.35">
      <c r="B274" s="644"/>
      <c r="E274" s="645"/>
      <c r="F274" s="374" t="s">
        <v>555</v>
      </c>
      <c r="G274" s="625" t="s">
        <v>10</v>
      </c>
      <c r="H274" s="602"/>
      <c r="I274" s="626"/>
      <c r="J274" s="625"/>
      <c r="K274" s="596"/>
      <c r="L274" s="496"/>
      <c r="M274" s="377"/>
      <c r="N274" s="372">
        <v>1</v>
      </c>
      <c r="O274" s="602"/>
      <c r="P274" s="628"/>
      <c r="Q274" s="628"/>
      <c r="R274" s="628"/>
      <c r="S274" s="628"/>
      <c r="T274" s="629"/>
      <c r="U274" s="629"/>
      <c r="V274" s="629"/>
      <c r="W274" s="629"/>
      <c r="X274" s="602"/>
      <c r="Y274" s="374"/>
      <c r="Z274" s="374"/>
    </row>
    <row r="275" spans="1:28" customFormat="1" x14ac:dyDescent="0.35">
      <c r="A275" s="94"/>
      <c r="B275" s="693" t="s">
        <v>556</v>
      </c>
      <c r="C275" s="776"/>
      <c r="D275" s="776"/>
      <c r="E275" s="777"/>
      <c r="F275" s="516"/>
      <c r="G275" s="613"/>
      <c r="H275" s="614"/>
      <c r="I275" s="615"/>
      <c r="J275" s="613"/>
      <c r="K275" s="616"/>
      <c r="L275" s="617"/>
      <c r="M275" s="527"/>
      <c r="N275" s="766"/>
      <c r="O275" s="614"/>
      <c r="P275" s="618"/>
      <c r="Q275" s="696">
        <f>Q231+Q258</f>
        <v>765033439.02143908</v>
      </c>
      <c r="R275" s="778"/>
      <c r="S275" s="696">
        <f>SUM(S266:S274)</f>
        <v>0</v>
      </c>
      <c r="T275" s="673"/>
      <c r="U275" s="673"/>
      <c r="V275" s="673"/>
      <c r="W275" s="673"/>
      <c r="X275" s="674"/>
      <c r="Y275" s="413">
        <f>Q275/$C$1</f>
        <v>3982889.6242265673</v>
      </c>
      <c r="Z275" s="414">
        <f>Q275/$Q$395*100</f>
        <v>19.088420567637236</v>
      </c>
      <c r="AA275" s="94"/>
      <c r="AB275" s="94"/>
    </row>
    <row r="276" spans="1:28" x14ac:dyDescent="0.35">
      <c r="B276" s="677" t="s">
        <v>290</v>
      </c>
      <c r="C276" s="626"/>
      <c r="D276" s="626"/>
      <c r="E276" s="678"/>
      <c r="F276" s="374"/>
      <c r="G276" s="625"/>
      <c r="H276" s="602"/>
      <c r="I276" s="626"/>
      <c r="J276" s="625"/>
      <c r="K276" s="596"/>
      <c r="L276" s="496"/>
      <c r="M276" s="377"/>
      <c r="N276" s="372"/>
      <c r="O276" s="602"/>
      <c r="P276" s="628"/>
      <c r="Q276" s="628"/>
      <c r="R276" s="628"/>
      <c r="S276" s="628"/>
      <c r="T276" s="629"/>
      <c r="U276" s="629"/>
      <c r="V276" s="629"/>
      <c r="W276" s="629"/>
      <c r="X276" s="602"/>
      <c r="Y276" s="374"/>
      <c r="Z276" s="374"/>
    </row>
    <row r="277" spans="1:28" x14ac:dyDescent="0.35">
      <c r="B277" s="644"/>
      <c r="C277" s="286" t="s">
        <v>123</v>
      </c>
      <c r="E277" s="645"/>
      <c r="F277" s="374" t="s">
        <v>187</v>
      </c>
      <c r="G277" s="625" t="s">
        <v>188</v>
      </c>
      <c r="H277" s="602"/>
      <c r="I277" s="626"/>
      <c r="J277" s="625"/>
      <c r="K277" s="783">
        <v>0</v>
      </c>
      <c r="L277" s="700">
        <f>192.08*136</f>
        <v>26122.880000000001</v>
      </c>
      <c r="M277" s="811">
        <v>0.33333333333333331</v>
      </c>
      <c r="N277" s="785">
        <v>1</v>
      </c>
      <c r="O277" s="786">
        <f>K277*L277*M277*N277</f>
        <v>0</v>
      </c>
      <c r="P277" s="235">
        <v>169122.61109699999</v>
      </c>
      <c r="Q277" s="628">
        <f t="shared" ref="Q277:Q278" si="62">P277*$O277</f>
        <v>0</v>
      </c>
      <c r="R277" s="628"/>
      <c r="S277" s="628"/>
      <c r="T277" s="629"/>
      <c r="U277" s="629"/>
      <c r="V277" s="629"/>
      <c r="W277" s="629"/>
      <c r="X277" s="602"/>
      <c r="Y277" s="807">
        <f t="shared" ref="Y277:Y278" si="63">Q277/192.08</f>
        <v>0</v>
      </c>
      <c r="Z277" s="374"/>
    </row>
    <row r="278" spans="1:28" x14ac:dyDescent="0.35">
      <c r="B278" s="644"/>
      <c r="D278" s="286" t="s">
        <v>125</v>
      </c>
      <c r="E278" s="645"/>
      <c r="F278" s="374" t="s">
        <v>187</v>
      </c>
      <c r="G278" s="625" t="s">
        <v>188</v>
      </c>
      <c r="H278" s="602"/>
      <c r="I278" s="626"/>
      <c r="J278" s="625"/>
      <c r="K278" s="783">
        <v>0</v>
      </c>
      <c r="L278" s="700">
        <f>192.08*136</f>
        <v>26122.880000000001</v>
      </c>
      <c r="M278" s="811">
        <v>0.33333333333333331</v>
      </c>
      <c r="N278" s="785">
        <v>1</v>
      </c>
      <c r="O278" s="786">
        <f>K278*L278*M278*N278</f>
        <v>0</v>
      </c>
      <c r="P278" s="235">
        <v>169122.61109699999</v>
      </c>
      <c r="Q278" s="628">
        <f t="shared" si="62"/>
        <v>0</v>
      </c>
      <c r="R278" s="628"/>
      <c r="S278" s="628"/>
      <c r="T278" s="629"/>
      <c r="U278" s="629"/>
      <c r="V278" s="629"/>
      <c r="W278" s="629"/>
      <c r="X278" s="602"/>
      <c r="Y278" s="807">
        <f t="shared" si="63"/>
        <v>0</v>
      </c>
      <c r="Z278" s="374"/>
    </row>
    <row r="279" spans="1:28" x14ac:dyDescent="0.35">
      <c r="B279" s="644"/>
      <c r="C279" s="286" t="s">
        <v>292</v>
      </c>
      <c r="E279" s="645"/>
      <c r="F279" s="374" t="s">
        <v>187</v>
      </c>
      <c r="G279" s="625" t="s">
        <v>188</v>
      </c>
      <c r="H279" s="602"/>
      <c r="I279" s="626"/>
      <c r="J279" s="625"/>
      <c r="K279" s="596"/>
      <c r="L279" s="496"/>
      <c r="M279" s="377">
        <f>1/3</f>
        <v>0.33333333333333331</v>
      </c>
      <c r="N279" s="372">
        <v>1</v>
      </c>
      <c r="O279" s="602"/>
      <c r="P279" s="628"/>
      <c r="Q279" s="628"/>
      <c r="R279" s="628"/>
      <c r="S279" s="628"/>
      <c r="T279" s="629"/>
      <c r="U279" s="629"/>
      <c r="V279" s="629"/>
      <c r="W279" s="629"/>
      <c r="X279" s="602"/>
      <c r="Y279" s="374"/>
      <c r="Z279" s="374"/>
    </row>
    <row r="280" spans="1:28" x14ac:dyDescent="0.35">
      <c r="B280" s="644"/>
      <c r="C280" s="286" t="s">
        <v>557</v>
      </c>
      <c r="E280" s="645"/>
      <c r="F280" s="374" t="s">
        <v>187</v>
      </c>
      <c r="G280" s="625" t="s">
        <v>188</v>
      </c>
      <c r="H280" s="602"/>
      <c r="I280" s="626"/>
      <c r="J280" s="625"/>
      <c r="K280" s="596"/>
      <c r="L280" s="496"/>
      <c r="M280" s="377"/>
      <c r="N280" s="372">
        <v>1</v>
      </c>
      <c r="O280" s="602"/>
      <c r="P280" s="628"/>
      <c r="Q280" s="628"/>
      <c r="R280" s="628"/>
      <c r="S280" s="628"/>
      <c r="T280" s="629"/>
      <c r="U280" s="629"/>
      <c r="V280" s="629"/>
      <c r="W280" s="629"/>
      <c r="X280" s="602"/>
      <c r="Y280" s="374"/>
      <c r="Z280" s="374"/>
    </row>
    <row r="281" spans="1:28" customFormat="1" x14ac:dyDescent="0.35">
      <c r="A281" s="94"/>
      <c r="B281" s="693" t="s">
        <v>558</v>
      </c>
      <c r="C281" s="776"/>
      <c r="D281" s="776"/>
      <c r="E281" s="777"/>
      <c r="F281" s="516"/>
      <c r="G281" s="613"/>
      <c r="H281" s="614"/>
      <c r="I281" s="615"/>
      <c r="J281" s="613"/>
      <c r="K281" s="616"/>
      <c r="L281" s="617"/>
      <c r="M281" s="527"/>
      <c r="N281" s="766"/>
      <c r="O281" s="614"/>
      <c r="P281" s="618"/>
      <c r="Q281" s="802">
        <f>SUM(Q276:Q280)</f>
        <v>0</v>
      </c>
      <c r="R281" s="618"/>
      <c r="S281" s="802">
        <f>SUM(S275:S280)</f>
        <v>0</v>
      </c>
      <c r="T281" s="619"/>
      <c r="U281" s="619"/>
      <c r="V281" s="619"/>
      <c r="W281" s="619"/>
      <c r="X281" s="614"/>
      <c r="Y281" s="414">
        <f t="shared" ref="Y281" si="64">Q281/192.08</f>
        <v>0</v>
      </c>
      <c r="Z281" s="414">
        <f>Q281/5127997141.07*100</f>
        <v>0</v>
      </c>
      <c r="AA281" s="94"/>
      <c r="AB281" s="94"/>
    </row>
    <row r="282" spans="1:28" x14ac:dyDescent="0.35">
      <c r="B282" s="677" t="s">
        <v>559</v>
      </c>
      <c r="C282" s="626"/>
      <c r="D282" s="626"/>
      <c r="E282" s="678"/>
      <c r="F282" s="374"/>
      <c r="G282" s="625"/>
      <c r="H282" s="602"/>
      <c r="I282" s="626"/>
      <c r="J282" s="625"/>
      <c r="K282" s="596"/>
      <c r="L282" s="496"/>
      <c r="M282" s="377"/>
      <c r="N282" s="372"/>
      <c r="O282" s="602"/>
      <c r="P282" s="628"/>
      <c r="Q282" s="628"/>
      <c r="R282" s="628"/>
      <c r="S282" s="628"/>
      <c r="T282" s="629"/>
      <c r="U282" s="629"/>
      <c r="V282" s="629"/>
      <c r="W282" s="629"/>
      <c r="X282" s="602"/>
      <c r="Y282" s="374"/>
      <c r="Z282" s="374"/>
    </row>
    <row r="283" spans="1:28" x14ac:dyDescent="0.35">
      <c r="B283" s="644"/>
      <c r="C283" s="286" t="s">
        <v>128</v>
      </c>
      <c r="E283" s="645"/>
      <c r="F283" s="374" t="s">
        <v>187</v>
      </c>
      <c r="G283" s="625" t="s">
        <v>188</v>
      </c>
      <c r="H283" s="602"/>
      <c r="I283" s="626"/>
      <c r="J283" s="625" t="s">
        <v>189</v>
      </c>
      <c r="K283" s="627">
        <v>1</v>
      </c>
      <c r="L283" s="496">
        <v>192.08</v>
      </c>
      <c r="M283" s="423">
        <v>0.5</v>
      </c>
      <c r="N283" s="372">
        <v>3</v>
      </c>
      <c r="O283" s="498">
        <f>K283*L283*M283*N283</f>
        <v>288.12</v>
      </c>
      <c r="P283" s="235">
        <v>180115.58081830497</v>
      </c>
      <c r="Q283" s="649">
        <f>P283*$O283</f>
        <v>51894901.145370029</v>
      </c>
      <c r="R283" s="372">
        <v>179635.86432000002</v>
      </c>
      <c r="S283" s="649">
        <f>R283*$O283</f>
        <v>51756685.227878407</v>
      </c>
      <c r="T283" s="372">
        <v>197599.45075200003</v>
      </c>
      <c r="U283" s="650">
        <f>$O283*T283</f>
        <v>56932353.750666253</v>
      </c>
      <c r="V283" s="372">
        <f>W283/O283</f>
        <v>185783.63196343501</v>
      </c>
      <c r="W283" s="478">
        <f>AVERAGEIF($P$3:$U$3,W$3,$P283:$U283)</f>
        <v>53527980.041304894</v>
      </c>
      <c r="X283" s="648"/>
      <c r="Y283" s="679">
        <f t="shared" ref="Y283:Y284" si="65">Q283/$C$1</f>
        <v>270173.37122745742</v>
      </c>
      <c r="Z283" s="374"/>
    </row>
    <row r="284" spans="1:28" hidden="1" x14ac:dyDescent="0.35">
      <c r="B284" s="644"/>
      <c r="E284" s="645"/>
      <c r="F284" s="374" t="s">
        <v>398</v>
      </c>
      <c r="G284" s="625" t="s">
        <v>191</v>
      </c>
      <c r="H284" s="602"/>
      <c r="I284" s="626"/>
      <c r="J284" s="625" t="s">
        <v>189</v>
      </c>
      <c r="K284" s="627">
        <v>1</v>
      </c>
      <c r="L284" s="496">
        <v>192.08</v>
      </c>
      <c r="M284" s="382">
        <v>0.186</v>
      </c>
      <c r="N284" s="372">
        <v>3</v>
      </c>
      <c r="O284" s="498">
        <f>K284*L284*M284*N284</f>
        <v>107.18064000000001</v>
      </c>
      <c r="P284" s="235">
        <v>39674.123999999996</v>
      </c>
      <c r="Q284" s="649">
        <f>P284*$O284</f>
        <v>4252298.0017593596</v>
      </c>
      <c r="R284" s="372">
        <v>43184.235801600007</v>
      </c>
      <c r="S284" s="649">
        <f>R284*$O284</f>
        <v>4628514.0311264023</v>
      </c>
      <c r="T284" s="372">
        <v>46207.132307712011</v>
      </c>
      <c r="U284" s="650">
        <f>$O284*T284</f>
        <v>4952510.0133052506</v>
      </c>
      <c r="V284" s="372">
        <f>W284/O284</f>
        <v>43021.830703104009</v>
      </c>
      <c r="W284" s="478">
        <f>AVERAGEIF($P$3:$U$3,W$3,$P284:$U284)</f>
        <v>4611107.3487303378</v>
      </c>
      <c r="X284" s="648"/>
      <c r="Y284" s="679">
        <f t="shared" si="65"/>
        <v>22138.161191999996</v>
      </c>
      <c r="Z284" s="374"/>
    </row>
    <row r="285" spans="1:28" customFormat="1" x14ac:dyDescent="0.35">
      <c r="A285" s="94"/>
      <c r="B285" s="630" t="s">
        <v>561</v>
      </c>
      <c r="C285" s="770"/>
      <c r="D285" s="770"/>
      <c r="E285" s="771"/>
      <c r="F285" s="633"/>
      <c r="G285" s="634"/>
      <c r="H285" s="635"/>
      <c r="I285" s="636"/>
      <c r="J285" s="634"/>
      <c r="K285" s="637"/>
      <c r="L285" s="638"/>
      <c r="M285" s="772"/>
      <c r="N285" s="773"/>
      <c r="O285" s="635"/>
      <c r="P285" s="640"/>
      <c r="Q285" s="651">
        <f>SUM(Q283:Q284)</f>
        <v>56147199.147129387</v>
      </c>
      <c r="R285" s="774"/>
      <c r="S285" s="651">
        <f>SUM(S278:S284)</f>
        <v>56385199.259004809</v>
      </c>
      <c r="T285" s="803"/>
      <c r="U285" s="803"/>
      <c r="V285" s="803"/>
      <c r="W285" s="803"/>
      <c r="X285" s="652"/>
      <c r="Y285" s="653">
        <f>Q285/$C$1</f>
        <v>292311.53241945745</v>
      </c>
      <c r="Z285" s="642">
        <f>Q285/$Q$395*100</f>
        <v>1.4009339936646266</v>
      </c>
      <c r="AA285" s="94"/>
      <c r="AB285" s="94"/>
    </row>
    <row r="286" spans="1:28" x14ac:dyDescent="0.35">
      <c r="B286" s="644"/>
      <c r="C286" s="286" t="s">
        <v>562</v>
      </c>
      <c r="E286" s="645"/>
      <c r="F286" s="374" t="s">
        <v>187</v>
      </c>
      <c r="G286" s="625" t="s">
        <v>188</v>
      </c>
      <c r="H286" s="602"/>
      <c r="I286" s="626"/>
      <c r="J286" s="625"/>
      <c r="K286" s="596"/>
      <c r="L286" s="496"/>
      <c r="M286" s="377"/>
      <c r="N286" s="372"/>
      <c r="O286" s="602"/>
      <c r="P286" s="628"/>
      <c r="Q286" s="628"/>
      <c r="R286" s="628"/>
      <c r="S286" s="628"/>
      <c r="T286" s="629"/>
      <c r="U286" s="629"/>
      <c r="V286" s="629"/>
      <c r="W286" s="629"/>
      <c r="X286" s="602"/>
      <c r="Y286" s="374"/>
      <c r="Z286" s="374"/>
    </row>
    <row r="287" spans="1:28" x14ac:dyDescent="0.35">
      <c r="B287" s="644"/>
      <c r="C287" s="286" t="s">
        <v>130</v>
      </c>
      <c r="E287" s="645"/>
      <c r="F287" s="232" t="s">
        <v>187</v>
      </c>
      <c r="G287" s="318" t="s">
        <v>188</v>
      </c>
      <c r="H287" s="319"/>
      <c r="I287" s="320"/>
      <c r="J287" s="318" t="s">
        <v>189</v>
      </c>
      <c r="K287" s="627">
        <v>0.1</v>
      </c>
      <c r="L287" s="496">
        <v>192.08</v>
      </c>
      <c r="M287" s="423">
        <v>0.1</v>
      </c>
      <c r="N287" s="235">
        <v>6</v>
      </c>
      <c r="O287" s="507">
        <f>K287*L287*M287*N287</f>
        <v>11.524800000000003</v>
      </c>
      <c r="P287" s="235">
        <v>180115.58081830497</v>
      </c>
      <c r="Q287" s="649">
        <f>P287*$O287</f>
        <v>2075796.0458148015</v>
      </c>
      <c r="R287" s="372">
        <v>179635.86432000002</v>
      </c>
      <c r="S287" s="649">
        <f>R287*$O287</f>
        <v>2070267.4091151368</v>
      </c>
      <c r="T287" s="372">
        <v>197599.45075200003</v>
      </c>
      <c r="U287" s="650">
        <f>$O287*T287</f>
        <v>2277294.1500266506</v>
      </c>
      <c r="V287" s="372">
        <f>W287/O287</f>
        <v>185783.63196343504</v>
      </c>
      <c r="W287" s="478">
        <f>AVERAGEIF($P$3:$U$3,W$3,$P287:$U287)</f>
        <v>2141119.2016521967</v>
      </c>
      <c r="X287" s="648"/>
      <c r="Y287" s="679">
        <f t="shared" ref="Y287:Y295" si="66">Q287/$C$1</f>
        <v>10806.934849098299</v>
      </c>
      <c r="Z287" s="374"/>
    </row>
    <row r="288" spans="1:28" x14ac:dyDescent="0.35">
      <c r="B288" s="644"/>
      <c r="E288" s="645"/>
      <c r="F288" s="232" t="s">
        <v>395</v>
      </c>
      <c r="G288" s="318" t="s">
        <v>232</v>
      </c>
      <c r="H288" s="319"/>
      <c r="I288" s="320"/>
      <c r="J288" s="318" t="s">
        <v>189</v>
      </c>
      <c r="K288" s="627">
        <v>0.1</v>
      </c>
      <c r="L288" s="496">
        <v>192.08</v>
      </c>
      <c r="M288" s="423">
        <v>0.1</v>
      </c>
      <c r="N288" s="235">
        <v>1</v>
      </c>
      <c r="O288" s="507">
        <f>K288*L288*M288*N288</f>
        <v>1.9208000000000003</v>
      </c>
      <c r="P288" s="235">
        <v>130180.71937500002</v>
      </c>
      <c r="Q288" s="649">
        <f>P288*$O288</f>
        <v>250051.12577550006</v>
      </c>
      <c r="R288" s="372">
        <v>131202.10530000002</v>
      </c>
      <c r="S288" s="649">
        <f>R288*$O288</f>
        <v>252013.00386024007</v>
      </c>
      <c r="T288" s="372">
        <v>140386.25267100002</v>
      </c>
      <c r="U288" s="650">
        <f>$O288*T288</f>
        <v>269653.91413045686</v>
      </c>
      <c r="V288" s="372">
        <f>W288/O288</f>
        <v>133923.02578200001</v>
      </c>
      <c r="W288" s="478">
        <f>AVERAGEIF($P$3:$U$3,W$3,$P288:$U288)</f>
        <v>257239.34792206567</v>
      </c>
      <c r="X288" s="648"/>
      <c r="Y288" s="679">
        <f t="shared" si="66"/>
        <v>1301.8071937500001</v>
      </c>
      <c r="Z288" s="374"/>
    </row>
    <row r="289" spans="1:28" x14ac:dyDescent="0.35">
      <c r="B289" s="644"/>
      <c r="E289" s="645"/>
      <c r="F289" s="232" t="s">
        <v>236</v>
      </c>
      <c r="G289" s="318" t="s">
        <v>232</v>
      </c>
      <c r="H289" s="319"/>
      <c r="I289" s="320"/>
      <c r="J289" s="318" t="s">
        <v>189</v>
      </c>
      <c r="K289" s="627">
        <v>0.1</v>
      </c>
      <c r="L289" s="496">
        <v>192.08</v>
      </c>
      <c r="M289" s="423">
        <v>0.1</v>
      </c>
      <c r="N289" s="235">
        <v>6</v>
      </c>
      <c r="O289" s="507">
        <f>K289*L289*M289*N289</f>
        <v>11.524800000000003</v>
      </c>
      <c r="P289" s="235">
        <v>4759.9254973124989</v>
      </c>
      <c r="Q289" s="649">
        <f>P289*$O289</f>
        <v>54857.189371427099</v>
      </c>
      <c r="R289" s="372">
        <v>4849.8912000000009</v>
      </c>
      <c r="S289" s="649">
        <f>R289*$O289</f>
        <v>55894.026101760021</v>
      </c>
      <c r="T289" s="372">
        <v>5237.8824960000011</v>
      </c>
      <c r="U289" s="650">
        <f>O289*T289</f>
        <v>60365.548189900823</v>
      </c>
      <c r="V289" s="372">
        <f>W289/O289</f>
        <v>4949.2330644374997</v>
      </c>
      <c r="W289" s="478">
        <f>AVERAGEIF($P$3:$U$3,W$3,$P289:$U289)</f>
        <v>57038.921221029312</v>
      </c>
      <c r="X289" s="648"/>
      <c r="Y289" s="679">
        <f t="shared" si="66"/>
        <v>285.59552983875</v>
      </c>
      <c r="Z289" s="374"/>
    </row>
    <row r="290" spans="1:28" x14ac:dyDescent="0.35">
      <c r="B290" s="644"/>
      <c r="E290" s="645"/>
      <c r="F290" s="232" t="s">
        <v>237</v>
      </c>
      <c r="G290" s="318" t="s">
        <v>193</v>
      </c>
      <c r="H290" s="319">
        <v>4</v>
      </c>
      <c r="I290" s="320"/>
      <c r="J290" s="318" t="s">
        <v>189</v>
      </c>
      <c r="K290" s="627">
        <v>0.1</v>
      </c>
      <c r="L290" s="496">
        <v>192.08</v>
      </c>
      <c r="M290" s="373">
        <f>((M$287*N$287)/240*($H290/N290))</f>
        <v>1.0000000000000002E-2</v>
      </c>
      <c r="N290" s="235">
        <v>1</v>
      </c>
      <c r="O290" s="507">
        <f t="shared" ref="O290:O295" si="67">K290*L290*M290*N290</f>
        <v>0.19208000000000006</v>
      </c>
      <c r="P290" s="235">
        <v>52072.287750000003</v>
      </c>
      <c r="Q290" s="649">
        <f>P290*$O290</f>
        <v>10002.045031020003</v>
      </c>
      <c r="R290" s="372">
        <v>53966.062080000011</v>
      </c>
      <c r="S290" s="649">
        <f>R290*$O290</f>
        <v>10365.801204326404</v>
      </c>
      <c r="T290" s="372">
        <v>58283.347046400013</v>
      </c>
      <c r="U290" s="650">
        <f>O290*T290</f>
        <v>11195.065300672517</v>
      </c>
      <c r="V290" s="372">
        <f>W290/O290</f>
        <v>54773.898958800004</v>
      </c>
      <c r="W290" s="478">
        <f>AVERAGEIF($P$3:$U$3,W$3,$P290:$U290)</f>
        <v>10520.970512006308</v>
      </c>
      <c r="X290" s="648"/>
      <c r="Y290" s="679">
        <f t="shared" si="66"/>
        <v>52.072287750000015</v>
      </c>
      <c r="Z290" s="374"/>
    </row>
    <row r="291" spans="1:28" x14ac:dyDescent="0.35">
      <c r="B291" s="644"/>
      <c r="E291" s="645"/>
      <c r="F291" s="232" t="s">
        <v>230</v>
      </c>
      <c r="G291" s="318"/>
      <c r="H291" s="319"/>
      <c r="I291" s="320"/>
      <c r="J291" s="318"/>
      <c r="K291" s="627">
        <v>0.1</v>
      </c>
      <c r="L291" s="496">
        <v>192.08</v>
      </c>
      <c r="M291" s="377">
        <v>6.2500000000000003E-3</v>
      </c>
      <c r="N291" s="235">
        <v>1</v>
      </c>
      <c r="O291" s="507">
        <f t="shared" si="67"/>
        <v>0.12005000000000002</v>
      </c>
      <c r="P291" s="235">
        <v>1660951.0021781253</v>
      </c>
      <c r="Q291" s="649">
        <f t="shared" ref="Q291:Q295" si="68">P291*$O291</f>
        <v>199397.16781148396</v>
      </c>
      <c r="R291" s="649"/>
      <c r="S291" s="649"/>
      <c r="T291" s="649"/>
      <c r="U291" s="650"/>
      <c r="V291" s="649"/>
      <c r="W291" s="478"/>
      <c r="X291" s="648"/>
      <c r="Y291" s="679">
        <f t="shared" si="66"/>
        <v>1038.0943763613284</v>
      </c>
      <c r="Z291" s="374"/>
    </row>
    <row r="292" spans="1:28" x14ac:dyDescent="0.35">
      <c r="B292" s="644"/>
      <c r="E292" s="645"/>
      <c r="F292" s="232" t="s">
        <v>239</v>
      </c>
      <c r="G292" s="318"/>
      <c r="H292" s="319">
        <v>12</v>
      </c>
      <c r="I292" s="320"/>
      <c r="J292" s="318"/>
      <c r="K292" s="627">
        <v>0.1</v>
      </c>
      <c r="L292" s="496">
        <v>192.08</v>
      </c>
      <c r="M292" s="373">
        <f>((M$287*N$287)/240*($H292/N292))</f>
        <v>3.0000000000000006E-2</v>
      </c>
      <c r="N292" s="235">
        <v>1</v>
      </c>
      <c r="O292" s="507">
        <f t="shared" si="67"/>
        <v>0.5762400000000002</v>
      </c>
      <c r="P292" s="235">
        <v>17017.087500000001</v>
      </c>
      <c r="Q292" s="649">
        <f t="shared" si="68"/>
        <v>9805.9265010000036</v>
      </c>
      <c r="R292" s="649"/>
      <c r="S292" s="649"/>
      <c r="T292" s="649"/>
      <c r="U292" s="650"/>
      <c r="V292" s="649"/>
      <c r="W292" s="478"/>
      <c r="X292" s="648"/>
      <c r="Y292" s="679">
        <f t="shared" si="66"/>
        <v>51.051262500000014</v>
      </c>
      <c r="Z292" s="374"/>
    </row>
    <row r="293" spans="1:28" x14ac:dyDescent="0.35">
      <c r="B293" s="644"/>
      <c r="E293" s="645"/>
      <c r="F293" s="232" t="s">
        <v>240</v>
      </c>
      <c r="G293" s="318"/>
      <c r="H293" s="319">
        <v>1</v>
      </c>
      <c r="I293" s="320"/>
      <c r="J293" s="318"/>
      <c r="K293" s="627">
        <v>0.1</v>
      </c>
      <c r="L293" s="496">
        <v>192.08</v>
      </c>
      <c r="M293" s="377">
        <f t="shared" ref="M293:M295" si="69">((M$287*N$287)/240*($H293/N293))</f>
        <v>2.5000000000000005E-3</v>
      </c>
      <c r="N293" s="235">
        <v>1</v>
      </c>
      <c r="O293" s="507">
        <f t="shared" si="67"/>
        <v>4.8020000000000014E-2</v>
      </c>
      <c r="P293" s="235">
        <v>45563.251781250008</v>
      </c>
      <c r="Q293" s="649">
        <f t="shared" si="68"/>
        <v>2187.9473505356259</v>
      </c>
      <c r="R293" s="649"/>
      <c r="S293" s="649"/>
      <c r="T293" s="649"/>
      <c r="U293" s="650"/>
      <c r="V293" s="649"/>
      <c r="W293" s="478"/>
      <c r="X293" s="648"/>
      <c r="Y293" s="679">
        <f t="shared" si="66"/>
        <v>11.390812945312504</v>
      </c>
      <c r="Z293" s="374"/>
    </row>
    <row r="294" spans="1:28" x14ac:dyDescent="0.35">
      <c r="B294" s="644"/>
      <c r="E294" s="645"/>
      <c r="F294" s="232" t="s">
        <v>241</v>
      </c>
      <c r="G294" s="318"/>
      <c r="H294" s="319">
        <v>2</v>
      </c>
      <c r="I294" s="320"/>
      <c r="J294" s="318"/>
      <c r="K294" s="627">
        <v>0.1</v>
      </c>
      <c r="L294" s="496">
        <v>192.08</v>
      </c>
      <c r="M294" s="382">
        <f t="shared" si="69"/>
        <v>5.000000000000001E-3</v>
      </c>
      <c r="N294" s="235">
        <v>1</v>
      </c>
      <c r="O294" s="507">
        <f t="shared" si="67"/>
        <v>9.6040000000000028E-2</v>
      </c>
      <c r="P294" s="235">
        <v>39054.215812500006</v>
      </c>
      <c r="Q294" s="649">
        <f t="shared" si="68"/>
        <v>3750.7668866325016</v>
      </c>
      <c r="R294" s="649"/>
      <c r="S294" s="649"/>
      <c r="T294" s="649"/>
      <c r="U294" s="650"/>
      <c r="V294" s="649"/>
      <c r="W294" s="478"/>
      <c r="X294" s="648"/>
      <c r="Y294" s="679">
        <f t="shared" si="66"/>
        <v>19.527107906250006</v>
      </c>
      <c r="Z294" s="374"/>
    </row>
    <row r="295" spans="1:28" x14ac:dyDescent="0.35">
      <c r="B295" s="644"/>
      <c r="E295" s="645"/>
      <c r="F295" s="232" t="s">
        <v>242</v>
      </c>
      <c r="G295" s="318"/>
      <c r="H295" s="319">
        <v>1</v>
      </c>
      <c r="I295" s="320"/>
      <c r="J295" s="318"/>
      <c r="K295" s="627">
        <v>0.1</v>
      </c>
      <c r="L295" s="496">
        <v>192.08</v>
      </c>
      <c r="M295" s="377">
        <f t="shared" si="69"/>
        <v>2.5000000000000005E-3</v>
      </c>
      <c r="N295" s="235">
        <v>1</v>
      </c>
      <c r="O295" s="507">
        <f t="shared" si="67"/>
        <v>4.8020000000000014E-2</v>
      </c>
      <c r="P295" s="235">
        <v>104144.57550000001</v>
      </c>
      <c r="Q295" s="649">
        <f t="shared" si="68"/>
        <v>5001.0225155100015</v>
      </c>
      <c r="R295" s="649"/>
      <c r="S295" s="649"/>
      <c r="T295" s="649"/>
      <c r="U295" s="650"/>
      <c r="V295" s="649"/>
      <c r="W295" s="478"/>
      <c r="X295" s="648"/>
      <c r="Y295" s="679">
        <f t="shared" si="66"/>
        <v>26.036143875000008</v>
      </c>
      <c r="Z295" s="374"/>
    </row>
    <row r="296" spans="1:28" customFormat="1" x14ac:dyDescent="0.35">
      <c r="A296" s="94"/>
      <c r="B296" s="630" t="s">
        <v>563</v>
      </c>
      <c r="C296" s="770"/>
      <c r="D296" s="770"/>
      <c r="E296" s="771"/>
      <c r="F296" s="633"/>
      <c r="G296" s="634"/>
      <c r="H296" s="635"/>
      <c r="I296" s="636"/>
      <c r="J296" s="634"/>
      <c r="K296" s="637"/>
      <c r="L296" s="638"/>
      <c r="M296" s="772"/>
      <c r="N296" s="773"/>
      <c r="O296" s="635"/>
      <c r="P296" s="640"/>
      <c r="Q296" s="651">
        <f>SUM(Q287:Q295)</f>
        <v>2610849.2370579108</v>
      </c>
      <c r="R296" s="774"/>
      <c r="S296" s="651">
        <f>SUM(S287:S295)</f>
        <v>2388540.2402814636</v>
      </c>
      <c r="T296" s="803"/>
      <c r="U296" s="803"/>
      <c r="V296" s="803"/>
      <c r="W296" s="803"/>
      <c r="X296" s="652"/>
      <c r="Y296" s="653">
        <f>Q296/$C$1</f>
        <v>13592.50956402494</v>
      </c>
      <c r="Z296" s="642">
        <f>Q296/$Q$395*100</f>
        <v>6.5143542404372715E-2</v>
      </c>
      <c r="AA296" s="94"/>
      <c r="AB296" s="94"/>
    </row>
    <row r="297" spans="1:28" x14ac:dyDescent="0.35">
      <c r="B297" s="654"/>
      <c r="C297" s="655" t="s">
        <v>564</v>
      </c>
      <c r="D297" s="655"/>
      <c r="E297" s="702"/>
      <c r="F297" s="374" t="s">
        <v>187</v>
      </c>
      <c r="G297" s="596" t="s">
        <v>188</v>
      </c>
      <c r="H297" s="602"/>
      <c r="I297" s="626"/>
      <c r="J297" s="625"/>
      <c r="K297" s="596"/>
      <c r="L297" s="496"/>
      <c r="M297" s="377">
        <v>0.5</v>
      </c>
      <c r="N297" s="372">
        <v>1</v>
      </c>
      <c r="O297" s="812"/>
      <c r="P297" s="628"/>
      <c r="Q297" s="628"/>
      <c r="R297" s="628"/>
      <c r="S297" s="628"/>
      <c r="T297" s="629"/>
      <c r="U297" s="629"/>
      <c r="V297" s="629"/>
      <c r="W297" s="629"/>
      <c r="X297" s="602"/>
      <c r="Y297" s="374"/>
      <c r="Z297" s="374"/>
      <c r="AB297" s="813"/>
    </row>
    <row r="298" spans="1:28" hidden="1" x14ac:dyDescent="0.35">
      <c r="B298" s="622"/>
      <c r="C298" s="623"/>
      <c r="D298" s="623"/>
      <c r="E298" s="624"/>
      <c r="F298" s="374" t="s">
        <v>404</v>
      </c>
      <c r="G298" s="596" t="s">
        <v>191</v>
      </c>
      <c r="H298" s="602"/>
      <c r="I298" s="626"/>
      <c r="J298" s="625"/>
      <c r="K298" s="596"/>
      <c r="L298" s="496"/>
      <c r="M298" s="377">
        <v>1.92</v>
      </c>
      <c r="N298" s="372">
        <v>1</v>
      </c>
      <c r="O298" s="812"/>
      <c r="P298" s="628"/>
      <c r="Q298" s="628"/>
      <c r="R298" s="628"/>
      <c r="S298" s="628"/>
      <c r="T298" s="629"/>
      <c r="U298" s="629"/>
      <c r="V298" s="629"/>
      <c r="W298" s="629"/>
      <c r="X298" s="602"/>
      <c r="Y298" s="374"/>
      <c r="Z298" s="374"/>
    </row>
    <row r="299" spans="1:28" x14ac:dyDescent="0.35">
      <c r="B299" s="644"/>
      <c r="C299" s="286" t="s">
        <v>565</v>
      </c>
      <c r="E299" s="645"/>
      <c r="F299" s="232" t="s">
        <v>187</v>
      </c>
      <c r="G299" s="318" t="s">
        <v>188</v>
      </c>
      <c r="H299" s="319"/>
      <c r="I299" s="320"/>
      <c r="J299" s="318" t="s">
        <v>189</v>
      </c>
      <c r="K299" s="814">
        <v>0</v>
      </c>
      <c r="L299" s="506">
        <v>192.08</v>
      </c>
      <c r="M299" s="233">
        <v>0.25</v>
      </c>
      <c r="N299" s="235">
        <v>24</v>
      </c>
      <c r="O299" s="507">
        <f>K299*L299*M299*N299</f>
        <v>0</v>
      </c>
      <c r="P299" s="235">
        <v>180115.58081830497</v>
      </c>
      <c r="Q299" s="628">
        <f>P299*$O299</f>
        <v>0</v>
      </c>
      <c r="R299" s="373">
        <v>179635.86432000002</v>
      </c>
      <c r="S299" s="628">
        <f>R299*$O299</f>
        <v>0</v>
      </c>
      <c r="T299" s="373">
        <v>197599.45075200003</v>
      </c>
      <c r="U299" s="629">
        <f>$O299*T299</f>
        <v>0</v>
      </c>
      <c r="V299" s="373" t="e">
        <f>W299/O299</f>
        <v>#DIV/0!</v>
      </c>
      <c r="W299" s="241">
        <f>AVERAGEIF($P$3:$U$3,W$3,$P299:$U299)</f>
        <v>0</v>
      </c>
      <c r="X299" s="602"/>
      <c r="Y299" s="807">
        <f t="shared" ref="Y299:Y301" si="70">Q299/192.08</f>
        <v>0</v>
      </c>
      <c r="Z299" s="374"/>
    </row>
    <row r="300" spans="1:28" hidden="1" x14ac:dyDescent="0.35">
      <c r="B300" s="644"/>
      <c r="E300" s="645"/>
      <c r="F300" s="232" t="s">
        <v>566</v>
      </c>
      <c r="G300" s="318" t="s">
        <v>567</v>
      </c>
      <c r="H300" s="319"/>
      <c r="I300" s="320"/>
      <c r="J300" s="318" t="s">
        <v>189</v>
      </c>
      <c r="K300" s="814">
        <v>0</v>
      </c>
      <c r="L300" s="506">
        <v>192.08</v>
      </c>
      <c r="M300" s="233">
        <f>1/2</f>
        <v>0.5</v>
      </c>
      <c r="N300" s="235">
        <v>6</v>
      </c>
      <c r="O300" s="507">
        <f>K300*L300*M300*N300</f>
        <v>0</v>
      </c>
      <c r="P300" s="235">
        <v>89713.112894999998</v>
      </c>
      <c r="Q300" s="628">
        <f>P300*$O300</f>
        <v>0</v>
      </c>
      <c r="R300" s="373">
        <v>90416.993709600007</v>
      </c>
      <c r="S300" s="628">
        <f>R300*$O300</f>
        <v>0</v>
      </c>
      <c r="T300" s="373">
        <v>96746.18326927202</v>
      </c>
      <c r="U300" s="629">
        <f>$O300*T300</f>
        <v>0</v>
      </c>
      <c r="V300" s="373" t="e">
        <f>W300/O300</f>
        <v>#DIV/0!</v>
      </c>
      <c r="W300" s="241">
        <f>AVERAGEIF($P$3:$U$3,W$3,$P300:$U300)</f>
        <v>0</v>
      </c>
      <c r="X300" s="602"/>
      <c r="Y300" s="807">
        <f t="shared" si="70"/>
        <v>0</v>
      </c>
      <c r="Z300" s="374"/>
    </row>
    <row r="301" spans="1:28" hidden="1" x14ac:dyDescent="0.35">
      <c r="B301" s="644"/>
      <c r="E301" s="645"/>
      <c r="F301" s="232" t="s">
        <v>568</v>
      </c>
      <c r="G301" s="318" t="s">
        <v>193</v>
      </c>
      <c r="H301" s="319"/>
      <c r="I301" s="320"/>
      <c r="J301" s="318" t="s">
        <v>189</v>
      </c>
      <c r="K301" s="814">
        <v>0</v>
      </c>
      <c r="L301" s="506">
        <v>192.08</v>
      </c>
      <c r="M301" s="233">
        <f>1/2</f>
        <v>0.5</v>
      </c>
      <c r="N301" s="235">
        <v>3</v>
      </c>
      <c r="O301" s="507">
        <f>K301*L301*M301*N301</f>
        <v>0</v>
      </c>
      <c r="P301" s="235">
        <v>60775.3125</v>
      </c>
      <c r="Q301" s="628">
        <f>P301*$O301</f>
        <v>0</v>
      </c>
      <c r="R301" s="373">
        <v>62985.600000000013</v>
      </c>
      <c r="S301" s="628">
        <f>R301*$O301</f>
        <v>0</v>
      </c>
      <c r="T301" s="373">
        <v>68024.448000000019</v>
      </c>
      <c r="U301" s="629">
        <f>$O301*T301</f>
        <v>0</v>
      </c>
      <c r="V301" s="373" t="e">
        <f>W301/O301</f>
        <v>#DIV/0!</v>
      </c>
      <c r="W301" s="241">
        <f>AVERAGEIF($P$3:$U$3,W$3,$P301:$U301)</f>
        <v>0</v>
      </c>
      <c r="X301" s="602"/>
      <c r="Y301" s="807">
        <f t="shared" si="70"/>
        <v>0</v>
      </c>
      <c r="Z301" s="374"/>
    </row>
    <row r="302" spans="1:28" x14ac:dyDescent="0.35">
      <c r="B302" s="644"/>
      <c r="E302" s="645"/>
      <c r="F302" s="232" t="s">
        <v>187</v>
      </c>
      <c r="G302" s="318" t="s">
        <v>188</v>
      </c>
      <c r="H302" s="319"/>
      <c r="I302" s="320"/>
      <c r="J302" s="318" t="s">
        <v>189</v>
      </c>
      <c r="K302" s="627">
        <v>1</v>
      </c>
      <c r="L302" s="506">
        <v>51.1</v>
      </c>
      <c r="M302" s="233">
        <v>0.25</v>
      </c>
      <c r="N302" s="235">
        <v>12</v>
      </c>
      <c r="O302" s="507">
        <f>K302*L302*M302*N302</f>
        <v>153.30000000000001</v>
      </c>
      <c r="P302" s="235">
        <v>180115.58081830497</v>
      </c>
      <c r="Q302" s="649">
        <f>O302*P302</f>
        <v>27611718.539446153</v>
      </c>
      <c r="R302" s="372"/>
      <c r="S302" s="649"/>
      <c r="T302" s="372"/>
      <c r="U302" s="650"/>
      <c r="V302" s="372"/>
      <c r="W302" s="478"/>
      <c r="X302" s="648"/>
      <c r="Y302" s="679">
        <f>Q302/$L$302</f>
        <v>540346.74245491496</v>
      </c>
      <c r="Z302" s="374"/>
    </row>
    <row r="303" spans="1:28" x14ac:dyDescent="0.35">
      <c r="B303" s="644"/>
      <c r="E303" s="645"/>
      <c r="F303" s="232" t="s">
        <v>236</v>
      </c>
      <c r="G303" s="318" t="s">
        <v>188</v>
      </c>
      <c r="H303" s="319"/>
      <c r="I303" s="320"/>
      <c r="J303" s="318" t="s">
        <v>189</v>
      </c>
      <c r="K303" s="627">
        <v>1</v>
      </c>
      <c r="L303" s="506">
        <v>51.1</v>
      </c>
      <c r="M303" s="373">
        <v>0.25</v>
      </c>
      <c r="N303" s="235">
        <v>12</v>
      </c>
      <c r="O303" s="507">
        <f t="shared" ref="O303:O309" si="71">K303*L303*M303*N303</f>
        <v>153.30000000000001</v>
      </c>
      <c r="P303" s="235">
        <v>4759.9254973124989</v>
      </c>
      <c r="Q303" s="649">
        <f t="shared" ref="Q303:Q310" si="72">O303*P303</f>
        <v>729696.57873800618</v>
      </c>
      <c r="R303" s="372"/>
      <c r="S303" s="649"/>
      <c r="T303" s="372"/>
      <c r="U303" s="650"/>
      <c r="V303" s="372"/>
      <c r="W303" s="478"/>
      <c r="X303" s="648"/>
      <c r="Y303" s="679">
        <f t="shared" ref="Y303:Y310" si="73">Q303/$L$302</f>
        <v>14279.776491937499</v>
      </c>
      <c r="Z303" s="374"/>
    </row>
    <row r="304" spans="1:28" x14ac:dyDescent="0.35">
      <c r="B304" s="644"/>
      <c r="E304" s="645"/>
      <c r="F304" s="232" t="s">
        <v>237</v>
      </c>
      <c r="G304" s="318" t="s">
        <v>193</v>
      </c>
      <c r="H304" s="319">
        <v>4</v>
      </c>
      <c r="I304" s="320" t="s">
        <v>238</v>
      </c>
      <c r="J304" s="318" t="s">
        <v>189</v>
      </c>
      <c r="K304" s="627">
        <v>1</v>
      </c>
      <c r="L304" s="506">
        <f>$L$302</f>
        <v>51.1</v>
      </c>
      <c r="M304" s="382">
        <f>((M$302*N$302)/240*($H304/N304))</f>
        <v>2.5000000000000001E-2</v>
      </c>
      <c r="N304" s="235">
        <v>2</v>
      </c>
      <c r="O304" s="507">
        <f t="shared" si="71"/>
        <v>2.5550000000000002</v>
      </c>
      <c r="P304" s="235">
        <v>52072.287750000003</v>
      </c>
      <c r="Q304" s="649">
        <f t="shared" si="72"/>
        <v>133044.69520125003</v>
      </c>
      <c r="R304" s="372"/>
      <c r="S304" s="649"/>
      <c r="T304" s="372"/>
      <c r="U304" s="650"/>
      <c r="V304" s="372"/>
      <c r="W304" s="478"/>
      <c r="X304" s="648"/>
      <c r="Y304" s="679">
        <f t="shared" si="73"/>
        <v>2603.6143875000002</v>
      </c>
      <c r="Z304" s="374"/>
    </row>
    <row r="305" spans="1:28" x14ac:dyDescent="0.35">
      <c r="B305" s="644"/>
      <c r="E305" s="645"/>
      <c r="F305" s="232" t="s">
        <v>230</v>
      </c>
      <c r="G305" s="318" t="s">
        <v>193</v>
      </c>
      <c r="H305" s="319"/>
      <c r="I305" s="320"/>
      <c r="J305" s="318"/>
      <c r="K305" s="627">
        <v>1</v>
      </c>
      <c r="L305" s="506">
        <v>51.1</v>
      </c>
      <c r="M305" s="377">
        <v>6.2500000000000003E-3</v>
      </c>
      <c r="N305" s="235">
        <v>1</v>
      </c>
      <c r="O305" s="507">
        <f t="shared" si="71"/>
        <v>0.31937500000000002</v>
      </c>
      <c r="P305" s="235">
        <v>1660951.0021781253</v>
      </c>
      <c r="Q305" s="649">
        <f t="shared" si="72"/>
        <v>530466.22632063879</v>
      </c>
      <c r="R305" s="372"/>
      <c r="S305" s="649"/>
      <c r="T305" s="372"/>
      <c r="U305" s="650"/>
      <c r="V305" s="372"/>
      <c r="W305" s="478"/>
      <c r="X305" s="648"/>
      <c r="Y305" s="679">
        <f t="shared" si="73"/>
        <v>10380.943763613282</v>
      </c>
      <c r="Z305" s="374"/>
    </row>
    <row r="306" spans="1:28" x14ac:dyDescent="0.35">
      <c r="B306" s="644"/>
      <c r="E306" s="645"/>
      <c r="F306" s="232" t="s">
        <v>239</v>
      </c>
      <c r="G306" s="318" t="s">
        <v>193</v>
      </c>
      <c r="H306" s="319">
        <v>12</v>
      </c>
      <c r="I306" s="320" t="s">
        <v>238</v>
      </c>
      <c r="J306" s="318" t="s">
        <v>189</v>
      </c>
      <c r="K306" s="627">
        <v>1</v>
      </c>
      <c r="L306" s="506">
        <f t="shared" ref="L306:L309" si="74">$L$302</f>
        <v>51.1</v>
      </c>
      <c r="M306" s="382">
        <f t="shared" ref="M306:M309" si="75">((M$302*N$302)/240*($H306/N306))</f>
        <v>7.5000000000000011E-2</v>
      </c>
      <c r="N306" s="235">
        <v>2</v>
      </c>
      <c r="O306" s="507">
        <f t="shared" si="71"/>
        <v>7.6650000000000009</v>
      </c>
      <c r="P306" s="235">
        <v>17017.087500000001</v>
      </c>
      <c r="Q306" s="649">
        <f t="shared" si="72"/>
        <v>130435.97568750003</v>
      </c>
      <c r="R306" s="372"/>
      <c r="S306" s="649"/>
      <c r="T306" s="372"/>
      <c r="U306" s="650"/>
      <c r="V306" s="372"/>
      <c r="W306" s="478"/>
      <c r="X306" s="648"/>
      <c r="Y306" s="679">
        <f t="shared" si="73"/>
        <v>2552.5631250000006</v>
      </c>
      <c r="Z306" s="374"/>
    </row>
    <row r="307" spans="1:28" x14ac:dyDescent="0.35">
      <c r="B307" s="644"/>
      <c r="E307" s="645"/>
      <c r="F307" s="232" t="s">
        <v>240</v>
      </c>
      <c r="G307" s="318" t="s">
        <v>193</v>
      </c>
      <c r="H307" s="319">
        <v>1</v>
      </c>
      <c r="I307" s="320" t="s">
        <v>238</v>
      </c>
      <c r="J307" s="318" t="s">
        <v>189</v>
      </c>
      <c r="K307" s="627">
        <v>1</v>
      </c>
      <c r="L307" s="506">
        <f t="shared" si="74"/>
        <v>51.1</v>
      </c>
      <c r="M307" s="377">
        <f t="shared" si="75"/>
        <v>6.2500000000000003E-3</v>
      </c>
      <c r="N307" s="235">
        <v>2</v>
      </c>
      <c r="O307" s="507">
        <f t="shared" si="71"/>
        <v>0.63875000000000004</v>
      </c>
      <c r="P307" s="235">
        <v>45563.251781250008</v>
      </c>
      <c r="Q307" s="649">
        <f t="shared" si="72"/>
        <v>29103.527075273443</v>
      </c>
      <c r="R307" s="372"/>
      <c r="S307" s="649"/>
      <c r="T307" s="372"/>
      <c r="U307" s="650"/>
      <c r="V307" s="372"/>
      <c r="W307" s="478"/>
      <c r="X307" s="648"/>
      <c r="Y307" s="679">
        <f t="shared" si="73"/>
        <v>569.54064726562513</v>
      </c>
      <c r="Z307" s="374"/>
    </row>
    <row r="308" spans="1:28" x14ac:dyDescent="0.35">
      <c r="B308" s="644"/>
      <c r="E308" s="645"/>
      <c r="F308" s="232" t="s">
        <v>241</v>
      </c>
      <c r="G308" s="318" t="s">
        <v>193</v>
      </c>
      <c r="H308" s="319">
        <v>2</v>
      </c>
      <c r="I308" s="320" t="s">
        <v>238</v>
      </c>
      <c r="J308" s="318" t="s">
        <v>189</v>
      </c>
      <c r="K308" s="627">
        <v>1</v>
      </c>
      <c r="L308" s="506">
        <f t="shared" si="74"/>
        <v>51.1</v>
      </c>
      <c r="M308" s="377">
        <f t="shared" si="75"/>
        <v>1.2500000000000001E-2</v>
      </c>
      <c r="N308" s="235">
        <v>2</v>
      </c>
      <c r="O308" s="507">
        <f t="shared" si="71"/>
        <v>1.2775000000000001</v>
      </c>
      <c r="P308" s="235">
        <v>39054.215812500006</v>
      </c>
      <c r="Q308" s="649">
        <f t="shared" si="72"/>
        <v>49891.76070046876</v>
      </c>
      <c r="R308" s="372"/>
      <c r="S308" s="649"/>
      <c r="T308" s="372"/>
      <c r="U308" s="650"/>
      <c r="V308" s="372"/>
      <c r="W308" s="478"/>
      <c r="X308" s="648"/>
      <c r="Y308" s="679">
        <f t="shared" si="73"/>
        <v>976.35539531250015</v>
      </c>
      <c r="Z308" s="374"/>
    </row>
    <row r="309" spans="1:28" x14ac:dyDescent="0.35">
      <c r="B309" s="644"/>
      <c r="E309" s="645"/>
      <c r="F309" s="232" t="s">
        <v>242</v>
      </c>
      <c r="G309" s="318" t="s">
        <v>193</v>
      </c>
      <c r="H309" s="319">
        <v>1</v>
      </c>
      <c r="I309" s="320" t="s">
        <v>238</v>
      </c>
      <c r="J309" s="318" t="s">
        <v>189</v>
      </c>
      <c r="K309" s="627">
        <v>1</v>
      </c>
      <c r="L309" s="506">
        <f t="shared" si="74"/>
        <v>51.1</v>
      </c>
      <c r="M309" s="377">
        <f t="shared" si="75"/>
        <v>1.2500000000000001E-2</v>
      </c>
      <c r="N309" s="235">
        <v>1</v>
      </c>
      <c r="O309" s="507">
        <f t="shared" si="71"/>
        <v>0.63875000000000004</v>
      </c>
      <c r="P309" s="235">
        <v>104144.57550000001</v>
      </c>
      <c r="Q309" s="649">
        <f t="shared" si="72"/>
        <v>66522.347600625013</v>
      </c>
      <c r="R309" s="372"/>
      <c r="S309" s="649"/>
      <c r="T309" s="372"/>
      <c r="U309" s="650"/>
      <c r="V309" s="372"/>
      <c r="W309" s="478"/>
      <c r="X309" s="648"/>
      <c r="Y309" s="679">
        <f t="shared" si="73"/>
        <v>1301.8071937500001</v>
      </c>
      <c r="Z309" s="374"/>
    </row>
    <row r="310" spans="1:28" x14ac:dyDescent="0.35">
      <c r="B310" s="644"/>
      <c r="E310" s="645"/>
      <c r="F310" s="232" t="s">
        <v>341</v>
      </c>
      <c r="G310" s="318" t="s">
        <v>232</v>
      </c>
      <c r="H310" s="319"/>
      <c r="I310" s="320"/>
      <c r="J310" s="318" t="s">
        <v>189</v>
      </c>
      <c r="K310" s="627">
        <v>1</v>
      </c>
      <c r="L310" s="506">
        <v>51.1</v>
      </c>
      <c r="M310" s="377">
        <f>91.08/1000</f>
        <v>9.1079999999999994E-2</v>
      </c>
      <c r="N310" s="235">
        <v>12</v>
      </c>
      <c r="O310" s="507">
        <f>K310*L310*M310*N310</f>
        <v>55.850255999999995</v>
      </c>
      <c r="P310" s="235">
        <v>61928.827931250002</v>
      </c>
      <c r="Q310" s="649">
        <f t="shared" si="72"/>
        <v>3458740.8937402628</v>
      </c>
      <c r="R310" s="372"/>
      <c r="S310" s="649"/>
      <c r="T310" s="372"/>
      <c r="U310" s="650"/>
      <c r="V310" s="372"/>
      <c r="W310" s="478"/>
      <c r="X310" s="648"/>
      <c r="Y310" s="679">
        <f t="shared" si="73"/>
        <v>67685.731775738997</v>
      </c>
      <c r="Z310" s="374"/>
    </row>
    <row r="311" spans="1:28" x14ac:dyDescent="0.35">
      <c r="B311" s="644"/>
      <c r="E311" s="645"/>
      <c r="F311" s="225" t="s">
        <v>187</v>
      </c>
      <c r="G311" s="226" t="s">
        <v>188</v>
      </c>
      <c r="H311" s="227"/>
      <c r="I311" s="228"/>
      <c r="J311" s="229"/>
      <c r="K311" s="239">
        <v>1</v>
      </c>
      <c r="L311" s="506">
        <f>192.08-51.1</f>
        <v>140.98000000000002</v>
      </c>
      <c r="M311" s="373">
        <v>0.25</v>
      </c>
      <c r="N311" s="235">
        <v>24</v>
      </c>
      <c r="O311" s="233">
        <f>K311*L311*M311*N311</f>
        <v>845.88000000000011</v>
      </c>
      <c r="P311" s="235">
        <v>180115.58081830497</v>
      </c>
      <c r="Q311" s="649">
        <f t="shared" ref="Q311:Q313" si="76">P311*$O311</f>
        <v>152356167.50258783</v>
      </c>
      <c r="R311" s="372"/>
      <c r="S311" s="649"/>
      <c r="T311" s="372"/>
      <c r="U311" s="650"/>
      <c r="V311" s="372"/>
      <c r="W311" s="478"/>
      <c r="X311" s="648"/>
      <c r="Y311" s="679">
        <f>Q311/$L$311</f>
        <v>1080693.4849098299</v>
      </c>
      <c r="Z311" s="374"/>
    </row>
    <row r="312" spans="1:28" x14ac:dyDescent="0.35">
      <c r="B312" s="644"/>
      <c r="E312" s="645"/>
      <c r="F312" s="225" t="s">
        <v>400</v>
      </c>
      <c r="G312" s="226" t="s">
        <v>401</v>
      </c>
      <c r="H312" s="227"/>
      <c r="I312" s="228"/>
      <c r="J312" s="229"/>
      <c r="K312" s="239">
        <v>1</v>
      </c>
      <c r="L312" s="506">
        <f t="shared" ref="L312:L313" si="77">192.08-51.1</f>
        <v>140.98000000000002</v>
      </c>
      <c r="M312" s="373">
        <f>5*136/1000</f>
        <v>0.68</v>
      </c>
      <c r="N312" s="235">
        <v>24</v>
      </c>
      <c r="O312" s="233">
        <f>K312*L312*M312*N312</f>
        <v>2300.7936000000004</v>
      </c>
      <c r="P312" s="235">
        <v>37492.047180000001</v>
      </c>
      <c r="Q312" s="649">
        <f t="shared" si="76"/>
        <v>86261462.202642068</v>
      </c>
      <c r="R312" s="372"/>
      <c r="S312" s="649"/>
      <c r="T312" s="372"/>
      <c r="U312" s="650"/>
      <c r="V312" s="372"/>
      <c r="W312" s="478"/>
      <c r="X312" s="648" t="s">
        <v>638</v>
      </c>
      <c r="Y312" s="679">
        <f t="shared" ref="Y312:Y313" si="78">Q312/$L$311</f>
        <v>611870.20997760003</v>
      </c>
      <c r="Z312" s="374"/>
    </row>
    <row r="313" spans="1:28" x14ac:dyDescent="0.35">
      <c r="B313" s="644"/>
      <c r="E313" s="645"/>
      <c r="F313" s="232" t="s">
        <v>242</v>
      </c>
      <c r="G313" s="318" t="s">
        <v>193</v>
      </c>
      <c r="H313" s="319">
        <v>1</v>
      </c>
      <c r="I313" s="320" t="s">
        <v>238</v>
      </c>
      <c r="J313" s="318" t="s">
        <v>189</v>
      </c>
      <c r="K313" s="420">
        <v>1</v>
      </c>
      <c r="L313" s="506">
        <f t="shared" si="77"/>
        <v>140.98000000000002</v>
      </c>
      <c r="M313" s="377">
        <f>((M$311*N$311)/240*($H313/N313))</f>
        <v>2.5000000000000001E-2</v>
      </c>
      <c r="N313" s="235">
        <v>1</v>
      </c>
      <c r="O313" s="507">
        <f t="shared" ref="O313" si="79">K313*L313*M313*N313</f>
        <v>3.5245000000000006</v>
      </c>
      <c r="P313" s="235">
        <v>104144.57550000001</v>
      </c>
      <c r="Q313" s="649">
        <f t="shared" si="76"/>
        <v>367057.55634975008</v>
      </c>
      <c r="R313" s="372"/>
      <c r="S313" s="649"/>
      <c r="T313" s="372"/>
      <c r="U313" s="650"/>
      <c r="V313" s="372"/>
      <c r="W313" s="478"/>
      <c r="X313" s="648"/>
      <c r="Y313" s="679">
        <f t="shared" si="78"/>
        <v>2603.6143875000002</v>
      </c>
      <c r="Z313" s="374"/>
    </row>
    <row r="314" spans="1:28" customFormat="1" x14ac:dyDescent="0.35">
      <c r="A314" s="94"/>
      <c r="B314" s="630" t="s">
        <v>569</v>
      </c>
      <c r="C314" s="770"/>
      <c r="D314" s="770"/>
      <c r="E314" s="771"/>
      <c r="F314" s="633"/>
      <c r="G314" s="634"/>
      <c r="H314" s="635"/>
      <c r="I314" s="636"/>
      <c r="J314" s="634"/>
      <c r="K314" s="637"/>
      <c r="L314" s="638"/>
      <c r="M314" s="772"/>
      <c r="N314" s="773"/>
      <c r="O314" s="635"/>
      <c r="P314" s="640"/>
      <c r="Q314" s="651">
        <f>SUM(Q299:Q313)</f>
        <v>271724307.80608982</v>
      </c>
      <c r="R314" s="774"/>
      <c r="S314" s="651">
        <f>SUM(S295:S313)</f>
        <v>2388540.2402814636</v>
      </c>
      <c r="T314" s="803"/>
      <c r="U314" s="803"/>
      <c r="V314" s="803"/>
      <c r="W314" s="803"/>
      <c r="X314" s="652"/>
      <c r="Y314" s="653">
        <f>Q314/$C$1</f>
        <v>1414641.3359334122</v>
      </c>
      <c r="Z314" s="642">
        <f>Q314/$Q$395*100</f>
        <v>6.7798185037339298</v>
      </c>
      <c r="AA314" s="94"/>
      <c r="AB314" s="94"/>
    </row>
    <row r="315" spans="1:28" x14ac:dyDescent="0.35">
      <c r="B315" s="644"/>
      <c r="C315" s="655" t="s">
        <v>570</v>
      </c>
      <c r="D315" s="655"/>
      <c r="E315" s="702"/>
      <c r="F315" s="374" t="s">
        <v>187</v>
      </c>
      <c r="G315" s="625" t="s">
        <v>188</v>
      </c>
      <c r="H315" s="602"/>
      <c r="I315" s="626"/>
      <c r="J315" s="625"/>
      <c r="K315" s="596"/>
      <c r="L315" s="496"/>
      <c r="M315" s="377"/>
      <c r="N315" s="372"/>
      <c r="O315" s="602"/>
      <c r="P315" s="628"/>
      <c r="Q315" s="628"/>
      <c r="R315" s="628"/>
      <c r="S315" s="628"/>
      <c r="T315" s="629"/>
      <c r="U315" s="629"/>
      <c r="V315" s="629"/>
      <c r="W315" s="629"/>
      <c r="X315" s="602"/>
      <c r="Y315" s="374"/>
      <c r="Z315" s="374"/>
    </row>
    <row r="316" spans="1:28" hidden="1" x14ac:dyDescent="0.35">
      <c r="B316" s="644"/>
      <c r="E316" s="645"/>
      <c r="F316" s="374" t="s">
        <v>476</v>
      </c>
      <c r="G316" s="625" t="s">
        <v>232</v>
      </c>
      <c r="H316" s="602"/>
      <c r="I316" s="626"/>
      <c r="J316" s="625"/>
      <c r="K316" s="596"/>
      <c r="L316" s="496"/>
      <c r="M316" s="377"/>
      <c r="N316" s="372"/>
      <c r="O316" s="602"/>
      <c r="P316" s="628"/>
      <c r="Q316" s="628"/>
      <c r="R316" s="628"/>
      <c r="S316" s="628"/>
      <c r="T316" s="629"/>
      <c r="U316" s="629"/>
      <c r="V316" s="629"/>
      <c r="W316" s="629"/>
      <c r="X316" s="602"/>
      <c r="Y316" s="374"/>
      <c r="Z316" s="374"/>
    </row>
    <row r="317" spans="1:28" ht="15" customHeight="1" x14ac:dyDescent="0.35">
      <c r="B317" s="654"/>
      <c r="C317" s="655" t="s">
        <v>571</v>
      </c>
      <c r="D317" s="655"/>
      <c r="E317" s="702"/>
      <c r="F317" s="374" t="s">
        <v>187</v>
      </c>
      <c r="G317" s="596" t="s">
        <v>188</v>
      </c>
      <c r="H317" s="654"/>
      <c r="I317" s="655"/>
      <c r="J317" s="815"/>
      <c r="K317" s="816"/>
      <c r="L317" s="817"/>
      <c r="M317" s="377">
        <v>11.5</v>
      </c>
      <c r="N317" s="372">
        <v>1</v>
      </c>
      <c r="O317" s="562"/>
      <c r="P317" s="373"/>
      <c r="Q317" s="373"/>
      <c r="R317" s="373"/>
      <c r="S317" s="373"/>
      <c r="T317" s="818"/>
      <c r="U317" s="818"/>
      <c r="V317" s="818"/>
      <c r="W317" s="818"/>
      <c r="X317" s="602"/>
      <c r="Y317" s="374"/>
      <c r="Z317" s="374"/>
    </row>
    <row r="318" spans="1:28" hidden="1" x14ac:dyDescent="0.35">
      <c r="B318" s="644"/>
      <c r="E318" s="645"/>
      <c r="F318" s="374" t="s">
        <v>410</v>
      </c>
      <c r="G318" s="596" t="s">
        <v>411</v>
      </c>
      <c r="H318" s="644"/>
      <c r="J318" s="819"/>
      <c r="K318" s="820"/>
      <c r="L318" s="821"/>
      <c r="M318" s="377">
        <f>0.002*136</f>
        <v>0.27200000000000002</v>
      </c>
      <c r="N318" s="372">
        <v>1</v>
      </c>
      <c r="O318" s="562"/>
      <c r="P318" s="373"/>
      <c r="Q318" s="373"/>
      <c r="R318" s="373"/>
      <c r="S318" s="373"/>
      <c r="T318" s="818"/>
      <c r="U318" s="818"/>
      <c r="V318" s="818"/>
      <c r="W318" s="818"/>
      <c r="X318" s="602"/>
      <c r="Y318" s="374"/>
      <c r="Z318" s="374"/>
    </row>
    <row r="319" spans="1:28" hidden="1" x14ac:dyDescent="0.35">
      <c r="B319" s="644"/>
      <c r="E319" s="645"/>
      <c r="F319" s="374" t="s">
        <v>412</v>
      </c>
      <c r="G319" s="596" t="s">
        <v>191</v>
      </c>
      <c r="H319" s="622"/>
      <c r="I319" s="623"/>
      <c r="J319" s="822"/>
      <c r="K319" s="823"/>
      <c r="L319" s="824"/>
      <c r="M319" s="377">
        <f>0.001*136</f>
        <v>0.13600000000000001</v>
      </c>
      <c r="N319" s="372">
        <v>1</v>
      </c>
      <c r="O319" s="562"/>
      <c r="P319" s="373"/>
      <c r="Q319" s="373"/>
      <c r="R319" s="373"/>
      <c r="S319" s="373"/>
      <c r="T319" s="818"/>
      <c r="U319" s="818"/>
      <c r="V319" s="818"/>
      <c r="W319" s="818"/>
      <c r="X319" s="602"/>
      <c r="Y319" s="374"/>
      <c r="Z319" s="374"/>
    </row>
    <row r="320" spans="1:28" x14ac:dyDescent="0.35">
      <c r="B320" s="644"/>
      <c r="C320" s="286" t="s">
        <v>573</v>
      </c>
      <c r="E320" s="645"/>
      <c r="F320" s="374" t="s">
        <v>187</v>
      </c>
      <c r="G320" s="625" t="s">
        <v>188</v>
      </c>
      <c r="H320" s="602"/>
      <c r="I320" s="626"/>
      <c r="J320" s="625"/>
      <c r="K320" s="596"/>
      <c r="L320" s="496"/>
      <c r="M320" s="377"/>
      <c r="N320" s="372"/>
      <c r="O320" s="602"/>
      <c r="P320" s="628"/>
      <c r="Q320" s="628"/>
      <c r="R320" s="628"/>
      <c r="S320" s="628"/>
      <c r="T320" s="629"/>
      <c r="U320" s="629"/>
      <c r="V320" s="629"/>
      <c r="W320" s="629"/>
      <c r="X320" s="602"/>
      <c r="Y320" s="374"/>
      <c r="Z320" s="374"/>
    </row>
    <row r="321" spans="1:28" customFormat="1" x14ac:dyDescent="0.35">
      <c r="A321" s="94"/>
      <c r="B321" s="693" t="s">
        <v>608</v>
      </c>
      <c r="C321" s="776"/>
      <c r="D321" s="776"/>
      <c r="E321" s="777"/>
      <c r="F321" s="516"/>
      <c r="G321" s="613"/>
      <c r="H321" s="614"/>
      <c r="I321" s="615"/>
      <c r="J321" s="613"/>
      <c r="K321" s="616"/>
      <c r="L321" s="617"/>
      <c r="M321" s="527"/>
      <c r="N321" s="766"/>
      <c r="O321" s="614"/>
      <c r="P321" s="618"/>
      <c r="Q321" s="696">
        <f>Q285+Q296+Q314</f>
        <v>330482356.1902771</v>
      </c>
      <c r="R321" s="778"/>
      <c r="S321" s="696">
        <f>SUM(S312:S320)</f>
        <v>2388540.2402814636</v>
      </c>
      <c r="T321" s="673"/>
      <c r="U321" s="673"/>
      <c r="V321" s="673"/>
      <c r="W321" s="673"/>
      <c r="X321" s="674"/>
      <c r="Y321" s="413">
        <f>Q321/$C$1</f>
        <v>1720545.3779168944</v>
      </c>
      <c r="Z321" s="414">
        <f>Q321/$Q$395*100</f>
        <v>8.2458960398029291</v>
      </c>
      <c r="AA321" s="94"/>
      <c r="AB321" s="94"/>
    </row>
    <row r="322" spans="1:28" x14ac:dyDescent="0.35">
      <c r="B322" s="677" t="s">
        <v>575</v>
      </c>
      <c r="C322" s="626"/>
      <c r="D322" s="626"/>
      <c r="E322" s="678"/>
      <c r="F322" s="374"/>
      <c r="G322" s="625"/>
      <c r="H322" s="602"/>
      <c r="I322" s="626"/>
      <c r="J322" s="625"/>
      <c r="K322" s="596"/>
      <c r="L322" s="496"/>
      <c r="M322" s="377"/>
      <c r="N322" s="372"/>
      <c r="O322" s="602"/>
      <c r="P322" s="628"/>
      <c r="Q322" s="628"/>
      <c r="R322" s="628"/>
      <c r="S322" s="628"/>
      <c r="T322" s="629"/>
      <c r="U322" s="629"/>
      <c r="V322" s="629"/>
      <c r="W322" s="629"/>
      <c r="X322" s="602"/>
      <c r="Y322" s="374"/>
      <c r="Z322" s="374"/>
    </row>
    <row r="323" spans="1:28" x14ac:dyDescent="0.35">
      <c r="B323" s="602"/>
      <c r="C323" s="626" t="s">
        <v>576</v>
      </c>
      <c r="D323" s="626"/>
      <c r="E323" s="678"/>
      <c r="F323" s="374"/>
      <c r="G323" s="625"/>
      <c r="H323" s="602"/>
      <c r="I323" s="626"/>
      <c r="J323" s="625"/>
      <c r="K323" s="596"/>
      <c r="L323" s="496"/>
      <c r="M323" s="377"/>
      <c r="N323" s="372"/>
      <c r="O323" s="602"/>
      <c r="P323" s="628"/>
      <c r="Q323" s="628"/>
      <c r="R323" s="628"/>
      <c r="S323" s="628"/>
      <c r="T323" s="629"/>
      <c r="U323" s="629"/>
      <c r="V323" s="629"/>
      <c r="W323" s="629"/>
      <c r="X323" s="602"/>
      <c r="Y323" s="374"/>
      <c r="Z323" s="374"/>
    </row>
    <row r="324" spans="1:28" x14ac:dyDescent="0.35">
      <c r="B324" s="825"/>
      <c r="C324" s="826"/>
      <c r="D324" s="740" t="s">
        <v>382</v>
      </c>
      <c r="E324" s="827"/>
      <c r="F324" s="232" t="s">
        <v>187</v>
      </c>
      <c r="G324" s="318" t="s">
        <v>188</v>
      </c>
      <c r="H324" s="319"/>
      <c r="I324" s="320"/>
      <c r="J324" s="318" t="s">
        <v>189</v>
      </c>
      <c r="K324" s="420">
        <v>0</v>
      </c>
      <c r="L324" s="506">
        <v>192.08</v>
      </c>
      <c r="M324" s="828">
        <v>0.5</v>
      </c>
      <c r="N324" s="235">
        <v>1</v>
      </c>
      <c r="O324" s="507">
        <f t="shared" ref="O324:O368" si="80">K324*L324*M324*N324</f>
        <v>0</v>
      </c>
      <c r="P324" s="235">
        <v>169122.61109699999</v>
      </c>
      <c r="Q324" s="628">
        <f t="shared" ref="Q324:Q352" si="81">P324*$O324</f>
        <v>0</v>
      </c>
      <c r="R324" s="373">
        <v>179635.86432000002</v>
      </c>
      <c r="S324" s="628">
        <f t="shared" ref="S324:S352" si="82">R324*$O324</f>
        <v>0</v>
      </c>
      <c r="T324" s="373">
        <v>197599.45075200003</v>
      </c>
      <c r="U324" s="629">
        <f t="shared" ref="U324:U352" si="83">$O324*T324</f>
        <v>0</v>
      </c>
      <c r="V324" s="373" t="e">
        <f>W324/O324</f>
        <v>#DIV/0!</v>
      </c>
      <c r="W324" s="241">
        <f t="shared" ref="W324:W352" si="84">AVERAGEIF($P$3:$U$3,W$3,$P324:$U324)</f>
        <v>0</v>
      </c>
      <c r="X324" s="602"/>
      <c r="Y324" s="807">
        <f t="shared" ref="Y324:Y367" si="85">Q324/192.08</f>
        <v>0</v>
      </c>
      <c r="Z324" s="374"/>
    </row>
    <row r="325" spans="1:28" x14ac:dyDescent="0.35">
      <c r="B325" s="644"/>
      <c r="D325" s="94" t="s">
        <v>639</v>
      </c>
      <c r="E325" s="645"/>
      <c r="F325" s="232" t="s">
        <v>359</v>
      </c>
      <c r="G325" s="318" t="s">
        <v>188</v>
      </c>
      <c r="H325" s="319"/>
      <c r="I325" s="320"/>
      <c r="J325" s="318" t="s">
        <v>189</v>
      </c>
      <c r="K325" s="420">
        <v>0</v>
      </c>
      <c r="L325" s="506">
        <v>192.08</v>
      </c>
      <c r="M325" s="500">
        <v>0.18</v>
      </c>
      <c r="N325" s="235">
        <f>N324</f>
        <v>1</v>
      </c>
      <c r="O325" s="507">
        <f t="shared" si="80"/>
        <v>0</v>
      </c>
      <c r="P325" s="235">
        <v>169122.61109699999</v>
      </c>
      <c r="Q325" s="628">
        <f t="shared" si="81"/>
        <v>0</v>
      </c>
      <c r="R325" s="373">
        <v>179635.86432000002</v>
      </c>
      <c r="S325" s="628">
        <f t="shared" si="82"/>
        <v>0</v>
      </c>
      <c r="T325" s="373">
        <v>197599.45075200003</v>
      </c>
      <c r="U325" s="629">
        <f t="shared" si="83"/>
        <v>0</v>
      </c>
      <c r="V325" s="373" t="e">
        <f>W325/O325</f>
        <v>#DIV/0!</v>
      </c>
      <c r="W325" s="241">
        <f t="shared" si="84"/>
        <v>0</v>
      </c>
      <c r="X325" s="602"/>
      <c r="Y325" s="807">
        <f t="shared" si="85"/>
        <v>0</v>
      </c>
      <c r="Z325" s="374"/>
    </row>
    <row r="326" spans="1:28" hidden="1" x14ac:dyDescent="0.35">
      <c r="B326" s="644"/>
      <c r="E326" s="645"/>
      <c r="F326" s="232" t="s">
        <v>236</v>
      </c>
      <c r="G326" s="318" t="s">
        <v>188</v>
      </c>
      <c r="H326" s="319"/>
      <c r="I326" s="320"/>
      <c r="J326" s="318" t="s">
        <v>189</v>
      </c>
      <c r="K326" s="420">
        <v>0</v>
      </c>
      <c r="L326" s="506">
        <v>192.08</v>
      </c>
      <c r="M326" s="500">
        <f>M324</f>
        <v>0.5</v>
      </c>
      <c r="N326" s="235">
        <f t="shared" ref="N326:N332" si="86">N325</f>
        <v>1</v>
      </c>
      <c r="O326" s="507">
        <f t="shared" si="80"/>
        <v>0</v>
      </c>
      <c r="P326" s="235">
        <v>4469.4136124999995</v>
      </c>
      <c r="Q326" s="628">
        <f t="shared" si="81"/>
        <v>0</v>
      </c>
      <c r="R326" s="373">
        <v>4849.8912000000009</v>
      </c>
      <c r="S326" s="628">
        <f t="shared" si="82"/>
        <v>0</v>
      </c>
      <c r="T326" s="373">
        <v>5237.8824960000011</v>
      </c>
      <c r="U326" s="629">
        <f t="shared" si="83"/>
        <v>0</v>
      </c>
      <c r="V326" s="373" t="e">
        <f t="shared" ref="V326:V352" si="87">W326/O326</f>
        <v>#DIV/0!</v>
      </c>
      <c r="W326" s="241">
        <f t="shared" si="84"/>
        <v>0</v>
      </c>
      <c r="X326" s="602"/>
      <c r="Y326" s="807">
        <f t="shared" si="85"/>
        <v>0</v>
      </c>
      <c r="Z326" s="374"/>
    </row>
    <row r="327" spans="1:28" hidden="1" x14ac:dyDescent="0.35">
      <c r="B327" s="644"/>
      <c r="E327" s="645"/>
      <c r="F327" s="232" t="s">
        <v>360</v>
      </c>
      <c r="G327" s="318" t="s">
        <v>193</v>
      </c>
      <c r="H327" s="319">
        <v>1</v>
      </c>
      <c r="I327" s="320" t="s">
        <v>238</v>
      </c>
      <c r="J327" s="318" t="s">
        <v>189</v>
      </c>
      <c r="K327" s="420">
        <v>0</v>
      </c>
      <c r="L327" s="506">
        <v>192.08</v>
      </c>
      <c r="M327" s="500">
        <f>((M$324*N$324)/240)*($H327/N327)</f>
        <v>2.0833333333333333E-3</v>
      </c>
      <c r="N327" s="235">
        <f t="shared" si="86"/>
        <v>1</v>
      </c>
      <c r="O327" s="507">
        <f t="shared" si="80"/>
        <v>0</v>
      </c>
      <c r="P327" s="235">
        <v>5788.125</v>
      </c>
      <c r="Q327" s="628">
        <f t="shared" si="81"/>
        <v>0</v>
      </c>
      <c r="R327" s="373">
        <v>6298.56</v>
      </c>
      <c r="S327" s="628">
        <f t="shared" si="82"/>
        <v>0</v>
      </c>
      <c r="T327" s="373">
        <v>6802.4448000000011</v>
      </c>
      <c r="U327" s="629">
        <f t="shared" si="83"/>
        <v>0</v>
      </c>
      <c r="V327" s="373" t="e">
        <f t="shared" si="87"/>
        <v>#DIV/0!</v>
      </c>
      <c r="W327" s="241">
        <f t="shared" si="84"/>
        <v>0</v>
      </c>
      <c r="X327" s="602"/>
      <c r="Y327" s="807">
        <f t="shared" si="85"/>
        <v>0</v>
      </c>
      <c r="Z327" s="374"/>
    </row>
    <row r="328" spans="1:28" hidden="1" x14ac:dyDescent="0.35">
      <c r="B328" s="644"/>
      <c r="E328" s="645"/>
      <c r="F328" s="232" t="s">
        <v>237</v>
      </c>
      <c r="G328" s="318" t="s">
        <v>193</v>
      </c>
      <c r="H328" s="319">
        <v>4</v>
      </c>
      <c r="I328" s="320" t="s">
        <v>238</v>
      </c>
      <c r="J328" s="318" t="s">
        <v>189</v>
      </c>
      <c r="K328" s="420">
        <v>0</v>
      </c>
      <c r="L328" s="506">
        <v>192.08</v>
      </c>
      <c r="M328" s="500">
        <f>((M$339*N$339)/240)*($H328/N328)</f>
        <v>6.2500000000000015E-5</v>
      </c>
      <c r="N328" s="235">
        <f t="shared" si="86"/>
        <v>1</v>
      </c>
      <c r="O328" s="507">
        <f t="shared" si="80"/>
        <v>0</v>
      </c>
      <c r="P328" s="235">
        <v>49592.654999999999</v>
      </c>
      <c r="Q328" s="628">
        <f t="shared" si="81"/>
        <v>0</v>
      </c>
      <c r="R328" s="373">
        <v>53966.062080000011</v>
      </c>
      <c r="S328" s="628">
        <f t="shared" si="82"/>
        <v>0</v>
      </c>
      <c r="T328" s="373">
        <v>58283.347046400013</v>
      </c>
      <c r="U328" s="629">
        <f t="shared" si="83"/>
        <v>0</v>
      </c>
      <c r="V328" s="373" t="e">
        <f t="shared" si="87"/>
        <v>#DIV/0!</v>
      </c>
      <c r="W328" s="241">
        <f t="shared" si="84"/>
        <v>0</v>
      </c>
      <c r="X328" s="602"/>
      <c r="Y328" s="807">
        <f t="shared" si="85"/>
        <v>0</v>
      </c>
      <c r="Z328" s="374"/>
    </row>
    <row r="329" spans="1:28" hidden="1" x14ac:dyDescent="0.35">
      <c r="B329" s="644"/>
      <c r="E329" s="645"/>
      <c r="F329" s="232" t="s">
        <v>239</v>
      </c>
      <c r="G329" s="318" t="s">
        <v>193</v>
      </c>
      <c r="H329" s="319">
        <v>12</v>
      </c>
      <c r="I329" s="320" t="s">
        <v>238</v>
      </c>
      <c r="J329" s="318" t="s">
        <v>189</v>
      </c>
      <c r="K329" s="420">
        <v>0</v>
      </c>
      <c r="L329" s="506">
        <v>192.08</v>
      </c>
      <c r="M329" s="500">
        <f>((M$339*N$339)/240)*($H329/N329)</f>
        <v>1.8750000000000006E-4</v>
      </c>
      <c r="N329" s="235">
        <f t="shared" si="86"/>
        <v>1</v>
      </c>
      <c r="O329" s="507">
        <f t="shared" si="80"/>
        <v>0</v>
      </c>
      <c r="P329" s="235">
        <v>16206.75</v>
      </c>
      <c r="Q329" s="628">
        <f t="shared" si="81"/>
        <v>0</v>
      </c>
      <c r="R329" s="373">
        <v>17635.968000000004</v>
      </c>
      <c r="S329" s="628">
        <f t="shared" si="82"/>
        <v>0</v>
      </c>
      <c r="T329" s="373">
        <v>19046.845440000005</v>
      </c>
      <c r="U329" s="629">
        <f t="shared" si="83"/>
        <v>0</v>
      </c>
      <c r="V329" s="373" t="e">
        <f t="shared" si="87"/>
        <v>#DIV/0!</v>
      </c>
      <c r="W329" s="241">
        <f t="shared" si="84"/>
        <v>0</v>
      </c>
      <c r="X329" s="602"/>
      <c r="Y329" s="807">
        <f t="shared" si="85"/>
        <v>0</v>
      </c>
      <c r="Z329" s="374"/>
    </row>
    <row r="330" spans="1:28" hidden="1" x14ac:dyDescent="0.35">
      <c r="B330" s="644"/>
      <c r="E330" s="645"/>
      <c r="F330" s="232" t="s">
        <v>241</v>
      </c>
      <c r="G330" s="318" t="s">
        <v>193</v>
      </c>
      <c r="H330" s="319">
        <v>2</v>
      </c>
      <c r="I330" s="320" t="s">
        <v>238</v>
      </c>
      <c r="J330" s="318" t="s">
        <v>189</v>
      </c>
      <c r="K330" s="420">
        <v>0</v>
      </c>
      <c r="L330" s="506">
        <v>192.08</v>
      </c>
      <c r="M330" s="500">
        <f>((M$339*N$339)/240)*($H330/N330)</f>
        <v>3.1250000000000007E-5</v>
      </c>
      <c r="N330" s="235">
        <f t="shared" si="86"/>
        <v>1</v>
      </c>
      <c r="O330" s="507">
        <f t="shared" si="80"/>
        <v>0</v>
      </c>
      <c r="P330" s="235">
        <v>37194.491250000006</v>
      </c>
      <c r="Q330" s="628">
        <f t="shared" si="81"/>
        <v>0</v>
      </c>
      <c r="R330" s="373">
        <v>40474.546560000003</v>
      </c>
      <c r="S330" s="628">
        <f t="shared" si="82"/>
        <v>0</v>
      </c>
      <c r="T330" s="373">
        <v>43712.510284800002</v>
      </c>
      <c r="U330" s="629">
        <f t="shared" si="83"/>
        <v>0</v>
      </c>
      <c r="V330" s="373" t="e">
        <f t="shared" si="87"/>
        <v>#DIV/0!</v>
      </c>
      <c r="W330" s="241">
        <f t="shared" si="84"/>
        <v>0</v>
      </c>
      <c r="X330" s="602"/>
      <c r="Y330" s="807">
        <f t="shared" si="85"/>
        <v>0</v>
      </c>
      <c r="Z330" s="374"/>
    </row>
    <row r="331" spans="1:28" hidden="1" x14ac:dyDescent="0.35">
      <c r="B331" s="644"/>
      <c r="E331" s="645"/>
      <c r="F331" s="232" t="s">
        <v>242</v>
      </c>
      <c r="G331" s="318" t="s">
        <v>193</v>
      </c>
      <c r="H331" s="319">
        <v>1</v>
      </c>
      <c r="I331" s="320" t="s">
        <v>238</v>
      </c>
      <c r="J331" s="318" t="s">
        <v>189</v>
      </c>
      <c r="K331" s="420">
        <v>0</v>
      </c>
      <c r="L331" s="506">
        <v>192.08</v>
      </c>
      <c r="M331" s="500">
        <f>((M$339*N$339)/240)*($H331/N331)</f>
        <v>1.5625000000000004E-5</v>
      </c>
      <c r="N331" s="235">
        <f t="shared" si="86"/>
        <v>1</v>
      </c>
      <c r="O331" s="507">
        <f t="shared" si="80"/>
        <v>0</v>
      </c>
      <c r="P331" s="235">
        <v>99185.31</v>
      </c>
      <c r="Q331" s="628">
        <f t="shared" si="81"/>
        <v>0</v>
      </c>
      <c r="R331" s="373">
        <v>107932.12416000002</v>
      </c>
      <c r="S331" s="628">
        <f t="shared" si="82"/>
        <v>0</v>
      </c>
      <c r="T331" s="373">
        <v>116566.69409280003</v>
      </c>
      <c r="U331" s="629">
        <f t="shared" si="83"/>
        <v>0</v>
      </c>
      <c r="V331" s="373" t="e">
        <f t="shared" si="87"/>
        <v>#DIV/0!</v>
      </c>
      <c r="W331" s="241">
        <f t="shared" si="84"/>
        <v>0</v>
      </c>
      <c r="X331" s="602"/>
      <c r="Y331" s="807">
        <f t="shared" si="85"/>
        <v>0</v>
      </c>
      <c r="Z331" s="374"/>
    </row>
    <row r="332" spans="1:28" hidden="1" x14ac:dyDescent="0.35">
      <c r="B332" s="644"/>
      <c r="E332" s="645"/>
      <c r="F332" s="740" t="s">
        <v>382</v>
      </c>
      <c r="G332" s="318" t="s">
        <v>191</v>
      </c>
      <c r="H332" s="319"/>
      <c r="I332" s="320"/>
      <c r="J332" s="318" t="s">
        <v>325</v>
      </c>
      <c r="K332" s="420">
        <v>0</v>
      </c>
      <c r="L332" s="506">
        <v>192.08</v>
      </c>
      <c r="M332" s="497">
        <f>(750*136)/1000</f>
        <v>102</v>
      </c>
      <c r="N332" s="235">
        <f t="shared" si="86"/>
        <v>1</v>
      </c>
      <c r="O332" s="507">
        <f t="shared" si="80"/>
        <v>0</v>
      </c>
      <c r="P332" s="235">
        <v>5556.6</v>
      </c>
      <c r="Q332" s="628">
        <f t="shared" si="81"/>
        <v>0</v>
      </c>
      <c r="R332" s="373">
        <v>7126.8395000000019</v>
      </c>
      <c r="S332" s="628">
        <f t="shared" si="82"/>
        <v>0</v>
      </c>
      <c r="T332" s="373">
        <v>7839.5234500000024</v>
      </c>
      <c r="U332" s="629">
        <f t="shared" si="83"/>
        <v>0</v>
      </c>
      <c r="V332" s="373" t="e">
        <f t="shared" si="87"/>
        <v>#DIV/0!</v>
      </c>
      <c r="W332" s="241">
        <f t="shared" si="84"/>
        <v>0</v>
      </c>
      <c r="X332" s="602"/>
      <c r="Y332" s="807">
        <f t="shared" si="85"/>
        <v>0</v>
      </c>
      <c r="Z332" s="374"/>
    </row>
    <row r="333" spans="1:28" customFormat="1" x14ac:dyDescent="0.35">
      <c r="A333" s="94"/>
      <c r="B333" s="630" t="s">
        <v>610</v>
      </c>
      <c r="C333" s="770"/>
      <c r="D333" s="770"/>
      <c r="E333" s="771"/>
      <c r="F333" s="633"/>
      <c r="G333" s="634"/>
      <c r="H333" s="635"/>
      <c r="I333" s="636"/>
      <c r="J333" s="634"/>
      <c r="K333" s="637"/>
      <c r="L333" s="638"/>
      <c r="M333" s="772"/>
      <c r="N333" s="773"/>
      <c r="O333" s="635"/>
      <c r="P333" s="640"/>
      <c r="Q333" s="641">
        <f>SUM(Q324:Q332)</f>
        <v>0</v>
      </c>
      <c r="R333" s="640"/>
      <c r="S333" s="641">
        <f>SUM(S322:S332)</f>
        <v>0</v>
      </c>
      <c r="T333" s="808"/>
      <c r="U333" s="808"/>
      <c r="V333" s="808"/>
      <c r="W333" s="808"/>
      <c r="X333" s="635"/>
      <c r="Y333" s="642">
        <f t="shared" si="85"/>
        <v>0</v>
      </c>
      <c r="Z333" s="642">
        <f>Q333/5127997141.07*100</f>
        <v>0</v>
      </c>
      <c r="AA333" s="94"/>
      <c r="AB333" s="94"/>
    </row>
    <row r="334" spans="1:28" x14ac:dyDescent="0.35">
      <c r="B334" s="825"/>
      <c r="C334" s="826"/>
      <c r="D334" s="829" t="s">
        <v>584</v>
      </c>
      <c r="E334" s="830"/>
      <c r="F334" s="232" t="s">
        <v>187</v>
      </c>
      <c r="G334" s="318" t="s">
        <v>188</v>
      </c>
      <c r="H334" s="319"/>
      <c r="I334" s="320"/>
      <c r="J334" s="318" t="s">
        <v>189</v>
      </c>
      <c r="K334" s="420">
        <v>1</v>
      </c>
      <c r="L334" s="506">
        <v>192.08</v>
      </c>
      <c r="M334" s="497">
        <v>0.5</v>
      </c>
      <c r="N334" s="235">
        <v>3</v>
      </c>
      <c r="O334" s="507">
        <f t="shared" si="80"/>
        <v>288.12</v>
      </c>
      <c r="P334" s="235">
        <v>180115.58081830497</v>
      </c>
      <c r="Q334" s="649">
        <f t="shared" si="81"/>
        <v>51894901.145370029</v>
      </c>
      <c r="R334" s="372">
        <v>179635.86432000002</v>
      </c>
      <c r="S334" s="649">
        <f t="shared" si="82"/>
        <v>51756685.227878407</v>
      </c>
      <c r="T334" s="372">
        <v>197599.45075200003</v>
      </c>
      <c r="U334" s="650">
        <f t="shared" si="83"/>
        <v>56932353.750666253</v>
      </c>
      <c r="V334" s="372">
        <f t="shared" si="87"/>
        <v>185783.63196343501</v>
      </c>
      <c r="W334" s="478">
        <f t="shared" si="84"/>
        <v>53527980.041304894</v>
      </c>
      <c r="X334" s="648"/>
      <c r="Y334" s="679">
        <f>Q334/$C$1</f>
        <v>270173.37122745742</v>
      </c>
      <c r="Z334" s="374"/>
    </row>
    <row r="335" spans="1:28" x14ac:dyDescent="0.35">
      <c r="B335" s="644"/>
      <c r="D335" s="94" t="s">
        <v>640</v>
      </c>
      <c r="E335" s="645"/>
      <c r="F335" s="232" t="s">
        <v>359</v>
      </c>
      <c r="G335" s="318" t="s">
        <v>188</v>
      </c>
      <c r="H335" s="319"/>
      <c r="I335" s="320"/>
      <c r="J335" s="318" t="s">
        <v>189</v>
      </c>
      <c r="K335" s="420">
        <v>1</v>
      </c>
      <c r="L335" s="506">
        <v>192.08</v>
      </c>
      <c r="M335" s="499">
        <v>0.18</v>
      </c>
      <c r="N335" s="235">
        <f>N334</f>
        <v>3</v>
      </c>
      <c r="O335" s="507">
        <f t="shared" si="80"/>
        <v>103.72320000000002</v>
      </c>
      <c r="P335" s="235">
        <v>180115.58081830497</v>
      </c>
      <c r="Q335" s="649">
        <f t="shared" si="81"/>
        <v>18682164.412333213</v>
      </c>
      <c r="R335" s="372">
        <v>179635.86432000002</v>
      </c>
      <c r="S335" s="649">
        <f t="shared" si="82"/>
        <v>18632406.682036228</v>
      </c>
      <c r="T335" s="372">
        <v>197599.45075200003</v>
      </c>
      <c r="U335" s="650">
        <f t="shared" si="83"/>
        <v>20495647.350239854</v>
      </c>
      <c r="V335" s="372">
        <f t="shared" si="87"/>
        <v>185783.63196343501</v>
      </c>
      <c r="W335" s="478">
        <f t="shared" si="84"/>
        <v>19270072.814869765</v>
      </c>
      <c r="X335" s="648"/>
      <c r="Y335" s="679">
        <f t="shared" ref="Y335:Y342" si="88">Q335/$C$1</f>
        <v>97262.41364188469</v>
      </c>
      <c r="Z335" s="374"/>
    </row>
    <row r="336" spans="1:28" x14ac:dyDescent="0.35">
      <c r="B336" s="644"/>
      <c r="D336" s="94" t="s">
        <v>641</v>
      </c>
      <c r="E336" s="645"/>
      <c r="F336" s="232" t="s">
        <v>236</v>
      </c>
      <c r="G336" s="318" t="s">
        <v>188</v>
      </c>
      <c r="H336" s="319"/>
      <c r="I336" s="320"/>
      <c r="J336" s="318" t="s">
        <v>189</v>
      </c>
      <c r="K336" s="420">
        <v>1</v>
      </c>
      <c r="L336" s="506">
        <v>192.08</v>
      </c>
      <c r="M336" s="497">
        <f>M334</f>
        <v>0.5</v>
      </c>
      <c r="N336" s="235">
        <f t="shared" ref="N336:N341" si="89">N335</f>
        <v>3</v>
      </c>
      <c r="O336" s="507">
        <f t="shared" si="80"/>
        <v>288.12</v>
      </c>
      <c r="P336" s="235">
        <v>4759.9254973124989</v>
      </c>
      <c r="Q336" s="649">
        <f t="shared" si="81"/>
        <v>1371429.7342856773</v>
      </c>
      <c r="R336" s="372">
        <v>4849.8912000000009</v>
      </c>
      <c r="S336" s="649">
        <f t="shared" si="82"/>
        <v>1397350.6525440002</v>
      </c>
      <c r="T336" s="372">
        <v>5237.8824960000011</v>
      </c>
      <c r="U336" s="650">
        <f t="shared" si="83"/>
        <v>1509138.7047475204</v>
      </c>
      <c r="V336" s="372">
        <f t="shared" si="87"/>
        <v>4949.2330644375006</v>
      </c>
      <c r="W336" s="478">
        <f t="shared" si="84"/>
        <v>1425973.0305257328</v>
      </c>
      <c r="X336" s="648"/>
      <c r="Y336" s="679">
        <f t="shared" si="88"/>
        <v>7139.8882459687484</v>
      </c>
      <c r="Z336" s="374"/>
    </row>
    <row r="337" spans="1:28" x14ac:dyDescent="0.35">
      <c r="B337" s="644"/>
      <c r="D337" s="94" t="s">
        <v>642</v>
      </c>
      <c r="E337" s="645"/>
      <c r="F337" s="232" t="s">
        <v>360</v>
      </c>
      <c r="G337" s="318" t="s">
        <v>193</v>
      </c>
      <c r="H337" s="319">
        <v>1</v>
      </c>
      <c r="I337" s="320" t="s">
        <v>238</v>
      </c>
      <c r="J337" s="318" t="s">
        <v>189</v>
      </c>
      <c r="K337" s="420">
        <v>1</v>
      </c>
      <c r="L337" s="506">
        <v>192.08</v>
      </c>
      <c r="M337" s="500">
        <f>((M$349*N$349)/240)*($H337/N337)</f>
        <v>1.0416666666666669E-4</v>
      </c>
      <c r="N337" s="235">
        <f t="shared" si="89"/>
        <v>3</v>
      </c>
      <c r="O337" s="507">
        <f t="shared" si="80"/>
        <v>6.0025000000000023E-2</v>
      </c>
      <c r="P337" s="235">
        <v>6077.53125</v>
      </c>
      <c r="Q337" s="649">
        <f t="shared" si="81"/>
        <v>364.80381328125014</v>
      </c>
      <c r="R337" s="372">
        <v>6298.56</v>
      </c>
      <c r="S337" s="649">
        <f t="shared" si="82"/>
        <v>378.07106400000015</v>
      </c>
      <c r="T337" s="372">
        <v>6802.4448000000011</v>
      </c>
      <c r="U337" s="650">
        <f t="shared" si="83"/>
        <v>408.31674912000022</v>
      </c>
      <c r="V337" s="372">
        <f t="shared" si="87"/>
        <v>6392.8453499999996</v>
      </c>
      <c r="W337" s="478">
        <f t="shared" si="84"/>
        <v>383.73054213375013</v>
      </c>
      <c r="X337" s="648"/>
      <c r="Y337" s="679">
        <f t="shared" si="88"/>
        <v>1.8992285156250006</v>
      </c>
      <c r="Z337" s="374"/>
    </row>
    <row r="338" spans="1:28" x14ac:dyDescent="0.35">
      <c r="B338" s="644"/>
      <c r="E338" s="645"/>
      <c r="F338" s="232" t="s">
        <v>237</v>
      </c>
      <c r="G338" s="318" t="s">
        <v>193</v>
      </c>
      <c r="H338" s="319">
        <v>4</v>
      </c>
      <c r="I338" s="320" t="s">
        <v>238</v>
      </c>
      <c r="J338" s="318" t="s">
        <v>189</v>
      </c>
      <c r="K338" s="420">
        <v>1</v>
      </c>
      <c r="L338" s="506">
        <v>192.08</v>
      </c>
      <c r="M338" s="500">
        <f>((M$349*N$349)/240)*($H338/N338)</f>
        <v>4.1666666666666675E-4</v>
      </c>
      <c r="N338" s="235">
        <f t="shared" si="89"/>
        <v>3</v>
      </c>
      <c r="O338" s="507">
        <f t="shared" si="80"/>
        <v>0.24010000000000009</v>
      </c>
      <c r="P338" s="235">
        <v>52072.287750000003</v>
      </c>
      <c r="Q338" s="649">
        <f t="shared" si="81"/>
        <v>12502.556288775006</v>
      </c>
      <c r="R338" s="372">
        <v>53966.062080000011</v>
      </c>
      <c r="S338" s="649">
        <f t="shared" si="82"/>
        <v>12957.251505408007</v>
      </c>
      <c r="T338" s="372">
        <v>58283.347046400013</v>
      </c>
      <c r="U338" s="650">
        <f t="shared" si="83"/>
        <v>13993.831625840648</v>
      </c>
      <c r="V338" s="372">
        <f t="shared" si="87"/>
        <v>54773.898958800011</v>
      </c>
      <c r="W338" s="478">
        <f t="shared" si="84"/>
        <v>13151.213140007887</v>
      </c>
      <c r="X338" s="648"/>
      <c r="Y338" s="679">
        <f t="shared" si="88"/>
        <v>65.090359687500026</v>
      </c>
      <c r="Z338" s="374"/>
    </row>
    <row r="339" spans="1:28" x14ac:dyDescent="0.35">
      <c r="B339" s="644"/>
      <c r="E339" s="645"/>
      <c r="F339" s="232" t="s">
        <v>239</v>
      </c>
      <c r="G339" s="318" t="s">
        <v>193</v>
      </c>
      <c r="H339" s="319">
        <v>12</v>
      </c>
      <c r="I339" s="320" t="s">
        <v>238</v>
      </c>
      <c r="J339" s="318" t="s">
        <v>189</v>
      </c>
      <c r="K339" s="420">
        <v>1</v>
      </c>
      <c r="L339" s="506">
        <v>192.08</v>
      </c>
      <c r="M339" s="500">
        <f>((M$349*N$349)/240)*($H339/N339)</f>
        <v>1.2500000000000002E-3</v>
      </c>
      <c r="N339" s="235">
        <f t="shared" si="89"/>
        <v>3</v>
      </c>
      <c r="O339" s="507">
        <f t="shared" si="80"/>
        <v>0.72030000000000016</v>
      </c>
      <c r="P339" s="235">
        <v>17017.087500000001</v>
      </c>
      <c r="Q339" s="649">
        <f t="shared" si="81"/>
        <v>12257.408126250004</v>
      </c>
      <c r="R339" s="372">
        <v>17635.968000000004</v>
      </c>
      <c r="S339" s="649">
        <f t="shared" si="82"/>
        <v>12703.187750400006</v>
      </c>
      <c r="T339" s="372">
        <v>19046.845440000005</v>
      </c>
      <c r="U339" s="650">
        <f t="shared" si="83"/>
        <v>13719.442770432006</v>
      </c>
      <c r="V339" s="372">
        <f t="shared" si="87"/>
        <v>17899.966980000005</v>
      </c>
      <c r="W339" s="478">
        <f t="shared" si="84"/>
        <v>12893.346215694006</v>
      </c>
      <c r="X339" s="648"/>
      <c r="Y339" s="679">
        <f t="shared" si="88"/>
        <v>63.814078125000016</v>
      </c>
      <c r="Z339" s="374"/>
    </row>
    <row r="340" spans="1:28" x14ac:dyDescent="0.35">
      <c r="B340" s="644"/>
      <c r="E340" s="645"/>
      <c r="F340" s="232" t="s">
        <v>241</v>
      </c>
      <c r="G340" s="318" t="s">
        <v>193</v>
      </c>
      <c r="H340" s="319">
        <v>2</v>
      </c>
      <c r="I340" s="320" t="s">
        <v>238</v>
      </c>
      <c r="J340" s="318" t="s">
        <v>189</v>
      </c>
      <c r="K340" s="420">
        <v>1</v>
      </c>
      <c r="L340" s="506">
        <v>192.08</v>
      </c>
      <c r="M340" s="500">
        <f>((M$349*N$349)/240)*($H340/N340)</f>
        <v>2.0833333333333337E-4</v>
      </c>
      <c r="N340" s="235">
        <f t="shared" si="89"/>
        <v>3</v>
      </c>
      <c r="O340" s="507">
        <f t="shared" si="80"/>
        <v>0.12005000000000005</v>
      </c>
      <c r="P340" s="235">
        <v>39054.215812500006</v>
      </c>
      <c r="Q340" s="649">
        <f t="shared" si="81"/>
        <v>4688.4586082906271</v>
      </c>
      <c r="R340" s="372">
        <v>40474.546560000003</v>
      </c>
      <c r="S340" s="649">
        <f t="shared" si="82"/>
        <v>4858.9693145280025</v>
      </c>
      <c r="T340" s="372">
        <v>43712.510284800002</v>
      </c>
      <c r="U340" s="650">
        <f t="shared" si="83"/>
        <v>5247.6868596902423</v>
      </c>
      <c r="V340" s="372">
        <f t="shared" si="87"/>
        <v>41080.424219100008</v>
      </c>
      <c r="W340" s="478">
        <f t="shared" si="84"/>
        <v>4931.7049275029576</v>
      </c>
      <c r="X340" s="648"/>
      <c r="Y340" s="679">
        <f t="shared" si="88"/>
        <v>24.408884882812508</v>
      </c>
      <c r="Z340" s="374"/>
    </row>
    <row r="341" spans="1:28" x14ac:dyDescent="0.35">
      <c r="B341" s="644"/>
      <c r="E341" s="645"/>
      <c r="F341" s="232" t="s">
        <v>242</v>
      </c>
      <c r="G341" s="318" t="s">
        <v>193</v>
      </c>
      <c r="H341" s="319">
        <v>1</v>
      </c>
      <c r="I341" s="320" t="s">
        <v>238</v>
      </c>
      <c r="J341" s="318" t="s">
        <v>189</v>
      </c>
      <c r="K341" s="420">
        <v>1</v>
      </c>
      <c r="L341" s="506">
        <v>192.08</v>
      </c>
      <c r="M341" s="500">
        <f>((M$349*N$349)/240)*($H341/N341)</f>
        <v>1.0416666666666669E-4</v>
      </c>
      <c r="N341" s="235">
        <f t="shared" si="89"/>
        <v>3</v>
      </c>
      <c r="O341" s="507">
        <f t="shared" si="80"/>
        <v>6.0025000000000023E-2</v>
      </c>
      <c r="P341" s="235">
        <v>104144.57550000001</v>
      </c>
      <c r="Q341" s="649">
        <f t="shared" si="81"/>
        <v>6251.2781443875028</v>
      </c>
      <c r="R341" s="372">
        <v>107932.12416000002</v>
      </c>
      <c r="S341" s="649">
        <f t="shared" si="82"/>
        <v>6478.6257527040034</v>
      </c>
      <c r="T341" s="372">
        <v>116566.69409280003</v>
      </c>
      <c r="U341" s="650">
        <f t="shared" si="83"/>
        <v>6996.9158129203242</v>
      </c>
      <c r="V341" s="372">
        <f t="shared" si="87"/>
        <v>109547.79791760002</v>
      </c>
      <c r="W341" s="478">
        <f t="shared" si="84"/>
        <v>6575.6065700039435</v>
      </c>
      <c r="X341" s="648"/>
      <c r="Y341" s="679">
        <f t="shared" si="88"/>
        <v>32.545179843750013</v>
      </c>
      <c r="Z341" s="374"/>
    </row>
    <row r="342" spans="1:28" x14ac:dyDescent="0.35">
      <c r="B342" s="644"/>
      <c r="E342" s="645"/>
      <c r="F342" s="95" t="s">
        <v>385</v>
      </c>
      <c r="G342" s="318" t="s">
        <v>191</v>
      </c>
      <c r="H342" s="319"/>
      <c r="I342" s="320"/>
      <c r="J342" s="318" t="s">
        <v>325</v>
      </c>
      <c r="K342" s="420">
        <v>1</v>
      </c>
      <c r="L342" s="506">
        <v>192.08</v>
      </c>
      <c r="M342" s="474">
        <f>(2075*136)/1000</f>
        <v>282.2</v>
      </c>
      <c r="N342" s="235">
        <v>1</v>
      </c>
      <c r="O342" s="507">
        <f t="shared" si="80"/>
        <v>54204.976000000002</v>
      </c>
      <c r="P342" s="235">
        <v>1057.4904375000001</v>
      </c>
      <c r="Q342" s="649">
        <f t="shared" si="81"/>
        <v>57321243.784917004</v>
      </c>
      <c r="R342" s="372">
        <v>1157.9700000000005</v>
      </c>
      <c r="S342" s="649">
        <f t="shared" si="82"/>
        <v>62767736.05872003</v>
      </c>
      <c r="T342" s="372">
        <v>1273.7670000000007</v>
      </c>
      <c r="U342" s="650">
        <f t="shared" si="83"/>
        <v>69044509.664592043</v>
      </c>
      <c r="V342" s="372">
        <f t="shared" si="87"/>
        <v>1163.0758125000004</v>
      </c>
      <c r="W342" s="478">
        <f t="shared" si="84"/>
        <v>63044496.502743028</v>
      </c>
      <c r="X342" s="648"/>
      <c r="Y342" s="679">
        <f t="shared" si="88"/>
        <v>298423.80146250001</v>
      </c>
      <c r="Z342" s="374"/>
    </row>
    <row r="343" spans="1:28" customFormat="1" x14ac:dyDescent="0.35">
      <c r="A343" s="94"/>
      <c r="B343" s="630" t="s">
        <v>643</v>
      </c>
      <c r="C343" s="770"/>
      <c r="D343" s="770"/>
      <c r="E343" s="771"/>
      <c r="F343" s="633"/>
      <c r="G343" s="634"/>
      <c r="H343" s="635"/>
      <c r="I343" s="636"/>
      <c r="J343" s="634"/>
      <c r="K343" s="637"/>
      <c r="L343" s="638"/>
      <c r="M343" s="772"/>
      <c r="N343" s="773"/>
      <c r="O343" s="635"/>
      <c r="P343" s="640"/>
      <c r="Q343" s="651">
        <f>SUM(Q334:Q342)</f>
        <v>129305803.58188692</v>
      </c>
      <c r="R343" s="774"/>
      <c r="S343" s="651">
        <f>SUM(S332:S342)</f>
        <v>134591554.72656572</v>
      </c>
      <c r="T343" s="803"/>
      <c r="U343" s="803"/>
      <c r="V343" s="803"/>
      <c r="W343" s="803"/>
      <c r="X343" s="652"/>
      <c r="Y343" s="653">
        <f>Q343/$C$1</f>
        <v>673187.23230886564</v>
      </c>
      <c r="Z343" s="642">
        <f>Q343/$Q$395*100</f>
        <v>3.226321144556116</v>
      </c>
      <c r="AA343" s="94"/>
      <c r="AB343" s="94"/>
    </row>
    <row r="344" spans="1:28" x14ac:dyDescent="0.35">
      <c r="B344" s="825"/>
      <c r="C344" s="826"/>
      <c r="D344" s="740" t="s">
        <v>615</v>
      </c>
      <c r="E344" s="741"/>
      <c r="F344" s="232" t="s">
        <v>187</v>
      </c>
      <c r="G344" s="318" t="s">
        <v>188</v>
      </c>
      <c r="H344" s="319"/>
      <c r="I344" s="320"/>
      <c r="J344" s="318" t="s">
        <v>189</v>
      </c>
      <c r="K344" s="420">
        <v>1</v>
      </c>
      <c r="L344" s="506">
        <v>192.08</v>
      </c>
      <c r="M344" s="474">
        <v>0.5</v>
      </c>
      <c r="N344" s="235">
        <v>3</v>
      </c>
      <c r="O344" s="507">
        <f t="shared" si="80"/>
        <v>288.12</v>
      </c>
      <c r="P344" s="235">
        <v>180115.58081830497</v>
      </c>
      <c r="Q344" s="649">
        <f>P344*$O344</f>
        <v>51894901.145370029</v>
      </c>
      <c r="R344" s="372">
        <v>179635.86432000002</v>
      </c>
      <c r="S344" s="649">
        <f t="shared" si="82"/>
        <v>51756685.227878407</v>
      </c>
      <c r="T344" s="372">
        <v>197599.45075200003</v>
      </c>
      <c r="U344" s="650">
        <f t="shared" si="83"/>
        <v>56932353.750666253</v>
      </c>
      <c r="V344" s="372">
        <f t="shared" si="87"/>
        <v>185783.63196343501</v>
      </c>
      <c r="W344" s="478">
        <f t="shared" si="84"/>
        <v>53527980.041304894</v>
      </c>
      <c r="X344" s="648"/>
      <c r="Y344" s="679">
        <f t="shared" ref="Y344:Y352" si="90">Q344/$C$1</f>
        <v>270173.37122745742</v>
      </c>
      <c r="Z344" s="374"/>
    </row>
    <row r="345" spans="1:28" x14ac:dyDescent="0.35">
      <c r="B345" s="644"/>
      <c r="D345" s="94" t="s">
        <v>644</v>
      </c>
      <c r="E345" s="604"/>
      <c r="F345" s="232" t="s">
        <v>359</v>
      </c>
      <c r="G345" s="318" t="s">
        <v>188</v>
      </c>
      <c r="H345" s="319"/>
      <c r="I345" s="320"/>
      <c r="J345" s="318" t="s">
        <v>189</v>
      </c>
      <c r="K345" s="420">
        <v>1</v>
      </c>
      <c r="L345" s="506">
        <v>192.08</v>
      </c>
      <c r="M345" s="422">
        <v>0.18</v>
      </c>
      <c r="N345" s="235">
        <f>N344</f>
        <v>3</v>
      </c>
      <c r="O345" s="507">
        <f t="shared" si="80"/>
        <v>103.72320000000002</v>
      </c>
      <c r="P345" s="235">
        <v>180115.58081830497</v>
      </c>
      <c r="Q345" s="649">
        <f t="shared" si="81"/>
        <v>18682164.412333213</v>
      </c>
      <c r="R345" s="372">
        <v>179635.86432000002</v>
      </c>
      <c r="S345" s="649">
        <f t="shared" si="82"/>
        <v>18632406.682036228</v>
      </c>
      <c r="T345" s="372">
        <v>197599.45075200003</v>
      </c>
      <c r="U345" s="650">
        <f t="shared" si="83"/>
        <v>20495647.350239854</v>
      </c>
      <c r="V345" s="372">
        <f t="shared" si="87"/>
        <v>185783.63196343501</v>
      </c>
      <c r="W345" s="478">
        <f t="shared" si="84"/>
        <v>19270072.814869765</v>
      </c>
      <c r="X345" s="648"/>
      <c r="Y345" s="679">
        <f t="shared" si="90"/>
        <v>97262.41364188469</v>
      </c>
      <c r="Z345" s="374"/>
    </row>
    <row r="346" spans="1:28" x14ac:dyDescent="0.35">
      <c r="B346" s="644"/>
      <c r="D346" s="94" t="s">
        <v>645</v>
      </c>
      <c r="E346" s="604"/>
      <c r="F346" s="232" t="s">
        <v>236</v>
      </c>
      <c r="G346" s="318" t="s">
        <v>188</v>
      </c>
      <c r="H346" s="319"/>
      <c r="I346" s="320"/>
      <c r="J346" s="318" t="s">
        <v>189</v>
      </c>
      <c r="K346" s="420">
        <v>1</v>
      </c>
      <c r="L346" s="506">
        <v>192.08</v>
      </c>
      <c r="M346" s="474">
        <f>M344</f>
        <v>0.5</v>
      </c>
      <c r="N346" s="235">
        <f t="shared" ref="N346:N351" si="91">N345</f>
        <v>3</v>
      </c>
      <c r="O346" s="507">
        <f t="shared" si="80"/>
        <v>288.12</v>
      </c>
      <c r="P346" s="235">
        <v>4759.9254973124989</v>
      </c>
      <c r="Q346" s="649">
        <f t="shared" si="81"/>
        <v>1371429.7342856773</v>
      </c>
      <c r="R346" s="372">
        <v>4849.8912000000009</v>
      </c>
      <c r="S346" s="649">
        <f t="shared" si="82"/>
        <v>1397350.6525440002</v>
      </c>
      <c r="T346" s="372">
        <v>5237.8824960000011</v>
      </c>
      <c r="U346" s="650">
        <f t="shared" si="83"/>
        <v>1509138.7047475204</v>
      </c>
      <c r="V346" s="372">
        <f t="shared" si="87"/>
        <v>4949.2330644375006</v>
      </c>
      <c r="W346" s="478">
        <f t="shared" si="84"/>
        <v>1425973.0305257328</v>
      </c>
      <c r="X346" s="648"/>
      <c r="Y346" s="679">
        <f t="shared" si="90"/>
        <v>7139.8882459687484</v>
      </c>
      <c r="Z346" s="374"/>
    </row>
    <row r="347" spans="1:28" x14ac:dyDescent="0.35">
      <c r="B347" s="644"/>
      <c r="D347" s="94" t="s">
        <v>646</v>
      </c>
      <c r="E347" s="604"/>
      <c r="F347" s="232" t="s">
        <v>360</v>
      </c>
      <c r="G347" s="318" t="s">
        <v>193</v>
      </c>
      <c r="H347" s="319">
        <v>1</v>
      </c>
      <c r="I347" s="320" t="s">
        <v>238</v>
      </c>
      <c r="J347" s="318" t="s">
        <v>189</v>
      </c>
      <c r="K347" s="420">
        <v>1</v>
      </c>
      <c r="L347" s="506">
        <v>192.08</v>
      </c>
      <c r="M347" s="500">
        <f>((M$344*N$344)/240)*($H347/N347)</f>
        <v>2.0833333333333333E-3</v>
      </c>
      <c r="N347" s="235">
        <f t="shared" si="91"/>
        <v>3</v>
      </c>
      <c r="O347" s="507">
        <f t="shared" si="80"/>
        <v>1.2004999999999999</v>
      </c>
      <c r="P347" s="235">
        <v>6077.53125</v>
      </c>
      <c r="Q347" s="649">
        <f t="shared" si="81"/>
        <v>7296.076265624999</v>
      </c>
      <c r="R347" s="372">
        <v>6298.56</v>
      </c>
      <c r="S347" s="649">
        <f t="shared" si="82"/>
        <v>7561.4212799999996</v>
      </c>
      <c r="T347" s="372">
        <v>6802.4448000000011</v>
      </c>
      <c r="U347" s="650">
        <f t="shared" si="83"/>
        <v>8166.3349824000006</v>
      </c>
      <c r="V347" s="372">
        <f t="shared" si="87"/>
        <v>6392.8453500000005</v>
      </c>
      <c r="W347" s="478">
        <f t="shared" si="84"/>
        <v>7674.6108426749997</v>
      </c>
      <c r="X347" s="648"/>
      <c r="Y347" s="679">
        <f t="shared" si="90"/>
        <v>37.98457031249999</v>
      </c>
      <c r="Z347" s="374"/>
    </row>
    <row r="348" spans="1:28" x14ac:dyDescent="0.35">
      <c r="B348" s="644"/>
      <c r="D348" s="94"/>
      <c r="E348" s="604"/>
      <c r="F348" s="232" t="s">
        <v>237</v>
      </c>
      <c r="G348" s="318" t="s">
        <v>193</v>
      </c>
      <c r="H348" s="319">
        <v>4</v>
      </c>
      <c r="I348" s="320" t="s">
        <v>238</v>
      </c>
      <c r="J348" s="318" t="s">
        <v>189</v>
      </c>
      <c r="K348" s="420">
        <v>1</v>
      </c>
      <c r="L348" s="506">
        <v>192.08</v>
      </c>
      <c r="M348" s="500">
        <f t="shared" ref="M348:M351" si="92">((M$344*N$344)/240)*($H348/N348)</f>
        <v>8.3333333333333332E-3</v>
      </c>
      <c r="N348" s="235">
        <f t="shared" si="91"/>
        <v>3</v>
      </c>
      <c r="O348" s="507">
        <f t="shared" si="80"/>
        <v>4.8019999999999996</v>
      </c>
      <c r="P348" s="235">
        <v>52072.287750000003</v>
      </c>
      <c r="Q348" s="649">
        <f t="shared" si="81"/>
        <v>250051.1257755</v>
      </c>
      <c r="R348" s="372">
        <v>53966.062080000011</v>
      </c>
      <c r="S348" s="649">
        <f t="shared" si="82"/>
        <v>259145.03010816002</v>
      </c>
      <c r="T348" s="372">
        <v>58283.347046400013</v>
      </c>
      <c r="U348" s="650">
        <f t="shared" si="83"/>
        <v>279876.63251681282</v>
      </c>
      <c r="V348" s="372">
        <f t="shared" si="87"/>
        <v>54773.898958800004</v>
      </c>
      <c r="W348" s="478">
        <f t="shared" si="84"/>
        <v>263024.26280015759</v>
      </c>
      <c r="X348" s="648"/>
      <c r="Y348" s="679">
        <f t="shared" si="90"/>
        <v>1301.8071937499999</v>
      </c>
      <c r="Z348" s="374"/>
    </row>
    <row r="349" spans="1:28" x14ac:dyDescent="0.35">
      <c r="B349" s="644"/>
      <c r="D349" s="94"/>
      <c r="E349" s="604"/>
      <c r="F349" s="232" t="s">
        <v>239</v>
      </c>
      <c r="G349" s="318" t="s">
        <v>193</v>
      </c>
      <c r="H349" s="319">
        <v>12</v>
      </c>
      <c r="I349" s="320" t="s">
        <v>238</v>
      </c>
      <c r="J349" s="318" t="s">
        <v>189</v>
      </c>
      <c r="K349" s="420">
        <v>1</v>
      </c>
      <c r="L349" s="506">
        <v>192.08</v>
      </c>
      <c r="M349" s="500">
        <f t="shared" si="92"/>
        <v>2.5000000000000001E-2</v>
      </c>
      <c r="N349" s="235">
        <f t="shared" si="91"/>
        <v>3</v>
      </c>
      <c r="O349" s="507">
        <f t="shared" si="80"/>
        <v>14.406000000000002</v>
      </c>
      <c r="P349" s="235">
        <v>17017.087500000001</v>
      </c>
      <c r="Q349" s="649">
        <f t="shared" si="81"/>
        <v>245148.16252500005</v>
      </c>
      <c r="R349" s="372">
        <v>17635.968000000004</v>
      </c>
      <c r="S349" s="649">
        <f t="shared" si="82"/>
        <v>254063.75500800009</v>
      </c>
      <c r="T349" s="372">
        <v>19046.845440000005</v>
      </c>
      <c r="U349" s="650">
        <f t="shared" si="83"/>
        <v>274388.85540864011</v>
      </c>
      <c r="V349" s="372">
        <f t="shared" si="87"/>
        <v>17899.966980000001</v>
      </c>
      <c r="W349" s="478">
        <f t="shared" si="84"/>
        <v>257866.92431388007</v>
      </c>
      <c r="X349" s="648"/>
      <c r="Y349" s="679">
        <f t="shared" si="90"/>
        <v>1276.2815625000003</v>
      </c>
      <c r="Z349" s="374"/>
    </row>
    <row r="350" spans="1:28" x14ac:dyDescent="0.35">
      <c r="B350" s="644"/>
      <c r="D350" s="94"/>
      <c r="E350" s="604"/>
      <c r="F350" s="232" t="s">
        <v>241</v>
      </c>
      <c r="G350" s="318" t="s">
        <v>193</v>
      </c>
      <c r="H350" s="319">
        <v>2</v>
      </c>
      <c r="I350" s="320" t="s">
        <v>238</v>
      </c>
      <c r="J350" s="318" t="s">
        <v>189</v>
      </c>
      <c r="K350" s="420">
        <v>1</v>
      </c>
      <c r="L350" s="506">
        <v>192.08</v>
      </c>
      <c r="M350" s="500">
        <f t="shared" si="92"/>
        <v>4.1666666666666666E-3</v>
      </c>
      <c r="N350" s="235">
        <f t="shared" si="91"/>
        <v>3</v>
      </c>
      <c r="O350" s="507">
        <f t="shared" si="80"/>
        <v>2.4009999999999998</v>
      </c>
      <c r="P350" s="235">
        <v>39054.215812500006</v>
      </c>
      <c r="Q350" s="649">
        <f t="shared" si="81"/>
        <v>93769.172165812502</v>
      </c>
      <c r="R350" s="372">
        <v>40474.546560000003</v>
      </c>
      <c r="S350" s="649">
        <f t="shared" si="82"/>
        <v>97179.386290559996</v>
      </c>
      <c r="T350" s="372">
        <v>43712.510284800002</v>
      </c>
      <c r="U350" s="650">
        <f t="shared" si="83"/>
        <v>104953.7371938048</v>
      </c>
      <c r="V350" s="372">
        <f t="shared" si="87"/>
        <v>41080.424219100001</v>
      </c>
      <c r="W350" s="478">
        <f t="shared" si="84"/>
        <v>98634.09855005909</v>
      </c>
      <c r="X350" s="648"/>
      <c r="Y350" s="679">
        <f t="shared" si="90"/>
        <v>488.17769765624996</v>
      </c>
      <c r="Z350" s="374"/>
    </row>
    <row r="351" spans="1:28" x14ac:dyDescent="0.35">
      <c r="B351" s="644"/>
      <c r="D351" s="94"/>
      <c r="E351" s="604"/>
      <c r="F351" s="232" t="s">
        <v>242</v>
      </c>
      <c r="G351" s="318" t="s">
        <v>193</v>
      </c>
      <c r="H351" s="319">
        <v>1</v>
      </c>
      <c r="I351" s="320" t="s">
        <v>238</v>
      </c>
      <c r="J351" s="318" t="s">
        <v>189</v>
      </c>
      <c r="K351" s="420">
        <v>1</v>
      </c>
      <c r="L351" s="506">
        <v>192.08</v>
      </c>
      <c r="M351" s="500">
        <f t="shared" si="92"/>
        <v>2.0833333333333333E-3</v>
      </c>
      <c r="N351" s="235">
        <f t="shared" si="91"/>
        <v>3</v>
      </c>
      <c r="O351" s="507">
        <f t="shared" si="80"/>
        <v>1.2004999999999999</v>
      </c>
      <c r="P351" s="235">
        <v>104144.57550000001</v>
      </c>
      <c r="Q351" s="649">
        <f t="shared" si="81"/>
        <v>125025.56288775</v>
      </c>
      <c r="R351" s="372">
        <v>107932.12416000002</v>
      </c>
      <c r="S351" s="649">
        <f t="shared" si="82"/>
        <v>129572.51505408001</v>
      </c>
      <c r="T351" s="372">
        <v>116566.69409280003</v>
      </c>
      <c r="U351" s="650">
        <f t="shared" si="83"/>
        <v>139938.31625840641</v>
      </c>
      <c r="V351" s="372">
        <f t="shared" si="87"/>
        <v>109547.79791760001</v>
      </c>
      <c r="W351" s="478">
        <f t="shared" si="84"/>
        <v>131512.1314000788</v>
      </c>
      <c r="X351" s="648"/>
      <c r="Y351" s="679">
        <f t="shared" si="90"/>
        <v>650.90359687499995</v>
      </c>
      <c r="Z351" s="374"/>
    </row>
    <row r="352" spans="1:28" x14ac:dyDescent="0.35">
      <c r="B352" s="644"/>
      <c r="D352" s="94"/>
      <c r="E352" s="604"/>
      <c r="F352" s="95" t="s">
        <v>582</v>
      </c>
      <c r="G352" s="318" t="s">
        <v>191</v>
      </c>
      <c r="H352" s="319"/>
      <c r="I352" s="320"/>
      <c r="J352" s="318" t="s">
        <v>325</v>
      </c>
      <c r="K352" s="420">
        <v>1</v>
      </c>
      <c r="L352" s="506">
        <v>192.08</v>
      </c>
      <c r="M352" s="474">
        <f>(4900*136)/1000</f>
        <v>666.4</v>
      </c>
      <c r="N352" s="235">
        <v>1</v>
      </c>
      <c r="O352" s="507">
        <f t="shared" si="80"/>
        <v>128002.11200000001</v>
      </c>
      <c r="P352" s="235">
        <v>7478.4022031250006</v>
      </c>
      <c r="Q352" s="649">
        <f t="shared" si="81"/>
        <v>957251276.3854531</v>
      </c>
      <c r="R352" s="372">
        <v>8188.9775000000027</v>
      </c>
      <c r="S352" s="649">
        <f t="shared" si="82"/>
        <v>1048206415.1204804</v>
      </c>
      <c r="T352" s="372">
        <v>9007.8752500000046</v>
      </c>
      <c r="U352" s="650">
        <f t="shared" si="83"/>
        <v>1153027056.6325288</v>
      </c>
      <c r="V352" s="372">
        <f t="shared" si="87"/>
        <v>8225.084984375002</v>
      </c>
      <c r="W352" s="478">
        <f t="shared" si="84"/>
        <v>1052828249.3794874</v>
      </c>
      <c r="X352" s="648"/>
      <c r="Y352" s="679">
        <f t="shared" si="90"/>
        <v>4983607.2281625001</v>
      </c>
      <c r="Z352" s="374"/>
    </row>
    <row r="353" spans="1:28" customFormat="1" x14ac:dyDescent="0.35">
      <c r="A353" s="94"/>
      <c r="B353" s="630" t="s">
        <v>619</v>
      </c>
      <c r="C353" s="770"/>
      <c r="D353" s="770"/>
      <c r="E353" s="771"/>
      <c r="F353" s="633"/>
      <c r="G353" s="634"/>
      <c r="H353" s="635"/>
      <c r="I353" s="636"/>
      <c r="J353" s="634"/>
      <c r="K353" s="637"/>
      <c r="L353" s="638"/>
      <c r="M353" s="772"/>
      <c r="N353" s="773"/>
      <c r="O353" s="635"/>
      <c r="P353" s="640"/>
      <c r="Q353" s="651">
        <f>SUM(Q344:Q352)</f>
        <v>1029921061.7770617</v>
      </c>
      <c r="R353" s="774"/>
      <c r="S353" s="651">
        <f>SUM(S342:S352)</f>
        <v>1318099670.5759656</v>
      </c>
      <c r="T353" s="803"/>
      <c r="U353" s="803"/>
      <c r="V353" s="803"/>
      <c r="W353" s="803"/>
      <c r="X353" s="652"/>
      <c r="Y353" s="653">
        <f>Q353/$C$1</f>
        <v>5361938.0558989048</v>
      </c>
      <c r="Z353" s="642">
        <f>Q353/$Q$395*100</f>
        <v>25.697656306127957</v>
      </c>
      <c r="AA353" s="94"/>
      <c r="AB353" s="94"/>
    </row>
    <row r="354" spans="1:28" x14ac:dyDescent="0.35">
      <c r="B354" s="644"/>
      <c r="D354" s="740" t="s">
        <v>590</v>
      </c>
      <c r="E354" s="741"/>
      <c r="F354" s="232" t="s">
        <v>187</v>
      </c>
      <c r="G354" s="318" t="s">
        <v>188</v>
      </c>
      <c r="H354" s="319"/>
      <c r="I354" s="320"/>
      <c r="J354" s="318" t="s">
        <v>189</v>
      </c>
      <c r="K354" s="420">
        <v>1</v>
      </c>
      <c r="L354" s="506">
        <v>192.08</v>
      </c>
      <c r="M354" s="474">
        <v>0.2</v>
      </c>
      <c r="N354" s="235">
        <v>1</v>
      </c>
      <c r="O354" s="507">
        <f t="shared" si="80"/>
        <v>38.416000000000004</v>
      </c>
      <c r="P354" s="235">
        <v>180115.58081830497</v>
      </c>
      <c r="Q354" s="649">
        <f t="shared" ref="Q354:Q368" si="93">P354*$O354</f>
        <v>6919320.1527160043</v>
      </c>
      <c r="R354" s="649"/>
      <c r="S354" s="649"/>
      <c r="T354" s="649"/>
      <c r="U354" s="650"/>
      <c r="V354" s="649"/>
      <c r="W354" s="478"/>
      <c r="X354" s="648"/>
      <c r="Y354" s="679">
        <f t="shared" ref="Y354:Y362" si="94">Q354/$C$1</f>
        <v>36023.116163660998</v>
      </c>
      <c r="Z354" s="374"/>
    </row>
    <row r="355" spans="1:28" x14ac:dyDescent="0.35">
      <c r="B355" s="644"/>
      <c r="D355" s="94" t="s">
        <v>647</v>
      </c>
      <c r="E355" s="604"/>
      <c r="F355" s="232" t="s">
        <v>359</v>
      </c>
      <c r="G355" s="318" t="s">
        <v>188</v>
      </c>
      <c r="H355" s="319"/>
      <c r="I355" s="320"/>
      <c r="J355" s="318" t="s">
        <v>189</v>
      </c>
      <c r="K355" s="420">
        <v>1</v>
      </c>
      <c r="L355" s="506">
        <v>192.08</v>
      </c>
      <c r="M355" s="422">
        <v>0.18</v>
      </c>
      <c r="N355" s="235">
        <f>N354</f>
        <v>1</v>
      </c>
      <c r="O355" s="507">
        <f t="shared" si="80"/>
        <v>34.574400000000004</v>
      </c>
      <c r="P355" s="235">
        <v>180115.58081830497</v>
      </c>
      <c r="Q355" s="649">
        <f t="shared" si="93"/>
        <v>6227388.137444404</v>
      </c>
      <c r="R355" s="649"/>
      <c r="S355" s="649"/>
      <c r="T355" s="649"/>
      <c r="U355" s="650"/>
      <c r="V355" s="649"/>
      <c r="W355" s="478"/>
      <c r="X355" s="648"/>
      <c r="Y355" s="679">
        <f t="shared" si="94"/>
        <v>32420.804547294894</v>
      </c>
      <c r="Z355" s="374"/>
    </row>
    <row r="356" spans="1:28" x14ac:dyDescent="0.35">
      <c r="B356" s="644"/>
      <c r="D356" s="94"/>
      <c r="E356" s="604"/>
      <c r="F356" s="232" t="s">
        <v>236</v>
      </c>
      <c r="G356" s="318" t="s">
        <v>188</v>
      </c>
      <c r="H356" s="319"/>
      <c r="I356" s="320"/>
      <c r="J356" s="318" t="s">
        <v>189</v>
      </c>
      <c r="K356" s="420">
        <v>1</v>
      </c>
      <c r="L356" s="506">
        <v>192.08</v>
      </c>
      <c r="M356" s="474">
        <f>M354</f>
        <v>0.2</v>
      </c>
      <c r="N356" s="235">
        <f t="shared" ref="N356:N361" si="95">N355</f>
        <v>1</v>
      </c>
      <c r="O356" s="507">
        <f t="shared" si="80"/>
        <v>38.416000000000004</v>
      </c>
      <c r="P356" s="235">
        <v>4759.9254973124989</v>
      </c>
      <c r="Q356" s="649">
        <f t="shared" si="93"/>
        <v>182857.29790475697</v>
      </c>
      <c r="R356" s="649"/>
      <c r="S356" s="649"/>
      <c r="T356" s="649"/>
      <c r="U356" s="650"/>
      <c r="V356" s="649"/>
      <c r="W356" s="478"/>
      <c r="X356" s="648"/>
      <c r="Y356" s="679">
        <f t="shared" si="94"/>
        <v>951.98509946249976</v>
      </c>
      <c r="Z356" s="374"/>
    </row>
    <row r="357" spans="1:28" x14ac:dyDescent="0.35">
      <c r="B357" s="644"/>
      <c r="D357" s="94"/>
      <c r="E357" s="604"/>
      <c r="F357" s="232" t="s">
        <v>360</v>
      </c>
      <c r="G357" s="318" t="s">
        <v>193</v>
      </c>
      <c r="H357" s="319">
        <v>1</v>
      </c>
      <c r="I357" s="320" t="s">
        <v>238</v>
      </c>
      <c r="J357" s="318" t="s">
        <v>189</v>
      </c>
      <c r="K357" s="420">
        <v>1</v>
      </c>
      <c r="L357" s="506">
        <v>192.08</v>
      </c>
      <c r="M357" s="500">
        <f>((M$354*N$354)/240)*($H357/N357)</f>
        <v>8.3333333333333339E-4</v>
      </c>
      <c r="N357" s="235">
        <f t="shared" si="95"/>
        <v>1</v>
      </c>
      <c r="O357" s="507">
        <f t="shared" si="80"/>
        <v>0.16006666666666669</v>
      </c>
      <c r="P357" s="235">
        <v>6077.53125</v>
      </c>
      <c r="Q357" s="649">
        <f t="shared" si="93"/>
        <v>972.81016875000012</v>
      </c>
      <c r="R357" s="649"/>
      <c r="S357" s="649"/>
      <c r="T357" s="649"/>
      <c r="U357" s="650"/>
      <c r="V357" s="649"/>
      <c r="W357" s="478"/>
      <c r="X357" s="648"/>
      <c r="Y357" s="679">
        <f t="shared" si="94"/>
        <v>5.0646093749999999</v>
      </c>
      <c r="Z357" s="374"/>
    </row>
    <row r="358" spans="1:28" x14ac:dyDescent="0.35">
      <c r="B358" s="644"/>
      <c r="D358" s="94"/>
      <c r="E358" s="604"/>
      <c r="F358" s="232" t="s">
        <v>237</v>
      </c>
      <c r="G358" s="318" t="s">
        <v>193</v>
      </c>
      <c r="H358" s="319">
        <v>4</v>
      </c>
      <c r="I358" s="320" t="s">
        <v>238</v>
      </c>
      <c r="J358" s="318" t="s">
        <v>189</v>
      </c>
      <c r="K358" s="420">
        <v>1</v>
      </c>
      <c r="L358" s="506">
        <v>192.08</v>
      </c>
      <c r="M358" s="500">
        <f t="shared" ref="M358:M361" si="96">((M$354*N$354)/240)*($H358/N358)</f>
        <v>3.3333333333333335E-3</v>
      </c>
      <c r="N358" s="235">
        <f t="shared" si="95"/>
        <v>1</v>
      </c>
      <c r="O358" s="507">
        <f t="shared" si="80"/>
        <v>0.64026666666666676</v>
      </c>
      <c r="P358" s="235">
        <v>52072.287750000003</v>
      </c>
      <c r="Q358" s="649">
        <f t="shared" si="93"/>
        <v>33340.15010340001</v>
      </c>
      <c r="R358" s="649"/>
      <c r="S358" s="649"/>
      <c r="T358" s="649"/>
      <c r="U358" s="650"/>
      <c r="V358" s="649"/>
      <c r="W358" s="478"/>
      <c r="X358" s="648"/>
      <c r="Y358" s="679">
        <f t="shared" si="94"/>
        <v>173.57429250000004</v>
      </c>
      <c r="Z358" s="374"/>
    </row>
    <row r="359" spans="1:28" x14ac:dyDescent="0.35">
      <c r="B359" s="644"/>
      <c r="D359" s="94"/>
      <c r="E359" s="604"/>
      <c r="F359" s="232" t="s">
        <v>239</v>
      </c>
      <c r="G359" s="318" t="s">
        <v>193</v>
      </c>
      <c r="H359" s="319">
        <v>12</v>
      </c>
      <c r="I359" s="320" t="s">
        <v>238</v>
      </c>
      <c r="J359" s="318" t="s">
        <v>189</v>
      </c>
      <c r="K359" s="420">
        <v>1</v>
      </c>
      <c r="L359" s="506">
        <v>192.08</v>
      </c>
      <c r="M359" s="499">
        <f t="shared" si="96"/>
        <v>0.01</v>
      </c>
      <c r="N359" s="235">
        <f t="shared" si="95"/>
        <v>1</v>
      </c>
      <c r="O359" s="507">
        <f t="shared" si="80"/>
        <v>1.9208000000000001</v>
      </c>
      <c r="P359" s="235">
        <v>17017.087500000001</v>
      </c>
      <c r="Q359" s="649">
        <f t="shared" si="93"/>
        <v>32686.421670000003</v>
      </c>
      <c r="R359" s="649"/>
      <c r="S359" s="649"/>
      <c r="T359" s="649"/>
      <c r="U359" s="650"/>
      <c r="V359" s="649"/>
      <c r="W359" s="478"/>
      <c r="X359" s="648"/>
      <c r="Y359" s="679">
        <f t="shared" si="94"/>
        <v>170.170875</v>
      </c>
      <c r="Z359" s="374"/>
    </row>
    <row r="360" spans="1:28" x14ac:dyDescent="0.35">
      <c r="B360" s="644"/>
      <c r="D360" s="94"/>
      <c r="E360" s="604"/>
      <c r="F360" s="232" t="s">
        <v>241</v>
      </c>
      <c r="G360" s="318" t="s">
        <v>193</v>
      </c>
      <c r="H360" s="319">
        <v>2</v>
      </c>
      <c r="I360" s="320" t="s">
        <v>238</v>
      </c>
      <c r="J360" s="318" t="s">
        <v>189</v>
      </c>
      <c r="K360" s="420">
        <v>1</v>
      </c>
      <c r="L360" s="506">
        <v>192.08</v>
      </c>
      <c r="M360" s="500">
        <f t="shared" si="96"/>
        <v>1.6666666666666668E-3</v>
      </c>
      <c r="N360" s="235">
        <f t="shared" si="95"/>
        <v>1</v>
      </c>
      <c r="O360" s="507">
        <f t="shared" si="80"/>
        <v>0.32013333333333338</v>
      </c>
      <c r="P360" s="235">
        <v>39054.215812500006</v>
      </c>
      <c r="Q360" s="649">
        <f t="shared" si="93"/>
        <v>12502.556288775004</v>
      </c>
      <c r="R360" s="649"/>
      <c r="S360" s="649"/>
      <c r="T360" s="649"/>
      <c r="U360" s="650"/>
      <c r="V360" s="649"/>
      <c r="W360" s="478"/>
      <c r="X360" s="648"/>
      <c r="Y360" s="679">
        <f t="shared" si="94"/>
        <v>65.090359687500012</v>
      </c>
      <c r="Z360" s="374"/>
    </row>
    <row r="361" spans="1:28" x14ac:dyDescent="0.35">
      <c r="B361" s="644"/>
      <c r="D361" s="94"/>
      <c r="E361" s="604"/>
      <c r="F361" s="232" t="s">
        <v>242</v>
      </c>
      <c r="G361" s="318" t="s">
        <v>193</v>
      </c>
      <c r="H361" s="319">
        <v>1</v>
      </c>
      <c r="I361" s="320" t="s">
        <v>238</v>
      </c>
      <c r="J361" s="318" t="s">
        <v>189</v>
      </c>
      <c r="K361" s="420">
        <v>1</v>
      </c>
      <c r="L361" s="506">
        <v>192.08</v>
      </c>
      <c r="M361" s="500">
        <f t="shared" si="96"/>
        <v>8.3333333333333339E-4</v>
      </c>
      <c r="N361" s="235">
        <f t="shared" si="95"/>
        <v>1</v>
      </c>
      <c r="O361" s="507">
        <f t="shared" si="80"/>
        <v>0.16006666666666669</v>
      </c>
      <c r="P361" s="235">
        <v>104144.57550000001</v>
      </c>
      <c r="Q361" s="649">
        <f t="shared" si="93"/>
        <v>16670.075051700005</v>
      </c>
      <c r="R361" s="649"/>
      <c r="S361" s="649"/>
      <c r="T361" s="649"/>
      <c r="U361" s="650"/>
      <c r="V361" s="649"/>
      <c r="W361" s="478"/>
      <c r="X361" s="648"/>
      <c r="Y361" s="679">
        <f t="shared" si="94"/>
        <v>86.787146250000021</v>
      </c>
      <c r="Z361" s="374"/>
    </row>
    <row r="362" spans="1:28" x14ac:dyDescent="0.35">
      <c r="B362" s="644"/>
      <c r="D362" s="94"/>
      <c r="E362" s="604"/>
      <c r="F362" s="95" t="s">
        <v>425</v>
      </c>
      <c r="G362" s="318" t="s">
        <v>191</v>
      </c>
      <c r="H362" s="319"/>
      <c r="I362" s="320"/>
      <c r="J362" s="318" t="s">
        <v>325</v>
      </c>
      <c r="K362" s="420">
        <v>1</v>
      </c>
      <c r="L362" s="506">
        <v>192.08</v>
      </c>
      <c r="M362" s="497">
        <f>(50*136)/1000</f>
        <v>6.8</v>
      </c>
      <c r="N362" s="235">
        <v>1</v>
      </c>
      <c r="O362" s="507">
        <f t="shared" si="80"/>
        <v>1306.144</v>
      </c>
      <c r="P362" s="235">
        <v>13516.429500000002</v>
      </c>
      <c r="Q362" s="649">
        <f t="shared" si="93"/>
        <v>17654403.292848002</v>
      </c>
      <c r="R362" s="649"/>
      <c r="S362" s="649"/>
      <c r="T362" s="649"/>
      <c r="U362" s="650"/>
      <c r="V362" s="649"/>
      <c r="W362" s="478"/>
      <c r="X362" s="648"/>
      <c r="Y362" s="679">
        <f t="shared" si="94"/>
        <v>91911.720600000001</v>
      </c>
      <c r="Z362" s="374"/>
    </row>
    <row r="363" spans="1:28" customFormat="1" x14ac:dyDescent="0.35">
      <c r="A363" s="94"/>
      <c r="B363" s="630" t="s">
        <v>621</v>
      </c>
      <c r="C363" s="770"/>
      <c r="D363" s="770"/>
      <c r="E363" s="771"/>
      <c r="F363" s="633"/>
      <c r="G363" s="634"/>
      <c r="H363" s="635"/>
      <c r="I363" s="636"/>
      <c r="J363" s="634"/>
      <c r="K363" s="637"/>
      <c r="L363" s="638"/>
      <c r="M363" s="772"/>
      <c r="N363" s="773"/>
      <c r="O363" s="635"/>
      <c r="P363" s="640"/>
      <c r="Q363" s="651">
        <f>SUM(Q354:Q362)</f>
        <v>31080140.894195795</v>
      </c>
      <c r="R363" s="774"/>
      <c r="S363" s="651">
        <f>SUM(S352:S362)</f>
        <v>2366306085.6964459</v>
      </c>
      <c r="T363" s="803"/>
      <c r="U363" s="803"/>
      <c r="V363" s="803"/>
      <c r="W363" s="803"/>
      <c r="X363" s="652"/>
      <c r="Y363" s="653">
        <f>Q363/$C$1</f>
        <v>161808.31369323091</v>
      </c>
      <c r="Z363" s="642">
        <f>Q363/$Q$395*100</f>
        <v>0.77548348925595723</v>
      </c>
      <c r="AA363" s="94"/>
      <c r="AB363" s="94"/>
    </row>
    <row r="364" spans="1:28" x14ac:dyDescent="0.35">
      <c r="B364" s="654"/>
      <c r="C364" s="655" t="s">
        <v>145</v>
      </c>
      <c r="D364" s="655"/>
      <c r="E364" s="702"/>
      <c r="F364" s="232" t="s">
        <v>187</v>
      </c>
      <c r="G364" s="318" t="s">
        <v>188</v>
      </c>
      <c r="H364" s="319"/>
      <c r="I364" s="320"/>
      <c r="J364" s="318"/>
      <c r="K364" s="420">
        <v>1</v>
      </c>
      <c r="L364" s="506">
        <v>192.08</v>
      </c>
      <c r="M364" s="372">
        <v>10</v>
      </c>
      <c r="N364" s="235">
        <v>1</v>
      </c>
      <c r="O364" s="507">
        <f t="shared" si="80"/>
        <v>1920.8000000000002</v>
      </c>
      <c r="P364" s="235">
        <v>180115.58081830497</v>
      </c>
      <c r="Q364" s="649">
        <f t="shared" si="93"/>
        <v>345966007.63580024</v>
      </c>
      <c r="R364" s="649"/>
      <c r="S364" s="649"/>
      <c r="T364" s="650"/>
      <c r="U364" s="650"/>
      <c r="V364" s="650"/>
      <c r="W364" s="650"/>
      <c r="X364" s="648"/>
      <c r="Y364" s="679">
        <f t="shared" ref="Y364:Y366" si="97">Q364/$C$1</f>
        <v>1801155.8081830498</v>
      </c>
      <c r="Z364" s="374"/>
    </row>
    <row r="365" spans="1:28" x14ac:dyDescent="0.35">
      <c r="B365" s="644"/>
      <c r="E365" s="645"/>
      <c r="F365" s="232" t="s">
        <v>429</v>
      </c>
      <c r="G365" s="318" t="s">
        <v>367</v>
      </c>
      <c r="H365" s="319"/>
      <c r="I365" s="320"/>
      <c r="J365" s="318"/>
      <c r="K365" s="420">
        <v>1</v>
      </c>
      <c r="L365" s="506">
        <v>192.08</v>
      </c>
      <c r="M365" s="240">
        <f>170*136/1000</f>
        <v>23.12</v>
      </c>
      <c r="N365" s="235">
        <v>1</v>
      </c>
      <c r="O365" s="507">
        <f>K365*L365*M365*N365</f>
        <v>4440.8896000000004</v>
      </c>
      <c r="P365" s="235">
        <v>87313.600000000006</v>
      </c>
      <c r="Q365" s="649">
        <f t="shared" si="93"/>
        <v>387750058.17856008</v>
      </c>
      <c r="R365" s="649"/>
      <c r="S365" s="649"/>
      <c r="T365" s="650"/>
      <c r="U365" s="650"/>
      <c r="V365" s="650"/>
      <c r="W365" s="650"/>
      <c r="X365" s="648" t="s">
        <v>648</v>
      </c>
      <c r="Y365" s="679">
        <f t="shared" si="97"/>
        <v>2018690.4320000003</v>
      </c>
      <c r="Z365" s="374"/>
    </row>
    <row r="366" spans="1:28" x14ac:dyDescent="0.35">
      <c r="B366" s="644"/>
      <c r="E366" s="645"/>
      <c r="F366" s="232" t="s">
        <v>593</v>
      </c>
      <c r="G366" s="318" t="s">
        <v>193</v>
      </c>
      <c r="H366" s="319"/>
      <c r="I366" s="320"/>
      <c r="J366" s="318"/>
      <c r="K366" s="420">
        <v>1</v>
      </c>
      <c r="L366" s="506">
        <v>192.08</v>
      </c>
      <c r="M366" s="231">
        <v>1.67E-2</v>
      </c>
      <c r="N366" s="235">
        <v>1</v>
      </c>
      <c r="O366" s="507">
        <f t="shared" si="80"/>
        <v>3.2077360000000001</v>
      </c>
      <c r="P366" s="235">
        <v>653311.5147562502</v>
      </c>
      <c r="Q366" s="649">
        <f t="shared" si="93"/>
        <v>2095650.8650981551</v>
      </c>
      <c r="R366" s="649"/>
      <c r="S366" s="649"/>
      <c r="T366" s="650"/>
      <c r="U366" s="650"/>
      <c r="V366" s="650"/>
      <c r="W366" s="650"/>
      <c r="X366" s="648"/>
      <c r="Y366" s="679">
        <f t="shared" si="97"/>
        <v>10910.302296429378</v>
      </c>
      <c r="Z366" s="374"/>
    </row>
    <row r="367" spans="1:28" hidden="1" x14ac:dyDescent="0.35">
      <c r="B367" s="644"/>
      <c r="E367" s="645"/>
      <c r="F367" s="232" t="s">
        <v>594</v>
      </c>
      <c r="G367" s="318" t="s">
        <v>193</v>
      </c>
      <c r="H367" s="319"/>
      <c r="I367" s="320"/>
      <c r="J367" s="318"/>
      <c r="K367" s="420">
        <v>1</v>
      </c>
      <c r="L367" s="506">
        <v>192.08</v>
      </c>
      <c r="M367" s="231">
        <v>1.67E-2</v>
      </c>
      <c r="N367" s="235">
        <v>1</v>
      </c>
      <c r="O367" s="507">
        <f t="shared" si="80"/>
        <v>3.2077360000000001</v>
      </c>
      <c r="P367" s="235">
        <v>0</v>
      </c>
      <c r="Q367" s="628"/>
      <c r="R367" s="628"/>
      <c r="S367" s="628"/>
      <c r="T367" s="629"/>
      <c r="U367" s="629"/>
      <c r="V367" s="629"/>
      <c r="W367" s="629"/>
      <c r="X367" s="602"/>
      <c r="Y367" s="807">
        <f t="shared" si="85"/>
        <v>0</v>
      </c>
      <c r="Z367" s="374"/>
    </row>
    <row r="368" spans="1:28" x14ac:dyDescent="0.35">
      <c r="B368" s="644"/>
      <c r="E368" s="645"/>
      <c r="F368" s="232" t="s">
        <v>242</v>
      </c>
      <c r="G368" s="318" t="s">
        <v>193</v>
      </c>
      <c r="H368" s="319"/>
      <c r="I368" s="320"/>
      <c r="J368" s="318"/>
      <c r="K368" s="420">
        <v>1</v>
      </c>
      <c r="L368" s="506">
        <v>192.08</v>
      </c>
      <c r="M368" s="231">
        <v>1.67E-2</v>
      </c>
      <c r="N368" s="235">
        <v>1</v>
      </c>
      <c r="O368" s="507">
        <f t="shared" si="80"/>
        <v>3.2077360000000001</v>
      </c>
      <c r="P368" s="235">
        <v>104144.57550000001</v>
      </c>
      <c r="Q368" s="649">
        <f t="shared" si="93"/>
        <v>334068.30403606803</v>
      </c>
      <c r="R368" s="649"/>
      <c r="S368" s="649"/>
      <c r="T368" s="650"/>
      <c r="U368" s="650"/>
      <c r="V368" s="650"/>
      <c r="W368" s="650"/>
      <c r="X368" s="648"/>
      <c r="Y368" s="679">
        <f>Q368/$C$1</f>
        <v>1739.2144108500001</v>
      </c>
      <c r="Z368" s="374"/>
    </row>
    <row r="369" spans="1:28" customFormat="1" x14ac:dyDescent="0.35">
      <c r="A369" s="94"/>
      <c r="B369" s="630" t="s">
        <v>595</v>
      </c>
      <c r="C369" s="770"/>
      <c r="D369" s="770"/>
      <c r="E369" s="771"/>
      <c r="F369" s="633"/>
      <c r="G369" s="634"/>
      <c r="H369" s="635"/>
      <c r="I369" s="636"/>
      <c r="J369" s="634"/>
      <c r="K369" s="637"/>
      <c r="L369" s="638"/>
      <c r="M369" s="772"/>
      <c r="N369" s="773"/>
      <c r="O369" s="635"/>
      <c r="P369" s="640"/>
      <c r="Q369" s="651">
        <f>SUM(Q364:Q368)</f>
        <v>736145784.98349452</v>
      </c>
      <c r="R369" s="774"/>
      <c r="S369" s="651">
        <f>SUM(S358:S368)</f>
        <v>2366306085.6964459</v>
      </c>
      <c r="T369" s="803"/>
      <c r="U369" s="803"/>
      <c r="V369" s="803"/>
      <c r="W369" s="803"/>
      <c r="X369" s="652"/>
      <c r="Y369" s="653">
        <f>Q369/$C$1</f>
        <v>3832495.7568903295</v>
      </c>
      <c r="Z369" s="642">
        <f>Q369/$Q$395*100</f>
        <v>18.367642022069322</v>
      </c>
      <c r="AA369" s="94"/>
      <c r="AB369" s="94"/>
    </row>
    <row r="370" spans="1:28" x14ac:dyDescent="0.35">
      <c r="B370" s="644"/>
      <c r="C370" s="655" t="s">
        <v>596</v>
      </c>
      <c r="D370" s="655"/>
      <c r="E370" s="702"/>
      <c r="F370" s="374" t="s">
        <v>187</v>
      </c>
      <c r="G370" s="625" t="s">
        <v>188</v>
      </c>
      <c r="H370" s="602"/>
      <c r="I370" s="626"/>
      <c r="J370" s="625"/>
      <c r="K370" s="596"/>
      <c r="L370" s="496"/>
      <c r="M370" s="377"/>
      <c r="N370" s="372"/>
      <c r="O370" s="602"/>
      <c r="P370" s="628"/>
      <c r="Q370" s="649"/>
      <c r="R370" s="649"/>
      <c r="S370" s="649"/>
      <c r="T370" s="650"/>
      <c r="U370" s="650"/>
      <c r="V370" s="650"/>
      <c r="W370" s="650"/>
      <c r="X370" s="648"/>
      <c r="Y370" s="679"/>
      <c r="Z370" s="374"/>
    </row>
    <row r="371" spans="1:28" x14ac:dyDescent="0.35">
      <c r="B371" s="644"/>
      <c r="C371" s="286" t="s">
        <v>363</v>
      </c>
      <c r="E371" s="645"/>
      <c r="F371" s="374" t="s">
        <v>187</v>
      </c>
      <c r="G371" s="625" t="s">
        <v>188</v>
      </c>
      <c r="H371" s="602"/>
      <c r="I371" s="626"/>
      <c r="J371" s="625"/>
      <c r="K371" s="596"/>
      <c r="L371" s="496"/>
      <c r="M371" s="377"/>
      <c r="N371" s="372"/>
      <c r="O371" s="602"/>
      <c r="P371" s="628"/>
      <c r="Q371" s="649"/>
      <c r="R371" s="649"/>
      <c r="S371" s="649"/>
      <c r="T371" s="650"/>
      <c r="U371" s="650"/>
      <c r="V371" s="650"/>
      <c r="W371" s="650"/>
      <c r="X371" s="648"/>
      <c r="Y371" s="679"/>
      <c r="Z371" s="374"/>
    </row>
    <row r="372" spans="1:28" x14ac:dyDescent="0.35">
      <c r="B372" s="644"/>
      <c r="C372" s="286" t="s">
        <v>148</v>
      </c>
      <c r="E372" s="645"/>
      <c r="F372" s="374" t="s">
        <v>368</v>
      </c>
      <c r="G372" s="625" t="s">
        <v>188</v>
      </c>
      <c r="H372" s="602"/>
      <c r="I372" s="626"/>
      <c r="J372" s="625" t="s">
        <v>367</v>
      </c>
      <c r="K372" s="627">
        <v>1</v>
      </c>
      <c r="L372" s="749">
        <f>(O362+O352+O342+O332)/1000</f>
        <v>183.51323200000002</v>
      </c>
      <c r="M372" s="372">
        <v>1</v>
      </c>
      <c r="N372" s="372">
        <v>1</v>
      </c>
      <c r="O372" s="498">
        <f>K372*L372*M372*N372</f>
        <v>183.51323200000002</v>
      </c>
      <c r="P372" s="235">
        <v>25086.093837187495</v>
      </c>
      <c r="Q372" s="649">
        <f>P372*$O372</f>
        <v>4603630.1583175594</v>
      </c>
      <c r="R372" s="372">
        <v>24564.384000000005</v>
      </c>
      <c r="S372" s="649">
        <f>R372*$O372</f>
        <v>4507889.4999290891</v>
      </c>
      <c r="T372" s="372">
        <v>26529.534720000007</v>
      </c>
      <c r="U372" s="650">
        <f>$O372*T372</f>
        <v>4868520.6599234166</v>
      </c>
      <c r="V372" s="372">
        <f>W372/O372</f>
        <v>25393.337519062501</v>
      </c>
      <c r="W372" s="478">
        <f>AVERAGEIF($P$3:$U$3,W$3,$P372:$U372)</f>
        <v>4660013.4393900214</v>
      </c>
      <c r="X372" s="648"/>
      <c r="Y372" s="679">
        <f>Q372/$C$1</f>
        <v>23967.254052048935</v>
      </c>
      <c r="Z372" s="374"/>
    </row>
    <row r="373" spans="1:28" hidden="1" x14ac:dyDescent="0.35">
      <c r="B373" s="644"/>
      <c r="E373" s="645"/>
      <c r="F373" s="374" t="s">
        <v>365</v>
      </c>
      <c r="G373" s="625" t="s">
        <v>205</v>
      </c>
      <c r="H373" s="602"/>
      <c r="I373" s="626"/>
      <c r="J373" s="625" t="s">
        <v>367</v>
      </c>
      <c r="K373" s="627"/>
      <c r="L373" s="496"/>
      <c r="M373" s="372"/>
      <c r="N373" s="372"/>
      <c r="O373" s="498"/>
      <c r="P373" s="373"/>
      <c r="Q373" s="649"/>
      <c r="R373" s="372"/>
      <c r="S373" s="649"/>
      <c r="T373" s="372"/>
      <c r="U373" s="650"/>
      <c r="V373" s="372" t="e">
        <f>W373/O373</f>
        <v>#DIV/0!</v>
      </c>
      <c r="W373" s="478"/>
      <c r="X373" s="648"/>
      <c r="Y373" s="679"/>
      <c r="Z373" s="374"/>
    </row>
    <row r="374" spans="1:28" x14ac:dyDescent="0.35">
      <c r="B374" s="622"/>
      <c r="C374" s="623"/>
      <c r="D374" s="623"/>
      <c r="E374" s="624"/>
      <c r="F374" s="374" t="s">
        <v>370</v>
      </c>
      <c r="G374" s="596" t="s">
        <v>367</v>
      </c>
      <c r="H374" s="602"/>
      <c r="I374" s="626"/>
      <c r="J374" s="625" t="s">
        <v>367</v>
      </c>
      <c r="K374" s="627">
        <v>1</v>
      </c>
      <c r="L374" s="831">
        <f>L372</f>
        <v>183.51323200000002</v>
      </c>
      <c r="M374" s="748">
        <v>1</v>
      </c>
      <c r="N374" s="372">
        <v>1</v>
      </c>
      <c r="O374" s="498">
        <f>K374*L374*M374*N374</f>
        <v>183.51323200000002</v>
      </c>
      <c r="P374" s="235">
        <v>82788.200000000012</v>
      </c>
      <c r="Q374" s="649">
        <f>P374*$O374</f>
        <v>15192730.153462404</v>
      </c>
      <c r="R374" s="372">
        <v>55793.254400000005</v>
      </c>
      <c r="S374" s="649">
        <f>R374*$O374</f>
        <v>10238800.438742222</v>
      </c>
      <c r="T374" s="372">
        <v>58024.98457600001</v>
      </c>
      <c r="U374" s="650">
        <f>$O374*T374</f>
        <v>10648352.456291912</v>
      </c>
      <c r="V374" s="372">
        <f>W374/O374</f>
        <v>65535.479658666678</v>
      </c>
      <c r="W374" s="478">
        <f>AVERAGEIF($P$3:$U$3,W$3,$P374:$U374)</f>
        <v>12026627.68283218</v>
      </c>
      <c r="X374" s="648"/>
      <c r="Y374" s="679">
        <f t="shared" ref="Y374:Y375" si="98">Q374/$C$1</f>
        <v>79095.846280000012</v>
      </c>
      <c r="Z374" s="374"/>
    </row>
    <row r="375" spans="1:28" x14ac:dyDescent="0.35">
      <c r="B375" s="644"/>
      <c r="C375" s="286" t="s">
        <v>150</v>
      </c>
      <c r="E375" s="645"/>
      <c r="F375" s="374" t="s">
        <v>371</v>
      </c>
      <c r="G375" s="625" t="s">
        <v>188</v>
      </c>
      <c r="H375" s="602"/>
      <c r="I375" s="626"/>
      <c r="J375" s="625" t="s">
        <v>367</v>
      </c>
      <c r="K375" s="627">
        <v>1</v>
      </c>
      <c r="L375" s="831">
        <f>L372</f>
        <v>183.51323200000002</v>
      </c>
      <c r="M375" s="372">
        <v>1</v>
      </c>
      <c r="N375" s="372">
        <v>1</v>
      </c>
      <c r="O375" s="498">
        <f>K375*L375*M375*N375</f>
        <v>183.51323200000002</v>
      </c>
      <c r="P375" s="235">
        <v>41166.92321999999</v>
      </c>
      <c r="Q375" s="649">
        <f>P375*$O375</f>
        <v>7554675.131598046</v>
      </c>
      <c r="R375" s="372">
        <v>40310.784000000007</v>
      </c>
      <c r="S375" s="649">
        <f>R375*$O375</f>
        <v>7397562.2562938901</v>
      </c>
      <c r="T375" s="372">
        <v>43535.646720000012</v>
      </c>
      <c r="U375" s="650">
        <f>$O375*T375</f>
        <v>7989367.2367974017</v>
      </c>
      <c r="V375" s="372">
        <f>W375/O375</f>
        <v>41671.11798000001</v>
      </c>
      <c r="W375" s="478">
        <f>AVERAGEIF($P$3:$U$3,W$3,$P375:$U375)</f>
        <v>7647201.5415631132</v>
      </c>
      <c r="X375" s="648"/>
      <c r="Y375" s="679">
        <f t="shared" si="98"/>
        <v>39330.878444387992</v>
      </c>
      <c r="Z375" s="374"/>
    </row>
    <row r="376" spans="1:28" hidden="1" x14ac:dyDescent="0.35">
      <c r="B376" s="644"/>
      <c r="E376" s="645"/>
      <c r="F376" s="374" t="s">
        <v>431</v>
      </c>
      <c r="G376" s="625" t="s">
        <v>367</v>
      </c>
      <c r="H376" s="602"/>
      <c r="I376" s="626"/>
      <c r="J376" s="625" t="s">
        <v>367</v>
      </c>
      <c r="K376" s="627"/>
      <c r="L376" s="831">
        <f>L375</f>
        <v>183.51323200000002</v>
      </c>
      <c r="M376" s="748">
        <v>1</v>
      </c>
      <c r="N376" s="372">
        <v>1</v>
      </c>
      <c r="O376" s="498">
        <f>K376*L376*M376*N376</f>
        <v>0</v>
      </c>
      <c r="P376" s="373">
        <v>0</v>
      </c>
      <c r="Q376" s="649"/>
      <c r="R376" s="372">
        <v>0</v>
      </c>
      <c r="S376" s="649">
        <f>R376*$O376</f>
        <v>0</v>
      </c>
      <c r="T376" s="372">
        <v>0</v>
      </c>
      <c r="U376" s="650">
        <f>$O376*T376</f>
        <v>0</v>
      </c>
      <c r="V376" s="650"/>
      <c r="W376" s="650"/>
      <c r="X376" s="648"/>
      <c r="Y376" s="679"/>
      <c r="Z376" s="374"/>
    </row>
    <row r="377" spans="1:28" customFormat="1" x14ac:dyDescent="0.35">
      <c r="A377" s="94"/>
      <c r="B377" s="630" t="s">
        <v>597</v>
      </c>
      <c r="C377" s="770"/>
      <c r="D377" s="770"/>
      <c r="E377" s="771"/>
      <c r="F377" s="633"/>
      <c r="G377" s="634"/>
      <c r="H377" s="635"/>
      <c r="I377" s="636"/>
      <c r="J377" s="634"/>
      <c r="K377" s="637"/>
      <c r="L377" s="638"/>
      <c r="M377" s="772"/>
      <c r="N377" s="773"/>
      <c r="O377" s="635"/>
      <c r="P377" s="640"/>
      <c r="Q377" s="651">
        <f>SUM(Q372:Q376)</f>
        <v>27351035.443378009</v>
      </c>
      <c r="R377" s="774"/>
      <c r="S377" s="651">
        <f>SUM(S369:S376)</f>
        <v>2388450337.8914108</v>
      </c>
      <c r="T377" s="803"/>
      <c r="U377" s="803"/>
      <c r="V377" s="803"/>
      <c r="W377" s="803"/>
      <c r="X377" s="652"/>
      <c r="Y377" s="653">
        <f>Q377/$C$1</f>
        <v>142393.97877643694</v>
      </c>
      <c r="Z377" s="642">
        <f>Q377/$Q$395*100</f>
        <v>0.68243823194363784</v>
      </c>
      <c r="AA377" s="94"/>
      <c r="AB377" s="94"/>
    </row>
    <row r="378" spans="1:28" customFormat="1" x14ac:dyDescent="0.35">
      <c r="A378" s="94"/>
      <c r="B378" s="693" t="s">
        <v>598</v>
      </c>
      <c r="C378" s="776"/>
      <c r="D378" s="776"/>
      <c r="E378" s="777"/>
      <c r="F378" s="516"/>
      <c r="G378" s="613"/>
      <c r="H378" s="614"/>
      <c r="I378" s="615"/>
      <c r="J378" s="613"/>
      <c r="K378" s="616"/>
      <c r="L378" s="617"/>
      <c r="M378" s="527"/>
      <c r="N378" s="766"/>
      <c r="O378" s="614"/>
      <c r="P378" s="618"/>
      <c r="Q378" s="696">
        <f>Q333+Q343+Q353+Q363+Q369+Q377</f>
        <v>1953803826.680017</v>
      </c>
      <c r="R378" s="778"/>
      <c r="S378" s="696">
        <f>SUM(S370:S377)</f>
        <v>2410594590.0863762</v>
      </c>
      <c r="T378" s="673"/>
      <c r="U378" s="673"/>
      <c r="V378" s="673"/>
      <c r="W378" s="673"/>
      <c r="X378" s="674"/>
      <c r="Y378" s="413">
        <f>Q378/$C$1</f>
        <v>10171823.337567767</v>
      </c>
      <c r="Z378" s="414">
        <f>Q378/$Q$395*100</f>
        <v>48.749541193952993</v>
      </c>
      <c r="AA378" s="94"/>
      <c r="AB378" s="94"/>
    </row>
    <row r="379" spans="1:28" x14ac:dyDescent="0.35">
      <c r="B379" s="677" t="s">
        <v>356</v>
      </c>
      <c r="C379" s="626"/>
      <c r="D379" s="626"/>
      <c r="E379" s="678"/>
      <c r="F379" s="374"/>
      <c r="G379" s="625"/>
      <c r="H379" s="602"/>
      <c r="I379" s="626"/>
      <c r="J379" s="625"/>
      <c r="K379" s="596"/>
      <c r="L379" s="496"/>
      <c r="M379" s="377"/>
      <c r="N379" s="372"/>
      <c r="O379" s="602"/>
      <c r="P379" s="628"/>
      <c r="Q379" s="832"/>
      <c r="R379" s="649"/>
      <c r="S379" s="649"/>
      <c r="T379" s="650"/>
      <c r="U379" s="650"/>
      <c r="V379" s="650"/>
      <c r="W379" s="650"/>
      <c r="X379" s="648"/>
      <c r="Y379" s="679"/>
      <c r="Z379" s="374"/>
    </row>
    <row r="380" spans="1:28" x14ac:dyDescent="0.35">
      <c r="B380" s="644"/>
      <c r="C380" s="286" t="s">
        <v>576</v>
      </c>
      <c r="E380" s="645"/>
      <c r="F380" s="374" t="s">
        <v>187</v>
      </c>
      <c r="G380" s="625" t="s">
        <v>188</v>
      </c>
      <c r="H380" s="602"/>
      <c r="I380" s="626"/>
      <c r="J380" s="625"/>
      <c r="K380" s="596"/>
      <c r="L380" s="496"/>
      <c r="M380" s="377">
        <v>1</v>
      </c>
      <c r="N380" s="372">
        <v>1</v>
      </c>
      <c r="O380" s="602"/>
      <c r="P380" s="628"/>
      <c r="Q380" s="649"/>
      <c r="R380" s="649"/>
      <c r="S380" s="649"/>
      <c r="T380" s="650"/>
      <c r="U380" s="650"/>
      <c r="V380" s="650"/>
      <c r="W380" s="650"/>
      <c r="X380" s="648"/>
      <c r="Y380" s="679"/>
      <c r="Z380" s="374"/>
    </row>
    <row r="381" spans="1:28" hidden="1" x14ac:dyDescent="0.35">
      <c r="B381" s="644"/>
      <c r="E381" s="645"/>
      <c r="F381" s="374" t="s">
        <v>417</v>
      </c>
      <c r="G381" s="625" t="s">
        <v>191</v>
      </c>
      <c r="H381" s="602"/>
      <c r="I381" s="626"/>
      <c r="J381" s="625"/>
      <c r="K381" s="596"/>
      <c r="L381" s="496"/>
      <c r="M381" s="377">
        <v>25</v>
      </c>
      <c r="N381" s="372">
        <v>1</v>
      </c>
      <c r="O381" s="602"/>
      <c r="P381" s="628"/>
      <c r="Q381" s="649"/>
      <c r="R381" s="649"/>
      <c r="S381" s="649"/>
      <c r="T381" s="650"/>
      <c r="U381" s="650"/>
      <c r="V381" s="650"/>
      <c r="W381" s="650"/>
      <c r="X381" s="648"/>
      <c r="Y381" s="679"/>
      <c r="Z381" s="374"/>
    </row>
    <row r="382" spans="1:28" x14ac:dyDescent="0.35">
      <c r="B382" s="644"/>
      <c r="C382" s="286" t="s">
        <v>363</v>
      </c>
      <c r="E382" s="645"/>
      <c r="F382" s="374" t="s">
        <v>187</v>
      </c>
      <c r="G382" s="625" t="s">
        <v>188</v>
      </c>
      <c r="H382" s="602"/>
      <c r="I382" s="626"/>
      <c r="J382" s="625"/>
      <c r="K382" s="596"/>
      <c r="L382" s="496"/>
      <c r="M382" s="377"/>
      <c r="N382" s="372"/>
      <c r="O382" s="602"/>
      <c r="P382" s="628"/>
      <c r="Q382" s="649"/>
      <c r="R382" s="649"/>
      <c r="S382" s="649"/>
      <c r="T382" s="650"/>
      <c r="U382" s="650"/>
      <c r="V382" s="650"/>
      <c r="W382" s="650"/>
      <c r="X382" s="648"/>
      <c r="Y382" s="679"/>
      <c r="Z382" s="374"/>
    </row>
    <row r="383" spans="1:28" x14ac:dyDescent="0.35">
      <c r="B383" s="644"/>
      <c r="C383" s="286" t="s">
        <v>148</v>
      </c>
      <c r="E383" s="645"/>
      <c r="F383" s="374" t="s">
        <v>368</v>
      </c>
      <c r="G383" s="596" t="s">
        <v>367</v>
      </c>
      <c r="H383" s="602"/>
      <c r="I383" s="626"/>
      <c r="J383" s="625"/>
      <c r="K383" s="596"/>
      <c r="L383" s="496"/>
      <c r="M383" s="500">
        <v>1</v>
      </c>
      <c r="N383" s="372">
        <v>1</v>
      </c>
      <c r="O383" s="562"/>
      <c r="P383" s="373"/>
      <c r="Q383" s="372"/>
      <c r="R383" s="372"/>
      <c r="S383" s="372"/>
      <c r="T383" s="753"/>
      <c r="U383" s="753"/>
      <c r="V383" s="753"/>
      <c r="W383" s="753"/>
      <c r="X383" s="648"/>
      <c r="Y383" s="679"/>
      <c r="Z383" s="374"/>
    </row>
    <row r="384" spans="1:28" hidden="1" x14ac:dyDescent="0.35">
      <c r="B384" s="644"/>
      <c r="E384" s="645"/>
      <c r="F384" s="374" t="s">
        <v>365</v>
      </c>
      <c r="G384" s="596" t="s">
        <v>205</v>
      </c>
      <c r="H384" s="602"/>
      <c r="I384" s="626"/>
      <c r="J384" s="625"/>
      <c r="K384" s="596"/>
      <c r="L384" s="496"/>
      <c r="M384" s="500">
        <f>2/4</f>
        <v>0.5</v>
      </c>
      <c r="N384" s="372">
        <v>1</v>
      </c>
      <c r="O384" s="562"/>
      <c r="P384" s="373"/>
      <c r="Q384" s="372"/>
      <c r="R384" s="372"/>
      <c r="S384" s="372"/>
      <c r="T384" s="753"/>
      <c r="U384" s="753"/>
      <c r="V384" s="753"/>
      <c r="W384" s="753"/>
      <c r="X384" s="648"/>
      <c r="Y384" s="679"/>
      <c r="Z384" s="374"/>
    </row>
    <row r="385" spans="1:28" hidden="1" x14ac:dyDescent="0.35">
      <c r="B385" s="622"/>
      <c r="C385" s="623"/>
      <c r="D385" s="623"/>
      <c r="E385" s="624"/>
      <c r="F385" s="374" t="s">
        <v>370</v>
      </c>
      <c r="G385" s="596" t="s">
        <v>367</v>
      </c>
      <c r="H385" s="602"/>
      <c r="I385" s="626"/>
      <c r="J385" s="625"/>
      <c r="K385" s="596"/>
      <c r="L385" s="496"/>
      <c r="M385" s="500">
        <v>1</v>
      </c>
      <c r="N385" s="372">
        <v>1</v>
      </c>
      <c r="O385" s="562"/>
      <c r="P385" s="373"/>
      <c r="Q385" s="372"/>
      <c r="R385" s="372"/>
      <c r="S385" s="372"/>
      <c r="T385" s="753"/>
      <c r="U385" s="753"/>
      <c r="V385" s="753"/>
      <c r="W385" s="753"/>
      <c r="X385" s="648"/>
      <c r="Y385" s="679"/>
      <c r="Z385" s="374"/>
    </row>
    <row r="386" spans="1:28" x14ac:dyDescent="0.35">
      <c r="B386" s="644"/>
      <c r="C386" s="286" t="s">
        <v>150</v>
      </c>
      <c r="E386" s="645"/>
      <c r="F386" s="374" t="s">
        <v>371</v>
      </c>
      <c r="G386" s="596" t="s">
        <v>367</v>
      </c>
      <c r="H386" s="602"/>
      <c r="I386" s="626"/>
      <c r="J386" s="625"/>
      <c r="K386" s="596"/>
      <c r="L386" s="496"/>
      <c r="M386" s="500">
        <v>1</v>
      </c>
      <c r="N386" s="372">
        <v>1</v>
      </c>
      <c r="O386" s="562"/>
      <c r="P386" s="373"/>
      <c r="Q386" s="372"/>
      <c r="R386" s="372"/>
      <c r="S386" s="372"/>
      <c r="T386" s="753"/>
      <c r="U386" s="753"/>
      <c r="V386" s="753"/>
      <c r="W386" s="753"/>
      <c r="X386" s="648"/>
      <c r="Y386" s="679"/>
      <c r="Z386" s="374"/>
    </row>
    <row r="387" spans="1:28" hidden="1" x14ac:dyDescent="0.35">
      <c r="B387" s="644"/>
      <c r="E387" s="645"/>
      <c r="F387" s="374" t="s">
        <v>370</v>
      </c>
      <c r="G387" s="596" t="s">
        <v>367</v>
      </c>
      <c r="H387" s="602"/>
      <c r="I387" s="626"/>
      <c r="J387" s="625"/>
      <c r="K387" s="596"/>
      <c r="L387" s="496"/>
      <c r="M387" s="500">
        <v>1</v>
      </c>
      <c r="N387" s="372">
        <v>1</v>
      </c>
      <c r="O387" s="812"/>
      <c r="P387" s="628"/>
      <c r="Q387" s="649"/>
      <c r="R387" s="649"/>
      <c r="S387" s="649"/>
      <c r="T387" s="650"/>
      <c r="U387" s="650"/>
      <c r="V387" s="650"/>
      <c r="W387" s="650"/>
      <c r="X387" s="648"/>
      <c r="Y387" s="679"/>
      <c r="Z387" s="374"/>
    </row>
    <row r="388" spans="1:28" x14ac:dyDescent="0.35">
      <c r="B388" s="677" t="s">
        <v>434</v>
      </c>
      <c r="C388" s="626"/>
      <c r="D388" s="626"/>
      <c r="E388" s="678"/>
      <c r="F388" s="374"/>
      <c r="G388" s="625"/>
      <c r="H388" s="602"/>
      <c r="I388" s="626"/>
      <c r="J388" s="625"/>
      <c r="K388" s="596"/>
      <c r="L388" s="496"/>
      <c r="M388" s="377"/>
      <c r="N388" s="372"/>
      <c r="O388" s="602"/>
      <c r="P388" s="628"/>
      <c r="Q388" s="649"/>
      <c r="R388" s="649"/>
      <c r="S388" s="649"/>
      <c r="T388" s="650">
        <f>R388*1.1</f>
        <v>0</v>
      </c>
      <c r="U388" s="650">
        <f>O388*T388</f>
        <v>0</v>
      </c>
      <c r="V388" s="372"/>
      <c r="W388" s="372"/>
      <c r="X388" s="648"/>
      <c r="Y388" s="679"/>
      <c r="Z388" s="374"/>
    </row>
    <row r="389" spans="1:28" x14ac:dyDescent="0.35">
      <c r="B389" s="644"/>
      <c r="C389" s="286" t="s">
        <v>153</v>
      </c>
      <c r="E389" s="645"/>
      <c r="F389" s="374" t="s">
        <v>187</v>
      </c>
      <c r="G389" s="625" t="s">
        <v>188</v>
      </c>
      <c r="H389" s="602"/>
      <c r="I389" s="626"/>
      <c r="J389" s="625" t="s">
        <v>189</v>
      </c>
      <c r="K389" s="627">
        <v>1</v>
      </c>
      <c r="L389" s="496">
        <v>192.08</v>
      </c>
      <c r="M389" s="423">
        <f>(0.12/15)*25</f>
        <v>0.2</v>
      </c>
      <c r="N389" s="372">
        <v>12</v>
      </c>
      <c r="O389" s="498">
        <f>K389*L389*M389*N389</f>
        <v>460.99200000000008</v>
      </c>
      <c r="P389" s="235">
        <v>180115.58081830497</v>
      </c>
      <c r="Q389" s="649">
        <f>P389*$O389</f>
        <v>83031841.832592055</v>
      </c>
      <c r="R389" s="372">
        <v>179635.86432000002</v>
      </c>
      <c r="S389" s="649">
        <f>R389*$O389</f>
        <v>82810696.364605457</v>
      </c>
      <c r="T389" s="372">
        <v>197599.45075200003</v>
      </c>
      <c r="U389" s="650">
        <f>$O389*T389</f>
        <v>91091766.001066014</v>
      </c>
      <c r="V389" s="372">
        <f>W389/O389</f>
        <v>185783.63196343501</v>
      </c>
      <c r="W389" s="478">
        <f>AVERAGEIF($P$3:$U$3,W$3,$P389:$U389)</f>
        <v>85644768.066087842</v>
      </c>
      <c r="X389" s="648"/>
      <c r="Y389" s="679">
        <f>Q389/$C$1</f>
        <v>432277.39396393194</v>
      </c>
      <c r="Z389" s="374"/>
    </row>
    <row r="390" spans="1:28" hidden="1" x14ac:dyDescent="0.35">
      <c r="B390" s="644"/>
      <c r="E390" s="645"/>
      <c r="F390" s="374" t="s">
        <v>436</v>
      </c>
      <c r="G390" s="625" t="s">
        <v>468</v>
      </c>
      <c r="H390" s="602"/>
      <c r="I390" s="626"/>
      <c r="J390" s="625" t="s">
        <v>189</v>
      </c>
      <c r="K390" s="627">
        <v>0</v>
      </c>
      <c r="L390" s="496">
        <v>192.08</v>
      </c>
      <c r="M390" s="372">
        <v>1</v>
      </c>
      <c r="N390" s="372">
        <v>12</v>
      </c>
      <c r="O390" s="498">
        <f>K390*L390*M390*N390</f>
        <v>0</v>
      </c>
      <c r="P390" s="235">
        <v>2892.1408425000004</v>
      </c>
      <c r="Q390" s="649">
        <f>P390*$O390</f>
        <v>0</v>
      </c>
      <c r="R390" s="372">
        <v>2892.1408425000004</v>
      </c>
      <c r="S390" s="649">
        <f>R390*$O390</f>
        <v>0</v>
      </c>
      <c r="T390" s="372">
        <v>3036.7478846250006</v>
      </c>
      <c r="U390" s="650">
        <f>$O390*T390</f>
        <v>0</v>
      </c>
      <c r="V390" s="372" t="e">
        <f>W390/O390</f>
        <v>#DIV/0!</v>
      </c>
      <c r="W390" s="478">
        <f>AVERAGEIF($P$3:$U$3,W$3,$P390:$U390)</f>
        <v>0</v>
      </c>
      <c r="X390" s="648"/>
      <c r="Y390" s="679">
        <f t="shared" ref="Y390" si="99">Q390/192.08</f>
        <v>0</v>
      </c>
      <c r="Z390" s="374"/>
    </row>
    <row r="391" spans="1:28" hidden="1" x14ac:dyDescent="0.35">
      <c r="B391" s="644"/>
      <c r="E391" s="645"/>
      <c r="F391" s="374" t="s">
        <v>438</v>
      </c>
      <c r="G391" s="625" t="s">
        <v>468</v>
      </c>
      <c r="H391" s="602"/>
      <c r="I391" s="626"/>
      <c r="J391" s="625" t="s">
        <v>189</v>
      </c>
      <c r="K391" s="627">
        <v>1</v>
      </c>
      <c r="L391" s="496">
        <v>192.08</v>
      </c>
      <c r="M391" s="372">
        <v>1</v>
      </c>
      <c r="N391" s="372">
        <v>12</v>
      </c>
      <c r="O391" s="498">
        <f>K391*L391*M391*N391</f>
        <v>2304.96</v>
      </c>
      <c r="P391" s="235">
        <v>1474.4455464375003</v>
      </c>
      <c r="Q391" s="649">
        <f>P391*$O391</f>
        <v>3398538.0067165806</v>
      </c>
      <c r="R391" s="372">
        <v>1404.2338537500002</v>
      </c>
      <c r="S391" s="649">
        <f>R391*$O391</f>
        <v>3236702.8635396007</v>
      </c>
      <c r="T391" s="372">
        <v>1474.4455464375003</v>
      </c>
      <c r="U391" s="650">
        <f>$O391*T391</f>
        <v>3398538.0067165806</v>
      </c>
      <c r="V391" s="372">
        <f>W391/O391</f>
        <v>1451.0416488750004</v>
      </c>
      <c r="W391" s="478">
        <f>AVERAGEIF($P$3:$U$3,W$3,$P391:$U391)</f>
        <v>3344592.9589909208</v>
      </c>
      <c r="X391" s="648"/>
      <c r="Y391" s="679">
        <f>Q391/$C$1</f>
        <v>17693.346557250003</v>
      </c>
      <c r="Z391" s="374"/>
    </row>
    <row r="392" spans="1:28" x14ac:dyDescent="0.35">
      <c r="B392" s="644"/>
      <c r="C392" s="286" t="s">
        <v>155</v>
      </c>
      <c r="E392" s="645"/>
      <c r="F392" s="374" t="s">
        <v>187</v>
      </c>
      <c r="G392" s="625" t="s">
        <v>188</v>
      </c>
      <c r="H392" s="602"/>
      <c r="I392" s="626"/>
      <c r="J392" s="625" t="s">
        <v>189</v>
      </c>
      <c r="K392" s="627">
        <v>1</v>
      </c>
      <c r="L392" s="496">
        <v>192.08</v>
      </c>
      <c r="M392" s="373">
        <f>(1/500)*25</f>
        <v>0.05</v>
      </c>
      <c r="N392" s="372">
        <v>12</v>
      </c>
      <c r="O392" s="498">
        <f>K392*L392*M392*N392</f>
        <v>115.24800000000002</v>
      </c>
      <c r="P392" s="235">
        <v>180115.58081830497</v>
      </c>
      <c r="Q392" s="649">
        <f>P392*$O392</f>
        <v>20757960.458148014</v>
      </c>
      <c r="R392" s="372">
        <v>179635.86432000002</v>
      </c>
      <c r="S392" s="649">
        <f>R392*$O392</f>
        <v>20702674.091151364</v>
      </c>
      <c r="T392" s="372">
        <v>197599.45075200003</v>
      </c>
      <c r="U392" s="650">
        <f>$O392*T392</f>
        <v>22772941.500266504</v>
      </c>
      <c r="V392" s="372">
        <f>W392/O392</f>
        <v>185783.63196343501</v>
      </c>
      <c r="W392" s="478">
        <f>AVERAGEIF($P$3:$U$3,W$3,$P392:$U392)</f>
        <v>21411192.01652196</v>
      </c>
      <c r="X392" s="648"/>
      <c r="Y392" s="679">
        <f t="shared" ref="Y392:Y393" si="100">Q392/$C$1</f>
        <v>108069.34849098299</v>
      </c>
      <c r="Z392" s="374"/>
    </row>
    <row r="393" spans="1:28" hidden="1" x14ac:dyDescent="0.35">
      <c r="B393" s="644"/>
      <c r="E393" s="645"/>
      <c r="F393" s="374" t="s">
        <v>440</v>
      </c>
      <c r="G393" s="625" t="s">
        <v>351</v>
      </c>
      <c r="H393" s="602"/>
      <c r="I393" s="626"/>
      <c r="J393" s="625" t="s">
        <v>189</v>
      </c>
      <c r="K393" s="627">
        <v>1</v>
      </c>
      <c r="L393" s="496">
        <v>192.08</v>
      </c>
      <c r="M393" s="499">
        <v>0.08</v>
      </c>
      <c r="N393" s="372">
        <v>12</v>
      </c>
      <c r="O393" s="498">
        <f>K393*L393*M393*N393</f>
        <v>184.39680000000001</v>
      </c>
      <c r="P393" s="235">
        <v>24310.125</v>
      </c>
      <c r="Q393" s="649">
        <f>P393*$O393</f>
        <v>4482709.2576000001</v>
      </c>
      <c r="R393" s="372">
        <v>25194.240000000002</v>
      </c>
      <c r="S393" s="649">
        <f>R393*$O393</f>
        <v>4645737.2344320007</v>
      </c>
      <c r="T393" s="372">
        <v>27209.779200000004</v>
      </c>
      <c r="U393" s="650">
        <f>$O393*T393</f>
        <v>5017396.2131865611</v>
      </c>
      <c r="V393" s="372">
        <f>W393/O393</f>
        <v>25571.381399999998</v>
      </c>
      <c r="W393" s="478">
        <f>AVERAGEIF($P$3:$U$3,W$3,$P393:$U393)</f>
        <v>4715280.90173952</v>
      </c>
      <c r="X393" s="648"/>
      <c r="Y393" s="679">
        <f t="shared" si="100"/>
        <v>23337.719999999998</v>
      </c>
      <c r="Z393" s="374"/>
    </row>
    <row r="394" spans="1:28" customFormat="1" x14ac:dyDescent="0.35">
      <c r="A394" s="94"/>
      <c r="B394" s="693" t="s">
        <v>599</v>
      </c>
      <c r="C394" s="776"/>
      <c r="D394" s="776"/>
      <c r="E394" s="777"/>
      <c r="F394" s="516"/>
      <c r="G394" s="613"/>
      <c r="H394" s="614"/>
      <c r="I394" s="615"/>
      <c r="J394" s="613"/>
      <c r="K394" s="616"/>
      <c r="L394" s="617"/>
      <c r="M394" s="527"/>
      <c r="N394" s="766"/>
      <c r="O394" s="614"/>
      <c r="P394" s="618"/>
      <c r="Q394" s="696">
        <f>SUM(Q389:Q393)</f>
        <v>111671049.55505665</v>
      </c>
      <c r="R394" s="778"/>
      <c r="S394" s="696">
        <f>SUM(S386:S393)</f>
        <v>111395810.55372842</v>
      </c>
      <c r="T394" s="673"/>
      <c r="U394" s="673"/>
      <c r="V394" s="673"/>
      <c r="W394" s="673"/>
      <c r="X394" s="674"/>
      <c r="Y394" s="413">
        <f>Q394/$C$1</f>
        <v>581377.80901216494</v>
      </c>
      <c r="Z394" s="414">
        <f>Q394/$Q$395*100</f>
        <v>2.7863147548987648</v>
      </c>
      <c r="AA394" s="94"/>
      <c r="AB394" s="94"/>
    </row>
    <row r="395" spans="1:28" customFormat="1" x14ac:dyDescent="0.35">
      <c r="A395" s="94"/>
      <c r="B395" s="693" t="s">
        <v>649</v>
      </c>
      <c r="C395" s="776"/>
      <c r="D395" s="776"/>
      <c r="E395" s="777"/>
      <c r="F395" s="516"/>
      <c r="G395" s="613"/>
      <c r="H395" s="614"/>
      <c r="I395" s="615"/>
      <c r="J395" s="613"/>
      <c r="K395" s="616"/>
      <c r="L395" s="617"/>
      <c r="M395" s="527"/>
      <c r="N395" s="766"/>
      <c r="O395" s="614"/>
      <c r="P395" s="618"/>
      <c r="Q395" s="696">
        <f>Q35+Q57+Q174+Q199+Q275+Q281+Q321+Q378+Q394</f>
        <v>4007840440.8088489</v>
      </c>
      <c r="R395" s="778"/>
      <c r="S395" s="696">
        <f>SUM(S387:S394)</f>
        <v>222791621.10745683</v>
      </c>
      <c r="T395" s="673"/>
      <c r="U395" s="673"/>
      <c r="V395" s="673"/>
      <c r="W395" s="673"/>
      <c r="X395" s="674"/>
      <c r="Y395" s="413">
        <f>Q395/$C$1</f>
        <v>20865475.014623325</v>
      </c>
      <c r="Z395" s="504">
        <f>Q395/$Q$395*100</f>
        <v>100</v>
      </c>
      <c r="AA395" s="94"/>
      <c r="AB395" s="94"/>
    </row>
    <row r="397" spans="1:28" x14ac:dyDescent="0.35">
      <c r="Q397" s="833"/>
    </row>
    <row r="398" spans="1:28" x14ac:dyDescent="0.35">
      <c r="Q398" s="813"/>
      <c r="S398" s="813"/>
      <c r="U398" s="813"/>
      <c r="W398" s="813">
        <v>10254549.162970908</v>
      </c>
      <c r="X398" s="286" t="s">
        <v>451</v>
      </c>
    </row>
    <row r="399" spans="1:28" x14ac:dyDescent="0.35">
      <c r="Q399" s="813"/>
      <c r="S399" s="813"/>
      <c r="U399" s="813"/>
      <c r="W399" s="813">
        <v>8517978.393289011</v>
      </c>
      <c r="X399" s="286" t="s">
        <v>450</v>
      </c>
    </row>
    <row r="400" spans="1:28" x14ac:dyDescent="0.35">
      <c r="Q400" s="813"/>
      <c r="S400" s="813"/>
      <c r="U400" s="813"/>
      <c r="W400" s="813" t="e">
        <v>#REF!</v>
      </c>
      <c r="X400" s="286" t="s">
        <v>448</v>
      </c>
    </row>
    <row r="401" spans="17:24" x14ac:dyDescent="0.35">
      <c r="Q401" s="813"/>
      <c r="S401" s="813"/>
      <c r="U401" s="813"/>
      <c r="W401" s="813" t="e">
        <v>#REF!</v>
      </c>
      <c r="X401" s="286" t="s">
        <v>447</v>
      </c>
    </row>
    <row r="402" spans="17:24" x14ac:dyDescent="0.35">
      <c r="Q402" s="813"/>
      <c r="S402" s="813"/>
      <c r="U402" s="813"/>
      <c r="W402" s="813">
        <v>14390858.77003853</v>
      </c>
      <c r="X402" s="286" t="s">
        <v>446</v>
      </c>
    </row>
    <row r="403" spans="17:24" x14ac:dyDescent="0.35">
      <c r="W403" s="813" t="e">
        <f>SUM(W395:W402)</f>
        <v>#REF!</v>
      </c>
    </row>
  </sheetData>
  <mergeCells count="58">
    <mergeCell ref="B394:E394"/>
    <mergeCell ref="B395:E395"/>
    <mergeCell ref="B343:E343"/>
    <mergeCell ref="B353:E353"/>
    <mergeCell ref="B363:E363"/>
    <mergeCell ref="B369:E369"/>
    <mergeCell ref="B377:E377"/>
    <mergeCell ref="B378:E378"/>
    <mergeCell ref="B285:E285"/>
    <mergeCell ref="B296:E296"/>
    <mergeCell ref="B314:E314"/>
    <mergeCell ref="K317:K319"/>
    <mergeCell ref="B321:E321"/>
    <mergeCell ref="B333:E333"/>
    <mergeCell ref="B198:E198"/>
    <mergeCell ref="B199:E199"/>
    <mergeCell ref="B231:E231"/>
    <mergeCell ref="B258:E258"/>
    <mergeCell ref="B275:E275"/>
    <mergeCell ref="B281:E281"/>
    <mergeCell ref="B126:E126"/>
    <mergeCell ref="B173:E173"/>
    <mergeCell ref="B174:E174"/>
    <mergeCell ref="B180:E180"/>
    <mergeCell ref="B186:E186"/>
    <mergeCell ref="B193:E193"/>
    <mergeCell ref="B47:E47"/>
    <mergeCell ref="B57:E57"/>
    <mergeCell ref="B63:E63"/>
    <mergeCell ref="B70:E70"/>
    <mergeCell ref="B84:E84"/>
    <mergeCell ref="B110:E110"/>
    <mergeCell ref="S3:S4"/>
    <mergeCell ref="T3:T4"/>
    <mergeCell ref="U3:U4"/>
    <mergeCell ref="V3:V4"/>
    <mergeCell ref="W3:W4"/>
    <mergeCell ref="B35:E35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/>
  <pageMargins left="0.2" right="0.2" top="0.75" bottom="0.25" header="0.3" footer="0.3"/>
  <pageSetup paperSize="9" scale="62" orientation="landscape" r:id="rId1"/>
  <rowBreaks count="3" manualBreakCount="3">
    <brk id="235" max="25" man="1"/>
    <brk id="296" max="25" man="1"/>
    <brk id="363" max="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RKP</vt:lpstr>
      <vt:lpstr>REKAP BIAYA</vt:lpstr>
      <vt:lpstr>SI TB CECT</vt:lpstr>
      <vt:lpstr>SI TB SERAK</vt:lpstr>
      <vt:lpstr>S1 TBM 1</vt:lpstr>
      <vt:lpstr>S1 TBM 2</vt:lpstr>
      <vt:lpstr>S1 TBM 3</vt:lpstr>
      <vt:lpstr>'REKAP BIAYA'!Print_Area</vt:lpstr>
      <vt:lpstr>RKP!Print_Area</vt:lpstr>
      <vt:lpstr>'S1 TBM 1'!Print_Area</vt:lpstr>
      <vt:lpstr>'S1 TBM 2'!Print_Area</vt:lpstr>
      <vt:lpstr>'S1 TBM 3'!Print_Area</vt:lpstr>
      <vt:lpstr>'SI TB CECT'!Print_Area</vt:lpstr>
      <vt:lpstr>'SI TB SERAK'!Print_Area</vt:lpstr>
      <vt:lpstr>'S1 TBM 1'!Print_Titles</vt:lpstr>
      <vt:lpstr>'S1 TBM 2'!Print_Titles</vt:lpstr>
      <vt:lpstr>'S1 TBM 3'!Print_Titles</vt:lpstr>
      <vt:lpstr>'SI TB CECT'!Print_Titles</vt:lpstr>
      <vt:lpstr>'SI TB SERAK'!Print_Titles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INTEL i5</dc:creator>
  <cp:lastModifiedBy>LENOVO INTEL i5</cp:lastModifiedBy>
  <dcterms:created xsi:type="dcterms:W3CDTF">2026-08-26T06:04:13Z</dcterms:created>
  <dcterms:modified xsi:type="dcterms:W3CDTF">2026-08-26T06:04:54Z</dcterms:modified>
</cp:coreProperties>
</file>