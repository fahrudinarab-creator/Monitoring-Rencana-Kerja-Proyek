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RKP\RPH\"/>
    </mc:Choice>
  </mc:AlternateContent>
  <xr:revisionPtr revIDLastSave="0" documentId="13_ncr:1_{473FC485-E348-42E6-B7ED-70D8384AA462}" xr6:coauthVersionLast="47" xr6:coauthVersionMax="47" xr10:uidLastSave="{00000000-0000-0000-0000-000000000000}"/>
  <bookViews>
    <workbookView xWindow="-110" yWindow="-110" windowWidth="19420" windowHeight="10300" xr2:uid="{54381514-4DEC-4919-BA37-0303BF86E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" i="1" l="1"/>
  <c r="B55" i="1"/>
  <c r="B17" i="1"/>
  <c r="B47" i="1"/>
  <c r="B26" i="1"/>
  <c r="B61" i="1" l="1"/>
</calcChain>
</file>

<file path=xl/sharedStrings.xml><?xml version="1.0" encoding="utf-8"?>
<sst xmlns="http://schemas.openxmlformats.org/spreadsheetml/2006/main" count="68" uniqueCount="63">
  <si>
    <t>Peralatan &amp; Perlengkapana Fattening</t>
  </si>
  <si>
    <t>Mobil Rotomix</t>
  </si>
  <si>
    <t>Mesin Chopper</t>
  </si>
  <si>
    <t>Timbangan Sapi</t>
  </si>
  <si>
    <t>Instalasi dewatering limbah</t>
  </si>
  <si>
    <t>Kandang Jepit</t>
  </si>
  <si>
    <t xml:space="preserve">Timbangan truck </t>
  </si>
  <si>
    <t>Sub Total</t>
  </si>
  <si>
    <t>Apron dan Topi Kerja</t>
  </si>
  <si>
    <t xml:space="preserve">Hand Hook </t>
  </si>
  <si>
    <t>Gergaji Tulang Karkas</t>
  </si>
  <si>
    <t>Stainless Glove</t>
  </si>
  <si>
    <t>Plaint Trolley</t>
  </si>
  <si>
    <t>Container Proses</t>
  </si>
  <si>
    <t>Telenan Polyethylene</t>
  </si>
  <si>
    <t>Timbangan Karkas RPH</t>
  </si>
  <si>
    <t>Pisau Set RPH</t>
  </si>
  <si>
    <t>Timbangan Gantung RPH</t>
  </si>
  <si>
    <t>Skinning Craddle and Offal Hanger</t>
  </si>
  <si>
    <t>Stainless Creddle (grobak daging)</t>
  </si>
  <si>
    <t xml:space="preserve">Elecktrick Hoist Spreader Set </t>
  </si>
  <si>
    <t>Stunning Gun</t>
  </si>
  <si>
    <t xml:space="preserve">Vacuum Packing Machine </t>
  </si>
  <si>
    <t>Restraining Box Tipe Stunning</t>
  </si>
  <si>
    <t>Carcass Splitting Saw- CSS100</t>
  </si>
  <si>
    <t>Mobil Thermo L300</t>
  </si>
  <si>
    <t>Pengurusan Perizinan</t>
  </si>
  <si>
    <t>Pendaftaran Merk dan Produk/Izin Edar</t>
  </si>
  <si>
    <t>Pendaftaran Nomor Kontrol Veteriner</t>
  </si>
  <si>
    <t>Sertifikasi Halal dan CPPOB/BPOM</t>
  </si>
  <si>
    <t>IKH Karantina</t>
  </si>
  <si>
    <t>NKV</t>
  </si>
  <si>
    <t>Lain-Lain</t>
  </si>
  <si>
    <t>Upgrade Daya PLN</t>
  </si>
  <si>
    <t>Pekerjaan Kandang Ternak</t>
  </si>
  <si>
    <t>Pekerjaan Rumah Potong Hewan</t>
  </si>
  <si>
    <t>Pekerjaan Gudang Potong Rumput</t>
  </si>
  <si>
    <t>Pekerjaan Ruang Nursery dan Workshop</t>
  </si>
  <si>
    <t>Pekerjaan Pos Jaga &amp; Mushola</t>
  </si>
  <si>
    <t>Pekerjaan Perbaikan Lantai Kandang Dan Bak Minum</t>
  </si>
  <si>
    <t>Konstruksi</t>
  </si>
  <si>
    <t>Grand Total</t>
  </si>
  <si>
    <t>Peralatan &amp; Perlengkapan Abbatoir</t>
  </si>
  <si>
    <t>Chilling Room 1 (Ruang Chilling)</t>
  </si>
  <si>
    <t>Chilling Room 2 (Ruang Packaging)</t>
  </si>
  <si>
    <t>Air Blast Freezer (Ruang Pembekuan Cepat)</t>
  </si>
  <si>
    <t>Cold Storage (Ruang Penyimpanan Beku)</t>
  </si>
  <si>
    <t>Rupiah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</si>
  <si>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</si>
  <si>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</si>
  <si>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</si>
  <si>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</si>
  <si>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</si>
  <si>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</si>
  <si>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</si>
  <si>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</si>
  <si>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</si>
  <si>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Oct</t>
  </si>
  <si>
    <t>Nov</t>
  </si>
  <si>
    <t>Dec</t>
  </si>
  <si>
    <t>TIMELINE RKP</t>
  </si>
  <si>
    <t>Kandang Fattening &amp; RPH</t>
  </si>
  <si>
    <t>Rencana Realisasi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</si>
</sst>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/>
    </xf>
    <xf numFmtId="164" fontId="1" fillId="0" borderId="0" xfId="1" applyNumberForma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37" fontId="5" fillId="0" borderId="5" xfId="1" applyNumberFormat="1" applyFont="1" applyBorder="1" applyAlignment="1">
      <alignment vertical="center"/>
    </xf>
    <xf numFmtId="37" fontId="6" fillId="0" borderId="5" xfId="1" applyNumberFormat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1" fillId="0" borderId="9" xfId="1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37" fontId="5" fillId="0" borderId="9" xfId="1" applyNumberFormat="1" applyFont="1" applyBorder="1" applyAlignment="1">
      <alignment vertical="center"/>
    </xf>
    <xf numFmtId="0" fontId="2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vertical="center"/>
    </xf>
    <xf numFmtId="37" fontId="2" fillId="2" borderId="5" xfId="1" applyNumberFormat="1" applyFont="1" applyFill="1" applyBorder="1" applyAlignment="1">
      <alignment vertical="center"/>
    </xf>
    <xf numFmtId="0" fontId="2" fillId="2" borderId="10" xfId="1" applyFont="1" applyFill="1" applyBorder="1" applyAlignment="1">
      <alignment horizontal="center" vertical="center"/>
    </xf>
    <xf numFmtId="0" fontId="3" fillId="0" borderId="11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4" xfId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4" xfId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164" fontId="1" fillId="0" borderId="14" xfId="1" applyNumberForma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37" fontId="2" fillId="2" borderId="7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6" xfId="0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</cellXfs>
  <cellStyles count="3">
    <cellStyle name="Comma 9" xfId="2" xr:uid="{C1F98F6F-DDA7-4482-AD70-0ADEFDDEF91D}"/>
    <cellStyle name="Normal" xfId="0" builtinId="0"/>
    <cellStyle name="Normal 11" xfId="1" xr:uid="{99B3B476-540C-4B72-B82A-75CAF1EEA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288C-C138-4E43-BFD1-D3B6E5436139}">
  <dimension ref="A1:N75"/>
  <sheetViews>
    <sheetView showGridLines="0" tabSelected="1" topLeftCell="A2" zoomScale="87" workbookViewId="0">
      <pane xSplit="2" ySplit="4" topLeftCell="C6" activePane="bottomRight" state="frozen"/>
      <selection activeCell="A2" sqref="A2"/>
      <selection pane="topRight" activeCell="E2" sqref="E2"/>
      <selection pane="bottomLeft" activeCell="A6" sqref="A6"/>
      <selection pane="bottomRight"/>
    </sheetView>
  </sheetViews>
  <sheetFormatPr defaultRowHeight="14.5" x14ac:dyDescent="0.35"/>
  <cols>
    <col min="1" max="1" width="45.26953125" style="3" bestFit="1" customWidth="1"/>
    <col min="2" max="2" width="12.90625" style="3" bestFit="1" customWidth="1"/>
    <col min="3" max="14" width="9" style="3" customWidth="1"/>
    <col min="15" max="16384" width="8.7265625" style="3"/>
  </cols>
  <sheetData>
    <row r="1" spans="1:14" s="1" customFormat="1" x14ac:dyDescent="0.35">
      <c r="A1" s="1" t="s">
        <v>60</v>
      </c>
    </row>
    <row r="2" spans="1:14" x14ac:dyDescent="0.35">
      <c r="A2" s="1" t="s">
        <v>61</v>
      </c>
    </row>
    <row r="4" spans="1:14" s="1" customFormat="1" x14ac:dyDescent="0.35">
      <c r="A4" s="43" t="s">
        <v>40</v>
      </c>
      <c r="B4" s="43" t="s">
        <v>47</v>
      </c>
      <c r="C4" s="42" t="s">
        <v>62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s="1" customFormat="1" ht="14.5" customHeight="1" x14ac:dyDescent="0.35">
      <c r="A5" s="43"/>
      <c r="B5" s="43"/>
      <c r="C5" s="21" t="s">
        <v>48</v>
      </c>
      <c r="D5" s="21" t="s">
        <v>49</v>
      </c>
      <c r="E5" s="21" t="s">
        <v>50</v>
      </c>
      <c r="F5" s="21" t="s">
        <v>51</v>
      </c>
      <c r="G5" s="21" t="s">
        <v>52</v>
      </c>
      <c r="H5" s="21" t="s">
        <v>53</v>
      </c>
      <c r="I5" s="21" t="s">
        <v>54</v>
      </c>
      <c r="J5" s="21" t="s">
        <v>55</v>
      </c>
      <c r="K5" s="21" t="s">
        <v>56</v>
      </c>
      <c r="L5" s="21" t="s">
        <v>57</v>
      </c>
      <c r="M5" s="21" t="s">
        <v>58</v>
      </c>
      <c r="N5" s="21" t="s">
        <v>59</v>
      </c>
    </row>
    <row r="6" spans="1:14" s="1" customFormat="1" ht="14.5" customHeight="1" x14ac:dyDescent="0.35">
      <c r="A6" s="7" t="s">
        <v>40</v>
      </c>
      <c r="B6" s="9"/>
      <c r="C6" s="22"/>
      <c r="D6" s="22"/>
      <c r="E6" s="22"/>
      <c r="F6" s="22"/>
      <c r="G6" s="23"/>
      <c r="H6" s="23"/>
      <c r="I6" s="23"/>
      <c r="J6" s="23"/>
      <c r="K6" s="23"/>
      <c r="L6" s="23"/>
      <c r="M6" s="23"/>
      <c r="N6" s="24"/>
    </row>
    <row r="7" spans="1:14" x14ac:dyDescent="0.35">
      <c r="A7" s="6" t="s">
        <v>34</v>
      </c>
      <c r="B7" s="10">
        <v>3631320000</v>
      </c>
      <c r="C7" s="2"/>
      <c r="D7" s="2"/>
      <c r="E7" s="2"/>
      <c r="F7" s="2"/>
      <c r="N7" s="25"/>
    </row>
    <row r="8" spans="1:14" x14ac:dyDescent="0.35">
      <c r="A8" s="6" t="s">
        <v>35</v>
      </c>
      <c r="B8" s="10">
        <v>1737185000</v>
      </c>
      <c r="C8" s="2"/>
      <c r="D8" s="2"/>
      <c r="E8" s="2"/>
      <c r="F8" s="2"/>
      <c r="I8" s="40"/>
      <c r="J8" s="40"/>
      <c r="K8" s="40"/>
      <c r="N8" s="25"/>
    </row>
    <row r="9" spans="1:14" x14ac:dyDescent="0.35">
      <c r="A9" s="6" t="s">
        <v>43</v>
      </c>
      <c r="B9" s="10">
        <v>240265000</v>
      </c>
      <c r="C9" s="2"/>
      <c r="D9" s="2"/>
      <c r="E9" s="2"/>
      <c r="F9" s="2"/>
      <c r="K9" s="40"/>
      <c r="N9" s="25"/>
    </row>
    <row r="10" spans="1:14" x14ac:dyDescent="0.35">
      <c r="A10" s="6" t="s">
        <v>44</v>
      </c>
      <c r="B10" s="10">
        <v>240500000</v>
      </c>
      <c r="C10" s="2"/>
      <c r="D10" s="2"/>
      <c r="E10" s="2"/>
      <c r="F10" s="2"/>
      <c r="K10" s="40"/>
      <c r="N10" s="25"/>
    </row>
    <row r="11" spans="1:14" x14ac:dyDescent="0.35">
      <c r="A11" s="6" t="s">
        <v>45</v>
      </c>
      <c r="B11" s="10">
        <v>630400000</v>
      </c>
      <c r="C11" s="2"/>
      <c r="D11" s="2"/>
      <c r="E11" s="2"/>
      <c r="F11" s="2"/>
      <c r="L11" s="40"/>
      <c r="N11" s="25"/>
    </row>
    <row r="12" spans="1:14" x14ac:dyDescent="0.35">
      <c r="A12" s="6" t="s">
        <v>46</v>
      </c>
      <c r="B12" s="10">
        <v>295200000</v>
      </c>
      <c r="C12" s="2"/>
      <c r="D12" s="2"/>
      <c r="E12" s="2"/>
      <c r="F12" s="2"/>
      <c r="M12" s="40"/>
      <c r="N12" s="25"/>
    </row>
    <row r="13" spans="1:14" x14ac:dyDescent="0.35">
      <c r="A13" s="6" t="s">
        <v>36</v>
      </c>
      <c r="B13" s="10">
        <v>216000000</v>
      </c>
      <c r="C13" s="2"/>
      <c r="D13" s="2"/>
      <c r="E13" s="2"/>
      <c r="F13" s="2"/>
      <c r="J13" s="40"/>
      <c r="N13" s="25"/>
    </row>
    <row r="14" spans="1:14" x14ac:dyDescent="0.35">
      <c r="A14" s="6" t="s">
        <v>37</v>
      </c>
      <c r="B14" s="10">
        <v>271672800</v>
      </c>
      <c r="C14" s="2"/>
      <c r="D14" s="2"/>
      <c r="E14" s="2"/>
      <c r="F14" s="2"/>
      <c r="K14" s="40"/>
      <c r="N14" s="25"/>
    </row>
    <row r="15" spans="1:14" x14ac:dyDescent="0.35">
      <c r="A15" s="6" t="s">
        <v>38</v>
      </c>
      <c r="B15" s="10">
        <v>50000000</v>
      </c>
      <c r="C15" s="2"/>
      <c r="D15" s="2"/>
      <c r="E15" s="2"/>
      <c r="F15" s="2"/>
      <c r="L15" s="40"/>
      <c r="N15" s="25"/>
    </row>
    <row r="16" spans="1:14" x14ac:dyDescent="0.35">
      <c r="A16" s="6" t="s">
        <v>39</v>
      </c>
      <c r="B16" s="10">
        <v>400000000</v>
      </c>
      <c r="C16" s="2"/>
      <c r="D16" s="2"/>
      <c r="E16" s="2"/>
      <c r="F16" s="2"/>
      <c r="M16" s="40"/>
      <c r="N16" s="41"/>
    </row>
    <row r="17" spans="1:14" s="1" customFormat="1" x14ac:dyDescent="0.35">
      <c r="A17" s="19" t="s">
        <v>7</v>
      </c>
      <c r="B17" s="20">
        <f>SUM(B7:B16)</f>
        <v>7712542800</v>
      </c>
      <c r="C17" s="33"/>
      <c r="D17" s="33"/>
      <c r="E17" s="33"/>
      <c r="F17" s="33"/>
      <c r="G17" s="34"/>
      <c r="H17" s="34"/>
      <c r="I17" s="34"/>
      <c r="J17" s="34"/>
      <c r="K17" s="34"/>
      <c r="L17" s="34"/>
      <c r="M17" s="34"/>
      <c r="N17" s="35"/>
    </row>
    <row r="18" spans="1:14" ht="3.5" customHeight="1" x14ac:dyDescent="0.35">
      <c r="A18" s="11"/>
      <c r="B18" s="12"/>
      <c r="C18" s="27"/>
      <c r="D18" s="27"/>
      <c r="E18" s="27"/>
      <c r="F18" s="27"/>
      <c r="G18" s="28"/>
      <c r="H18" s="28"/>
      <c r="I18" s="28"/>
      <c r="J18" s="28"/>
      <c r="K18" s="28"/>
      <c r="L18" s="28"/>
      <c r="M18" s="28"/>
      <c r="N18" s="28"/>
    </row>
    <row r="19" spans="1:14" x14ac:dyDescent="0.35">
      <c r="A19" s="7" t="s">
        <v>0</v>
      </c>
      <c r="B19" s="26"/>
      <c r="C19" s="29"/>
      <c r="D19" s="29"/>
      <c r="E19" s="29"/>
      <c r="F19" s="29"/>
      <c r="G19" s="30"/>
      <c r="H19" s="30"/>
      <c r="I19" s="30"/>
      <c r="J19" s="30"/>
      <c r="K19" s="30"/>
      <c r="L19" s="30"/>
      <c r="M19" s="30"/>
      <c r="N19" s="31"/>
    </row>
    <row r="20" spans="1:14" x14ac:dyDescent="0.35">
      <c r="A20" s="6" t="s">
        <v>1</v>
      </c>
      <c r="B20" s="10">
        <v>375000000</v>
      </c>
      <c r="C20" s="2"/>
      <c r="D20" s="4"/>
      <c r="E20" s="4"/>
      <c r="F20" s="4"/>
      <c r="I20" s="40"/>
      <c r="J20" s="40"/>
      <c r="N20" s="25"/>
    </row>
    <row r="21" spans="1:14" x14ac:dyDescent="0.35">
      <c r="A21" s="6" t="s">
        <v>2</v>
      </c>
      <c r="B21" s="10">
        <v>120000000</v>
      </c>
      <c r="C21" s="2"/>
      <c r="D21" s="4"/>
      <c r="E21" s="4"/>
      <c r="F21" s="4"/>
      <c r="G21" s="40"/>
      <c r="N21" s="25"/>
    </row>
    <row r="22" spans="1:14" x14ac:dyDescent="0.35">
      <c r="A22" s="6" t="s">
        <v>3</v>
      </c>
      <c r="B22" s="10">
        <v>62500000</v>
      </c>
      <c r="C22" s="2"/>
      <c r="D22" s="4"/>
      <c r="E22" s="4"/>
      <c r="F22" s="4"/>
      <c r="I22" s="40"/>
      <c r="N22" s="25"/>
    </row>
    <row r="23" spans="1:14" x14ac:dyDescent="0.35">
      <c r="A23" s="8" t="s">
        <v>4</v>
      </c>
      <c r="B23" s="10">
        <v>100000000</v>
      </c>
      <c r="C23" s="2"/>
      <c r="D23" s="4"/>
      <c r="E23" s="4"/>
      <c r="F23" s="4"/>
      <c r="K23" s="40"/>
      <c r="N23" s="25"/>
    </row>
    <row r="24" spans="1:14" x14ac:dyDescent="0.35">
      <c r="A24" s="8" t="s">
        <v>5</v>
      </c>
      <c r="B24" s="10">
        <v>55000000</v>
      </c>
      <c r="C24" s="2"/>
      <c r="D24" s="4"/>
      <c r="E24" s="4"/>
      <c r="F24" s="4"/>
      <c r="I24" s="40"/>
      <c r="N24" s="25"/>
    </row>
    <row r="25" spans="1:14" x14ac:dyDescent="0.35">
      <c r="A25" s="8" t="s">
        <v>6</v>
      </c>
      <c r="B25" s="10">
        <v>40000000</v>
      </c>
      <c r="C25" s="2"/>
      <c r="D25" s="4"/>
      <c r="E25" s="4"/>
      <c r="F25" s="4"/>
      <c r="J25" s="40"/>
      <c r="N25" s="25"/>
    </row>
    <row r="26" spans="1:14" x14ac:dyDescent="0.35">
      <c r="A26" s="18" t="s">
        <v>7</v>
      </c>
      <c r="B26" s="20">
        <f>SUM(B20:B25)</f>
        <v>752500000</v>
      </c>
      <c r="C26" s="36"/>
      <c r="D26" s="36"/>
      <c r="E26" s="36"/>
      <c r="F26" s="36"/>
      <c r="G26" s="37"/>
      <c r="H26" s="37"/>
      <c r="I26" s="37"/>
      <c r="J26" s="37"/>
      <c r="K26" s="37"/>
      <c r="L26" s="37"/>
      <c r="M26" s="37"/>
      <c r="N26" s="38"/>
    </row>
    <row r="27" spans="1:14" ht="3.5" customHeight="1" x14ac:dyDescent="0.35">
      <c r="A27" s="11"/>
      <c r="B27" s="12"/>
      <c r="C27" s="27"/>
      <c r="D27" s="27"/>
      <c r="E27" s="27"/>
      <c r="F27" s="27"/>
      <c r="G27" s="28"/>
      <c r="H27" s="28"/>
      <c r="I27" s="28"/>
      <c r="J27" s="28"/>
      <c r="K27" s="28"/>
      <c r="L27" s="28"/>
      <c r="M27" s="28"/>
      <c r="N27" s="28"/>
    </row>
    <row r="28" spans="1:14" x14ac:dyDescent="0.35">
      <c r="A28" s="7" t="s">
        <v>42</v>
      </c>
      <c r="B28" s="26"/>
      <c r="C28" s="29"/>
      <c r="D28" s="32"/>
      <c r="E28" s="32"/>
      <c r="F28" s="32"/>
      <c r="G28" s="30"/>
      <c r="H28" s="30"/>
      <c r="I28" s="30"/>
      <c r="J28" s="30"/>
      <c r="K28" s="30"/>
      <c r="L28" s="30"/>
      <c r="M28" s="30"/>
      <c r="N28" s="31"/>
    </row>
    <row r="29" spans="1:14" x14ac:dyDescent="0.35">
      <c r="A29" s="8" t="s">
        <v>8</v>
      </c>
      <c r="B29" s="10">
        <v>349500</v>
      </c>
      <c r="C29" s="2"/>
      <c r="D29" s="4"/>
      <c r="E29" s="4"/>
      <c r="F29" s="4"/>
      <c r="N29" s="25"/>
    </row>
    <row r="30" spans="1:14" x14ac:dyDescent="0.35">
      <c r="A30" s="8" t="s">
        <v>9</v>
      </c>
      <c r="B30" s="10">
        <v>1470000</v>
      </c>
      <c r="C30" s="2"/>
      <c r="D30" s="4"/>
      <c r="E30" s="2"/>
      <c r="F30" s="2"/>
      <c r="L30" s="40"/>
      <c r="N30" s="25"/>
    </row>
    <row r="31" spans="1:14" x14ac:dyDescent="0.35">
      <c r="A31" s="8" t="s">
        <v>10</v>
      </c>
      <c r="B31" s="10">
        <v>2362500</v>
      </c>
      <c r="C31" s="2"/>
      <c r="D31" s="4"/>
      <c r="E31" s="2"/>
      <c r="F31" s="2"/>
      <c r="L31" s="40"/>
      <c r="N31" s="25"/>
    </row>
    <row r="32" spans="1:14" x14ac:dyDescent="0.35">
      <c r="A32" s="8" t="s">
        <v>11</v>
      </c>
      <c r="B32" s="10">
        <v>2850000</v>
      </c>
      <c r="C32" s="2"/>
      <c r="D32" s="4"/>
      <c r="E32" s="2"/>
      <c r="F32" s="2"/>
      <c r="L32" s="40"/>
      <c r="N32" s="25"/>
    </row>
    <row r="33" spans="1:14" x14ac:dyDescent="0.35">
      <c r="A33" s="8" t="s">
        <v>12</v>
      </c>
      <c r="B33" s="10">
        <v>7800000</v>
      </c>
      <c r="C33" s="2"/>
      <c r="D33" s="4"/>
      <c r="E33" s="2"/>
      <c r="F33" s="2"/>
      <c r="L33" s="40"/>
      <c r="N33" s="25"/>
    </row>
    <row r="34" spans="1:14" x14ac:dyDescent="0.35">
      <c r="A34" s="8" t="s">
        <v>13</v>
      </c>
      <c r="B34" s="10">
        <v>8250000</v>
      </c>
      <c r="C34" s="2"/>
      <c r="D34" s="4"/>
      <c r="E34" s="2"/>
      <c r="F34" s="2"/>
      <c r="L34" s="40"/>
      <c r="N34" s="25"/>
    </row>
    <row r="35" spans="1:14" x14ac:dyDescent="0.35">
      <c r="A35" s="8" t="s">
        <v>14</v>
      </c>
      <c r="B35" s="10">
        <v>8550000</v>
      </c>
      <c r="C35" s="2"/>
      <c r="D35" s="2"/>
      <c r="E35" s="2"/>
      <c r="F35" s="2"/>
      <c r="L35" s="40"/>
      <c r="N35" s="25"/>
    </row>
    <row r="36" spans="1:14" x14ac:dyDescent="0.35">
      <c r="A36" s="8" t="s">
        <v>15</v>
      </c>
      <c r="B36" s="10">
        <v>8850000</v>
      </c>
      <c r="C36" s="2"/>
      <c r="D36" s="2"/>
      <c r="E36" s="2"/>
      <c r="F36" s="2"/>
      <c r="L36" s="40"/>
      <c r="N36" s="25"/>
    </row>
    <row r="37" spans="1:14" x14ac:dyDescent="0.35">
      <c r="A37" s="8" t="s">
        <v>16</v>
      </c>
      <c r="B37" s="10">
        <v>13350000</v>
      </c>
      <c r="C37" s="2"/>
      <c r="D37" s="2"/>
      <c r="E37" s="2"/>
      <c r="F37" s="2"/>
      <c r="L37" s="40"/>
      <c r="N37" s="25"/>
    </row>
    <row r="38" spans="1:14" x14ac:dyDescent="0.35">
      <c r="A38" s="8" t="s">
        <v>17</v>
      </c>
      <c r="B38" s="10">
        <v>14250000</v>
      </c>
      <c r="C38" s="2"/>
      <c r="D38" s="2"/>
      <c r="E38" s="2"/>
      <c r="F38" s="2"/>
      <c r="K38" s="40"/>
      <c r="N38" s="25"/>
    </row>
    <row r="39" spans="1:14" x14ac:dyDescent="0.35">
      <c r="A39" s="8" t="s">
        <v>18</v>
      </c>
      <c r="B39" s="10">
        <v>19500000</v>
      </c>
      <c r="C39" s="2"/>
      <c r="D39" s="2"/>
      <c r="E39" s="2"/>
      <c r="F39" s="2"/>
      <c r="K39" s="40"/>
      <c r="N39" s="25"/>
    </row>
    <row r="40" spans="1:14" x14ac:dyDescent="0.35">
      <c r="A40" s="8" t="s">
        <v>19</v>
      </c>
      <c r="B40" s="10">
        <v>25800000</v>
      </c>
      <c r="C40" s="2"/>
      <c r="D40" s="2"/>
      <c r="E40" s="2"/>
      <c r="F40" s="2"/>
      <c r="K40" s="40"/>
      <c r="N40" s="25"/>
    </row>
    <row r="41" spans="1:14" x14ac:dyDescent="0.35">
      <c r="A41" s="8" t="s">
        <v>20</v>
      </c>
      <c r="B41" s="10">
        <v>52500000</v>
      </c>
      <c r="C41" s="2"/>
      <c r="D41" s="2"/>
      <c r="E41" s="2"/>
      <c r="F41" s="2"/>
      <c r="K41" s="40"/>
      <c r="N41" s="25"/>
    </row>
    <row r="42" spans="1:14" x14ac:dyDescent="0.35">
      <c r="A42" s="8" t="s">
        <v>24</v>
      </c>
      <c r="B42" s="10">
        <v>412500000</v>
      </c>
      <c r="L42" s="40"/>
      <c r="N42" s="25"/>
    </row>
    <row r="43" spans="1:14" x14ac:dyDescent="0.35">
      <c r="A43" s="8" t="s">
        <v>21</v>
      </c>
      <c r="B43" s="10">
        <v>72000000</v>
      </c>
      <c r="C43" s="2"/>
      <c r="D43" s="2"/>
      <c r="E43" s="2"/>
      <c r="F43" s="2"/>
      <c r="L43" s="40"/>
      <c r="N43" s="25"/>
    </row>
    <row r="44" spans="1:14" x14ac:dyDescent="0.35">
      <c r="A44" s="8" t="s">
        <v>23</v>
      </c>
      <c r="B44" s="10">
        <v>131850000</v>
      </c>
      <c r="L44" s="40"/>
      <c r="N44" s="25"/>
    </row>
    <row r="45" spans="1:14" x14ac:dyDescent="0.35">
      <c r="A45" s="8" t="s">
        <v>22</v>
      </c>
      <c r="B45" s="10">
        <v>94050000</v>
      </c>
      <c r="C45" s="2"/>
      <c r="D45" s="2"/>
      <c r="E45" s="2"/>
      <c r="F45" s="2"/>
      <c r="L45" s="40"/>
      <c r="N45" s="25"/>
    </row>
    <row r="46" spans="1:14" x14ac:dyDescent="0.35">
      <c r="A46" s="8" t="s">
        <v>25</v>
      </c>
      <c r="B46" s="10">
        <v>368750000</v>
      </c>
      <c r="N46" s="25"/>
    </row>
    <row r="47" spans="1:14" x14ac:dyDescent="0.35">
      <c r="A47" s="18" t="s">
        <v>7</v>
      </c>
      <c r="B47" s="20">
        <f>SUM(B29:B46)</f>
        <v>1245032000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8"/>
    </row>
    <row r="48" spans="1:14" ht="3.5" customHeight="1" x14ac:dyDescent="0.35">
      <c r="A48" s="14"/>
      <c r="B48" s="12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1:14" x14ac:dyDescent="0.35">
      <c r="A49" s="7" t="s">
        <v>26</v>
      </c>
      <c r="B49" s="2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</row>
    <row r="50" spans="1:14" x14ac:dyDescent="0.35">
      <c r="A50" s="8" t="s">
        <v>27</v>
      </c>
      <c r="B50" s="10">
        <v>7500000</v>
      </c>
      <c r="M50" s="40"/>
      <c r="N50" s="25"/>
    </row>
    <row r="51" spans="1:14" x14ac:dyDescent="0.35">
      <c r="A51" s="8" t="s">
        <v>28</v>
      </c>
      <c r="B51" s="10">
        <v>7500000</v>
      </c>
      <c r="M51" s="40"/>
      <c r="N51" s="25"/>
    </row>
    <row r="52" spans="1:14" x14ac:dyDescent="0.35">
      <c r="A52" s="8" t="s">
        <v>29</v>
      </c>
      <c r="B52" s="10">
        <v>50000000</v>
      </c>
      <c r="M52" s="40"/>
      <c r="N52" s="25"/>
    </row>
    <row r="53" spans="1:14" x14ac:dyDescent="0.35">
      <c r="A53" s="8" t="s">
        <v>30</v>
      </c>
      <c r="B53" s="10">
        <v>25000000</v>
      </c>
      <c r="M53" s="40"/>
      <c r="N53" s="25"/>
    </row>
    <row r="54" spans="1:14" x14ac:dyDescent="0.35">
      <c r="A54" s="8" t="s">
        <v>31</v>
      </c>
      <c r="B54" s="10">
        <v>50000000</v>
      </c>
      <c r="M54" s="40"/>
      <c r="N54" s="25"/>
    </row>
    <row r="55" spans="1:14" x14ac:dyDescent="0.35">
      <c r="A55" s="18" t="s">
        <v>7</v>
      </c>
      <c r="B55" s="20">
        <f>SUM(B50:B54)</f>
        <v>140000000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8"/>
    </row>
    <row r="56" spans="1:14" ht="3.5" customHeight="1" x14ac:dyDescent="0.35">
      <c r="A56" s="15"/>
      <c r="B56" s="16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1:14" x14ac:dyDescent="0.35">
      <c r="A57" s="7" t="s">
        <v>32</v>
      </c>
      <c r="B57" s="1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1"/>
    </row>
    <row r="58" spans="1:14" x14ac:dyDescent="0.35">
      <c r="A58" s="8" t="s">
        <v>33</v>
      </c>
      <c r="B58" s="10">
        <v>131481000</v>
      </c>
      <c r="C58" s="40"/>
      <c r="N58" s="25"/>
    </row>
    <row r="59" spans="1:14" x14ac:dyDescent="0.35">
      <c r="A59" s="18" t="s">
        <v>7</v>
      </c>
      <c r="B59" s="20">
        <f>B58</f>
        <v>131481000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8"/>
    </row>
    <row r="60" spans="1:14" ht="3.5" customHeight="1" x14ac:dyDescent="0.35">
      <c r="A60" s="14"/>
      <c r="B60" s="13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1:14" x14ac:dyDescent="0.35">
      <c r="A61" s="17" t="s">
        <v>41</v>
      </c>
      <c r="B61" s="39">
        <f>B59+B55+B47+B26+B17</f>
        <v>9981555800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8"/>
    </row>
    <row r="62" spans="1:14" x14ac:dyDescent="0.35">
      <c r="A62" s="5"/>
      <c r="B62" s="2"/>
    </row>
    <row r="63" spans="1:14" x14ac:dyDescent="0.35">
      <c r="A63" s="4"/>
      <c r="B63" s="2"/>
    </row>
    <row r="64" spans="1:14" x14ac:dyDescent="0.35">
      <c r="A64" s="4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</sheetData>
  <mergeCells count="3">
    <mergeCell ref="C4:N4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INTEL i5</dc:creator>
  <cp:lastModifiedBy>LENOVO INTEL i5</cp:lastModifiedBy>
  <dcterms:created xsi:type="dcterms:W3CDTF">2026-07-01T05:44:47Z</dcterms:created>
  <dcterms:modified xsi:type="dcterms:W3CDTF">2026-09-29T02:48:51Z</dcterms:modified>
</cp:coreProperties>
</file>